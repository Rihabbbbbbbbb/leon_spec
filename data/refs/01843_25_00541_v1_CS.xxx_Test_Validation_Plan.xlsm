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microsoft.com/office/2020/02/relationships/classificationlabels" Target="docMetadata/LabelInfo.xml"/>
  <Relationship Id="rId3" Type="http://schemas.openxmlformats.org/package/2006/relationships/metadata/core-properties" Target="docProps/core.xml"/>
  <Relationship Id="rId4" Type="http://schemas.openxmlformats.org/officeDocument/2006/relationships/extended-properties" Target="docProps/app.xml"/>
  <Relationship Id="rId5" Type="http://schemas.openxmlformats.org/officeDocument/2006/relationships/custom-properties" Target="docProps/custom.xml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\U336688\0-Référentiel\03-Docs DICD\03-DISPLAY\Plan de validation CS.00xxx DM17F\_En cours\"/>
    </mc:Choice>
  </mc:AlternateContent>
  <xr:revisionPtr revIDLastSave="0" documentId="13_ncr:1_{8FDD439D-32C4-4EA3-89A6-F4D8CAF81376}" xr6:coauthVersionLast="47" xr6:coauthVersionMax="47" xr10:uidLastSave="{00000000-0000-0000-0000-000000000000}"/>
  <bookViews>
    <workbookView xWindow="28680" yWindow="-120" windowWidth="29040" windowHeight="15720" tabRatio="853" activeTab="2" xr2:uid="{00000000-000D-0000-FFFF-FFFF00000000}"/>
  </bookViews>
  <sheets>
    <sheet name="Cover page" sheetId="1" r:id="rId1"/>
    <sheet name="Documents" sheetId="28" r:id="rId2"/>
    <sheet name="RFQ response" sheetId="20" r:id="rId3"/>
    <sheet name="DV" sheetId="45" r:id="rId4"/>
    <sheet name="DVbis - MEKA" sheetId="11" state="hidden" r:id="rId5"/>
    <sheet name="DV2" sheetId="46" r:id="rId6"/>
    <sheet name="DV2 Test flow" sheetId="38" state="hidden" r:id="rId7"/>
    <sheet name="PPV" sheetId="47" r:id="rId8"/>
    <sheet name="PPV Test flow" sheetId="39" state="hidden" r:id="rId9"/>
    <sheet name="Synthese piece B3" sheetId="9" state="hidden" r:id="rId10"/>
    <sheet name="PV" sheetId="48" r:id="rId11"/>
    <sheet name="PV Test flow" sheetId="40" state="hidden" r:id="rId12"/>
    <sheet name="Generic Test flow" sheetId="37" r:id="rId13"/>
    <sheet name="Template" sheetId="44" r:id="rId14"/>
    <sheet name="Validation synthesis" sheetId="12" r:id="rId15"/>
    <sheet name="ISSUE" sheetId="4" r:id="rId16"/>
  </sheets>
  <externalReferences>
    <externalReference r:id="rId17"/>
    <externalReference r:id="rId18"/>
  </externalReferences>
  <definedNames>
    <definedName name="_xlnm._FilterDatabase" localSheetId="3" hidden="1">DV!$A$10:$Y$105</definedName>
    <definedName name="_xlnm._FilterDatabase" localSheetId="5" hidden="1">'DV2'!$A$10:$Y$105</definedName>
    <definedName name="_xlnm._FilterDatabase" localSheetId="7" hidden="1">PPV!$A$10:$Y$105</definedName>
    <definedName name="_xlnm._FilterDatabase" localSheetId="10" hidden="1">PV!$A$10:$Y$105</definedName>
    <definedName name="_xlnm._FilterDatabase" localSheetId="13" hidden="1">Template!$A$10:$Y$105</definedName>
    <definedName name="_xlnm._FilterDatabase" localSheetId="14" hidden="1">'Validation synthesis'!$E$2:$I$83</definedName>
    <definedName name="liste_appli" localSheetId="3">#REF!</definedName>
    <definedName name="liste_appli" localSheetId="5">#REF!</definedName>
    <definedName name="liste_appli" localSheetId="6">#REF!</definedName>
    <definedName name="liste_appli" localSheetId="7">#REF!</definedName>
    <definedName name="liste_appli" localSheetId="8">#REF!</definedName>
    <definedName name="liste_appli" localSheetId="10">#REF!</definedName>
    <definedName name="liste_appli" localSheetId="11">#REF!</definedName>
    <definedName name="liste_appli" localSheetId="13">#REF!</definedName>
    <definedName name="liste_appli">#REF!</definedName>
    <definedName name="liste_applicable" localSheetId="3">#REF!</definedName>
    <definedName name="liste_applicable" localSheetId="5">#REF!</definedName>
    <definedName name="liste_applicable" localSheetId="6">#REF!</definedName>
    <definedName name="liste_applicable" localSheetId="7">#REF!</definedName>
    <definedName name="liste_applicable" localSheetId="8">#REF!</definedName>
    <definedName name="liste_applicable" localSheetId="10">#REF!</definedName>
    <definedName name="liste_applicable" localSheetId="11">#REF!</definedName>
    <definedName name="liste_applicable" localSheetId="13">#REF!</definedName>
    <definedName name="liste_applicable">#REF!</definedName>
    <definedName name="liste_ok" localSheetId="3">#REF!</definedName>
    <definedName name="liste_ok" localSheetId="5">#REF!</definedName>
    <definedName name="liste_ok" localSheetId="6">#REF!</definedName>
    <definedName name="liste_ok" localSheetId="7">#REF!</definedName>
    <definedName name="liste_ok" localSheetId="8">#REF!</definedName>
    <definedName name="liste_ok" localSheetId="10">#REF!</definedName>
    <definedName name="liste_ok" localSheetId="11">#REF!</definedName>
    <definedName name="liste_ok" localSheetId="13">#REF!</definedName>
    <definedName name="liste_ok">#REF!</definedName>
    <definedName name="Liste1" localSheetId="3">[1]Version!#REF!</definedName>
    <definedName name="Liste1" localSheetId="5">[1]Version!#REF!</definedName>
    <definedName name="Liste1" localSheetId="6">[1]Version!#REF!</definedName>
    <definedName name="Liste1" localSheetId="7">[1]Version!#REF!</definedName>
    <definedName name="Liste1" localSheetId="8">[1]Version!#REF!</definedName>
    <definedName name="Liste1" localSheetId="10">[1]Version!#REF!</definedName>
    <definedName name="Liste1" localSheetId="11">[1]Version!#REF!</definedName>
    <definedName name="Liste1" localSheetId="13">[1]Version!#REF!</definedName>
    <definedName name="Liste1">[1]Version!#REF!</definedName>
    <definedName name="statut">[2]data!$A$2:$A$4</definedName>
    <definedName name="_xlnm.Print_Area" localSheetId="3">DV!$A$1:$M$98</definedName>
    <definedName name="_xlnm.Print_Area" localSheetId="5">'DV2'!$A$1:$M$98</definedName>
    <definedName name="_xlnm.Print_Area" localSheetId="4">'DVbis - MEKA'!$A$1:$K$83</definedName>
    <definedName name="_xlnm.Print_Area" localSheetId="7">PPV!$A$1:$M$98</definedName>
    <definedName name="_xlnm.Print_Area" localSheetId="10">PV!$A$1:$M$98</definedName>
    <definedName name="_xlnm.Print_Area" localSheetId="13">Template!$A$1:$M$98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4" i="12" l="1"/>
  <c r="B84" i="12"/>
  <c r="C84" i="12"/>
  <c r="D84" i="12"/>
  <c r="E84" i="12"/>
  <c r="F84" i="12"/>
  <c r="H84" i="12"/>
  <c r="I84" i="12"/>
  <c r="B93" i="44"/>
  <c r="C93" i="44"/>
  <c r="D93" i="44"/>
  <c r="E93" i="44"/>
  <c r="B93" i="48"/>
  <c r="C93" i="48"/>
  <c r="D93" i="48"/>
  <c r="E93" i="48"/>
  <c r="B93" i="47"/>
  <c r="C93" i="47"/>
  <c r="D93" i="47"/>
  <c r="E93" i="47"/>
  <c r="B93" i="46"/>
  <c r="C93" i="46"/>
  <c r="D93" i="46"/>
  <c r="E93" i="46"/>
  <c r="B93" i="45"/>
  <c r="C93" i="45"/>
  <c r="D93" i="45"/>
  <c r="E93" i="45"/>
  <c r="A40" i="12"/>
  <c r="B40" i="12"/>
  <c r="C40" i="12"/>
  <c r="D40" i="12"/>
  <c r="E40" i="12"/>
  <c r="F40" i="12"/>
  <c r="H40" i="12"/>
  <c r="I40" i="12"/>
  <c r="B49" i="44"/>
  <c r="C49" i="44"/>
  <c r="D49" i="44"/>
  <c r="E49" i="44"/>
  <c r="B49" i="48"/>
  <c r="C49" i="48"/>
  <c r="D49" i="48"/>
  <c r="E49" i="48"/>
  <c r="B49" i="47"/>
  <c r="C49" i="47"/>
  <c r="D49" i="47"/>
  <c r="E49" i="47"/>
  <c r="B49" i="46"/>
  <c r="C49" i="46"/>
  <c r="D49" i="46"/>
  <c r="E49" i="46"/>
  <c r="B49" i="45"/>
  <c r="C49" i="45"/>
  <c r="D49" i="45"/>
  <c r="E49" i="45"/>
  <c r="AA16" i="44"/>
  <c r="Z16" i="44"/>
  <c r="Y16" i="44"/>
  <c r="X16" i="44"/>
  <c r="W16" i="44"/>
  <c r="V16" i="44"/>
  <c r="U16" i="44"/>
  <c r="T16" i="44"/>
  <c r="S16" i="44"/>
  <c r="R16" i="44"/>
  <c r="Q16" i="44"/>
  <c r="E16" i="44"/>
  <c r="D16" i="44"/>
  <c r="C16" i="44"/>
  <c r="B16" i="44"/>
  <c r="AA15" i="44"/>
  <c r="Z15" i="44"/>
  <c r="Y15" i="44"/>
  <c r="X15" i="44"/>
  <c r="W15" i="44"/>
  <c r="V15" i="44"/>
  <c r="U15" i="44"/>
  <c r="T15" i="44"/>
  <c r="S15" i="44"/>
  <c r="R15" i="44"/>
  <c r="Q15" i="44"/>
  <c r="E15" i="44"/>
  <c r="D15" i="44"/>
  <c r="C15" i="44"/>
  <c r="B15" i="44"/>
  <c r="AA14" i="44"/>
  <c r="Z14" i="44"/>
  <c r="Y14" i="44"/>
  <c r="X14" i="44"/>
  <c r="W14" i="44"/>
  <c r="V14" i="44"/>
  <c r="U14" i="44"/>
  <c r="T14" i="44"/>
  <c r="S14" i="44"/>
  <c r="R14" i="44"/>
  <c r="Q14" i="44"/>
  <c r="E14" i="44"/>
  <c r="D14" i="44"/>
  <c r="C14" i="44"/>
  <c r="B14" i="44"/>
  <c r="AA13" i="44"/>
  <c r="Z13" i="44"/>
  <c r="Y13" i="44"/>
  <c r="X13" i="44"/>
  <c r="W13" i="44"/>
  <c r="V13" i="44"/>
  <c r="U13" i="44"/>
  <c r="T13" i="44"/>
  <c r="S13" i="44"/>
  <c r="R13" i="44"/>
  <c r="Q13" i="44"/>
  <c r="E13" i="44"/>
  <c r="D13" i="44"/>
  <c r="C13" i="44"/>
  <c r="B13" i="44"/>
  <c r="AA32" i="44"/>
  <c r="Z32" i="44"/>
  <c r="Y32" i="44"/>
  <c r="X32" i="44"/>
  <c r="W32" i="44"/>
  <c r="V32" i="44"/>
  <c r="U32" i="44"/>
  <c r="T32" i="44"/>
  <c r="S32" i="44"/>
  <c r="R32" i="44"/>
  <c r="Q32" i="44"/>
  <c r="E32" i="44"/>
  <c r="D32" i="44"/>
  <c r="C32" i="44"/>
  <c r="B32" i="44"/>
  <c r="AA31" i="44"/>
  <c r="Z31" i="44"/>
  <c r="Y31" i="44"/>
  <c r="X31" i="44"/>
  <c r="W31" i="44"/>
  <c r="V31" i="44"/>
  <c r="U31" i="44"/>
  <c r="T31" i="44"/>
  <c r="S31" i="44"/>
  <c r="R31" i="44"/>
  <c r="Q31" i="44"/>
  <c r="E31" i="44"/>
  <c r="D31" i="44"/>
  <c r="C31" i="44"/>
  <c r="B31" i="44"/>
  <c r="AA30" i="44"/>
  <c r="Z30" i="44"/>
  <c r="Y30" i="44"/>
  <c r="X30" i="44"/>
  <c r="W30" i="44"/>
  <c r="V30" i="44"/>
  <c r="U30" i="44"/>
  <c r="T30" i="44"/>
  <c r="S30" i="44"/>
  <c r="R30" i="44"/>
  <c r="Q30" i="44"/>
  <c r="E30" i="44"/>
  <c r="D30" i="44"/>
  <c r="C30" i="44"/>
  <c r="B30" i="44"/>
  <c r="AA29" i="44"/>
  <c r="Z29" i="44"/>
  <c r="Y29" i="44"/>
  <c r="X29" i="44"/>
  <c r="W29" i="44"/>
  <c r="V29" i="44"/>
  <c r="U29" i="44"/>
  <c r="T29" i="44"/>
  <c r="S29" i="44"/>
  <c r="R29" i="44"/>
  <c r="Q29" i="44"/>
  <c r="E29" i="44"/>
  <c r="D29" i="44"/>
  <c r="C29" i="44"/>
  <c r="B29" i="44"/>
  <c r="AA28" i="44"/>
  <c r="Z28" i="44"/>
  <c r="Y28" i="44"/>
  <c r="X28" i="44"/>
  <c r="W28" i="44"/>
  <c r="V28" i="44"/>
  <c r="U28" i="44"/>
  <c r="T28" i="44"/>
  <c r="S28" i="44"/>
  <c r="R28" i="44"/>
  <c r="Q28" i="44"/>
  <c r="E28" i="44"/>
  <c r="D28" i="44"/>
  <c r="C28" i="44"/>
  <c r="B28" i="44"/>
  <c r="AA27" i="44"/>
  <c r="Z27" i="44"/>
  <c r="Y27" i="44"/>
  <c r="X27" i="44"/>
  <c r="W27" i="44"/>
  <c r="V27" i="44"/>
  <c r="U27" i="44"/>
  <c r="T27" i="44"/>
  <c r="S27" i="44"/>
  <c r="R27" i="44"/>
  <c r="Q27" i="44"/>
  <c r="E27" i="44"/>
  <c r="D27" i="44"/>
  <c r="C27" i="44"/>
  <c r="B27" i="44"/>
  <c r="AA26" i="44"/>
  <c r="Z26" i="44"/>
  <c r="Y26" i="44"/>
  <c r="X26" i="44"/>
  <c r="W26" i="44"/>
  <c r="V26" i="44"/>
  <c r="U26" i="44"/>
  <c r="T26" i="44"/>
  <c r="S26" i="44"/>
  <c r="R26" i="44"/>
  <c r="Q26" i="44"/>
  <c r="E26" i="44"/>
  <c r="D26" i="44"/>
  <c r="C26" i="44"/>
  <c r="B26" i="44"/>
  <c r="AA25" i="44"/>
  <c r="Z25" i="44"/>
  <c r="Y25" i="44"/>
  <c r="X25" i="44"/>
  <c r="W25" i="44"/>
  <c r="V25" i="44"/>
  <c r="U25" i="44"/>
  <c r="T25" i="44"/>
  <c r="S25" i="44"/>
  <c r="R25" i="44"/>
  <c r="Q25" i="44"/>
  <c r="E25" i="44"/>
  <c r="D25" i="44"/>
  <c r="C25" i="44"/>
  <c r="B25" i="44"/>
  <c r="AA24" i="44"/>
  <c r="Z24" i="44"/>
  <c r="Y24" i="44"/>
  <c r="X24" i="44"/>
  <c r="W24" i="44"/>
  <c r="V24" i="44"/>
  <c r="U24" i="44"/>
  <c r="T24" i="44"/>
  <c r="S24" i="44"/>
  <c r="R24" i="44"/>
  <c r="Q24" i="44"/>
  <c r="E24" i="44"/>
  <c r="D24" i="44"/>
  <c r="C24" i="44"/>
  <c r="B24" i="44"/>
  <c r="AA23" i="44"/>
  <c r="Z23" i="44"/>
  <c r="Y23" i="44"/>
  <c r="X23" i="44"/>
  <c r="W23" i="44"/>
  <c r="V23" i="44"/>
  <c r="U23" i="44"/>
  <c r="T23" i="44"/>
  <c r="S23" i="44"/>
  <c r="R23" i="44"/>
  <c r="Q23" i="44"/>
  <c r="E23" i="44"/>
  <c r="D23" i="44"/>
  <c r="C23" i="44"/>
  <c r="B23" i="44"/>
  <c r="AA22" i="44"/>
  <c r="Z22" i="44"/>
  <c r="Y22" i="44"/>
  <c r="X22" i="44"/>
  <c r="W22" i="44"/>
  <c r="V22" i="44"/>
  <c r="U22" i="44"/>
  <c r="T22" i="44"/>
  <c r="S22" i="44"/>
  <c r="R22" i="44"/>
  <c r="Q22" i="44"/>
  <c r="E22" i="44"/>
  <c r="D22" i="44"/>
  <c r="C22" i="44"/>
  <c r="B22" i="44"/>
  <c r="AA21" i="44"/>
  <c r="Z21" i="44"/>
  <c r="Y21" i="44"/>
  <c r="X21" i="44"/>
  <c r="W21" i="44"/>
  <c r="V21" i="44"/>
  <c r="U21" i="44"/>
  <c r="T21" i="44"/>
  <c r="S21" i="44"/>
  <c r="R21" i="44"/>
  <c r="Q21" i="44"/>
  <c r="E21" i="44"/>
  <c r="D21" i="44"/>
  <c r="C21" i="44"/>
  <c r="B21" i="44"/>
  <c r="AA20" i="44"/>
  <c r="Z20" i="44"/>
  <c r="Y20" i="44"/>
  <c r="X20" i="44"/>
  <c r="W20" i="44"/>
  <c r="V20" i="44"/>
  <c r="U20" i="44"/>
  <c r="T20" i="44"/>
  <c r="S20" i="44"/>
  <c r="R20" i="44"/>
  <c r="Q20" i="44"/>
  <c r="E20" i="44"/>
  <c r="D20" i="44"/>
  <c r="C20" i="44"/>
  <c r="B20" i="44"/>
  <c r="AA19" i="44"/>
  <c r="Z19" i="44"/>
  <c r="Y19" i="44"/>
  <c r="X19" i="44"/>
  <c r="W19" i="44"/>
  <c r="V19" i="44"/>
  <c r="U19" i="44"/>
  <c r="T19" i="44"/>
  <c r="S19" i="44"/>
  <c r="R19" i="44"/>
  <c r="Q19" i="44"/>
  <c r="E19" i="44"/>
  <c r="D19" i="44"/>
  <c r="C19" i="44"/>
  <c r="B19" i="44"/>
  <c r="AA18" i="44"/>
  <c r="Z18" i="44"/>
  <c r="Y18" i="44"/>
  <c r="X18" i="44"/>
  <c r="W18" i="44"/>
  <c r="V18" i="44"/>
  <c r="U18" i="44"/>
  <c r="T18" i="44"/>
  <c r="S18" i="44"/>
  <c r="R18" i="44"/>
  <c r="Q18" i="44"/>
  <c r="E18" i="44"/>
  <c r="D18" i="44"/>
  <c r="C18" i="44"/>
  <c r="B18" i="44"/>
  <c r="AA17" i="44"/>
  <c r="Z17" i="44"/>
  <c r="Y17" i="44"/>
  <c r="X17" i="44"/>
  <c r="W17" i="44"/>
  <c r="V17" i="44"/>
  <c r="U17" i="44"/>
  <c r="T17" i="44"/>
  <c r="S17" i="44"/>
  <c r="R17" i="44"/>
  <c r="Q17" i="44"/>
  <c r="E17" i="44"/>
  <c r="D17" i="44"/>
  <c r="C17" i="44"/>
  <c r="B17" i="44"/>
  <c r="AA40" i="44"/>
  <c r="Z40" i="44"/>
  <c r="Y40" i="44"/>
  <c r="X40" i="44"/>
  <c r="W40" i="44"/>
  <c r="V40" i="44"/>
  <c r="U40" i="44"/>
  <c r="T40" i="44"/>
  <c r="S40" i="44"/>
  <c r="R40" i="44"/>
  <c r="Q40" i="44"/>
  <c r="E40" i="44"/>
  <c r="D40" i="44"/>
  <c r="C40" i="44"/>
  <c r="B40" i="44"/>
  <c r="AA39" i="44"/>
  <c r="Z39" i="44"/>
  <c r="Y39" i="44"/>
  <c r="X39" i="44"/>
  <c r="W39" i="44"/>
  <c r="V39" i="44"/>
  <c r="U39" i="44"/>
  <c r="T39" i="44"/>
  <c r="S39" i="44"/>
  <c r="R39" i="44"/>
  <c r="Q39" i="44"/>
  <c r="E39" i="44"/>
  <c r="D39" i="44"/>
  <c r="C39" i="44"/>
  <c r="B39" i="44"/>
  <c r="AA38" i="44"/>
  <c r="Z38" i="44"/>
  <c r="Y38" i="44"/>
  <c r="X38" i="44"/>
  <c r="W38" i="44"/>
  <c r="V38" i="44"/>
  <c r="U38" i="44"/>
  <c r="T38" i="44"/>
  <c r="S38" i="44"/>
  <c r="R38" i="44"/>
  <c r="Q38" i="44"/>
  <c r="E38" i="44"/>
  <c r="D38" i="44"/>
  <c r="C38" i="44"/>
  <c r="B38" i="44"/>
  <c r="AA37" i="44"/>
  <c r="Z37" i="44"/>
  <c r="Y37" i="44"/>
  <c r="X37" i="44"/>
  <c r="W37" i="44"/>
  <c r="V37" i="44"/>
  <c r="U37" i="44"/>
  <c r="T37" i="44"/>
  <c r="S37" i="44"/>
  <c r="R37" i="44"/>
  <c r="Q37" i="44"/>
  <c r="E37" i="44"/>
  <c r="D37" i="44"/>
  <c r="C37" i="44"/>
  <c r="B37" i="44"/>
  <c r="AA36" i="44"/>
  <c r="Z36" i="44"/>
  <c r="Y36" i="44"/>
  <c r="X36" i="44"/>
  <c r="W36" i="44"/>
  <c r="V36" i="44"/>
  <c r="U36" i="44"/>
  <c r="T36" i="44"/>
  <c r="S36" i="44"/>
  <c r="R36" i="44"/>
  <c r="Q36" i="44"/>
  <c r="E36" i="44"/>
  <c r="D36" i="44"/>
  <c r="C36" i="44"/>
  <c r="B36" i="44"/>
  <c r="AA35" i="44"/>
  <c r="Z35" i="44"/>
  <c r="Y35" i="44"/>
  <c r="X35" i="44"/>
  <c r="W35" i="44"/>
  <c r="V35" i="44"/>
  <c r="U35" i="44"/>
  <c r="T35" i="44"/>
  <c r="S35" i="44"/>
  <c r="R35" i="44"/>
  <c r="Q35" i="44"/>
  <c r="E35" i="44"/>
  <c r="D35" i="44"/>
  <c r="C35" i="44"/>
  <c r="B35" i="44"/>
  <c r="AA34" i="44"/>
  <c r="Z34" i="44"/>
  <c r="Y34" i="44"/>
  <c r="X34" i="44"/>
  <c r="W34" i="44"/>
  <c r="V34" i="44"/>
  <c r="U34" i="44"/>
  <c r="T34" i="44"/>
  <c r="S34" i="44"/>
  <c r="R34" i="44"/>
  <c r="Q34" i="44"/>
  <c r="E34" i="44"/>
  <c r="D34" i="44"/>
  <c r="C34" i="44"/>
  <c r="B34" i="44"/>
  <c r="AA33" i="44"/>
  <c r="Z33" i="44"/>
  <c r="Y33" i="44"/>
  <c r="X33" i="44"/>
  <c r="W33" i="44"/>
  <c r="V33" i="44"/>
  <c r="U33" i="44"/>
  <c r="T33" i="44"/>
  <c r="S33" i="44"/>
  <c r="R33" i="44"/>
  <c r="Q33" i="44"/>
  <c r="E33" i="44"/>
  <c r="D33" i="44"/>
  <c r="C33" i="44"/>
  <c r="B33" i="44"/>
  <c r="AA44" i="44"/>
  <c r="Z44" i="44"/>
  <c r="Y44" i="44"/>
  <c r="X44" i="44"/>
  <c r="W44" i="44"/>
  <c r="V44" i="44"/>
  <c r="U44" i="44"/>
  <c r="T44" i="44"/>
  <c r="S44" i="44"/>
  <c r="R44" i="44"/>
  <c r="Q44" i="44"/>
  <c r="E44" i="44"/>
  <c r="D44" i="44"/>
  <c r="C44" i="44"/>
  <c r="B44" i="44"/>
  <c r="AA43" i="44"/>
  <c r="Z43" i="44"/>
  <c r="Y43" i="44"/>
  <c r="X43" i="44"/>
  <c r="W43" i="44"/>
  <c r="V43" i="44"/>
  <c r="U43" i="44"/>
  <c r="T43" i="44"/>
  <c r="S43" i="44"/>
  <c r="R43" i="44"/>
  <c r="Q43" i="44"/>
  <c r="E43" i="44"/>
  <c r="D43" i="44"/>
  <c r="C43" i="44"/>
  <c r="B43" i="44"/>
  <c r="AA42" i="44"/>
  <c r="Z42" i="44"/>
  <c r="Y42" i="44"/>
  <c r="X42" i="44"/>
  <c r="W42" i="44"/>
  <c r="V42" i="44"/>
  <c r="U42" i="44"/>
  <c r="T42" i="44"/>
  <c r="S42" i="44"/>
  <c r="R42" i="44"/>
  <c r="Q42" i="44"/>
  <c r="E42" i="44"/>
  <c r="D42" i="44"/>
  <c r="C42" i="44"/>
  <c r="B42" i="44"/>
  <c r="AA41" i="44"/>
  <c r="Z41" i="44"/>
  <c r="Y41" i="44"/>
  <c r="X41" i="44"/>
  <c r="W41" i="44"/>
  <c r="V41" i="44"/>
  <c r="U41" i="44"/>
  <c r="T41" i="44"/>
  <c r="S41" i="44"/>
  <c r="R41" i="44"/>
  <c r="Q41" i="44"/>
  <c r="E41" i="44"/>
  <c r="D41" i="44"/>
  <c r="C41" i="44"/>
  <c r="B41" i="44"/>
  <c r="AA46" i="44"/>
  <c r="Z46" i="44"/>
  <c r="Y46" i="44"/>
  <c r="X46" i="44"/>
  <c r="W46" i="44"/>
  <c r="V46" i="44"/>
  <c r="U46" i="44"/>
  <c r="T46" i="44"/>
  <c r="S46" i="44"/>
  <c r="R46" i="44"/>
  <c r="Q46" i="44"/>
  <c r="E46" i="44"/>
  <c r="D46" i="44"/>
  <c r="C46" i="44"/>
  <c r="B46" i="44"/>
  <c r="AA45" i="44"/>
  <c r="Z45" i="44"/>
  <c r="Y45" i="44"/>
  <c r="X45" i="44"/>
  <c r="W45" i="44"/>
  <c r="V45" i="44"/>
  <c r="U45" i="44"/>
  <c r="T45" i="44"/>
  <c r="S45" i="44"/>
  <c r="R45" i="44"/>
  <c r="Q45" i="44"/>
  <c r="E45" i="44"/>
  <c r="D45" i="44"/>
  <c r="C45" i="44"/>
  <c r="B45" i="44"/>
  <c r="AA47" i="44"/>
  <c r="Z47" i="44"/>
  <c r="Y47" i="44"/>
  <c r="X47" i="44"/>
  <c r="W47" i="44"/>
  <c r="V47" i="44"/>
  <c r="U47" i="44"/>
  <c r="T47" i="44"/>
  <c r="S47" i="44"/>
  <c r="R47" i="44"/>
  <c r="Q47" i="44"/>
  <c r="E47" i="44"/>
  <c r="D47" i="44"/>
  <c r="C47" i="44"/>
  <c r="B47" i="44"/>
  <c r="AA48" i="44"/>
  <c r="Z48" i="44"/>
  <c r="Y48" i="44"/>
  <c r="X48" i="44"/>
  <c r="W48" i="44"/>
  <c r="V48" i="44"/>
  <c r="U48" i="44"/>
  <c r="T48" i="44"/>
  <c r="S48" i="44"/>
  <c r="R48" i="44"/>
  <c r="Q48" i="44"/>
  <c r="E48" i="44"/>
  <c r="D48" i="44"/>
  <c r="C48" i="44"/>
  <c r="B48" i="44"/>
  <c r="AA12" i="44"/>
  <c r="Z12" i="44"/>
  <c r="Y12" i="44"/>
  <c r="X12" i="44"/>
  <c r="W12" i="44"/>
  <c r="V12" i="44"/>
  <c r="U12" i="44"/>
  <c r="T12" i="44"/>
  <c r="S12" i="44"/>
  <c r="R12" i="44"/>
  <c r="Q12" i="44"/>
  <c r="J101" i="12"/>
  <c r="J100" i="12"/>
  <c r="J99" i="12"/>
  <c r="G101" i="12"/>
  <c r="G100" i="12"/>
  <c r="G99" i="12"/>
  <c r="I7" i="12"/>
  <c r="H7" i="12"/>
  <c r="F7" i="12"/>
  <c r="E7" i="12"/>
  <c r="D7" i="12"/>
  <c r="C7" i="12"/>
  <c r="B7" i="12"/>
  <c r="A7" i="12"/>
  <c r="I6" i="12"/>
  <c r="H6" i="12"/>
  <c r="F6" i="12"/>
  <c r="E6" i="12"/>
  <c r="D6" i="12"/>
  <c r="C6" i="12"/>
  <c r="B6" i="12"/>
  <c r="A6" i="12"/>
  <c r="I5" i="12"/>
  <c r="H5" i="12"/>
  <c r="F5" i="12"/>
  <c r="E5" i="12"/>
  <c r="D5" i="12"/>
  <c r="C5" i="12"/>
  <c r="B5" i="12"/>
  <c r="A5" i="12"/>
  <c r="I4" i="12"/>
  <c r="H4" i="12"/>
  <c r="F4" i="12"/>
  <c r="E4" i="12"/>
  <c r="D4" i="12"/>
  <c r="C4" i="12"/>
  <c r="B4" i="12"/>
  <c r="A4" i="12"/>
  <c r="I23" i="12"/>
  <c r="H23" i="12"/>
  <c r="F23" i="12"/>
  <c r="E23" i="12"/>
  <c r="D23" i="12"/>
  <c r="C23" i="12"/>
  <c r="B23" i="12"/>
  <c r="A23" i="12"/>
  <c r="I22" i="12"/>
  <c r="H22" i="12"/>
  <c r="F22" i="12"/>
  <c r="E22" i="12"/>
  <c r="D22" i="12"/>
  <c r="C22" i="12"/>
  <c r="B22" i="12"/>
  <c r="A22" i="12"/>
  <c r="I21" i="12"/>
  <c r="H21" i="12"/>
  <c r="F21" i="12"/>
  <c r="E21" i="12"/>
  <c r="D21" i="12"/>
  <c r="C21" i="12"/>
  <c r="B21" i="12"/>
  <c r="A21" i="12"/>
  <c r="I20" i="12"/>
  <c r="H20" i="12"/>
  <c r="F20" i="12"/>
  <c r="E20" i="12"/>
  <c r="D20" i="12"/>
  <c r="C20" i="12"/>
  <c r="B20" i="12"/>
  <c r="A20" i="12"/>
  <c r="I19" i="12"/>
  <c r="H19" i="12"/>
  <c r="F19" i="12"/>
  <c r="E19" i="12"/>
  <c r="D19" i="12"/>
  <c r="C19" i="12"/>
  <c r="B19" i="12"/>
  <c r="A19" i="12"/>
  <c r="I18" i="12"/>
  <c r="H18" i="12"/>
  <c r="F18" i="12"/>
  <c r="E18" i="12"/>
  <c r="D18" i="12"/>
  <c r="C18" i="12"/>
  <c r="B18" i="12"/>
  <c r="A18" i="12"/>
  <c r="I17" i="12"/>
  <c r="H17" i="12"/>
  <c r="F17" i="12"/>
  <c r="E17" i="12"/>
  <c r="D17" i="12"/>
  <c r="C17" i="12"/>
  <c r="B17" i="12"/>
  <c r="A17" i="12"/>
  <c r="I16" i="12"/>
  <c r="H16" i="12"/>
  <c r="F16" i="12"/>
  <c r="E16" i="12"/>
  <c r="D16" i="12"/>
  <c r="C16" i="12"/>
  <c r="B16" i="12"/>
  <c r="A16" i="12"/>
  <c r="I15" i="12"/>
  <c r="H15" i="12"/>
  <c r="F15" i="12"/>
  <c r="E15" i="12"/>
  <c r="D15" i="12"/>
  <c r="C15" i="12"/>
  <c r="B15" i="12"/>
  <c r="A15" i="12"/>
  <c r="I14" i="12"/>
  <c r="H14" i="12"/>
  <c r="F14" i="12"/>
  <c r="E14" i="12"/>
  <c r="D14" i="12"/>
  <c r="C14" i="12"/>
  <c r="B14" i="12"/>
  <c r="A14" i="12"/>
  <c r="I13" i="12"/>
  <c r="H13" i="12"/>
  <c r="F13" i="12"/>
  <c r="E13" i="12"/>
  <c r="D13" i="12"/>
  <c r="C13" i="12"/>
  <c r="B13" i="12"/>
  <c r="A13" i="12"/>
  <c r="I12" i="12"/>
  <c r="H12" i="12"/>
  <c r="F12" i="12"/>
  <c r="E12" i="12"/>
  <c r="D12" i="12"/>
  <c r="C12" i="12"/>
  <c r="B12" i="12"/>
  <c r="A12" i="12"/>
  <c r="I11" i="12"/>
  <c r="H11" i="12"/>
  <c r="F11" i="12"/>
  <c r="E11" i="12"/>
  <c r="D11" i="12"/>
  <c r="C11" i="12"/>
  <c r="B11" i="12"/>
  <c r="A11" i="12"/>
  <c r="I10" i="12"/>
  <c r="H10" i="12"/>
  <c r="F10" i="12"/>
  <c r="E10" i="12"/>
  <c r="D10" i="12"/>
  <c r="C10" i="12"/>
  <c r="B10" i="12"/>
  <c r="A10" i="12"/>
  <c r="I9" i="12"/>
  <c r="H9" i="12"/>
  <c r="F9" i="12"/>
  <c r="E9" i="12"/>
  <c r="D9" i="12"/>
  <c r="C9" i="12"/>
  <c r="B9" i="12"/>
  <c r="A9" i="12"/>
  <c r="I8" i="12"/>
  <c r="H8" i="12"/>
  <c r="F8" i="12"/>
  <c r="E8" i="12"/>
  <c r="D8" i="12"/>
  <c r="C8" i="12"/>
  <c r="B8" i="12"/>
  <c r="A8" i="12"/>
  <c r="I31" i="12"/>
  <c r="H31" i="12"/>
  <c r="F31" i="12"/>
  <c r="E31" i="12"/>
  <c r="D31" i="12"/>
  <c r="C31" i="12"/>
  <c r="B31" i="12"/>
  <c r="A31" i="12"/>
  <c r="I30" i="12"/>
  <c r="H30" i="12"/>
  <c r="F30" i="12"/>
  <c r="E30" i="12"/>
  <c r="D30" i="12"/>
  <c r="C30" i="12"/>
  <c r="B30" i="12"/>
  <c r="A30" i="12"/>
  <c r="I29" i="12"/>
  <c r="H29" i="12"/>
  <c r="F29" i="12"/>
  <c r="E29" i="12"/>
  <c r="D29" i="12"/>
  <c r="C29" i="12"/>
  <c r="B29" i="12"/>
  <c r="A29" i="12"/>
  <c r="I28" i="12"/>
  <c r="H28" i="12"/>
  <c r="F28" i="12"/>
  <c r="E28" i="12"/>
  <c r="D28" i="12"/>
  <c r="C28" i="12"/>
  <c r="B28" i="12"/>
  <c r="A28" i="12"/>
  <c r="I27" i="12"/>
  <c r="H27" i="12"/>
  <c r="F27" i="12"/>
  <c r="E27" i="12"/>
  <c r="D27" i="12"/>
  <c r="C27" i="12"/>
  <c r="B27" i="12"/>
  <c r="A27" i="12"/>
  <c r="I26" i="12"/>
  <c r="H26" i="12"/>
  <c r="F26" i="12"/>
  <c r="E26" i="12"/>
  <c r="D26" i="12"/>
  <c r="C26" i="12"/>
  <c r="B26" i="12"/>
  <c r="A26" i="12"/>
  <c r="I25" i="12"/>
  <c r="H25" i="12"/>
  <c r="F25" i="12"/>
  <c r="E25" i="12"/>
  <c r="D25" i="12"/>
  <c r="C25" i="12"/>
  <c r="B25" i="12"/>
  <c r="A25" i="12"/>
  <c r="I24" i="12"/>
  <c r="H24" i="12"/>
  <c r="F24" i="12"/>
  <c r="E24" i="12"/>
  <c r="D24" i="12"/>
  <c r="C24" i="12"/>
  <c r="B24" i="12"/>
  <c r="A24" i="12"/>
  <c r="I35" i="12"/>
  <c r="H35" i="12"/>
  <c r="F35" i="12"/>
  <c r="E35" i="12"/>
  <c r="D35" i="12"/>
  <c r="C35" i="12"/>
  <c r="B35" i="12"/>
  <c r="A35" i="12"/>
  <c r="I34" i="12"/>
  <c r="H34" i="12"/>
  <c r="F34" i="12"/>
  <c r="E34" i="12"/>
  <c r="D34" i="12"/>
  <c r="C34" i="12"/>
  <c r="B34" i="12"/>
  <c r="A34" i="12"/>
  <c r="I33" i="12"/>
  <c r="H33" i="12"/>
  <c r="F33" i="12"/>
  <c r="E33" i="12"/>
  <c r="D33" i="12"/>
  <c r="C33" i="12"/>
  <c r="B33" i="12"/>
  <c r="A33" i="12"/>
  <c r="I32" i="12"/>
  <c r="H32" i="12"/>
  <c r="F32" i="12"/>
  <c r="E32" i="12"/>
  <c r="D32" i="12"/>
  <c r="C32" i="12"/>
  <c r="B32" i="12"/>
  <c r="A32" i="12"/>
  <c r="I37" i="12"/>
  <c r="H37" i="12"/>
  <c r="F37" i="12"/>
  <c r="E37" i="12"/>
  <c r="D37" i="12"/>
  <c r="C37" i="12"/>
  <c r="B37" i="12"/>
  <c r="A37" i="12"/>
  <c r="I36" i="12"/>
  <c r="H36" i="12"/>
  <c r="F36" i="12"/>
  <c r="E36" i="12"/>
  <c r="D36" i="12"/>
  <c r="C36" i="12"/>
  <c r="B36" i="12"/>
  <c r="A36" i="12"/>
  <c r="I38" i="12"/>
  <c r="H38" i="12"/>
  <c r="F38" i="12"/>
  <c r="E38" i="12"/>
  <c r="D38" i="12"/>
  <c r="C38" i="12"/>
  <c r="B38" i="12"/>
  <c r="A38" i="12"/>
  <c r="I39" i="12"/>
  <c r="H39" i="12"/>
  <c r="F39" i="12"/>
  <c r="E39" i="12"/>
  <c r="D39" i="12"/>
  <c r="C39" i="12"/>
  <c r="B39" i="12"/>
  <c r="A39" i="12"/>
  <c r="AA16" i="48"/>
  <c r="Z16" i="48"/>
  <c r="Y16" i="48"/>
  <c r="X16" i="48"/>
  <c r="W16" i="48"/>
  <c r="V16" i="48"/>
  <c r="U16" i="48"/>
  <c r="T16" i="48"/>
  <c r="S16" i="48"/>
  <c r="R16" i="48"/>
  <c r="Q16" i="48"/>
  <c r="E16" i="48"/>
  <c r="D16" i="48"/>
  <c r="C16" i="48"/>
  <c r="B16" i="48"/>
  <c r="AA15" i="48"/>
  <c r="Z15" i="48"/>
  <c r="Y15" i="48"/>
  <c r="X15" i="48"/>
  <c r="W15" i="48"/>
  <c r="V15" i="48"/>
  <c r="U15" i="48"/>
  <c r="T15" i="48"/>
  <c r="S15" i="48"/>
  <c r="R15" i="48"/>
  <c r="Q15" i="48"/>
  <c r="E15" i="48"/>
  <c r="D15" i="48"/>
  <c r="C15" i="48"/>
  <c r="B15" i="48"/>
  <c r="AA14" i="48"/>
  <c r="Z14" i="48"/>
  <c r="Y14" i="48"/>
  <c r="X14" i="48"/>
  <c r="W14" i="48"/>
  <c r="V14" i="48"/>
  <c r="U14" i="48"/>
  <c r="T14" i="48"/>
  <c r="S14" i="48"/>
  <c r="R14" i="48"/>
  <c r="Q14" i="48"/>
  <c r="E14" i="48"/>
  <c r="D14" i="48"/>
  <c r="C14" i="48"/>
  <c r="B14" i="48"/>
  <c r="AA13" i="48"/>
  <c r="Z13" i="48"/>
  <c r="Y13" i="48"/>
  <c r="X13" i="48"/>
  <c r="W13" i="48"/>
  <c r="V13" i="48"/>
  <c r="U13" i="48"/>
  <c r="T13" i="48"/>
  <c r="S13" i="48"/>
  <c r="R13" i="48"/>
  <c r="Q13" i="48"/>
  <c r="E13" i="48"/>
  <c r="D13" i="48"/>
  <c r="C13" i="48"/>
  <c r="B13" i="48"/>
  <c r="AA32" i="48"/>
  <c r="Z32" i="48"/>
  <c r="Y32" i="48"/>
  <c r="X32" i="48"/>
  <c r="W32" i="48"/>
  <c r="V32" i="48"/>
  <c r="U32" i="48"/>
  <c r="T32" i="48"/>
  <c r="S32" i="48"/>
  <c r="R32" i="48"/>
  <c r="Q32" i="48"/>
  <c r="E32" i="48"/>
  <c r="D32" i="48"/>
  <c r="C32" i="48"/>
  <c r="B32" i="48"/>
  <c r="AA31" i="48"/>
  <c r="Z31" i="48"/>
  <c r="Y31" i="48"/>
  <c r="X31" i="48"/>
  <c r="W31" i="48"/>
  <c r="V31" i="48"/>
  <c r="U31" i="48"/>
  <c r="T31" i="48"/>
  <c r="S31" i="48"/>
  <c r="R31" i="48"/>
  <c r="Q31" i="48"/>
  <c r="E31" i="48"/>
  <c r="D31" i="48"/>
  <c r="C31" i="48"/>
  <c r="B31" i="48"/>
  <c r="AA30" i="48"/>
  <c r="Z30" i="48"/>
  <c r="Y30" i="48"/>
  <c r="X30" i="48"/>
  <c r="W30" i="48"/>
  <c r="V30" i="48"/>
  <c r="U30" i="48"/>
  <c r="T30" i="48"/>
  <c r="S30" i="48"/>
  <c r="R30" i="48"/>
  <c r="Q30" i="48"/>
  <c r="E30" i="48"/>
  <c r="D30" i="48"/>
  <c r="C30" i="48"/>
  <c r="B30" i="48"/>
  <c r="AA29" i="48"/>
  <c r="Z29" i="48"/>
  <c r="Y29" i="48"/>
  <c r="X29" i="48"/>
  <c r="W29" i="48"/>
  <c r="V29" i="48"/>
  <c r="U29" i="48"/>
  <c r="T29" i="48"/>
  <c r="S29" i="48"/>
  <c r="R29" i="48"/>
  <c r="Q29" i="48"/>
  <c r="E29" i="48"/>
  <c r="D29" i="48"/>
  <c r="C29" i="48"/>
  <c r="B29" i="48"/>
  <c r="AA28" i="48"/>
  <c r="Z28" i="48"/>
  <c r="Y28" i="48"/>
  <c r="X28" i="48"/>
  <c r="W28" i="48"/>
  <c r="V28" i="48"/>
  <c r="U28" i="48"/>
  <c r="T28" i="48"/>
  <c r="S28" i="48"/>
  <c r="R28" i="48"/>
  <c r="Q28" i="48"/>
  <c r="E28" i="48"/>
  <c r="D28" i="48"/>
  <c r="C28" i="48"/>
  <c r="B28" i="48"/>
  <c r="AA27" i="48"/>
  <c r="Z27" i="48"/>
  <c r="Y27" i="48"/>
  <c r="X27" i="48"/>
  <c r="W27" i="48"/>
  <c r="V27" i="48"/>
  <c r="U27" i="48"/>
  <c r="T27" i="48"/>
  <c r="S27" i="48"/>
  <c r="R27" i="48"/>
  <c r="Q27" i="48"/>
  <c r="E27" i="48"/>
  <c r="D27" i="48"/>
  <c r="C27" i="48"/>
  <c r="B27" i="48"/>
  <c r="AA26" i="48"/>
  <c r="Z26" i="48"/>
  <c r="Y26" i="48"/>
  <c r="X26" i="48"/>
  <c r="W26" i="48"/>
  <c r="V26" i="48"/>
  <c r="U26" i="48"/>
  <c r="T26" i="48"/>
  <c r="S26" i="48"/>
  <c r="R26" i="48"/>
  <c r="Q26" i="48"/>
  <c r="E26" i="48"/>
  <c r="D26" i="48"/>
  <c r="C26" i="48"/>
  <c r="B26" i="48"/>
  <c r="AA25" i="48"/>
  <c r="Z25" i="48"/>
  <c r="Y25" i="48"/>
  <c r="X25" i="48"/>
  <c r="W25" i="48"/>
  <c r="V25" i="48"/>
  <c r="U25" i="48"/>
  <c r="T25" i="48"/>
  <c r="S25" i="48"/>
  <c r="R25" i="48"/>
  <c r="Q25" i="48"/>
  <c r="E25" i="48"/>
  <c r="D25" i="48"/>
  <c r="C25" i="48"/>
  <c r="B25" i="48"/>
  <c r="AA24" i="48"/>
  <c r="Z24" i="48"/>
  <c r="Y24" i="48"/>
  <c r="X24" i="48"/>
  <c r="W24" i="48"/>
  <c r="V24" i="48"/>
  <c r="U24" i="48"/>
  <c r="T24" i="48"/>
  <c r="S24" i="48"/>
  <c r="R24" i="48"/>
  <c r="Q24" i="48"/>
  <c r="E24" i="48"/>
  <c r="D24" i="48"/>
  <c r="C24" i="48"/>
  <c r="B24" i="48"/>
  <c r="AA23" i="48"/>
  <c r="Z23" i="48"/>
  <c r="Y23" i="48"/>
  <c r="X23" i="48"/>
  <c r="W23" i="48"/>
  <c r="V23" i="48"/>
  <c r="U23" i="48"/>
  <c r="T23" i="48"/>
  <c r="S23" i="48"/>
  <c r="R23" i="48"/>
  <c r="Q23" i="48"/>
  <c r="E23" i="48"/>
  <c r="D23" i="48"/>
  <c r="C23" i="48"/>
  <c r="B23" i="48"/>
  <c r="AA22" i="48"/>
  <c r="Z22" i="48"/>
  <c r="Y22" i="48"/>
  <c r="X22" i="48"/>
  <c r="W22" i="48"/>
  <c r="V22" i="48"/>
  <c r="U22" i="48"/>
  <c r="T22" i="48"/>
  <c r="S22" i="48"/>
  <c r="R22" i="48"/>
  <c r="Q22" i="48"/>
  <c r="E22" i="48"/>
  <c r="D22" i="48"/>
  <c r="C22" i="48"/>
  <c r="B22" i="48"/>
  <c r="AA21" i="48"/>
  <c r="Z21" i="48"/>
  <c r="Y21" i="48"/>
  <c r="X21" i="48"/>
  <c r="W21" i="48"/>
  <c r="V21" i="48"/>
  <c r="U21" i="48"/>
  <c r="T21" i="48"/>
  <c r="S21" i="48"/>
  <c r="R21" i="48"/>
  <c r="Q21" i="48"/>
  <c r="E21" i="48"/>
  <c r="D21" i="48"/>
  <c r="C21" i="48"/>
  <c r="B21" i="48"/>
  <c r="AA20" i="48"/>
  <c r="Z20" i="48"/>
  <c r="Y20" i="48"/>
  <c r="X20" i="48"/>
  <c r="W20" i="48"/>
  <c r="V20" i="48"/>
  <c r="U20" i="48"/>
  <c r="T20" i="48"/>
  <c r="S20" i="48"/>
  <c r="R20" i="48"/>
  <c r="Q20" i="48"/>
  <c r="E20" i="48"/>
  <c r="D20" i="48"/>
  <c r="C20" i="48"/>
  <c r="B20" i="48"/>
  <c r="AA19" i="48"/>
  <c r="Z19" i="48"/>
  <c r="Y19" i="48"/>
  <c r="X19" i="48"/>
  <c r="W19" i="48"/>
  <c r="V19" i="48"/>
  <c r="U19" i="48"/>
  <c r="T19" i="48"/>
  <c r="S19" i="48"/>
  <c r="R19" i="48"/>
  <c r="Q19" i="48"/>
  <c r="E19" i="48"/>
  <c r="D19" i="48"/>
  <c r="C19" i="48"/>
  <c r="B19" i="48"/>
  <c r="AA18" i="48"/>
  <c r="Z18" i="48"/>
  <c r="Y18" i="48"/>
  <c r="X18" i="48"/>
  <c r="W18" i="48"/>
  <c r="V18" i="48"/>
  <c r="U18" i="48"/>
  <c r="T18" i="48"/>
  <c r="S18" i="48"/>
  <c r="R18" i="48"/>
  <c r="Q18" i="48"/>
  <c r="E18" i="48"/>
  <c r="D18" i="48"/>
  <c r="C18" i="48"/>
  <c r="B18" i="48"/>
  <c r="AA17" i="48"/>
  <c r="Z17" i="48"/>
  <c r="Y17" i="48"/>
  <c r="X17" i="48"/>
  <c r="W17" i="48"/>
  <c r="V17" i="48"/>
  <c r="U17" i="48"/>
  <c r="T17" i="48"/>
  <c r="S17" i="48"/>
  <c r="R17" i="48"/>
  <c r="Q17" i="48"/>
  <c r="E17" i="48"/>
  <c r="D17" i="48"/>
  <c r="C17" i="48"/>
  <c r="B17" i="48"/>
  <c r="AA40" i="48"/>
  <c r="Z40" i="48"/>
  <c r="Y40" i="48"/>
  <c r="X40" i="48"/>
  <c r="W40" i="48"/>
  <c r="V40" i="48"/>
  <c r="U40" i="48"/>
  <c r="T40" i="48"/>
  <c r="S40" i="48"/>
  <c r="R40" i="48"/>
  <c r="Q40" i="48"/>
  <c r="E40" i="48"/>
  <c r="D40" i="48"/>
  <c r="C40" i="48"/>
  <c r="B40" i="48"/>
  <c r="AA39" i="48"/>
  <c r="Z39" i="48"/>
  <c r="Y39" i="48"/>
  <c r="X39" i="48"/>
  <c r="W39" i="48"/>
  <c r="V39" i="48"/>
  <c r="U39" i="48"/>
  <c r="T39" i="48"/>
  <c r="S39" i="48"/>
  <c r="R39" i="48"/>
  <c r="Q39" i="48"/>
  <c r="E39" i="48"/>
  <c r="D39" i="48"/>
  <c r="C39" i="48"/>
  <c r="B39" i="48"/>
  <c r="AA38" i="48"/>
  <c r="Z38" i="48"/>
  <c r="Y38" i="48"/>
  <c r="X38" i="48"/>
  <c r="W38" i="48"/>
  <c r="V38" i="48"/>
  <c r="U38" i="48"/>
  <c r="T38" i="48"/>
  <c r="S38" i="48"/>
  <c r="R38" i="48"/>
  <c r="Q38" i="48"/>
  <c r="E38" i="48"/>
  <c r="D38" i="48"/>
  <c r="C38" i="48"/>
  <c r="B38" i="48"/>
  <c r="AA37" i="48"/>
  <c r="Z37" i="48"/>
  <c r="Y37" i="48"/>
  <c r="X37" i="48"/>
  <c r="W37" i="48"/>
  <c r="V37" i="48"/>
  <c r="U37" i="48"/>
  <c r="T37" i="48"/>
  <c r="S37" i="48"/>
  <c r="R37" i="48"/>
  <c r="Q37" i="48"/>
  <c r="E37" i="48"/>
  <c r="D37" i="48"/>
  <c r="C37" i="48"/>
  <c r="B37" i="48"/>
  <c r="AA36" i="48"/>
  <c r="Z36" i="48"/>
  <c r="Y36" i="48"/>
  <c r="X36" i="48"/>
  <c r="W36" i="48"/>
  <c r="V36" i="48"/>
  <c r="U36" i="48"/>
  <c r="T36" i="48"/>
  <c r="S36" i="48"/>
  <c r="R36" i="48"/>
  <c r="Q36" i="48"/>
  <c r="E36" i="48"/>
  <c r="D36" i="48"/>
  <c r="C36" i="48"/>
  <c r="B36" i="48"/>
  <c r="AA35" i="48"/>
  <c r="Z35" i="48"/>
  <c r="Y35" i="48"/>
  <c r="X35" i="48"/>
  <c r="W35" i="48"/>
  <c r="V35" i="48"/>
  <c r="U35" i="48"/>
  <c r="T35" i="48"/>
  <c r="S35" i="48"/>
  <c r="R35" i="48"/>
  <c r="Q35" i="48"/>
  <c r="E35" i="48"/>
  <c r="D35" i="48"/>
  <c r="C35" i="48"/>
  <c r="B35" i="48"/>
  <c r="AA34" i="48"/>
  <c r="Z34" i="48"/>
  <c r="Y34" i="48"/>
  <c r="X34" i="48"/>
  <c r="W34" i="48"/>
  <c r="V34" i="48"/>
  <c r="U34" i="48"/>
  <c r="T34" i="48"/>
  <c r="S34" i="48"/>
  <c r="R34" i="48"/>
  <c r="Q34" i="48"/>
  <c r="E34" i="48"/>
  <c r="D34" i="48"/>
  <c r="C34" i="48"/>
  <c r="B34" i="48"/>
  <c r="AA33" i="48"/>
  <c r="Z33" i="48"/>
  <c r="Y33" i="48"/>
  <c r="X33" i="48"/>
  <c r="W33" i="48"/>
  <c r="V33" i="48"/>
  <c r="U33" i="48"/>
  <c r="T33" i="48"/>
  <c r="S33" i="48"/>
  <c r="R33" i="48"/>
  <c r="Q33" i="48"/>
  <c r="E33" i="48"/>
  <c r="D33" i="48"/>
  <c r="C33" i="48"/>
  <c r="B33" i="48"/>
  <c r="AA44" i="48"/>
  <c r="Z44" i="48"/>
  <c r="Y44" i="48"/>
  <c r="X44" i="48"/>
  <c r="W44" i="48"/>
  <c r="V44" i="48"/>
  <c r="U44" i="48"/>
  <c r="T44" i="48"/>
  <c r="S44" i="48"/>
  <c r="R44" i="48"/>
  <c r="Q44" i="48"/>
  <c r="E44" i="48"/>
  <c r="D44" i="48"/>
  <c r="C44" i="48"/>
  <c r="B44" i="48"/>
  <c r="AA43" i="48"/>
  <c r="Z43" i="48"/>
  <c r="Y43" i="48"/>
  <c r="X43" i="48"/>
  <c r="W43" i="48"/>
  <c r="V43" i="48"/>
  <c r="U43" i="48"/>
  <c r="T43" i="48"/>
  <c r="S43" i="48"/>
  <c r="R43" i="48"/>
  <c r="Q43" i="48"/>
  <c r="E43" i="48"/>
  <c r="D43" i="48"/>
  <c r="C43" i="48"/>
  <c r="B43" i="48"/>
  <c r="AA42" i="48"/>
  <c r="Z42" i="48"/>
  <c r="Y42" i="48"/>
  <c r="X42" i="48"/>
  <c r="W42" i="48"/>
  <c r="V42" i="48"/>
  <c r="U42" i="48"/>
  <c r="T42" i="48"/>
  <c r="S42" i="48"/>
  <c r="R42" i="48"/>
  <c r="Q42" i="48"/>
  <c r="E42" i="48"/>
  <c r="D42" i="48"/>
  <c r="C42" i="48"/>
  <c r="B42" i="48"/>
  <c r="AA41" i="48"/>
  <c r="Z41" i="48"/>
  <c r="Y41" i="48"/>
  <c r="X41" i="48"/>
  <c r="W41" i="48"/>
  <c r="V41" i="48"/>
  <c r="U41" i="48"/>
  <c r="T41" i="48"/>
  <c r="S41" i="48"/>
  <c r="R41" i="48"/>
  <c r="Q41" i="48"/>
  <c r="E41" i="48"/>
  <c r="D41" i="48"/>
  <c r="C41" i="48"/>
  <c r="B41" i="48"/>
  <c r="AA46" i="48"/>
  <c r="Z46" i="48"/>
  <c r="Y46" i="48"/>
  <c r="X46" i="48"/>
  <c r="W46" i="48"/>
  <c r="V46" i="48"/>
  <c r="U46" i="48"/>
  <c r="T46" i="48"/>
  <c r="S46" i="48"/>
  <c r="R46" i="48"/>
  <c r="Q46" i="48"/>
  <c r="E46" i="48"/>
  <c r="D46" i="48"/>
  <c r="C46" i="48"/>
  <c r="B46" i="48"/>
  <c r="AA45" i="48"/>
  <c r="Z45" i="48"/>
  <c r="Y45" i="48"/>
  <c r="X45" i="48"/>
  <c r="W45" i="48"/>
  <c r="V45" i="48"/>
  <c r="U45" i="48"/>
  <c r="T45" i="48"/>
  <c r="S45" i="48"/>
  <c r="R45" i="48"/>
  <c r="Q45" i="48"/>
  <c r="E45" i="48"/>
  <c r="D45" i="48"/>
  <c r="C45" i="48"/>
  <c r="B45" i="48"/>
  <c r="AA47" i="48"/>
  <c r="Z47" i="48"/>
  <c r="Y47" i="48"/>
  <c r="X47" i="48"/>
  <c r="W47" i="48"/>
  <c r="V47" i="48"/>
  <c r="U47" i="48"/>
  <c r="T47" i="48"/>
  <c r="S47" i="48"/>
  <c r="R47" i="48"/>
  <c r="Q47" i="48"/>
  <c r="E47" i="48"/>
  <c r="D47" i="48"/>
  <c r="C47" i="48"/>
  <c r="B47" i="48"/>
  <c r="AA48" i="48"/>
  <c r="Z48" i="48"/>
  <c r="Y48" i="48"/>
  <c r="X48" i="48"/>
  <c r="W48" i="48"/>
  <c r="V48" i="48"/>
  <c r="U48" i="48"/>
  <c r="T48" i="48"/>
  <c r="S48" i="48"/>
  <c r="R48" i="48"/>
  <c r="Q48" i="48"/>
  <c r="E48" i="48"/>
  <c r="D48" i="48"/>
  <c r="C48" i="48"/>
  <c r="B48" i="48"/>
  <c r="AA12" i="48"/>
  <c r="Z12" i="48"/>
  <c r="Y12" i="48"/>
  <c r="X12" i="48"/>
  <c r="W12" i="48"/>
  <c r="V12" i="48"/>
  <c r="U12" i="48"/>
  <c r="T12" i="48"/>
  <c r="S12" i="48"/>
  <c r="R12" i="48"/>
  <c r="Q12" i="48"/>
  <c r="AA16" i="47"/>
  <c r="Z16" i="47"/>
  <c r="Y16" i="47"/>
  <c r="X16" i="47"/>
  <c r="W16" i="47"/>
  <c r="V16" i="47"/>
  <c r="U16" i="47"/>
  <c r="T16" i="47"/>
  <c r="S16" i="47"/>
  <c r="R16" i="47"/>
  <c r="Q16" i="47"/>
  <c r="E16" i="47"/>
  <c r="D16" i="47"/>
  <c r="C16" i="47"/>
  <c r="B16" i="47"/>
  <c r="AA15" i="47"/>
  <c r="Z15" i="47"/>
  <c r="Y15" i="47"/>
  <c r="X15" i="47"/>
  <c r="W15" i="47"/>
  <c r="V15" i="47"/>
  <c r="U15" i="47"/>
  <c r="T15" i="47"/>
  <c r="S15" i="47"/>
  <c r="R15" i="47"/>
  <c r="Q15" i="47"/>
  <c r="E15" i="47"/>
  <c r="D15" i="47"/>
  <c r="C15" i="47"/>
  <c r="B15" i="47"/>
  <c r="AA14" i="47"/>
  <c r="Z14" i="47"/>
  <c r="Y14" i="47"/>
  <c r="X14" i="47"/>
  <c r="W14" i="47"/>
  <c r="V14" i="47"/>
  <c r="U14" i="47"/>
  <c r="T14" i="47"/>
  <c r="S14" i="47"/>
  <c r="R14" i="47"/>
  <c r="Q14" i="47"/>
  <c r="E14" i="47"/>
  <c r="D14" i="47"/>
  <c r="C14" i="47"/>
  <c r="B14" i="47"/>
  <c r="AA13" i="47"/>
  <c r="Z13" i="47"/>
  <c r="Y13" i="47"/>
  <c r="X13" i="47"/>
  <c r="W13" i="47"/>
  <c r="V13" i="47"/>
  <c r="U13" i="47"/>
  <c r="T13" i="47"/>
  <c r="S13" i="47"/>
  <c r="R13" i="47"/>
  <c r="Q13" i="47"/>
  <c r="E13" i="47"/>
  <c r="D13" i="47"/>
  <c r="C13" i="47"/>
  <c r="B13" i="47"/>
  <c r="AA32" i="47"/>
  <c r="Z32" i="47"/>
  <c r="Y32" i="47"/>
  <c r="X32" i="47"/>
  <c r="W32" i="47"/>
  <c r="V32" i="47"/>
  <c r="U32" i="47"/>
  <c r="T32" i="47"/>
  <c r="S32" i="47"/>
  <c r="R32" i="47"/>
  <c r="Q32" i="47"/>
  <c r="E32" i="47"/>
  <c r="D32" i="47"/>
  <c r="C32" i="47"/>
  <c r="B32" i="47"/>
  <c r="AA31" i="47"/>
  <c r="Z31" i="47"/>
  <c r="Y31" i="47"/>
  <c r="X31" i="47"/>
  <c r="W31" i="47"/>
  <c r="V31" i="47"/>
  <c r="U31" i="47"/>
  <c r="T31" i="47"/>
  <c r="S31" i="47"/>
  <c r="R31" i="47"/>
  <c r="Q31" i="47"/>
  <c r="E31" i="47"/>
  <c r="D31" i="47"/>
  <c r="C31" i="47"/>
  <c r="B31" i="47"/>
  <c r="AA30" i="47"/>
  <c r="Z30" i="47"/>
  <c r="Y30" i="47"/>
  <c r="X30" i="47"/>
  <c r="W30" i="47"/>
  <c r="V30" i="47"/>
  <c r="U30" i="47"/>
  <c r="T30" i="47"/>
  <c r="S30" i="47"/>
  <c r="R30" i="47"/>
  <c r="Q30" i="47"/>
  <c r="E30" i="47"/>
  <c r="D30" i="47"/>
  <c r="C30" i="47"/>
  <c r="B30" i="47"/>
  <c r="AA29" i="47"/>
  <c r="Z29" i="47"/>
  <c r="Y29" i="47"/>
  <c r="X29" i="47"/>
  <c r="W29" i="47"/>
  <c r="V29" i="47"/>
  <c r="U29" i="47"/>
  <c r="T29" i="47"/>
  <c r="S29" i="47"/>
  <c r="R29" i="47"/>
  <c r="Q29" i="47"/>
  <c r="E29" i="47"/>
  <c r="D29" i="47"/>
  <c r="C29" i="47"/>
  <c r="B29" i="47"/>
  <c r="AA28" i="47"/>
  <c r="Z28" i="47"/>
  <c r="Y28" i="47"/>
  <c r="X28" i="47"/>
  <c r="W28" i="47"/>
  <c r="V28" i="47"/>
  <c r="U28" i="47"/>
  <c r="T28" i="47"/>
  <c r="S28" i="47"/>
  <c r="R28" i="47"/>
  <c r="Q28" i="47"/>
  <c r="E28" i="47"/>
  <c r="D28" i="47"/>
  <c r="C28" i="47"/>
  <c r="B28" i="47"/>
  <c r="AA27" i="47"/>
  <c r="Z27" i="47"/>
  <c r="Y27" i="47"/>
  <c r="X27" i="47"/>
  <c r="W27" i="47"/>
  <c r="V27" i="47"/>
  <c r="U27" i="47"/>
  <c r="T27" i="47"/>
  <c r="S27" i="47"/>
  <c r="R27" i="47"/>
  <c r="Q27" i="47"/>
  <c r="E27" i="47"/>
  <c r="D27" i="47"/>
  <c r="C27" i="47"/>
  <c r="B27" i="47"/>
  <c r="AA26" i="47"/>
  <c r="Z26" i="47"/>
  <c r="Y26" i="47"/>
  <c r="X26" i="47"/>
  <c r="W26" i="47"/>
  <c r="V26" i="47"/>
  <c r="U26" i="47"/>
  <c r="T26" i="47"/>
  <c r="S26" i="47"/>
  <c r="R26" i="47"/>
  <c r="Q26" i="47"/>
  <c r="E26" i="47"/>
  <c r="D26" i="47"/>
  <c r="C26" i="47"/>
  <c r="B26" i="47"/>
  <c r="AA25" i="47"/>
  <c r="Z25" i="47"/>
  <c r="Y25" i="47"/>
  <c r="X25" i="47"/>
  <c r="W25" i="47"/>
  <c r="V25" i="47"/>
  <c r="U25" i="47"/>
  <c r="T25" i="47"/>
  <c r="S25" i="47"/>
  <c r="R25" i="47"/>
  <c r="Q25" i="47"/>
  <c r="E25" i="47"/>
  <c r="D25" i="47"/>
  <c r="C25" i="47"/>
  <c r="B25" i="47"/>
  <c r="AA24" i="47"/>
  <c r="Z24" i="47"/>
  <c r="Y24" i="47"/>
  <c r="X24" i="47"/>
  <c r="W24" i="47"/>
  <c r="V24" i="47"/>
  <c r="U24" i="47"/>
  <c r="T24" i="47"/>
  <c r="S24" i="47"/>
  <c r="R24" i="47"/>
  <c r="Q24" i="47"/>
  <c r="E24" i="47"/>
  <c r="D24" i="47"/>
  <c r="C24" i="47"/>
  <c r="B24" i="47"/>
  <c r="AA23" i="47"/>
  <c r="Z23" i="47"/>
  <c r="Y23" i="47"/>
  <c r="X23" i="47"/>
  <c r="W23" i="47"/>
  <c r="V23" i="47"/>
  <c r="U23" i="47"/>
  <c r="T23" i="47"/>
  <c r="S23" i="47"/>
  <c r="R23" i="47"/>
  <c r="Q23" i="47"/>
  <c r="E23" i="47"/>
  <c r="D23" i="47"/>
  <c r="C23" i="47"/>
  <c r="B23" i="47"/>
  <c r="AA22" i="47"/>
  <c r="Z22" i="47"/>
  <c r="Y22" i="47"/>
  <c r="X22" i="47"/>
  <c r="W22" i="47"/>
  <c r="V22" i="47"/>
  <c r="U22" i="47"/>
  <c r="T22" i="47"/>
  <c r="S22" i="47"/>
  <c r="R22" i="47"/>
  <c r="Q22" i="47"/>
  <c r="E22" i="47"/>
  <c r="D22" i="47"/>
  <c r="C22" i="47"/>
  <c r="B22" i="47"/>
  <c r="AA21" i="47"/>
  <c r="Z21" i="47"/>
  <c r="Y21" i="47"/>
  <c r="X21" i="47"/>
  <c r="W21" i="47"/>
  <c r="V21" i="47"/>
  <c r="U21" i="47"/>
  <c r="T21" i="47"/>
  <c r="S21" i="47"/>
  <c r="R21" i="47"/>
  <c r="Q21" i="47"/>
  <c r="E21" i="47"/>
  <c r="D21" i="47"/>
  <c r="C21" i="47"/>
  <c r="B21" i="47"/>
  <c r="AA20" i="47"/>
  <c r="Z20" i="47"/>
  <c r="Y20" i="47"/>
  <c r="X20" i="47"/>
  <c r="W20" i="47"/>
  <c r="V20" i="47"/>
  <c r="U20" i="47"/>
  <c r="T20" i="47"/>
  <c r="S20" i="47"/>
  <c r="R20" i="47"/>
  <c r="Q20" i="47"/>
  <c r="E20" i="47"/>
  <c r="D20" i="47"/>
  <c r="C20" i="47"/>
  <c r="B20" i="47"/>
  <c r="AA19" i="47"/>
  <c r="Z19" i="47"/>
  <c r="Y19" i="47"/>
  <c r="X19" i="47"/>
  <c r="W19" i="47"/>
  <c r="V19" i="47"/>
  <c r="U19" i="47"/>
  <c r="T19" i="47"/>
  <c r="S19" i="47"/>
  <c r="R19" i="47"/>
  <c r="Q19" i="47"/>
  <c r="E19" i="47"/>
  <c r="D19" i="47"/>
  <c r="C19" i="47"/>
  <c r="B19" i="47"/>
  <c r="AA18" i="47"/>
  <c r="Z18" i="47"/>
  <c r="Y18" i="47"/>
  <c r="X18" i="47"/>
  <c r="W18" i="47"/>
  <c r="V18" i="47"/>
  <c r="U18" i="47"/>
  <c r="T18" i="47"/>
  <c r="S18" i="47"/>
  <c r="R18" i="47"/>
  <c r="Q18" i="47"/>
  <c r="E18" i="47"/>
  <c r="D18" i="47"/>
  <c r="C18" i="47"/>
  <c r="B18" i="47"/>
  <c r="AA17" i="47"/>
  <c r="Z17" i="47"/>
  <c r="Y17" i="47"/>
  <c r="X17" i="47"/>
  <c r="W17" i="47"/>
  <c r="V17" i="47"/>
  <c r="U17" i="47"/>
  <c r="T17" i="47"/>
  <c r="S17" i="47"/>
  <c r="R17" i="47"/>
  <c r="Q17" i="47"/>
  <c r="E17" i="47"/>
  <c r="D17" i="47"/>
  <c r="C17" i="47"/>
  <c r="B17" i="47"/>
  <c r="AA40" i="47"/>
  <c r="Z40" i="47"/>
  <c r="Y40" i="47"/>
  <c r="X40" i="47"/>
  <c r="W40" i="47"/>
  <c r="V40" i="47"/>
  <c r="U40" i="47"/>
  <c r="T40" i="47"/>
  <c r="S40" i="47"/>
  <c r="R40" i="47"/>
  <c r="Q40" i="47"/>
  <c r="E40" i="47"/>
  <c r="D40" i="47"/>
  <c r="C40" i="47"/>
  <c r="B40" i="47"/>
  <c r="AA39" i="47"/>
  <c r="Z39" i="47"/>
  <c r="Y39" i="47"/>
  <c r="X39" i="47"/>
  <c r="W39" i="47"/>
  <c r="V39" i="47"/>
  <c r="U39" i="47"/>
  <c r="T39" i="47"/>
  <c r="S39" i="47"/>
  <c r="R39" i="47"/>
  <c r="Q39" i="47"/>
  <c r="E39" i="47"/>
  <c r="D39" i="47"/>
  <c r="C39" i="47"/>
  <c r="B39" i="47"/>
  <c r="AA38" i="47"/>
  <c r="Z38" i="47"/>
  <c r="Y38" i="47"/>
  <c r="X38" i="47"/>
  <c r="W38" i="47"/>
  <c r="V38" i="47"/>
  <c r="U38" i="47"/>
  <c r="T38" i="47"/>
  <c r="S38" i="47"/>
  <c r="R38" i="47"/>
  <c r="Q38" i="47"/>
  <c r="E38" i="47"/>
  <c r="D38" i="47"/>
  <c r="C38" i="47"/>
  <c r="B38" i="47"/>
  <c r="AA37" i="47"/>
  <c r="Z37" i="47"/>
  <c r="Y37" i="47"/>
  <c r="X37" i="47"/>
  <c r="W37" i="47"/>
  <c r="V37" i="47"/>
  <c r="U37" i="47"/>
  <c r="T37" i="47"/>
  <c r="S37" i="47"/>
  <c r="R37" i="47"/>
  <c r="Q37" i="47"/>
  <c r="E37" i="47"/>
  <c r="D37" i="47"/>
  <c r="C37" i="47"/>
  <c r="B37" i="47"/>
  <c r="AA36" i="47"/>
  <c r="Z36" i="47"/>
  <c r="Y36" i="47"/>
  <c r="X36" i="47"/>
  <c r="W36" i="47"/>
  <c r="V36" i="47"/>
  <c r="U36" i="47"/>
  <c r="T36" i="47"/>
  <c r="S36" i="47"/>
  <c r="R36" i="47"/>
  <c r="Q36" i="47"/>
  <c r="E36" i="47"/>
  <c r="D36" i="47"/>
  <c r="C36" i="47"/>
  <c r="B36" i="47"/>
  <c r="AA35" i="47"/>
  <c r="Z35" i="47"/>
  <c r="Y35" i="47"/>
  <c r="X35" i="47"/>
  <c r="W35" i="47"/>
  <c r="V35" i="47"/>
  <c r="U35" i="47"/>
  <c r="T35" i="47"/>
  <c r="S35" i="47"/>
  <c r="R35" i="47"/>
  <c r="Q35" i="47"/>
  <c r="E35" i="47"/>
  <c r="D35" i="47"/>
  <c r="C35" i="47"/>
  <c r="B35" i="47"/>
  <c r="AA34" i="47"/>
  <c r="Z34" i="47"/>
  <c r="Y34" i="47"/>
  <c r="X34" i="47"/>
  <c r="W34" i="47"/>
  <c r="V34" i="47"/>
  <c r="U34" i="47"/>
  <c r="T34" i="47"/>
  <c r="S34" i="47"/>
  <c r="R34" i="47"/>
  <c r="Q34" i="47"/>
  <c r="E34" i="47"/>
  <c r="D34" i="47"/>
  <c r="C34" i="47"/>
  <c r="B34" i="47"/>
  <c r="AA33" i="47"/>
  <c r="Z33" i="47"/>
  <c r="Y33" i="47"/>
  <c r="X33" i="47"/>
  <c r="W33" i="47"/>
  <c r="V33" i="47"/>
  <c r="U33" i="47"/>
  <c r="T33" i="47"/>
  <c r="S33" i="47"/>
  <c r="R33" i="47"/>
  <c r="Q33" i="47"/>
  <c r="E33" i="47"/>
  <c r="D33" i="47"/>
  <c r="C33" i="47"/>
  <c r="B33" i="47"/>
  <c r="AA44" i="47"/>
  <c r="Z44" i="47"/>
  <c r="Y44" i="47"/>
  <c r="X44" i="47"/>
  <c r="W44" i="47"/>
  <c r="V44" i="47"/>
  <c r="U44" i="47"/>
  <c r="T44" i="47"/>
  <c r="S44" i="47"/>
  <c r="R44" i="47"/>
  <c r="Q44" i="47"/>
  <c r="E44" i="47"/>
  <c r="D44" i="47"/>
  <c r="C44" i="47"/>
  <c r="B44" i="47"/>
  <c r="AA43" i="47"/>
  <c r="Z43" i="47"/>
  <c r="Y43" i="47"/>
  <c r="X43" i="47"/>
  <c r="W43" i="47"/>
  <c r="V43" i="47"/>
  <c r="U43" i="47"/>
  <c r="T43" i="47"/>
  <c r="S43" i="47"/>
  <c r="R43" i="47"/>
  <c r="Q43" i="47"/>
  <c r="E43" i="47"/>
  <c r="D43" i="47"/>
  <c r="C43" i="47"/>
  <c r="B43" i="47"/>
  <c r="AA42" i="47"/>
  <c r="Z42" i="47"/>
  <c r="Y42" i="47"/>
  <c r="X42" i="47"/>
  <c r="W42" i="47"/>
  <c r="V42" i="47"/>
  <c r="U42" i="47"/>
  <c r="T42" i="47"/>
  <c r="S42" i="47"/>
  <c r="R42" i="47"/>
  <c r="Q42" i="47"/>
  <c r="E42" i="47"/>
  <c r="D42" i="47"/>
  <c r="C42" i="47"/>
  <c r="B42" i="47"/>
  <c r="AA41" i="47"/>
  <c r="Z41" i="47"/>
  <c r="Y41" i="47"/>
  <c r="X41" i="47"/>
  <c r="W41" i="47"/>
  <c r="V41" i="47"/>
  <c r="U41" i="47"/>
  <c r="T41" i="47"/>
  <c r="S41" i="47"/>
  <c r="R41" i="47"/>
  <c r="Q41" i="47"/>
  <c r="E41" i="47"/>
  <c r="D41" i="47"/>
  <c r="C41" i="47"/>
  <c r="B41" i="47"/>
  <c r="AA46" i="47"/>
  <c r="Z46" i="47"/>
  <c r="Y46" i="47"/>
  <c r="X46" i="47"/>
  <c r="W46" i="47"/>
  <c r="V46" i="47"/>
  <c r="U46" i="47"/>
  <c r="T46" i="47"/>
  <c r="S46" i="47"/>
  <c r="R46" i="47"/>
  <c r="Q46" i="47"/>
  <c r="E46" i="47"/>
  <c r="D46" i="47"/>
  <c r="C46" i="47"/>
  <c r="B46" i="47"/>
  <c r="AA45" i="47"/>
  <c r="Z45" i="47"/>
  <c r="Y45" i="47"/>
  <c r="X45" i="47"/>
  <c r="W45" i="47"/>
  <c r="V45" i="47"/>
  <c r="U45" i="47"/>
  <c r="T45" i="47"/>
  <c r="S45" i="47"/>
  <c r="R45" i="47"/>
  <c r="Q45" i="47"/>
  <c r="E45" i="47"/>
  <c r="D45" i="47"/>
  <c r="C45" i="47"/>
  <c r="B45" i="47"/>
  <c r="AA47" i="47"/>
  <c r="Z47" i="47"/>
  <c r="Y47" i="47"/>
  <c r="X47" i="47"/>
  <c r="W47" i="47"/>
  <c r="V47" i="47"/>
  <c r="U47" i="47"/>
  <c r="T47" i="47"/>
  <c r="S47" i="47"/>
  <c r="R47" i="47"/>
  <c r="Q47" i="47"/>
  <c r="E47" i="47"/>
  <c r="D47" i="47"/>
  <c r="C47" i="47"/>
  <c r="B47" i="47"/>
  <c r="AA48" i="47"/>
  <c r="Z48" i="47"/>
  <c r="Y48" i="47"/>
  <c r="X48" i="47"/>
  <c r="W48" i="47"/>
  <c r="V48" i="47"/>
  <c r="U48" i="47"/>
  <c r="T48" i="47"/>
  <c r="S48" i="47"/>
  <c r="R48" i="47"/>
  <c r="Q48" i="47"/>
  <c r="E48" i="47"/>
  <c r="D48" i="47"/>
  <c r="C48" i="47"/>
  <c r="B48" i="47"/>
  <c r="AA12" i="47"/>
  <c r="Z12" i="47"/>
  <c r="Y12" i="47"/>
  <c r="X12" i="47"/>
  <c r="W12" i="47"/>
  <c r="V12" i="47"/>
  <c r="U12" i="47"/>
  <c r="T12" i="47"/>
  <c r="S12" i="47"/>
  <c r="R12" i="47"/>
  <c r="Q12" i="47"/>
  <c r="AA16" i="46"/>
  <c r="Z16" i="46"/>
  <c r="Y16" i="46"/>
  <c r="X16" i="46"/>
  <c r="W16" i="46"/>
  <c r="V16" i="46"/>
  <c r="U16" i="46"/>
  <c r="T16" i="46"/>
  <c r="S16" i="46"/>
  <c r="R16" i="46"/>
  <c r="Q16" i="46"/>
  <c r="E16" i="46"/>
  <c r="D16" i="46"/>
  <c r="C16" i="46"/>
  <c r="B16" i="46"/>
  <c r="AA15" i="46"/>
  <c r="Z15" i="46"/>
  <c r="Y15" i="46"/>
  <c r="X15" i="46"/>
  <c r="W15" i="46"/>
  <c r="V15" i="46"/>
  <c r="U15" i="46"/>
  <c r="T15" i="46"/>
  <c r="S15" i="46"/>
  <c r="R15" i="46"/>
  <c r="Q15" i="46"/>
  <c r="E15" i="46"/>
  <c r="D15" i="46"/>
  <c r="C15" i="46"/>
  <c r="B15" i="46"/>
  <c r="AA14" i="46"/>
  <c r="Z14" i="46"/>
  <c r="Y14" i="46"/>
  <c r="X14" i="46"/>
  <c r="W14" i="46"/>
  <c r="V14" i="46"/>
  <c r="U14" i="46"/>
  <c r="T14" i="46"/>
  <c r="S14" i="46"/>
  <c r="R14" i="46"/>
  <c r="Q14" i="46"/>
  <c r="E14" i="46"/>
  <c r="D14" i="46"/>
  <c r="C14" i="46"/>
  <c r="B14" i="46"/>
  <c r="AA13" i="46"/>
  <c r="Z13" i="46"/>
  <c r="Y13" i="46"/>
  <c r="X13" i="46"/>
  <c r="W13" i="46"/>
  <c r="V13" i="46"/>
  <c r="U13" i="46"/>
  <c r="T13" i="46"/>
  <c r="S13" i="46"/>
  <c r="R13" i="46"/>
  <c r="Q13" i="46"/>
  <c r="E13" i="46"/>
  <c r="D13" i="46"/>
  <c r="C13" i="46"/>
  <c r="B13" i="46"/>
  <c r="AA32" i="46"/>
  <c r="Z32" i="46"/>
  <c r="Y32" i="46"/>
  <c r="X32" i="46"/>
  <c r="W32" i="46"/>
  <c r="V32" i="46"/>
  <c r="U32" i="46"/>
  <c r="T32" i="46"/>
  <c r="S32" i="46"/>
  <c r="R32" i="46"/>
  <c r="Q32" i="46"/>
  <c r="E32" i="46"/>
  <c r="D32" i="46"/>
  <c r="C32" i="46"/>
  <c r="B32" i="46"/>
  <c r="AA31" i="46"/>
  <c r="Z31" i="46"/>
  <c r="Y31" i="46"/>
  <c r="X31" i="46"/>
  <c r="W31" i="46"/>
  <c r="V31" i="46"/>
  <c r="U31" i="46"/>
  <c r="T31" i="46"/>
  <c r="S31" i="46"/>
  <c r="R31" i="46"/>
  <c r="Q31" i="46"/>
  <c r="E31" i="46"/>
  <c r="D31" i="46"/>
  <c r="C31" i="46"/>
  <c r="B31" i="46"/>
  <c r="AA30" i="46"/>
  <c r="Z30" i="46"/>
  <c r="Y30" i="46"/>
  <c r="X30" i="46"/>
  <c r="W30" i="46"/>
  <c r="V30" i="46"/>
  <c r="U30" i="46"/>
  <c r="T30" i="46"/>
  <c r="S30" i="46"/>
  <c r="R30" i="46"/>
  <c r="Q30" i="46"/>
  <c r="E30" i="46"/>
  <c r="D30" i="46"/>
  <c r="C30" i="46"/>
  <c r="B30" i="46"/>
  <c r="AA29" i="46"/>
  <c r="Z29" i="46"/>
  <c r="Y29" i="46"/>
  <c r="X29" i="46"/>
  <c r="W29" i="46"/>
  <c r="V29" i="46"/>
  <c r="U29" i="46"/>
  <c r="T29" i="46"/>
  <c r="S29" i="46"/>
  <c r="R29" i="46"/>
  <c r="Q29" i="46"/>
  <c r="E29" i="46"/>
  <c r="D29" i="46"/>
  <c r="C29" i="46"/>
  <c r="B29" i="46"/>
  <c r="AA28" i="46"/>
  <c r="Z28" i="46"/>
  <c r="Y28" i="46"/>
  <c r="X28" i="46"/>
  <c r="W28" i="46"/>
  <c r="V28" i="46"/>
  <c r="U28" i="46"/>
  <c r="T28" i="46"/>
  <c r="S28" i="46"/>
  <c r="R28" i="46"/>
  <c r="Q28" i="46"/>
  <c r="E28" i="46"/>
  <c r="D28" i="46"/>
  <c r="C28" i="46"/>
  <c r="B28" i="46"/>
  <c r="AA27" i="46"/>
  <c r="Z27" i="46"/>
  <c r="Y27" i="46"/>
  <c r="X27" i="46"/>
  <c r="W27" i="46"/>
  <c r="V27" i="46"/>
  <c r="U27" i="46"/>
  <c r="T27" i="46"/>
  <c r="S27" i="46"/>
  <c r="R27" i="46"/>
  <c r="Q27" i="46"/>
  <c r="E27" i="46"/>
  <c r="D27" i="46"/>
  <c r="C27" i="46"/>
  <c r="B27" i="46"/>
  <c r="AA26" i="46"/>
  <c r="Z26" i="46"/>
  <c r="Y26" i="46"/>
  <c r="X26" i="46"/>
  <c r="W26" i="46"/>
  <c r="V26" i="46"/>
  <c r="U26" i="46"/>
  <c r="T26" i="46"/>
  <c r="S26" i="46"/>
  <c r="R26" i="46"/>
  <c r="Q26" i="46"/>
  <c r="E26" i="46"/>
  <c r="D26" i="46"/>
  <c r="C26" i="46"/>
  <c r="B26" i="46"/>
  <c r="AA25" i="46"/>
  <c r="Z25" i="46"/>
  <c r="Y25" i="46"/>
  <c r="X25" i="46"/>
  <c r="W25" i="46"/>
  <c r="V25" i="46"/>
  <c r="U25" i="46"/>
  <c r="T25" i="46"/>
  <c r="S25" i="46"/>
  <c r="R25" i="46"/>
  <c r="Q25" i="46"/>
  <c r="E25" i="46"/>
  <c r="D25" i="46"/>
  <c r="C25" i="46"/>
  <c r="B25" i="46"/>
  <c r="AA24" i="46"/>
  <c r="Z24" i="46"/>
  <c r="Y24" i="46"/>
  <c r="X24" i="46"/>
  <c r="W24" i="46"/>
  <c r="V24" i="46"/>
  <c r="U24" i="46"/>
  <c r="T24" i="46"/>
  <c r="S24" i="46"/>
  <c r="R24" i="46"/>
  <c r="Q24" i="46"/>
  <c r="E24" i="46"/>
  <c r="D24" i="46"/>
  <c r="C24" i="46"/>
  <c r="B24" i="46"/>
  <c r="AA23" i="46"/>
  <c r="Z23" i="46"/>
  <c r="Y23" i="46"/>
  <c r="X23" i="46"/>
  <c r="W23" i="46"/>
  <c r="V23" i="46"/>
  <c r="U23" i="46"/>
  <c r="T23" i="46"/>
  <c r="S23" i="46"/>
  <c r="R23" i="46"/>
  <c r="Q23" i="46"/>
  <c r="E23" i="46"/>
  <c r="D23" i="46"/>
  <c r="C23" i="46"/>
  <c r="B23" i="46"/>
  <c r="AA22" i="46"/>
  <c r="Z22" i="46"/>
  <c r="Y22" i="46"/>
  <c r="X22" i="46"/>
  <c r="W22" i="46"/>
  <c r="V22" i="46"/>
  <c r="U22" i="46"/>
  <c r="T22" i="46"/>
  <c r="S22" i="46"/>
  <c r="R22" i="46"/>
  <c r="Q22" i="46"/>
  <c r="E22" i="46"/>
  <c r="D22" i="46"/>
  <c r="C22" i="46"/>
  <c r="B22" i="46"/>
  <c r="AA21" i="46"/>
  <c r="Z21" i="46"/>
  <c r="Y21" i="46"/>
  <c r="X21" i="46"/>
  <c r="W21" i="46"/>
  <c r="V21" i="46"/>
  <c r="U21" i="46"/>
  <c r="T21" i="46"/>
  <c r="S21" i="46"/>
  <c r="R21" i="46"/>
  <c r="Q21" i="46"/>
  <c r="E21" i="46"/>
  <c r="D21" i="46"/>
  <c r="C21" i="46"/>
  <c r="B21" i="46"/>
  <c r="AA20" i="46"/>
  <c r="Z20" i="46"/>
  <c r="Y20" i="46"/>
  <c r="X20" i="46"/>
  <c r="W20" i="46"/>
  <c r="V20" i="46"/>
  <c r="U20" i="46"/>
  <c r="T20" i="46"/>
  <c r="S20" i="46"/>
  <c r="R20" i="46"/>
  <c r="Q20" i="46"/>
  <c r="E20" i="46"/>
  <c r="D20" i="46"/>
  <c r="C20" i="46"/>
  <c r="B20" i="46"/>
  <c r="AA19" i="46"/>
  <c r="Z19" i="46"/>
  <c r="Y19" i="46"/>
  <c r="X19" i="46"/>
  <c r="W19" i="46"/>
  <c r="V19" i="46"/>
  <c r="U19" i="46"/>
  <c r="T19" i="46"/>
  <c r="S19" i="46"/>
  <c r="R19" i="46"/>
  <c r="Q19" i="46"/>
  <c r="E19" i="46"/>
  <c r="D19" i="46"/>
  <c r="C19" i="46"/>
  <c r="B19" i="46"/>
  <c r="AA18" i="46"/>
  <c r="Z18" i="46"/>
  <c r="Y18" i="46"/>
  <c r="X18" i="46"/>
  <c r="W18" i="46"/>
  <c r="V18" i="46"/>
  <c r="U18" i="46"/>
  <c r="T18" i="46"/>
  <c r="S18" i="46"/>
  <c r="R18" i="46"/>
  <c r="Q18" i="46"/>
  <c r="E18" i="46"/>
  <c r="D18" i="46"/>
  <c r="C18" i="46"/>
  <c r="B18" i="46"/>
  <c r="AA17" i="46"/>
  <c r="Z17" i="46"/>
  <c r="Y17" i="46"/>
  <c r="X17" i="46"/>
  <c r="W17" i="46"/>
  <c r="V17" i="46"/>
  <c r="U17" i="46"/>
  <c r="T17" i="46"/>
  <c r="S17" i="46"/>
  <c r="R17" i="46"/>
  <c r="Q17" i="46"/>
  <c r="E17" i="46"/>
  <c r="D17" i="46"/>
  <c r="C17" i="46"/>
  <c r="B17" i="46"/>
  <c r="AA40" i="46"/>
  <c r="Z40" i="46"/>
  <c r="Y40" i="46"/>
  <c r="X40" i="46"/>
  <c r="W40" i="46"/>
  <c r="V40" i="46"/>
  <c r="U40" i="46"/>
  <c r="T40" i="46"/>
  <c r="S40" i="46"/>
  <c r="R40" i="46"/>
  <c r="Q40" i="46"/>
  <c r="E40" i="46"/>
  <c r="D40" i="46"/>
  <c r="C40" i="46"/>
  <c r="B40" i="46"/>
  <c r="AA39" i="46"/>
  <c r="Z39" i="46"/>
  <c r="Y39" i="46"/>
  <c r="X39" i="46"/>
  <c r="W39" i="46"/>
  <c r="V39" i="46"/>
  <c r="U39" i="46"/>
  <c r="T39" i="46"/>
  <c r="S39" i="46"/>
  <c r="R39" i="46"/>
  <c r="Q39" i="46"/>
  <c r="E39" i="46"/>
  <c r="D39" i="46"/>
  <c r="C39" i="46"/>
  <c r="B39" i="46"/>
  <c r="AA38" i="46"/>
  <c r="Z38" i="46"/>
  <c r="Y38" i="46"/>
  <c r="X38" i="46"/>
  <c r="W38" i="46"/>
  <c r="V38" i="46"/>
  <c r="U38" i="46"/>
  <c r="T38" i="46"/>
  <c r="S38" i="46"/>
  <c r="R38" i="46"/>
  <c r="Q38" i="46"/>
  <c r="E38" i="46"/>
  <c r="D38" i="46"/>
  <c r="C38" i="46"/>
  <c r="B38" i="46"/>
  <c r="AA37" i="46"/>
  <c r="Z37" i="46"/>
  <c r="Y37" i="46"/>
  <c r="X37" i="46"/>
  <c r="W37" i="46"/>
  <c r="V37" i="46"/>
  <c r="U37" i="46"/>
  <c r="T37" i="46"/>
  <c r="S37" i="46"/>
  <c r="R37" i="46"/>
  <c r="Q37" i="46"/>
  <c r="E37" i="46"/>
  <c r="D37" i="46"/>
  <c r="C37" i="46"/>
  <c r="B37" i="46"/>
  <c r="AA36" i="46"/>
  <c r="Z36" i="46"/>
  <c r="Y36" i="46"/>
  <c r="X36" i="46"/>
  <c r="W36" i="46"/>
  <c r="V36" i="46"/>
  <c r="U36" i="46"/>
  <c r="T36" i="46"/>
  <c r="S36" i="46"/>
  <c r="R36" i="46"/>
  <c r="Q36" i="46"/>
  <c r="E36" i="46"/>
  <c r="D36" i="46"/>
  <c r="C36" i="46"/>
  <c r="B36" i="46"/>
  <c r="AA35" i="46"/>
  <c r="Z35" i="46"/>
  <c r="Y35" i="46"/>
  <c r="X35" i="46"/>
  <c r="W35" i="46"/>
  <c r="V35" i="46"/>
  <c r="U35" i="46"/>
  <c r="T35" i="46"/>
  <c r="S35" i="46"/>
  <c r="R35" i="46"/>
  <c r="Q35" i="46"/>
  <c r="E35" i="46"/>
  <c r="D35" i="46"/>
  <c r="C35" i="46"/>
  <c r="B35" i="46"/>
  <c r="AA34" i="46"/>
  <c r="Z34" i="46"/>
  <c r="Y34" i="46"/>
  <c r="X34" i="46"/>
  <c r="W34" i="46"/>
  <c r="V34" i="46"/>
  <c r="U34" i="46"/>
  <c r="T34" i="46"/>
  <c r="S34" i="46"/>
  <c r="R34" i="46"/>
  <c r="Q34" i="46"/>
  <c r="E34" i="46"/>
  <c r="D34" i="46"/>
  <c r="C34" i="46"/>
  <c r="B34" i="46"/>
  <c r="AA33" i="46"/>
  <c r="Z33" i="46"/>
  <c r="Y33" i="46"/>
  <c r="X33" i="46"/>
  <c r="W33" i="46"/>
  <c r="V33" i="46"/>
  <c r="U33" i="46"/>
  <c r="T33" i="46"/>
  <c r="S33" i="46"/>
  <c r="R33" i="46"/>
  <c r="Q33" i="46"/>
  <c r="E33" i="46"/>
  <c r="D33" i="46"/>
  <c r="C33" i="46"/>
  <c r="B33" i="46"/>
  <c r="AA44" i="46"/>
  <c r="Z44" i="46"/>
  <c r="Y44" i="46"/>
  <c r="X44" i="46"/>
  <c r="W44" i="46"/>
  <c r="V44" i="46"/>
  <c r="U44" i="46"/>
  <c r="T44" i="46"/>
  <c r="S44" i="46"/>
  <c r="R44" i="46"/>
  <c r="Q44" i="46"/>
  <c r="E44" i="46"/>
  <c r="D44" i="46"/>
  <c r="C44" i="46"/>
  <c r="B44" i="46"/>
  <c r="AA43" i="46"/>
  <c r="Z43" i="46"/>
  <c r="Y43" i="46"/>
  <c r="X43" i="46"/>
  <c r="W43" i="46"/>
  <c r="V43" i="46"/>
  <c r="U43" i="46"/>
  <c r="T43" i="46"/>
  <c r="S43" i="46"/>
  <c r="R43" i="46"/>
  <c r="Q43" i="46"/>
  <c r="E43" i="46"/>
  <c r="D43" i="46"/>
  <c r="C43" i="46"/>
  <c r="B43" i="46"/>
  <c r="AA42" i="46"/>
  <c r="Z42" i="46"/>
  <c r="Y42" i="46"/>
  <c r="X42" i="46"/>
  <c r="W42" i="46"/>
  <c r="V42" i="46"/>
  <c r="U42" i="46"/>
  <c r="T42" i="46"/>
  <c r="S42" i="46"/>
  <c r="R42" i="46"/>
  <c r="Q42" i="46"/>
  <c r="E42" i="46"/>
  <c r="D42" i="46"/>
  <c r="C42" i="46"/>
  <c r="B42" i="46"/>
  <c r="AA41" i="46"/>
  <c r="Z41" i="46"/>
  <c r="Y41" i="46"/>
  <c r="X41" i="46"/>
  <c r="W41" i="46"/>
  <c r="V41" i="46"/>
  <c r="U41" i="46"/>
  <c r="T41" i="46"/>
  <c r="S41" i="46"/>
  <c r="R41" i="46"/>
  <c r="Q41" i="46"/>
  <c r="E41" i="46"/>
  <c r="D41" i="46"/>
  <c r="C41" i="46"/>
  <c r="B41" i="46"/>
  <c r="AA46" i="46"/>
  <c r="Z46" i="46"/>
  <c r="Y46" i="46"/>
  <c r="X46" i="46"/>
  <c r="W46" i="46"/>
  <c r="V46" i="46"/>
  <c r="U46" i="46"/>
  <c r="T46" i="46"/>
  <c r="S46" i="46"/>
  <c r="R46" i="46"/>
  <c r="Q46" i="46"/>
  <c r="E46" i="46"/>
  <c r="D46" i="46"/>
  <c r="C46" i="46"/>
  <c r="B46" i="46"/>
  <c r="AA45" i="46"/>
  <c r="Z45" i="46"/>
  <c r="Y45" i="46"/>
  <c r="X45" i="46"/>
  <c r="W45" i="46"/>
  <c r="V45" i="46"/>
  <c r="U45" i="46"/>
  <c r="T45" i="46"/>
  <c r="S45" i="46"/>
  <c r="R45" i="46"/>
  <c r="Q45" i="46"/>
  <c r="E45" i="46"/>
  <c r="D45" i="46"/>
  <c r="C45" i="46"/>
  <c r="B45" i="46"/>
  <c r="AA47" i="46"/>
  <c r="Z47" i="46"/>
  <c r="Y47" i="46"/>
  <c r="X47" i="46"/>
  <c r="W47" i="46"/>
  <c r="V47" i="46"/>
  <c r="U47" i="46"/>
  <c r="T47" i="46"/>
  <c r="S47" i="46"/>
  <c r="R47" i="46"/>
  <c r="Q47" i="46"/>
  <c r="E47" i="46"/>
  <c r="D47" i="46"/>
  <c r="C47" i="46"/>
  <c r="B47" i="46"/>
  <c r="AA48" i="46"/>
  <c r="Z48" i="46"/>
  <c r="Y48" i="46"/>
  <c r="X48" i="46"/>
  <c r="W48" i="46"/>
  <c r="V48" i="46"/>
  <c r="U48" i="46"/>
  <c r="T48" i="46"/>
  <c r="S48" i="46"/>
  <c r="R48" i="46"/>
  <c r="Q48" i="46"/>
  <c r="E48" i="46"/>
  <c r="D48" i="46"/>
  <c r="C48" i="46"/>
  <c r="B48" i="46"/>
  <c r="AA12" i="46"/>
  <c r="Z12" i="46"/>
  <c r="Y12" i="46"/>
  <c r="X12" i="46"/>
  <c r="W12" i="46"/>
  <c r="V12" i="46"/>
  <c r="U12" i="46"/>
  <c r="T12" i="46"/>
  <c r="S12" i="46"/>
  <c r="R12" i="46"/>
  <c r="Q12" i="46"/>
  <c r="AA16" i="45"/>
  <c r="Z16" i="45"/>
  <c r="Y16" i="45"/>
  <c r="X16" i="45"/>
  <c r="W16" i="45"/>
  <c r="V16" i="45"/>
  <c r="U16" i="45"/>
  <c r="T16" i="45"/>
  <c r="S16" i="45"/>
  <c r="R16" i="45"/>
  <c r="Q16" i="45"/>
  <c r="E16" i="45"/>
  <c r="D16" i="45"/>
  <c r="C16" i="45"/>
  <c r="B16" i="45"/>
  <c r="AA15" i="45"/>
  <c r="Z15" i="45"/>
  <c r="Y15" i="45"/>
  <c r="X15" i="45"/>
  <c r="W15" i="45"/>
  <c r="V15" i="45"/>
  <c r="U15" i="45"/>
  <c r="T15" i="45"/>
  <c r="S15" i="45"/>
  <c r="R15" i="45"/>
  <c r="Q15" i="45"/>
  <c r="E15" i="45"/>
  <c r="D15" i="45"/>
  <c r="C15" i="45"/>
  <c r="B15" i="45"/>
  <c r="AA14" i="45"/>
  <c r="Z14" i="45"/>
  <c r="Y14" i="45"/>
  <c r="X14" i="45"/>
  <c r="W14" i="45"/>
  <c r="V14" i="45"/>
  <c r="U14" i="45"/>
  <c r="T14" i="45"/>
  <c r="S14" i="45"/>
  <c r="R14" i="45"/>
  <c r="Q14" i="45"/>
  <c r="E14" i="45"/>
  <c r="D14" i="45"/>
  <c r="C14" i="45"/>
  <c r="B14" i="45"/>
  <c r="AA13" i="45"/>
  <c r="Z13" i="45"/>
  <c r="Y13" i="45"/>
  <c r="X13" i="45"/>
  <c r="W13" i="45"/>
  <c r="V13" i="45"/>
  <c r="U13" i="45"/>
  <c r="T13" i="45"/>
  <c r="S13" i="45"/>
  <c r="R13" i="45"/>
  <c r="Q13" i="45"/>
  <c r="E13" i="45"/>
  <c r="D13" i="45"/>
  <c r="C13" i="45"/>
  <c r="B13" i="45"/>
  <c r="AA24" i="45"/>
  <c r="Z24" i="45"/>
  <c r="Y24" i="45"/>
  <c r="X24" i="45"/>
  <c r="W24" i="45"/>
  <c r="V24" i="45"/>
  <c r="U24" i="45"/>
  <c r="T24" i="45"/>
  <c r="S24" i="45"/>
  <c r="R24" i="45"/>
  <c r="Q24" i="45"/>
  <c r="E24" i="45"/>
  <c r="D24" i="45"/>
  <c r="C24" i="45"/>
  <c r="B24" i="45"/>
  <c r="AA23" i="45"/>
  <c r="Z23" i="45"/>
  <c r="Y23" i="45"/>
  <c r="X23" i="45"/>
  <c r="W23" i="45"/>
  <c r="V23" i="45"/>
  <c r="U23" i="45"/>
  <c r="T23" i="45"/>
  <c r="S23" i="45"/>
  <c r="R23" i="45"/>
  <c r="Q23" i="45"/>
  <c r="E23" i="45"/>
  <c r="D23" i="45"/>
  <c r="C23" i="45"/>
  <c r="B23" i="45"/>
  <c r="AA22" i="45"/>
  <c r="Z22" i="45"/>
  <c r="Y22" i="45"/>
  <c r="X22" i="45"/>
  <c r="W22" i="45"/>
  <c r="V22" i="45"/>
  <c r="U22" i="45"/>
  <c r="T22" i="45"/>
  <c r="S22" i="45"/>
  <c r="R22" i="45"/>
  <c r="Q22" i="45"/>
  <c r="E22" i="45"/>
  <c r="D22" i="45"/>
  <c r="C22" i="45"/>
  <c r="B22" i="45"/>
  <c r="AA21" i="45"/>
  <c r="Z21" i="45"/>
  <c r="Y21" i="45"/>
  <c r="X21" i="45"/>
  <c r="W21" i="45"/>
  <c r="V21" i="45"/>
  <c r="U21" i="45"/>
  <c r="T21" i="45"/>
  <c r="S21" i="45"/>
  <c r="R21" i="45"/>
  <c r="Q21" i="45"/>
  <c r="E21" i="45"/>
  <c r="D21" i="45"/>
  <c r="C21" i="45"/>
  <c r="B21" i="45"/>
  <c r="AA20" i="45"/>
  <c r="Z20" i="45"/>
  <c r="Y20" i="45"/>
  <c r="X20" i="45"/>
  <c r="W20" i="45"/>
  <c r="V20" i="45"/>
  <c r="U20" i="45"/>
  <c r="T20" i="45"/>
  <c r="S20" i="45"/>
  <c r="R20" i="45"/>
  <c r="Q20" i="45"/>
  <c r="E20" i="45"/>
  <c r="D20" i="45"/>
  <c r="C20" i="45"/>
  <c r="B20" i="45"/>
  <c r="AA19" i="45"/>
  <c r="Z19" i="45"/>
  <c r="Y19" i="45"/>
  <c r="X19" i="45"/>
  <c r="W19" i="45"/>
  <c r="V19" i="45"/>
  <c r="U19" i="45"/>
  <c r="T19" i="45"/>
  <c r="S19" i="45"/>
  <c r="R19" i="45"/>
  <c r="Q19" i="45"/>
  <c r="E19" i="45"/>
  <c r="D19" i="45"/>
  <c r="C19" i="45"/>
  <c r="B19" i="45"/>
  <c r="AA18" i="45"/>
  <c r="Z18" i="45"/>
  <c r="Y18" i="45"/>
  <c r="X18" i="45"/>
  <c r="W18" i="45"/>
  <c r="V18" i="45"/>
  <c r="U18" i="45"/>
  <c r="T18" i="45"/>
  <c r="S18" i="45"/>
  <c r="R18" i="45"/>
  <c r="Q18" i="45"/>
  <c r="E18" i="45"/>
  <c r="D18" i="45"/>
  <c r="C18" i="45"/>
  <c r="B18" i="45"/>
  <c r="AA17" i="45"/>
  <c r="Z17" i="45"/>
  <c r="Y17" i="45"/>
  <c r="X17" i="45"/>
  <c r="W17" i="45"/>
  <c r="V17" i="45"/>
  <c r="U17" i="45"/>
  <c r="T17" i="45"/>
  <c r="S17" i="45"/>
  <c r="R17" i="45"/>
  <c r="Q17" i="45"/>
  <c r="E17" i="45"/>
  <c r="D17" i="45"/>
  <c r="C17" i="45"/>
  <c r="B17" i="45"/>
  <c r="AA28" i="45"/>
  <c r="Z28" i="45"/>
  <c r="Y28" i="45"/>
  <c r="X28" i="45"/>
  <c r="W28" i="45"/>
  <c r="V28" i="45"/>
  <c r="U28" i="45"/>
  <c r="T28" i="45"/>
  <c r="S28" i="45"/>
  <c r="R28" i="45"/>
  <c r="Q28" i="45"/>
  <c r="E28" i="45"/>
  <c r="D28" i="45"/>
  <c r="C28" i="45"/>
  <c r="B28" i="45"/>
  <c r="AA27" i="45"/>
  <c r="Z27" i="45"/>
  <c r="Y27" i="45"/>
  <c r="X27" i="45"/>
  <c r="W27" i="45"/>
  <c r="V27" i="45"/>
  <c r="U27" i="45"/>
  <c r="T27" i="45"/>
  <c r="S27" i="45"/>
  <c r="R27" i="45"/>
  <c r="Q27" i="45"/>
  <c r="E27" i="45"/>
  <c r="D27" i="45"/>
  <c r="C27" i="45"/>
  <c r="B27" i="45"/>
  <c r="AA26" i="45"/>
  <c r="Z26" i="45"/>
  <c r="Y26" i="45"/>
  <c r="X26" i="45"/>
  <c r="W26" i="45"/>
  <c r="V26" i="45"/>
  <c r="U26" i="45"/>
  <c r="T26" i="45"/>
  <c r="S26" i="45"/>
  <c r="R26" i="45"/>
  <c r="Q26" i="45"/>
  <c r="E26" i="45"/>
  <c r="D26" i="45"/>
  <c r="C26" i="45"/>
  <c r="B26" i="45"/>
  <c r="AA25" i="45"/>
  <c r="Z25" i="45"/>
  <c r="Y25" i="45"/>
  <c r="X25" i="45"/>
  <c r="W25" i="45"/>
  <c r="V25" i="45"/>
  <c r="U25" i="45"/>
  <c r="T25" i="45"/>
  <c r="S25" i="45"/>
  <c r="R25" i="45"/>
  <c r="Q25" i="45"/>
  <c r="E25" i="45"/>
  <c r="D25" i="45"/>
  <c r="C25" i="45"/>
  <c r="B25" i="45"/>
  <c r="AA32" i="45"/>
  <c r="Z32" i="45"/>
  <c r="Y32" i="45"/>
  <c r="X32" i="45"/>
  <c r="W32" i="45"/>
  <c r="V32" i="45"/>
  <c r="U32" i="45"/>
  <c r="T32" i="45"/>
  <c r="S32" i="45"/>
  <c r="R32" i="45"/>
  <c r="Q32" i="45"/>
  <c r="E32" i="45"/>
  <c r="D32" i="45"/>
  <c r="C32" i="45"/>
  <c r="B32" i="45"/>
  <c r="AA31" i="45"/>
  <c r="Z31" i="45"/>
  <c r="Y31" i="45"/>
  <c r="X31" i="45"/>
  <c r="W31" i="45"/>
  <c r="V31" i="45"/>
  <c r="U31" i="45"/>
  <c r="T31" i="45"/>
  <c r="S31" i="45"/>
  <c r="R31" i="45"/>
  <c r="Q31" i="45"/>
  <c r="E31" i="45"/>
  <c r="D31" i="45"/>
  <c r="C31" i="45"/>
  <c r="B31" i="45"/>
  <c r="AA30" i="45"/>
  <c r="Z30" i="45"/>
  <c r="Y30" i="45"/>
  <c r="X30" i="45"/>
  <c r="W30" i="45"/>
  <c r="V30" i="45"/>
  <c r="U30" i="45"/>
  <c r="T30" i="45"/>
  <c r="S30" i="45"/>
  <c r="R30" i="45"/>
  <c r="Q30" i="45"/>
  <c r="E30" i="45"/>
  <c r="D30" i="45"/>
  <c r="C30" i="45"/>
  <c r="B30" i="45"/>
  <c r="AA29" i="45"/>
  <c r="Z29" i="45"/>
  <c r="Y29" i="45"/>
  <c r="X29" i="45"/>
  <c r="W29" i="45"/>
  <c r="V29" i="45"/>
  <c r="U29" i="45"/>
  <c r="T29" i="45"/>
  <c r="S29" i="45"/>
  <c r="R29" i="45"/>
  <c r="Q29" i="45"/>
  <c r="E29" i="45"/>
  <c r="D29" i="45"/>
  <c r="C29" i="45"/>
  <c r="B29" i="45"/>
  <c r="AA36" i="45"/>
  <c r="Z36" i="45"/>
  <c r="Y36" i="45"/>
  <c r="X36" i="45"/>
  <c r="W36" i="45"/>
  <c r="V36" i="45"/>
  <c r="U36" i="45"/>
  <c r="T36" i="45"/>
  <c r="S36" i="45"/>
  <c r="R36" i="45"/>
  <c r="Q36" i="45"/>
  <c r="E36" i="45"/>
  <c r="D36" i="45"/>
  <c r="C36" i="45"/>
  <c r="B36" i="45"/>
  <c r="AA35" i="45"/>
  <c r="Z35" i="45"/>
  <c r="Y35" i="45"/>
  <c r="X35" i="45"/>
  <c r="W35" i="45"/>
  <c r="V35" i="45"/>
  <c r="U35" i="45"/>
  <c r="T35" i="45"/>
  <c r="S35" i="45"/>
  <c r="R35" i="45"/>
  <c r="Q35" i="45"/>
  <c r="E35" i="45"/>
  <c r="D35" i="45"/>
  <c r="C35" i="45"/>
  <c r="B35" i="45"/>
  <c r="AA34" i="45"/>
  <c r="Z34" i="45"/>
  <c r="Y34" i="45"/>
  <c r="X34" i="45"/>
  <c r="W34" i="45"/>
  <c r="V34" i="45"/>
  <c r="U34" i="45"/>
  <c r="T34" i="45"/>
  <c r="S34" i="45"/>
  <c r="R34" i="45"/>
  <c r="Q34" i="45"/>
  <c r="E34" i="45"/>
  <c r="D34" i="45"/>
  <c r="C34" i="45"/>
  <c r="B34" i="45"/>
  <c r="AA33" i="45"/>
  <c r="Z33" i="45"/>
  <c r="Y33" i="45"/>
  <c r="X33" i="45"/>
  <c r="W33" i="45"/>
  <c r="V33" i="45"/>
  <c r="U33" i="45"/>
  <c r="T33" i="45"/>
  <c r="S33" i="45"/>
  <c r="R33" i="45"/>
  <c r="Q33" i="45"/>
  <c r="E33" i="45"/>
  <c r="D33" i="45"/>
  <c r="C33" i="45"/>
  <c r="B33" i="45"/>
  <c r="AA40" i="45"/>
  <c r="Z40" i="45"/>
  <c r="Y40" i="45"/>
  <c r="X40" i="45"/>
  <c r="W40" i="45"/>
  <c r="V40" i="45"/>
  <c r="U40" i="45"/>
  <c r="T40" i="45"/>
  <c r="S40" i="45"/>
  <c r="R40" i="45"/>
  <c r="Q40" i="45"/>
  <c r="E40" i="45"/>
  <c r="D40" i="45"/>
  <c r="C40" i="45"/>
  <c r="B40" i="45"/>
  <c r="AA39" i="45"/>
  <c r="Z39" i="45"/>
  <c r="Y39" i="45"/>
  <c r="X39" i="45"/>
  <c r="W39" i="45"/>
  <c r="V39" i="45"/>
  <c r="U39" i="45"/>
  <c r="T39" i="45"/>
  <c r="S39" i="45"/>
  <c r="R39" i="45"/>
  <c r="Q39" i="45"/>
  <c r="E39" i="45"/>
  <c r="D39" i="45"/>
  <c r="C39" i="45"/>
  <c r="B39" i="45"/>
  <c r="AA38" i="45"/>
  <c r="Z38" i="45"/>
  <c r="Y38" i="45"/>
  <c r="X38" i="45"/>
  <c r="W38" i="45"/>
  <c r="V38" i="45"/>
  <c r="U38" i="45"/>
  <c r="T38" i="45"/>
  <c r="S38" i="45"/>
  <c r="R38" i="45"/>
  <c r="Q38" i="45"/>
  <c r="E38" i="45"/>
  <c r="D38" i="45"/>
  <c r="C38" i="45"/>
  <c r="B38" i="45"/>
  <c r="AA37" i="45"/>
  <c r="Z37" i="45"/>
  <c r="Y37" i="45"/>
  <c r="X37" i="45"/>
  <c r="W37" i="45"/>
  <c r="V37" i="45"/>
  <c r="U37" i="45"/>
  <c r="T37" i="45"/>
  <c r="S37" i="45"/>
  <c r="R37" i="45"/>
  <c r="Q37" i="45"/>
  <c r="E37" i="45"/>
  <c r="D37" i="45"/>
  <c r="C37" i="45"/>
  <c r="B37" i="45"/>
  <c r="AA44" i="45"/>
  <c r="Z44" i="45"/>
  <c r="Y44" i="45"/>
  <c r="X44" i="45"/>
  <c r="W44" i="45"/>
  <c r="V44" i="45"/>
  <c r="U44" i="45"/>
  <c r="T44" i="45"/>
  <c r="S44" i="45"/>
  <c r="R44" i="45"/>
  <c r="Q44" i="45"/>
  <c r="E44" i="45"/>
  <c r="D44" i="45"/>
  <c r="C44" i="45"/>
  <c r="B44" i="45"/>
  <c r="AA43" i="45"/>
  <c r="Z43" i="45"/>
  <c r="Y43" i="45"/>
  <c r="X43" i="45"/>
  <c r="W43" i="45"/>
  <c r="V43" i="45"/>
  <c r="U43" i="45"/>
  <c r="T43" i="45"/>
  <c r="S43" i="45"/>
  <c r="R43" i="45"/>
  <c r="Q43" i="45"/>
  <c r="E43" i="45"/>
  <c r="D43" i="45"/>
  <c r="C43" i="45"/>
  <c r="B43" i="45"/>
  <c r="AA42" i="45"/>
  <c r="Z42" i="45"/>
  <c r="Y42" i="45"/>
  <c r="X42" i="45"/>
  <c r="W42" i="45"/>
  <c r="V42" i="45"/>
  <c r="U42" i="45"/>
  <c r="T42" i="45"/>
  <c r="S42" i="45"/>
  <c r="R42" i="45"/>
  <c r="Q42" i="45"/>
  <c r="E42" i="45"/>
  <c r="D42" i="45"/>
  <c r="C42" i="45"/>
  <c r="B42" i="45"/>
  <c r="AA41" i="45"/>
  <c r="Z41" i="45"/>
  <c r="Y41" i="45"/>
  <c r="X41" i="45"/>
  <c r="W41" i="45"/>
  <c r="V41" i="45"/>
  <c r="U41" i="45"/>
  <c r="T41" i="45"/>
  <c r="S41" i="45"/>
  <c r="R41" i="45"/>
  <c r="Q41" i="45"/>
  <c r="E41" i="45"/>
  <c r="D41" i="45"/>
  <c r="C41" i="45"/>
  <c r="B41" i="45"/>
  <c r="AA46" i="45"/>
  <c r="Z46" i="45"/>
  <c r="Y46" i="45"/>
  <c r="X46" i="45"/>
  <c r="W46" i="45"/>
  <c r="V46" i="45"/>
  <c r="U46" i="45"/>
  <c r="T46" i="45"/>
  <c r="S46" i="45"/>
  <c r="R46" i="45"/>
  <c r="Q46" i="45"/>
  <c r="E46" i="45"/>
  <c r="D46" i="45"/>
  <c r="C46" i="45"/>
  <c r="B46" i="45"/>
  <c r="AA45" i="45"/>
  <c r="Z45" i="45"/>
  <c r="Y45" i="45"/>
  <c r="X45" i="45"/>
  <c r="W45" i="45"/>
  <c r="V45" i="45"/>
  <c r="U45" i="45"/>
  <c r="T45" i="45"/>
  <c r="S45" i="45"/>
  <c r="R45" i="45"/>
  <c r="Q45" i="45"/>
  <c r="E45" i="45"/>
  <c r="D45" i="45"/>
  <c r="C45" i="45"/>
  <c r="B45" i="45"/>
  <c r="AA47" i="45"/>
  <c r="Z47" i="45"/>
  <c r="Y47" i="45"/>
  <c r="X47" i="45"/>
  <c r="W47" i="45"/>
  <c r="V47" i="45"/>
  <c r="U47" i="45"/>
  <c r="T47" i="45"/>
  <c r="S47" i="45"/>
  <c r="R47" i="45"/>
  <c r="Q47" i="45"/>
  <c r="E47" i="45"/>
  <c r="D47" i="45"/>
  <c r="C47" i="45"/>
  <c r="B47" i="45"/>
  <c r="AA48" i="45"/>
  <c r="Z48" i="45"/>
  <c r="Y48" i="45"/>
  <c r="X48" i="45"/>
  <c r="W48" i="45"/>
  <c r="V48" i="45"/>
  <c r="U48" i="45"/>
  <c r="T48" i="45"/>
  <c r="S48" i="45"/>
  <c r="R48" i="45"/>
  <c r="Q48" i="45"/>
  <c r="E48" i="45"/>
  <c r="D48" i="45"/>
  <c r="C48" i="45"/>
  <c r="B48" i="45"/>
  <c r="AA12" i="45"/>
  <c r="Z12" i="45"/>
  <c r="Y12" i="45"/>
  <c r="X12" i="45"/>
  <c r="W12" i="45"/>
  <c r="V12" i="45"/>
  <c r="U12" i="45"/>
  <c r="T12" i="45"/>
  <c r="S12" i="45"/>
  <c r="R12" i="45"/>
  <c r="Q12" i="45"/>
  <c r="A66" i="12"/>
  <c r="B66" i="12"/>
  <c r="C66" i="12"/>
  <c r="D66" i="12"/>
  <c r="E66" i="12"/>
  <c r="F66" i="12"/>
  <c r="H66" i="12"/>
  <c r="I66" i="12"/>
  <c r="B75" i="44"/>
  <c r="C75" i="44"/>
  <c r="D75" i="44"/>
  <c r="E75" i="44"/>
  <c r="B75" i="48"/>
  <c r="C75" i="48"/>
  <c r="D75" i="48"/>
  <c r="E75" i="48"/>
  <c r="B75" i="47"/>
  <c r="C75" i="47"/>
  <c r="D75" i="47"/>
  <c r="E75" i="47"/>
  <c r="B75" i="46"/>
  <c r="C75" i="46"/>
  <c r="D75" i="46"/>
  <c r="E75" i="46"/>
  <c r="B75" i="45"/>
  <c r="C75" i="45"/>
  <c r="D75" i="45"/>
  <c r="E75" i="45"/>
  <c r="I96" i="12"/>
  <c r="H96" i="12"/>
  <c r="F96" i="12"/>
  <c r="E96" i="12"/>
  <c r="E92" i="12"/>
  <c r="F92" i="12"/>
  <c r="H92" i="12"/>
  <c r="I92" i="12"/>
  <c r="E93" i="12"/>
  <c r="F93" i="12"/>
  <c r="H93" i="12"/>
  <c r="I93" i="12"/>
  <c r="E94" i="12"/>
  <c r="F94" i="12"/>
  <c r="H94" i="12"/>
  <c r="I94" i="12"/>
  <c r="I91" i="12"/>
  <c r="H91" i="12"/>
  <c r="F91" i="12"/>
  <c r="E91" i="12"/>
  <c r="D92" i="12"/>
  <c r="D93" i="12"/>
  <c r="D94" i="12"/>
  <c r="C92" i="12"/>
  <c r="C93" i="12"/>
  <c r="C94" i="12"/>
  <c r="B92" i="12"/>
  <c r="B93" i="12"/>
  <c r="B94" i="12"/>
  <c r="A92" i="12"/>
  <c r="A93" i="12"/>
  <c r="A94" i="12"/>
  <c r="D91" i="12"/>
  <c r="C91" i="12"/>
  <c r="B91" i="12"/>
  <c r="A91" i="12"/>
  <c r="H87" i="12"/>
  <c r="I87" i="12"/>
  <c r="H88" i="12"/>
  <c r="I88" i="12"/>
  <c r="H89" i="12"/>
  <c r="I89" i="12"/>
  <c r="I86" i="12"/>
  <c r="H86" i="12"/>
  <c r="F87" i="12"/>
  <c r="F88" i="12"/>
  <c r="F89" i="12"/>
  <c r="F86" i="12"/>
  <c r="E87" i="12"/>
  <c r="E88" i="12"/>
  <c r="E89" i="12"/>
  <c r="F42" i="12"/>
  <c r="E86" i="12"/>
  <c r="B87" i="12"/>
  <c r="C87" i="12"/>
  <c r="D87" i="12"/>
  <c r="B88" i="12"/>
  <c r="C88" i="12"/>
  <c r="D88" i="12"/>
  <c r="B89" i="12"/>
  <c r="C89" i="12"/>
  <c r="D89" i="12"/>
  <c r="D86" i="12"/>
  <c r="C86" i="12"/>
  <c r="B86" i="12"/>
  <c r="A87" i="12"/>
  <c r="A88" i="12"/>
  <c r="A89" i="12"/>
  <c r="A86" i="12"/>
  <c r="H69" i="12"/>
  <c r="I69" i="12"/>
  <c r="H70" i="12"/>
  <c r="I70" i="12"/>
  <c r="H71" i="12"/>
  <c r="I71" i="12"/>
  <c r="H72" i="12"/>
  <c r="I72" i="12"/>
  <c r="H73" i="12"/>
  <c r="I73" i="12"/>
  <c r="H74" i="12"/>
  <c r="I74" i="12"/>
  <c r="H75" i="12"/>
  <c r="I75" i="12"/>
  <c r="H76" i="12"/>
  <c r="I76" i="12"/>
  <c r="H77" i="12"/>
  <c r="I77" i="12"/>
  <c r="H78" i="12"/>
  <c r="I78" i="12"/>
  <c r="H79" i="12"/>
  <c r="I79" i="12"/>
  <c r="H80" i="12"/>
  <c r="I80" i="12"/>
  <c r="H81" i="12"/>
  <c r="I81" i="12"/>
  <c r="H82" i="12"/>
  <c r="I82" i="12"/>
  <c r="H83" i="12"/>
  <c r="I83" i="12"/>
  <c r="I68" i="12"/>
  <c r="H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A65" i="12"/>
  <c r="A62" i="12"/>
  <c r="A63" i="12"/>
  <c r="A6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I42" i="12"/>
  <c r="H42" i="12"/>
  <c r="E42" i="12"/>
  <c r="E105" i="48"/>
  <c r="E103" i="48"/>
  <c r="E102" i="48"/>
  <c r="E101" i="48"/>
  <c r="E100" i="48"/>
  <c r="E98" i="48"/>
  <c r="E97" i="48"/>
  <c r="E96" i="48"/>
  <c r="E95" i="48"/>
  <c r="E78" i="48"/>
  <c r="E79" i="48"/>
  <c r="E80" i="48"/>
  <c r="E81" i="48"/>
  <c r="E82" i="48"/>
  <c r="E83" i="48"/>
  <c r="E84" i="48"/>
  <c r="E85" i="48"/>
  <c r="E86" i="48"/>
  <c r="E87" i="48"/>
  <c r="E88" i="48"/>
  <c r="E89" i="48"/>
  <c r="E90" i="48"/>
  <c r="E91" i="48"/>
  <c r="E92" i="48"/>
  <c r="E77" i="48"/>
  <c r="E54" i="48"/>
  <c r="E55" i="48"/>
  <c r="E56" i="48"/>
  <c r="E57" i="48"/>
  <c r="E58" i="48"/>
  <c r="E59" i="48"/>
  <c r="E60" i="48"/>
  <c r="E61" i="48"/>
  <c r="E62" i="48"/>
  <c r="E63" i="48"/>
  <c r="E64" i="48"/>
  <c r="E65" i="48"/>
  <c r="E66" i="48"/>
  <c r="E67" i="48"/>
  <c r="E68" i="48"/>
  <c r="E69" i="48"/>
  <c r="E70" i="48"/>
  <c r="E71" i="48"/>
  <c r="E72" i="48"/>
  <c r="E73" i="48"/>
  <c r="E74" i="48"/>
  <c r="E53" i="48"/>
  <c r="E51" i="48"/>
  <c r="AA105" i="48"/>
  <c r="Z105" i="48"/>
  <c r="Y105" i="48"/>
  <c r="X105" i="48"/>
  <c r="W105" i="48"/>
  <c r="V105" i="48"/>
  <c r="U105" i="48"/>
  <c r="T105" i="48"/>
  <c r="S105" i="48"/>
  <c r="R105" i="48"/>
  <c r="Q105" i="48"/>
  <c r="D105" i="48"/>
  <c r="C105" i="48"/>
  <c r="B105" i="48"/>
  <c r="AA104" i="48"/>
  <c r="Z104" i="48"/>
  <c r="Y104" i="48"/>
  <c r="X104" i="48"/>
  <c r="W104" i="48"/>
  <c r="V104" i="48"/>
  <c r="U104" i="48"/>
  <c r="T104" i="48"/>
  <c r="S104" i="48"/>
  <c r="R104" i="48"/>
  <c r="Q104" i="48"/>
  <c r="AA103" i="48"/>
  <c r="Z103" i="48"/>
  <c r="Y103" i="48"/>
  <c r="X103" i="48"/>
  <c r="W103" i="48"/>
  <c r="V103" i="48"/>
  <c r="U103" i="48"/>
  <c r="T103" i="48"/>
  <c r="S103" i="48"/>
  <c r="R103" i="48"/>
  <c r="Q103" i="48"/>
  <c r="D103" i="48"/>
  <c r="C103" i="48"/>
  <c r="B103" i="48"/>
  <c r="AA102" i="48"/>
  <c r="Z102" i="48"/>
  <c r="Y102" i="48"/>
  <c r="X102" i="48"/>
  <c r="W102" i="48"/>
  <c r="V102" i="48"/>
  <c r="U102" i="48"/>
  <c r="T102" i="48"/>
  <c r="S102" i="48"/>
  <c r="R102" i="48"/>
  <c r="Q102" i="48"/>
  <c r="D102" i="48"/>
  <c r="C102" i="48"/>
  <c r="B102" i="48"/>
  <c r="AA101" i="48"/>
  <c r="Z101" i="48"/>
  <c r="Y101" i="48"/>
  <c r="X101" i="48"/>
  <c r="W101" i="48"/>
  <c r="V101" i="48"/>
  <c r="U101" i="48"/>
  <c r="T101" i="48"/>
  <c r="S101" i="48"/>
  <c r="R101" i="48"/>
  <c r="Q101" i="48"/>
  <c r="D101" i="48"/>
  <c r="C101" i="48"/>
  <c r="B101" i="48"/>
  <c r="AA100" i="48"/>
  <c r="Z100" i="48"/>
  <c r="Y100" i="48"/>
  <c r="X100" i="48"/>
  <c r="W100" i="48"/>
  <c r="V100" i="48"/>
  <c r="U100" i="48"/>
  <c r="T100" i="48"/>
  <c r="S100" i="48"/>
  <c r="R100" i="48"/>
  <c r="Q100" i="48"/>
  <c r="D100" i="48"/>
  <c r="C100" i="48"/>
  <c r="B100" i="48"/>
  <c r="AA99" i="48"/>
  <c r="Z99" i="48"/>
  <c r="Y99" i="48"/>
  <c r="X99" i="48"/>
  <c r="W99" i="48"/>
  <c r="V99" i="48"/>
  <c r="U99" i="48"/>
  <c r="T99" i="48"/>
  <c r="S99" i="48"/>
  <c r="R99" i="48"/>
  <c r="Q99" i="48"/>
  <c r="AA98" i="48"/>
  <c r="Z98" i="48"/>
  <c r="Y98" i="48"/>
  <c r="X98" i="48"/>
  <c r="W98" i="48"/>
  <c r="V98" i="48"/>
  <c r="U98" i="48"/>
  <c r="T98" i="48"/>
  <c r="S98" i="48"/>
  <c r="R98" i="48"/>
  <c r="Q98" i="48"/>
  <c r="D98" i="48"/>
  <c r="C98" i="48"/>
  <c r="B98" i="48"/>
  <c r="AA97" i="48"/>
  <c r="Z97" i="48"/>
  <c r="Y97" i="48"/>
  <c r="X97" i="48"/>
  <c r="W97" i="48"/>
  <c r="V97" i="48"/>
  <c r="U97" i="48"/>
  <c r="T97" i="48"/>
  <c r="S97" i="48"/>
  <c r="R97" i="48"/>
  <c r="Q97" i="48"/>
  <c r="D97" i="48"/>
  <c r="C97" i="48"/>
  <c r="B97" i="48"/>
  <c r="AA96" i="48"/>
  <c r="Z96" i="48"/>
  <c r="Y96" i="48"/>
  <c r="X96" i="48"/>
  <c r="W96" i="48"/>
  <c r="V96" i="48"/>
  <c r="U96" i="48"/>
  <c r="T96" i="48"/>
  <c r="S96" i="48"/>
  <c r="R96" i="48"/>
  <c r="Q96" i="48"/>
  <c r="D96" i="48"/>
  <c r="C96" i="48"/>
  <c r="B96" i="48"/>
  <c r="AA95" i="48"/>
  <c r="Z95" i="48"/>
  <c r="Y95" i="48"/>
  <c r="X95" i="48"/>
  <c r="W95" i="48"/>
  <c r="V95" i="48"/>
  <c r="U95" i="48"/>
  <c r="T95" i="48"/>
  <c r="S95" i="48"/>
  <c r="R95" i="48"/>
  <c r="Q95" i="48"/>
  <c r="D95" i="48"/>
  <c r="C95" i="48"/>
  <c r="B95" i="48"/>
  <c r="AA94" i="48"/>
  <c r="Z94" i="48"/>
  <c r="Y94" i="48"/>
  <c r="X94" i="48"/>
  <c r="W94" i="48"/>
  <c r="V94" i="48"/>
  <c r="U94" i="48"/>
  <c r="T94" i="48"/>
  <c r="S94" i="48"/>
  <c r="R94" i="48"/>
  <c r="Q94" i="48"/>
  <c r="AA92" i="48"/>
  <c r="Z92" i="48"/>
  <c r="Y92" i="48"/>
  <c r="X92" i="48"/>
  <c r="W92" i="48"/>
  <c r="V92" i="48"/>
  <c r="U92" i="48"/>
  <c r="T92" i="48"/>
  <c r="S92" i="48"/>
  <c r="R92" i="48"/>
  <c r="Q92" i="48"/>
  <c r="D92" i="48"/>
  <c r="C92" i="48"/>
  <c r="B92" i="48"/>
  <c r="AA91" i="48"/>
  <c r="Z91" i="48"/>
  <c r="Y91" i="48"/>
  <c r="X91" i="48"/>
  <c r="W91" i="48"/>
  <c r="V91" i="48"/>
  <c r="U91" i="48"/>
  <c r="T91" i="48"/>
  <c r="S91" i="48"/>
  <c r="R91" i="48"/>
  <c r="Q91" i="48"/>
  <c r="D91" i="48"/>
  <c r="C91" i="48"/>
  <c r="B91" i="48"/>
  <c r="AA90" i="48"/>
  <c r="Z90" i="48"/>
  <c r="Y90" i="48"/>
  <c r="X90" i="48"/>
  <c r="W90" i="48"/>
  <c r="V90" i="48"/>
  <c r="U90" i="48"/>
  <c r="T90" i="48"/>
  <c r="S90" i="48"/>
  <c r="R90" i="48"/>
  <c r="Q90" i="48"/>
  <c r="D90" i="48"/>
  <c r="C90" i="48"/>
  <c r="B90" i="48"/>
  <c r="AA89" i="48"/>
  <c r="Z89" i="48"/>
  <c r="Y89" i="48"/>
  <c r="X89" i="48"/>
  <c r="W89" i="48"/>
  <c r="V89" i="48"/>
  <c r="U89" i="48"/>
  <c r="T89" i="48"/>
  <c r="S89" i="48"/>
  <c r="R89" i="48"/>
  <c r="Q89" i="48"/>
  <c r="D89" i="48"/>
  <c r="C89" i="48"/>
  <c r="B89" i="48"/>
  <c r="AA88" i="48"/>
  <c r="Z88" i="48"/>
  <c r="Y88" i="48"/>
  <c r="X88" i="48"/>
  <c r="W88" i="48"/>
  <c r="V88" i="48"/>
  <c r="U88" i="48"/>
  <c r="T88" i="48"/>
  <c r="S88" i="48"/>
  <c r="R88" i="48"/>
  <c r="Q88" i="48"/>
  <c r="D88" i="48"/>
  <c r="C88" i="48"/>
  <c r="B88" i="48"/>
  <c r="AA87" i="48"/>
  <c r="Z87" i="48"/>
  <c r="Y87" i="48"/>
  <c r="X87" i="48"/>
  <c r="W87" i="48"/>
  <c r="V87" i="48"/>
  <c r="U87" i="48"/>
  <c r="T87" i="48"/>
  <c r="S87" i="48"/>
  <c r="R87" i="48"/>
  <c r="Q87" i="48"/>
  <c r="D87" i="48"/>
  <c r="C87" i="48"/>
  <c r="B87" i="48"/>
  <c r="AA86" i="48"/>
  <c r="Z86" i="48"/>
  <c r="Y86" i="48"/>
  <c r="X86" i="48"/>
  <c r="W86" i="48"/>
  <c r="V86" i="48"/>
  <c r="U86" i="48"/>
  <c r="T86" i="48"/>
  <c r="S86" i="48"/>
  <c r="R86" i="48"/>
  <c r="Q86" i="48"/>
  <c r="D86" i="48"/>
  <c r="C86" i="48"/>
  <c r="B86" i="48"/>
  <c r="AA85" i="48"/>
  <c r="Z85" i="48"/>
  <c r="Y85" i="48"/>
  <c r="X85" i="48"/>
  <c r="W85" i="48"/>
  <c r="V85" i="48"/>
  <c r="U85" i="48"/>
  <c r="T85" i="48"/>
  <c r="S85" i="48"/>
  <c r="R85" i="48"/>
  <c r="Q85" i="48"/>
  <c r="D85" i="48"/>
  <c r="C85" i="48"/>
  <c r="B85" i="48"/>
  <c r="AA84" i="48"/>
  <c r="Z84" i="48"/>
  <c r="Y84" i="48"/>
  <c r="X84" i="48"/>
  <c r="W84" i="48"/>
  <c r="V84" i="48"/>
  <c r="U84" i="48"/>
  <c r="T84" i="48"/>
  <c r="S84" i="48"/>
  <c r="R84" i="48"/>
  <c r="Q84" i="48"/>
  <c r="D84" i="48"/>
  <c r="C84" i="48"/>
  <c r="B84" i="48"/>
  <c r="AA83" i="48"/>
  <c r="Z83" i="48"/>
  <c r="Y83" i="48"/>
  <c r="X83" i="48"/>
  <c r="W83" i="48"/>
  <c r="V83" i="48"/>
  <c r="U83" i="48"/>
  <c r="T83" i="48"/>
  <c r="S83" i="48"/>
  <c r="R83" i="48"/>
  <c r="Q83" i="48"/>
  <c r="D83" i="48"/>
  <c r="C83" i="48"/>
  <c r="B83" i="48"/>
  <c r="AA82" i="48"/>
  <c r="Z82" i="48"/>
  <c r="Y82" i="48"/>
  <c r="X82" i="48"/>
  <c r="W82" i="48"/>
  <c r="V82" i="48"/>
  <c r="U82" i="48"/>
  <c r="T82" i="48"/>
  <c r="S82" i="48"/>
  <c r="R82" i="48"/>
  <c r="Q82" i="48"/>
  <c r="D82" i="48"/>
  <c r="C82" i="48"/>
  <c r="B82" i="48"/>
  <c r="AA81" i="48"/>
  <c r="Z81" i="48"/>
  <c r="Y81" i="48"/>
  <c r="X81" i="48"/>
  <c r="W81" i="48"/>
  <c r="V81" i="48"/>
  <c r="U81" i="48"/>
  <c r="T81" i="48"/>
  <c r="S81" i="48"/>
  <c r="R81" i="48"/>
  <c r="Q81" i="48"/>
  <c r="D81" i="48"/>
  <c r="C81" i="48"/>
  <c r="B81" i="48"/>
  <c r="AA80" i="48"/>
  <c r="Z80" i="48"/>
  <c r="Y80" i="48"/>
  <c r="X80" i="48"/>
  <c r="W80" i="48"/>
  <c r="V80" i="48"/>
  <c r="U80" i="48"/>
  <c r="T80" i="48"/>
  <c r="S80" i="48"/>
  <c r="R80" i="48"/>
  <c r="Q80" i="48"/>
  <c r="D80" i="48"/>
  <c r="C80" i="48"/>
  <c r="B80" i="48"/>
  <c r="AA79" i="48"/>
  <c r="Z79" i="48"/>
  <c r="Y79" i="48"/>
  <c r="X79" i="48"/>
  <c r="W79" i="48"/>
  <c r="V79" i="48"/>
  <c r="U79" i="48"/>
  <c r="T79" i="48"/>
  <c r="S79" i="48"/>
  <c r="R79" i="48"/>
  <c r="Q79" i="48"/>
  <c r="D79" i="48"/>
  <c r="C79" i="48"/>
  <c r="B79" i="48"/>
  <c r="AA78" i="48"/>
  <c r="Z78" i="48"/>
  <c r="Y78" i="48"/>
  <c r="X78" i="48"/>
  <c r="W78" i="48"/>
  <c r="V78" i="48"/>
  <c r="U78" i="48"/>
  <c r="T78" i="48"/>
  <c r="S78" i="48"/>
  <c r="R78" i="48"/>
  <c r="Q78" i="48"/>
  <c r="D78" i="48"/>
  <c r="C78" i="48"/>
  <c r="B78" i="48"/>
  <c r="AA77" i="48"/>
  <c r="Z77" i="48"/>
  <c r="Y77" i="48"/>
  <c r="X77" i="48"/>
  <c r="W77" i="48"/>
  <c r="V77" i="48"/>
  <c r="U77" i="48"/>
  <c r="T77" i="48"/>
  <c r="S77" i="48"/>
  <c r="R77" i="48"/>
  <c r="Q77" i="48"/>
  <c r="D77" i="48"/>
  <c r="C77" i="48"/>
  <c r="B77" i="48"/>
  <c r="AA76" i="48"/>
  <c r="Z76" i="48"/>
  <c r="Y76" i="48"/>
  <c r="X76" i="48"/>
  <c r="W76" i="48"/>
  <c r="V76" i="48"/>
  <c r="U76" i="48"/>
  <c r="T76" i="48"/>
  <c r="S76" i="48"/>
  <c r="R76" i="48"/>
  <c r="Q76" i="48"/>
  <c r="D74" i="48"/>
  <c r="C74" i="48"/>
  <c r="B74" i="48"/>
  <c r="D73" i="48"/>
  <c r="C73" i="48"/>
  <c r="B73" i="48"/>
  <c r="D72" i="48"/>
  <c r="C72" i="48"/>
  <c r="B72" i="48"/>
  <c r="D71" i="48"/>
  <c r="C71" i="48"/>
  <c r="B71" i="48"/>
  <c r="D70" i="48"/>
  <c r="C70" i="48"/>
  <c r="B70" i="48"/>
  <c r="D69" i="48"/>
  <c r="C69" i="48"/>
  <c r="B69" i="48"/>
  <c r="D68" i="48"/>
  <c r="C68" i="48"/>
  <c r="B68" i="48"/>
  <c r="AA67" i="48"/>
  <c r="Z67" i="48"/>
  <c r="Y67" i="48"/>
  <c r="X67" i="48"/>
  <c r="W67" i="48"/>
  <c r="V67" i="48"/>
  <c r="U67" i="48"/>
  <c r="T67" i="48"/>
  <c r="S67" i="48"/>
  <c r="R67" i="48"/>
  <c r="Q67" i="48"/>
  <c r="D67" i="48"/>
  <c r="C67" i="48"/>
  <c r="B67" i="48"/>
  <c r="AA66" i="48"/>
  <c r="Z66" i="48"/>
  <c r="Y66" i="48"/>
  <c r="X66" i="48"/>
  <c r="W66" i="48"/>
  <c r="V66" i="48"/>
  <c r="U66" i="48"/>
  <c r="T66" i="48"/>
  <c r="S66" i="48"/>
  <c r="R66" i="48"/>
  <c r="Q66" i="48"/>
  <c r="D66" i="48"/>
  <c r="C66" i="48"/>
  <c r="B66" i="48"/>
  <c r="AA65" i="48"/>
  <c r="Z65" i="48"/>
  <c r="Y65" i="48"/>
  <c r="X65" i="48"/>
  <c r="W65" i="48"/>
  <c r="V65" i="48"/>
  <c r="U65" i="48"/>
  <c r="T65" i="48"/>
  <c r="S65" i="48"/>
  <c r="R65" i="48"/>
  <c r="Q65" i="48"/>
  <c r="D65" i="48"/>
  <c r="C65" i="48"/>
  <c r="B65" i="48"/>
  <c r="AA64" i="48"/>
  <c r="Z64" i="48"/>
  <c r="Y64" i="48"/>
  <c r="X64" i="48"/>
  <c r="W64" i="48"/>
  <c r="V64" i="48"/>
  <c r="U64" i="48"/>
  <c r="T64" i="48"/>
  <c r="S64" i="48"/>
  <c r="R64" i="48"/>
  <c r="Q64" i="48"/>
  <c r="D64" i="48"/>
  <c r="C64" i="48"/>
  <c r="B64" i="48"/>
  <c r="AA63" i="48"/>
  <c r="Z63" i="48"/>
  <c r="Y63" i="48"/>
  <c r="X63" i="48"/>
  <c r="W63" i="48"/>
  <c r="V63" i="48"/>
  <c r="U63" i="48"/>
  <c r="T63" i="48"/>
  <c r="S63" i="48"/>
  <c r="R63" i="48"/>
  <c r="Q63" i="48"/>
  <c r="D63" i="48"/>
  <c r="C63" i="48"/>
  <c r="B63" i="48"/>
  <c r="AA62" i="48"/>
  <c r="Z62" i="48"/>
  <c r="Y62" i="48"/>
  <c r="X62" i="48"/>
  <c r="W62" i="48"/>
  <c r="V62" i="48"/>
  <c r="U62" i="48"/>
  <c r="T62" i="48"/>
  <c r="S62" i="48"/>
  <c r="R62" i="48"/>
  <c r="Q62" i="48"/>
  <c r="D62" i="48"/>
  <c r="C62" i="48"/>
  <c r="B62" i="48"/>
  <c r="AA61" i="48"/>
  <c r="Z61" i="48"/>
  <c r="Y61" i="48"/>
  <c r="X61" i="48"/>
  <c r="W61" i="48"/>
  <c r="V61" i="48"/>
  <c r="U61" i="48"/>
  <c r="T61" i="48"/>
  <c r="S61" i="48"/>
  <c r="R61" i="48"/>
  <c r="Q61" i="48"/>
  <c r="D61" i="48"/>
  <c r="C61" i="48"/>
  <c r="B61" i="48"/>
  <c r="AA60" i="48"/>
  <c r="Z60" i="48"/>
  <c r="Y60" i="48"/>
  <c r="X60" i="48"/>
  <c r="W60" i="48"/>
  <c r="V60" i="48"/>
  <c r="U60" i="48"/>
  <c r="T60" i="48"/>
  <c r="S60" i="48"/>
  <c r="R60" i="48"/>
  <c r="Q60" i="48"/>
  <c r="D60" i="48"/>
  <c r="C60" i="48"/>
  <c r="B60" i="48"/>
  <c r="AA59" i="48"/>
  <c r="Z59" i="48"/>
  <c r="Y59" i="48"/>
  <c r="X59" i="48"/>
  <c r="W59" i="48"/>
  <c r="V59" i="48"/>
  <c r="U59" i="48"/>
  <c r="T59" i="48"/>
  <c r="S59" i="48"/>
  <c r="R59" i="48"/>
  <c r="Q59" i="48"/>
  <c r="D59" i="48"/>
  <c r="C59" i="48"/>
  <c r="B59" i="48"/>
  <c r="AA58" i="48"/>
  <c r="Z58" i="48"/>
  <c r="Y58" i="48"/>
  <c r="X58" i="48"/>
  <c r="W58" i="48"/>
  <c r="V58" i="48"/>
  <c r="U58" i="48"/>
  <c r="T58" i="48"/>
  <c r="S58" i="48"/>
  <c r="R58" i="48"/>
  <c r="Q58" i="48"/>
  <c r="D58" i="48"/>
  <c r="C58" i="48"/>
  <c r="B58" i="48"/>
  <c r="AA57" i="48"/>
  <c r="Z57" i="48"/>
  <c r="Y57" i="48"/>
  <c r="X57" i="48"/>
  <c r="W57" i="48"/>
  <c r="V57" i="48"/>
  <c r="U57" i="48"/>
  <c r="T57" i="48"/>
  <c r="S57" i="48"/>
  <c r="R57" i="48"/>
  <c r="Q57" i="48"/>
  <c r="D57" i="48"/>
  <c r="C57" i="48"/>
  <c r="B57" i="48"/>
  <c r="AA56" i="48"/>
  <c r="Z56" i="48"/>
  <c r="Y56" i="48"/>
  <c r="X56" i="48"/>
  <c r="W56" i="48"/>
  <c r="V56" i="48"/>
  <c r="U56" i="48"/>
  <c r="T56" i="48"/>
  <c r="S56" i="48"/>
  <c r="R56" i="48"/>
  <c r="Q56" i="48"/>
  <c r="D56" i="48"/>
  <c r="C56" i="48"/>
  <c r="B56" i="48"/>
  <c r="AA55" i="48"/>
  <c r="Z55" i="48"/>
  <c r="Y55" i="48"/>
  <c r="X55" i="48"/>
  <c r="W55" i="48"/>
  <c r="V55" i="48"/>
  <c r="U55" i="48"/>
  <c r="T55" i="48"/>
  <c r="S55" i="48"/>
  <c r="R55" i="48"/>
  <c r="Q55" i="48"/>
  <c r="D55" i="48"/>
  <c r="C55" i="48"/>
  <c r="B55" i="48"/>
  <c r="AA54" i="48"/>
  <c r="Z54" i="48"/>
  <c r="Y54" i="48"/>
  <c r="X54" i="48"/>
  <c r="W54" i="48"/>
  <c r="V54" i="48"/>
  <c r="U54" i="48"/>
  <c r="T54" i="48"/>
  <c r="S54" i="48"/>
  <c r="R54" i="48"/>
  <c r="Q54" i="48"/>
  <c r="D54" i="48"/>
  <c r="C54" i="48"/>
  <c r="B54" i="48"/>
  <c r="AA53" i="48"/>
  <c r="Z53" i="48"/>
  <c r="Y53" i="48"/>
  <c r="X53" i="48"/>
  <c r="W53" i="48"/>
  <c r="V53" i="48"/>
  <c r="U53" i="48"/>
  <c r="T53" i="48"/>
  <c r="S53" i="48"/>
  <c r="R53" i="48"/>
  <c r="Q53" i="48"/>
  <c r="D53" i="48"/>
  <c r="C53" i="48"/>
  <c r="B53" i="48"/>
  <c r="AA52" i="48"/>
  <c r="Z52" i="48"/>
  <c r="Y52" i="48"/>
  <c r="X52" i="48"/>
  <c r="W52" i="48"/>
  <c r="V52" i="48"/>
  <c r="U52" i="48"/>
  <c r="T52" i="48"/>
  <c r="S52" i="48"/>
  <c r="R52" i="48"/>
  <c r="Q52" i="48"/>
  <c r="AA51" i="48"/>
  <c r="Z51" i="48"/>
  <c r="Y51" i="48"/>
  <c r="X51" i="48"/>
  <c r="W51" i="48"/>
  <c r="V51" i="48"/>
  <c r="U51" i="48"/>
  <c r="T51" i="48"/>
  <c r="S51" i="48"/>
  <c r="R51" i="48"/>
  <c r="Q51" i="48"/>
  <c r="D51" i="48"/>
  <c r="C51" i="48"/>
  <c r="B51" i="48"/>
  <c r="AA50" i="48"/>
  <c r="Z50" i="48"/>
  <c r="Y50" i="48"/>
  <c r="X50" i="48"/>
  <c r="W50" i="48"/>
  <c r="V50" i="48"/>
  <c r="U50" i="48"/>
  <c r="T50" i="48"/>
  <c r="S50" i="48"/>
  <c r="R50" i="48"/>
  <c r="Q50" i="48"/>
  <c r="E105" i="47"/>
  <c r="E101" i="47"/>
  <c r="E102" i="47"/>
  <c r="E103" i="47"/>
  <c r="E100" i="47"/>
  <c r="E98" i="47"/>
  <c r="E97" i="47"/>
  <c r="E96" i="47"/>
  <c r="E95" i="47"/>
  <c r="E78" i="47"/>
  <c r="E79" i="47"/>
  <c r="E80" i="47"/>
  <c r="E81" i="47"/>
  <c r="E82" i="47"/>
  <c r="E83" i="47"/>
  <c r="E84" i="47"/>
  <c r="E85" i="47"/>
  <c r="E86" i="47"/>
  <c r="E87" i="47"/>
  <c r="E88" i="47"/>
  <c r="E89" i="47"/>
  <c r="E90" i="47"/>
  <c r="E91" i="47"/>
  <c r="E92" i="47"/>
  <c r="E77" i="47"/>
  <c r="E54" i="47"/>
  <c r="E55" i="47"/>
  <c r="E56" i="47"/>
  <c r="E57" i="47"/>
  <c r="E58" i="47"/>
  <c r="E59" i="47"/>
  <c r="E60" i="47"/>
  <c r="E61" i="47"/>
  <c r="E62" i="47"/>
  <c r="E63" i="47"/>
  <c r="E64" i="47"/>
  <c r="E65" i="47"/>
  <c r="E66" i="47"/>
  <c r="E67" i="47"/>
  <c r="E68" i="47"/>
  <c r="E69" i="47"/>
  <c r="E70" i="47"/>
  <c r="E71" i="47"/>
  <c r="E72" i="47"/>
  <c r="E73" i="47"/>
  <c r="E74" i="47"/>
  <c r="E53" i="47"/>
  <c r="E51" i="47"/>
  <c r="AA105" i="47"/>
  <c r="Z105" i="47"/>
  <c r="Y105" i="47"/>
  <c r="X105" i="47"/>
  <c r="W105" i="47"/>
  <c r="V105" i="47"/>
  <c r="U105" i="47"/>
  <c r="T105" i="47"/>
  <c r="S105" i="47"/>
  <c r="R105" i="47"/>
  <c r="Q105" i="47"/>
  <c r="D105" i="47"/>
  <c r="C105" i="47"/>
  <c r="B105" i="47"/>
  <c r="AA104" i="47"/>
  <c r="Z104" i="47"/>
  <c r="Y104" i="47"/>
  <c r="X104" i="47"/>
  <c r="W104" i="47"/>
  <c r="V104" i="47"/>
  <c r="U104" i="47"/>
  <c r="T104" i="47"/>
  <c r="S104" i="47"/>
  <c r="R104" i="47"/>
  <c r="Q104" i="47"/>
  <c r="AA103" i="47"/>
  <c r="Z103" i="47"/>
  <c r="Y103" i="47"/>
  <c r="X103" i="47"/>
  <c r="W103" i="47"/>
  <c r="V103" i="47"/>
  <c r="U103" i="47"/>
  <c r="T103" i="47"/>
  <c r="S103" i="47"/>
  <c r="R103" i="47"/>
  <c r="Q103" i="47"/>
  <c r="D103" i="47"/>
  <c r="C103" i="47"/>
  <c r="B103" i="47"/>
  <c r="AA102" i="47"/>
  <c r="Z102" i="47"/>
  <c r="Y102" i="47"/>
  <c r="X102" i="47"/>
  <c r="W102" i="47"/>
  <c r="V102" i="47"/>
  <c r="U102" i="47"/>
  <c r="T102" i="47"/>
  <c r="S102" i="47"/>
  <c r="R102" i="47"/>
  <c r="Q102" i="47"/>
  <c r="D102" i="47"/>
  <c r="C102" i="47"/>
  <c r="B102" i="47"/>
  <c r="AA101" i="47"/>
  <c r="Z101" i="47"/>
  <c r="Y101" i="47"/>
  <c r="X101" i="47"/>
  <c r="W101" i="47"/>
  <c r="V101" i="47"/>
  <c r="U101" i="47"/>
  <c r="T101" i="47"/>
  <c r="S101" i="47"/>
  <c r="R101" i="47"/>
  <c r="Q101" i="47"/>
  <c r="D101" i="47"/>
  <c r="C101" i="47"/>
  <c r="B101" i="47"/>
  <c r="AA100" i="47"/>
  <c r="Z100" i="47"/>
  <c r="Y100" i="47"/>
  <c r="X100" i="47"/>
  <c r="W100" i="47"/>
  <c r="V100" i="47"/>
  <c r="U100" i="47"/>
  <c r="T100" i="47"/>
  <c r="S100" i="47"/>
  <c r="R100" i="47"/>
  <c r="Q100" i="47"/>
  <c r="D100" i="47"/>
  <c r="C100" i="47"/>
  <c r="B100" i="47"/>
  <c r="AA99" i="47"/>
  <c r="Z99" i="47"/>
  <c r="Y99" i="47"/>
  <c r="X99" i="47"/>
  <c r="W99" i="47"/>
  <c r="V99" i="47"/>
  <c r="U99" i="47"/>
  <c r="T99" i="47"/>
  <c r="S99" i="47"/>
  <c r="R99" i="47"/>
  <c r="Q99" i="47"/>
  <c r="AA98" i="47"/>
  <c r="Z98" i="47"/>
  <c r="Y98" i="47"/>
  <c r="X98" i="47"/>
  <c r="W98" i="47"/>
  <c r="V98" i="47"/>
  <c r="U98" i="47"/>
  <c r="T98" i="47"/>
  <c r="S98" i="47"/>
  <c r="R98" i="47"/>
  <c r="Q98" i="47"/>
  <c r="D98" i="47"/>
  <c r="C98" i="47"/>
  <c r="B98" i="47"/>
  <c r="AA97" i="47"/>
  <c r="Z97" i="47"/>
  <c r="Y97" i="47"/>
  <c r="X97" i="47"/>
  <c r="W97" i="47"/>
  <c r="V97" i="47"/>
  <c r="U97" i="47"/>
  <c r="T97" i="47"/>
  <c r="S97" i="47"/>
  <c r="R97" i="47"/>
  <c r="Q97" i="47"/>
  <c r="D97" i="47"/>
  <c r="C97" i="47"/>
  <c r="B97" i="47"/>
  <c r="AA96" i="47"/>
  <c r="Z96" i="47"/>
  <c r="Y96" i="47"/>
  <c r="X96" i="47"/>
  <c r="W96" i="47"/>
  <c r="V96" i="47"/>
  <c r="U96" i="47"/>
  <c r="T96" i="47"/>
  <c r="S96" i="47"/>
  <c r="R96" i="47"/>
  <c r="Q96" i="47"/>
  <c r="D96" i="47"/>
  <c r="C96" i="47"/>
  <c r="B96" i="47"/>
  <c r="AA95" i="47"/>
  <c r="Z95" i="47"/>
  <c r="Y95" i="47"/>
  <c r="X95" i="47"/>
  <c r="W95" i="47"/>
  <c r="V95" i="47"/>
  <c r="U95" i="47"/>
  <c r="T95" i="47"/>
  <c r="S95" i="47"/>
  <c r="R95" i="47"/>
  <c r="Q95" i="47"/>
  <c r="D95" i="47"/>
  <c r="C95" i="47"/>
  <c r="B95" i="47"/>
  <c r="AA94" i="47"/>
  <c r="Z94" i="47"/>
  <c r="Y94" i="47"/>
  <c r="X94" i="47"/>
  <c r="W94" i="47"/>
  <c r="V94" i="47"/>
  <c r="U94" i="47"/>
  <c r="T94" i="47"/>
  <c r="S94" i="47"/>
  <c r="R94" i="47"/>
  <c r="Q94" i="47"/>
  <c r="AA92" i="47"/>
  <c r="Z92" i="47"/>
  <c r="Y92" i="47"/>
  <c r="X92" i="47"/>
  <c r="W92" i="47"/>
  <c r="V92" i="47"/>
  <c r="U92" i="47"/>
  <c r="T92" i="47"/>
  <c r="S92" i="47"/>
  <c r="R92" i="47"/>
  <c r="Q92" i="47"/>
  <c r="D92" i="47"/>
  <c r="C92" i="47"/>
  <c r="B92" i="47"/>
  <c r="AA91" i="47"/>
  <c r="Z91" i="47"/>
  <c r="Y91" i="47"/>
  <c r="X91" i="47"/>
  <c r="W91" i="47"/>
  <c r="V91" i="47"/>
  <c r="U91" i="47"/>
  <c r="T91" i="47"/>
  <c r="S91" i="47"/>
  <c r="R91" i="47"/>
  <c r="Q91" i="47"/>
  <c r="D91" i="47"/>
  <c r="C91" i="47"/>
  <c r="B91" i="47"/>
  <c r="AA90" i="47"/>
  <c r="Z90" i="47"/>
  <c r="Y90" i="47"/>
  <c r="X90" i="47"/>
  <c r="W90" i="47"/>
  <c r="V90" i="47"/>
  <c r="U90" i="47"/>
  <c r="T90" i="47"/>
  <c r="S90" i="47"/>
  <c r="R90" i="47"/>
  <c r="Q90" i="47"/>
  <c r="D90" i="47"/>
  <c r="C90" i="47"/>
  <c r="B90" i="47"/>
  <c r="AA89" i="47"/>
  <c r="Z89" i="47"/>
  <c r="Y89" i="47"/>
  <c r="X89" i="47"/>
  <c r="W89" i="47"/>
  <c r="V89" i="47"/>
  <c r="U89" i="47"/>
  <c r="T89" i="47"/>
  <c r="S89" i="47"/>
  <c r="R89" i="47"/>
  <c r="Q89" i="47"/>
  <c r="D89" i="47"/>
  <c r="C89" i="47"/>
  <c r="B89" i="47"/>
  <c r="AA88" i="47"/>
  <c r="Z88" i="47"/>
  <c r="Y88" i="47"/>
  <c r="X88" i="47"/>
  <c r="W88" i="47"/>
  <c r="V88" i="47"/>
  <c r="U88" i="47"/>
  <c r="T88" i="47"/>
  <c r="S88" i="47"/>
  <c r="R88" i="47"/>
  <c r="Q88" i="47"/>
  <c r="D88" i="47"/>
  <c r="C88" i="47"/>
  <c r="B88" i="47"/>
  <c r="AA87" i="47"/>
  <c r="Z87" i="47"/>
  <c r="Y87" i="47"/>
  <c r="X87" i="47"/>
  <c r="W87" i="47"/>
  <c r="V87" i="47"/>
  <c r="U87" i="47"/>
  <c r="T87" i="47"/>
  <c r="S87" i="47"/>
  <c r="R87" i="47"/>
  <c r="Q87" i="47"/>
  <c r="D87" i="47"/>
  <c r="C87" i="47"/>
  <c r="B87" i="47"/>
  <c r="AA86" i="47"/>
  <c r="Z86" i="47"/>
  <c r="Y86" i="47"/>
  <c r="X86" i="47"/>
  <c r="W86" i="47"/>
  <c r="V86" i="47"/>
  <c r="U86" i="47"/>
  <c r="T86" i="47"/>
  <c r="S86" i="47"/>
  <c r="R86" i="47"/>
  <c r="Q86" i="47"/>
  <c r="D86" i="47"/>
  <c r="C86" i="47"/>
  <c r="B86" i="47"/>
  <c r="AA85" i="47"/>
  <c r="Z85" i="47"/>
  <c r="Y85" i="47"/>
  <c r="X85" i="47"/>
  <c r="W85" i="47"/>
  <c r="V85" i="47"/>
  <c r="U85" i="47"/>
  <c r="T85" i="47"/>
  <c r="S85" i="47"/>
  <c r="R85" i="47"/>
  <c r="Q85" i="47"/>
  <c r="D85" i="47"/>
  <c r="C85" i="47"/>
  <c r="B85" i="47"/>
  <c r="AA84" i="47"/>
  <c r="Z84" i="47"/>
  <c r="Y84" i="47"/>
  <c r="X84" i="47"/>
  <c r="W84" i="47"/>
  <c r="V84" i="47"/>
  <c r="U84" i="47"/>
  <c r="T84" i="47"/>
  <c r="S84" i="47"/>
  <c r="R84" i="47"/>
  <c r="Q84" i="47"/>
  <c r="D84" i="47"/>
  <c r="C84" i="47"/>
  <c r="B84" i="47"/>
  <c r="AA83" i="47"/>
  <c r="Z83" i="47"/>
  <c r="Y83" i="47"/>
  <c r="X83" i="47"/>
  <c r="W83" i="47"/>
  <c r="V83" i="47"/>
  <c r="U83" i="47"/>
  <c r="T83" i="47"/>
  <c r="S83" i="47"/>
  <c r="R83" i="47"/>
  <c r="Q83" i="47"/>
  <c r="D83" i="47"/>
  <c r="C83" i="47"/>
  <c r="B83" i="47"/>
  <c r="AA82" i="47"/>
  <c r="Z82" i="47"/>
  <c r="Y82" i="47"/>
  <c r="X82" i="47"/>
  <c r="W82" i="47"/>
  <c r="V82" i="47"/>
  <c r="U82" i="47"/>
  <c r="T82" i="47"/>
  <c r="S82" i="47"/>
  <c r="R82" i="47"/>
  <c r="Q82" i="47"/>
  <c r="D82" i="47"/>
  <c r="C82" i="47"/>
  <c r="B82" i="47"/>
  <c r="AA81" i="47"/>
  <c r="Z81" i="47"/>
  <c r="Y81" i="47"/>
  <c r="X81" i="47"/>
  <c r="W81" i="47"/>
  <c r="V81" i="47"/>
  <c r="U81" i="47"/>
  <c r="T81" i="47"/>
  <c r="S81" i="47"/>
  <c r="R81" i="47"/>
  <c r="Q81" i="47"/>
  <c r="D81" i="47"/>
  <c r="C81" i="47"/>
  <c r="B81" i="47"/>
  <c r="AA80" i="47"/>
  <c r="Z80" i="47"/>
  <c r="Y80" i="47"/>
  <c r="X80" i="47"/>
  <c r="W80" i="47"/>
  <c r="V80" i="47"/>
  <c r="U80" i="47"/>
  <c r="T80" i="47"/>
  <c r="S80" i="47"/>
  <c r="R80" i="47"/>
  <c r="Q80" i="47"/>
  <c r="D80" i="47"/>
  <c r="C80" i="47"/>
  <c r="B80" i="47"/>
  <c r="AA79" i="47"/>
  <c r="Z79" i="47"/>
  <c r="Y79" i="47"/>
  <c r="X79" i="47"/>
  <c r="W79" i="47"/>
  <c r="V79" i="47"/>
  <c r="U79" i="47"/>
  <c r="T79" i="47"/>
  <c r="S79" i="47"/>
  <c r="R79" i="47"/>
  <c r="Q79" i="47"/>
  <c r="D79" i="47"/>
  <c r="C79" i="47"/>
  <c r="B79" i="47"/>
  <c r="AA78" i="47"/>
  <c r="Z78" i="47"/>
  <c r="Y78" i="47"/>
  <c r="X78" i="47"/>
  <c r="W78" i="47"/>
  <c r="V78" i="47"/>
  <c r="U78" i="47"/>
  <c r="T78" i="47"/>
  <c r="S78" i="47"/>
  <c r="R78" i="47"/>
  <c r="Q78" i="47"/>
  <c r="D78" i="47"/>
  <c r="C78" i="47"/>
  <c r="B78" i="47"/>
  <c r="AA77" i="47"/>
  <c r="Z77" i="47"/>
  <c r="Y77" i="47"/>
  <c r="X77" i="47"/>
  <c r="W77" i="47"/>
  <c r="V77" i="47"/>
  <c r="U77" i="47"/>
  <c r="T77" i="47"/>
  <c r="S77" i="47"/>
  <c r="R77" i="47"/>
  <c r="Q77" i="47"/>
  <c r="D77" i="47"/>
  <c r="C77" i="47"/>
  <c r="B77" i="47"/>
  <c r="AA76" i="47"/>
  <c r="Z76" i="47"/>
  <c r="Y76" i="47"/>
  <c r="X76" i="47"/>
  <c r="W76" i="47"/>
  <c r="V76" i="47"/>
  <c r="U76" i="47"/>
  <c r="T76" i="47"/>
  <c r="S76" i="47"/>
  <c r="R76" i="47"/>
  <c r="Q76" i="47"/>
  <c r="D74" i="47"/>
  <c r="C74" i="47"/>
  <c r="B74" i="47"/>
  <c r="D73" i="47"/>
  <c r="C73" i="47"/>
  <c r="B73" i="47"/>
  <c r="D72" i="47"/>
  <c r="C72" i="47"/>
  <c r="B72" i="47"/>
  <c r="D71" i="47"/>
  <c r="C71" i="47"/>
  <c r="B71" i="47"/>
  <c r="D70" i="47"/>
  <c r="C70" i="47"/>
  <c r="B70" i="47"/>
  <c r="D69" i="47"/>
  <c r="C69" i="47"/>
  <c r="B69" i="47"/>
  <c r="D68" i="47"/>
  <c r="C68" i="47"/>
  <c r="B68" i="47"/>
  <c r="AA67" i="47"/>
  <c r="Z67" i="47"/>
  <c r="Y67" i="47"/>
  <c r="X67" i="47"/>
  <c r="W67" i="47"/>
  <c r="V67" i="47"/>
  <c r="U67" i="47"/>
  <c r="T67" i="47"/>
  <c r="S67" i="47"/>
  <c r="R67" i="47"/>
  <c r="Q67" i="47"/>
  <c r="D67" i="47"/>
  <c r="C67" i="47"/>
  <c r="B67" i="47"/>
  <c r="AA66" i="47"/>
  <c r="Z66" i="47"/>
  <c r="Y66" i="47"/>
  <c r="X66" i="47"/>
  <c r="W66" i="47"/>
  <c r="V66" i="47"/>
  <c r="U66" i="47"/>
  <c r="T66" i="47"/>
  <c r="S66" i="47"/>
  <c r="R66" i="47"/>
  <c r="Q66" i="47"/>
  <c r="D66" i="47"/>
  <c r="C66" i="47"/>
  <c r="B66" i="47"/>
  <c r="AA65" i="47"/>
  <c r="Z65" i="47"/>
  <c r="Y65" i="47"/>
  <c r="X65" i="47"/>
  <c r="W65" i="47"/>
  <c r="V65" i="47"/>
  <c r="U65" i="47"/>
  <c r="T65" i="47"/>
  <c r="S65" i="47"/>
  <c r="R65" i="47"/>
  <c r="Q65" i="47"/>
  <c r="D65" i="47"/>
  <c r="C65" i="47"/>
  <c r="B65" i="47"/>
  <c r="AA64" i="47"/>
  <c r="Z64" i="47"/>
  <c r="Y64" i="47"/>
  <c r="X64" i="47"/>
  <c r="W64" i="47"/>
  <c r="V64" i="47"/>
  <c r="U64" i="47"/>
  <c r="T64" i="47"/>
  <c r="S64" i="47"/>
  <c r="R64" i="47"/>
  <c r="Q64" i="47"/>
  <c r="D64" i="47"/>
  <c r="C64" i="47"/>
  <c r="B64" i="47"/>
  <c r="AA63" i="47"/>
  <c r="Z63" i="47"/>
  <c r="Y63" i="47"/>
  <c r="X63" i="47"/>
  <c r="W63" i="47"/>
  <c r="V63" i="47"/>
  <c r="U63" i="47"/>
  <c r="T63" i="47"/>
  <c r="S63" i="47"/>
  <c r="R63" i="47"/>
  <c r="Q63" i="47"/>
  <c r="D63" i="47"/>
  <c r="C63" i="47"/>
  <c r="B63" i="47"/>
  <c r="AA62" i="47"/>
  <c r="Z62" i="47"/>
  <c r="Y62" i="47"/>
  <c r="X62" i="47"/>
  <c r="W62" i="47"/>
  <c r="V62" i="47"/>
  <c r="U62" i="47"/>
  <c r="T62" i="47"/>
  <c r="S62" i="47"/>
  <c r="R62" i="47"/>
  <c r="Q62" i="47"/>
  <c r="D62" i="47"/>
  <c r="C62" i="47"/>
  <c r="B62" i="47"/>
  <c r="AA61" i="47"/>
  <c r="Z61" i="47"/>
  <c r="Y61" i="47"/>
  <c r="X61" i="47"/>
  <c r="W61" i="47"/>
  <c r="V61" i="47"/>
  <c r="U61" i="47"/>
  <c r="T61" i="47"/>
  <c r="S61" i="47"/>
  <c r="R61" i="47"/>
  <c r="Q61" i="47"/>
  <c r="D61" i="47"/>
  <c r="C61" i="47"/>
  <c r="B61" i="47"/>
  <c r="AA60" i="47"/>
  <c r="Z60" i="47"/>
  <c r="Y60" i="47"/>
  <c r="X60" i="47"/>
  <c r="W60" i="47"/>
  <c r="V60" i="47"/>
  <c r="U60" i="47"/>
  <c r="T60" i="47"/>
  <c r="S60" i="47"/>
  <c r="R60" i="47"/>
  <c r="Q60" i="47"/>
  <c r="D60" i="47"/>
  <c r="C60" i="47"/>
  <c r="B60" i="47"/>
  <c r="AA59" i="47"/>
  <c r="Z59" i="47"/>
  <c r="Y59" i="47"/>
  <c r="X59" i="47"/>
  <c r="W59" i="47"/>
  <c r="V59" i="47"/>
  <c r="U59" i="47"/>
  <c r="T59" i="47"/>
  <c r="S59" i="47"/>
  <c r="R59" i="47"/>
  <c r="Q59" i="47"/>
  <c r="D59" i="47"/>
  <c r="C59" i="47"/>
  <c r="B59" i="47"/>
  <c r="AA58" i="47"/>
  <c r="Z58" i="47"/>
  <c r="Y58" i="47"/>
  <c r="X58" i="47"/>
  <c r="W58" i="47"/>
  <c r="V58" i="47"/>
  <c r="U58" i="47"/>
  <c r="T58" i="47"/>
  <c r="S58" i="47"/>
  <c r="R58" i="47"/>
  <c r="Q58" i="47"/>
  <c r="D58" i="47"/>
  <c r="C58" i="47"/>
  <c r="B58" i="47"/>
  <c r="AA57" i="47"/>
  <c r="Z57" i="47"/>
  <c r="Y57" i="47"/>
  <c r="X57" i="47"/>
  <c r="W57" i="47"/>
  <c r="V57" i="47"/>
  <c r="U57" i="47"/>
  <c r="T57" i="47"/>
  <c r="S57" i="47"/>
  <c r="R57" i="47"/>
  <c r="Q57" i="47"/>
  <c r="D57" i="47"/>
  <c r="C57" i="47"/>
  <c r="B57" i="47"/>
  <c r="AA56" i="47"/>
  <c r="Z56" i="47"/>
  <c r="Y56" i="47"/>
  <c r="X56" i="47"/>
  <c r="W56" i="47"/>
  <c r="V56" i="47"/>
  <c r="U56" i="47"/>
  <c r="T56" i="47"/>
  <c r="S56" i="47"/>
  <c r="R56" i="47"/>
  <c r="Q56" i="47"/>
  <c r="D56" i="47"/>
  <c r="C56" i="47"/>
  <c r="B56" i="47"/>
  <c r="AA55" i="47"/>
  <c r="Z55" i="47"/>
  <c r="Y55" i="47"/>
  <c r="X55" i="47"/>
  <c r="W55" i="47"/>
  <c r="V55" i="47"/>
  <c r="U55" i="47"/>
  <c r="T55" i="47"/>
  <c r="S55" i="47"/>
  <c r="R55" i="47"/>
  <c r="Q55" i="47"/>
  <c r="D55" i="47"/>
  <c r="C55" i="47"/>
  <c r="B55" i="47"/>
  <c r="AA54" i="47"/>
  <c r="Z54" i="47"/>
  <c r="Y54" i="47"/>
  <c r="X54" i="47"/>
  <c r="W54" i="47"/>
  <c r="V54" i="47"/>
  <c r="U54" i="47"/>
  <c r="T54" i="47"/>
  <c r="S54" i="47"/>
  <c r="R54" i="47"/>
  <c r="Q54" i="47"/>
  <c r="D54" i="47"/>
  <c r="C54" i="47"/>
  <c r="B54" i="47"/>
  <c r="AA53" i="47"/>
  <c r="Z53" i="47"/>
  <c r="Y53" i="47"/>
  <c r="X53" i="47"/>
  <c r="W53" i="47"/>
  <c r="V53" i="47"/>
  <c r="U53" i="47"/>
  <c r="T53" i="47"/>
  <c r="S53" i="47"/>
  <c r="R53" i="47"/>
  <c r="Q53" i="47"/>
  <c r="D53" i="47"/>
  <c r="C53" i="47"/>
  <c r="B53" i="47"/>
  <c r="AA52" i="47"/>
  <c r="Z52" i="47"/>
  <c r="Y52" i="47"/>
  <c r="X52" i="47"/>
  <c r="W52" i="47"/>
  <c r="V52" i="47"/>
  <c r="U52" i="47"/>
  <c r="T52" i="47"/>
  <c r="S52" i="47"/>
  <c r="R52" i="47"/>
  <c r="Q52" i="47"/>
  <c r="AA51" i="47"/>
  <c r="Z51" i="47"/>
  <c r="Y51" i="47"/>
  <c r="X51" i="47"/>
  <c r="W51" i="47"/>
  <c r="V51" i="47"/>
  <c r="U51" i="47"/>
  <c r="T51" i="47"/>
  <c r="S51" i="47"/>
  <c r="R51" i="47"/>
  <c r="Q51" i="47"/>
  <c r="D51" i="47"/>
  <c r="C51" i="47"/>
  <c r="B51" i="47"/>
  <c r="AA50" i="47"/>
  <c r="Z50" i="47"/>
  <c r="Y50" i="47"/>
  <c r="X50" i="47"/>
  <c r="W50" i="47"/>
  <c r="V50" i="47"/>
  <c r="U50" i="47"/>
  <c r="T50" i="47"/>
  <c r="S50" i="47"/>
  <c r="R50" i="47"/>
  <c r="Q50" i="47"/>
  <c r="E105" i="46"/>
  <c r="E101" i="46"/>
  <c r="E102" i="46"/>
  <c r="E103" i="46"/>
  <c r="E100" i="46"/>
  <c r="E96" i="46"/>
  <c r="E97" i="46"/>
  <c r="E98" i="46"/>
  <c r="E95" i="46"/>
  <c r="E78" i="46"/>
  <c r="E79" i="46"/>
  <c r="E80" i="46"/>
  <c r="E81" i="46"/>
  <c r="E82" i="46"/>
  <c r="E83" i="46"/>
  <c r="E84" i="46"/>
  <c r="E85" i="46"/>
  <c r="E86" i="46"/>
  <c r="E87" i="46"/>
  <c r="E88" i="46"/>
  <c r="E89" i="46"/>
  <c r="E90" i="46"/>
  <c r="E91" i="46"/>
  <c r="E92" i="46"/>
  <c r="E77" i="46"/>
  <c r="E54" i="46"/>
  <c r="E55" i="46"/>
  <c r="E56" i="46"/>
  <c r="E57" i="46"/>
  <c r="E58" i="46"/>
  <c r="E59" i="46"/>
  <c r="E60" i="46"/>
  <c r="E61" i="46"/>
  <c r="E62" i="46"/>
  <c r="E63" i="46"/>
  <c r="E64" i="46"/>
  <c r="E65" i="46"/>
  <c r="E66" i="46"/>
  <c r="E67" i="46"/>
  <c r="E68" i="46"/>
  <c r="E69" i="46"/>
  <c r="E70" i="46"/>
  <c r="E71" i="46"/>
  <c r="E72" i="46"/>
  <c r="E73" i="46"/>
  <c r="E74" i="46"/>
  <c r="E53" i="46"/>
  <c r="E51" i="46"/>
  <c r="AA105" i="46"/>
  <c r="Z105" i="46"/>
  <c r="Y105" i="46"/>
  <c r="X105" i="46"/>
  <c r="W105" i="46"/>
  <c r="V105" i="46"/>
  <c r="U105" i="46"/>
  <c r="T105" i="46"/>
  <c r="S105" i="46"/>
  <c r="R105" i="46"/>
  <c r="Q105" i="46"/>
  <c r="D105" i="46"/>
  <c r="C105" i="46"/>
  <c r="B105" i="46"/>
  <c r="AA104" i="46"/>
  <c r="Z104" i="46"/>
  <c r="Y104" i="46"/>
  <c r="X104" i="46"/>
  <c r="W104" i="46"/>
  <c r="V104" i="46"/>
  <c r="U104" i="46"/>
  <c r="T104" i="46"/>
  <c r="S104" i="46"/>
  <c r="R104" i="46"/>
  <c r="Q104" i="46"/>
  <c r="AA103" i="46"/>
  <c r="Z103" i="46"/>
  <c r="Y103" i="46"/>
  <c r="X103" i="46"/>
  <c r="W103" i="46"/>
  <c r="V103" i="46"/>
  <c r="U103" i="46"/>
  <c r="T103" i="46"/>
  <c r="S103" i="46"/>
  <c r="R103" i="46"/>
  <c r="Q103" i="46"/>
  <c r="D103" i="46"/>
  <c r="C103" i="46"/>
  <c r="B103" i="46"/>
  <c r="AA102" i="46"/>
  <c r="Z102" i="46"/>
  <c r="Y102" i="46"/>
  <c r="X102" i="46"/>
  <c r="W102" i="46"/>
  <c r="V102" i="46"/>
  <c r="U102" i="46"/>
  <c r="T102" i="46"/>
  <c r="S102" i="46"/>
  <c r="R102" i="46"/>
  <c r="Q102" i="46"/>
  <c r="D102" i="46"/>
  <c r="C102" i="46"/>
  <c r="B102" i="46"/>
  <c r="AA101" i="46"/>
  <c r="Z101" i="46"/>
  <c r="Y101" i="46"/>
  <c r="X101" i="46"/>
  <c r="W101" i="46"/>
  <c r="V101" i="46"/>
  <c r="U101" i="46"/>
  <c r="T101" i="46"/>
  <c r="S101" i="46"/>
  <c r="R101" i="46"/>
  <c r="Q101" i="46"/>
  <c r="D101" i="46"/>
  <c r="C101" i="46"/>
  <c r="B101" i="46"/>
  <c r="AA100" i="46"/>
  <c r="Z100" i="46"/>
  <c r="Y100" i="46"/>
  <c r="X100" i="46"/>
  <c r="W100" i="46"/>
  <c r="V100" i="46"/>
  <c r="U100" i="46"/>
  <c r="T100" i="46"/>
  <c r="S100" i="46"/>
  <c r="R100" i="46"/>
  <c r="Q100" i="46"/>
  <c r="D100" i="46"/>
  <c r="C100" i="46"/>
  <c r="B100" i="46"/>
  <c r="AA99" i="46"/>
  <c r="Z99" i="46"/>
  <c r="Y99" i="46"/>
  <c r="X99" i="46"/>
  <c r="W99" i="46"/>
  <c r="V99" i="46"/>
  <c r="U99" i="46"/>
  <c r="T99" i="46"/>
  <c r="S99" i="46"/>
  <c r="R99" i="46"/>
  <c r="Q99" i="46"/>
  <c r="AA98" i="46"/>
  <c r="Z98" i="46"/>
  <c r="Y98" i="46"/>
  <c r="X98" i="46"/>
  <c r="W98" i="46"/>
  <c r="V98" i="46"/>
  <c r="U98" i="46"/>
  <c r="T98" i="46"/>
  <c r="S98" i="46"/>
  <c r="R98" i="46"/>
  <c r="Q98" i="46"/>
  <c r="D98" i="46"/>
  <c r="C98" i="46"/>
  <c r="B98" i="46"/>
  <c r="AA97" i="46"/>
  <c r="Z97" i="46"/>
  <c r="Y97" i="46"/>
  <c r="X97" i="46"/>
  <c r="W97" i="46"/>
  <c r="V97" i="46"/>
  <c r="U97" i="46"/>
  <c r="T97" i="46"/>
  <c r="S97" i="46"/>
  <c r="R97" i="46"/>
  <c r="Q97" i="46"/>
  <c r="D97" i="46"/>
  <c r="C97" i="46"/>
  <c r="B97" i="46"/>
  <c r="AA96" i="46"/>
  <c r="Z96" i="46"/>
  <c r="Y96" i="46"/>
  <c r="X96" i="46"/>
  <c r="W96" i="46"/>
  <c r="V96" i="46"/>
  <c r="U96" i="46"/>
  <c r="T96" i="46"/>
  <c r="S96" i="46"/>
  <c r="R96" i="46"/>
  <c r="Q96" i="46"/>
  <c r="D96" i="46"/>
  <c r="C96" i="46"/>
  <c r="B96" i="46"/>
  <c r="AA95" i="46"/>
  <c r="Z95" i="46"/>
  <c r="Y95" i="46"/>
  <c r="X95" i="46"/>
  <c r="W95" i="46"/>
  <c r="V95" i="46"/>
  <c r="U95" i="46"/>
  <c r="T95" i="46"/>
  <c r="S95" i="46"/>
  <c r="R95" i="46"/>
  <c r="Q95" i="46"/>
  <c r="D95" i="46"/>
  <c r="C95" i="46"/>
  <c r="B95" i="46"/>
  <c r="AA94" i="46"/>
  <c r="Z94" i="46"/>
  <c r="Y94" i="46"/>
  <c r="X94" i="46"/>
  <c r="W94" i="46"/>
  <c r="V94" i="46"/>
  <c r="U94" i="46"/>
  <c r="T94" i="46"/>
  <c r="S94" i="46"/>
  <c r="R94" i="46"/>
  <c r="Q94" i="46"/>
  <c r="AA92" i="46"/>
  <c r="Z92" i="46"/>
  <c r="Y92" i="46"/>
  <c r="X92" i="46"/>
  <c r="W92" i="46"/>
  <c r="V92" i="46"/>
  <c r="U92" i="46"/>
  <c r="T92" i="46"/>
  <c r="S92" i="46"/>
  <c r="R92" i="46"/>
  <c r="Q92" i="46"/>
  <c r="D92" i="46"/>
  <c r="C92" i="46"/>
  <c r="B92" i="46"/>
  <c r="AA91" i="46"/>
  <c r="Z91" i="46"/>
  <c r="Y91" i="46"/>
  <c r="X91" i="46"/>
  <c r="W91" i="46"/>
  <c r="V91" i="46"/>
  <c r="U91" i="46"/>
  <c r="T91" i="46"/>
  <c r="S91" i="46"/>
  <c r="R91" i="46"/>
  <c r="Q91" i="46"/>
  <c r="D91" i="46"/>
  <c r="C91" i="46"/>
  <c r="B91" i="46"/>
  <c r="AA90" i="46"/>
  <c r="Z90" i="46"/>
  <c r="Y90" i="46"/>
  <c r="X90" i="46"/>
  <c r="W90" i="46"/>
  <c r="V90" i="46"/>
  <c r="U90" i="46"/>
  <c r="T90" i="46"/>
  <c r="S90" i="46"/>
  <c r="R90" i="46"/>
  <c r="Q90" i="46"/>
  <c r="D90" i="46"/>
  <c r="C90" i="46"/>
  <c r="B90" i="46"/>
  <c r="AA89" i="46"/>
  <c r="Z89" i="46"/>
  <c r="Y89" i="46"/>
  <c r="X89" i="46"/>
  <c r="W89" i="46"/>
  <c r="V89" i="46"/>
  <c r="U89" i="46"/>
  <c r="T89" i="46"/>
  <c r="S89" i="46"/>
  <c r="R89" i="46"/>
  <c r="Q89" i="46"/>
  <c r="D89" i="46"/>
  <c r="C89" i="46"/>
  <c r="B89" i="46"/>
  <c r="AA88" i="46"/>
  <c r="Z88" i="46"/>
  <c r="Y88" i="46"/>
  <c r="X88" i="46"/>
  <c r="W88" i="46"/>
  <c r="V88" i="46"/>
  <c r="U88" i="46"/>
  <c r="T88" i="46"/>
  <c r="S88" i="46"/>
  <c r="R88" i="46"/>
  <c r="Q88" i="46"/>
  <c r="D88" i="46"/>
  <c r="C88" i="46"/>
  <c r="B88" i="46"/>
  <c r="AA87" i="46"/>
  <c r="Z87" i="46"/>
  <c r="Y87" i="46"/>
  <c r="X87" i="46"/>
  <c r="W87" i="46"/>
  <c r="V87" i="46"/>
  <c r="U87" i="46"/>
  <c r="T87" i="46"/>
  <c r="S87" i="46"/>
  <c r="R87" i="46"/>
  <c r="Q87" i="46"/>
  <c r="D87" i="46"/>
  <c r="C87" i="46"/>
  <c r="B87" i="46"/>
  <c r="AA86" i="46"/>
  <c r="Z86" i="46"/>
  <c r="Y86" i="46"/>
  <c r="X86" i="46"/>
  <c r="W86" i="46"/>
  <c r="V86" i="46"/>
  <c r="U86" i="46"/>
  <c r="T86" i="46"/>
  <c r="S86" i="46"/>
  <c r="R86" i="46"/>
  <c r="Q86" i="46"/>
  <c r="D86" i="46"/>
  <c r="C86" i="46"/>
  <c r="B86" i="46"/>
  <c r="AA85" i="46"/>
  <c r="Z85" i="46"/>
  <c r="Y85" i="46"/>
  <c r="X85" i="46"/>
  <c r="W85" i="46"/>
  <c r="V85" i="46"/>
  <c r="U85" i="46"/>
  <c r="T85" i="46"/>
  <c r="S85" i="46"/>
  <c r="R85" i="46"/>
  <c r="Q85" i="46"/>
  <c r="D85" i="46"/>
  <c r="C85" i="46"/>
  <c r="B85" i="46"/>
  <c r="AA84" i="46"/>
  <c r="Z84" i="46"/>
  <c r="Y84" i="46"/>
  <c r="X84" i="46"/>
  <c r="W84" i="46"/>
  <c r="V84" i="46"/>
  <c r="U84" i="46"/>
  <c r="T84" i="46"/>
  <c r="S84" i="46"/>
  <c r="R84" i="46"/>
  <c r="Q84" i="46"/>
  <c r="D84" i="46"/>
  <c r="C84" i="46"/>
  <c r="B84" i="46"/>
  <c r="AA83" i="46"/>
  <c r="Z83" i="46"/>
  <c r="Y83" i="46"/>
  <c r="X83" i="46"/>
  <c r="W83" i="46"/>
  <c r="V83" i="46"/>
  <c r="U83" i="46"/>
  <c r="T83" i="46"/>
  <c r="S83" i="46"/>
  <c r="R83" i="46"/>
  <c r="Q83" i="46"/>
  <c r="D83" i="46"/>
  <c r="C83" i="46"/>
  <c r="B83" i="46"/>
  <c r="AA82" i="46"/>
  <c r="Z82" i="46"/>
  <c r="Y82" i="46"/>
  <c r="X82" i="46"/>
  <c r="W82" i="46"/>
  <c r="V82" i="46"/>
  <c r="U82" i="46"/>
  <c r="T82" i="46"/>
  <c r="S82" i="46"/>
  <c r="R82" i="46"/>
  <c r="Q82" i="46"/>
  <c r="D82" i="46"/>
  <c r="C82" i="46"/>
  <c r="B82" i="46"/>
  <c r="AA81" i="46"/>
  <c r="Z81" i="46"/>
  <c r="Y81" i="46"/>
  <c r="X81" i="46"/>
  <c r="W81" i="46"/>
  <c r="V81" i="46"/>
  <c r="U81" i="46"/>
  <c r="T81" i="46"/>
  <c r="S81" i="46"/>
  <c r="R81" i="46"/>
  <c r="Q81" i="46"/>
  <c r="D81" i="46"/>
  <c r="C81" i="46"/>
  <c r="B81" i="46"/>
  <c r="AA80" i="46"/>
  <c r="Z80" i="46"/>
  <c r="Y80" i="46"/>
  <c r="X80" i="46"/>
  <c r="W80" i="46"/>
  <c r="V80" i="46"/>
  <c r="U80" i="46"/>
  <c r="T80" i="46"/>
  <c r="S80" i="46"/>
  <c r="R80" i="46"/>
  <c r="Q80" i="46"/>
  <c r="D80" i="46"/>
  <c r="C80" i="46"/>
  <c r="B80" i="46"/>
  <c r="AA79" i="46"/>
  <c r="Z79" i="46"/>
  <c r="Y79" i="46"/>
  <c r="X79" i="46"/>
  <c r="W79" i="46"/>
  <c r="V79" i="46"/>
  <c r="U79" i="46"/>
  <c r="T79" i="46"/>
  <c r="S79" i="46"/>
  <c r="R79" i="46"/>
  <c r="Q79" i="46"/>
  <c r="D79" i="46"/>
  <c r="C79" i="46"/>
  <c r="B79" i="46"/>
  <c r="AA78" i="46"/>
  <c r="Z78" i="46"/>
  <c r="Y78" i="46"/>
  <c r="X78" i="46"/>
  <c r="W78" i="46"/>
  <c r="V78" i="46"/>
  <c r="U78" i="46"/>
  <c r="T78" i="46"/>
  <c r="S78" i="46"/>
  <c r="R78" i="46"/>
  <c r="Q78" i="46"/>
  <c r="D78" i="46"/>
  <c r="C78" i="46"/>
  <c r="B78" i="46"/>
  <c r="AA77" i="46"/>
  <c r="Z77" i="46"/>
  <c r="Y77" i="46"/>
  <c r="X77" i="46"/>
  <c r="W77" i="46"/>
  <c r="V77" i="46"/>
  <c r="U77" i="46"/>
  <c r="T77" i="46"/>
  <c r="S77" i="46"/>
  <c r="R77" i="46"/>
  <c r="Q77" i="46"/>
  <c r="D77" i="46"/>
  <c r="C77" i="46"/>
  <c r="B77" i="46"/>
  <c r="AA76" i="46"/>
  <c r="Z76" i="46"/>
  <c r="Y76" i="46"/>
  <c r="X76" i="46"/>
  <c r="W76" i="46"/>
  <c r="V76" i="46"/>
  <c r="U76" i="46"/>
  <c r="T76" i="46"/>
  <c r="S76" i="46"/>
  <c r="R76" i="46"/>
  <c r="Q76" i="46"/>
  <c r="D74" i="46"/>
  <c r="C74" i="46"/>
  <c r="B74" i="46"/>
  <c r="D73" i="46"/>
  <c r="C73" i="46"/>
  <c r="B73" i="46"/>
  <c r="D72" i="46"/>
  <c r="C72" i="46"/>
  <c r="B72" i="46"/>
  <c r="D71" i="46"/>
  <c r="C71" i="46"/>
  <c r="B71" i="46"/>
  <c r="D70" i="46"/>
  <c r="C70" i="46"/>
  <c r="B70" i="46"/>
  <c r="D69" i="46"/>
  <c r="C69" i="46"/>
  <c r="B69" i="46"/>
  <c r="D68" i="46"/>
  <c r="C68" i="46"/>
  <c r="B68" i="46"/>
  <c r="AA67" i="46"/>
  <c r="Z67" i="46"/>
  <c r="Y67" i="46"/>
  <c r="X67" i="46"/>
  <c r="W67" i="46"/>
  <c r="V67" i="46"/>
  <c r="U67" i="46"/>
  <c r="T67" i="46"/>
  <c r="S67" i="46"/>
  <c r="R67" i="46"/>
  <c r="Q67" i="46"/>
  <c r="D67" i="46"/>
  <c r="C67" i="46"/>
  <c r="B67" i="46"/>
  <c r="AA66" i="46"/>
  <c r="Z66" i="46"/>
  <c r="Y66" i="46"/>
  <c r="X66" i="46"/>
  <c r="W66" i="46"/>
  <c r="V66" i="46"/>
  <c r="U66" i="46"/>
  <c r="T66" i="46"/>
  <c r="S66" i="46"/>
  <c r="R66" i="46"/>
  <c r="Q66" i="46"/>
  <c r="D66" i="46"/>
  <c r="C66" i="46"/>
  <c r="B66" i="46"/>
  <c r="AA65" i="46"/>
  <c r="Z65" i="46"/>
  <c r="Y65" i="46"/>
  <c r="X65" i="46"/>
  <c r="W65" i="46"/>
  <c r="V65" i="46"/>
  <c r="U65" i="46"/>
  <c r="T65" i="46"/>
  <c r="S65" i="46"/>
  <c r="R65" i="46"/>
  <c r="Q65" i="46"/>
  <c r="D65" i="46"/>
  <c r="C65" i="46"/>
  <c r="B65" i="46"/>
  <c r="AA64" i="46"/>
  <c r="Z64" i="46"/>
  <c r="Y64" i="46"/>
  <c r="X64" i="46"/>
  <c r="W64" i="46"/>
  <c r="V64" i="46"/>
  <c r="U64" i="46"/>
  <c r="T64" i="46"/>
  <c r="S64" i="46"/>
  <c r="R64" i="46"/>
  <c r="Q64" i="46"/>
  <c r="D64" i="46"/>
  <c r="C64" i="46"/>
  <c r="B64" i="46"/>
  <c r="AA63" i="46"/>
  <c r="Z63" i="46"/>
  <c r="Y63" i="46"/>
  <c r="X63" i="46"/>
  <c r="W63" i="46"/>
  <c r="V63" i="46"/>
  <c r="U63" i="46"/>
  <c r="T63" i="46"/>
  <c r="S63" i="46"/>
  <c r="R63" i="46"/>
  <c r="Q63" i="46"/>
  <c r="D63" i="46"/>
  <c r="C63" i="46"/>
  <c r="B63" i="46"/>
  <c r="AA62" i="46"/>
  <c r="Z62" i="46"/>
  <c r="Y62" i="46"/>
  <c r="X62" i="46"/>
  <c r="W62" i="46"/>
  <c r="V62" i="46"/>
  <c r="U62" i="46"/>
  <c r="T62" i="46"/>
  <c r="S62" i="46"/>
  <c r="R62" i="46"/>
  <c r="Q62" i="46"/>
  <c r="D62" i="46"/>
  <c r="C62" i="46"/>
  <c r="B62" i="46"/>
  <c r="AA61" i="46"/>
  <c r="Z61" i="46"/>
  <c r="Y61" i="46"/>
  <c r="X61" i="46"/>
  <c r="W61" i="46"/>
  <c r="V61" i="46"/>
  <c r="U61" i="46"/>
  <c r="T61" i="46"/>
  <c r="S61" i="46"/>
  <c r="R61" i="46"/>
  <c r="Q61" i="46"/>
  <c r="D61" i="46"/>
  <c r="C61" i="46"/>
  <c r="B61" i="46"/>
  <c r="AA60" i="46"/>
  <c r="Z60" i="46"/>
  <c r="Y60" i="46"/>
  <c r="X60" i="46"/>
  <c r="W60" i="46"/>
  <c r="V60" i="46"/>
  <c r="U60" i="46"/>
  <c r="T60" i="46"/>
  <c r="S60" i="46"/>
  <c r="R60" i="46"/>
  <c r="Q60" i="46"/>
  <c r="D60" i="46"/>
  <c r="C60" i="46"/>
  <c r="B60" i="46"/>
  <c r="AA59" i="46"/>
  <c r="Z59" i="46"/>
  <c r="Y59" i="46"/>
  <c r="X59" i="46"/>
  <c r="W59" i="46"/>
  <c r="V59" i="46"/>
  <c r="U59" i="46"/>
  <c r="T59" i="46"/>
  <c r="S59" i="46"/>
  <c r="R59" i="46"/>
  <c r="Q59" i="46"/>
  <c r="D59" i="46"/>
  <c r="C59" i="46"/>
  <c r="B59" i="46"/>
  <c r="AA58" i="46"/>
  <c r="Z58" i="46"/>
  <c r="Y58" i="46"/>
  <c r="X58" i="46"/>
  <c r="W58" i="46"/>
  <c r="V58" i="46"/>
  <c r="U58" i="46"/>
  <c r="T58" i="46"/>
  <c r="S58" i="46"/>
  <c r="R58" i="46"/>
  <c r="Q58" i="46"/>
  <c r="D58" i="46"/>
  <c r="C58" i="46"/>
  <c r="B58" i="46"/>
  <c r="AA57" i="46"/>
  <c r="Z57" i="46"/>
  <c r="Y57" i="46"/>
  <c r="X57" i="46"/>
  <c r="W57" i="46"/>
  <c r="V57" i="46"/>
  <c r="U57" i="46"/>
  <c r="T57" i="46"/>
  <c r="S57" i="46"/>
  <c r="R57" i="46"/>
  <c r="Q57" i="46"/>
  <c r="D57" i="46"/>
  <c r="C57" i="46"/>
  <c r="B57" i="46"/>
  <c r="AA56" i="46"/>
  <c r="Z56" i="46"/>
  <c r="Y56" i="46"/>
  <c r="X56" i="46"/>
  <c r="W56" i="46"/>
  <c r="V56" i="46"/>
  <c r="U56" i="46"/>
  <c r="T56" i="46"/>
  <c r="S56" i="46"/>
  <c r="R56" i="46"/>
  <c r="Q56" i="46"/>
  <c r="D56" i="46"/>
  <c r="C56" i="46"/>
  <c r="B56" i="46"/>
  <c r="AA55" i="46"/>
  <c r="Z55" i="46"/>
  <c r="Y55" i="46"/>
  <c r="X55" i="46"/>
  <c r="W55" i="46"/>
  <c r="V55" i="46"/>
  <c r="U55" i="46"/>
  <c r="T55" i="46"/>
  <c r="S55" i="46"/>
  <c r="R55" i="46"/>
  <c r="Q55" i="46"/>
  <c r="D55" i="46"/>
  <c r="C55" i="46"/>
  <c r="B55" i="46"/>
  <c r="AA54" i="46"/>
  <c r="Z54" i="46"/>
  <c r="Y54" i="46"/>
  <c r="X54" i="46"/>
  <c r="W54" i="46"/>
  <c r="V54" i="46"/>
  <c r="U54" i="46"/>
  <c r="T54" i="46"/>
  <c r="S54" i="46"/>
  <c r="R54" i="46"/>
  <c r="Q54" i="46"/>
  <c r="D54" i="46"/>
  <c r="C54" i="46"/>
  <c r="B54" i="46"/>
  <c r="AA53" i="46"/>
  <c r="Z53" i="46"/>
  <c r="Y53" i="46"/>
  <c r="X53" i="46"/>
  <c r="W53" i="46"/>
  <c r="V53" i="46"/>
  <c r="U53" i="46"/>
  <c r="T53" i="46"/>
  <c r="S53" i="46"/>
  <c r="R53" i="46"/>
  <c r="Q53" i="46"/>
  <c r="D53" i="46"/>
  <c r="C53" i="46"/>
  <c r="B53" i="46"/>
  <c r="AA52" i="46"/>
  <c r="Z52" i="46"/>
  <c r="Y52" i="46"/>
  <c r="X52" i="46"/>
  <c r="W52" i="46"/>
  <c r="V52" i="46"/>
  <c r="U52" i="46"/>
  <c r="T52" i="46"/>
  <c r="S52" i="46"/>
  <c r="R52" i="46"/>
  <c r="Q52" i="46"/>
  <c r="AA51" i="46"/>
  <c r="Z51" i="46"/>
  <c r="Y51" i="46"/>
  <c r="X51" i="46"/>
  <c r="W51" i="46"/>
  <c r="V51" i="46"/>
  <c r="U51" i="46"/>
  <c r="T51" i="46"/>
  <c r="S51" i="46"/>
  <c r="R51" i="46"/>
  <c r="Q51" i="46"/>
  <c r="D51" i="46"/>
  <c r="C51" i="46"/>
  <c r="B51" i="46"/>
  <c r="AA50" i="46"/>
  <c r="Z50" i="46"/>
  <c r="Y50" i="46"/>
  <c r="X50" i="46"/>
  <c r="W50" i="46"/>
  <c r="V50" i="46"/>
  <c r="U50" i="46"/>
  <c r="T50" i="46"/>
  <c r="S50" i="46"/>
  <c r="R50" i="46"/>
  <c r="Q50" i="46"/>
  <c r="AA105" i="45"/>
  <c r="Z105" i="45"/>
  <c r="Y105" i="45"/>
  <c r="X105" i="45"/>
  <c r="W105" i="45"/>
  <c r="V105" i="45"/>
  <c r="U105" i="45"/>
  <c r="T105" i="45"/>
  <c r="S105" i="45"/>
  <c r="R105" i="45"/>
  <c r="Q105" i="45"/>
  <c r="E105" i="45"/>
  <c r="D105" i="45"/>
  <c r="C105" i="45"/>
  <c r="B105" i="45"/>
  <c r="AA104" i="45"/>
  <c r="Z104" i="45"/>
  <c r="Y104" i="45"/>
  <c r="X104" i="45"/>
  <c r="W104" i="45"/>
  <c r="V104" i="45"/>
  <c r="U104" i="45"/>
  <c r="T104" i="45"/>
  <c r="S104" i="45"/>
  <c r="R104" i="45"/>
  <c r="Q104" i="45"/>
  <c r="AA103" i="45"/>
  <c r="Z103" i="45"/>
  <c r="Y103" i="45"/>
  <c r="X103" i="45"/>
  <c r="W103" i="45"/>
  <c r="V103" i="45"/>
  <c r="U103" i="45"/>
  <c r="T103" i="45"/>
  <c r="S103" i="45"/>
  <c r="R103" i="45"/>
  <c r="Q103" i="45"/>
  <c r="E103" i="45"/>
  <c r="D103" i="45"/>
  <c r="C103" i="45"/>
  <c r="B103" i="45"/>
  <c r="AA102" i="45"/>
  <c r="Z102" i="45"/>
  <c r="Y102" i="45"/>
  <c r="X102" i="45"/>
  <c r="W102" i="45"/>
  <c r="V102" i="45"/>
  <c r="U102" i="45"/>
  <c r="T102" i="45"/>
  <c r="S102" i="45"/>
  <c r="R102" i="45"/>
  <c r="Q102" i="45"/>
  <c r="E102" i="45"/>
  <c r="D102" i="45"/>
  <c r="C102" i="45"/>
  <c r="B102" i="45"/>
  <c r="AA101" i="45"/>
  <c r="Z101" i="45"/>
  <c r="Y101" i="45"/>
  <c r="X101" i="45"/>
  <c r="W101" i="45"/>
  <c r="V101" i="45"/>
  <c r="U101" i="45"/>
  <c r="T101" i="45"/>
  <c r="S101" i="45"/>
  <c r="R101" i="45"/>
  <c r="Q101" i="45"/>
  <c r="E101" i="45"/>
  <c r="D101" i="45"/>
  <c r="C101" i="45"/>
  <c r="B101" i="45"/>
  <c r="AA100" i="45"/>
  <c r="Z100" i="45"/>
  <c r="Y100" i="45"/>
  <c r="X100" i="45"/>
  <c r="W100" i="45"/>
  <c r="V100" i="45"/>
  <c r="U100" i="45"/>
  <c r="T100" i="45"/>
  <c r="S100" i="45"/>
  <c r="R100" i="45"/>
  <c r="Q100" i="45"/>
  <c r="E100" i="45"/>
  <c r="D100" i="45"/>
  <c r="C100" i="45"/>
  <c r="B100" i="45"/>
  <c r="AA99" i="45"/>
  <c r="Z99" i="45"/>
  <c r="Y99" i="45"/>
  <c r="X99" i="45"/>
  <c r="W99" i="45"/>
  <c r="V99" i="45"/>
  <c r="U99" i="45"/>
  <c r="T99" i="45"/>
  <c r="S99" i="45"/>
  <c r="R99" i="45"/>
  <c r="Q99" i="45"/>
  <c r="AA98" i="45"/>
  <c r="Z98" i="45"/>
  <c r="Y98" i="45"/>
  <c r="X98" i="45"/>
  <c r="W98" i="45"/>
  <c r="V98" i="45"/>
  <c r="U98" i="45"/>
  <c r="T98" i="45"/>
  <c r="S98" i="45"/>
  <c r="R98" i="45"/>
  <c r="Q98" i="45"/>
  <c r="E98" i="45"/>
  <c r="D98" i="45"/>
  <c r="C98" i="45"/>
  <c r="B98" i="45"/>
  <c r="AA97" i="45"/>
  <c r="Z97" i="45"/>
  <c r="Y97" i="45"/>
  <c r="X97" i="45"/>
  <c r="W97" i="45"/>
  <c r="V97" i="45"/>
  <c r="U97" i="45"/>
  <c r="T97" i="45"/>
  <c r="S97" i="45"/>
  <c r="R97" i="45"/>
  <c r="Q97" i="45"/>
  <c r="E97" i="45"/>
  <c r="D97" i="45"/>
  <c r="C97" i="45"/>
  <c r="B97" i="45"/>
  <c r="AA96" i="45"/>
  <c r="Z96" i="45"/>
  <c r="Y96" i="45"/>
  <c r="X96" i="45"/>
  <c r="W96" i="45"/>
  <c r="V96" i="45"/>
  <c r="U96" i="45"/>
  <c r="T96" i="45"/>
  <c r="S96" i="45"/>
  <c r="R96" i="45"/>
  <c r="Q96" i="45"/>
  <c r="E96" i="45"/>
  <c r="D96" i="45"/>
  <c r="C96" i="45"/>
  <c r="B96" i="45"/>
  <c r="AA95" i="45"/>
  <c r="Z95" i="45"/>
  <c r="Y95" i="45"/>
  <c r="X95" i="45"/>
  <c r="W95" i="45"/>
  <c r="V95" i="45"/>
  <c r="U95" i="45"/>
  <c r="T95" i="45"/>
  <c r="S95" i="45"/>
  <c r="R95" i="45"/>
  <c r="Q95" i="45"/>
  <c r="E95" i="45"/>
  <c r="D95" i="45"/>
  <c r="C95" i="45"/>
  <c r="B95" i="45"/>
  <c r="AA94" i="45"/>
  <c r="Z94" i="45"/>
  <c r="Y94" i="45"/>
  <c r="X94" i="45"/>
  <c r="W94" i="45"/>
  <c r="V94" i="45"/>
  <c r="U94" i="45"/>
  <c r="T94" i="45"/>
  <c r="S94" i="45"/>
  <c r="R94" i="45"/>
  <c r="Q94" i="45"/>
  <c r="AA92" i="45"/>
  <c r="Z92" i="45"/>
  <c r="Y92" i="45"/>
  <c r="X92" i="45"/>
  <c r="W92" i="45"/>
  <c r="V92" i="45"/>
  <c r="U92" i="45"/>
  <c r="T92" i="45"/>
  <c r="S92" i="45"/>
  <c r="R92" i="45"/>
  <c r="Q92" i="45"/>
  <c r="E92" i="45"/>
  <c r="D92" i="45"/>
  <c r="C92" i="45"/>
  <c r="B92" i="45"/>
  <c r="AA91" i="45"/>
  <c r="Z91" i="45"/>
  <c r="Y91" i="45"/>
  <c r="X91" i="45"/>
  <c r="W91" i="45"/>
  <c r="V91" i="45"/>
  <c r="U91" i="45"/>
  <c r="T91" i="45"/>
  <c r="S91" i="45"/>
  <c r="R91" i="45"/>
  <c r="Q91" i="45"/>
  <c r="E91" i="45"/>
  <c r="D91" i="45"/>
  <c r="C91" i="45"/>
  <c r="B91" i="45"/>
  <c r="AA90" i="45"/>
  <c r="Z90" i="45"/>
  <c r="Y90" i="45"/>
  <c r="X90" i="45"/>
  <c r="W90" i="45"/>
  <c r="V90" i="45"/>
  <c r="U90" i="45"/>
  <c r="T90" i="45"/>
  <c r="S90" i="45"/>
  <c r="R90" i="45"/>
  <c r="Q90" i="45"/>
  <c r="E90" i="45"/>
  <c r="D90" i="45"/>
  <c r="C90" i="45"/>
  <c r="B90" i="45"/>
  <c r="AA89" i="45"/>
  <c r="Z89" i="45"/>
  <c r="Y89" i="45"/>
  <c r="X89" i="45"/>
  <c r="W89" i="45"/>
  <c r="V89" i="45"/>
  <c r="U89" i="45"/>
  <c r="T89" i="45"/>
  <c r="S89" i="45"/>
  <c r="R89" i="45"/>
  <c r="Q89" i="45"/>
  <c r="E89" i="45"/>
  <c r="D89" i="45"/>
  <c r="C89" i="45"/>
  <c r="B89" i="45"/>
  <c r="AA88" i="45"/>
  <c r="Z88" i="45"/>
  <c r="Y88" i="45"/>
  <c r="X88" i="45"/>
  <c r="W88" i="45"/>
  <c r="V88" i="45"/>
  <c r="U88" i="45"/>
  <c r="T88" i="45"/>
  <c r="S88" i="45"/>
  <c r="R88" i="45"/>
  <c r="Q88" i="45"/>
  <c r="E88" i="45"/>
  <c r="D88" i="45"/>
  <c r="C88" i="45"/>
  <c r="B88" i="45"/>
  <c r="AA87" i="45"/>
  <c r="Z87" i="45"/>
  <c r="Y87" i="45"/>
  <c r="X87" i="45"/>
  <c r="W87" i="45"/>
  <c r="V87" i="45"/>
  <c r="U87" i="45"/>
  <c r="T87" i="45"/>
  <c r="S87" i="45"/>
  <c r="R87" i="45"/>
  <c r="Q87" i="45"/>
  <c r="E87" i="45"/>
  <c r="D87" i="45"/>
  <c r="C87" i="45"/>
  <c r="B87" i="45"/>
  <c r="AA86" i="45"/>
  <c r="Z86" i="45"/>
  <c r="Y86" i="45"/>
  <c r="X86" i="45"/>
  <c r="W86" i="45"/>
  <c r="V86" i="45"/>
  <c r="U86" i="45"/>
  <c r="T86" i="45"/>
  <c r="S86" i="45"/>
  <c r="R86" i="45"/>
  <c r="Q86" i="45"/>
  <c r="E86" i="45"/>
  <c r="D86" i="45"/>
  <c r="C86" i="45"/>
  <c r="B86" i="45"/>
  <c r="AA85" i="45"/>
  <c r="Z85" i="45"/>
  <c r="Y85" i="45"/>
  <c r="X85" i="45"/>
  <c r="W85" i="45"/>
  <c r="V85" i="45"/>
  <c r="U85" i="45"/>
  <c r="T85" i="45"/>
  <c r="S85" i="45"/>
  <c r="R85" i="45"/>
  <c r="Q85" i="45"/>
  <c r="E85" i="45"/>
  <c r="D85" i="45"/>
  <c r="C85" i="45"/>
  <c r="B85" i="45"/>
  <c r="AA84" i="45"/>
  <c r="Z84" i="45"/>
  <c r="Y84" i="45"/>
  <c r="X84" i="45"/>
  <c r="W84" i="45"/>
  <c r="V84" i="45"/>
  <c r="U84" i="45"/>
  <c r="T84" i="45"/>
  <c r="S84" i="45"/>
  <c r="R84" i="45"/>
  <c r="Q84" i="45"/>
  <c r="E84" i="45"/>
  <c r="D84" i="45"/>
  <c r="C84" i="45"/>
  <c r="B84" i="45"/>
  <c r="AA83" i="45"/>
  <c r="Z83" i="45"/>
  <c r="Y83" i="45"/>
  <c r="X83" i="45"/>
  <c r="W83" i="45"/>
  <c r="V83" i="45"/>
  <c r="U83" i="45"/>
  <c r="T83" i="45"/>
  <c r="S83" i="45"/>
  <c r="R83" i="45"/>
  <c r="Q83" i="45"/>
  <c r="E83" i="45"/>
  <c r="D83" i="45"/>
  <c r="C83" i="45"/>
  <c r="B83" i="45"/>
  <c r="AA82" i="45"/>
  <c r="Z82" i="45"/>
  <c r="Y82" i="45"/>
  <c r="X82" i="45"/>
  <c r="W82" i="45"/>
  <c r="V82" i="45"/>
  <c r="U82" i="45"/>
  <c r="T82" i="45"/>
  <c r="S82" i="45"/>
  <c r="R82" i="45"/>
  <c r="Q82" i="45"/>
  <c r="E82" i="45"/>
  <c r="D82" i="45"/>
  <c r="C82" i="45"/>
  <c r="B82" i="45"/>
  <c r="AA81" i="45"/>
  <c r="Z81" i="45"/>
  <c r="Y81" i="45"/>
  <c r="X81" i="45"/>
  <c r="W81" i="45"/>
  <c r="V81" i="45"/>
  <c r="U81" i="45"/>
  <c r="T81" i="45"/>
  <c r="S81" i="45"/>
  <c r="R81" i="45"/>
  <c r="Q81" i="45"/>
  <c r="E81" i="45"/>
  <c r="D81" i="45"/>
  <c r="C81" i="45"/>
  <c r="B81" i="45"/>
  <c r="AA80" i="45"/>
  <c r="Z80" i="45"/>
  <c r="Y80" i="45"/>
  <c r="X80" i="45"/>
  <c r="W80" i="45"/>
  <c r="V80" i="45"/>
  <c r="U80" i="45"/>
  <c r="T80" i="45"/>
  <c r="S80" i="45"/>
  <c r="R80" i="45"/>
  <c r="Q80" i="45"/>
  <c r="E80" i="45"/>
  <c r="D80" i="45"/>
  <c r="C80" i="45"/>
  <c r="B80" i="45"/>
  <c r="AA79" i="45"/>
  <c r="Z79" i="45"/>
  <c r="Y79" i="45"/>
  <c r="X79" i="45"/>
  <c r="W79" i="45"/>
  <c r="V79" i="45"/>
  <c r="U79" i="45"/>
  <c r="T79" i="45"/>
  <c r="S79" i="45"/>
  <c r="R79" i="45"/>
  <c r="Q79" i="45"/>
  <c r="E79" i="45"/>
  <c r="D79" i="45"/>
  <c r="C79" i="45"/>
  <c r="B79" i="45"/>
  <c r="AA78" i="45"/>
  <c r="Z78" i="45"/>
  <c r="Y78" i="45"/>
  <c r="X78" i="45"/>
  <c r="W78" i="45"/>
  <c r="V78" i="45"/>
  <c r="U78" i="45"/>
  <c r="T78" i="45"/>
  <c r="S78" i="45"/>
  <c r="R78" i="45"/>
  <c r="Q78" i="45"/>
  <c r="E78" i="45"/>
  <c r="D78" i="45"/>
  <c r="C78" i="45"/>
  <c r="B78" i="45"/>
  <c r="AA77" i="45"/>
  <c r="Z77" i="45"/>
  <c r="Y77" i="45"/>
  <c r="X77" i="45"/>
  <c r="W77" i="45"/>
  <c r="V77" i="45"/>
  <c r="U77" i="45"/>
  <c r="T77" i="45"/>
  <c r="S77" i="45"/>
  <c r="R77" i="45"/>
  <c r="Q77" i="45"/>
  <c r="E77" i="45"/>
  <c r="D77" i="45"/>
  <c r="C77" i="45"/>
  <c r="B77" i="45"/>
  <c r="AA76" i="45"/>
  <c r="Z76" i="45"/>
  <c r="Y76" i="45"/>
  <c r="X76" i="45"/>
  <c r="W76" i="45"/>
  <c r="V76" i="45"/>
  <c r="U76" i="45"/>
  <c r="T76" i="45"/>
  <c r="S76" i="45"/>
  <c r="R76" i="45"/>
  <c r="Q76" i="45"/>
  <c r="E74" i="45"/>
  <c r="D74" i="45"/>
  <c r="C74" i="45"/>
  <c r="B74" i="45"/>
  <c r="E73" i="45"/>
  <c r="D73" i="45"/>
  <c r="C73" i="45"/>
  <c r="B73" i="45"/>
  <c r="E72" i="45"/>
  <c r="D72" i="45"/>
  <c r="C72" i="45"/>
  <c r="B72" i="45"/>
  <c r="E71" i="45"/>
  <c r="D71" i="45"/>
  <c r="C71" i="45"/>
  <c r="B71" i="45"/>
  <c r="E70" i="45"/>
  <c r="D70" i="45"/>
  <c r="C70" i="45"/>
  <c r="B70" i="45"/>
  <c r="E69" i="45"/>
  <c r="D69" i="45"/>
  <c r="C69" i="45"/>
  <c r="B69" i="45"/>
  <c r="E68" i="45"/>
  <c r="D68" i="45"/>
  <c r="C68" i="45"/>
  <c r="B68" i="45"/>
  <c r="AA67" i="45"/>
  <c r="Z67" i="45"/>
  <c r="Y67" i="45"/>
  <c r="X67" i="45"/>
  <c r="W67" i="45"/>
  <c r="V67" i="45"/>
  <c r="U67" i="45"/>
  <c r="T67" i="45"/>
  <c r="S67" i="45"/>
  <c r="R67" i="45"/>
  <c r="Q67" i="45"/>
  <c r="E67" i="45"/>
  <c r="D67" i="45"/>
  <c r="C67" i="45"/>
  <c r="B67" i="45"/>
  <c r="AA66" i="45"/>
  <c r="Z66" i="45"/>
  <c r="Y66" i="45"/>
  <c r="X66" i="45"/>
  <c r="W66" i="45"/>
  <c r="V66" i="45"/>
  <c r="U66" i="45"/>
  <c r="T66" i="45"/>
  <c r="S66" i="45"/>
  <c r="R66" i="45"/>
  <c r="Q66" i="45"/>
  <c r="E66" i="45"/>
  <c r="D66" i="45"/>
  <c r="C66" i="45"/>
  <c r="B66" i="45"/>
  <c r="AA65" i="45"/>
  <c r="Z65" i="45"/>
  <c r="Y65" i="45"/>
  <c r="X65" i="45"/>
  <c r="W65" i="45"/>
  <c r="V65" i="45"/>
  <c r="U65" i="45"/>
  <c r="T65" i="45"/>
  <c r="S65" i="45"/>
  <c r="R65" i="45"/>
  <c r="Q65" i="45"/>
  <c r="E65" i="45"/>
  <c r="D65" i="45"/>
  <c r="C65" i="45"/>
  <c r="B65" i="45"/>
  <c r="AA64" i="45"/>
  <c r="Z64" i="45"/>
  <c r="Y64" i="45"/>
  <c r="X64" i="45"/>
  <c r="W64" i="45"/>
  <c r="V64" i="45"/>
  <c r="U64" i="45"/>
  <c r="T64" i="45"/>
  <c r="S64" i="45"/>
  <c r="R64" i="45"/>
  <c r="Q64" i="45"/>
  <c r="E64" i="45"/>
  <c r="D64" i="45"/>
  <c r="C64" i="45"/>
  <c r="B64" i="45"/>
  <c r="AA63" i="45"/>
  <c r="Z63" i="45"/>
  <c r="Y63" i="45"/>
  <c r="X63" i="45"/>
  <c r="W63" i="45"/>
  <c r="V63" i="45"/>
  <c r="U63" i="45"/>
  <c r="T63" i="45"/>
  <c r="S63" i="45"/>
  <c r="R63" i="45"/>
  <c r="Q63" i="45"/>
  <c r="E63" i="45"/>
  <c r="D63" i="45"/>
  <c r="C63" i="45"/>
  <c r="B63" i="45"/>
  <c r="AA62" i="45"/>
  <c r="Z62" i="45"/>
  <c r="Y62" i="45"/>
  <c r="X62" i="45"/>
  <c r="W62" i="45"/>
  <c r="V62" i="45"/>
  <c r="U62" i="45"/>
  <c r="T62" i="45"/>
  <c r="S62" i="45"/>
  <c r="R62" i="45"/>
  <c r="Q62" i="45"/>
  <c r="E62" i="45"/>
  <c r="D62" i="45"/>
  <c r="C62" i="45"/>
  <c r="B62" i="45"/>
  <c r="AA61" i="45"/>
  <c r="Z61" i="45"/>
  <c r="Y61" i="45"/>
  <c r="X61" i="45"/>
  <c r="W61" i="45"/>
  <c r="V61" i="45"/>
  <c r="U61" i="45"/>
  <c r="T61" i="45"/>
  <c r="S61" i="45"/>
  <c r="R61" i="45"/>
  <c r="Q61" i="45"/>
  <c r="E61" i="45"/>
  <c r="D61" i="45"/>
  <c r="C61" i="45"/>
  <c r="B61" i="45"/>
  <c r="AA60" i="45"/>
  <c r="Z60" i="45"/>
  <c r="Y60" i="45"/>
  <c r="X60" i="45"/>
  <c r="W60" i="45"/>
  <c r="V60" i="45"/>
  <c r="U60" i="45"/>
  <c r="T60" i="45"/>
  <c r="S60" i="45"/>
  <c r="R60" i="45"/>
  <c r="Q60" i="45"/>
  <c r="E60" i="45"/>
  <c r="D60" i="45"/>
  <c r="C60" i="45"/>
  <c r="B60" i="45"/>
  <c r="AA59" i="45"/>
  <c r="Z59" i="45"/>
  <c r="Y59" i="45"/>
  <c r="X59" i="45"/>
  <c r="W59" i="45"/>
  <c r="V59" i="45"/>
  <c r="U59" i="45"/>
  <c r="T59" i="45"/>
  <c r="S59" i="45"/>
  <c r="R59" i="45"/>
  <c r="Q59" i="45"/>
  <c r="E59" i="45"/>
  <c r="D59" i="45"/>
  <c r="C59" i="45"/>
  <c r="B59" i="45"/>
  <c r="AA58" i="45"/>
  <c r="Z58" i="45"/>
  <c r="Y58" i="45"/>
  <c r="X58" i="45"/>
  <c r="W58" i="45"/>
  <c r="V58" i="45"/>
  <c r="U58" i="45"/>
  <c r="T58" i="45"/>
  <c r="S58" i="45"/>
  <c r="R58" i="45"/>
  <c r="Q58" i="45"/>
  <c r="E58" i="45"/>
  <c r="D58" i="45"/>
  <c r="C58" i="45"/>
  <c r="B58" i="45"/>
  <c r="AA57" i="45"/>
  <c r="Z57" i="45"/>
  <c r="Y57" i="45"/>
  <c r="X57" i="45"/>
  <c r="W57" i="45"/>
  <c r="V57" i="45"/>
  <c r="U57" i="45"/>
  <c r="T57" i="45"/>
  <c r="S57" i="45"/>
  <c r="R57" i="45"/>
  <c r="Q57" i="45"/>
  <c r="E57" i="45"/>
  <c r="D57" i="45"/>
  <c r="C57" i="45"/>
  <c r="B57" i="45"/>
  <c r="AA56" i="45"/>
  <c r="Z56" i="45"/>
  <c r="Y56" i="45"/>
  <c r="X56" i="45"/>
  <c r="W56" i="45"/>
  <c r="V56" i="45"/>
  <c r="U56" i="45"/>
  <c r="T56" i="45"/>
  <c r="S56" i="45"/>
  <c r="R56" i="45"/>
  <c r="Q56" i="45"/>
  <c r="E56" i="45"/>
  <c r="D56" i="45"/>
  <c r="C56" i="45"/>
  <c r="B56" i="45"/>
  <c r="AA55" i="45"/>
  <c r="Z55" i="45"/>
  <c r="Y55" i="45"/>
  <c r="X55" i="45"/>
  <c r="W55" i="45"/>
  <c r="V55" i="45"/>
  <c r="U55" i="45"/>
  <c r="T55" i="45"/>
  <c r="S55" i="45"/>
  <c r="R55" i="45"/>
  <c r="Q55" i="45"/>
  <c r="E55" i="45"/>
  <c r="D55" i="45"/>
  <c r="C55" i="45"/>
  <c r="B55" i="45"/>
  <c r="AA54" i="45"/>
  <c r="Z54" i="45"/>
  <c r="Y54" i="45"/>
  <c r="X54" i="45"/>
  <c r="W54" i="45"/>
  <c r="V54" i="45"/>
  <c r="U54" i="45"/>
  <c r="T54" i="45"/>
  <c r="S54" i="45"/>
  <c r="R54" i="45"/>
  <c r="Q54" i="45"/>
  <c r="E54" i="45"/>
  <c r="D54" i="45"/>
  <c r="C54" i="45"/>
  <c r="B54" i="45"/>
  <c r="AA53" i="45"/>
  <c r="Z53" i="45"/>
  <c r="Y53" i="45"/>
  <c r="X53" i="45"/>
  <c r="W53" i="45"/>
  <c r="V53" i="45"/>
  <c r="U53" i="45"/>
  <c r="T53" i="45"/>
  <c r="S53" i="45"/>
  <c r="R53" i="45"/>
  <c r="Q53" i="45"/>
  <c r="E53" i="45"/>
  <c r="D53" i="45"/>
  <c r="C53" i="45"/>
  <c r="B53" i="45"/>
  <c r="AA52" i="45"/>
  <c r="Z52" i="45"/>
  <c r="Y52" i="45"/>
  <c r="X52" i="45"/>
  <c r="W52" i="45"/>
  <c r="V52" i="45"/>
  <c r="U52" i="45"/>
  <c r="T52" i="45"/>
  <c r="S52" i="45"/>
  <c r="R52" i="45"/>
  <c r="Q52" i="45"/>
  <c r="AA51" i="45"/>
  <c r="Z51" i="45"/>
  <c r="Y51" i="45"/>
  <c r="X51" i="45"/>
  <c r="W51" i="45"/>
  <c r="V51" i="45"/>
  <c r="U51" i="45"/>
  <c r="T51" i="45"/>
  <c r="S51" i="45"/>
  <c r="R51" i="45"/>
  <c r="Q51" i="45"/>
  <c r="E51" i="45"/>
  <c r="D51" i="45"/>
  <c r="C51" i="45"/>
  <c r="B51" i="45"/>
  <c r="AA50" i="45"/>
  <c r="Z50" i="45"/>
  <c r="Y50" i="45"/>
  <c r="X50" i="45"/>
  <c r="W50" i="45"/>
  <c r="V50" i="45"/>
  <c r="U50" i="45"/>
  <c r="T50" i="45"/>
  <c r="S50" i="45"/>
  <c r="R50" i="45"/>
  <c r="Q50" i="45"/>
  <c r="D101" i="44"/>
  <c r="D102" i="44"/>
  <c r="D103" i="44"/>
  <c r="C101" i="44"/>
  <c r="C102" i="44"/>
  <c r="C103" i="44"/>
  <c r="B101" i="44"/>
  <c r="B102" i="44"/>
  <c r="B103" i="44"/>
  <c r="E96" i="44"/>
  <c r="E97" i="44"/>
  <c r="E98" i="44"/>
  <c r="E95" i="44"/>
  <c r="D96" i="44"/>
  <c r="D97" i="44"/>
  <c r="D98" i="44"/>
  <c r="D95" i="44"/>
  <c r="C96" i="44"/>
  <c r="C97" i="44"/>
  <c r="C98" i="44"/>
  <c r="E78" i="44"/>
  <c r="E79" i="44"/>
  <c r="E80" i="44"/>
  <c r="E81" i="44"/>
  <c r="E82" i="44"/>
  <c r="E83" i="44"/>
  <c r="E84" i="44"/>
  <c r="E85" i="44"/>
  <c r="E86" i="44"/>
  <c r="E87" i="44"/>
  <c r="E88" i="44"/>
  <c r="E89" i="44"/>
  <c r="E90" i="44"/>
  <c r="E91" i="44"/>
  <c r="E92" i="44"/>
  <c r="D78" i="44"/>
  <c r="D79" i="44"/>
  <c r="D80" i="44"/>
  <c r="D81" i="44"/>
  <c r="D82" i="44"/>
  <c r="D83" i="44"/>
  <c r="D84" i="44"/>
  <c r="D85" i="44"/>
  <c r="D86" i="44"/>
  <c r="D87" i="44"/>
  <c r="D88" i="44"/>
  <c r="D89" i="44"/>
  <c r="D90" i="44"/>
  <c r="D91" i="44"/>
  <c r="D92" i="44"/>
  <c r="C78" i="44"/>
  <c r="C79" i="44"/>
  <c r="C80" i="44"/>
  <c r="C81" i="44"/>
  <c r="C82" i="44"/>
  <c r="C83" i="44"/>
  <c r="C84" i="44"/>
  <c r="C85" i="44"/>
  <c r="C86" i="44"/>
  <c r="C87" i="44"/>
  <c r="C88" i="44"/>
  <c r="C89" i="44"/>
  <c r="C90" i="44"/>
  <c r="C91" i="44"/>
  <c r="C92" i="44"/>
  <c r="B78" i="44"/>
  <c r="B79" i="44"/>
  <c r="B80" i="44"/>
  <c r="B81" i="44"/>
  <c r="B82" i="44"/>
  <c r="B83" i="44"/>
  <c r="B84" i="44"/>
  <c r="B85" i="44"/>
  <c r="B86" i="44"/>
  <c r="B87" i="44"/>
  <c r="B88" i="44"/>
  <c r="B89" i="44"/>
  <c r="B90" i="44"/>
  <c r="B91" i="44"/>
  <c r="B92" i="44"/>
  <c r="E54" i="44"/>
  <c r="E55" i="44"/>
  <c r="E56" i="44"/>
  <c r="E57" i="44"/>
  <c r="E58" i="44"/>
  <c r="E59" i="44"/>
  <c r="E60" i="44"/>
  <c r="E61" i="44"/>
  <c r="E62" i="44"/>
  <c r="E63" i="44"/>
  <c r="E64" i="44"/>
  <c r="E65" i="44"/>
  <c r="E66" i="44"/>
  <c r="E67" i="44"/>
  <c r="E68" i="44"/>
  <c r="E69" i="44"/>
  <c r="E70" i="44"/>
  <c r="E71" i="44"/>
  <c r="E72" i="44"/>
  <c r="E73" i="44"/>
  <c r="E74" i="44"/>
  <c r="D54" i="44"/>
  <c r="D55" i="44"/>
  <c r="D56" i="44"/>
  <c r="D57" i="44"/>
  <c r="D58" i="44"/>
  <c r="D59" i="44"/>
  <c r="D60" i="44"/>
  <c r="D61" i="44"/>
  <c r="D62" i="44"/>
  <c r="D63" i="44"/>
  <c r="D64" i="44"/>
  <c r="D65" i="44"/>
  <c r="D66" i="44"/>
  <c r="D67" i="44"/>
  <c r="D68" i="44"/>
  <c r="D69" i="44"/>
  <c r="D70" i="44"/>
  <c r="D71" i="44"/>
  <c r="D72" i="44"/>
  <c r="D73" i="44"/>
  <c r="D74" i="44"/>
  <c r="C54" i="44"/>
  <c r="C55" i="44"/>
  <c r="C56" i="44"/>
  <c r="C57" i="44"/>
  <c r="C58" i="44"/>
  <c r="C59" i="44"/>
  <c r="C60" i="44"/>
  <c r="C61" i="44"/>
  <c r="C62" i="44"/>
  <c r="C63" i="44"/>
  <c r="C64" i="44"/>
  <c r="C65" i="44"/>
  <c r="C66" i="44"/>
  <c r="C67" i="44"/>
  <c r="C68" i="44"/>
  <c r="C69" i="44"/>
  <c r="C70" i="44"/>
  <c r="C71" i="44"/>
  <c r="C72" i="44"/>
  <c r="C73" i="44"/>
  <c r="C74" i="44"/>
  <c r="B54" i="44"/>
  <c r="B55" i="44"/>
  <c r="B56" i="44"/>
  <c r="B57" i="44"/>
  <c r="B58" i="44"/>
  <c r="B59" i="44"/>
  <c r="B60" i="44"/>
  <c r="B61" i="44"/>
  <c r="B62" i="44"/>
  <c r="B63" i="44"/>
  <c r="B64" i="44"/>
  <c r="B65" i="44"/>
  <c r="B66" i="44"/>
  <c r="B67" i="44"/>
  <c r="B68" i="44"/>
  <c r="B69" i="44"/>
  <c r="B70" i="44"/>
  <c r="B71" i="44"/>
  <c r="B72" i="44"/>
  <c r="B73" i="44"/>
  <c r="B74" i="44"/>
  <c r="E51" i="44"/>
  <c r="K7" i="47" l="1"/>
  <c r="K6" i="47"/>
  <c r="K5" i="47"/>
  <c r="K4" i="47"/>
  <c r="K10" i="47"/>
  <c r="K9" i="47"/>
  <c r="K8" i="47"/>
  <c r="K10" i="46"/>
  <c r="K9" i="46"/>
  <c r="K8" i="46"/>
  <c r="K7" i="46"/>
  <c r="K6" i="46"/>
  <c r="K5" i="46"/>
  <c r="K4" i="46"/>
  <c r="D25" i="1" s="1"/>
  <c r="K6" i="45"/>
  <c r="K4" i="45"/>
  <c r="D24" i="1" s="1"/>
  <c r="K10" i="45"/>
  <c r="K9" i="45"/>
  <c r="K8" i="45"/>
  <c r="K7" i="45"/>
  <c r="K5" i="45"/>
  <c r="K8" i="48"/>
  <c r="K7" i="48"/>
  <c r="K6" i="48"/>
  <c r="K5" i="48"/>
  <c r="K9" i="48"/>
  <c r="K10" i="48"/>
  <c r="K4" i="48"/>
  <c r="D27" i="1" s="1"/>
  <c r="J10" i="48"/>
  <c r="J9" i="48"/>
  <c r="C27" i="1"/>
  <c r="C26" i="1"/>
  <c r="J4" i="46"/>
  <c r="J5" i="46"/>
  <c r="C24" i="1"/>
  <c r="J5" i="48"/>
  <c r="J4" i="48"/>
  <c r="J9" i="47"/>
  <c r="J5" i="47"/>
  <c r="J10" i="47"/>
  <c r="J4" i="47"/>
  <c r="C25" i="1"/>
  <c r="J9" i="46"/>
  <c r="J10" i="46"/>
  <c r="J5" i="45"/>
  <c r="J4" i="45"/>
  <c r="J10" i="45"/>
  <c r="J9" i="45"/>
  <c r="E105" i="44"/>
  <c r="D105" i="44"/>
  <c r="C105" i="44"/>
  <c r="B105" i="44"/>
  <c r="E101" i="44"/>
  <c r="E102" i="44"/>
  <c r="E103" i="44"/>
  <c r="E100" i="44"/>
  <c r="D100" i="44"/>
  <c r="C100" i="44"/>
  <c r="B100" i="44"/>
  <c r="C95" i="44"/>
  <c r="B96" i="44"/>
  <c r="B97" i="44"/>
  <c r="B98" i="44"/>
  <c r="B95" i="44"/>
  <c r="AA105" i="44"/>
  <c r="Z105" i="44"/>
  <c r="Y105" i="44"/>
  <c r="X105" i="44"/>
  <c r="W105" i="44"/>
  <c r="V105" i="44"/>
  <c r="U105" i="44"/>
  <c r="T105" i="44"/>
  <c r="S105" i="44"/>
  <c r="R105" i="44"/>
  <c r="Q105" i="44"/>
  <c r="AA104" i="44"/>
  <c r="Z104" i="44"/>
  <c r="Y104" i="44"/>
  <c r="X104" i="44"/>
  <c r="W104" i="44"/>
  <c r="V104" i="44"/>
  <c r="U104" i="44"/>
  <c r="T104" i="44"/>
  <c r="S104" i="44"/>
  <c r="R104" i="44"/>
  <c r="Q104" i="44"/>
  <c r="AA103" i="44"/>
  <c r="Z103" i="44"/>
  <c r="Y103" i="44"/>
  <c r="X103" i="44"/>
  <c r="W103" i="44"/>
  <c r="V103" i="44"/>
  <c r="U103" i="44"/>
  <c r="T103" i="44"/>
  <c r="S103" i="44"/>
  <c r="R103" i="44"/>
  <c r="Q103" i="44"/>
  <c r="AA102" i="44"/>
  <c r="Z102" i="44"/>
  <c r="Y102" i="44"/>
  <c r="X102" i="44"/>
  <c r="W102" i="44"/>
  <c r="V102" i="44"/>
  <c r="U102" i="44"/>
  <c r="T102" i="44"/>
  <c r="S102" i="44"/>
  <c r="R102" i="44"/>
  <c r="Q102" i="44"/>
  <c r="AA101" i="44"/>
  <c r="Z101" i="44"/>
  <c r="Y101" i="44"/>
  <c r="X101" i="44"/>
  <c r="W101" i="44"/>
  <c r="V101" i="44"/>
  <c r="U101" i="44"/>
  <c r="T101" i="44"/>
  <c r="S101" i="44"/>
  <c r="R101" i="44"/>
  <c r="Q101" i="44"/>
  <c r="AA100" i="44"/>
  <c r="Z100" i="44"/>
  <c r="Y100" i="44"/>
  <c r="X100" i="44"/>
  <c r="W100" i="44"/>
  <c r="V100" i="44"/>
  <c r="U100" i="44"/>
  <c r="T100" i="44"/>
  <c r="S100" i="44"/>
  <c r="R100" i="44"/>
  <c r="Q100" i="44"/>
  <c r="AA99" i="44"/>
  <c r="Z99" i="44"/>
  <c r="Y99" i="44"/>
  <c r="X99" i="44"/>
  <c r="W99" i="44"/>
  <c r="V99" i="44"/>
  <c r="U99" i="44"/>
  <c r="T99" i="44"/>
  <c r="S99" i="44"/>
  <c r="R99" i="44"/>
  <c r="Q99" i="44"/>
  <c r="E24" i="1" l="1"/>
  <c r="K11" i="48"/>
  <c r="J11" i="48"/>
  <c r="E26" i="1"/>
  <c r="J11" i="47"/>
  <c r="J11" i="46"/>
  <c r="K11" i="46"/>
  <c r="K11" i="45"/>
  <c r="E27" i="1"/>
  <c r="K11" i="47"/>
  <c r="D26" i="1"/>
  <c r="E25" i="1"/>
  <c r="J11" i="45"/>
  <c r="B53" i="44"/>
  <c r="B27" i="1"/>
  <c r="B26" i="1"/>
  <c r="B25" i="1"/>
  <c r="B24" i="1"/>
  <c r="F24" i="1" s="1"/>
  <c r="D96" i="12"/>
  <c r="C96" i="12"/>
  <c r="B96" i="12"/>
  <c r="A96" i="12"/>
  <c r="D68" i="12"/>
  <c r="C68" i="12"/>
  <c r="B68" i="12"/>
  <c r="A68" i="12"/>
  <c r="D44" i="12"/>
  <c r="AA98" i="44"/>
  <c r="Z98" i="44"/>
  <c r="Y98" i="44"/>
  <c r="X98" i="44"/>
  <c r="W98" i="44"/>
  <c r="V98" i="44"/>
  <c r="U98" i="44"/>
  <c r="T98" i="44"/>
  <c r="S98" i="44"/>
  <c r="R98" i="44"/>
  <c r="Q98" i="44"/>
  <c r="AA97" i="44"/>
  <c r="Z97" i="44"/>
  <c r="Y97" i="44"/>
  <c r="X97" i="44"/>
  <c r="W97" i="44"/>
  <c r="V97" i="44"/>
  <c r="U97" i="44"/>
  <c r="T97" i="44"/>
  <c r="S97" i="44"/>
  <c r="R97" i="44"/>
  <c r="Q97" i="44"/>
  <c r="AA96" i="44"/>
  <c r="Z96" i="44"/>
  <c r="Y96" i="44"/>
  <c r="X96" i="44"/>
  <c r="W96" i="44"/>
  <c r="V96" i="44"/>
  <c r="U96" i="44"/>
  <c r="T96" i="44"/>
  <c r="S96" i="44"/>
  <c r="R96" i="44"/>
  <c r="Q96" i="44"/>
  <c r="AA95" i="44"/>
  <c r="Z95" i="44"/>
  <c r="Y95" i="44"/>
  <c r="X95" i="44"/>
  <c r="W95" i="44"/>
  <c r="V95" i="44"/>
  <c r="U95" i="44"/>
  <c r="T95" i="44"/>
  <c r="S95" i="44"/>
  <c r="R95" i="44"/>
  <c r="Q95" i="44"/>
  <c r="AA94" i="44"/>
  <c r="Z94" i="44"/>
  <c r="Y94" i="44"/>
  <c r="X94" i="44"/>
  <c r="W94" i="44"/>
  <c r="V94" i="44"/>
  <c r="U94" i="44"/>
  <c r="T94" i="44"/>
  <c r="S94" i="44"/>
  <c r="R94" i="44"/>
  <c r="Q94" i="44"/>
  <c r="AA92" i="44"/>
  <c r="Z92" i="44"/>
  <c r="Y92" i="44"/>
  <c r="X92" i="44"/>
  <c r="W92" i="44"/>
  <c r="V92" i="44"/>
  <c r="U92" i="44"/>
  <c r="T92" i="44"/>
  <c r="S92" i="44"/>
  <c r="R92" i="44"/>
  <c r="Q92" i="44"/>
  <c r="AA91" i="44"/>
  <c r="Z91" i="44"/>
  <c r="Y91" i="44"/>
  <c r="X91" i="44"/>
  <c r="W91" i="44"/>
  <c r="V91" i="44"/>
  <c r="U91" i="44"/>
  <c r="T91" i="44"/>
  <c r="S91" i="44"/>
  <c r="R91" i="44"/>
  <c r="Q91" i="44"/>
  <c r="AA90" i="44"/>
  <c r="Z90" i="44"/>
  <c r="Y90" i="44"/>
  <c r="X90" i="44"/>
  <c r="W90" i="44"/>
  <c r="V90" i="44"/>
  <c r="U90" i="44"/>
  <c r="T90" i="44"/>
  <c r="S90" i="44"/>
  <c r="R90" i="44"/>
  <c r="Q90" i="44"/>
  <c r="AA89" i="44"/>
  <c r="Z89" i="44"/>
  <c r="Y89" i="44"/>
  <c r="X89" i="44"/>
  <c r="W89" i="44"/>
  <c r="V89" i="44"/>
  <c r="U89" i="44"/>
  <c r="T89" i="44"/>
  <c r="S89" i="44"/>
  <c r="R89" i="44"/>
  <c r="Q89" i="44"/>
  <c r="AA88" i="44"/>
  <c r="Z88" i="44"/>
  <c r="Y88" i="44"/>
  <c r="X88" i="44"/>
  <c r="W88" i="44"/>
  <c r="V88" i="44"/>
  <c r="U88" i="44"/>
  <c r="T88" i="44"/>
  <c r="S88" i="44"/>
  <c r="R88" i="44"/>
  <c r="Q88" i="44"/>
  <c r="AA87" i="44"/>
  <c r="Z87" i="44"/>
  <c r="Y87" i="44"/>
  <c r="X87" i="44"/>
  <c r="W87" i="44"/>
  <c r="V87" i="44"/>
  <c r="U87" i="44"/>
  <c r="T87" i="44"/>
  <c r="S87" i="44"/>
  <c r="R87" i="44"/>
  <c r="Q87" i="44"/>
  <c r="AA86" i="44"/>
  <c r="Z86" i="44"/>
  <c r="Y86" i="44"/>
  <c r="X86" i="44"/>
  <c r="W86" i="44"/>
  <c r="V86" i="44"/>
  <c r="U86" i="44"/>
  <c r="T86" i="44"/>
  <c r="S86" i="44"/>
  <c r="R86" i="44"/>
  <c r="Q86" i="44"/>
  <c r="AA85" i="44"/>
  <c r="Z85" i="44"/>
  <c r="Y85" i="44"/>
  <c r="X85" i="44"/>
  <c r="W85" i="44"/>
  <c r="V85" i="44"/>
  <c r="U85" i="44"/>
  <c r="T85" i="44"/>
  <c r="S85" i="44"/>
  <c r="R85" i="44"/>
  <c r="Q85" i="44"/>
  <c r="AA84" i="44"/>
  <c r="Z84" i="44"/>
  <c r="Y84" i="44"/>
  <c r="X84" i="44"/>
  <c r="W84" i="44"/>
  <c r="V84" i="44"/>
  <c r="U84" i="44"/>
  <c r="T84" i="44"/>
  <c r="S84" i="44"/>
  <c r="R84" i="44"/>
  <c r="Q84" i="44"/>
  <c r="AA83" i="44"/>
  <c r="Z83" i="44"/>
  <c r="Y83" i="44"/>
  <c r="X83" i="44"/>
  <c r="W83" i="44"/>
  <c r="V83" i="44"/>
  <c r="U83" i="44"/>
  <c r="T83" i="44"/>
  <c r="S83" i="44"/>
  <c r="R83" i="44"/>
  <c r="Q83" i="44"/>
  <c r="AA82" i="44"/>
  <c r="Z82" i="44"/>
  <c r="Y82" i="44"/>
  <c r="X82" i="44"/>
  <c r="W82" i="44"/>
  <c r="V82" i="44"/>
  <c r="U82" i="44"/>
  <c r="T82" i="44"/>
  <c r="S82" i="44"/>
  <c r="R82" i="44"/>
  <c r="Q82" i="44"/>
  <c r="AA81" i="44"/>
  <c r="Z81" i="44"/>
  <c r="Y81" i="44"/>
  <c r="X81" i="44"/>
  <c r="W81" i="44"/>
  <c r="V81" i="44"/>
  <c r="U81" i="44"/>
  <c r="T81" i="44"/>
  <c r="S81" i="44"/>
  <c r="R81" i="44"/>
  <c r="Q81" i="44"/>
  <c r="AA80" i="44"/>
  <c r="Z80" i="44"/>
  <c r="Y80" i="44"/>
  <c r="X80" i="44"/>
  <c r="W80" i="44"/>
  <c r="V80" i="44"/>
  <c r="U80" i="44"/>
  <c r="T80" i="44"/>
  <c r="S80" i="44"/>
  <c r="R80" i="44"/>
  <c r="Q80" i="44"/>
  <c r="AA79" i="44"/>
  <c r="Z79" i="44"/>
  <c r="Y79" i="44"/>
  <c r="X79" i="44"/>
  <c r="W79" i="44"/>
  <c r="V79" i="44"/>
  <c r="U79" i="44"/>
  <c r="T79" i="44"/>
  <c r="S79" i="44"/>
  <c r="R79" i="44"/>
  <c r="Q79" i="44"/>
  <c r="AA78" i="44"/>
  <c r="Z78" i="44"/>
  <c r="Y78" i="44"/>
  <c r="X78" i="44"/>
  <c r="W78" i="44"/>
  <c r="V78" i="44"/>
  <c r="U78" i="44"/>
  <c r="T78" i="44"/>
  <c r="S78" i="44"/>
  <c r="R78" i="44"/>
  <c r="Q78" i="44"/>
  <c r="AA77" i="44"/>
  <c r="Z77" i="44"/>
  <c r="Y77" i="44"/>
  <c r="X77" i="44"/>
  <c r="W77" i="44"/>
  <c r="V77" i="44"/>
  <c r="U77" i="44"/>
  <c r="T77" i="44"/>
  <c r="S77" i="44"/>
  <c r="R77" i="44"/>
  <c r="Q77" i="44"/>
  <c r="E77" i="44"/>
  <c r="D77" i="44"/>
  <c r="C77" i="44"/>
  <c r="B77" i="44"/>
  <c r="AA76" i="44"/>
  <c r="Z76" i="44"/>
  <c r="Y76" i="44"/>
  <c r="X76" i="44"/>
  <c r="W76" i="44"/>
  <c r="V76" i="44"/>
  <c r="U76" i="44"/>
  <c r="T76" i="44"/>
  <c r="S76" i="44"/>
  <c r="R76" i="44"/>
  <c r="Q76" i="44"/>
  <c r="AA67" i="44"/>
  <c r="Z67" i="44"/>
  <c r="Y67" i="44"/>
  <c r="X67" i="44"/>
  <c r="W67" i="44"/>
  <c r="V67" i="44"/>
  <c r="U67" i="44"/>
  <c r="T67" i="44"/>
  <c r="S67" i="44"/>
  <c r="R67" i="44"/>
  <c r="Q67" i="44"/>
  <c r="AA66" i="44"/>
  <c r="Z66" i="44"/>
  <c r="Y66" i="44"/>
  <c r="X66" i="44"/>
  <c r="W66" i="44"/>
  <c r="V66" i="44"/>
  <c r="U66" i="44"/>
  <c r="T66" i="44"/>
  <c r="S66" i="44"/>
  <c r="R66" i="44"/>
  <c r="Q66" i="44"/>
  <c r="AA65" i="44"/>
  <c r="Z65" i="44"/>
  <c r="Y65" i="44"/>
  <c r="X65" i="44"/>
  <c r="W65" i="44"/>
  <c r="V65" i="44"/>
  <c r="U65" i="44"/>
  <c r="T65" i="44"/>
  <c r="S65" i="44"/>
  <c r="R65" i="44"/>
  <c r="Q65" i="44"/>
  <c r="AA64" i="44"/>
  <c r="Z64" i="44"/>
  <c r="Y64" i="44"/>
  <c r="X64" i="44"/>
  <c r="W64" i="44"/>
  <c r="V64" i="44"/>
  <c r="U64" i="44"/>
  <c r="T64" i="44"/>
  <c r="S64" i="44"/>
  <c r="R64" i="44"/>
  <c r="Q64" i="44"/>
  <c r="AA63" i="44"/>
  <c r="Z63" i="44"/>
  <c r="Y63" i="44"/>
  <c r="X63" i="44"/>
  <c r="W63" i="44"/>
  <c r="V63" i="44"/>
  <c r="U63" i="44"/>
  <c r="T63" i="44"/>
  <c r="S63" i="44"/>
  <c r="R63" i="44"/>
  <c r="Q63" i="44"/>
  <c r="AA62" i="44"/>
  <c r="Z62" i="44"/>
  <c r="Y62" i="44"/>
  <c r="X62" i="44"/>
  <c r="W62" i="44"/>
  <c r="V62" i="44"/>
  <c r="U62" i="44"/>
  <c r="T62" i="44"/>
  <c r="S62" i="44"/>
  <c r="R62" i="44"/>
  <c r="Q62" i="44"/>
  <c r="AA61" i="44"/>
  <c r="Z61" i="44"/>
  <c r="Y61" i="44"/>
  <c r="X61" i="44"/>
  <c r="W61" i="44"/>
  <c r="V61" i="44"/>
  <c r="U61" i="44"/>
  <c r="T61" i="44"/>
  <c r="S61" i="44"/>
  <c r="R61" i="44"/>
  <c r="Q61" i="44"/>
  <c r="AA60" i="44"/>
  <c r="Z60" i="44"/>
  <c r="Y60" i="44"/>
  <c r="X60" i="44"/>
  <c r="W60" i="44"/>
  <c r="V60" i="44"/>
  <c r="U60" i="44"/>
  <c r="T60" i="44"/>
  <c r="S60" i="44"/>
  <c r="R60" i="44"/>
  <c r="Q60" i="44"/>
  <c r="AA59" i="44"/>
  <c r="Z59" i="44"/>
  <c r="Y59" i="44"/>
  <c r="X59" i="44"/>
  <c r="W59" i="44"/>
  <c r="V59" i="44"/>
  <c r="U59" i="44"/>
  <c r="T59" i="44"/>
  <c r="S59" i="44"/>
  <c r="R59" i="44"/>
  <c r="Q59" i="44"/>
  <c r="AA58" i="44"/>
  <c r="Z58" i="44"/>
  <c r="Y58" i="44"/>
  <c r="X58" i="44"/>
  <c r="W58" i="44"/>
  <c r="V58" i="44"/>
  <c r="U58" i="44"/>
  <c r="T58" i="44"/>
  <c r="S58" i="44"/>
  <c r="R58" i="44"/>
  <c r="Q58" i="44"/>
  <c r="AA57" i="44"/>
  <c r="Z57" i="44"/>
  <c r="Y57" i="44"/>
  <c r="X57" i="44"/>
  <c r="W57" i="44"/>
  <c r="V57" i="44"/>
  <c r="U57" i="44"/>
  <c r="T57" i="44"/>
  <c r="S57" i="44"/>
  <c r="R57" i="44"/>
  <c r="Q57" i="44"/>
  <c r="AA56" i="44"/>
  <c r="Z56" i="44"/>
  <c r="Y56" i="44"/>
  <c r="X56" i="44"/>
  <c r="W56" i="44"/>
  <c r="V56" i="44"/>
  <c r="U56" i="44"/>
  <c r="T56" i="44"/>
  <c r="S56" i="44"/>
  <c r="R56" i="44"/>
  <c r="Q56" i="44"/>
  <c r="AA55" i="44"/>
  <c r="Z55" i="44"/>
  <c r="Y55" i="44"/>
  <c r="X55" i="44"/>
  <c r="W55" i="44"/>
  <c r="V55" i="44"/>
  <c r="U55" i="44"/>
  <c r="T55" i="44"/>
  <c r="S55" i="44"/>
  <c r="R55" i="44"/>
  <c r="Q55" i="44"/>
  <c r="AA54" i="44"/>
  <c r="Z54" i="44"/>
  <c r="Y54" i="44"/>
  <c r="X54" i="44"/>
  <c r="W54" i="44"/>
  <c r="V54" i="44"/>
  <c r="U54" i="44"/>
  <c r="T54" i="44"/>
  <c r="S54" i="44"/>
  <c r="R54" i="44"/>
  <c r="Q54" i="44"/>
  <c r="AA53" i="44"/>
  <c r="Z53" i="44"/>
  <c r="Y53" i="44"/>
  <c r="X53" i="44"/>
  <c r="W53" i="44"/>
  <c r="V53" i="44"/>
  <c r="U53" i="44"/>
  <c r="T53" i="44"/>
  <c r="S53" i="44"/>
  <c r="R53" i="44"/>
  <c r="Q53" i="44"/>
  <c r="E53" i="44"/>
  <c r="D53" i="44"/>
  <c r="C53" i="44"/>
  <c r="AA52" i="44"/>
  <c r="Z52" i="44"/>
  <c r="Y52" i="44"/>
  <c r="X52" i="44"/>
  <c r="W52" i="44"/>
  <c r="V52" i="44"/>
  <c r="U52" i="44"/>
  <c r="T52" i="44"/>
  <c r="S52" i="44"/>
  <c r="R52" i="44"/>
  <c r="Q52" i="44"/>
  <c r="AA51" i="44"/>
  <c r="Z51" i="44"/>
  <c r="Y51" i="44"/>
  <c r="X51" i="44"/>
  <c r="W51" i="44"/>
  <c r="V51" i="44"/>
  <c r="U51" i="44"/>
  <c r="T51" i="44"/>
  <c r="S51" i="44"/>
  <c r="R51" i="44"/>
  <c r="Q51" i="44"/>
  <c r="D51" i="44"/>
  <c r="C51" i="44"/>
  <c r="B51" i="44"/>
  <c r="AA50" i="44"/>
  <c r="Z50" i="44"/>
  <c r="Y50" i="44"/>
  <c r="X50" i="44"/>
  <c r="W50" i="44"/>
  <c r="V50" i="44"/>
  <c r="U50" i="44"/>
  <c r="T50" i="44"/>
  <c r="S50" i="44"/>
  <c r="R50" i="44"/>
  <c r="Q50" i="44"/>
  <c r="K7" i="44" l="1"/>
  <c r="K9" i="44"/>
  <c r="K8" i="44"/>
  <c r="K6" i="44"/>
  <c r="K5" i="44"/>
  <c r="K4" i="44"/>
  <c r="K10" i="44"/>
  <c r="G24" i="1"/>
  <c r="J10" i="44"/>
  <c r="J9" i="44"/>
  <c r="J5" i="44"/>
  <c r="J4" i="44"/>
  <c r="F27" i="1"/>
  <c r="F25" i="1"/>
  <c r="J11" i="44" l="1"/>
  <c r="K11" i="44"/>
  <c r="F26" i="1"/>
  <c r="G27" i="1" l="1"/>
  <c r="G26" i="1"/>
  <c r="G25" i="1"/>
  <c r="D42" i="12" l="1"/>
  <c r="B42" i="12"/>
  <c r="C42" i="12"/>
  <c r="B44" i="12"/>
  <c r="C44" i="12"/>
  <c r="A42" i="12"/>
  <c r="A44" i="12"/>
  <c r="V96" i="11" l="1"/>
  <c r="U96" i="11"/>
  <c r="T96" i="11"/>
  <c r="S96" i="11"/>
  <c r="R96" i="11"/>
  <c r="Q96" i="11"/>
  <c r="P96" i="11"/>
  <c r="O96" i="11"/>
  <c r="N96" i="11"/>
  <c r="M96" i="11"/>
  <c r="V95" i="11"/>
  <c r="U95" i="11"/>
  <c r="T95" i="11"/>
  <c r="S95" i="11"/>
  <c r="R95" i="11"/>
  <c r="Q95" i="11"/>
  <c r="P95" i="11"/>
  <c r="O95" i="11"/>
  <c r="N95" i="11"/>
  <c r="M95" i="11"/>
  <c r="V94" i="11"/>
  <c r="U94" i="11"/>
  <c r="T94" i="11"/>
  <c r="S94" i="11"/>
  <c r="R94" i="11"/>
  <c r="Q94" i="11"/>
  <c r="P94" i="11"/>
  <c r="O94" i="11"/>
  <c r="N94" i="11"/>
  <c r="M94" i="11"/>
  <c r="V93" i="11"/>
  <c r="U93" i="11"/>
  <c r="T93" i="11"/>
  <c r="S93" i="11"/>
  <c r="R93" i="11"/>
  <c r="Q93" i="11"/>
  <c r="P93" i="11"/>
  <c r="O93" i="11"/>
  <c r="N93" i="11"/>
  <c r="M93" i="11"/>
  <c r="V92" i="11"/>
  <c r="U92" i="11"/>
  <c r="T92" i="11"/>
  <c r="S92" i="11"/>
  <c r="R92" i="11"/>
  <c r="Q92" i="11"/>
  <c r="P92" i="11"/>
  <c r="O92" i="11"/>
  <c r="N92" i="11"/>
  <c r="M92" i="11"/>
  <c r="V91" i="11"/>
  <c r="U91" i="11"/>
  <c r="T91" i="11"/>
  <c r="S91" i="11"/>
  <c r="R91" i="11"/>
  <c r="Q91" i="11"/>
  <c r="P91" i="11"/>
  <c r="O91" i="11"/>
  <c r="N91" i="11"/>
  <c r="M91" i="11"/>
  <c r="V90" i="11"/>
  <c r="U90" i="11"/>
  <c r="T90" i="11"/>
  <c r="S90" i="11"/>
  <c r="R90" i="11"/>
  <c r="Q90" i="11"/>
  <c r="P90" i="11"/>
  <c r="O90" i="11"/>
  <c r="N90" i="11"/>
  <c r="M90" i="11"/>
  <c r="V89" i="11"/>
  <c r="U89" i="11"/>
  <c r="T89" i="11"/>
  <c r="S89" i="11"/>
  <c r="R89" i="11"/>
  <c r="Q89" i="11"/>
  <c r="P89" i="11"/>
  <c r="O89" i="11"/>
  <c r="N89" i="11"/>
  <c r="M89" i="11"/>
  <c r="V88" i="11"/>
  <c r="U88" i="11"/>
  <c r="T88" i="11"/>
  <c r="S88" i="11"/>
  <c r="R88" i="11"/>
  <c r="Q88" i="11"/>
  <c r="P88" i="11"/>
  <c r="O88" i="11"/>
  <c r="N88" i="11"/>
  <c r="M88" i="11"/>
  <c r="V87" i="11"/>
  <c r="U87" i="11"/>
  <c r="T87" i="11"/>
  <c r="S87" i="11"/>
  <c r="R87" i="11"/>
  <c r="Q87" i="11"/>
  <c r="P87" i="11"/>
  <c r="O87" i="11"/>
  <c r="N87" i="11"/>
  <c r="M87" i="11"/>
  <c r="V86" i="11"/>
  <c r="U86" i="11"/>
  <c r="T86" i="11"/>
  <c r="S86" i="11"/>
  <c r="R86" i="11"/>
  <c r="Q86" i="11"/>
  <c r="P86" i="11"/>
  <c r="O86" i="11"/>
  <c r="N86" i="11"/>
  <c r="M86" i="11"/>
  <c r="V85" i="11"/>
  <c r="U85" i="11"/>
  <c r="T85" i="11"/>
  <c r="S85" i="11"/>
  <c r="R85" i="11"/>
  <c r="Q85" i="11"/>
  <c r="P85" i="11"/>
  <c r="O85" i="11"/>
  <c r="N85" i="11"/>
  <c r="M85" i="11"/>
  <c r="V84" i="11"/>
  <c r="U84" i="11"/>
  <c r="T84" i="11"/>
  <c r="S84" i="11"/>
  <c r="R84" i="11"/>
  <c r="Q84" i="11"/>
  <c r="P84" i="11"/>
  <c r="O84" i="11"/>
  <c r="N84" i="11"/>
  <c r="M84" i="11"/>
  <c r="V83" i="11"/>
  <c r="U83" i="11"/>
  <c r="T83" i="11"/>
  <c r="S83" i="11"/>
  <c r="R83" i="11"/>
  <c r="Q83" i="11"/>
  <c r="P83" i="11"/>
  <c r="O83" i="11"/>
  <c r="N83" i="11"/>
  <c r="M83" i="11"/>
  <c r="V82" i="11"/>
  <c r="U82" i="11"/>
  <c r="T82" i="11"/>
  <c r="S82" i="11"/>
  <c r="R82" i="11"/>
  <c r="Q82" i="11"/>
  <c r="P82" i="11"/>
  <c r="O82" i="11"/>
  <c r="N82" i="11"/>
  <c r="M82" i="11"/>
  <c r="V81" i="11"/>
  <c r="U81" i="11"/>
  <c r="T81" i="11"/>
  <c r="S81" i="11"/>
  <c r="R81" i="11"/>
  <c r="Q81" i="11"/>
  <c r="P81" i="11"/>
  <c r="O81" i="11"/>
  <c r="N81" i="11"/>
  <c r="M81" i="11"/>
  <c r="V80" i="11"/>
  <c r="U80" i="11"/>
  <c r="T80" i="11"/>
  <c r="S80" i="11"/>
  <c r="R80" i="11"/>
  <c r="Q80" i="11"/>
  <c r="P80" i="11"/>
  <c r="O80" i="11"/>
  <c r="N80" i="11"/>
  <c r="M80" i="11"/>
  <c r="V79" i="11"/>
  <c r="U79" i="11"/>
  <c r="T79" i="11"/>
  <c r="S79" i="11"/>
  <c r="R79" i="11"/>
  <c r="Q79" i="11"/>
  <c r="P79" i="11"/>
  <c r="O79" i="11"/>
  <c r="N79" i="11"/>
  <c r="M79" i="11"/>
  <c r="V78" i="11"/>
  <c r="U78" i="11"/>
  <c r="T78" i="11"/>
  <c r="S78" i="11"/>
  <c r="R78" i="11"/>
  <c r="Q78" i="11"/>
  <c r="P78" i="11"/>
  <c r="O78" i="11"/>
  <c r="N78" i="11"/>
  <c r="M78" i="11"/>
  <c r="V77" i="11"/>
  <c r="U77" i="11"/>
  <c r="T77" i="11"/>
  <c r="S77" i="11"/>
  <c r="R77" i="11"/>
  <c r="Q77" i="11"/>
  <c r="P77" i="11"/>
  <c r="O77" i="11"/>
  <c r="N77" i="11"/>
  <c r="M77" i="11"/>
  <c r="V76" i="11"/>
  <c r="U76" i="11"/>
  <c r="T76" i="11"/>
  <c r="S76" i="11"/>
  <c r="R76" i="11"/>
  <c r="Q76" i="11"/>
  <c r="P76" i="11"/>
  <c r="O76" i="11"/>
  <c r="N76" i="11"/>
  <c r="M76" i="11"/>
  <c r="V75" i="11"/>
  <c r="U75" i="11"/>
  <c r="T75" i="11"/>
  <c r="S75" i="11"/>
  <c r="R75" i="11"/>
  <c r="Q75" i="11"/>
  <c r="P75" i="11"/>
  <c r="O75" i="11"/>
  <c r="N75" i="11"/>
  <c r="M75" i="11"/>
  <c r="V74" i="11"/>
  <c r="U74" i="11"/>
  <c r="T74" i="11"/>
  <c r="S74" i="11"/>
  <c r="R74" i="11"/>
  <c r="Q74" i="11"/>
  <c r="P74" i="11"/>
  <c r="O74" i="11"/>
  <c r="N74" i="11"/>
  <c r="M74" i="11"/>
  <c r="V73" i="11"/>
  <c r="U73" i="11"/>
  <c r="T73" i="11"/>
  <c r="S73" i="11"/>
  <c r="R73" i="11"/>
  <c r="Q73" i="11"/>
  <c r="P73" i="11"/>
  <c r="O73" i="11"/>
  <c r="N73" i="11"/>
  <c r="M73" i="11"/>
  <c r="V72" i="11"/>
  <c r="U72" i="11"/>
  <c r="T72" i="11"/>
  <c r="S72" i="11"/>
  <c r="R72" i="11"/>
  <c r="Q72" i="11"/>
  <c r="P72" i="11"/>
  <c r="O72" i="11"/>
  <c r="N72" i="11"/>
  <c r="M72" i="11"/>
  <c r="V70" i="11"/>
  <c r="U70" i="11"/>
  <c r="T70" i="11"/>
  <c r="S70" i="11"/>
  <c r="R70" i="11"/>
  <c r="Q70" i="11"/>
  <c r="P70" i="11"/>
  <c r="O70" i="11"/>
  <c r="N70" i="11"/>
  <c r="M70" i="11"/>
  <c r="V69" i="11"/>
  <c r="U69" i="11"/>
  <c r="T69" i="11"/>
  <c r="S69" i="11"/>
  <c r="R69" i="11"/>
  <c r="Q69" i="11"/>
  <c r="P69" i="11"/>
  <c r="O69" i="11"/>
  <c r="N69" i="11"/>
  <c r="M69" i="11"/>
  <c r="V68" i="11"/>
  <c r="U68" i="11"/>
  <c r="T68" i="11"/>
  <c r="S68" i="11"/>
  <c r="R68" i="11"/>
  <c r="Q68" i="11"/>
  <c r="P68" i="11"/>
  <c r="O68" i="11"/>
  <c r="N68" i="11"/>
  <c r="M68" i="11"/>
  <c r="V67" i="11"/>
  <c r="U67" i="11"/>
  <c r="T67" i="11"/>
  <c r="S67" i="11"/>
  <c r="R67" i="11"/>
  <c r="Q67" i="11"/>
  <c r="P67" i="11"/>
  <c r="O67" i="11"/>
  <c r="N67" i="11"/>
  <c r="M67" i="11"/>
  <c r="V66" i="11"/>
  <c r="U66" i="11"/>
  <c r="T66" i="11"/>
  <c r="S66" i="11"/>
  <c r="R66" i="11"/>
  <c r="Q66" i="11"/>
  <c r="P66" i="11"/>
  <c r="O66" i="11"/>
  <c r="N66" i="11"/>
  <c r="M66" i="11"/>
  <c r="V65" i="11"/>
  <c r="U65" i="11"/>
  <c r="T65" i="11"/>
  <c r="S65" i="11"/>
  <c r="R65" i="11"/>
  <c r="Q65" i="11"/>
  <c r="P65" i="11"/>
  <c r="O65" i="11"/>
  <c r="N65" i="11"/>
  <c r="M65" i="11"/>
  <c r="V64" i="11"/>
  <c r="U64" i="11"/>
  <c r="T64" i="11"/>
  <c r="S64" i="11"/>
  <c r="R64" i="11"/>
  <c r="Q64" i="11"/>
  <c r="P64" i="11"/>
  <c r="O64" i="11"/>
  <c r="N64" i="11"/>
  <c r="M64" i="11"/>
  <c r="V63" i="11"/>
  <c r="U63" i="11"/>
  <c r="T63" i="11"/>
  <c r="S63" i="11"/>
  <c r="R63" i="11"/>
  <c r="Q63" i="11"/>
  <c r="P63" i="11"/>
  <c r="O63" i="11"/>
  <c r="N63" i="11"/>
  <c r="M63" i="11"/>
  <c r="V62" i="11"/>
  <c r="U62" i="11"/>
  <c r="T62" i="11"/>
  <c r="S62" i="11"/>
  <c r="R62" i="11"/>
  <c r="Q62" i="11"/>
  <c r="P62" i="11"/>
  <c r="O62" i="11"/>
  <c r="N62" i="11"/>
  <c r="M62" i="11"/>
  <c r="V61" i="11"/>
  <c r="U61" i="11"/>
  <c r="T61" i="11"/>
  <c r="S61" i="11"/>
  <c r="R61" i="11"/>
  <c r="Q61" i="11"/>
  <c r="P61" i="11"/>
  <c r="O61" i="11"/>
  <c r="N61" i="11"/>
  <c r="M61" i="11"/>
  <c r="V60" i="11"/>
  <c r="U60" i="11"/>
  <c r="T60" i="11"/>
  <c r="S60" i="11"/>
  <c r="R60" i="11"/>
  <c r="Q60" i="11"/>
  <c r="P60" i="11"/>
  <c r="O60" i="11"/>
  <c r="N60" i="11"/>
  <c r="M60" i="11"/>
  <c r="V59" i="11"/>
  <c r="U59" i="11"/>
  <c r="T59" i="11"/>
  <c r="S59" i="11"/>
  <c r="R59" i="11"/>
  <c r="Q59" i="11"/>
  <c r="P59" i="11"/>
  <c r="O59" i="11"/>
  <c r="N59" i="11"/>
  <c r="M59" i="11"/>
  <c r="V58" i="11"/>
  <c r="U58" i="11"/>
  <c r="T58" i="11"/>
  <c r="S58" i="11"/>
  <c r="R58" i="11"/>
  <c r="Q58" i="11"/>
  <c r="P58" i="11"/>
  <c r="O58" i="11"/>
  <c r="N58" i="11"/>
  <c r="M58" i="11"/>
  <c r="V57" i="11"/>
  <c r="U57" i="11"/>
  <c r="T57" i="11"/>
  <c r="S57" i="11"/>
  <c r="R57" i="11"/>
  <c r="Q57" i="11"/>
  <c r="P57" i="11"/>
  <c r="O57" i="11"/>
  <c r="N57" i="11"/>
  <c r="M57" i="11"/>
  <c r="V56" i="11"/>
  <c r="U56" i="11"/>
  <c r="T56" i="11"/>
  <c r="S56" i="11"/>
  <c r="R56" i="11"/>
  <c r="Q56" i="11"/>
  <c r="P56" i="11"/>
  <c r="O56" i="11"/>
  <c r="N56" i="11"/>
  <c r="M56" i="11"/>
  <c r="V55" i="11"/>
  <c r="U55" i="11"/>
  <c r="T55" i="11"/>
  <c r="S55" i="11"/>
  <c r="R55" i="11"/>
  <c r="Q55" i="11"/>
  <c r="P55" i="11"/>
  <c r="O55" i="11"/>
  <c r="N55" i="11"/>
  <c r="M55" i="11"/>
  <c r="V54" i="11"/>
  <c r="U54" i="11"/>
  <c r="T54" i="11"/>
  <c r="S54" i="11"/>
  <c r="R54" i="11"/>
  <c r="Q54" i="11"/>
  <c r="P54" i="11"/>
  <c r="O54" i="11"/>
  <c r="N54" i="11"/>
  <c r="M54" i="11"/>
  <c r="V53" i="11"/>
  <c r="U53" i="11"/>
  <c r="T53" i="11"/>
  <c r="S53" i="11"/>
  <c r="R53" i="11"/>
  <c r="Q53" i="11"/>
  <c r="P53" i="11"/>
  <c r="O53" i="11"/>
  <c r="N53" i="11"/>
  <c r="M53" i="11"/>
  <c r="V52" i="11"/>
  <c r="U52" i="11"/>
  <c r="T52" i="11"/>
  <c r="S52" i="11"/>
  <c r="R52" i="11"/>
  <c r="Q52" i="11"/>
  <c r="P52" i="11"/>
  <c r="O52" i="11"/>
  <c r="N52" i="11"/>
  <c r="M52" i="11"/>
  <c r="V51" i="11"/>
  <c r="U51" i="11"/>
  <c r="T51" i="11"/>
  <c r="S51" i="11"/>
  <c r="R51" i="11"/>
  <c r="Q51" i="11"/>
  <c r="P51" i="11"/>
  <c r="O51" i="11"/>
  <c r="N51" i="11"/>
  <c r="M51" i="11"/>
  <c r="V50" i="11"/>
  <c r="U50" i="11"/>
  <c r="T50" i="11"/>
  <c r="S50" i="11"/>
  <c r="R50" i="11"/>
  <c r="Q50" i="11"/>
  <c r="P50" i="11"/>
  <c r="O50" i="11"/>
  <c r="N50" i="11"/>
  <c r="M50" i="11"/>
  <c r="V49" i="11"/>
  <c r="U49" i="11"/>
  <c r="T49" i="11"/>
  <c r="S49" i="11"/>
  <c r="R49" i="11"/>
  <c r="Q49" i="11"/>
  <c r="P49" i="11"/>
  <c r="O49" i="11"/>
  <c r="N49" i="11"/>
  <c r="M49" i="11"/>
  <c r="V48" i="11"/>
  <c r="U48" i="11"/>
  <c r="T48" i="11"/>
  <c r="S48" i="11"/>
  <c r="R48" i="11"/>
  <c r="Q48" i="11"/>
  <c r="P48" i="11"/>
  <c r="O48" i="11"/>
  <c r="N48" i="11"/>
  <c r="M48" i="11"/>
  <c r="V47" i="11"/>
  <c r="U47" i="11"/>
  <c r="T47" i="11"/>
  <c r="S47" i="11"/>
  <c r="R47" i="11"/>
  <c r="Q47" i="11"/>
  <c r="P47" i="11"/>
  <c r="O47" i="11"/>
  <c r="N47" i="11"/>
  <c r="M47" i="11"/>
  <c r="V46" i="11"/>
  <c r="U46" i="11"/>
  <c r="T46" i="11"/>
  <c r="S46" i="11"/>
  <c r="R46" i="11"/>
  <c r="Q46" i="11"/>
  <c r="P46" i="11"/>
  <c r="O46" i="11"/>
  <c r="N46" i="11"/>
  <c r="M46" i="11"/>
  <c r="V45" i="11"/>
  <c r="U45" i="11"/>
  <c r="T45" i="11"/>
  <c r="S45" i="11"/>
  <c r="R45" i="11"/>
  <c r="Q45" i="11"/>
  <c r="P45" i="11"/>
  <c r="O45" i="11"/>
  <c r="N45" i="11"/>
  <c r="M45" i="11"/>
  <c r="V44" i="11"/>
  <c r="U44" i="11"/>
  <c r="T44" i="11"/>
  <c r="S44" i="11"/>
  <c r="R44" i="11"/>
  <c r="Q44" i="11"/>
  <c r="P44" i="11"/>
  <c r="O44" i="11"/>
  <c r="N44" i="11"/>
  <c r="M44" i="11"/>
  <c r="V43" i="11"/>
  <c r="U43" i="11"/>
  <c r="T43" i="11"/>
  <c r="S43" i="11"/>
  <c r="R43" i="11"/>
  <c r="Q43" i="11"/>
  <c r="P43" i="11"/>
  <c r="O43" i="11"/>
  <c r="N43" i="11"/>
  <c r="M43" i="11"/>
  <c r="V42" i="11"/>
  <c r="U42" i="11"/>
  <c r="T42" i="11"/>
  <c r="S42" i="11"/>
  <c r="R42" i="11"/>
  <c r="Q42" i="11"/>
  <c r="P42" i="11"/>
  <c r="O42" i="11"/>
  <c r="N42" i="11"/>
  <c r="M42" i="11"/>
  <c r="V41" i="11"/>
  <c r="U41" i="11"/>
  <c r="T41" i="11"/>
  <c r="S41" i="11"/>
  <c r="R41" i="11"/>
  <c r="Q41" i="11"/>
  <c r="P41" i="11"/>
  <c r="O41" i="11"/>
  <c r="N41" i="11"/>
  <c r="M41" i="11"/>
  <c r="V40" i="11"/>
  <c r="U40" i="11"/>
  <c r="T40" i="11"/>
  <c r="S40" i="11"/>
  <c r="R40" i="11"/>
  <c r="Q40" i="11"/>
  <c r="P40" i="11"/>
  <c r="O40" i="11"/>
  <c r="N40" i="11"/>
  <c r="M40" i="11"/>
  <c r="V39" i="11"/>
  <c r="U39" i="11"/>
  <c r="T39" i="11"/>
  <c r="S39" i="11"/>
  <c r="R39" i="11"/>
  <c r="Q39" i="11"/>
  <c r="P39" i="11"/>
  <c r="O39" i="11"/>
  <c r="N39" i="11"/>
  <c r="M39" i="11"/>
  <c r="V38" i="11"/>
  <c r="U38" i="11"/>
  <c r="T38" i="11"/>
  <c r="S38" i="11"/>
  <c r="R38" i="11"/>
  <c r="Q38" i="11"/>
  <c r="P38" i="11"/>
  <c r="O38" i="11"/>
  <c r="N38" i="11"/>
  <c r="M38" i="11"/>
  <c r="V37" i="11"/>
  <c r="U37" i="11"/>
  <c r="T37" i="11"/>
  <c r="S37" i="11"/>
  <c r="R37" i="11"/>
  <c r="Q37" i="11"/>
  <c r="P37" i="11"/>
  <c r="O37" i="11"/>
  <c r="N37" i="11"/>
  <c r="M37" i="11"/>
  <c r="V36" i="11"/>
  <c r="U36" i="11"/>
  <c r="T36" i="11"/>
  <c r="S36" i="11"/>
  <c r="R36" i="11"/>
  <c r="Q36" i="11"/>
  <c r="P36" i="11"/>
  <c r="O36" i="11"/>
  <c r="N36" i="11"/>
  <c r="M36" i="11"/>
  <c r="V35" i="11"/>
  <c r="U35" i="11"/>
  <c r="T35" i="11"/>
  <c r="S35" i="11"/>
  <c r="R35" i="11"/>
  <c r="Q35" i="11"/>
  <c r="P35" i="11"/>
  <c r="O35" i="11"/>
  <c r="N35" i="11"/>
  <c r="M35" i="11"/>
  <c r="V34" i="11"/>
  <c r="U34" i="11"/>
  <c r="T34" i="11"/>
  <c r="S34" i="11"/>
  <c r="R34" i="11"/>
  <c r="Q34" i="11"/>
  <c r="P34" i="11"/>
  <c r="O34" i="11"/>
  <c r="N34" i="11"/>
  <c r="M34" i="11"/>
  <c r="V33" i="11"/>
  <c r="U33" i="11"/>
  <c r="T33" i="11"/>
  <c r="S33" i="11"/>
  <c r="R33" i="11"/>
  <c r="Q33" i="11"/>
  <c r="P33" i="11"/>
  <c r="O33" i="11"/>
  <c r="N33" i="11"/>
  <c r="M33" i="11"/>
  <c r="V32" i="11"/>
  <c r="U32" i="11"/>
  <c r="T32" i="11"/>
  <c r="S32" i="11"/>
  <c r="R32" i="11"/>
  <c r="Q32" i="11"/>
  <c r="P32" i="11"/>
  <c r="O32" i="11"/>
  <c r="N32" i="11"/>
  <c r="M32" i="11"/>
  <c r="V31" i="11"/>
  <c r="U31" i="11"/>
  <c r="T31" i="11"/>
  <c r="S31" i="11"/>
  <c r="R31" i="11"/>
  <c r="Q31" i="11"/>
  <c r="P31" i="11"/>
  <c r="O31" i="11"/>
  <c r="N31" i="11"/>
  <c r="M31" i="11"/>
  <c r="V30" i="11"/>
  <c r="U30" i="11"/>
  <c r="T30" i="11"/>
  <c r="S30" i="11"/>
  <c r="R30" i="11"/>
  <c r="Q30" i="11"/>
  <c r="P30" i="11"/>
  <c r="O30" i="11"/>
  <c r="N30" i="11"/>
  <c r="M30" i="11"/>
  <c r="V29" i="11"/>
  <c r="U29" i="11"/>
  <c r="T29" i="11"/>
  <c r="S29" i="11"/>
  <c r="R29" i="11"/>
  <c r="Q29" i="11"/>
  <c r="P29" i="11"/>
  <c r="O29" i="11"/>
  <c r="N29" i="11"/>
  <c r="M29" i="11"/>
  <c r="V28" i="11"/>
  <c r="U28" i="11"/>
  <c r="T28" i="11"/>
  <c r="S28" i="11"/>
  <c r="R28" i="11"/>
  <c r="Q28" i="11"/>
  <c r="P28" i="11"/>
  <c r="O28" i="11"/>
  <c r="N28" i="11"/>
  <c r="M28" i="11"/>
  <c r="V27" i="11"/>
  <c r="U27" i="11"/>
  <c r="T27" i="11"/>
  <c r="S27" i="11"/>
  <c r="R27" i="11"/>
  <c r="Q27" i="11"/>
  <c r="P27" i="11"/>
  <c r="O27" i="11"/>
  <c r="N27" i="11"/>
  <c r="M27" i="11"/>
  <c r="V26" i="11"/>
  <c r="U26" i="11"/>
  <c r="T26" i="11"/>
  <c r="S26" i="11"/>
  <c r="R26" i="11"/>
  <c r="Q26" i="11"/>
  <c r="P26" i="11"/>
  <c r="O26" i="11"/>
  <c r="N26" i="11"/>
  <c r="M26" i="11"/>
  <c r="V25" i="11"/>
  <c r="U25" i="11"/>
  <c r="T25" i="11"/>
  <c r="S25" i="11"/>
  <c r="R25" i="11"/>
  <c r="Q25" i="11"/>
  <c r="P25" i="11"/>
  <c r="O25" i="11"/>
  <c r="N25" i="11"/>
  <c r="M25" i="11"/>
  <c r="V24" i="11"/>
  <c r="U24" i="11"/>
  <c r="T24" i="11"/>
  <c r="S24" i="11"/>
  <c r="R24" i="11"/>
  <c r="Q24" i="11"/>
  <c r="P24" i="11"/>
  <c r="O24" i="11"/>
  <c r="N24" i="11"/>
  <c r="M24" i="11"/>
  <c r="V23" i="11"/>
  <c r="U23" i="11"/>
  <c r="T23" i="11"/>
  <c r="S23" i="11"/>
  <c r="R23" i="11"/>
  <c r="Q23" i="11"/>
  <c r="P23" i="11"/>
  <c r="O23" i="11"/>
  <c r="N23" i="11"/>
  <c r="M23" i="11"/>
  <c r="V22" i="11"/>
  <c r="U22" i="11"/>
  <c r="T22" i="11"/>
  <c r="S22" i="11"/>
  <c r="R22" i="11"/>
  <c r="Q22" i="11"/>
  <c r="P22" i="11"/>
  <c r="O22" i="11"/>
  <c r="N22" i="11"/>
  <c r="M22" i="11"/>
  <c r="V21" i="11"/>
  <c r="U21" i="11"/>
  <c r="T21" i="11"/>
  <c r="S21" i="11"/>
  <c r="R21" i="11"/>
  <c r="Q21" i="11"/>
  <c r="P21" i="11"/>
  <c r="O21" i="11"/>
  <c r="N21" i="11"/>
  <c r="M21" i="11"/>
  <c r="V20" i="11"/>
  <c r="U20" i="11"/>
  <c r="T20" i="11"/>
  <c r="S20" i="11"/>
  <c r="R20" i="11"/>
  <c r="Q20" i="11"/>
  <c r="P20" i="11"/>
  <c r="O20" i="11"/>
  <c r="N20" i="11"/>
  <c r="M20" i="11"/>
  <c r="V19" i="11"/>
  <c r="U19" i="11"/>
  <c r="T19" i="11"/>
  <c r="S19" i="11"/>
  <c r="R19" i="11"/>
  <c r="Q19" i="11"/>
  <c r="P19" i="11"/>
  <c r="O19" i="11"/>
  <c r="N19" i="11"/>
  <c r="M19" i="11"/>
  <c r="V18" i="11"/>
  <c r="U18" i="11"/>
  <c r="T18" i="11"/>
  <c r="S18" i="11"/>
  <c r="R18" i="11"/>
  <c r="Q18" i="11"/>
  <c r="P18" i="11"/>
  <c r="O18" i="11"/>
  <c r="N18" i="11"/>
  <c r="M18" i="11"/>
  <c r="V17" i="11"/>
  <c r="U17" i="11"/>
  <c r="T17" i="11"/>
  <c r="S17" i="11"/>
  <c r="R17" i="11"/>
  <c r="Q17" i="11"/>
  <c r="P17" i="11"/>
  <c r="O17" i="11"/>
  <c r="N17" i="11"/>
  <c r="M17" i="11"/>
  <c r="V16" i="11"/>
  <c r="U16" i="11"/>
  <c r="T16" i="11"/>
  <c r="S16" i="11"/>
  <c r="R16" i="11"/>
  <c r="Q16" i="11"/>
  <c r="H5" i="11" s="1"/>
  <c r="P16" i="11"/>
  <c r="O16" i="11"/>
  <c r="N16" i="11"/>
  <c r="M16" i="11"/>
  <c r="V15" i="11"/>
  <c r="U15" i="11"/>
  <c r="T15" i="11"/>
  <c r="S15" i="11"/>
  <c r="R15" i="11"/>
  <c r="Q15" i="11"/>
  <c r="P15" i="11"/>
  <c r="O15" i="11"/>
  <c r="N15" i="11"/>
  <c r="M15" i="11"/>
  <c r="V14" i="11"/>
  <c r="U14" i="11"/>
  <c r="G5" i="11" s="1"/>
  <c r="T14" i="11"/>
  <c r="S14" i="11"/>
  <c r="R14" i="11"/>
  <c r="Q14" i="11"/>
  <c r="P14" i="11"/>
  <c r="O14" i="11"/>
  <c r="N14" i="11"/>
  <c r="M14" i="11"/>
  <c r="V13" i="11"/>
  <c r="U13" i="11"/>
  <c r="T13" i="11"/>
  <c r="S13" i="11"/>
  <c r="R13" i="11"/>
  <c r="Q13" i="11"/>
  <c r="P13" i="11"/>
  <c r="O13" i="11"/>
  <c r="N13" i="11"/>
  <c r="M13" i="11"/>
  <c r="V12" i="11"/>
  <c r="G4" i="11" s="1"/>
  <c r="U12" i="11"/>
  <c r="T12" i="11"/>
  <c r="S12" i="11"/>
  <c r="R12" i="11"/>
  <c r="H4" i="11"/>
  <c r="Q12" i="11"/>
  <c r="P12" i="11"/>
  <c r="O12" i="11"/>
  <c r="N12" i="11"/>
  <c r="M12" i="11"/>
  <c r="V11" i="11"/>
  <c r="U11" i="11"/>
  <c r="T11" i="11"/>
  <c r="G8" i="11" s="1"/>
  <c r="S11" i="11"/>
  <c r="G9" i="11" s="1"/>
  <c r="R11" i="11"/>
  <c r="Q11" i="11"/>
  <c r="P11" i="11"/>
  <c r="H6" i="11"/>
  <c r="O11" i="11"/>
  <c r="H7" i="11" s="1"/>
  <c r="N11" i="11"/>
  <c r="H8" i="11" s="1"/>
  <c r="M11" i="11"/>
  <c r="H9" i="11"/>
  <c r="H10" i="11" l="1"/>
  <c r="G10" i="11"/>
</calcChain>
</file>

<file path=xl/sharedStrings.xml><?xml version="1.0" encoding="utf-8"?>
<sst xmlns="http://schemas.openxmlformats.org/spreadsheetml/2006/main" count="1450" uniqueCount="571">
  <si>
    <t>Mise à jour</t>
  </si>
  <si>
    <t>Ref d'essai</t>
  </si>
  <si>
    <t>Désignation essai</t>
  </si>
  <si>
    <t>Références HW et SW</t>
  </si>
  <si>
    <t>Réf. Rapports</t>
  </si>
  <si>
    <t>Résultats d'essais</t>
  </si>
  <si>
    <t>Commentaires</t>
  </si>
  <si>
    <t>Vue FRN</t>
  </si>
  <si>
    <t>Vue PSA</t>
  </si>
  <si>
    <t>B21 7130</t>
  </si>
  <si>
    <t>CL01</t>
  </si>
  <si>
    <t>Fonctionnement apres stockage</t>
  </si>
  <si>
    <t>CL03</t>
  </si>
  <si>
    <t>Temperatures extremes en fonctionnement aux tensions d'alimentation usuelles</t>
  </si>
  <si>
    <t>CL04</t>
  </si>
  <si>
    <t>Paliers de temperature</t>
  </si>
  <si>
    <t>CL06</t>
  </si>
  <si>
    <t>Mesure de l'auto-echauffement</t>
  </si>
  <si>
    <t>CL07</t>
  </si>
  <si>
    <t>Vieillissement par chocs thermiques</t>
  </si>
  <si>
    <t>CL08</t>
  </si>
  <si>
    <t>Endurance aux cycles thermiques</t>
  </si>
  <si>
    <t>CL09</t>
  </si>
  <si>
    <t>CL11</t>
  </si>
  <si>
    <t>Limites de fonctionnement en temperature</t>
  </si>
  <si>
    <t>Humidite et corrosion</t>
  </si>
  <si>
    <t>CL13a</t>
  </si>
  <si>
    <t>Protection assuree par les enveloppes ip - poussière</t>
  </si>
  <si>
    <t>CL13b</t>
  </si>
  <si>
    <t>Protection assuree par les enveloppes ip - eau</t>
  </si>
  <si>
    <t>CL17</t>
  </si>
  <si>
    <t>Fonctionnement en presence de poussiere</t>
  </si>
  <si>
    <t>B21 7120</t>
  </si>
  <si>
    <t>M1.1</t>
  </si>
  <si>
    <t>Languettes</t>
  </si>
  <si>
    <t>M1.2</t>
  </si>
  <si>
    <t>B21 7050 c - §8.1 mesure de la resistance de contact</t>
  </si>
  <si>
    <t>B21 7050 c - §8.2 resistance d'isolement</t>
  </si>
  <si>
    <t>B21 7050 c - §8.3 rigidite dielectrique</t>
  </si>
  <si>
    <t>B21 7050 c - §9.2.1 force d'accouplement</t>
  </si>
  <si>
    <t>B21 7050 c - §9.2.2 force de desaccouplement</t>
  </si>
  <si>
    <t>B21 7050 c - §9.2.3 controle du verrouillage des connecteurs</t>
  </si>
  <si>
    <t>B21 7050 c - §9.2.4 controle du dispositif de polarisation des connecteurs</t>
  </si>
  <si>
    <t>B21 7050 c - §9.2.5 controle du dispositif de detrompage des connecteurs</t>
  </si>
  <si>
    <t>B21 7050 c - §11.1.1 endurance d'accouplement et de desaccouplement</t>
  </si>
  <si>
    <t>M2.1</t>
  </si>
  <si>
    <t>Fixations - efforts externes a l'appareil</t>
  </si>
  <si>
    <t>M3.1</t>
  </si>
  <si>
    <t>Chute d'une bille</t>
  </si>
  <si>
    <t>M3.3</t>
  </si>
  <si>
    <t>Chute libre</t>
  </si>
  <si>
    <t>M5.5</t>
  </si>
  <si>
    <t>Vibrations - appareil sur caisse (ou sur masse suspendue)</t>
  </si>
  <si>
    <t>Essais complémentaires</t>
  </si>
  <si>
    <t>NOK majeur</t>
  </si>
  <si>
    <t>Remarques générales</t>
  </si>
  <si>
    <t>Synthèse Statut</t>
  </si>
  <si>
    <t>OK</t>
  </si>
  <si>
    <t>En cours</t>
  </si>
  <si>
    <t>NA</t>
  </si>
  <si>
    <t>En analyse</t>
  </si>
  <si>
    <t>NOK mineur</t>
  </si>
  <si>
    <t>Ok</t>
  </si>
  <si>
    <t>NOK</t>
  </si>
  <si>
    <t>NOK Majeur</t>
  </si>
  <si>
    <t>NOK Mineur</t>
  </si>
  <si>
    <t>Total</t>
  </si>
  <si>
    <t>PSA</t>
  </si>
  <si>
    <t>FNR</t>
  </si>
  <si>
    <t>Version</t>
  </si>
  <si>
    <t>Date :</t>
  </si>
  <si>
    <t>Visa </t>
  </si>
  <si>
    <t xml:space="preserve">Fax : </t>
  </si>
  <si>
    <t>DV</t>
  </si>
  <si>
    <t>PV</t>
  </si>
  <si>
    <t>CL43</t>
  </si>
  <si>
    <t>CL12a</t>
  </si>
  <si>
    <t>CL12e</t>
  </si>
  <si>
    <t>B21 7110</t>
  </si>
  <si>
    <t>EQ/TE 03  - Test de re-initialisation
Reinitialization test</t>
  </si>
  <si>
    <t>EQ/TE 04 - 24V : Tenue aux tensions d'alimentation non usuelles
Resistance to unusual power supply voltages
-13,5V : Tenue aux tensions d'alimentation non usuelles
Resistance to unusual power supply voltages</t>
  </si>
  <si>
    <t>EQ/TE 05 - Tenue aux mises à la masse et à la borne positive du réseau
Resistance to ground and positive supply voltages short circuit</t>
  </si>
  <si>
    <t>EQ/TE 06 - 'Tenue aux surcharges de longue durée
Resistance to long duration overloads</t>
  </si>
  <si>
    <t>EQ/TE 07 - Tenue à la tension d'alimentation exceptionnelle
Resistance to exceptional supply voltage (18V)</t>
  </si>
  <si>
    <t>EQ/TE 08 - Tenue aux variations de tension dans la plage usuelle « Volt control »
Resistance to power variations in the usual range « Volt control »</t>
  </si>
  <si>
    <t>EQ/IC 01 - Tenue aux impulsions 1, 1 bis et 2a
Resistance to 1, 1 bis and 2A</t>
  </si>
  <si>
    <t>EQ/IC 02 - Tenue aux impulsions 3a et 3b
Resistance to 3a and 3b pulses</t>
  </si>
  <si>
    <t>EQ/IC 03 - Tenue aux impulsions 5b
Resistance to 5b pulse</t>
  </si>
  <si>
    <t>EQ/IC 04 - Tenue aux micro-coupures d’alimentation (2µs / 100µs)
Resistance to supply micro interruptions (2µs / 100µs)</t>
  </si>
  <si>
    <t>EQ/IC 05 - Tenue aux impulsions 4 ou 4 bis (démarrage)
Resistance to pulses 4 and 4bis (starting)</t>
  </si>
  <si>
    <t>EQ/IC 06 - Tenue aux ondulations du réseau de bord
Resistance to voltage ripples</t>
  </si>
  <si>
    <t>EQ/IC 07 - Immunité aux transitoires sur les lignes signaux
Immunity to transients on the signal line</t>
  </si>
  <si>
    <t>EQ/IC 08 - Immunité à l’injection du courant (BCI)
Immunity to bulck current injection (BCI)</t>
  </si>
  <si>
    <t>EQ/IC 09 - Immunité à la basse tension d'allumage
Immunity to low ignition voltage</t>
  </si>
  <si>
    <t>EQ/IC 10 - Tenue aux impulsions sur les sorties commandant des charges selfiques
Resistance to pulses on outputs switching inductive loads</t>
  </si>
  <si>
    <t>EQ/IC 11 - Tenue aux impulsions sur les sorties commandant des charges selfiques
Resistance to pulses on outputs switching inductive loads</t>
  </si>
  <si>
    <t>EQ/IC 12 - Tenue au pulse de redémarrage
Resistance to re-start pulse</t>
  </si>
  <si>
    <t>EQ/IC 13 - Tenue au pulse de tension « Volt control »
Resistance to « Volt control » pulse</t>
  </si>
  <si>
    <t>EQ/IR 01 - Immunité au champ rayonné (chambre semi-anéchoique ou anéchoique)*
Immunity to radiated field (semi anechoic or anechoic room)*</t>
  </si>
  <si>
    <t>EQ/IR 02 - Immunité au champ magnétique basse fréquence
Immunity to low frequency magnetic field</t>
  </si>
  <si>
    <t>EQ/IR06 - Immunité au champ rayonné en chambre réverbérante
Immunity to radiated field in reververation chamber</t>
  </si>
  <si>
    <t>EQ/IR 03 - Tenue aux décharges électrostatiques, équipement non connecté
Resistance to electrostatic discharges, equipment not connected</t>
  </si>
  <si>
    <t>EQ/IR 04 - Tenue aux décharges électrostatiques, équipement alimenté
Resistance to electrostatic discharges, equipment switched on</t>
  </si>
  <si>
    <t>EQ/IR 05 - Immunité aux émetteurs embarqués
Immunity to on-board transmitters</t>
  </si>
  <si>
    <t>EQ/MC 01 - Mesure des bruits de commutations
Measurement of switching noises</t>
  </si>
  <si>
    <t>EQ/MC 02 - Mesure des bruits conduits basse fréquence
Measurement of low frequency conducted noises</t>
  </si>
  <si>
    <t>EQ/MC 03 - Mesure des bruits conduits radiofréquence sur les entrées d'alimentation
Measurement of the noises led radio frequency on the inputs of supply</t>
  </si>
  <si>
    <t>EQ/MC04 - Mesure des bruits conduits radiofréquence sur les sorties
Measurement of radio frequency conducted noises on the outputs</t>
  </si>
  <si>
    <t>EQ/MR 02 - Mesure du champ magnétique BF
Measurement of low frequency magnetic fields</t>
  </si>
  <si>
    <t xml:space="preserve"> Tenue aux tensions d'alimentation usuelles
Resistance to usual power supply voltages (Umin=8V / 16V)</t>
  </si>
  <si>
    <t>EQ/TE 01</t>
  </si>
  <si>
    <t xml:space="preserve"> Tenue à la baisse et montée lente de tension
Resistance to slow increase and decrease of supply voltage</t>
  </si>
  <si>
    <t>EQ/TE 02</t>
  </si>
  <si>
    <t>EQ/TE 03</t>
  </si>
  <si>
    <t>EQ/TE 04</t>
  </si>
  <si>
    <t>EQ/TE 05</t>
  </si>
  <si>
    <t>EQ/TE 06</t>
  </si>
  <si>
    <t>EQ/TE 07</t>
  </si>
  <si>
    <t>EQ/TE 08</t>
  </si>
  <si>
    <t>EQ/IC 01</t>
  </si>
  <si>
    <t>EQ/IC 02</t>
  </si>
  <si>
    <t>EQ/IC 03</t>
  </si>
  <si>
    <t>EQ/IC 04</t>
  </si>
  <si>
    <t>EQ/IC 05</t>
  </si>
  <si>
    <t>EQ/IC 06</t>
  </si>
  <si>
    <t>EQ/IC 07</t>
  </si>
  <si>
    <t>EQ/IC 08</t>
  </si>
  <si>
    <t>EQ/IC 09</t>
  </si>
  <si>
    <t>EQ/IC 10</t>
  </si>
  <si>
    <t>EQ/IC 11</t>
  </si>
  <si>
    <t>EQ/IC 12</t>
  </si>
  <si>
    <t>EQ/IC 13</t>
  </si>
  <si>
    <t>EQ/IR 01</t>
  </si>
  <si>
    <t>EQ/IR 02</t>
  </si>
  <si>
    <t>EQ/IR 03</t>
  </si>
  <si>
    <t>EQ/IR 04</t>
  </si>
  <si>
    <t>EQ/IR 05</t>
  </si>
  <si>
    <t>EQ/IR 06</t>
  </si>
  <si>
    <t xml:space="preserve">EQ/MC 01 </t>
  </si>
  <si>
    <t>EQ/MC 02</t>
  </si>
  <si>
    <t>EQ/MC 03</t>
  </si>
  <si>
    <t>EQ/MC 04</t>
  </si>
  <si>
    <t xml:space="preserve"> Mesure des bruits rayonnés radiofréquence
Measurement of radiofrequency radiated noises</t>
  </si>
  <si>
    <t>EQ/MR 01</t>
  </si>
  <si>
    <t>EQ/MR 02</t>
  </si>
  <si>
    <t>Date reception essai</t>
  </si>
  <si>
    <t>Nombre DUT</t>
  </si>
  <si>
    <t>Endurance aux activations levier G. fonction clignontant</t>
  </si>
  <si>
    <t>Endurance aux activations levier G. fonction App. Phares</t>
  </si>
  <si>
    <t>Endurance aux activations levier G. fonction Push gauche</t>
  </si>
  <si>
    <t>Endurance aux activations levier G. fonction eclairage</t>
  </si>
  <si>
    <t>Endurance aux activations levier G. fonction Antibrouillard</t>
  </si>
  <si>
    <t>Endurance aux activations levier D. fonction essuyage Av.</t>
  </si>
  <si>
    <t>Endurance aux activations levier D. fonction lavage  Av.</t>
  </si>
  <si>
    <t>Endurance aux activations levier D. fonction push Droit</t>
  </si>
  <si>
    <t>Endurance aux activations levier D. fonction essuyage-lavage  arr.</t>
  </si>
  <si>
    <t>Endurance aux activations CT-SAS</t>
  </si>
  <si>
    <t>Endurance aux activations levier D. fonction sentibilité essuyage</t>
  </si>
  <si>
    <t>Humidity test avant endurance</t>
  </si>
  <si>
    <t>Piece OK
apres essai</t>
  </si>
  <si>
    <t>G4-1/2</t>
  </si>
  <si>
    <t>N° pieces</t>
  </si>
  <si>
    <t>Caract. initial</t>
  </si>
  <si>
    <t>Perte de fonction
defaut feeling</t>
  </si>
  <si>
    <t>supprimée</t>
  </si>
  <si>
    <t>Chocs therm. "CL07"</t>
  </si>
  <si>
    <t>R. Vibration "M5.5"</t>
  </si>
  <si>
    <t>defaut feeling/jeu</t>
  </si>
  <si>
    <t>Humidité 10j</t>
  </si>
  <si>
    <t>defaut feeling/jeu
Bague 4 Meka def.</t>
  </si>
  <si>
    <t>MaJ SW 2.8</t>
  </si>
  <si>
    <t>Piece HS</t>
  </si>
  <si>
    <t>RAS</t>
  </si>
  <si>
    <t>Endurance CL09 (levier G.)</t>
  </si>
  <si>
    <t>G4-3/4</t>
  </si>
  <si>
    <t>Endurance CL09 (levier D.)</t>
  </si>
  <si>
    <t>Plan d'action / remarque recette</t>
  </si>
  <si>
    <t>MB01</t>
  </si>
  <si>
    <t>MB02</t>
  </si>
  <si>
    <t>MB03</t>
  </si>
  <si>
    <t>EQ/IC xx</t>
  </si>
  <si>
    <t>DV2</t>
  </si>
  <si>
    <t>PPV</t>
  </si>
  <si>
    <t>Phone :</t>
  </si>
  <si>
    <t xml:space="preserve">Mail : </t>
  </si>
  <si>
    <t xml:space="preserve">Site : </t>
  </si>
  <si>
    <t>Supplier Environmental validation synthesis</t>
  </si>
  <si>
    <t>APPLICATION DOMAIN :</t>
  </si>
  <si>
    <t>xxxx</t>
  </si>
  <si>
    <t>OK test</t>
  </si>
  <si>
    <t>NOK test</t>
  </si>
  <si>
    <t>Tests not performed</t>
  </si>
  <si>
    <t>Feasible tests</t>
  </si>
  <si>
    <t>Project phases</t>
  </si>
  <si>
    <t>Maturity (%)</t>
  </si>
  <si>
    <t>Major non-conformities are the subject of an Altis file and are listed in the ALTIS tab.</t>
  </si>
  <si>
    <t xml:space="preserve">Conform </t>
  </si>
  <si>
    <t>APPROVING</t>
  </si>
  <si>
    <t>CHECKER</t>
  </si>
  <si>
    <t>EDITOR</t>
  </si>
  <si>
    <t xml:space="preserve">Name :  </t>
  </si>
  <si>
    <t>Status synthesis</t>
  </si>
  <si>
    <t>General remarks</t>
  </si>
  <si>
    <t>xx/xx/xxxx</t>
  </si>
  <si>
    <t>HW/SW reference</t>
  </si>
  <si>
    <t>Report reference</t>
  </si>
  <si>
    <t>Supplier</t>
  </si>
  <si>
    <t>Stellantis</t>
  </si>
  <si>
    <t>DUT number</t>
  </si>
  <si>
    <t>NOK Minor</t>
  </si>
  <si>
    <t>In analysis</t>
  </si>
  <si>
    <t>On going</t>
  </si>
  <si>
    <t>Action plan / remarks</t>
  </si>
  <si>
    <t>NOK minor</t>
  </si>
  <si>
    <t>STELLANTIS</t>
  </si>
  <si>
    <t>Summary of the ISSUES produced as part of this project:</t>
  </si>
  <si>
    <t>Issue N°</t>
  </si>
  <si>
    <t>Gravity</t>
  </si>
  <si>
    <t>Validation Plan describes each individual test that is to be carried out for each sample steps.</t>
  </si>
  <si>
    <t>DV PHASE</t>
  </si>
  <si>
    <t>PV PHASE</t>
  </si>
  <si>
    <t>internal test</t>
  </si>
  <si>
    <t>Specification 
Reference</t>
  </si>
  <si>
    <t>Test title</t>
  </si>
  <si>
    <t>Validation requested</t>
  </si>
  <si>
    <t>PSA requirment</t>
  </si>
  <si>
    <t>C4</t>
  </si>
  <si>
    <t>Test
Start</t>
  </si>
  <si>
    <t>Test
End</t>
  </si>
  <si>
    <t xml:space="preserve"> Test Result</t>
    <phoneticPr fontId="5" type="noConversion"/>
  </si>
  <si>
    <t>C5</t>
  </si>
  <si>
    <t>[STE]</t>
  </si>
  <si>
    <t>-</t>
  </si>
  <si>
    <t>Sun resistance</t>
  </si>
  <si>
    <t>B2 Maturity</t>
  </si>
  <si>
    <t>applicability</t>
  </si>
  <si>
    <t>PPV PHASE</t>
  </si>
  <si>
    <t>B3 Maturity</t>
  </si>
  <si>
    <t>C4 Maturity</t>
  </si>
  <si>
    <t>C5 Maturity</t>
  </si>
  <si>
    <t>D5 Maturity</t>
  </si>
  <si>
    <t>Phase applicability</t>
  </si>
  <si>
    <t>Start test</t>
  </si>
  <si>
    <t>Status</t>
  </si>
  <si>
    <t>Report delivery date</t>
  </si>
  <si>
    <t>Action plan</t>
  </si>
  <si>
    <t>D5</t>
  </si>
  <si>
    <t>DV synthesis</t>
  </si>
  <si>
    <t>DV SYNTHESIS</t>
  </si>
  <si>
    <t>PV SYNTHESIS</t>
  </si>
  <si>
    <t>Requirement</t>
  </si>
  <si>
    <t>Project applicability</t>
  </si>
  <si>
    <t>Designation</t>
  </si>
  <si>
    <t xml:space="preserve"> RFQ CONCLUSION</t>
  </si>
  <si>
    <t>General opinion of Validation plan</t>
  </si>
  <si>
    <t>Resistance to usual power supply voltages</t>
  </si>
  <si>
    <t>Immunity to the transients on the signal line</t>
  </si>
  <si>
    <t>Electronic noise</t>
  </si>
  <si>
    <t>Unwanted noise – Vibratory organic test</t>
  </si>
  <si>
    <t>Resistance test of the displays to the ultraviolet rays</t>
  </si>
  <si>
    <t>Resistance test of the displays to corrosive liquids</t>
  </si>
  <si>
    <t>Resistance to pullout of glued parts</t>
  </si>
  <si>
    <t>Fingerprint affinity and cleanability test on displays</t>
  </si>
  <si>
    <t>Reference</t>
  </si>
  <si>
    <r>
      <t xml:space="preserve">Supplier : </t>
    </r>
    <r>
      <rPr>
        <b/>
        <sz val="12"/>
        <color rgb="FFFF0000"/>
        <rFont val="Calibri"/>
        <family val="2"/>
        <scheme val="minor"/>
      </rPr>
      <t>xxx</t>
    </r>
  </si>
  <si>
    <t xml:space="preserve">Reader :  </t>
  </si>
  <si>
    <t>Recipients :</t>
  </si>
  <si>
    <t>Copy :</t>
  </si>
  <si>
    <t>TESTS RESULTS</t>
  </si>
  <si>
    <t>Improper</t>
  </si>
  <si>
    <t>Coverage (%)</t>
  </si>
  <si>
    <t xml:space="preserve">Applicable documents </t>
  </si>
  <si>
    <t>Mark</t>
  </si>
  <si>
    <t>Title</t>
  </si>
  <si>
    <t>[CONFORMITY]</t>
  </si>
  <si>
    <t>Application/Conformity matrix</t>
  </si>
  <si>
    <t>Last version communicated</t>
  </si>
  <si>
    <t>Reference documents</t>
  </si>
  <si>
    <t>STELLANTIS Reference</t>
  </si>
  <si>
    <t>STELLANTIS Requirements</t>
  </si>
  <si>
    <t>Alternative test propostion (NA / Internal test / Stellantis requirement B21)</t>
  </si>
  <si>
    <t>Norm/test acknowledge (OK/ Never done / etc...) for the laboratory or validation team.</t>
  </si>
  <si>
    <t>Laboratory statut (ext./int.)</t>
  </si>
  <si>
    <t>Test laboratory localisation</t>
  </si>
  <si>
    <t>Connections tests</t>
  </si>
  <si>
    <t>Autor</t>
  </si>
  <si>
    <t>Creation date</t>
  </si>
  <si>
    <t>Remarks</t>
  </si>
  <si>
    <t>Update date</t>
  </si>
  <si>
    <t>Update</t>
  </si>
  <si>
    <t>Test ref.</t>
  </si>
  <si>
    <t>Test name</t>
  </si>
  <si>
    <t>End test</t>
  </si>
  <si>
    <t>Test results</t>
  </si>
  <si>
    <t>Comments</t>
  </si>
  <si>
    <t>Test</t>
  </si>
  <si>
    <t>NOK major</t>
  </si>
  <si>
    <t>Deviation</t>
  </si>
  <si>
    <t xml:space="preserve"> B21 7120 and 7130 TEST FLOW CHART</t>
  </si>
  <si>
    <t>SUPPLIER comments</t>
  </si>
  <si>
    <t>STELLANTIS comments</t>
  </si>
  <si>
    <t>STELLANTIS Status</t>
  </si>
  <si>
    <t>Comments and Status</t>
  </si>
  <si>
    <t>Requirement Identification</t>
  </si>
  <si>
    <t>RFQ Response</t>
  </si>
  <si>
    <t>Specific Display tests</t>
  </si>
  <si>
    <t>Indentation</t>
  </si>
  <si>
    <t>Rigidity of the frontage</t>
  </si>
  <si>
    <t>Rigidity of the finger rest</t>
  </si>
  <si>
    <t>Capacitive detection test without gloves</t>
  </si>
  <si>
    <t>Capacitive detection test with thin gloves</t>
  </si>
  <si>
    <t>Edge cover lens hardness test (falling ball)</t>
  </si>
  <si>
    <t xml:space="preserve">[STE] </t>
  </si>
  <si>
    <t>C_ET_01_V</t>
  </si>
  <si>
    <t>C_ET_02_V</t>
  </si>
  <si>
    <t>C_ET_03_V</t>
  </si>
  <si>
    <t>C_ET_04_V</t>
  </si>
  <si>
    <t>C_ET_05_V</t>
  </si>
  <si>
    <t>C_ET_06_V</t>
  </si>
  <si>
    <t>C_ET_07_V</t>
  </si>
  <si>
    <t>C_ET_08_V</t>
  </si>
  <si>
    <t>C_ET_09_V</t>
  </si>
  <si>
    <t>C_ET_10_V</t>
  </si>
  <si>
    <t>C_ET_11_V</t>
  </si>
  <si>
    <t>C_ET_12_V</t>
  </si>
  <si>
    <t>C_TE_01_V</t>
  </si>
  <si>
    <t>C_TI_01_V</t>
  </si>
  <si>
    <t>C_TI_02_V</t>
  </si>
  <si>
    <t>C_TI_03_V</t>
  </si>
  <si>
    <t>C_TI_04_V</t>
  </si>
  <si>
    <t>C_TI_05_V</t>
  </si>
  <si>
    <t>C_TI_06_V</t>
  </si>
  <si>
    <t>C_TI_07_V</t>
  </si>
  <si>
    <t>C_TI_01_R</t>
  </si>
  <si>
    <t>C_TE_01_R</t>
  </si>
  <si>
    <t>C_CI_01_V</t>
  </si>
  <si>
    <t>C_RI_01_V</t>
  </si>
  <si>
    <t>C_RI_02_V</t>
  </si>
  <si>
    <t>C_RI_03_V</t>
  </si>
  <si>
    <t>C_RI_04_V</t>
  </si>
  <si>
    <t>C_RI_05_R</t>
  </si>
  <si>
    <t>C_CE_01_V</t>
  </si>
  <si>
    <t>C_CE_02_V</t>
  </si>
  <si>
    <t>C_RE_01_V</t>
  </si>
  <si>
    <t>C_RE_02_V</t>
  </si>
  <si>
    <t>C_RE_03_R</t>
  </si>
  <si>
    <t>C_RE_04_R</t>
  </si>
  <si>
    <t>C_ESD_01_V</t>
  </si>
  <si>
    <t>C_ESD_02_V</t>
  </si>
  <si>
    <t>SCT4</t>
  </si>
  <si>
    <t>SCT3</t>
  </si>
  <si>
    <t>SCT2</t>
  </si>
  <si>
    <t>SCT1</t>
  </si>
  <si>
    <t>SMT3</t>
  </si>
  <si>
    <t>SMT7</t>
  </si>
  <si>
    <t>Requirements on connectors &amp; wiring harness</t>
  </si>
  <si>
    <t>Device restraint performance</t>
  </si>
  <si>
    <t>Terminals mechanical resistance</t>
  </si>
  <si>
    <t>Mechanical vibration</t>
  </si>
  <si>
    <t>Mechanical shock</t>
  </si>
  <si>
    <t>Handling drop</t>
  </si>
  <si>
    <t>Mechanical (hydraulic) and electrical activation endurance</t>
  </si>
  <si>
    <t>MEAE</t>
  </si>
  <si>
    <t xml:space="preserve"> -</t>
  </si>
  <si>
    <t>Shipping / Storage Temperature Exposure</t>
  </si>
  <si>
    <t>Low Temperature Operating Endurance</t>
  </si>
  <si>
    <t>Temperature Step</t>
  </si>
  <si>
    <t>High Temperature Operating Endurance</t>
  </si>
  <si>
    <t>Power Thermal Cycle Endurance</t>
  </si>
  <si>
    <t>Thermal Shock</t>
  </si>
  <si>
    <t>Thermal Humidity Cycle</t>
  </si>
  <si>
    <t>High Temperature &amp; High Humidity Endurance</t>
  </si>
  <si>
    <t>Self-heating measurement</t>
  </si>
  <si>
    <t>SSTE</t>
  </si>
  <si>
    <t>LTOE</t>
  </si>
  <si>
    <t>HTOE</t>
  </si>
  <si>
    <t>PTCE</t>
  </si>
  <si>
    <t>TS</t>
  </si>
  <si>
    <t>THC</t>
  </si>
  <si>
    <t>HTHE</t>
  </si>
  <si>
    <t>Dust intrusion</t>
  </si>
  <si>
    <t>Mud resistance</t>
  </si>
  <si>
    <t>Water or steam intrusion</t>
  </si>
  <si>
    <t>SMT1.1</t>
  </si>
  <si>
    <t>SMT1.2</t>
  </si>
  <si>
    <t>Folding, unfolding and adjustment noise</t>
  </si>
  <si>
    <t>SMT2.2</t>
  </si>
  <si>
    <t>SMT2.3</t>
  </si>
  <si>
    <t>SMT5</t>
  </si>
  <si>
    <t>Endurance test of folding/unfolding of the combiner</t>
  </si>
  <si>
    <t>SMT6.1</t>
  </si>
  <si>
    <t>SMT6.2</t>
  </si>
  <si>
    <t>Material housing corrosion</t>
  </si>
  <si>
    <t>Salt fog</t>
  </si>
  <si>
    <t>Chemical exposure</t>
  </si>
  <si>
    <t xml:space="preserve">Test-To-Failure (TTF) </t>
  </si>
  <si>
    <t xml:space="preserve">Test-To-Failure </t>
  </si>
  <si>
    <t>SCT5</t>
  </si>
  <si>
    <t>SCT6.1</t>
  </si>
  <si>
    <t>SCT6.2</t>
  </si>
  <si>
    <t xml:space="preserve">01843_24_00042 </t>
  </si>
  <si>
    <t>Resistance to climatic ageing (not exposed to direct sun)</t>
  </si>
  <si>
    <t>Resistance to climatic ageing (exposed to direct sun)</t>
  </si>
  <si>
    <t>Iced salt water immersion/splash</t>
  </si>
  <si>
    <t>TTF</t>
  </si>
  <si>
    <t>Applicability for project</t>
  </si>
  <si>
    <t>[DA_ELEC]</t>
  </si>
  <si>
    <t>Electrical and EMC performance requirements for E/E components</t>
  </si>
  <si>
    <t>[DA_ENV]</t>
  </si>
  <si>
    <t>Environmental specification for E/E components</t>
  </si>
  <si>
    <t xml:space="preserve"> 03/07/2023</t>
  </si>
  <si>
    <t>Mechanical shock endurance</t>
  </si>
  <si>
    <t>Gravel bombardment</t>
  </si>
  <si>
    <t>Mixed flowing gas</t>
  </si>
  <si>
    <t xml:space="preserve">Resistance to exceptional supply voltage </t>
  </si>
  <si>
    <t xml:space="preserve">Resistance to slow decrease and increase of supply voltage </t>
  </si>
  <si>
    <t>Reset behavior at voltage drop</t>
  </si>
  <si>
    <t>Supply voltage dips</t>
  </si>
  <si>
    <t>Supply voltage drop out</t>
  </si>
  <si>
    <t>Supply voltage ripple</t>
  </si>
  <si>
    <t>Resistance to the “Volt Control” voltage pulse</t>
  </si>
  <si>
    <t>Ignition off draw (IOD)</t>
  </si>
  <si>
    <t>Immunity to potential difference between power supply</t>
  </si>
  <si>
    <t>Immunity to ground and supply voltage short circuit</t>
  </si>
  <si>
    <t xml:space="preserve">Transient pulses - Pulses 1 and 2a </t>
  </si>
  <si>
    <t xml:space="preserve">Transient pulses - Pulses 3a and 3b </t>
  </si>
  <si>
    <t>Engine cold and warm cranking – Pulse 4 bis</t>
  </si>
  <si>
    <t xml:space="preserve">Resistance to load dump </t>
  </si>
  <si>
    <t xml:space="preserve">Immunity to transients on signal lines – CCC method </t>
  </si>
  <si>
    <t>Transient pulses – Immunity of input / outputs connected to inductive and / or locally grounded load - Pulses A2-1 and A2-2</t>
  </si>
  <si>
    <t>Transient pulses – Immunity to the transients with wire to wire coupling</t>
  </si>
  <si>
    <t>Bulk current injection (BCI)</t>
  </si>
  <si>
    <t>Conducted Transient Emission</t>
  </si>
  <si>
    <t>Immunity to external sources – ALSE (Absorber Line Shielded Enclosure)</t>
  </si>
  <si>
    <t>Immunity to external sources – Reverberation chamber</t>
  </si>
  <si>
    <t>Immunity to portable transmitters</t>
  </si>
  <si>
    <t xml:space="preserve">Immunity to magnetic field </t>
  </si>
  <si>
    <t>Immunity to electromagnetic radiation</t>
  </si>
  <si>
    <t>RF conducted emission on power supply inputs – AN voltage measurement</t>
  </si>
  <si>
    <t>RF conducted emission on wiring – Current probe measurement</t>
  </si>
  <si>
    <t>Electric field radiated emission – ALSE (Absorber Line Shielded Enclosure)</t>
  </si>
  <si>
    <t xml:space="preserve">Keyless entry - Magnetic field </t>
  </si>
  <si>
    <t>Broadband radiated emission</t>
  </si>
  <si>
    <t>Narrowband radiated emission</t>
  </si>
  <si>
    <t xml:space="preserve">Component not connected - Handling </t>
  </si>
  <si>
    <t xml:space="preserve">Operating </t>
  </si>
  <si>
    <t>Environmental and mechanical validation
This document is a summary of the analysis performed by DICD based on the supplier's tests.</t>
  </si>
  <si>
    <t xml:space="preserve">[DRIVER INFORMATION] Environmental Component Design </t>
  </si>
  <si>
    <t>CS.00244
(01446 _23_00323)</t>
  </si>
  <si>
    <t>Electrical tests and EMC (CS.00244)</t>
  </si>
  <si>
    <t>Mechanical stresses tests (CS.00263 and specific)</t>
  </si>
  <si>
    <t>Mechanical tests (CS.00263)</t>
  </si>
  <si>
    <t>Climatic stresses tests (CS.00263)</t>
  </si>
  <si>
    <t>Solid/Fluid intrusion (CS.00263)</t>
  </si>
  <si>
    <t xml:space="preserve">Solid/Fluid intrusion </t>
  </si>
  <si>
    <t>Chemical/corrosion resistance (CS.00263)</t>
  </si>
  <si>
    <t>Chemical/corrosion resistance</t>
  </si>
  <si>
    <t>Test-To-Failure (TTF) (CS.00263)</t>
  </si>
  <si>
    <t>Climatic stresses tests (CS.00263 and specific)</t>
  </si>
  <si>
    <t>Resistance to unusual power supply voltages (U=24V)
Resistance to unusual power supply voltages (U=-14V)</t>
  </si>
  <si>
    <t>Electrical tests (CS.00244)</t>
  </si>
  <si>
    <t>RF Immunity tests (CS.00244)</t>
  </si>
  <si>
    <t>Emission tests
(CS.00244)</t>
  </si>
  <si>
    <t>ESD tests</t>
  </si>
  <si>
    <t>Conducted transient emission</t>
  </si>
  <si>
    <t>Pull Test (200N)</t>
  </si>
  <si>
    <t>Pull Test (400N)</t>
  </si>
  <si>
    <t>SMT8.1</t>
  </si>
  <si>
    <t>SMT8.2</t>
  </si>
  <si>
    <t>SMT8.4</t>
  </si>
  <si>
    <t>SMT8.5</t>
  </si>
  <si>
    <t>Exceptional effort on the floating display</t>
  </si>
  <si>
    <t>PV synthesis</t>
  </si>
  <si>
    <t>DV (B1)</t>
  </si>
  <si>
    <t>DV2 (B2/B3)</t>
  </si>
  <si>
    <t>PPV (C4)</t>
  </si>
  <si>
    <t>PV (C5/D5)</t>
  </si>
  <si>
    <t>REQ-0945093</t>
  </si>
  <si>
    <t>REQ-0945094</t>
  </si>
  <si>
    <t>REQ-0945095
REQ-0945096</t>
  </si>
  <si>
    <t>REQ-0945097</t>
  </si>
  <si>
    <t>REQ-0945098</t>
  </si>
  <si>
    <t>REQ-0945099</t>
  </si>
  <si>
    <t>REQ-0945100</t>
  </si>
  <si>
    <t>REQ-0945101</t>
  </si>
  <si>
    <t>REQ-0945102</t>
  </si>
  <si>
    <t>REQ-0945103</t>
  </si>
  <si>
    <t>REQ-0945105</t>
  </si>
  <si>
    <t>REQ-0945106</t>
  </si>
  <si>
    <t>REQ-0945107</t>
  </si>
  <si>
    <t>REQ-0945108</t>
  </si>
  <si>
    <t>REQ-0945109</t>
  </si>
  <si>
    <t>REQ-0945110</t>
  </si>
  <si>
    <t>REQ-0945111</t>
  </si>
  <si>
    <t>REQ-0945112</t>
  </si>
  <si>
    <t>REQ-0945113</t>
  </si>
  <si>
    <t>REQ-0945114</t>
  </si>
  <si>
    <t>REQ-0945115</t>
  </si>
  <si>
    <t>REQ-0945116</t>
  </si>
  <si>
    <t>REQ-0945117</t>
  </si>
  <si>
    <t>REQ-0945121</t>
  </si>
  <si>
    <t>REQ-0945122</t>
  </si>
  <si>
    <t>REQ-0945123</t>
  </si>
  <si>
    <t>REQ-0945124</t>
  </si>
  <si>
    <t>REQ-0945125</t>
  </si>
  <si>
    <t>REQ-0945126</t>
  </si>
  <si>
    <t>REQ-0945155</t>
  </si>
  <si>
    <t>REQ-0945156</t>
  </si>
  <si>
    <t>REQ-0945157</t>
  </si>
  <si>
    <t>REQ-0945158</t>
  </si>
  <si>
    <t>REQ-0945163</t>
  </si>
  <si>
    <t>REQ-0945159</t>
  </si>
  <si>
    <t>REQ-0945160</t>
  </si>
  <si>
    <t>REQ-0945161</t>
  </si>
  <si>
    <t>REQ-0945127</t>
  </si>
  <si>
    <t>REQ-0945120</t>
  </si>
  <si>
    <t>REQ-0945142</t>
  </si>
  <si>
    <t>REQ-0945143</t>
  </si>
  <si>
    <t>REQ-0945144</t>
  </si>
  <si>
    <t>REQ-0945149</t>
  </si>
  <si>
    <t>REQ-0945119</t>
  </si>
  <si>
    <t>REQ-0945118</t>
  </si>
  <si>
    <t>REQ-0945171
REQ-0945172
REQ-0945173
REQ-0945174</t>
  </si>
  <si>
    <t>REQ-0945175
REQ-0945176
REQ-0945086
REQ-0945083</t>
  </si>
  <si>
    <t>REQ-0945076</t>
  </si>
  <si>
    <t>REQ-0945077</t>
  </si>
  <si>
    <t>REQ-0945164</t>
  </si>
  <si>
    <t>REQ-0945165</t>
  </si>
  <si>
    <t>REQ-0945166</t>
  </si>
  <si>
    <t>REQ-0945167</t>
  </si>
  <si>
    <t>REQ-0945168</t>
  </si>
  <si>
    <t>REQ-0945169</t>
  </si>
  <si>
    <t>REQ-0945170</t>
  </si>
  <si>
    <t>REQ-0945079</t>
  </si>
  <si>
    <t>REQ-0945090</t>
  </si>
  <si>
    <t>REQ-0945091</t>
  </si>
  <si>
    <t>REQ-0945146</t>
  </si>
  <si>
    <t>REQ-0945147</t>
  </si>
  <si>
    <t>REQ-0945148</t>
  </si>
  <si>
    <t>REQ-0945151</t>
  </si>
  <si>
    <t>REQ-0945152</t>
  </si>
  <si>
    <t>REQ-0945153</t>
  </si>
  <si>
    <t>REQ-0945154</t>
  </si>
  <si>
    <t>REQ-0945162
REQ-0945180
REQ-0945181</t>
  </si>
  <si>
    <t>REQ-0945184</t>
  </si>
  <si>
    <t>REQ-0945185
REQ-0945186</t>
  </si>
  <si>
    <t>SMT9</t>
  </si>
  <si>
    <t>REQ-0945179</t>
  </si>
  <si>
    <t>Coatings performance tests for display cover lenses</t>
  </si>
  <si>
    <t>CS.00263
(01446_24_00439)</t>
  </si>
  <si>
    <t>CS.00244 Electrical/EMC standard - CS.00263 ENV EE standard</t>
  </si>
  <si>
    <t>Connector tests</t>
  </si>
  <si>
    <t xml:space="preserve">REQ-0994082 </t>
  </si>
  <si>
    <t>Connectors tests</t>
  </si>
  <si>
    <t>Specific mechanical tests (SMT)</t>
  </si>
  <si>
    <t>Specific climatic tests (SCT)</t>
  </si>
  <si>
    <t>Specific electrical tests (SET)</t>
  </si>
  <si>
    <t>SET1</t>
  </si>
  <si>
    <t>REQ-0994080</t>
  </si>
  <si>
    <t>Electrical consumptions measurement</t>
  </si>
  <si>
    <t>SCT7</t>
  </si>
  <si>
    <t>Surface temperature test of the tactile displays</t>
  </si>
  <si>
    <t>REQ-0994059</t>
  </si>
  <si>
    <t xml:space="preserve">
PDT/SWE/CKPT/CIDI/DICD</t>
  </si>
  <si>
    <t>PDT/SWE/CKPT/CIDI/DICD</t>
  </si>
  <si>
    <r>
      <t xml:space="preserve">Supplier test plan reference: </t>
    </r>
    <r>
      <rPr>
        <b/>
        <sz val="10"/>
        <color theme="3" tint="0.39997558519241921"/>
        <rFont val="Calibri"/>
        <family val="2"/>
        <scheme val="minor"/>
      </rPr>
      <t xml:space="preserve"> xxxxxxxxxxxxxxxxx</t>
    </r>
    <r>
      <rPr>
        <b/>
        <sz val="10"/>
        <rFont val="Calibri"/>
        <family val="2"/>
        <scheme val="minor"/>
      </rPr>
      <t xml:space="preserve">
Réf. Spécification technique environnementale :</t>
    </r>
    <r>
      <rPr>
        <b/>
        <sz val="10"/>
        <color theme="3" tint="0.39997558519241921"/>
        <rFont val="Calibri"/>
        <family val="2"/>
        <scheme val="minor"/>
      </rPr>
      <t xml:space="preserve"> 01843_24_00042_RSP-0011496_ENV_GEN_CD_DRIVER_INFORMATION_v4.0_EN.docx</t>
    </r>
  </si>
  <si>
    <t>v4.0</t>
  </si>
  <si>
    <t>01843_25_00541</t>
  </si>
  <si>
    <r>
      <t xml:space="preserve">Part : </t>
    </r>
    <r>
      <rPr>
        <b/>
        <sz val="22"/>
        <color theme="0"/>
        <rFont val="Calibri"/>
        <family val="2"/>
        <scheme val="minor"/>
      </rPr>
      <t>DM17F</t>
    </r>
  </si>
  <si>
    <t>Project: R8U/R8L/DT2/HD2 on ATL_HIGH</t>
  </si>
  <si>
    <t>01843_25_00540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</si>
</sst>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[$€-1]_-;\-* #,##0.00\ [$€-1]_-;_-* &quot;-&quot;??\ [$€-1]_-"/>
    <numFmt numFmtId="165" formatCode="_-&quot;L.&quot;\ * #,##0_-;\-&quot;L.&quot;\ * #,##0_-;_-&quot;L.&quot;\ * &quot;-&quot;_-;_-@_-"/>
    <numFmt numFmtId="166" formatCode="General_)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u/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8"/>
      <color indexed="10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12"/>
      <name val="Calibri"/>
      <family val="2"/>
      <scheme val="minor"/>
    </font>
    <font>
      <sz val="9"/>
      <name val="Calibri"/>
      <family val="2"/>
      <scheme val="minor"/>
    </font>
    <font>
      <b/>
      <sz val="12"/>
      <color indexed="5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8"/>
      <color theme="3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3" tint="0.39997558519241921"/>
      <name val="Calibri"/>
      <family val="2"/>
      <scheme val="minor"/>
    </font>
    <font>
      <sz val="8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name val="Arial"/>
      <family val="2"/>
    </font>
    <font>
      <sz val="16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1"/>
      <name val="ＭＳ Ｐゴシック"/>
      <family val="3"/>
      <charset val="128"/>
    </font>
    <font>
      <b/>
      <sz val="12"/>
      <name val="Helv"/>
      <family val="2"/>
    </font>
    <font>
      <sz val="12"/>
      <name val="Helv"/>
      <family val="2"/>
    </font>
    <font>
      <b/>
      <sz val="12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4"/>
      <name val="Calibri"/>
      <family val="2"/>
    </font>
    <font>
      <sz val="11"/>
      <name val="Calibri"/>
      <family val="2"/>
    </font>
    <font>
      <sz val="9"/>
      <name val="Arial"/>
      <family val="2"/>
    </font>
    <font>
      <b/>
      <sz val="12"/>
      <color theme="1"/>
      <name val="Arial"/>
      <family val="2"/>
    </font>
    <font>
      <b/>
      <sz val="14"/>
      <name val="Arial"/>
      <family val="2"/>
    </font>
    <font>
      <u/>
      <sz val="8"/>
      <name val="Arial"/>
      <family val="2"/>
    </font>
    <font>
      <sz val="16"/>
      <color indexed="12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sz val="8"/>
      <color indexed="55"/>
      <name val="Arial"/>
      <family val="2"/>
    </font>
    <font>
      <b/>
      <u/>
      <sz val="8"/>
      <name val="Arial"/>
      <family val="2"/>
    </font>
    <font>
      <i/>
      <sz val="9"/>
      <color theme="1"/>
      <name val="Calibri"/>
      <family val="2"/>
      <scheme val="minor"/>
    </font>
    <font>
      <b/>
      <sz val="11"/>
      <color rgb="FFCD5937"/>
      <name val="Calibri"/>
      <family val="2"/>
      <scheme val="minor"/>
    </font>
    <font>
      <sz val="9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1" tint="0.499984740745262"/>
        <bgColor indexed="64"/>
      </patternFill>
    </fill>
  </fills>
  <borders count="1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/>
      <right/>
      <top/>
      <bottom style="thin">
        <color rgb="FF0070C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rgb="FF0070C0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70C0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rgb="FF0000CC"/>
      </left>
      <right/>
      <top style="double">
        <color rgb="FF0000CC"/>
      </top>
      <bottom style="double">
        <color rgb="FF0000CC"/>
      </bottom>
      <diagonal/>
    </border>
    <border>
      <left/>
      <right/>
      <top style="double">
        <color rgb="FF0000CC"/>
      </top>
      <bottom style="double">
        <color rgb="FF0000CC"/>
      </bottom>
      <diagonal/>
    </border>
    <border>
      <left style="double">
        <color rgb="FFFF0000"/>
      </left>
      <right/>
      <top style="double">
        <color rgb="FFFF0000"/>
      </top>
      <bottom style="double">
        <color rgb="FFFF0000"/>
      </bottom>
      <diagonal/>
    </border>
    <border>
      <left/>
      <right/>
      <top style="double">
        <color rgb="FFFF0000"/>
      </top>
      <bottom style="double">
        <color rgb="FFFF0000"/>
      </bottom>
      <diagonal/>
    </border>
    <border>
      <left/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/>
      <right style="double">
        <color rgb="FF0000CC"/>
      </right>
      <top style="double">
        <color rgb="FF0000CC"/>
      </top>
      <bottom style="double">
        <color rgb="FF0000CC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0000CC"/>
      </left>
      <right style="thin">
        <color indexed="64"/>
      </right>
      <top style="double">
        <color rgb="FF0000CC"/>
      </top>
      <bottom/>
      <diagonal/>
    </border>
    <border>
      <left style="thin">
        <color indexed="64"/>
      </left>
      <right style="thin">
        <color indexed="64"/>
      </right>
      <top style="double">
        <color rgb="FF0000CC"/>
      </top>
      <bottom/>
      <diagonal/>
    </border>
    <border>
      <left style="thin">
        <color indexed="64"/>
      </left>
      <right style="double">
        <color rgb="FF0000CC"/>
      </right>
      <top style="double">
        <color rgb="FF0000CC"/>
      </top>
      <bottom style="thin">
        <color indexed="64"/>
      </bottom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/>
      <diagonal/>
    </border>
    <border>
      <left style="double">
        <color rgb="FFFF0000"/>
      </left>
      <right style="double">
        <color rgb="FFFF0000"/>
      </right>
      <top/>
      <bottom/>
      <diagonal/>
    </border>
    <border>
      <left style="double">
        <color rgb="FF0000CC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rgb="FF0000CC"/>
      </right>
      <top style="thin">
        <color indexed="64"/>
      </top>
      <bottom style="thin">
        <color indexed="64"/>
      </bottom>
      <diagonal/>
    </border>
    <border>
      <left/>
      <right style="double">
        <color rgb="FFFF0000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rgb="FFFF0000"/>
      </right>
      <top style="thin">
        <color indexed="64"/>
      </top>
      <bottom style="thin">
        <color indexed="64"/>
      </bottom>
      <diagonal/>
    </border>
    <border>
      <left style="double">
        <color rgb="FFFF0000"/>
      </left>
      <right style="double">
        <color rgb="FFFF0000"/>
      </right>
      <top style="thin">
        <color indexed="64"/>
      </top>
      <bottom style="thin">
        <color indexed="64"/>
      </bottom>
      <diagonal/>
    </border>
    <border>
      <left/>
      <right style="double">
        <color rgb="FF0000CC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CC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rgb="FF0000CC"/>
      </right>
      <top/>
      <bottom style="thin">
        <color indexed="64"/>
      </bottom>
      <diagonal/>
    </border>
    <border>
      <left/>
      <right style="double">
        <color rgb="FFFF0000"/>
      </right>
      <top/>
      <bottom style="thin">
        <color indexed="64"/>
      </bottom>
      <diagonal/>
    </border>
    <border>
      <left style="double">
        <color rgb="FFFF0000"/>
      </left>
      <right style="double">
        <color rgb="FFFF0000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rgb="FF0000CC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rgb="FFFF0000"/>
      </left>
      <right/>
      <top/>
      <bottom/>
      <diagonal/>
    </border>
    <border>
      <left style="double">
        <color rgb="FF00B050"/>
      </left>
      <right style="double">
        <color rgb="FF00B050"/>
      </right>
      <top style="double">
        <color rgb="FF00B050"/>
      </top>
      <bottom style="double">
        <color rgb="FF00B050"/>
      </bottom>
      <diagonal/>
    </border>
    <border>
      <left style="double">
        <color rgb="FF00B050"/>
      </left>
      <right style="double">
        <color rgb="FF00B050"/>
      </right>
      <top/>
      <bottom/>
      <diagonal/>
    </border>
    <border>
      <left style="double">
        <color rgb="FF00B050"/>
      </left>
      <right style="double">
        <color rgb="FF00B05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FF0000"/>
      </right>
      <top style="thin">
        <color indexed="64"/>
      </top>
      <bottom style="thin">
        <color indexed="64"/>
      </bottom>
      <diagonal/>
    </border>
    <border>
      <left/>
      <right style="double">
        <color rgb="FF00B050"/>
      </right>
      <top style="thin">
        <color indexed="64"/>
      </top>
      <bottom style="thin">
        <color indexed="64"/>
      </bottom>
      <diagonal/>
    </border>
    <border>
      <left/>
      <right style="double">
        <color rgb="FF0000CC"/>
      </right>
      <top/>
      <bottom style="thin">
        <color indexed="64"/>
      </bottom>
      <diagonal/>
    </border>
  </borders>
  <cellStyleXfs count="76">
    <xf numFmtId="0" fontId="0" fillId="0" borderId="0"/>
    <xf numFmtId="0" fontId="1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0" fontId="3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20" borderId="0" applyNumberFormat="0" applyBorder="0" applyAlignment="0" applyProtection="0"/>
    <xf numFmtId="0" fontId="5" fillId="4" borderId="0" applyNumberFormat="0" applyBorder="0" applyAlignment="0" applyProtection="0"/>
    <xf numFmtId="0" fontId="6" fillId="21" borderId="34" applyNumberFormat="0" applyAlignment="0" applyProtection="0"/>
    <xf numFmtId="0" fontId="7" fillId="22" borderId="36" applyNumberFormat="0" applyAlignment="0" applyProtection="0"/>
    <xf numFmtId="164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0" borderId="38" applyNumberFormat="0" applyFill="0" applyAlignment="0" applyProtection="0"/>
    <xf numFmtId="0" fontId="11" fillId="0" borderId="39" applyNumberFormat="0" applyFill="0" applyAlignment="0" applyProtection="0"/>
    <xf numFmtId="0" fontId="12" fillId="0" borderId="40" applyNumberFormat="0" applyFill="0" applyAlignment="0" applyProtection="0"/>
    <xf numFmtId="0" fontId="12" fillId="0" borderId="0" applyNumberFormat="0" applyFill="0" applyBorder="0" applyAlignment="0" applyProtection="0"/>
    <xf numFmtId="0" fontId="13" fillId="8" borderId="34" applyNumberFormat="0" applyAlignment="0" applyProtection="0"/>
    <xf numFmtId="0" fontId="14" fillId="0" borderId="35" applyNumberFormat="0" applyFill="0" applyAlignment="0" applyProtection="0"/>
    <xf numFmtId="0" fontId="15" fillId="24" borderId="0" applyNumberFormat="0" applyBorder="0" applyAlignment="0" applyProtection="0"/>
    <xf numFmtId="0" fontId="1" fillId="0" borderId="0"/>
    <xf numFmtId="0" fontId="1" fillId="23" borderId="37" applyNumberFormat="0" applyFont="0" applyAlignment="0" applyProtection="0"/>
    <xf numFmtId="0" fontId="16" fillId="21" borderId="41" applyNumberFormat="0" applyAlignment="0" applyProtection="0"/>
    <xf numFmtId="0" fontId="17" fillId="0" borderId="0" applyNumberFormat="0" applyFill="0" applyBorder="0" applyAlignment="0" applyProtection="0"/>
    <xf numFmtId="0" fontId="18" fillId="0" borderId="42" applyNumberFormat="0" applyFill="0" applyAlignment="0" applyProtection="0"/>
    <xf numFmtId="165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35" fillId="0" borderId="0"/>
    <xf numFmtId="164" fontId="35" fillId="0" borderId="0" applyFont="0" applyFill="0" applyBorder="0" applyAlignment="0" applyProtection="0"/>
    <xf numFmtId="0" fontId="35" fillId="23" borderId="37" applyNumberFormat="0" applyFont="0" applyAlignment="0" applyProtection="0"/>
    <xf numFmtId="0" fontId="34" fillId="0" borderId="0"/>
    <xf numFmtId="164" fontId="1" fillId="0" borderId="0" applyFont="0" applyFill="0" applyBorder="0" applyAlignment="0" applyProtection="0"/>
    <xf numFmtId="0" fontId="1" fillId="23" borderId="37" applyNumberFormat="0" applyFont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23" borderId="37" applyNumberFormat="0" applyFont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23" borderId="37" applyNumberFormat="0" applyFont="0" applyAlignment="0" applyProtection="0"/>
    <xf numFmtId="0" fontId="39" fillId="0" borderId="0"/>
    <xf numFmtId="0" fontId="42" fillId="0" borderId="0" applyNumberFormat="0" applyFill="0" applyBorder="0" applyAlignment="0" applyProtection="0"/>
    <xf numFmtId="0" fontId="1" fillId="0" borderId="1"/>
    <xf numFmtId="166" fontId="53" fillId="0" borderId="0"/>
    <xf numFmtId="166" fontId="54" fillId="0" borderId="0"/>
    <xf numFmtId="166" fontId="54" fillId="0" borderId="0"/>
    <xf numFmtId="166" fontId="54" fillId="0" borderId="0"/>
    <xf numFmtId="166" fontId="54" fillId="0" borderId="0"/>
    <xf numFmtId="166" fontId="54" fillId="0" borderId="0"/>
    <xf numFmtId="166" fontId="54" fillId="0" borderId="0"/>
    <xf numFmtId="166" fontId="54" fillId="0" borderId="0"/>
    <xf numFmtId="0" fontId="50" fillId="0" borderId="49" applyNumberFormat="0" applyAlignment="0" applyProtection="0">
      <alignment horizontal="left" vertical="center"/>
    </xf>
    <xf numFmtId="0" fontId="50" fillId="0" borderId="51">
      <alignment horizontal="left" vertical="center"/>
    </xf>
    <xf numFmtId="0" fontId="52" fillId="0" borderId="0">
      <alignment vertical="center"/>
    </xf>
    <xf numFmtId="0" fontId="48" fillId="0" borderId="0">
      <alignment vertical="top"/>
    </xf>
    <xf numFmtId="0" fontId="34" fillId="0" borderId="0"/>
    <xf numFmtId="0" fontId="1" fillId="0" borderId="1"/>
    <xf numFmtId="49" fontId="51" fillId="55" borderId="117">
      <alignment horizontal="center" vertical="center" wrapText="1"/>
    </xf>
  </cellStyleXfs>
  <cellXfs count="906">
    <xf numFmtId="0" fontId="0" fillId="0" borderId="0" xfId="0"/>
    <xf numFmtId="0" fontId="2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0" borderId="22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23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23" xfId="0" applyFont="1" applyFill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60" xfId="0" applyBorder="1"/>
    <xf numFmtId="0" fontId="23" fillId="2" borderId="9" xfId="0" applyFont="1" applyFill="1" applyBorder="1" applyAlignment="1">
      <alignment horizontal="justify" vertical="center" wrapText="1"/>
    </xf>
    <xf numFmtId="0" fontId="23" fillId="2" borderId="20" xfId="0" applyFont="1" applyFill="1" applyBorder="1" applyAlignment="1">
      <alignment horizontal="justify" vertical="top" wrapText="1"/>
    </xf>
    <xf numFmtId="0" fontId="23" fillId="0" borderId="20" xfId="0" applyFont="1" applyBorder="1"/>
    <xf numFmtId="0" fontId="23" fillId="2" borderId="12" xfId="0" applyFont="1" applyFill="1" applyBorder="1" applyAlignment="1">
      <alignment horizontal="justify" vertical="top" wrapText="1"/>
    </xf>
    <xf numFmtId="0" fontId="23" fillId="2" borderId="13" xfId="0" applyFont="1" applyFill="1" applyBorder="1" applyAlignment="1">
      <alignment vertical="top" wrapText="1"/>
    </xf>
    <xf numFmtId="0" fontId="23" fillId="2" borderId="0" xfId="0" applyFont="1" applyFill="1" applyBorder="1" applyAlignment="1">
      <alignment vertical="top" wrapText="1"/>
    </xf>
    <xf numFmtId="0" fontId="23" fillId="2" borderId="14" xfId="0" applyFont="1" applyFill="1" applyBorder="1" applyAlignment="1">
      <alignment vertical="top" wrapText="1"/>
    </xf>
    <xf numFmtId="0" fontId="23" fillId="0" borderId="13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vertical="center" wrapText="1"/>
    </xf>
    <xf numFmtId="0" fontId="23" fillId="0" borderId="46" xfId="0" applyFont="1" applyFill="1" applyBorder="1" applyAlignment="1">
      <alignment vertical="center" wrapText="1"/>
    </xf>
    <xf numFmtId="0" fontId="23" fillId="0" borderId="43" xfId="0" applyFont="1" applyFill="1" applyBorder="1" applyAlignment="1">
      <alignment vertical="center" wrapText="1"/>
    </xf>
    <xf numFmtId="0" fontId="23" fillId="0" borderId="10" xfId="0" applyFont="1" applyFill="1" applyBorder="1" applyAlignment="1">
      <alignment vertical="center" wrapText="1"/>
    </xf>
    <xf numFmtId="0" fontId="26" fillId="2" borderId="9" xfId="0" applyFont="1" applyFill="1" applyBorder="1" applyAlignment="1">
      <alignment vertical="top" wrapText="1"/>
    </xf>
    <xf numFmtId="0" fontId="26" fillId="2" borderId="20" xfId="0" applyFont="1" applyFill="1" applyBorder="1" applyAlignment="1">
      <alignment vertical="top" wrapText="1"/>
    </xf>
    <xf numFmtId="0" fontId="26" fillId="2" borderId="12" xfId="0" applyFont="1" applyFill="1" applyBorder="1" applyAlignment="1">
      <alignment vertical="top" wrapText="1"/>
    </xf>
    <xf numFmtId="0" fontId="21" fillId="30" borderId="11" xfId="0" applyFont="1" applyFill="1" applyBorder="1" applyAlignment="1">
      <alignment horizontal="center" vertical="center" wrapText="1"/>
    </xf>
    <xf numFmtId="0" fontId="25" fillId="31" borderId="12" xfId="0" applyFont="1" applyFill="1" applyBorder="1" applyAlignment="1">
      <alignment horizontal="center" wrapText="1"/>
    </xf>
    <xf numFmtId="0" fontId="23" fillId="26" borderId="11" xfId="0" applyFont="1" applyFill="1" applyBorder="1" applyAlignment="1">
      <alignment horizontal="center" vertical="center" wrapText="1"/>
    </xf>
    <xf numFmtId="0" fontId="23" fillId="27" borderId="6" xfId="1" applyFont="1" applyFill="1" applyBorder="1" applyAlignment="1">
      <alignment horizontal="center" vertical="center" wrapText="1"/>
    </xf>
    <xf numFmtId="0" fontId="23" fillId="27" borderId="23" xfId="0" applyFont="1" applyFill="1" applyBorder="1" applyAlignment="1">
      <alignment horizontal="center" vertical="center" wrapText="1"/>
    </xf>
    <xf numFmtId="0" fontId="23" fillId="29" borderId="1" xfId="1" applyFont="1" applyFill="1" applyBorder="1" applyAlignment="1">
      <alignment horizontal="center" vertical="center" wrapText="1"/>
    </xf>
    <xf numFmtId="0" fontId="23" fillId="29" borderId="23" xfId="0" applyFont="1" applyFill="1" applyBorder="1" applyAlignment="1">
      <alignment horizontal="center" vertical="center" wrapText="1"/>
    </xf>
    <xf numFmtId="0" fontId="23" fillId="28" borderId="1" xfId="1" applyFont="1" applyFill="1" applyBorder="1" applyAlignment="1">
      <alignment horizontal="center" vertical="center" wrapText="1"/>
    </xf>
    <xf numFmtId="0" fontId="23" fillId="28" borderId="23" xfId="0" applyFont="1" applyFill="1" applyBorder="1" applyAlignment="1">
      <alignment horizontal="center" vertical="center" wrapText="1"/>
    </xf>
    <xf numFmtId="0" fontId="23" fillId="26" borderId="1" xfId="0" applyFont="1" applyFill="1" applyBorder="1" applyAlignment="1">
      <alignment horizontal="center" vertical="center" wrapText="1"/>
    </xf>
    <xf numFmtId="0" fontId="23" fillId="26" borderId="23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23" xfId="0" applyFont="1" applyFill="1" applyBorder="1" applyAlignment="1">
      <alignment horizontal="center" vertical="center" wrapText="1"/>
    </xf>
    <xf numFmtId="0" fontId="29" fillId="0" borderId="31" xfId="0" applyFont="1" applyBorder="1" applyAlignment="1">
      <alignment horizontal="left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8" fillId="0" borderId="24" xfId="0" applyFont="1" applyFill="1" applyBorder="1" applyAlignment="1">
      <alignment horizontal="left" vertical="center" wrapText="1"/>
    </xf>
    <xf numFmtId="0" fontId="29" fillId="0" borderId="32" xfId="0" applyFont="1" applyBorder="1" applyAlignment="1">
      <alignment horizontal="left" vertical="center" wrapText="1"/>
    </xf>
    <xf numFmtId="0" fontId="32" fillId="0" borderId="9" xfId="1" applyFont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wrapText="1"/>
    </xf>
    <xf numFmtId="0" fontId="25" fillId="31" borderId="26" xfId="0" applyFont="1" applyFill="1" applyBorder="1" applyAlignment="1">
      <alignment horizontal="center" vertical="center" wrapText="1"/>
    </xf>
    <xf numFmtId="0" fontId="33" fillId="31" borderId="15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0" fontId="23" fillId="0" borderId="13" xfId="0" applyFont="1" applyFill="1" applyBorder="1" applyAlignment="1">
      <alignment horizontal="center" vertical="center" wrapText="1"/>
    </xf>
    <xf numFmtId="14" fontId="23" fillId="26" borderId="11" xfId="0" applyNumberFormat="1" applyFont="1" applyFill="1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</xf>
    <xf numFmtId="0" fontId="0" fillId="0" borderId="65" xfId="0" applyBorder="1"/>
    <xf numFmtId="0" fontId="0" fillId="0" borderId="0" xfId="0" applyBorder="1"/>
    <xf numFmtId="0" fontId="29" fillId="0" borderId="19" xfId="0" applyFont="1" applyFill="1" applyBorder="1" applyAlignment="1">
      <alignment horizontal="center" vertical="center" wrapText="1"/>
    </xf>
    <xf numFmtId="0" fontId="28" fillId="0" borderId="17" xfId="0" applyFont="1" applyFill="1" applyBorder="1" applyAlignment="1">
      <alignment horizontal="left" vertical="center" wrapText="1"/>
    </xf>
    <xf numFmtId="0" fontId="29" fillId="0" borderId="66" xfId="0" applyFont="1" applyFill="1" applyBorder="1" applyAlignment="1">
      <alignment horizontal="center" vertical="center" wrapText="1"/>
    </xf>
    <xf numFmtId="0" fontId="28" fillId="0" borderId="66" xfId="0" applyFont="1" applyFill="1" applyBorder="1" applyAlignment="1">
      <alignment horizontal="center" vertical="center" wrapText="1"/>
    </xf>
    <xf numFmtId="0" fontId="28" fillId="0" borderId="67" xfId="0" applyFont="1" applyFill="1" applyBorder="1" applyAlignment="1">
      <alignment horizontal="left" vertical="center" wrapText="1"/>
    </xf>
    <xf numFmtId="0" fontId="0" fillId="0" borderId="68" xfId="0" applyBorder="1"/>
    <xf numFmtId="0" fontId="23" fillId="0" borderId="11" xfId="49" applyFont="1" applyFill="1" applyBorder="1" applyAlignment="1">
      <alignment horizontal="center" vertical="center" wrapText="1"/>
    </xf>
    <xf numFmtId="0" fontId="23" fillId="27" borderId="11" xfId="49" applyFont="1" applyFill="1" applyBorder="1" applyAlignment="1">
      <alignment horizontal="center" vertical="center" wrapText="1"/>
    </xf>
    <xf numFmtId="2" fontId="35" fillId="0" borderId="11" xfId="46" applyNumberFormat="1" applyBorder="1" applyAlignment="1">
      <alignment horizontal="center"/>
    </xf>
    <xf numFmtId="0" fontId="23" fillId="32" borderId="11" xfId="49" applyFont="1" applyFill="1" applyBorder="1" applyAlignment="1">
      <alignment horizontal="center" vertical="center" wrapText="1"/>
    </xf>
    <xf numFmtId="0" fontId="36" fillId="0" borderId="11" xfId="0" applyFont="1" applyFill="1" applyBorder="1" applyAlignment="1">
      <alignment horizontal="center" vertical="center" wrapText="1"/>
    </xf>
    <xf numFmtId="0" fontId="23" fillId="32" borderId="19" xfId="0" applyFont="1" applyFill="1" applyBorder="1" applyAlignment="1">
      <alignment horizontal="center" vertical="center" wrapText="1"/>
    </xf>
    <xf numFmtId="0" fontId="23" fillId="32" borderId="17" xfId="0" applyFont="1" applyFill="1" applyBorder="1" applyAlignment="1">
      <alignment horizontal="center" vertical="center" wrapText="1"/>
    </xf>
    <xf numFmtId="0" fontId="29" fillId="0" borderId="69" xfId="0" applyFont="1" applyBorder="1" applyAlignment="1">
      <alignment horizontal="left" vertical="center" wrapText="1"/>
    </xf>
    <xf numFmtId="0" fontId="31" fillId="0" borderId="71" xfId="0" applyFont="1" applyFill="1" applyBorder="1" applyAlignment="1">
      <alignment horizontal="left" vertical="center" wrapText="1"/>
    </xf>
    <xf numFmtId="0" fontId="31" fillId="0" borderId="62" xfId="0" applyFont="1" applyFill="1" applyBorder="1" applyAlignment="1">
      <alignment horizontal="left" vertical="center" wrapText="1"/>
    </xf>
    <xf numFmtId="0" fontId="33" fillId="31" borderId="31" xfId="0" applyFont="1" applyFill="1" applyBorder="1" applyAlignment="1">
      <alignment horizontal="center" vertical="center" wrapText="1"/>
    </xf>
    <xf numFmtId="0" fontId="33" fillId="31" borderId="32" xfId="0" applyFont="1" applyFill="1" applyBorder="1" applyAlignment="1">
      <alignment horizontal="center" vertical="center" wrapText="1"/>
    </xf>
    <xf numFmtId="0" fontId="33" fillId="31" borderId="33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28" fillId="0" borderId="1" xfId="0" applyFont="1" applyFill="1" applyBorder="1" applyAlignment="1">
      <alignment horizontal="center" vertical="center" wrapText="1"/>
    </xf>
    <xf numFmtId="0" fontId="28" fillId="0" borderId="22" xfId="0" applyFont="1" applyFill="1" applyBorder="1" applyAlignment="1">
      <alignment horizontal="center" vertical="center" wrapText="1"/>
    </xf>
    <xf numFmtId="0" fontId="28" fillId="0" borderId="73" xfId="0" applyFont="1" applyFill="1" applyBorder="1" applyAlignment="1">
      <alignment horizontal="center" vertical="center" wrapText="1"/>
    </xf>
    <xf numFmtId="0" fontId="28" fillId="0" borderId="74" xfId="0" applyFont="1" applyFill="1" applyBorder="1" applyAlignment="1">
      <alignment horizontal="center" vertical="center" wrapText="1"/>
    </xf>
    <xf numFmtId="0" fontId="23" fillId="32" borderId="8" xfId="0" applyFont="1" applyFill="1" applyBorder="1" applyAlignment="1">
      <alignment vertical="center" wrapText="1"/>
    </xf>
    <xf numFmtId="0" fontId="23" fillId="32" borderId="43" xfId="0" applyFont="1" applyFill="1" applyBorder="1" applyAlignment="1">
      <alignment vertical="center" wrapText="1"/>
    </xf>
    <xf numFmtId="0" fontId="23" fillId="32" borderId="10" xfId="0" applyFont="1" applyFill="1" applyBorder="1" applyAlignment="1">
      <alignment vertical="center" wrapText="1"/>
    </xf>
    <xf numFmtId="0" fontId="23" fillId="32" borderId="13" xfId="0" applyFont="1" applyFill="1" applyBorder="1" applyAlignment="1">
      <alignment vertical="center" wrapText="1"/>
    </xf>
    <xf numFmtId="0" fontId="23" fillId="32" borderId="0" xfId="0" applyFont="1" applyFill="1" applyBorder="1" applyAlignment="1">
      <alignment vertical="center" wrapText="1"/>
    </xf>
    <xf numFmtId="0" fontId="23" fillId="32" borderId="14" xfId="0" applyFont="1" applyFill="1" applyBorder="1" applyAlignment="1">
      <alignment vertical="center" wrapText="1"/>
    </xf>
    <xf numFmtId="0" fontId="23" fillId="32" borderId="46" xfId="0" applyFont="1" applyFill="1" applyBorder="1" applyAlignment="1">
      <alignment vertical="center" wrapText="1"/>
    </xf>
    <xf numFmtId="0" fontId="23" fillId="32" borderId="47" xfId="0" applyFont="1" applyFill="1" applyBorder="1" applyAlignment="1">
      <alignment vertical="center" wrapText="1"/>
    </xf>
    <xf numFmtId="0" fontId="23" fillId="32" borderId="48" xfId="0" applyFont="1" applyFill="1" applyBorder="1" applyAlignment="1">
      <alignment vertical="center" wrapText="1"/>
    </xf>
    <xf numFmtId="0" fontId="29" fillId="0" borderId="70" xfId="0" applyFont="1" applyFill="1" applyBorder="1" applyAlignment="1">
      <alignment horizontal="left" vertical="center" wrapText="1"/>
    </xf>
    <xf numFmtId="0" fontId="29" fillId="0" borderId="71" xfId="0" applyFont="1" applyFill="1" applyBorder="1" applyAlignment="1">
      <alignment horizontal="left" vertical="center" wrapText="1"/>
    </xf>
    <xf numFmtId="0" fontId="29" fillId="0" borderId="62" xfId="0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29" fillId="0" borderId="19" xfId="0" applyFont="1" applyFill="1" applyBorder="1" applyAlignment="1">
      <alignment horizontal="left" vertical="center" wrapText="1"/>
    </xf>
    <xf numFmtId="0" fontId="23" fillId="27" borderId="75" xfId="1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left" vertical="center" wrapText="1"/>
    </xf>
    <xf numFmtId="0" fontId="29" fillId="0" borderId="1" xfId="0" applyFont="1" applyFill="1" applyBorder="1" applyAlignment="1">
      <alignment horizontal="left" vertical="center" wrapText="1"/>
    </xf>
    <xf numFmtId="0" fontId="29" fillId="0" borderId="5" xfId="0" applyFont="1" applyFill="1" applyBorder="1" applyAlignment="1">
      <alignment horizontal="left" vertical="top" wrapText="1"/>
    </xf>
    <xf numFmtId="0" fontId="28" fillId="0" borderId="76" xfId="0" applyFont="1" applyFill="1" applyBorder="1" applyAlignment="1">
      <alignment horizontal="center" vertical="center" wrapText="1"/>
    </xf>
    <xf numFmtId="0" fontId="29" fillId="0" borderId="69" xfId="0" applyFont="1" applyBorder="1" applyAlignment="1">
      <alignment vertical="center" wrapText="1"/>
    </xf>
    <xf numFmtId="0" fontId="29" fillId="0" borderId="20" xfId="0" applyFont="1" applyBorder="1" applyAlignment="1">
      <alignment vertical="center" wrapText="1"/>
    </xf>
    <xf numFmtId="0" fontId="28" fillId="0" borderId="16" xfId="0" applyFont="1" applyFill="1" applyBorder="1" applyAlignment="1">
      <alignment horizontal="center" vertical="center" wrapText="1"/>
    </xf>
    <xf numFmtId="0" fontId="28" fillId="0" borderId="77" xfId="0" applyFont="1" applyFill="1" applyBorder="1" applyAlignment="1">
      <alignment horizontal="center" vertical="center" wrapText="1"/>
    </xf>
    <xf numFmtId="0" fontId="28" fillId="0" borderId="78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8" fillId="0" borderId="73" xfId="0" applyFont="1" applyFill="1" applyBorder="1" applyAlignment="1">
      <alignment horizontal="left" vertical="center" wrapText="1"/>
    </xf>
    <xf numFmtId="0" fontId="28" fillId="0" borderId="74" xfId="0" applyFont="1" applyFill="1" applyBorder="1" applyAlignment="1">
      <alignment horizontal="left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31" xfId="1" applyFont="1" applyFill="1" applyBorder="1" applyAlignment="1">
      <alignment horizontal="center" vertical="center" wrapText="1"/>
    </xf>
    <xf numFmtId="0" fontId="1" fillId="0" borderId="32" xfId="1" applyFont="1" applyFill="1" applyBorder="1" applyAlignment="1">
      <alignment horizontal="center" vertical="center" wrapText="1"/>
    </xf>
    <xf numFmtId="0" fontId="0" fillId="0" borderId="32" xfId="0" applyBorder="1" applyAlignment="1">
      <alignment wrapText="1"/>
    </xf>
    <xf numFmtId="0" fontId="0" fillId="0" borderId="33" xfId="0" applyBorder="1" applyAlignment="1">
      <alignment wrapText="1"/>
    </xf>
    <xf numFmtId="49" fontId="29" fillId="0" borderId="5" xfId="0" applyNumberFormat="1" applyFont="1" applyFill="1" applyBorder="1" applyAlignment="1">
      <alignment horizontal="center" vertical="center" wrapText="1"/>
    </xf>
    <xf numFmtId="0" fontId="40" fillId="0" borderId="24" xfId="0" applyFont="1" applyFill="1" applyBorder="1" applyAlignment="1">
      <alignment horizontal="left" vertical="center" wrapText="1"/>
    </xf>
    <xf numFmtId="0" fontId="37" fillId="37" borderId="30" xfId="0" applyFont="1" applyFill="1" applyBorder="1" applyAlignment="1">
      <alignment horizontal="center"/>
    </xf>
    <xf numFmtId="0" fontId="37" fillId="37" borderId="21" xfId="0" applyFont="1" applyFill="1" applyBorder="1" applyAlignment="1">
      <alignment horizontal="center"/>
    </xf>
    <xf numFmtId="0" fontId="37" fillId="37" borderId="25" xfId="0" applyFont="1" applyFill="1" applyBorder="1" applyAlignment="1">
      <alignment horizontal="center"/>
    </xf>
    <xf numFmtId="0" fontId="37" fillId="0" borderId="11" xfId="0" applyFont="1" applyBorder="1" applyAlignment="1">
      <alignment textRotation="45"/>
    </xf>
    <xf numFmtId="0" fontId="0" fillId="0" borderId="32" xfId="0" applyBorder="1" applyAlignment="1">
      <alignment horizontal="left" vertical="top" wrapText="1"/>
    </xf>
    <xf numFmtId="0" fontId="42" fillId="0" borderId="24" xfId="59" applyFill="1" applyBorder="1" applyAlignment="1">
      <alignment horizontal="left" vertical="center" wrapText="1"/>
    </xf>
    <xf numFmtId="0" fontId="31" fillId="0" borderId="83" xfId="0" applyFont="1" applyFill="1" applyBorder="1" applyAlignment="1">
      <alignment horizontal="left" vertical="center" wrapText="1"/>
    </xf>
    <xf numFmtId="0" fontId="41" fillId="0" borderId="32" xfId="0" applyFont="1" applyBorder="1" applyAlignment="1">
      <alignment horizontal="left" vertical="top" wrapText="1"/>
    </xf>
    <xf numFmtId="0" fontId="0" fillId="0" borderId="19" xfId="0" applyFont="1" applyFill="1" applyBorder="1" applyAlignment="1">
      <alignment horizontal="center" vertical="center" wrapText="1"/>
    </xf>
    <xf numFmtId="0" fontId="0" fillId="0" borderId="22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 wrapText="1"/>
    </xf>
    <xf numFmtId="0" fontId="0" fillId="0" borderId="28" xfId="0" applyFont="1" applyFill="1" applyBorder="1" applyAlignment="1">
      <alignment horizontal="center" vertical="center" wrapText="1"/>
    </xf>
    <xf numFmtId="0" fontId="33" fillId="31" borderId="69" xfId="0" applyFont="1" applyFill="1" applyBorder="1" applyAlignment="1">
      <alignment horizontal="center" vertical="center" wrapText="1"/>
    </xf>
    <xf numFmtId="0" fontId="25" fillId="31" borderId="27" xfId="1" applyFont="1" applyFill="1" applyBorder="1" applyAlignment="1">
      <alignment horizontal="center" vertical="center" wrapText="1"/>
    </xf>
    <xf numFmtId="0" fontId="23" fillId="26" borderId="12" xfId="0" applyFont="1" applyFill="1" applyBorder="1" applyAlignment="1">
      <alignment horizontal="center" vertical="center" wrapText="1"/>
    </xf>
    <xf numFmtId="0" fontId="23" fillId="32" borderId="18" xfId="1" applyFont="1" applyFill="1" applyBorder="1" applyAlignment="1">
      <alignment horizontal="center" vertical="center" wrapText="1"/>
    </xf>
    <xf numFmtId="0" fontId="23" fillId="29" borderId="2" xfId="1" applyFont="1" applyFill="1" applyBorder="1" applyAlignment="1">
      <alignment horizontal="center" vertical="center" wrapText="1"/>
    </xf>
    <xf numFmtId="0" fontId="23" fillId="28" borderId="2" xfId="1" applyFont="1" applyFill="1" applyBorder="1" applyAlignment="1">
      <alignment horizontal="center" vertical="center" wrapText="1"/>
    </xf>
    <xf numFmtId="0" fontId="23" fillId="26" borderId="2" xfId="1" applyFont="1" applyFill="1" applyBorder="1" applyAlignment="1">
      <alignment horizontal="center" vertical="center" wrapText="1"/>
    </xf>
    <xf numFmtId="0" fontId="23" fillId="0" borderId="2" xfId="1" applyFont="1" applyFill="1" applyBorder="1" applyAlignment="1">
      <alignment horizontal="center" vertical="center" wrapText="1"/>
    </xf>
    <xf numFmtId="0" fontId="23" fillId="26" borderId="8" xfId="0" applyFont="1" applyFill="1" applyBorder="1" applyAlignment="1">
      <alignment horizontal="center" vertical="center" wrapText="1"/>
    </xf>
    <xf numFmtId="0" fontId="29" fillId="0" borderId="24" xfId="0" applyFont="1" applyFill="1" applyBorder="1" applyAlignment="1">
      <alignment horizontal="left" vertical="center" wrapText="1"/>
    </xf>
    <xf numFmtId="0" fontId="43" fillId="29" borderId="19" xfId="0" applyFont="1" applyFill="1" applyBorder="1" applyAlignment="1">
      <alignment horizontal="center" vertical="center" wrapText="1"/>
    </xf>
    <xf numFmtId="0" fontId="43" fillId="29" borderId="1" xfId="0" applyFont="1" applyFill="1" applyBorder="1" applyAlignment="1">
      <alignment horizontal="center" vertical="center" wrapText="1"/>
    </xf>
    <xf numFmtId="0" fontId="43" fillId="27" borderId="22" xfId="0" applyFont="1" applyFill="1" applyBorder="1" applyAlignment="1">
      <alignment horizontal="center" vertical="center" wrapText="1"/>
    </xf>
    <xf numFmtId="0" fontId="43" fillId="29" borderId="2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7" fillId="34" borderId="82" xfId="0" applyFont="1" applyFill="1" applyBorder="1" applyAlignment="1">
      <alignment horizontal="center" vertical="center" textRotation="45" wrapText="1"/>
    </xf>
    <xf numFmtId="0" fontId="37" fillId="34" borderId="78" xfId="0" applyFont="1" applyFill="1" applyBorder="1" applyAlignment="1">
      <alignment horizontal="center" vertical="center" textRotation="45" wrapText="1"/>
    </xf>
    <xf numFmtId="0" fontId="37" fillId="34" borderId="78" xfId="0" applyFont="1" applyFill="1" applyBorder="1" applyAlignment="1">
      <alignment textRotation="45" wrapText="1"/>
    </xf>
    <xf numFmtId="0" fontId="37" fillId="34" borderId="78" xfId="0" applyFont="1" applyFill="1" applyBorder="1" applyAlignment="1">
      <alignment horizontal="center" textRotation="45" wrapText="1"/>
    </xf>
    <xf numFmtId="0" fontId="37" fillId="34" borderId="81" xfId="0" applyFont="1" applyFill="1" applyBorder="1" applyAlignment="1">
      <alignment textRotation="45" wrapText="1"/>
    </xf>
    <xf numFmtId="0" fontId="43" fillId="33" borderId="16" xfId="0" applyFont="1" applyFill="1" applyBorder="1" applyAlignment="1">
      <alignment horizontal="center" vertical="center" wrapText="1"/>
    </xf>
    <xf numFmtId="0" fontId="43" fillId="33" borderId="19" xfId="0" applyFont="1" applyFill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43" fillId="28" borderId="17" xfId="0" applyFont="1" applyFill="1" applyBorder="1" applyAlignment="1">
      <alignment horizontal="center" vertical="center" wrapText="1"/>
    </xf>
    <xf numFmtId="0" fontId="43" fillId="33" borderId="22" xfId="0" applyFont="1" applyFill="1" applyBorder="1" applyAlignment="1">
      <alignment horizontal="center" vertical="center" wrapText="1"/>
    </xf>
    <xf numFmtId="0" fontId="43" fillId="33" borderId="1" xfId="0" applyFont="1" applyFill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43" fillId="28" borderId="23" xfId="0" applyFont="1" applyFill="1" applyBorder="1" applyAlignment="1">
      <alignment horizontal="center" vertical="center" wrapText="1"/>
    </xf>
    <xf numFmtId="0" fontId="44" fillId="36" borderId="1" xfId="0" applyFont="1" applyFill="1" applyBorder="1" applyAlignment="1">
      <alignment horizontal="center" wrapText="1"/>
    </xf>
    <xf numFmtId="0" fontId="43" fillId="35" borderId="1" xfId="0" applyFont="1" applyFill="1" applyBorder="1" applyAlignment="1">
      <alignment horizontal="center" vertical="center" wrapText="1"/>
    </xf>
    <xf numFmtId="0" fontId="43" fillId="33" borderId="80" xfId="0" applyFont="1" applyFill="1" applyBorder="1" applyAlignment="1">
      <alignment horizontal="center" vertical="center" wrapText="1"/>
    </xf>
    <xf numFmtId="0" fontId="43" fillId="33" borderId="28" xfId="0" applyFont="1" applyFill="1" applyBorder="1" applyAlignment="1">
      <alignment horizontal="center" vertical="center" wrapText="1"/>
    </xf>
    <xf numFmtId="0" fontId="44" fillId="36" borderId="28" xfId="0" applyFont="1" applyFill="1" applyBorder="1" applyAlignment="1">
      <alignment horizontal="center" wrapText="1"/>
    </xf>
    <xf numFmtId="0" fontId="43" fillId="27" borderId="28" xfId="0" applyFont="1" applyFill="1" applyBorder="1" applyAlignment="1">
      <alignment horizontal="center" vertical="center" wrapText="1"/>
    </xf>
    <xf numFmtId="0" fontId="43" fillId="28" borderId="26" xfId="0" applyFont="1" applyFill="1" applyBorder="1" applyAlignment="1">
      <alignment horizontal="center" vertical="center" wrapText="1"/>
    </xf>
    <xf numFmtId="0" fontId="0" fillId="0" borderId="16" xfId="0" applyFont="1" applyFill="1" applyBorder="1" applyAlignment="1">
      <alignment horizontal="center" vertical="center" wrapText="1"/>
    </xf>
    <xf numFmtId="0" fontId="0" fillId="0" borderId="19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23" xfId="0" applyFill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wrapText="1"/>
    </xf>
    <xf numFmtId="0" fontId="0" fillId="0" borderId="80" xfId="0" applyFont="1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0" fontId="38" fillId="0" borderId="28" xfId="0" applyFont="1" applyFill="1" applyBorder="1" applyAlignment="1">
      <alignment horizontal="center" wrapText="1"/>
    </xf>
    <xf numFmtId="0" fontId="0" fillId="0" borderId="26" xfId="0" applyFill="1" applyBorder="1" applyAlignment="1">
      <alignment horizontal="center" vertical="center" wrapText="1"/>
    </xf>
    <xf numFmtId="0" fontId="37" fillId="34" borderId="81" xfId="0" applyFont="1" applyFill="1" applyBorder="1" applyAlignment="1">
      <alignment horizontal="center" vertical="center" textRotation="45" wrapText="1"/>
    </xf>
    <xf numFmtId="0" fontId="28" fillId="0" borderId="1" xfId="0" applyFont="1" applyFill="1" applyBorder="1" applyAlignment="1">
      <alignment horizontal="left" vertical="center" wrapText="1"/>
    </xf>
    <xf numFmtId="0" fontId="25" fillId="31" borderId="6" xfId="0" applyFont="1" applyFill="1" applyBorder="1" applyAlignment="1">
      <alignment horizontal="center" vertical="center" wrapText="1"/>
    </xf>
    <xf numFmtId="0" fontId="25" fillId="31" borderId="79" xfId="0" applyFont="1" applyFill="1" applyBorder="1" applyAlignment="1">
      <alignment horizontal="center" vertical="center" wrapText="1"/>
    </xf>
    <xf numFmtId="0" fontId="1" fillId="42" borderId="9" xfId="1" applyFont="1" applyFill="1" applyBorder="1" applyAlignment="1">
      <alignment horizontal="center" vertical="center" wrapText="1"/>
    </xf>
    <xf numFmtId="0" fontId="1" fillId="42" borderId="20" xfId="1" applyFont="1" applyFill="1" applyBorder="1" applyAlignment="1">
      <alignment horizontal="center" vertical="center" wrapText="1"/>
    </xf>
    <xf numFmtId="0" fontId="36" fillId="25" borderId="43" xfId="0" applyFont="1" applyFill="1" applyBorder="1" applyAlignment="1">
      <alignment vertical="center" wrapText="1"/>
    </xf>
    <xf numFmtId="0" fontId="36" fillId="25" borderId="10" xfId="0" applyFont="1" applyFill="1" applyBorder="1" applyAlignment="1">
      <alignment vertical="center" wrapText="1"/>
    </xf>
    <xf numFmtId="0" fontId="47" fillId="26" borderId="11" xfId="0" applyFont="1" applyFill="1" applyBorder="1" applyAlignment="1">
      <alignment horizontal="center" vertical="center" wrapText="1"/>
    </xf>
    <xf numFmtId="14" fontId="47" fillId="26" borderId="11" xfId="0" applyNumberFormat="1" applyFont="1" applyFill="1" applyBorder="1" applyAlignment="1">
      <alignment horizontal="center" vertical="center" wrapText="1"/>
    </xf>
    <xf numFmtId="0" fontId="0" fillId="0" borderId="104" xfId="0" applyFill="1" applyBorder="1" applyAlignment="1" applyProtection="1">
      <alignment horizontal="left" vertical="center" wrapText="1"/>
      <protection locked="0"/>
    </xf>
    <xf numFmtId="0" fontId="0" fillId="0" borderId="103" xfId="0" applyFill="1" applyBorder="1" applyAlignment="1" applyProtection="1">
      <alignment horizontal="left" vertical="center" wrapText="1"/>
      <protection locked="0"/>
    </xf>
    <xf numFmtId="0" fontId="0" fillId="0" borderId="103" xfId="0" applyFill="1" applyBorder="1" applyAlignment="1" applyProtection="1">
      <alignment horizontal="center" vertical="center" wrapText="1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  <xf numFmtId="0" fontId="41" fillId="0" borderId="1" xfId="0" applyFont="1" applyFill="1" applyBorder="1" applyAlignment="1" applyProtection="1">
      <alignment horizontal="center" vertical="center" wrapText="1"/>
      <protection locked="0"/>
    </xf>
    <xf numFmtId="0" fontId="41" fillId="0" borderId="100" xfId="0" applyFont="1" applyFill="1" applyBorder="1" applyAlignment="1" applyProtection="1">
      <alignment horizontal="left" vertical="center" wrapText="1"/>
      <protection locked="0"/>
    </xf>
    <xf numFmtId="0" fontId="41" fillId="0" borderId="105" xfId="0" applyFont="1" applyFill="1" applyBorder="1" applyAlignment="1" applyProtection="1">
      <alignment horizontal="left" vertical="center" wrapText="1"/>
      <protection locked="0"/>
    </xf>
    <xf numFmtId="0" fontId="41" fillId="0" borderId="108" xfId="0" applyFont="1" applyFill="1" applyBorder="1" applyAlignment="1" applyProtection="1">
      <alignment horizontal="left" vertical="center" wrapText="1"/>
      <protection locked="0"/>
    </xf>
    <xf numFmtId="0" fontId="0" fillId="0" borderId="110" xfId="0" applyFill="1" applyBorder="1" applyAlignment="1" applyProtection="1">
      <alignment horizontal="left" vertical="center" wrapText="1"/>
      <protection locked="0"/>
    </xf>
    <xf numFmtId="0" fontId="0" fillId="0" borderId="109" xfId="0" applyFill="1" applyBorder="1" applyAlignment="1" applyProtection="1">
      <alignment horizontal="left" vertical="center" wrapText="1"/>
      <protection locked="0"/>
    </xf>
    <xf numFmtId="0" fontId="0" fillId="0" borderId="109" xfId="0" applyFill="1" applyBorder="1" applyAlignment="1" applyProtection="1">
      <alignment horizontal="center" vertical="center" wrapText="1"/>
      <protection locked="0"/>
    </xf>
    <xf numFmtId="0" fontId="1" fillId="42" borderId="79" xfId="0" applyFont="1" applyFill="1" applyBorder="1" applyAlignment="1" applyProtection="1">
      <alignment horizontal="center" vertical="center" textRotation="90" wrapText="1"/>
      <protection locked="0"/>
    </xf>
    <xf numFmtId="0" fontId="0" fillId="42" borderId="99" xfId="0" applyFill="1" applyBorder="1" applyAlignment="1" applyProtection="1">
      <alignment horizontal="center" vertical="center" textRotation="90" wrapText="1"/>
      <protection locked="0"/>
    </xf>
    <xf numFmtId="0" fontId="0" fillId="45" borderId="112" xfId="0" applyFill="1" applyBorder="1" applyAlignment="1" applyProtection="1">
      <alignment horizontal="center" vertical="center" textRotation="90" wrapText="1"/>
      <protection locked="0"/>
    </xf>
    <xf numFmtId="0" fontId="0" fillId="45" borderId="99" xfId="0" applyFill="1" applyBorder="1" applyAlignment="1" applyProtection="1">
      <alignment horizontal="center" vertical="center" textRotation="90" wrapText="1"/>
      <protection locked="0"/>
    </xf>
    <xf numFmtId="0" fontId="0" fillId="47" borderId="111" xfId="0" applyFill="1" applyBorder="1" applyAlignment="1" applyProtection="1">
      <alignment horizontal="center" vertical="center" textRotation="90" wrapText="1"/>
      <protection locked="0"/>
    </xf>
    <xf numFmtId="0" fontId="0" fillId="47" borderId="99" xfId="0" applyFill="1" applyBorder="1" applyAlignment="1" applyProtection="1">
      <alignment horizontal="center" vertical="center" textRotation="90" wrapText="1"/>
      <protection locked="0"/>
    </xf>
    <xf numFmtId="0" fontId="0" fillId="48" borderId="111" xfId="0" applyFill="1" applyBorder="1" applyAlignment="1" applyProtection="1">
      <alignment horizontal="center" vertical="center" textRotation="90" wrapText="1"/>
      <protection locked="0"/>
    </xf>
    <xf numFmtId="0" fontId="0" fillId="48" borderId="99" xfId="0" applyFill="1" applyBorder="1" applyAlignment="1" applyProtection="1">
      <alignment horizontal="center" vertical="center" textRotation="90" wrapText="1"/>
      <protection locked="0"/>
    </xf>
    <xf numFmtId="0" fontId="0" fillId="49" borderId="111" xfId="0" applyFill="1" applyBorder="1" applyAlignment="1" applyProtection="1">
      <alignment horizontal="center" vertical="center" textRotation="90" wrapText="1"/>
      <protection locked="0"/>
    </xf>
    <xf numFmtId="0" fontId="0" fillId="49" borderId="99" xfId="0" applyFill="1" applyBorder="1" applyAlignment="1" applyProtection="1">
      <alignment horizontal="center" vertical="center" textRotation="90" wrapText="1"/>
      <protection locked="0"/>
    </xf>
    <xf numFmtId="0" fontId="1" fillId="51" borderId="113" xfId="0" applyFont="1" applyFill="1" applyBorder="1" applyAlignment="1" applyProtection="1">
      <alignment horizontal="center" vertical="center" textRotation="90" wrapText="1"/>
      <protection locked="0"/>
    </xf>
    <xf numFmtId="0" fontId="1" fillId="52" borderId="114" xfId="0" applyFont="1" applyFill="1" applyBorder="1" applyAlignment="1" applyProtection="1">
      <alignment horizontal="center" vertical="center" textRotation="90" wrapText="1"/>
      <protection locked="0"/>
    </xf>
    <xf numFmtId="0" fontId="1" fillId="50" borderId="114" xfId="0" applyFont="1" applyFill="1" applyBorder="1" applyAlignment="1" applyProtection="1">
      <alignment horizontal="center" vertical="center" textRotation="90" wrapText="1"/>
      <protection locked="0"/>
    </xf>
    <xf numFmtId="0" fontId="1" fillId="53" borderId="114" xfId="0" applyFont="1" applyFill="1" applyBorder="1" applyAlignment="1" applyProtection="1">
      <alignment horizontal="center" vertical="center" textRotation="90" wrapText="1"/>
      <protection locked="0"/>
    </xf>
    <xf numFmtId="0" fontId="26" fillId="25" borderId="44" xfId="1" applyFont="1" applyFill="1" applyBorder="1" applyAlignment="1">
      <alignment vertical="top" wrapText="1"/>
    </xf>
    <xf numFmtId="0" fontId="26" fillId="25" borderId="49" xfId="1" applyFont="1" applyFill="1" applyBorder="1" applyAlignment="1">
      <alignment vertical="top" wrapText="1"/>
    </xf>
    <xf numFmtId="0" fontId="25" fillId="31" borderId="7" xfId="1" applyFont="1" applyFill="1" applyBorder="1" applyAlignment="1">
      <alignment horizontal="center" vertical="center" wrapText="1"/>
    </xf>
    <xf numFmtId="0" fontId="47" fillId="26" borderId="8" xfId="0" applyFont="1" applyFill="1" applyBorder="1" applyAlignment="1">
      <alignment horizontal="center" vertical="center" wrapText="1"/>
    </xf>
    <xf numFmtId="0" fontId="47" fillId="26" borderId="13" xfId="0" applyFont="1" applyFill="1" applyBorder="1" applyAlignment="1">
      <alignment horizontal="center" vertical="center" wrapText="1"/>
    </xf>
    <xf numFmtId="0" fontId="23" fillId="25" borderId="21" xfId="1" applyFont="1" applyFill="1" applyBorder="1" applyAlignment="1">
      <alignment horizontal="center" vertical="center" wrapText="1"/>
    </xf>
    <xf numFmtId="0" fontId="23" fillId="25" borderId="51" xfId="1" applyFont="1" applyFill="1" applyBorder="1" applyAlignment="1">
      <alignment horizontal="center" vertical="center" wrapText="1"/>
    </xf>
    <xf numFmtId="0" fontId="23" fillId="32" borderId="53" xfId="1" applyFont="1" applyFill="1" applyBorder="1" applyAlignment="1">
      <alignment vertical="center" wrapText="1"/>
    </xf>
    <xf numFmtId="0" fontId="23" fillId="32" borderId="18" xfId="1" applyFont="1" applyFill="1" applyBorder="1" applyAlignment="1">
      <alignment vertical="center" wrapText="1"/>
    </xf>
    <xf numFmtId="0" fontId="23" fillId="32" borderId="70" xfId="1" applyFont="1" applyFill="1" applyBorder="1" applyAlignment="1">
      <alignment horizontal="center" vertical="center" wrapText="1"/>
    </xf>
    <xf numFmtId="0" fontId="23" fillId="27" borderId="22" xfId="1" applyFont="1" applyFill="1" applyBorder="1" applyAlignment="1">
      <alignment horizontal="center" vertical="center" wrapText="1"/>
    </xf>
    <xf numFmtId="0" fontId="23" fillId="27" borderId="63" xfId="1" applyFont="1" applyFill="1" applyBorder="1" applyAlignment="1">
      <alignment horizontal="center" vertical="center" wrapText="1"/>
    </xf>
    <xf numFmtId="0" fontId="23" fillId="29" borderId="22" xfId="1" applyFont="1" applyFill="1" applyBorder="1" applyAlignment="1">
      <alignment horizontal="center" vertical="center" wrapText="1"/>
    </xf>
    <xf numFmtId="0" fontId="23" fillId="29" borderId="71" xfId="1" applyFont="1" applyFill="1" applyBorder="1" applyAlignment="1">
      <alignment horizontal="center" vertical="center" wrapText="1"/>
    </xf>
    <xf numFmtId="0" fontId="23" fillId="28" borderId="22" xfId="1" applyFont="1" applyFill="1" applyBorder="1" applyAlignment="1">
      <alignment horizontal="center" vertical="center" wrapText="1"/>
    </xf>
    <xf numFmtId="0" fontId="23" fillId="28" borderId="71" xfId="1" applyFont="1" applyFill="1" applyBorder="1" applyAlignment="1">
      <alignment horizontal="center" vertical="center" wrapText="1"/>
    </xf>
    <xf numFmtId="0" fontId="23" fillId="26" borderId="22" xfId="1" applyFont="1" applyFill="1" applyBorder="1" applyAlignment="1">
      <alignment horizontal="center" vertical="center" wrapText="1"/>
    </xf>
    <xf numFmtId="0" fontId="23" fillId="26" borderId="71" xfId="1" applyFont="1" applyFill="1" applyBorder="1" applyAlignment="1">
      <alignment horizontal="center" vertical="center" wrapText="1"/>
    </xf>
    <xf numFmtId="0" fontId="23" fillId="0" borderId="80" xfId="1" applyFont="1" applyFill="1" applyBorder="1" applyAlignment="1">
      <alignment horizontal="center" vertical="center" wrapText="1"/>
    </xf>
    <xf numFmtId="0" fontId="23" fillId="0" borderId="27" xfId="1" applyFont="1" applyFill="1" applyBorder="1" applyAlignment="1">
      <alignment horizontal="center" vertical="center" wrapText="1"/>
    </xf>
    <xf numFmtId="0" fontId="23" fillId="0" borderId="62" xfId="1" applyFont="1" applyFill="1" applyBorder="1" applyAlignment="1">
      <alignment horizontal="center" vertical="center" wrapText="1"/>
    </xf>
    <xf numFmtId="0" fontId="23" fillId="54" borderId="21" xfId="1" applyFont="1" applyFill="1" applyBorder="1" applyAlignment="1">
      <alignment horizontal="center" vertical="center" wrapText="1"/>
    </xf>
    <xf numFmtId="0" fontId="23" fillId="54" borderId="51" xfId="1" applyFont="1" applyFill="1" applyBorder="1" applyAlignment="1">
      <alignment horizontal="center" vertical="center" wrapText="1"/>
    </xf>
    <xf numFmtId="0" fontId="23" fillId="54" borderId="23" xfId="0" applyFont="1" applyFill="1" applyBorder="1" applyAlignment="1">
      <alignment horizontal="center" vertical="center" wrapText="1"/>
    </xf>
    <xf numFmtId="0" fontId="23" fillId="54" borderId="22" xfId="1" applyFont="1" applyFill="1" applyBorder="1" applyAlignment="1">
      <alignment horizontal="center" vertical="center" wrapText="1"/>
    </xf>
    <xf numFmtId="0" fontId="23" fillId="54" borderId="2" xfId="1" applyFont="1" applyFill="1" applyBorder="1" applyAlignment="1">
      <alignment horizontal="center" vertical="center" wrapText="1"/>
    </xf>
    <xf numFmtId="0" fontId="23" fillId="54" borderId="71" xfId="1" applyFont="1" applyFill="1" applyBorder="1" applyAlignment="1">
      <alignment horizontal="center" vertical="center" wrapText="1"/>
    </xf>
    <xf numFmtId="0" fontId="41" fillId="0" borderId="116" xfId="0" applyFont="1" applyFill="1" applyBorder="1" applyAlignment="1" applyProtection="1">
      <alignment horizontal="left" vertical="center" wrapText="1"/>
      <protection locked="0"/>
    </xf>
    <xf numFmtId="0" fontId="41" fillId="0" borderId="1" xfId="0" quotePrefix="1" applyFont="1" applyFill="1" applyBorder="1" applyAlignment="1" applyProtection="1">
      <alignment horizontal="center" vertical="center" wrapText="1"/>
      <protection locked="0"/>
    </xf>
    <xf numFmtId="0" fontId="25" fillId="31" borderId="29" xfId="1" applyFont="1" applyFill="1" applyBorder="1" applyAlignment="1">
      <alignment horizontal="center" vertical="center" wrapText="1"/>
    </xf>
    <xf numFmtId="0" fontId="46" fillId="0" borderId="1" xfId="0" applyFont="1" applyFill="1" applyBorder="1" applyAlignment="1">
      <alignment horizontal="left" vertical="center" wrapText="1"/>
    </xf>
    <xf numFmtId="0" fontId="23" fillId="4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33" fillId="31" borderId="2" xfId="0" applyFont="1" applyFill="1" applyBorder="1" applyAlignment="1">
      <alignment horizontal="center" vertical="center" wrapText="1"/>
    </xf>
    <xf numFmtId="0" fontId="25" fillId="31" borderId="84" xfId="1" applyFont="1" applyFill="1" applyBorder="1" applyAlignment="1">
      <alignment horizontal="center" vertical="center" wrapText="1"/>
    </xf>
    <xf numFmtId="0" fontId="25" fillId="31" borderId="82" xfId="1" applyFont="1" applyFill="1" applyBorder="1" applyAlignment="1">
      <alignment horizontal="center" vertical="center" wrapText="1"/>
    </xf>
    <xf numFmtId="0" fontId="25" fillId="31" borderId="10" xfId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29" fillId="0" borderId="1" xfId="0" applyFont="1" applyFill="1" applyBorder="1" applyAlignment="1">
      <alignment horizontal="center" vertical="center"/>
    </xf>
    <xf numFmtId="0" fontId="43" fillId="0" borderId="1" xfId="0" applyFont="1" applyFill="1" applyBorder="1"/>
    <xf numFmtId="0" fontId="48" fillId="0" borderId="0" xfId="0" applyFont="1" applyBorder="1" applyAlignment="1" applyProtection="1">
      <alignment horizontal="center" vertical="center" wrapText="1"/>
      <protection locked="0"/>
    </xf>
    <xf numFmtId="0" fontId="56" fillId="0" borderId="13" xfId="0" applyFont="1" applyFill="1" applyBorder="1" applyAlignment="1">
      <alignment vertical="center" wrapText="1"/>
    </xf>
    <xf numFmtId="0" fontId="0" fillId="0" borderId="8" xfId="0" applyNumberFormat="1" applyFill="1" applyBorder="1"/>
    <xf numFmtId="0" fontId="0" fillId="0" borderId="43" xfId="0" applyNumberFormat="1" applyFill="1" applyBorder="1"/>
    <xf numFmtId="0" fontId="0" fillId="0" borderId="10" xfId="0" applyNumberFormat="1" applyFill="1" applyBorder="1"/>
    <xf numFmtId="0" fontId="0" fillId="0" borderId="13" xfId="0" applyNumberFormat="1" applyFill="1" applyBorder="1"/>
    <xf numFmtId="0" fontId="0" fillId="0" borderId="0" xfId="0" applyNumberFormat="1" applyFill="1" applyBorder="1"/>
    <xf numFmtId="0" fontId="0" fillId="0" borderId="14" xfId="0" applyNumberFormat="1" applyFill="1" applyBorder="1"/>
    <xf numFmtId="0" fontId="0" fillId="56" borderId="1" xfId="0" applyFont="1" applyFill="1" applyBorder="1" applyAlignment="1">
      <alignment horizontal="center" vertical="center" wrapText="1"/>
    </xf>
    <xf numFmtId="0" fontId="58" fillId="0" borderId="1" xfId="0" applyNumberFormat="1" applyFont="1" applyFill="1" applyBorder="1" applyAlignment="1">
      <alignment horizontal="center" vertical="center" wrapText="1"/>
    </xf>
    <xf numFmtId="14" fontId="59" fillId="0" borderId="1" xfId="0" applyNumberFormat="1" applyFont="1" applyFill="1" applyBorder="1" applyAlignment="1">
      <alignment horizontal="center" vertical="center" wrapText="1"/>
    </xf>
    <xf numFmtId="14" fontId="59" fillId="57" borderId="1" xfId="0" applyNumberFormat="1" applyFont="1" applyFill="1" applyBorder="1" applyAlignment="1">
      <alignment horizontal="center" vertical="center" wrapText="1"/>
    </xf>
    <xf numFmtId="0" fontId="58" fillId="0" borderId="1" xfId="0" applyNumberFormat="1" applyFont="1" applyFill="1" applyBorder="1" applyAlignment="1">
      <alignment vertical="center" wrapText="1"/>
    </xf>
    <xf numFmtId="49" fontId="58" fillId="0" borderId="1" xfId="0" applyNumberFormat="1" applyFont="1" applyFill="1" applyBorder="1" applyAlignment="1">
      <alignment horizontal="center" vertical="center" wrapText="1"/>
    </xf>
    <xf numFmtId="0" fontId="0" fillId="0" borderId="46" xfId="0" applyNumberFormat="1" applyFill="1" applyBorder="1"/>
    <xf numFmtId="0" fontId="0" fillId="0" borderId="47" xfId="0" applyNumberFormat="1" applyFill="1" applyBorder="1"/>
    <xf numFmtId="0" fontId="0" fillId="0" borderId="48" xfId="0" applyNumberFormat="1" applyFill="1" applyBorder="1"/>
    <xf numFmtId="0" fontId="1" fillId="0" borderId="0" xfId="0" applyFont="1" applyBorder="1" applyAlignment="1" applyProtection="1">
      <alignment vertical="center" textRotation="90" wrapText="1"/>
      <protection locked="0"/>
    </xf>
    <xf numFmtId="0" fontId="1" fillId="0" borderId="0" xfId="0" applyFont="1" applyBorder="1" applyAlignment="1" applyProtection="1">
      <alignment vertical="center" wrapText="1"/>
      <protection locked="0"/>
    </xf>
    <xf numFmtId="0" fontId="49" fillId="0" borderId="85" xfId="0" applyFont="1" applyFill="1" applyBorder="1" applyAlignment="1" applyProtection="1">
      <alignment vertical="center" wrapText="1"/>
      <protection locked="0"/>
    </xf>
    <xf numFmtId="0" fontId="49" fillId="0" borderId="86" xfId="0" applyFont="1" applyFill="1" applyBorder="1" applyAlignment="1" applyProtection="1">
      <alignment vertical="center" wrapText="1"/>
      <protection locked="0"/>
    </xf>
    <xf numFmtId="0" fontId="49" fillId="0" borderId="90" xfId="0" applyFont="1" applyFill="1" applyBorder="1" applyAlignment="1" applyProtection="1">
      <alignment vertical="center" wrapText="1"/>
      <protection locked="0"/>
    </xf>
    <xf numFmtId="0" fontId="49" fillId="25" borderId="89" xfId="0" applyFont="1" applyFill="1" applyBorder="1" applyAlignment="1" applyProtection="1">
      <alignment horizontal="center" vertical="center" wrapText="1"/>
      <protection locked="0"/>
    </xf>
    <xf numFmtId="0" fontId="49" fillId="0" borderId="91" xfId="0" applyFont="1" applyFill="1" applyBorder="1" applyAlignment="1" applyProtection="1">
      <alignment vertical="center" wrapText="1"/>
      <protection locked="0"/>
    </xf>
    <xf numFmtId="0" fontId="49" fillId="0" borderId="89" xfId="0" applyFont="1" applyFill="1" applyBorder="1" applyAlignment="1" applyProtection="1">
      <alignment vertical="center" wrapText="1"/>
      <protection locked="0"/>
    </xf>
    <xf numFmtId="0" fontId="49" fillId="0" borderId="89" xfId="0" applyFont="1" applyFill="1" applyBorder="1" applyAlignment="1" applyProtection="1">
      <alignment horizontal="center" vertical="center" wrapText="1"/>
      <protection locked="0"/>
    </xf>
    <xf numFmtId="0" fontId="48" fillId="0" borderId="89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ont="1" applyBorder="1" applyAlignment="1" applyProtection="1">
      <alignment vertical="center" wrapText="1"/>
      <protection locked="0"/>
    </xf>
    <xf numFmtId="0" fontId="51" fillId="42" borderId="45" xfId="0" applyFont="1" applyFill="1" applyBorder="1" applyAlignment="1">
      <alignment vertical="center" wrapText="1"/>
    </xf>
    <xf numFmtId="0" fontId="51" fillId="51" borderId="11" xfId="0" applyFont="1" applyFill="1" applyBorder="1" applyAlignment="1">
      <alignment vertical="center" wrapText="1"/>
    </xf>
    <xf numFmtId="0" fontId="51" fillId="52" borderId="11" xfId="0" applyFont="1" applyFill="1" applyBorder="1" applyAlignment="1">
      <alignment vertical="center" wrapText="1"/>
    </xf>
    <xf numFmtId="0" fontId="51" fillId="50" borderId="11" xfId="0" applyFont="1" applyFill="1" applyBorder="1" applyAlignment="1">
      <alignment vertical="center" wrapText="1"/>
    </xf>
    <xf numFmtId="0" fontId="51" fillId="53" borderId="11" xfId="0" applyFont="1" applyFill="1" applyBorder="1" applyAlignment="1">
      <alignment vertical="center" wrapText="1"/>
    </xf>
    <xf numFmtId="0" fontId="41" fillId="0" borderId="2" xfId="0" applyFont="1" applyFill="1" applyBorder="1" applyAlignment="1" applyProtection="1">
      <alignment horizontal="center" vertical="center" wrapText="1"/>
      <protection locked="0"/>
    </xf>
    <xf numFmtId="14" fontId="1" fillId="0" borderId="16" xfId="0" applyNumberFormat="1" applyFont="1" applyFill="1" applyBorder="1" applyAlignment="1" applyProtection="1">
      <alignment horizontal="center" vertical="center" wrapText="1"/>
      <protection locked="0"/>
    </xf>
    <xf numFmtId="14" fontId="1" fillId="0" borderId="19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7" xfId="0" applyFont="1" applyFill="1" applyBorder="1" applyAlignment="1" applyProtection="1">
      <alignment horizontal="left" vertical="center" wrapText="1"/>
      <protection locked="0"/>
    </xf>
    <xf numFmtId="14" fontId="1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50" xfId="0" applyFont="1" applyFill="1" applyBorder="1" applyAlignment="1" applyProtection="1">
      <alignment horizontal="center" vertical="center" wrapText="1"/>
      <protection locked="0"/>
    </xf>
    <xf numFmtId="0" fontId="1" fillId="0" borderId="17" xfId="0" applyFont="1" applyFill="1" applyBorder="1" applyAlignment="1" applyProtection="1">
      <alignment horizontal="center" vertical="center" wrapText="1"/>
      <protection locked="0"/>
    </xf>
    <xf numFmtId="14" fontId="1" fillId="0" borderId="16" xfId="0" applyNumberFormat="1" applyFont="1" applyFill="1" applyBorder="1" applyAlignment="1" applyProtection="1">
      <alignment horizontal="left" vertical="center" wrapText="1"/>
      <protection locked="0"/>
    </xf>
    <xf numFmtId="14" fontId="1" fillId="0" borderId="19" xfId="0" applyNumberFormat="1" applyFont="1" applyFill="1" applyBorder="1" applyAlignment="1" applyProtection="1">
      <alignment horizontal="left" vertical="center" wrapText="1"/>
      <protection locked="0"/>
    </xf>
    <xf numFmtId="14" fontId="1" fillId="0" borderId="22" xfId="0" applyNumberFormat="1" applyFont="1" applyFill="1" applyBorder="1" applyAlignment="1" applyProtection="1">
      <alignment horizontal="center" vertical="center" wrapText="1"/>
      <protection locked="0"/>
    </xf>
    <xf numFmtId="14" fontId="1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23" xfId="0" applyFont="1" applyFill="1" applyBorder="1" applyAlignment="1" applyProtection="1">
      <alignment horizontal="left" vertical="center" wrapText="1"/>
      <protection locked="0"/>
    </xf>
    <xf numFmtId="14" fontId="1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3" xfId="0" applyFont="1" applyFill="1" applyBorder="1" applyAlignment="1" applyProtection="1">
      <alignment horizontal="center" vertical="center" wrapText="1"/>
      <protection locked="0"/>
    </xf>
    <xf numFmtId="0" fontId="1" fillId="0" borderId="23" xfId="0" applyFont="1" applyFill="1" applyBorder="1" applyAlignment="1" applyProtection="1">
      <alignment horizontal="center" vertical="center" wrapText="1"/>
      <protection locked="0"/>
    </xf>
    <xf numFmtId="14" fontId="1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1" fillId="0" borderId="1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Border="1" applyAlignment="1" applyProtection="1">
      <alignment vertical="center" textRotation="255" wrapText="1"/>
      <protection locked="0"/>
    </xf>
    <xf numFmtId="0" fontId="41" fillId="0" borderId="4" xfId="0" applyFont="1" applyFill="1" applyBorder="1" applyAlignment="1" applyProtection="1">
      <alignment horizontal="center" vertical="center" wrapText="1"/>
      <protection locked="0"/>
    </xf>
    <xf numFmtId="14" fontId="1" fillId="0" borderId="76" xfId="0" applyNumberFormat="1" applyFont="1" applyFill="1" applyBorder="1" applyAlignment="1" applyProtection="1">
      <alignment horizontal="center" vertical="center" wrapText="1"/>
      <protection locked="0"/>
    </xf>
    <xf numFmtId="14" fontId="1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24" xfId="0" applyFont="1" applyFill="1" applyBorder="1" applyAlignment="1" applyProtection="1">
      <alignment horizontal="left" vertical="center" wrapText="1"/>
      <protection locked="0"/>
    </xf>
    <xf numFmtId="14" fontId="1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73" xfId="0" applyFont="1" applyFill="1" applyBorder="1" applyAlignment="1" applyProtection="1">
      <alignment horizontal="center" vertical="center" wrapText="1"/>
      <protection locked="0"/>
    </xf>
    <xf numFmtId="0" fontId="1" fillId="0" borderId="24" xfId="0" applyFont="1" applyFill="1" applyBorder="1" applyAlignment="1" applyProtection="1">
      <alignment horizontal="center" vertical="center" wrapText="1"/>
      <protection locked="0"/>
    </xf>
    <xf numFmtId="14" fontId="1" fillId="0" borderId="76" xfId="0" applyNumberFormat="1" applyFont="1" applyFill="1" applyBorder="1" applyAlignment="1" applyProtection="1">
      <alignment horizontal="left" vertical="center" wrapText="1"/>
      <protection locked="0"/>
    </xf>
    <xf numFmtId="14" fontId="1" fillId="0" borderId="5" xfId="0" applyNumberFormat="1" applyFont="1" applyFill="1" applyBorder="1" applyAlignment="1" applyProtection="1">
      <alignment horizontal="left" vertical="center" wrapText="1"/>
      <protection locked="0"/>
    </xf>
    <xf numFmtId="0" fontId="1" fillId="58" borderId="0" xfId="0" applyFont="1" applyFill="1" applyBorder="1" applyAlignment="1" applyProtection="1">
      <alignment vertical="center" textRotation="90" wrapText="1"/>
      <protection locked="0"/>
    </xf>
    <xf numFmtId="0" fontId="0" fillId="50" borderId="97" xfId="0" applyFill="1" applyBorder="1" applyAlignment="1" applyProtection="1">
      <alignment horizontal="center" vertical="center" wrapText="1"/>
      <protection locked="0"/>
    </xf>
    <xf numFmtId="0" fontId="0" fillId="50" borderId="97" xfId="0" applyFill="1" applyBorder="1" applyAlignment="1" applyProtection="1">
      <alignment horizontal="center" vertical="center" textRotation="90" wrapText="1"/>
      <protection locked="0"/>
    </xf>
    <xf numFmtId="0" fontId="0" fillId="50" borderId="101" xfId="0" applyFill="1" applyBorder="1" applyAlignment="1" applyProtection="1">
      <alignment horizontal="center" vertical="center" wrapText="1"/>
      <protection locked="0"/>
    </xf>
    <xf numFmtId="0" fontId="51" fillId="28" borderId="6" xfId="0" applyFont="1" applyFill="1" applyBorder="1" applyAlignment="1" applyProtection="1">
      <alignment horizontal="center" vertical="center" textRotation="90" wrapText="1"/>
      <protection locked="0"/>
    </xf>
    <xf numFmtId="0" fontId="0" fillId="28" borderId="97" xfId="0" applyFill="1" applyBorder="1" applyAlignment="1" applyProtection="1">
      <alignment horizontal="center" vertical="center" wrapText="1"/>
      <protection locked="0"/>
    </xf>
    <xf numFmtId="0" fontId="0" fillId="28" borderId="97" xfId="0" applyFill="1" applyBorder="1" applyAlignment="1" applyProtection="1">
      <alignment horizontal="center" vertical="center" textRotation="90" wrapText="1"/>
      <protection locked="0"/>
    </xf>
    <xf numFmtId="0" fontId="0" fillId="28" borderId="101" xfId="0" applyFill="1" applyBorder="1" applyAlignment="1" applyProtection="1">
      <alignment horizontal="center" vertical="center" wrapText="1"/>
      <protection locked="0"/>
    </xf>
    <xf numFmtId="0" fontId="51" fillId="39" borderId="6" xfId="0" applyFont="1" applyFill="1" applyBorder="1" applyAlignment="1" applyProtection="1">
      <alignment horizontal="center" vertical="center" textRotation="90" wrapText="1"/>
      <protection locked="0"/>
    </xf>
    <xf numFmtId="0" fontId="0" fillId="39" borderId="97" xfId="0" applyFill="1" applyBorder="1" applyAlignment="1" applyProtection="1">
      <alignment horizontal="center" vertical="center" wrapText="1"/>
      <protection locked="0"/>
    </xf>
    <xf numFmtId="0" fontId="0" fillId="39" borderId="97" xfId="0" applyFill="1" applyBorder="1" applyAlignment="1" applyProtection="1">
      <alignment horizontal="center" vertical="center" textRotation="90" wrapText="1"/>
      <protection locked="0"/>
    </xf>
    <xf numFmtId="0" fontId="0" fillId="39" borderId="101" xfId="0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wrapText="1"/>
    </xf>
    <xf numFmtId="0" fontId="27" fillId="25" borderId="0" xfId="0" applyFont="1" applyFill="1" applyBorder="1" applyAlignment="1">
      <alignment vertical="center" textRotation="90" wrapText="1"/>
    </xf>
    <xf numFmtId="0" fontId="23" fillId="35" borderId="1" xfId="1" applyFont="1" applyFill="1" applyBorder="1" applyAlignment="1">
      <alignment horizontal="center" vertical="center" wrapText="1"/>
    </xf>
    <xf numFmtId="0" fontId="29" fillId="39" borderId="1" xfId="0" applyFont="1" applyFill="1" applyBorder="1" applyAlignment="1">
      <alignment horizontal="center" vertical="center"/>
    </xf>
    <xf numFmtId="0" fontId="43" fillId="39" borderId="1" xfId="0" applyFont="1" applyFill="1" applyBorder="1"/>
    <xf numFmtId="0" fontId="29" fillId="28" borderId="1" xfId="0" applyFont="1" applyFill="1" applyBorder="1" applyAlignment="1">
      <alignment horizontal="center" vertical="center"/>
    </xf>
    <xf numFmtId="0" fontId="43" fillId="28" borderId="1" xfId="0" applyFont="1" applyFill="1" applyBorder="1"/>
    <xf numFmtId="0" fontId="29" fillId="50" borderId="1" xfId="0" applyFont="1" applyFill="1" applyBorder="1" applyAlignment="1">
      <alignment horizontal="center" vertical="center"/>
    </xf>
    <xf numFmtId="0" fontId="43" fillId="50" borderId="1" xfId="0" applyFont="1" applyFill="1" applyBorder="1"/>
    <xf numFmtId="0" fontId="43" fillId="0" borderId="1" xfId="0" applyFont="1" applyFill="1" applyBorder="1" applyAlignment="1">
      <alignment horizontal="center"/>
    </xf>
    <xf numFmtId="0" fontId="2" fillId="0" borderId="0" xfId="0" applyFont="1" applyBorder="1" applyAlignment="1"/>
    <xf numFmtId="0" fontId="2" fillId="0" borderId="0" xfId="0" applyFont="1" applyBorder="1" applyAlignment="1">
      <alignment horizontal="right"/>
    </xf>
    <xf numFmtId="0" fontId="2" fillId="0" borderId="8" xfId="0" applyFont="1" applyBorder="1" applyAlignment="1"/>
    <xf numFmtId="0" fontId="2" fillId="0" borderId="43" xfId="0" applyFont="1" applyBorder="1" applyAlignment="1">
      <alignment horizontal="center" vertical="center"/>
    </xf>
    <xf numFmtId="0" fontId="2" fillId="0" borderId="82" xfId="0" applyFont="1" applyBorder="1" applyAlignment="1"/>
    <xf numFmtId="0" fontId="2" fillId="0" borderId="43" xfId="0" applyFont="1" applyFill="1" applyBorder="1" applyAlignment="1"/>
    <xf numFmtId="49" fontId="2" fillId="0" borderId="43" xfId="0" applyNumberFormat="1" applyFont="1" applyFill="1" applyBorder="1" applyAlignment="1">
      <alignment horizontal="left"/>
    </xf>
    <xf numFmtId="0" fontId="2" fillId="0" borderId="43" xfId="0" applyFont="1" applyBorder="1" applyAlignment="1"/>
    <xf numFmtId="0" fontId="2" fillId="0" borderId="10" xfId="0" applyFont="1" applyBorder="1" applyAlignment="1"/>
    <xf numFmtId="0" fontId="2" fillId="0" borderId="13" xfId="0" applyFont="1" applyBorder="1" applyAlignment="1"/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/>
    <xf numFmtId="49" fontId="2" fillId="0" borderId="102" xfId="0" applyNumberFormat="1" applyFont="1" applyBorder="1" applyAlignment="1">
      <alignment horizontal="left"/>
    </xf>
    <xf numFmtId="0" fontId="2" fillId="0" borderId="102" xfId="0" applyFont="1" applyBorder="1" applyAlignment="1"/>
    <xf numFmtId="0" fontId="2" fillId="0" borderId="14" xfId="0" applyFont="1" applyBorder="1" applyAlignment="1"/>
    <xf numFmtId="0" fontId="2" fillId="0" borderId="29" xfId="0" applyFont="1" applyBorder="1" applyAlignment="1"/>
    <xf numFmtId="0" fontId="2" fillId="0" borderId="7" xfId="0" applyFont="1" applyBorder="1" applyAlignment="1">
      <alignment horizontal="right"/>
    </xf>
    <xf numFmtId="0" fontId="2" fillId="0" borderId="75" xfId="0" applyFont="1" applyBorder="1" applyAlignment="1"/>
    <xf numFmtId="0" fontId="62" fillId="0" borderId="107" xfId="0" applyFont="1" applyBorder="1" applyAlignment="1"/>
    <xf numFmtId="0" fontId="2" fillId="0" borderId="7" xfId="0" applyFont="1" applyBorder="1" applyAlignment="1"/>
    <xf numFmtId="49" fontId="2" fillId="0" borderId="7" xfId="0" applyNumberFormat="1" applyFont="1" applyBorder="1" applyAlignment="1">
      <alignment horizontal="right"/>
    </xf>
    <xf numFmtId="0" fontId="2" fillId="0" borderId="112" xfId="0" applyFont="1" applyBorder="1" applyAlignment="1">
      <alignment horizontal="right"/>
    </xf>
    <xf numFmtId="0" fontId="2" fillId="0" borderId="73" xfId="0" applyFont="1" applyBorder="1" applyAlignment="1"/>
    <xf numFmtId="49" fontId="2" fillId="0" borderId="102" xfId="0" applyNumberFormat="1" applyFont="1" applyBorder="1" applyAlignment="1">
      <alignment horizontal="right"/>
    </xf>
    <xf numFmtId="0" fontId="62" fillId="0" borderId="7" xfId="0" applyFont="1" applyBorder="1" applyAlignment="1"/>
    <xf numFmtId="0" fontId="2" fillId="0" borderId="112" xfId="0" applyFont="1" applyBorder="1" applyAlignment="1"/>
    <xf numFmtId="0" fontId="2" fillId="0" borderId="46" xfId="0" applyFont="1" applyBorder="1" applyAlignment="1"/>
    <xf numFmtId="0" fontId="2" fillId="0" borderId="47" xfId="0" applyFont="1" applyBorder="1" applyAlignment="1"/>
    <xf numFmtId="0" fontId="2" fillId="0" borderId="43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 applyAlignment="1"/>
    <xf numFmtId="0" fontId="64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4" fillId="0" borderId="0" xfId="0" applyFont="1" applyFill="1" applyBorder="1" applyAlignment="1"/>
    <xf numFmtId="0" fontId="64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centerContinuous"/>
    </xf>
    <xf numFmtId="0" fontId="2" fillId="0" borderId="0" xfId="0" applyFont="1" applyFill="1" applyBorder="1" applyAlignment="1">
      <alignment horizontal="left"/>
    </xf>
    <xf numFmtId="0" fontId="65" fillId="0" borderId="0" xfId="0" applyFont="1" applyFill="1" applyBorder="1" applyAlignment="1">
      <alignment horizontal="center"/>
    </xf>
    <xf numFmtId="0" fontId="66" fillId="0" borderId="0" xfId="0" applyFont="1" applyFill="1" applyBorder="1" applyAlignment="1">
      <alignment horizontal="left"/>
    </xf>
    <xf numFmtId="0" fontId="66" fillId="0" borderId="0" xfId="0" applyFont="1" applyFill="1" applyBorder="1" applyAlignment="1"/>
    <xf numFmtId="0" fontId="2" fillId="0" borderId="0" xfId="0" applyFont="1" applyFill="1" applyBorder="1" applyAlignment="1">
      <alignment horizontal="center" wrapText="1"/>
    </xf>
    <xf numFmtId="0" fontId="65" fillId="0" borderId="0" xfId="0" applyFont="1" applyFill="1" applyBorder="1" applyAlignment="1"/>
    <xf numFmtId="0" fontId="67" fillId="0" borderId="0" xfId="0" applyFont="1" applyFill="1" applyBorder="1" applyAlignment="1"/>
    <xf numFmtId="0" fontId="67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 vertical="top"/>
    </xf>
    <xf numFmtId="0" fontId="2" fillId="0" borderId="47" xfId="0" applyFont="1" applyFill="1" applyBorder="1" applyAlignment="1">
      <alignment horizontal="right"/>
    </xf>
    <xf numFmtId="0" fontId="2" fillId="0" borderId="47" xfId="0" applyFont="1" applyFill="1" applyBorder="1" applyAlignment="1">
      <alignment horizontal="center"/>
    </xf>
    <xf numFmtId="0" fontId="2" fillId="0" borderId="47" xfId="0" applyFont="1" applyFill="1" applyBorder="1" applyAlignment="1"/>
    <xf numFmtId="0" fontId="2" fillId="0" borderId="47" xfId="0" applyFont="1" applyFill="1" applyBorder="1" applyAlignment="1">
      <alignment horizontal="left" vertical="top"/>
    </xf>
    <xf numFmtId="0" fontId="2" fillId="0" borderId="48" xfId="0" applyFont="1" applyBorder="1" applyAlignment="1"/>
    <xf numFmtId="0" fontId="2" fillId="0" borderId="43" xfId="0" applyFont="1" applyFill="1" applyBorder="1" applyAlignment="1">
      <alignment horizontal="center"/>
    </xf>
    <xf numFmtId="0" fontId="2" fillId="0" borderId="43" xfId="0" applyFont="1" applyFill="1" applyBorder="1" applyAlignment="1">
      <alignment horizontal="left" vertical="top" wrapText="1"/>
    </xf>
    <xf numFmtId="0" fontId="64" fillId="0" borderId="43" xfId="0" applyFont="1" applyFill="1" applyBorder="1" applyAlignment="1">
      <alignment horizontal="center"/>
    </xf>
    <xf numFmtId="0" fontId="2" fillId="0" borderId="43" xfId="0" applyFont="1" applyFill="1" applyBorder="1" applyAlignment="1">
      <alignment horizontal="left" vertical="top"/>
    </xf>
    <xf numFmtId="0" fontId="68" fillId="0" borderId="0" xfId="0" applyFont="1" applyFill="1" applyBorder="1" applyAlignment="1"/>
    <xf numFmtId="0" fontId="47" fillId="26" borderId="9" xfId="0" applyFont="1" applyFill="1" applyBorder="1" applyAlignment="1">
      <alignment horizontal="center" vertical="center" wrapText="1"/>
    </xf>
    <xf numFmtId="0" fontId="47" fillId="26" borderId="12" xfId="0" applyFont="1" applyFill="1" applyBorder="1" applyAlignment="1">
      <alignment horizontal="center" vertical="center" wrapText="1"/>
    </xf>
    <xf numFmtId="0" fontId="23" fillId="32" borderId="15" xfId="1" applyFont="1" applyFill="1" applyBorder="1" applyAlignment="1">
      <alignment horizontal="center" vertical="center" wrapText="1"/>
    </xf>
    <xf numFmtId="0" fontId="23" fillId="32" borderId="18" xfId="1" applyFont="1" applyFill="1" applyBorder="1" applyAlignment="1">
      <alignment horizontal="center" vertical="center" wrapText="1"/>
    </xf>
    <xf numFmtId="0" fontId="23" fillId="27" borderId="21" xfId="1" applyFont="1" applyFill="1" applyBorder="1" applyAlignment="1">
      <alignment horizontal="center" vertical="center" wrapText="1"/>
    </xf>
    <xf numFmtId="0" fontId="23" fillId="27" borderId="51" xfId="1" applyFont="1" applyFill="1" applyBorder="1" applyAlignment="1">
      <alignment horizontal="center" vertical="center" wrapText="1"/>
    </xf>
    <xf numFmtId="0" fontId="23" fillId="27" borderId="2" xfId="1" applyFont="1" applyFill="1" applyBorder="1" applyAlignment="1">
      <alignment horizontal="center" vertical="center" wrapText="1"/>
    </xf>
    <xf numFmtId="0" fontId="23" fillId="29" borderId="21" xfId="1" applyFont="1" applyFill="1" applyBorder="1" applyAlignment="1">
      <alignment horizontal="center" vertical="center" wrapText="1"/>
    </xf>
    <xf numFmtId="0" fontId="23" fillId="29" borderId="51" xfId="1" applyFont="1" applyFill="1" applyBorder="1" applyAlignment="1">
      <alignment horizontal="center" vertical="center" wrapText="1"/>
    </xf>
    <xf numFmtId="0" fontId="23" fillId="29" borderId="2" xfId="1" applyFont="1" applyFill="1" applyBorder="1" applyAlignment="1">
      <alignment horizontal="center" vertical="center" wrapText="1"/>
    </xf>
    <xf numFmtId="0" fontId="23" fillId="28" borderId="21" xfId="1" applyFont="1" applyFill="1" applyBorder="1" applyAlignment="1">
      <alignment horizontal="center" vertical="center" wrapText="1"/>
    </xf>
    <xf numFmtId="0" fontId="23" fillId="28" borderId="51" xfId="1" applyFont="1" applyFill="1" applyBorder="1" applyAlignment="1">
      <alignment horizontal="center" vertical="center" wrapText="1"/>
    </xf>
    <xf numFmtId="0" fontId="23" fillId="28" borderId="2" xfId="1" applyFont="1" applyFill="1" applyBorder="1" applyAlignment="1">
      <alignment horizontal="center" vertical="center" wrapText="1"/>
    </xf>
    <xf numFmtId="0" fontId="23" fillId="26" borderId="21" xfId="1" applyFont="1" applyFill="1" applyBorder="1" applyAlignment="1">
      <alignment horizontal="center" vertical="center" wrapText="1"/>
    </xf>
    <xf numFmtId="0" fontId="23" fillId="26" borderId="51" xfId="1" applyFont="1" applyFill="1" applyBorder="1" applyAlignment="1">
      <alignment horizontal="center" vertical="center" wrapText="1"/>
    </xf>
    <xf numFmtId="0" fontId="23" fillId="26" borderId="2" xfId="1" applyFont="1" applyFill="1" applyBorder="1" applyAlignment="1">
      <alignment horizontal="center" vertical="center" wrapText="1"/>
    </xf>
    <xf numFmtId="0" fontId="41" fillId="39" borderId="0" xfId="0" applyFont="1" applyFill="1" applyBorder="1" applyAlignment="1" applyProtection="1">
      <alignment horizontal="center" vertical="center" textRotation="90" wrapText="1"/>
      <protection locked="0"/>
    </xf>
    <xf numFmtId="14" fontId="1" fillId="5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50" borderId="24" xfId="0" applyFont="1" applyFill="1" applyBorder="1" applyAlignment="1" applyProtection="1">
      <alignment horizontal="left" vertical="center" wrapText="1"/>
      <protection locked="0"/>
    </xf>
    <xf numFmtId="14" fontId="1" fillId="50" borderId="4" xfId="0" applyNumberFormat="1" applyFont="1" applyFill="1" applyBorder="1" applyAlignment="1" applyProtection="1">
      <alignment horizontal="center" vertical="center" wrapText="1"/>
      <protection locked="0"/>
    </xf>
    <xf numFmtId="14" fontId="1" fillId="50" borderId="5" xfId="0" applyNumberFormat="1" applyFont="1" applyFill="1" applyBorder="1" applyAlignment="1" applyProtection="1">
      <alignment horizontal="center" vertical="center" wrapText="1"/>
      <protection locked="0"/>
    </xf>
    <xf numFmtId="0" fontId="1" fillId="50" borderId="73" xfId="0" applyFont="1" applyFill="1" applyBorder="1" applyAlignment="1" applyProtection="1">
      <alignment horizontal="center" vertical="center" wrapText="1"/>
      <protection locked="0"/>
    </xf>
    <xf numFmtId="14" fontId="1" fillId="50" borderId="76" xfId="0" applyNumberFormat="1" applyFont="1" applyFill="1" applyBorder="1" applyAlignment="1" applyProtection="1">
      <alignment horizontal="center" vertical="center" wrapText="1"/>
      <protection locked="0"/>
    </xf>
    <xf numFmtId="0" fontId="1" fillId="50" borderId="24" xfId="0" applyFont="1" applyFill="1" applyBorder="1" applyAlignment="1" applyProtection="1">
      <alignment horizontal="center" vertical="center" wrapText="1"/>
      <protection locked="0"/>
    </xf>
    <xf numFmtId="14" fontId="1" fillId="50" borderId="76" xfId="0" applyNumberFormat="1" applyFont="1" applyFill="1" applyBorder="1" applyAlignment="1" applyProtection="1">
      <alignment horizontal="left" vertical="center" wrapText="1"/>
      <protection locked="0"/>
    </xf>
    <xf numFmtId="14" fontId="1" fillId="50" borderId="5" xfId="0" applyNumberFormat="1" applyFont="1" applyFill="1" applyBorder="1" applyAlignment="1" applyProtection="1">
      <alignment horizontal="left" vertical="center" wrapText="1"/>
      <protection locked="0"/>
    </xf>
    <xf numFmtId="14" fontId="1" fillId="28" borderId="76" xfId="0" applyNumberFormat="1" applyFont="1" applyFill="1" applyBorder="1" applyAlignment="1" applyProtection="1">
      <alignment horizontal="center" vertical="center" wrapText="1"/>
      <protection locked="0"/>
    </xf>
    <xf numFmtId="14" fontId="1" fillId="28" borderId="5" xfId="0" applyNumberFormat="1" applyFont="1" applyFill="1" applyBorder="1" applyAlignment="1" applyProtection="1">
      <alignment horizontal="center" vertical="center" wrapText="1"/>
      <protection locked="0"/>
    </xf>
    <xf numFmtId="0" fontId="1" fillId="28" borderId="23" xfId="0" applyFont="1" applyFill="1" applyBorder="1" applyAlignment="1" applyProtection="1">
      <alignment horizontal="left" vertical="center" wrapText="1"/>
      <protection locked="0"/>
    </xf>
    <xf numFmtId="14" fontId="1" fillId="28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28" borderId="73" xfId="0" applyFont="1" applyFill="1" applyBorder="1" applyAlignment="1" applyProtection="1">
      <alignment horizontal="center" vertical="center" wrapText="1"/>
      <protection locked="0"/>
    </xf>
    <xf numFmtId="0" fontId="1" fillId="28" borderId="24" xfId="0" applyFont="1" applyFill="1" applyBorder="1" applyAlignment="1" applyProtection="1">
      <alignment horizontal="center" vertical="center" wrapText="1"/>
      <protection locked="0"/>
    </xf>
    <xf numFmtId="14" fontId="1" fillId="28" borderId="76" xfId="0" applyNumberFormat="1" applyFont="1" applyFill="1" applyBorder="1" applyAlignment="1" applyProtection="1">
      <alignment horizontal="left" vertical="center" wrapText="1"/>
      <protection locked="0"/>
    </xf>
    <xf numFmtId="14" fontId="1" fillId="28" borderId="5" xfId="0" applyNumberFormat="1" applyFont="1" applyFill="1" applyBorder="1" applyAlignment="1" applyProtection="1">
      <alignment horizontal="left" vertical="center" wrapText="1"/>
      <protection locked="0"/>
    </xf>
    <xf numFmtId="0" fontId="1" fillId="28" borderId="24" xfId="0" applyFont="1" applyFill="1" applyBorder="1" applyAlignment="1" applyProtection="1">
      <alignment horizontal="left" vertical="center" wrapText="1"/>
      <protection locked="0"/>
    </xf>
    <xf numFmtId="14" fontId="1" fillId="39" borderId="22" xfId="0" applyNumberFormat="1" applyFont="1" applyFill="1" applyBorder="1" applyAlignment="1" applyProtection="1">
      <alignment horizontal="center" vertical="center" wrapText="1"/>
      <protection locked="0"/>
    </xf>
    <xf numFmtId="14" fontId="1" fillId="39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39" borderId="23" xfId="0" applyFont="1" applyFill="1" applyBorder="1" applyAlignment="1" applyProtection="1">
      <alignment horizontal="left" vertical="center" wrapText="1"/>
      <protection locked="0"/>
    </xf>
    <xf numFmtId="14" fontId="1" fillId="39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39" borderId="3" xfId="0" applyFont="1" applyFill="1" applyBorder="1" applyAlignment="1" applyProtection="1">
      <alignment horizontal="center" vertical="center" wrapText="1"/>
      <protection locked="0"/>
    </xf>
    <xf numFmtId="0" fontId="1" fillId="39" borderId="23" xfId="0" applyFont="1" applyFill="1" applyBorder="1" applyAlignment="1" applyProtection="1">
      <alignment horizontal="center" vertical="center" wrapText="1"/>
      <protection locked="0"/>
    </xf>
    <xf numFmtId="14" fontId="1" fillId="39" borderId="22" xfId="0" applyNumberFormat="1" applyFont="1" applyFill="1" applyBorder="1" applyAlignment="1" applyProtection="1">
      <alignment horizontal="left" vertical="center" wrapText="1"/>
      <protection locked="0"/>
    </xf>
    <xf numFmtId="14" fontId="1" fillId="39" borderId="1" xfId="0" applyNumberFormat="1" applyFont="1" applyFill="1" applyBorder="1" applyAlignment="1" applyProtection="1">
      <alignment horizontal="left" vertical="center" wrapText="1"/>
      <protection locked="0"/>
    </xf>
    <xf numFmtId="0" fontId="0" fillId="42" borderId="112" xfId="0" applyFill="1" applyBorder="1" applyAlignment="1" applyProtection="1">
      <alignment horizontal="center" vertical="center" textRotation="90" wrapText="1"/>
      <protection locked="0"/>
    </xf>
    <xf numFmtId="0" fontId="0" fillId="42" borderId="66" xfId="0" applyFill="1" applyBorder="1" applyAlignment="1" applyProtection="1">
      <alignment horizontal="center" vertical="center" textRotation="90" wrapText="1"/>
      <protection locked="0"/>
    </xf>
    <xf numFmtId="0" fontId="1" fillId="42" borderId="67" xfId="0" applyFont="1" applyFill="1" applyBorder="1" applyAlignment="1" applyProtection="1">
      <alignment horizontal="center" vertical="center" textRotation="90" wrapText="1"/>
      <protection locked="0"/>
    </xf>
    <xf numFmtId="0" fontId="48" fillId="0" borderId="88" xfId="0" applyFont="1" applyFill="1" applyBorder="1" applyAlignment="1" applyProtection="1">
      <alignment horizontal="center" vertical="center" textRotation="90" wrapText="1"/>
      <protection locked="0"/>
    </xf>
    <xf numFmtId="0" fontId="50" fillId="28" borderId="49" xfId="0" applyFont="1" applyFill="1" applyBorder="1" applyAlignment="1" applyProtection="1">
      <alignment vertical="center" wrapText="1"/>
      <protection locked="0"/>
    </xf>
    <xf numFmtId="0" fontId="0" fillId="42" borderId="115" xfId="0" applyFill="1" applyBorder="1" applyAlignment="1" applyProtection="1">
      <alignment horizontal="center" vertical="center" textRotation="90" wrapText="1"/>
      <protection locked="0"/>
    </xf>
    <xf numFmtId="14" fontId="1" fillId="50" borderId="2" xfId="0" applyNumberFormat="1" applyFont="1" applyFill="1" applyBorder="1" applyAlignment="1" applyProtection="1">
      <alignment horizontal="center" vertical="center" wrapText="1"/>
      <protection locked="0"/>
    </xf>
    <xf numFmtId="0" fontId="48" fillId="0" borderId="121" xfId="0" applyFont="1" applyFill="1" applyBorder="1" applyAlignment="1" applyProtection="1">
      <alignment horizontal="center" vertical="center" textRotation="90" wrapText="1"/>
      <protection locked="0"/>
    </xf>
    <xf numFmtId="0" fontId="37" fillId="58" borderId="122" xfId="0" applyFont="1" applyFill="1" applyBorder="1" applyAlignment="1" applyProtection="1">
      <alignment vertical="center" wrapText="1"/>
      <protection locked="0"/>
    </xf>
    <xf numFmtId="0" fontId="0" fillId="0" borderId="122" xfId="0" applyFont="1" applyFill="1" applyBorder="1" applyAlignment="1" applyProtection="1">
      <alignment horizontal="center" vertical="center" wrapText="1"/>
      <protection locked="0"/>
    </xf>
    <xf numFmtId="0" fontId="41" fillId="39" borderId="121" xfId="0" applyFont="1" applyFill="1" applyBorder="1" applyAlignment="1" applyProtection="1">
      <alignment horizontal="center" vertical="center" textRotation="90" wrapText="1"/>
      <protection locked="0"/>
    </xf>
    <xf numFmtId="0" fontId="41" fillId="28" borderId="121" xfId="0" applyFont="1" applyFill="1" applyBorder="1" applyAlignment="1" applyProtection="1">
      <alignment horizontal="center" vertical="center" textRotation="90" wrapText="1"/>
      <protection locked="0"/>
    </xf>
    <xf numFmtId="0" fontId="41" fillId="50" borderId="121" xfId="0" applyFont="1" applyFill="1" applyBorder="1" applyAlignment="1" applyProtection="1">
      <alignment horizontal="center" vertical="center" textRotation="90" wrapText="1"/>
      <protection locked="0"/>
    </xf>
    <xf numFmtId="0" fontId="41" fillId="59" borderId="1" xfId="0" applyFont="1" applyFill="1" applyBorder="1" applyAlignment="1" applyProtection="1">
      <alignment horizontal="center" vertical="center" wrapText="1"/>
      <protection locked="0"/>
    </xf>
    <xf numFmtId="0" fontId="41" fillId="59" borderId="108" xfId="0" applyFont="1" applyFill="1" applyBorder="1" applyAlignment="1" applyProtection="1">
      <alignment horizontal="left" vertical="center" wrapText="1"/>
      <protection locked="0"/>
    </xf>
    <xf numFmtId="0" fontId="41" fillId="60" borderId="2" xfId="0" applyFont="1" applyFill="1" applyBorder="1" applyAlignment="1" applyProtection="1">
      <alignment horizontal="center" vertical="center" wrapText="1"/>
      <protection locked="0"/>
    </xf>
    <xf numFmtId="0" fontId="69" fillId="59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58" borderId="123" xfId="0" applyFill="1" applyBorder="1" applyAlignment="1" applyProtection="1">
      <alignment horizontal="center" vertical="center" textRotation="90" wrapText="1"/>
      <protection locked="0"/>
    </xf>
    <xf numFmtId="0" fontId="0" fillId="58" borderId="104" xfId="0" applyFill="1" applyBorder="1" applyAlignment="1" applyProtection="1">
      <alignment horizontal="center" vertical="center" wrapText="1"/>
      <protection locked="0"/>
    </xf>
    <xf numFmtId="0" fontId="0" fillId="58" borderId="104" xfId="0" applyFill="1" applyBorder="1" applyAlignment="1" applyProtection="1">
      <alignment horizontal="center" vertical="center" textRotation="90" wrapText="1"/>
      <protection locked="0"/>
    </xf>
    <xf numFmtId="0" fontId="0" fillId="58" borderId="103" xfId="0" applyFill="1" applyBorder="1" applyAlignment="1" applyProtection="1">
      <alignment horizontal="center" vertical="center" wrapText="1"/>
      <protection locked="0"/>
    </xf>
    <xf numFmtId="0" fontId="41" fillId="58" borderId="104" xfId="0" applyFont="1" applyFill="1" applyBorder="1" applyAlignment="1" applyProtection="1">
      <alignment horizontal="center" vertical="center" textRotation="90" wrapText="1"/>
      <protection locked="0"/>
    </xf>
    <xf numFmtId="0" fontId="41" fillId="58" borderId="103" xfId="0" applyFont="1" applyFill="1" applyBorder="1" applyAlignment="1" applyProtection="1">
      <alignment horizontal="center" vertical="center" textRotation="90" wrapText="1"/>
      <protection locked="0"/>
    </xf>
    <xf numFmtId="0" fontId="41" fillId="58" borderId="124" xfId="0" applyFont="1" applyFill="1" applyBorder="1" applyAlignment="1" applyProtection="1">
      <alignment horizontal="center" vertical="center" textRotation="90" wrapText="1"/>
      <protection locked="0"/>
    </xf>
    <xf numFmtId="0" fontId="46" fillId="0" borderId="0" xfId="0" applyFont="1" applyFill="1" applyBorder="1" applyAlignment="1">
      <alignment horizontal="left" vertical="center" wrapText="1"/>
    </xf>
    <xf numFmtId="0" fontId="29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"/>
    </xf>
    <xf numFmtId="0" fontId="29" fillId="0" borderId="99" xfId="0" applyFont="1" applyFill="1" applyBorder="1" applyAlignment="1">
      <alignment horizontal="center" vertical="center"/>
    </xf>
    <xf numFmtId="0" fontId="43" fillId="0" borderId="113" xfId="0" applyFont="1" applyFill="1" applyBorder="1" applyAlignment="1">
      <alignment horizontal="center" vertical="center"/>
    </xf>
    <xf numFmtId="0" fontId="43" fillId="0" borderId="1" xfId="0" applyFont="1" applyFill="1" applyBorder="1" applyAlignment="1">
      <alignment horizontal="center" vertical="center"/>
    </xf>
    <xf numFmtId="0" fontId="41" fillId="0" borderId="5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 wrapText="1"/>
    </xf>
    <xf numFmtId="0" fontId="70" fillId="0" borderId="0" xfId="0" applyFont="1" applyAlignment="1">
      <alignment vertical="center" wrapText="1"/>
    </xf>
    <xf numFmtId="0" fontId="0" fillId="61" borderId="97" xfId="0" applyFill="1" applyBorder="1" applyAlignment="1" applyProtection="1">
      <alignment horizontal="center" vertical="center" wrapText="1"/>
      <protection locked="0"/>
    </xf>
    <xf numFmtId="0" fontId="0" fillId="61" borderId="97" xfId="0" applyFill="1" applyBorder="1" applyAlignment="1" applyProtection="1">
      <alignment horizontal="center" vertical="center" textRotation="90" wrapText="1"/>
      <protection locked="0"/>
    </xf>
    <xf numFmtId="0" fontId="0" fillId="61" borderId="101" xfId="0" applyFill="1" applyBorder="1" applyAlignment="1" applyProtection="1">
      <alignment horizontal="center" vertical="center" wrapText="1"/>
      <protection locked="0"/>
    </xf>
    <xf numFmtId="0" fontId="41" fillId="61" borderId="121" xfId="0" applyFont="1" applyFill="1" applyBorder="1" applyAlignment="1" applyProtection="1">
      <alignment horizontal="center" vertical="center" textRotation="90" wrapText="1"/>
      <protection locked="0"/>
    </xf>
    <xf numFmtId="14" fontId="1" fillId="61" borderId="2" xfId="0" applyNumberFormat="1" applyFont="1" applyFill="1" applyBorder="1" applyAlignment="1" applyProtection="1">
      <alignment horizontal="center" vertical="center" wrapText="1"/>
      <protection locked="0"/>
    </xf>
    <xf numFmtId="14" fontId="1" fillId="61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61" borderId="23" xfId="0" applyFont="1" applyFill="1" applyBorder="1" applyAlignment="1" applyProtection="1">
      <alignment horizontal="left" vertical="center" wrapText="1"/>
      <protection locked="0"/>
    </xf>
    <xf numFmtId="0" fontId="1" fillId="61" borderId="3" xfId="0" applyFont="1" applyFill="1" applyBorder="1" applyAlignment="1" applyProtection="1">
      <alignment horizontal="center" vertical="center" wrapText="1"/>
      <protection locked="0"/>
    </xf>
    <xf numFmtId="14" fontId="1" fillId="61" borderId="22" xfId="0" applyNumberFormat="1" applyFont="1" applyFill="1" applyBorder="1" applyAlignment="1" applyProtection="1">
      <alignment horizontal="center" vertical="center" wrapText="1"/>
      <protection locked="0"/>
    </xf>
    <xf numFmtId="0" fontId="1" fillId="61" borderId="23" xfId="0" applyFont="1" applyFill="1" applyBorder="1" applyAlignment="1" applyProtection="1">
      <alignment horizontal="center" vertical="center" wrapText="1"/>
      <protection locked="0"/>
    </xf>
    <xf numFmtId="14" fontId="1" fillId="61" borderId="22" xfId="0" applyNumberFormat="1" applyFont="1" applyFill="1" applyBorder="1" applyAlignment="1" applyProtection="1">
      <alignment horizontal="left" vertical="center" wrapText="1"/>
      <protection locked="0"/>
    </xf>
    <xf numFmtId="14" fontId="1" fillId="61" borderId="1" xfId="0" applyNumberFormat="1" applyFont="1" applyFill="1" applyBorder="1" applyAlignment="1" applyProtection="1">
      <alignment horizontal="left" vertical="center" wrapText="1"/>
      <protection locked="0"/>
    </xf>
    <xf numFmtId="0" fontId="1" fillId="61" borderId="0" xfId="0" applyFont="1" applyFill="1" applyBorder="1" applyAlignment="1" applyProtection="1">
      <alignment vertical="center" wrapText="1"/>
      <protection locked="0"/>
    </xf>
    <xf numFmtId="0" fontId="1" fillId="60" borderId="0" xfId="0" applyFont="1" applyFill="1" applyBorder="1" applyAlignment="1" applyProtection="1">
      <alignment vertical="center" textRotation="90" wrapText="1"/>
      <protection locked="0"/>
    </xf>
    <xf numFmtId="0" fontId="41" fillId="60" borderId="121" xfId="0" applyFont="1" applyFill="1" applyBorder="1" applyAlignment="1" applyProtection="1">
      <alignment horizontal="center" vertical="center" textRotation="90" wrapText="1"/>
      <protection locked="0"/>
    </xf>
    <xf numFmtId="14" fontId="1" fillId="60" borderId="2" xfId="0" applyNumberFormat="1" applyFont="1" applyFill="1" applyBorder="1" applyAlignment="1" applyProtection="1">
      <alignment horizontal="center" vertical="center" wrapText="1"/>
      <protection locked="0"/>
    </xf>
    <xf numFmtId="14" fontId="1" fillId="6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60" borderId="23" xfId="0" applyFont="1" applyFill="1" applyBorder="1" applyAlignment="1" applyProtection="1">
      <alignment horizontal="left" vertical="center" wrapText="1"/>
      <protection locked="0"/>
    </xf>
    <xf numFmtId="0" fontId="1" fillId="60" borderId="3" xfId="0" applyFont="1" applyFill="1" applyBorder="1" applyAlignment="1" applyProtection="1">
      <alignment horizontal="center" vertical="center" wrapText="1"/>
      <protection locked="0"/>
    </xf>
    <xf numFmtId="14" fontId="1" fillId="60" borderId="22" xfId="0" applyNumberFormat="1" applyFont="1" applyFill="1" applyBorder="1" applyAlignment="1" applyProtection="1">
      <alignment horizontal="center" vertical="center" wrapText="1"/>
      <protection locked="0"/>
    </xf>
    <xf numFmtId="0" fontId="1" fillId="60" borderId="23" xfId="0" applyFont="1" applyFill="1" applyBorder="1" applyAlignment="1" applyProtection="1">
      <alignment horizontal="center" vertical="center" wrapText="1"/>
      <protection locked="0"/>
    </xf>
    <xf numFmtId="14" fontId="1" fillId="60" borderId="22" xfId="0" applyNumberFormat="1" applyFont="1" applyFill="1" applyBorder="1" applyAlignment="1" applyProtection="1">
      <alignment horizontal="left" vertical="center" wrapText="1"/>
      <protection locked="0"/>
    </xf>
    <xf numFmtId="14" fontId="1" fillId="60" borderId="1" xfId="0" applyNumberFormat="1" applyFont="1" applyFill="1" applyBorder="1" applyAlignment="1" applyProtection="1">
      <alignment horizontal="left" vertical="center" wrapText="1"/>
      <protection locked="0"/>
    </xf>
    <xf numFmtId="0" fontId="1" fillId="60" borderId="0" xfId="0" applyFont="1" applyFill="1" applyBorder="1" applyAlignment="1" applyProtection="1">
      <alignment vertical="center" wrapText="1"/>
      <protection locked="0"/>
    </xf>
    <xf numFmtId="0" fontId="0" fillId="62" borderId="97" xfId="0" applyFill="1" applyBorder="1" applyAlignment="1" applyProtection="1">
      <alignment horizontal="center" vertical="center" wrapText="1"/>
      <protection locked="0"/>
    </xf>
    <xf numFmtId="0" fontId="0" fillId="62" borderId="97" xfId="0" applyFill="1" applyBorder="1" applyAlignment="1" applyProtection="1">
      <alignment horizontal="center" vertical="center" textRotation="90" wrapText="1"/>
      <protection locked="0"/>
    </xf>
    <xf numFmtId="0" fontId="0" fillId="62" borderId="101" xfId="0" applyFill="1" applyBorder="1" applyAlignment="1" applyProtection="1">
      <alignment horizontal="center" vertical="center" wrapText="1"/>
      <protection locked="0"/>
    </xf>
    <xf numFmtId="0" fontId="41" fillId="62" borderId="121" xfId="0" applyFont="1" applyFill="1" applyBorder="1" applyAlignment="1" applyProtection="1">
      <alignment horizontal="center" vertical="center" textRotation="90" wrapText="1"/>
      <protection locked="0"/>
    </xf>
    <xf numFmtId="14" fontId="1" fillId="62" borderId="2" xfId="0" applyNumberFormat="1" applyFont="1" applyFill="1" applyBorder="1" applyAlignment="1" applyProtection="1">
      <alignment horizontal="center" vertical="center" wrapText="1"/>
      <protection locked="0"/>
    </xf>
    <xf numFmtId="14" fontId="1" fillId="62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62" borderId="23" xfId="0" applyFont="1" applyFill="1" applyBorder="1" applyAlignment="1" applyProtection="1">
      <alignment horizontal="left" vertical="center" wrapText="1"/>
      <protection locked="0"/>
    </xf>
    <xf numFmtId="0" fontId="1" fillId="62" borderId="3" xfId="0" applyFont="1" applyFill="1" applyBorder="1" applyAlignment="1" applyProtection="1">
      <alignment horizontal="center" vertical="center" wrapText="1"/>
      <protection locked="0"/>
    </xf>
    <xf numFmtId="14" fontId="1" fillId="62" borderId="22" xfId="0" applyNumberFormat="1" applyFont="1" applyFill="1" applyBorder="1" applyAlignment="1" applyProtection="1">
      <alignment horizontal="center" vertical="center" wrapText="1"/>
      <protection locked="0"/>
    </xf>
    <xf numFmtId="0" fontId="1" fillId="62" borderId="23" xfId="0" applyFont="1" applyFill="1" applyBorder="1" applyAlignment="1" applyProtection="1">
      <alignment horizontal="center" vertical="center" wrapText="1"/>
      <protection locked="0"/>
    </xf>
    <xf numFmtId="14" fontId="1" fillId="62" borderId="22" xfId="0" applyNumberFormat="1" applyFont="1" applyFill="1" applyBorder="1" applyAlignment="1" applyProtection="1">
      <alignment horizontal="left" vertical="center" wrapText="1"/>
      <protection locked="0"/>
    </xf>
    <xf numFmtId="14" fontId="1" fillId="62" borderId="1" xfId="0" applyNumberFormat="1" applyFont="1" applyFill="1" applyBorder="1" applyAlignment="1" applyProtection="1">
      <alignment horizontal="left" vertical="center" wrapText="1"/>
      <protection locked="0"/>
    </xf>
    <xf numFmtId="0" fontId="1" fillId="62" borderId="0" xfId="0" applyFont="1" applyFill="1" applyBorder="1" applyAlignment="1" applyProtection="1">
      <alignment vertical="center" wrapText="1"/>
      <protection locked="0"/>
    </xf>
    <xf numFmtId="0" fontId="29" fillId="63" borderId="1" xfId="0" applyFont="1" applyFill="1" applyBorder="1" applyAlignment="1">
      <alignment horizontal="center" vertical="center" wrapText="1"/>
    </xf>
    <xf numFmtId="0" fontId="23" fillId="63" borderId="1" xfId="0" applyFont="1" applyFill="1" applyBorder="1" applyAlignment="1">
      <alignment horizontal="center" vertical="center" wrapText="1"/>
    </xf>
    <xf numFmtId="0" fontId="28" fillId="63" borderId="1" xfId="0" applyFont="1" applyFill="1" applyBorder="1" applyAlignment="1">
      <alignment horizontal="center" vertical="center" wrapText="1"/>
    </xf>
    <xf numFmtId="0" fontId="29" fillId="63" borderId="1" xfId="0" applyFont="1" applyFill="1" applyBorder="1" applyAlignment="1">
      <alignment horizontal="left" vertical="center" wrapText="1"/>
    </xf>
    <xf numFmtId="0" fontId="28" fillId="63" borderId="1" xfId="0" applyFont="1" applyFill="1" applyBorder="1" applyAlignment="1">
      <alignment horizontal="left" vertical="center" wrapText="1"/>
    </xf>
    <xf numFmtId="0" fontId="0" fillId="63" borderId="1" xfId="0" applyFill="1" applyBorder="1" applyAlignment="1">
      <alignment wrapText="1"/>
    </xf>
    <xf numFmtId="0" fontId="41" fillId="35" borderId="2" xfId="0" applyFont="1" applyFill="1" applyBorder="1" applyAlignment="1" applyProtection="1">
      <alignment horizontal="center" vertical="center" wrapText="1"/>
      <protection locked="0"/>
    </xf>
    <xf numFmtId="0" fontId="41" fillId="35" borderId="1" xfId="0" applyFont="1" applyFill="1" applyBorder="1" applyAlignment="1" applyProtection="1">
      <alignment horizontal="center" vertical="center" wrapText="1"/>
      <protection locked="0"/>
    </xf>
    <xf numFmtId="0" fontId="41" fillId="35" borderId="100" xfId="0" applyFont="1" applyFill="1" applyBorder="1" applyAlignment="1" applyProtection="1">
      <alignment horizontal="left" vertical="center" wrapText="1"/>
      <protection locked="0"/>
    </xf>
    <xf numFmtId="0" fontId="0" fillId="35" borderId="104" xfId="0" applyFill="1" applyBorder="1" applyAlignment="1" applyProtection="1">
      <alignment horizontal="left" vertical="center" wrapText="1"/>
      <protection locked="0"/>
    </xf>
    <xf numFmtId="0" fontId="0" fillId="35" borderId="103" xfId="0" applyFill="1" applyBorder="1" applyAlignment="1" applyProtection="1">
      <alignment horizontal="left" vertical="center" wrapText="1"/>
      <protection locked="0"/>
    </xf>
    <xf numFmtId="0" fontId="0" fillId="35" borderId="103" xfId="0" applyFill="1" applyBorder="1" applyAlignment="1" applyProtection="1">
      <alignment horizontal="center" vertical="center" wrapText="1"/>
      <protection locked="0"/>
    </xf>
    <xf numFmtId="0" fontId="0" fillId="35" borderId="122" xfId="0" applyFont="1" applyFill="1" applyBorder="1" applyAlignment="1" applyProtection="1">
      <alignment horizontal="center" vertical="center" wrapText="1"/>
      <protection locked="0"/>
    </xf>
    <xf numFmtId="0" fontId="41" fillId="35" borderId="108" xfId="0" applyFont="1" applyFill="1" applyBorder="1" applyAlignment="1" applyProtection="1">
      <alignment horizontal="left" vertical="center" wrapText="1"/>
      <protection locked="0"/>
    </xf>
    <xf numFmtId="0" fontId="0" fillId="60" borderId="103" xfId="0" applyFill="1" applyBorder="1" applyAlignment="1" applyProtection="1">
      <alignment horizontal="center" vertical="center" wrapText="1"/>
      <protection locked="0"/>
    </xf>
    <xf numFmtId="0" fontId="47" fillId="26" borderId="9" xfId="0" applyFont="1" applyFill="1" applyBorder="1" applyAlignment="1">
      <alignment horizontal="center" vertical="center" wrapText="1"/>
    </xf>
    <xf numFmtId="0" fontId="47" fillId="26" borderId="12" xfId="0" applyFont="1" applyFill="1" applyBorder="1" applyAlignment="1">
      <alignment horizontal="center" vertical="center" wrapText="1"/>
    </xf>
    <xf numFmtId="0" fontId="23" fillId="32" borderId="15" xfId="1" applyFont="1" applyFill="1" applyBorder="1" applyAlignment="1">
      <alignment horizontal="center" vertical="center" wrapText="1"/>
    </xf>
    <xf numFmtId="0" fontId="23" fillId="32" borderId="18" xfId="1" applyFont="1" applyFill="1" applyBorder="1" applyAlignment="1">
      <alignment horizontal="center" vertical="center" wrapText="1"/>
    </xf>
    <xf numFmtId="0" fontId="23" fillId="27" borderId="21" xfId="1" applyFont="1" applyFill="1" applyBorder="1" applyAlignment="1">
      <alignment horizontal="center" vertical="center" wrapText="1"/>
    </xf>
    <xf numFmtId="0" fontId="23" fillId="27" borderId="51" xfId="1" applyFont="1" applyFill="1" applyBorder="1" applyAlignment="1">
      <alignment horizontal="center" vertical="center" wrapText="1"/>
    </xf>
    <xf numFmtId="0" fontId="23" fillId="27" borderId="2" xfId="1" applyFont="1" applyFill="1" applyBorder="1" applyAlignment="1">
      <alignment horizontal="center" vertical="center" wrapText="1"/>
    </xf>
    <xf numFmtId="0" fontId="23" fillId="29" borderId="21" xfId="1" applyFont="1" applyFill="1" applyBorder="1" applyAlignment="1">
      <alignment horizontal="center" vertical="center" wrapText="1"/>
    </xf>
    <xf numFmtId="0" fontId="23" fillId="29" borderId="51" xfId="1" applyFont="1" applyFill="1" applyBorder="1" applyAlignment="1">
      <alignment horizontal="center" vertical="center" wrapText="1"/>
    </xf>
    <xf numFmtId="0" fontId="23" fillId="29" borderId="2" xfId="1" applyFont="1" applyFill="1" applyBorder="1" applyAlignment="1">
      <alignment horizontal="center" vertical="center" wrapText="1"/>
    </xf>
    <xf numFmtId="0" fontId="23" fillId="28" borderId="21" xfId="1" applyFont="1" applyFill="1" applyBorder="1" applyAlignment="1">
      <alignment horizontal="center" vertical="center" wrapText="1"/>
    </xf>
    <xf numFmtId="0" fontId="23" fillId="28" borderId="51" xfId="1" applyFont="1" applyFill="1" applyBorder="1" applyAlignment="1">
      <alignment horizontal="center" vertical="center" wrapText="1"/>
    </xf>
    <xf numFmtId="0" fontId="23" fillId="28" borderId="2" xfId="1" applyFont="1" applyFill="1" applyBorder="1" applyAlignment="1">
      <alignment horizontal="center" vertical="center" wrapText="1"/>
    </xf>
    <xf numFmtId="0" fontId="23" fillId="26" borderId="21" xfId="1" applyFont="1" applyFill="1" applyBorder="1" applyAlignment="1">
      <alignment horizontal="center" vertical="center" wrapText="1"/>
    </xf>
    <xf numFmtId="0" fontId="23" fillId="26" borderId="51" xfId="1" applyFont="1" applyFill="1" applyBorder="1" applyAlignment="1">
      <alignment horizontal="center" vertical="center" wrapText="1"/>
    </xf>
    <xf numFmtId="0" fontId="23" fillId="26" borderId="2" xfId="1" applyFont="1" applyFill="1" applyBorder="1" applyAlignment="1">
      <alignment horizontal="center" vertical="center" wrapText="1"/>
    </xf>
    <xf numFmtId="0" fontId="59" fillId="0" borderId="1" xfId="0" applyNumberFormat="1" applyFont="1" applyFill="1" applyBorder="1" applyAlignment="1">
      <alignment horizontal="center" vertical="center" wrapText="1"/>
    </xf>
    <xf numFmtId="0" fontId="59" fillId="0" borderId="51" xfId="0" applyFont="1" applyFill="1" applyBorder="1" applyAlignment="1">
      <alignment vertical="center" wrapText="1"/>
    </xf>
    <xf numFmtId="0" fontId="59" fillId="2" borderId="51" xfId="0" applyFont="1" applyFill="1" applyBorder="1" applyAlignment="1">
      <alignment vertical="center" wrapText="1"/>
    </xf>
    <xf numFmtId="0" fontId="71" fillId="0" borderId="1" xfId="0" applyFont="1" applyBorder="1" applyAlignment="1">
      <alignment horizontal="center" wrapText="1"/>
    </xf>
    <xf numFmtId="0" fontId="51" fillId="60" borderId="1" xfId="0" applyFont="1" applyFill="1" applyBorder="1" applyAlignment="1" applyProtection="1">
      <alignment vertical="center" textRotation="90" wrapText="1"/>
      <protection locked="0"/>
    </xf>
    <xf numFmtId="0" fontId="69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60" borderId="103" xfId="0" applyFill="1" applyBorder="1" applyAlignment="1" applyProtection="1">
      <alignment horizontal="center" vertical="center" textRotation="90" wrapText="1"/>
      <protection locked="0"/>
    </xf>
    <xf numFmtId="0" fontId="0" fillId="60" borderId="1" xfId="0" applyFill="1" applyBorder="1" applyAlignment="1" applyProtection="1">
      <alignment horizontal="center" vertical="center" wrapText="1"/>
      <protection locked="0"/>
    </xf>
    <xf numFmtId="0" fontId="51" fillId="50" borderId="1" xfId="0" applyFont="1" applyFill="1" applyBorder="1" applyAlignment="1" applyProtection="1">
      <alignment horizontal="center" vertical="center" textRotation="90" wrapText="1"/>
      <protection locked="0"/>
    </xf>
    <xf numFmtId="0" fontId="1" fillId="62" borderId="1" xfId="0" applyFont="1" applyFill="1" applyBorder="1" applyAlignment="1" applyProtection="1">
      <alignment vertical="center" textRotation="90" wrapText="1"/>
      <protection locked="0"/>
    </xf>
    <xf numFmtId="0" fontId="1" fillId="61" borderId="1" xfId="0" applyFont="1" applyFill="1" applyBorder="1" applyAlignment="1" applyProtection="1">
      <alignment vertical="center" textRotation="90" wrapText="1"/>
      <protection locked="0"/>
    </xf>
    <xf numFmtId="0" fontId="41" fillId="60" borderId="1" xfId="0" applyFont="1" applyFill="1" applyBorder="1" applyAlignment="1" applyProtection="1">
      <alignment horizontal="center" vertical="center" wrapText="1"/>
      <protection locked="0"/>
    </xf>
    <xf numFmtId="0" fontId="41" fillId="59" borderId="2" xfId="0" applyFont="1" applyFill="1" applyBorder="1" applyAlignment="1" applyProtection="1">
      <alignment horizontal="center" vertical="center" wrapText="1"/>
      <protection locked="0"/>
    </xf>
    <xf numFmtId="0" fontId="46" fillId="35" borderId="1" xfId="0" applyFont="1" applyFill="1" applyBorder="1" applyAlignment="1">
      <alignment horizontal="left" vertical="center" wrapText="1"/>
    </xf>
    <xf numFmtId="0" fontId="29" fillId="35" borderId="1" xfId="0" applyFont="1" applyFill="1" applyBorder="1" applyAlignment="1">
      <alignment horizontal="center" vertical="center" wrapText="1"/>
    </xf>
    <xf numFmtId="0" fontId="23" fillId="35" borderId="1" xfId="0" applyFont="1" applyFill="1" applyBorder="1" applyAlignment="1">
      <alignment horizontal="center" vertical="center" wrapText="1"/>
    </xf>
    <xf numFmtId="0" fontId="29" fillId="61" borderId="1" xfId="0" applyFont="1" applyFill="1" applyBorder="1" applyAlignment="1">
      <alignment horizontal="center" vertical="center"/>
    </xf>
    <xf numFmtId="0" fontId="43" fillId="61" borderId="1" xfId="0" applyFont="1" applyFill="1" applyBorder="1"/>
    <xf numFmtId="0" fontId="43" fillId="35" borderId="1" xfId="0" applyFont="1" applyFill="1" applyBorder="1"/>
    <xf numFmtId="0" fontId="29" fillId="62" borderId="1" xfId="0" applyFont="1" applyFill="1" applyBorder="1" applyAlignment="1">
      <alignment horizontal="center" vertical="center"/>
    </xf>
    <xf numFmtId="0" fontId="43" fillId="62" borderId="1" xfId="0" applyFont="1" applyFill="1" applyBorder="1" applyAlignment="1">
      <alignment horizontal="center" vertical="center"/>
    </xf>
    <xf numFmtId="0" fontId="43" fillId="62" borderId="1" xfId="0" applyFont="1" applyFill="1" applyBorder="1"/>
    <xf numFmtId="0" fontId="28" fillId="50" borderId="1" xfId="0" applyFont="1" applyFill="1" applyBorder="1" applyAlignment="1">
      <alignment horizontal="center" vertical="center" wrapText="1"/>
    </xf>
    <xf numFmtId="0" fontId="28" fillId="28" borderId="1" xfId="0" applyFont="1" applyFill="1" applyBorder="1" applyAlignment="1">
      <alignment horizontal="center" vertical="center" wrapText="1"/>
    </xf>
    <xf numFmtId="0" fontId="28" fillId="39" borderId="1" xfId="0" applyFont="1" applyFill="1" applyBorder="1" applyAlignment="1">
      <alignment horizontal="center" vertical="center" wrapText="1"/>
    </xf>
    <xf numFmtId="0" fontId="28" fillId="61" borderId="1" xfId="0" applyFont="1" applyFill="1" applyBorder="1" applyAlignment="1">
      <alignment horizontal="center" vertical="center" wrapText="1"/>
    </xf>
    <xf numFmtId="0" fontId="28" fillId="62" borderId="1" xfId="0" applyFont="1" applyFill="1" applyBorder="1" applyAlignment="1">
      <alignment horizontal="center" vertical="center" wrapText="1"/>
    </xf>
    <xf numFmtId="0" fontId="29" fillId="60" borderId="1" xfId="0" applyFont="1" applyFill="1" applyBorder="1" applyAlignment="1">
      <alignment horizontal="center" vertical="center"/>
    </xf>
    <xf numFmtId="0" fontId="43" fillId="60" borderId="1" xfId="0" applyFont="1" applyFill="1" applyBorder="1" applyAlignment="1">
      <alignment horizontal="center" vertical="center"/>
    </xf>
    <xf numFmtId="0" fontId="43" fillId="60" borderId="1" xfId="0" applyFont="1" applyFill="1" applyBorder="1"/>
    <xf numFmtId="0" fontId="28" fillId="60" borderId="1" xfId="0" applyFont="1" applyFill="1" applyBorder="1" applyAlignment="1">
      <alignment horizontal="center" vertical="center" wrapText="1"/>
    </xf>
    <xf numFmtId="0" fontId="0" fillId="41" borderId="1" xfId="0" applyFill="1" applyBorder="1" applyAlignment="1">
      <alignment horizontal="center"/>
    </xf>
    <xf numFmtId="0" fontId="41" fillId="0" borderId="1" xfId="0" applyFont="1" applyBorder="1" applyAlignment="1">
      <alignment horizontal="center" vertical="center" wrapText="1"/>
    </xf>
    <xf numFmtId="0" fontId="41" fillId="40" borderId="1" xfId="0" applyFont="1" applyFill="1" applyBorder="1" applyAlignment="1">
      <alignment horizontal="center" vertical="center" wrapText="1"/>
    </xf>
    <xf numFmtId="0" fontId="41" fillId="39" borderId="1" xfId="0" applyFont="1" applyFill="1" applyBorder="1" applyAlignment="1">
      <alignment horizontal="center" vertical="center" wrapText="1"/>
    </xf>
    <xf numFmtId="0" fontId="43" fillId="39" borderId="1" xfId="0" applyFont="1" applyFill="1" applyBorder="1" applyAlignment="1">
      <alignment horizontal="center" vertical="center"/>
    </xf>
    <xf numFmtId="0" fontId="43" fillId="28" borderId="1" xfId="0" applyFont="1" applyFill="1" applyBorder="1" applyAlignment="1">
      <alignment horizontal="center" vertical="center"/>
    </xf>
    <xf numFmtId="0" fontId="28" fillId="35" borderId="1" xfId="0" applyFont="1" applyFill="1" applyBorder="1" applyAlignment="1">
      <alignment horizontal="center" vertical="center" wrapText="1"/>
    </xf>
    <xf numFmtId="0" fontId="29" fillId="35" borderId="1" xfId="0" applyFont="1" applyFill="1" applyBorder="1" applyAlignment="1">
      <alignment horizontal="center" vertical="center"/>
    </xf>
    <xf numFmtId="0" fontId="43" fillId="35" borderId="1" xfId="0" applyFont="1" applyFill="1" applyBorder="1" applyAlignment="1">
      <alignment horizontal="center" vertical="center"/>
    </xf>
    <xf numFmtId="0" fontId="43" fillId="50" borderId="1" xfId="0" applyFont="1" applyFill="1" applyBorder="1" applyAlignment="1">
      <alignment horizontal="center" vertical="center"/>
    </xf>
    <xf numFmtId="0" fontId="43" fillId="61" borderId="1" xfId="0" applyFont="1" applyFill="1" applyBorder="1" applyAlignment="1">
      <alignment horizontal="center" vertical="center"/>
    </xf>
    <xf numFmtId="0" fontId="41" fillId="59" borderId="73" xfId="0" applyFont="1" applyFill="1" applyBorder="1" applyAlignment="1" applyProtection="1">
      <alignment horizontal="center" vertical="center" wrapText="1"/>
      <protection locked="0"/>
    </xf>
    <xf numFmtId="0" fontId="0" fillId="0" borderId="97" xfId="0" applyFill="1" applyBorder="1" applyAlignment="1" applyProtection="1">
      <alignment horizontal="left" vertical="center" wrapText="1"/>
      <protection locked="0"/>
    </xf>
    <xf numFmtId="0" fontId="0" fillId="0" borderId="101" xfId="0" applyFill="1" applyBorder="1" applyAlignment="1" applyProtection="1">
      <alignment horizontal="left" vertical="center" wrapText="1"/>
      <protection locked="0"/>
    </xf>
    <xf numFmtId="0" fontId="0" fillId="0" borderId="101" xfId="0" applyFill="1" applyBorder="1" applyAlignment="1" applyProtection="1">
      <alignment horizontal="center" vertical="center" wrapText="1"/>
      <protection locked="0"/>
    </xf>
    <xf numFmtId="0" fontId="0" fillId="0" borderId="121" xfId="0" applyFont="1" applyFill="1" applyBorder="1" applyAlignment="1" applyProtection="1">
      <alignment horizontal="center" vertical="center" wrapText="1"/>
      <protection locked="0"/>
    </xf>
    <xf numFmtId="0" fontId="51" fillId="58" borderId="99" xfId="0" applyFont="1" applyFill="1" applyBorder="1" applyAlignment="1" applyProtection="1">
      <alignment horizontal="center" vertical="center" textRotation="90" wrapText="1"/>
      <protection locked="0"/>
    </xf>
    <xf numFmtId="0" fontId="51" fillId="39" borderId="6" xfId="0" applyFont="1" applyFill="1" applyBorder="1" applyAlignment="1" applyProtection="1">
      <alignment horizontal="center" vertical="center" textRotation="90" wrapText="1"/>
      <protection locked="0"/>
    </xf>
    <xf numFmtId="14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8" fillId="58" borderId="1" xfId="0" applyFont="1" applyFill="1" applyBorder="1" applyAlignment="1">
      <alignment horizontal="center" vertical="center" wrapText="1"/>
    </xf>
    <xf numFmtId="0" fontId="29" fillId="58" borderId="1" xfId="0" applyFont="1" applyFill="1" applyBorder="1" applyAlignment="1">
      <alignment horizontal="center" vertical="center"/>
    </xf>
    <xf numFmtId="0" fontId="43" fillId="58" borderId="1" xfId="0" applyFont="1" applyFill="1" applyBorder="1" applyAlignment="1">
      <alignment horizontal="center" vertical="center"/>
    </xf>
    <xf numFmtId="0" fontId="43" fillId="58" borderId="1" xfId="0" applyFont="1" applyFill="1" applyBorder="1"/>
    <xf numFmtId="0" fontId="69" fillId="35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35" borderId="110" xfId="0" applyFill="1" applyBorder="1" applyAlignment="1" applyProtection="1">
      <alignment horizontal="left" vertical="center" wrapText="1"/>
      <protection locked="0"/>
    </xf>
    <xf numFmtId="0" fontId="0" fillId="35" borderId="109" xfId="0" applyFill="1" applyBorder="1" applyAlignment="1" applyProtection="1">
      <alignment horizontal="left" vertical="center" wrapText="1"/>
      <protection locked="0"/>
    </xf>
    <xf numFmtId="0" fontId="0" fillId="35" borderId="109" xfId="0" applyFill="1" applyBorder="1" applyAlignment="1" applyProtection="1">
      <alignment horizontal="center" vertical="center" wrapText="1"/>
      <protection locked="0"/>
    </xf>
    <xf numFmtId="0" fontId="41" fillId="35" borderId="1" xfId="0" quotePrefix="1" applyFont="1" applyFill="1" applyBorder="1" applyAlignment="1" applyProtection="1">
      <alignment horizontal="center" vertical="center" wrapText="1"/>
      <protection locked="0"/>
    </xf>
    <xf numFmtId="0" fontId="0" fillId="0" borderId="109" xfId="0" applyFont="1" applyFill="1" applyBorder="1" applyAlignment="1" applyProtection="1">
      <alignment horizontal="center" vertical="center" wrapText="1"/>
    </xf>
    <xf numFmtId="0" fontId="0" fillId="0" borderId="103" xfId="0" applyFont="1" applyFill="1" applyBorder="1" applyAlignment="1" applyProtection="1">
      <alignment horizontal="center" vertical="center" wrapText="1"/>
    </xf>
    <xf numFmtId="0" fontId="0" fillId="35" borderId="103" xfId="0" applyFont="1" applyFill="1" applyBorder="1" applyAlignment="1" applyProtection="1">
      <alignment horizontal="center" vertical="center" wrapText="1"/>
    </xf>
    <xf numFmtId="0" fontId="0" fillId="39" borderId="101" xfId="0" applyFill="1" applyBorder="1" applyAlignment="1" applyProtection="1">
      <alignment horizontal="center" vertical="center" textRotation="90" wrapText="1"/>
    </xf>
    <xf numFmtId="0" fontId="0" fillId="28" borderId="101" xfId="0" applyFill="1" applyBorder="1" applyAlignment="1" applyProtection="1">
      <alignment horizontal="center" vertical="center" textRotation="90" wrapText="1"/>
    </xf>
    <xf numFmtId="0" fontId="0" fillId="0" borderId="101" xfId="0" applyFont="1" applyFill="1" applyBorder="1" applyAlignment="1" applyProtection="1">
      <alignment horizontal="center" vertical="center" wrapText="1"/>
    </xf>
    <xf numFmtId="0" fontId="0" fillId="50" borderId="101" xfId="0" applyFill="1" applyBorder="1" applyAlignment="1" applyProtection="1">
      <alignment horizontal="center" vertical="center" textRotation="90" wrapText="1"/>
    </xf>
    <xf numFmtId="0" fontId="0" fillId="61" borderId="101" xfId="0" applyFill="1" applyBorder="1" applyAlignment="1" applyProtection="1">
      <alignment horizontal="center" vertical="center" textRotation="90" wrapText="1"/>
    </xf>
    <xf numFmtId="0" fontId="0" fillId="62" borderId="101" xfId="0" applyFill="1" applyBorder="1" applyAlignment="1" applyProtection="1">
      <alignment horizontal="center" vertical="center" textRotation="90" wrapText="1"/>
    </xf>
    <xf numFmtId="0" fontId="0" fillId="35" borderId="109" xfId="0" applyFont="1" applyFill="1" applyBorder="1" applyAlignment="1" applyProtection="1">
      <alignment horizontal="center" vertical="center" wrapText="1"/>
    </xf>
    <xf numFmtId="0" fontId="0" fillId="60" borderId="1" xfId="0" applyFill="1" applyBorder="1" applyAlignment="1" applyProtection="1">
      <alignment horizontal="center" vertical="center" textRotation="90" wrapText="1"/>
    </xf>
    <xf numFmtId="0" fontId="0" fillId="0" borderId="104" xfId="0" applyFont="1" applyFill="1" applyBorder="1" applyAlignment="1" applyProtection="1">
      <alignment horizontal="center" vertical="center" wrapText="1"/>
    </xf>
    <xf numFmtId="0" fontId="0" fillId="0" borderId="51" xfId="0" applyFont="1" applyFill="1" applyBorder="1" applyAlignment="1" applyProtection="1">
      <alignment horizontal="center" vertical="center" wrapText="1"/>
    </xf>
    <xf numFmtId="0" fontId="0" fillId="35" borderId="104" xfId="0" applyFont="1" applyFill="1" applyBorder="1" applyAlignment="1" applyProtection="1">
      <alignment horizontal="center" vertical="center" wrapText="1"/>
    </xf>
    <xf numFmtId="0" fontId="0" fillId="35" borderId="51" xfId="0" applyFont="1" applyFill="1" applyBorder="1" applyAlignment="1" applyProtection="1">
      <alignment horizontal="center" vertical="center" wrapText="1"/>
    </xf>
    <xf numFmtId="0" fontId="41" fillId="39" borderId="97" xfId="0" applyFont="1" applyFill="1" applyBorder="1" applyAlignment="1" applyProtection="1">
      <alignment horizontal="center" vertical="center" textRotation="90" wrapText="1"/>
    </xf>
    <xf numFmtId="0" fontId="41" fillId="39" borderId="101" xfId="0" applyFont="1" applyFill="1" applyBorder="1" applyAlignment="1" applyProtection="1">
      <alignment horizontal="center" vertical="center" textRotation="90" wrapText="1"/>
    </xf>
    <xf numFmtId="0" fontId="41" fillId="39" borderId="0" xfId="0" applyFont="1" applyFill="1" applyBorder="1" applyAlignment="1" applyProtection="1">
      <alignment horizontal="center" vertical="center" textRotation="90" wrapText="1"/>
    </xf>
    <xf numFmtId="0" fontId="0" fillId="28" borderId="104" xfId="0" applyFont="1" applyFill="1" applyBorder="1" applyAlignment="1" applyProtection="1">
      <alignment horizontal="center" vertical="center" wrapText="1"/>
    </xf>
    <xf numFmtId="0" fontId="0" fillId="28" borderId="51" xfId="0" applyFont="1" applyFill="1" applyBorder="1" applyAlignment="1" applyProtection="1">
      <alignment horizontal="center" vertical="center" wrapText="1"/>
    </xf>
    <xf numFmtId="0" fontId="41" fillId="28" borderId="97" xfId="0" applyFont="1" applyFill="1" applyBorder="1" applyAlignment="1" applyProtection="1">
      <alignment horizontal="center" vertical="center" textRotation="90" wrapText="1"/>
    </xf>
    <xf numFmtId="0" fontId="41" fillId="28" borderId="101" xfId="0" applyFont="1" applyFill="1" applyBorder="1" applyAlignment="1" applyProtection="1">
      <alignment horizontal="center" vertical="center" textRotation="90" wrapText="1"/>
    </xf>
    <xf numFmtId="0" fontId="41" fillId="28" borderId="0" xfId="0" applyFont="1" applyFill="1" applyBorder="1" applyAlignment="1" applyProtection="1">
      <alignment horizontal="center" vertical="center" textRotation="90" wrapText="1"/>
    </xf>
    <xf numFmtId="0" fontId="41" fillId="50" borderId="97" xfId="0" applyFont="1" applyFill="1" applyBorder="1" applyAlignment="1" applyProtection="1">
      <alignment horizontal="center" vertical="center" textRotation="90" wrapText="1"/>
    </xf>
    <xf numFmtId="0" fontId="41" fillId="50" borderId="101" xfId="0" applyFont="1" applyFill="1" applyBorder="1" applyAlignment="1" applyProtection="1">
      <alignment horizontal="center" vertical="center" textRotation="90" wrapText="1"/>
    </xf>
    <xf numFmtId="0" fontId="41" fillId="50" borderId="0" xfId="0" applyFont="1" applyFill="1" applyBorder="1" applyAlignment="1" applyProtection="1">
      <alignment horizontal="center" vertical="center" textRotation="90" wrapText="1"/>
    </xf>
    <xf numFmtId="0" fontId="0" fillId="0" borderId="97" xfId="0" applyFont="1" applyFill="1" applyBorder="1" applyAlignment="1" applyProtection="1">
      <alignment horizontal="center" vertical="center" wrapText="1"/>
    </xf>
    <xf numFmtId="0" fontId="0" fillId="0" borderId="0" xfId="0" applyFont="1" applyFill="1" applyBorder="1" applyAlignment="1" applyProtection="1">
      <alignment horizontal="center" vertical="center" wrapText="1"/>
    </xf>
    <xf numFmtId="0" fontId="41" fillId="61" borderId="97" xfId="0" applyFont="1" applyFill="1" applyBorder="1" applyAlignment="1" applyProtection="1">
      <alignment horizontal="center" vertical="center" textRotation="90" wrapText="1"/>
    </xf>
    <xf numFmtId="0" fontId="41" fillId="61" borderId="101" xfId="0" applyFont="1" applyFill="1" applyBorder="1" applyAlignment="1" applyProtection="1">
      <alignment horizontal="center" vertical="center" textRotation="90" wrapText="1"/>
    </xf>
    <xf numFmtId="0" fontId="41" fillId="61" borderId="0" xfId="0" applyFont="1" applyFill="1" applyBorder="1" applyAlignment="1" applyProtection="1">
      <alignment horizontal="center" vertical="center" textRotation="90" wrapText="1"/>
    </xf>
    <xf numFmtId="0" fontId="41" fillId="62" borderId="97" xfId="0" applyFont="1" applyFill="1" applyBorder="1" applyAlignment="1" applyProtection="1">
      <alignment horizontal="center" vertical="center" textRotation="90" wrapText="1"/>
    </xf>
    <xf numFmtId="0" fontId="41" fillId="62" borderId="101" xfId="0" applyFont="1" applyFill="1" applyBorder="1" applyAlignment="1" applyProtection="1">
      <alignment horizontal="center" vertical="center" textRotation="90" wrapText="1"/>
    </xf>
    <xf numFmtId="0" fontId="41" fillId="62" borderId="0" xfId="0" applyFont="1" applyFill="1" applyBorder="1" applyAlignment="1" applyProtection="1">
      <alignment horizontal="center" vertical="center" textRotation="90" wrapText="1"/>
    </xf>
    <xf numFmtId="0" fontId="41" fillId="60" borderId="104" xfId="0" applyFont="1" applyFill="1" applyBorder="1" applyAlignment="1" applyProtection="1">
      <alignment horizontal="center" vertical="center" textRotation="90" wrapText="1"/>
    </xf>
    <xf numFmtId="0" fontId="41" fillId="60" borderId="103" xfId="0" applyFont="1" applyFill="1" applyBorder="1" applyAlignment="1" applyProtection="1">
      <alignment horizontal="center" vertical="center" textRotation="90" wrapText="1"/>
    </xf>
    <xf numFmtId="0" fontId="41" fillId="60" borderId="124" xfId="0" applyFont="1" applyFill="1" applyBorder="1" applyAlignment="1" applyProtection="1">
      <alignment horizontal="center" vertical="center" textRotation="90" wrapText="1"/>
    </xf>
    <xf numFmtId="0" fontId="41" fillId="59" borderId="100" xfId="0" applyFont="1" applyFill="1" applyBorder="1" applyAlignment="1" applyProtection="1">
      <alignment horizontal="left" vertical="center" wrapText="1"/>
      <protection locked="0"/>
    </xf>
    <xf numFmtId="0" fontId="41" fillId="60" borderId="125" xfId="0" applyFont="1" applyFill="1" applyBorder="1" applyAlignment="1" applyProtection="1">
      <alignment horizontal="left" vertical="center" wrapText="1"/>
      <protection locked="0"/>
    </xf>
    <xf numFmtId="0" fontId="59" fillId="0" borderId="1" xfId="0" applyFont="1" applyBorder="1" applyAlignment="1">
      <alignment horizontal="center" vertical="center" wrapText="1"/>
    </xf>
    <xf numFmtId="0" fontId="23" fillId="2" borderId="54" xfId="0" applyFont="1" applyFill="1" applyBorder="1" applyAlignment="1">
      <alignment horizontal="center" vertical="center" wrapText="1"/>
    </xf>
    <xf numFmtId="0" fontId="23" fillId="2" borderId="55" xfId="0" applyFont="1" applyFill="1" applyBorder="1" applyAlignment="1">
      <alignment horizontal="center" vertical="center" wrapText="1"/>
    </xf>
    <xf numFmtId="0" fontId="23" fillId="2" borderId="56" xfId="0" applyFont="1" applyFill="1" applyBorder="1" applyAlignment="1">
      <alignment horizontal="center" vertical="center" wrapText="1"/>
    </xf>
    <xf numFmtId="0" fontId="23" fillId="2" borderId="57" xfId="0" applyFont="1" applyFill="1" applyBorder="1" applyAlignment="1">
      <alignment horizontal="center" vertical="center" wrapText="1"/>
    </xf>
    <xf numFmtId="0" fontId="23" fillId="2" borderId="58" xfId="0" applyFont="1" applyFill="1" applyBorder="1" applyAlignment="1">
      <alignment horizontal="center" vertical="center" wrapText="1"/>
    </xf>
    <xf numFmtId="0" fontId="23" fillId="2" borderId="59" xfId="0" applyFont="1" applyFill="1" applyBorder="1" applyAlignment="1">
      <alignment horizontal="center" vertical="center" wrapText="1"/>
    </xf>
    <xf numFmtId="0" fontId="22" fillId="30" borderId="25" xfId="0" applyFont="1" applyFill="1" applyBorder="1" applyAlignment="1">
      <alignment horizontal="center" vertical="center" wrapText="1"/>
    </xf>
    <xf numFmtId="0" fontId="22" fillId="30" borderId="52" xfId="0" applyFont="1" applyFill="1" applyBorder="1" applyAlignment="1">
      <alignment horizontal="center" vertical="center" wrapText="1"/>
    </xf>
    <xf numFmtId="0" fontId="22" fillId="30" borderId="62" xfId="0" applyFont="1" applyFill="1" applyBorder="1" applyAlignment="1">
      <alignment horizontal="center" vertical="center" wrapText="1"/>
    </xf>
    <xf numFmtId="0" fontId="21" fillId="30" borderId="29" xfId="0" applyFont="1" applyFill="1" applyBorder="1" applyAlignment="1">
      <alignment horizontal="center" vertical="center" wrapText="1"/>
    </xf>
    <xf numFmtId="0" fontId="21" fillId="30" borderId="7" xfId="0" applyFont="1" applyFill="1" applyBorder="1" applyAlignment="1">
      <alignment horizontal="center" vertical="center" wrapText="1"/>
    </xf>
    <xf numFmtId="0" fontId="21" fillId="30" borderId="63" xfId="0" applyFont="1" applyFill="1" applyBorder="1" applyAlignment="1">
      <alignment horizontal="center" vertical="center" wrapText="1"/>
    </xf>
    <xf numFmtId="0" fontId="24" fillId="2" borderId="44" xfId="0" applyNumberFormat="1" applyFont="1" applyFill="1" applyBorder="1" applyAlignment="1">
      <alignment horizontal="center" vertical="center" wrapText="1"/>
    </xf>
    <xf numFmtId="0" fontId="24" fillId="2" borderId="49" xfId="0" applyNumberFormat="1" applyFont="1" applyFill="1" applyBorder="1" applyAlignment="1">
      <alignment horizontal="center" vertical="center" wrapText="1"/>
    </xf>
    <xf numFmtId="0" fontId="24" fillId="2" borderId="45" xfId="0" applyNumberFormat="1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wrapText="1"/>
    </xf>
    <xf numFmtId="0" fontId="23" fillId="2" borderId="10" xfId="0" applyFont="1" applyFill="1" applyBorder="1" applyAlignment="1">
      <alignment horizontal="center" wrapText="1"/>
    </xf>
    <xf numFmtId="0" fontId="55" fillId="2" borderId="8" xfId="0" applyFont="1" applyFill="1" applyBorder="1" applyAlignment="1">
      <alignment horizontal="center" vertical="center" wrapText="1"/>
    </xf>
    <xf numFmtId="0" fontId="24" fillId="2" borderId="43" xfId="0" applyFont="1" applyFill="1" applyBorder="1" applyAlignment="1">
      <alignment horizontal="center" vertical="center" wrapText="1"/>
    </xf>
    <xf numFmtId="0" fontId="24" fillId="2" borderId="10" xfId="0" applyFont="1" applyFill="1" applyBorder="1" applyAlignment="1">
      <alignment horizontal="center" vertical="center" wrapText="1"/>
    </xf>
    <xf numFmtId="0" fontId="24" fillId="2" borderId="46" xfId="0" applyFont="1" applyFill="1" applyBorder="1" applyAlignment="1">
      <alignment horizontal="center" vertical="center" wrapText="1"/>
    </xf>
    <xf numFmtId="0" fontId="24" fillId="2" borderId="47" xfId="0" applyFont="1" applyFill="1" applyBorder="1" applyAlignment="1">
      <alignment horizontal="center" vertical="center" wrapText="1"/>
    </xf>
    <xf numFmtId="0" fontId="24" fillId="2" borderId="48" xfId="0" applyFont="1" applyFill="1" applyBorder="1" applyAlignment="1">
      <alignment horizontal="center" vertical="center" wrapText="1"/>
    </xf>
    <xf numFmtId="0" fontId="23" fillId="2" borderId="13" xfId="0" applyFont="1" applyFill="1" applyBorder="1" applyAlignment="1">
      <alignment horizontal="center" vertical="center" wrapText="1"/>
    </xf>
    <xf numFmtId="0" fontId="23" fillId="2" borderId="14" xfId="0" applyFont="1" applyFill="1" applyBorder="1" applyAlignment="1">
      <alignment horizontal="center" vertical="center" wrapText="1"/>
    </xf>
    <xf numFmtId="0" fontId="23" fillId="2" borderId="46" xfId="0" applyFont="1" applyFill="1" applyBorder="1" applyAlignment="1">
      <alignment horizontal="center" vertical="center" wrapText="1"/>
    </xf>
    <xf numFmtId="0" fontId="23" fillId="2" borderId="48" xfId="0" applyFont="1" applyFill="1" applyBorder="1" applyAlignment="1">
      <alignment horizontal="center" vertical="center" wrapText="1"/>
    </xf>
    <xf numFmtId="0" fontId="23" fillId="2" borderId="8" xfId="0" applyNumberFormat="1" applyFont="1" applyFill="1" applyBorder="1" applyAlignment="1">
      <alignment horizontal="center" vertical="center" wrapText="1"/>
    </xf>
    <xf numFmtId="0" fontId="23" fillId="2" borderId="43" xfId="0" applyNumberFormat="1" applyFont="1" applyFill="1" applyBorder="1" applyAlignment="1">
      <alignment horizontal="center" vertical="center" wrapText="1"/>
    </xf>
    <xf numFmtId="0" fontId="23" fillId="2" borderId="10" xfId="0" applyNumberFormat="1" applyFont="1" applyFill="1" applyBorder="1" applyAlignment="1">
      <alignment horizontal="center" vertical="center" wrapText="1"/>
    </xf>
    <xf numFmtId="0" fontId="56" fillId="2" borderId="44" xfId="0" applyNumberFormat="1" applyFont="1" applyFill="1" applyBorder="1" applyAlignment="1">
      <alignment horizontal="center" vertical="center" wrapText="1"/>
    </xf>
    <xf numFmtId="0" fontId="56" fillId="2" borderId="49" xfId="0" applyNumberFormat="1" applyFont="1" applyFill="1" applyBorder="1" applyAlignment="1">
      <alignment horizontal="center" vertical="center" wrapText="1"/>
    </xf>
    <xf numFmtId="0" fontId="56" fillId="2" borderId="45" xfId="0" applyNumberFormat="1" applyFont="1" applyFill="1" applyBorder="1" applyAlignment="1">
      <alignment horizontal="center" vertical="center" wrapText="1"/>
    </xf>
    <xf numFmtId="0" fontId="23" fillId="0" borderId="49" xfId="0" applyFont="1" applyFill="1" applyBorder="1" applyAlignment="1">
      <alignment horizontal="left" vertical="center" wrapText="1"/>
    </xf>
    <xf numFmtId="0" fontId="23" fillId="0" borderId="45" xfId="0" applyFont="1" applyFill="1" applyBorder="1" applyAlignment="1">
      <alignment horizontal="left" vertical="center" wrapText="1"/>
    </xf>
    <xf numFmtId="0" fontId="23" fillId="0" borderId="46" xfId="0" applyFont="1" applyFill="1" applyBorder="1" applyAlignment="1">
      <alignment horizontal="center" vertical="center" wrapText="1"/>
    </xf>
    <xf numFmtId="0" fontId="23" fillId="0" borderId="47" xfId="0" applyFont="1" applyFill="1" applyBorder="1" applyAlignment="1">
      <alignment horizontal="center" vertical="center" wrapText="1"/>
    </xf>
    <xf numFmtId="0" fontId="23" fillId="0" borderId="48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3" fillId="0" borderId="14" xfId="0" applyFont="1" applyFill="1" applyBorder="1" applyAlignment="1">
      <alignment horizontal="center" vertical="center" wrapText="1"/>
    </xf>
    <xf numFmtId="0" fontId="21" fillId="30" borderId="44" xfId="0" applyFont="1" applyFill="1" applyBorder="1" applyAlignment="1">
      <alignment horizontal="center" vertical="center" wrapText="1"/>
    </xf>
    <xf numFmtId="0" fontId="22" fillId="30" borderId="49" xfId="0" applyFont="1" applyFill="1" applyBorder="1" applyAlignment="1">
      <alignment horizontal="center" vertical="center" wrapText="1"/>
    </xf>
    <xf numFmtId="0" fontId="22" fillId="30" borderId="45" xfId="0" applyFont="1" applyFill="1" applyBorder="1" applyAlignment="1">
      <alignment horizontal="center" vertical="center" wrapText="1"/>
    </xf>
    <xf numFmtId="0" fontId="21" fillId="30" borderId="45" xfId="0" applyFont="1" applyFill="1" applyBorder="1" applyAlignment="1">
      <alignment horizontal="center" vertical="center" wrapText="1"/>
    </xf>
    <xf numFmtId="0" fontId="23" fillId="2" borderId="46" xfId="0" applyFont="1" applyFill="1" applyBorder="1" applyAlignment="1">
      <alignment horizontal="center" vertical="top" wrapText="1"/>
    </xf>
    <xf numFmtId="0" fontId="23" fillId="2" borderId="47" xfId="0" applyFont="1" applyFill="1" applyBorder="1" applyAlignment="1">
      <alignment horizontal="center" vertical="top" wrapText="1"/>
    </xf>
    <xf numFmtId="0" fontId="23" fillId="2" borderId="48" xfId="0" applyFont="1" applyFill="1" applyBorder="1" applyAlignment="1">
      <alignment horizontal="center" vertical="top" wrapText="1"/>
    </xf>
    <xf numFmtId="0" fontId="23" fillId="0" borderId="44" xfId="0" applyFont="1" applyFill="1" applyBorder="1" applyAlignment="1">
      <alignment horizontal="left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3" fillId="0" borderId="44" xfId="0" applyFont="1" applyFill="1" applyBorder="1" applyAlignment="1">
      <alignment horizontal="center" vertical="center" wrapText="1"/>
    </xf>
    <xf numFmtId="0" fontId="23" fillId="0" borderId="49" xfId="0" applyFont="1" applyFill="1" applyBorder="1" applyAlignment="1">
      <alignment horizontal="center" vertical="center" wrapText="1"/>
    </xf>
    <xf numFmtId="0" fontId="23" fillId="0" borderId="45" xfId="0" applyFont="1" applyFill="1" applyBorder="1" applyAlignment="1">
      <alignment horizontal="center" vertical="center" wrapText="1"/>
    </xf>
    <xf numFmtId="0" fontId="23" fillId="0" borderId="14" xfId="0" applyFont="1" applyFill="1" applyBorder="1" applyAlignment="1">
      <alignment vertical="center" wrapText="1"/>
    </xf>
    <xf numFmtId="0" fontId="23" fillId="0" borderId="47" xfId="0" applyFont="1" applyFill="1" applyBorder="1" applyAlignment="1">
      <alignment horizontal="left" vertical="center" wrapText="1"/>
    </xf>
    <xf numFmtId="0" fontId="23" fillId="0" borderId="14" xfId="0" applyFont="1" applyFill="1" applyBorder="1" applyAlignment="1">
      <alignment horizontal="left" vertical="center" wrapText="1"/>
    </xf>
    <xf numFmtId="0" fontId="26" fillId="2" borderId="13" xfId="0" applyFont="1" applyFill="1" applyBorder="1" applyAlignment="1">
      <alignment horizontal="left" vertical="top" wrapText="1"/>
    </xf>
    <xf numFmtId="0" fontId="26" fillId="2" borderId="0" xfId="0" applyFont="1" applyFill="1" applyBorder="1" applyAlignment="1">
      <alignment horizontal="left" vertical="top" wrapText="1"/>
    </xf>
    <xf numFmtId="0" fontId="26" fillId="2" borderId="14" xfId="0" applyFont="1" applyFill="1" applyBorder="1" applyAlignment="1">
      <alignment horizontal="left" vertical="top" wrapText="1"/>
    </xf>
    <xf numFmtId="0" fontId="26" fillId="2" borderId="46" xfId="0" applyFont="1" applyFill="1" applyBorder="1" applyAlignment="1">
      <alignment horizontal="left" vertical="top" wrapText="1"/>
    </xf>
    <xf numFmtId="0" fontId="26" fillId="2" borderId="47" xfId="0" applyFont="1" applyFill="1" applyBorder="1" applyAlignment="1">
      <alignment horizontal="left" vertical="top" wrapText="1"/>
    </xf>
    <xf numFmtId="0" fontId="26" fillId="2" borderId="48" xfId="0" applyFont="1" applyFill="1" applyBorder="1" applyAlignment="1">
      <alignment horizontal="left" vertical="top" wrapText="1"/>
    </xf>
    <xf numFmtId="0" fontId="36" fillId="25" borderId="0" xfId="0" applyFont="1" applyFill="1" applyBorder="1" applyAlignment="1">
      <alignment horizontal="right" vertical="center" wrapText="1"/>
    </xf>
    <xf numFmtId="0" fontId="21" fillId="31" borderId="44" xfId="0" applyFont="1" applyFill="1" applyBorder="1" applyAlignment="1">
      <alignment horizontal="center" vertical="top" wrapText="1"/>
    </xf>
    <xf numFmtId="0" fontId="21" fillId="31" borderId="49" xfId="0" applyFont="1" applyFill="1" applyBorder="1" applyAlignment="1">
      <alignment horizontal="center" vertical="top" wrapText="1"/>
    </xf>
    <xf numFmtId="0" fontId="21" fillId="31" borderId="45" xfId="0" applyFont="1" applyFill="1" applyBorder="1" applyAlignment="1">
      <alignment horizontal="center" vertical="top" wrapText="1"/>
    </xf>
    <xf numFmtId="0" fontId="25" fillId="31" borderId="46" xfId="0" applyFont="1" applyFill="1" applyBorder="1" applyAlignment="1">
      <alignment horizontal="center" wrapText="1"/>
    </xf>
    <xf numFmtId="0" fontId="25" fillId="31" borderId="47" xfId="0" applyFont="1" applyFill="1" applyBorder="1" applyAlignment="1">
      <alignment horizontal="center" wrapText="1"/>
    </xf>
    <xf numFmtId="0" fontId="25" fillId="31" borderId="48" xfId="0" applyFont="1" applyFill="1" applyBorder="1" applyAlignment="1">
      <alignment horizontal="center" wrapText="1"/>
    </xf>
    <xf numFmtId="0" fontId="25" fillId="31" borderId="13" xfId="0" applyFont="1" applyFill="1" applyBorder="1" applyAlignment="1">
      <alignment horizontal="center" wrapText="1"/>
    </xf>
    <xf numFmtId="0" fontId="25" fillId="31" borderId="14" xfId="0" applyFont="1" applyFill="1" applyBorder="1" applyAlignment="1">
      <alignment horizontal="center" wrapText="1"/>
    </xf>
    <xf numFmtId="0" fontId="23" fillId="0" borderId="44" xfId="0" applyFont="1" applyFill="1" applyBorder="1" applyAlignment="1">
      <alignment horizontal="left" vertical="top" wrapText="1"/>
    </xf>
    <xf numFmtId="0" fontId="23" fillId="0" borderId="49" xfId="0" applyFont="1" applyFill="1" applyBorder="1" applyAlignment="1">
      <alignment horizontal="left" vertical="top" wrapText="1"/>
    </xf>
    <xf numFmtId="0" fontId="23" fillId="0" borderId="45" xfId="0" applyFont="1" applyFill="1" applyBorder="1" applyAlignment="1">
      <alignment horizontal="left" vertical="top" wrapText="1"/>
    </xf>
    <xf numFmtId="0" fontId="26" fillId="2" borderId="8" xfId="0" applyFont="1" applyFill="1" applyBorder="1" applyAlignment="1">
      <alignment horizontal="left" vertical="top" wrapText="1"/>
    </xf>
    <xf numFmtId="0" fontId="26" fillId="2" borderId="43" xfId="0" applyFont="1" applyFill="1" applyBorder="1" applyAlignment="1">
      <alignment horizontal="left" vertical="top" wrapText="1"/>
    </xf>
    <xf numFmtId="0" fontId="26" fillId="2" borderId="10" xfId="0" applyFont="1" applyFill="1" applyBorder="1" applyAlignment="1">
      <alignment horizontal="left" vertical="top" wrapText="1"/>
    </xf>
    <xf numFmtId="0" fontId="23" fillId="0" borderId="8" xfId="0" applyFont="1" applyFill="1" applyBorder="1" applyAlignment="1">
      <alignment horizontal="left" vertical="top" wrapText="1"/>
    </xf>
    <xf numFmtId="0" fontId="23" fillId="0" borderId="43" xfId="0" applyFont="1" applyFill="1" applyBorder="1" applyAlignment="1">
      <alignment horizontal="left" vertical="top" wrapText="1"/>
    </xf>
    <xf numFmtId="0" fontId="23" fillId="0" borderId="10" xfId="0" applyFont="1" applyFill="1" applyBorder="1" applyAlignment="1">
      <alignment horizontal="left" vertical="top" wrapText="1"/>
    </xf>
    <xf numFmtId="0" fontId="23" fillId="0" borderId="44" xfId="0" applyFont="1" applyFill="1" applyBorder="1" applyAlignment="1">
      <alignment horizontal="center" vertical="top" wrapText="1"/>
    </xf>
    <xf numFmtId="0" fontId="23" fillId="0" borderId="49" xfId="0" applyFont="1" applyFill="1" applyBorder="1" applyAlignment="1">
      <alignment horizontal="center" vertical="top" wrapText="1"/>
    </xf>
    <xf numFmtId="0" fontId="23" fillId="0" borderId="45" xfId="0" applyFont="1" applyFill="1" applyBorder="1" applyAlignment="1">
      <alignment horizontal="center" vertical="top" wrapText="1"/>
    </xf>
    <xf numFmtId="0" fontId="57" fillId="0" borderId="13" xfId="0" applyNumberFormat="1" applyFont="1" applyFill="1" applyBorder="1" applyAlignment="1">
      <alignment horizontal="center" vertical="center" wrapText="1"/>
    </xf>
    <xf numFmtId="0" fontId="57" fillId="0" borderId="0" xfId="0" applyNumberFormat="1" applyFont="1" applyFill="1" applyBorder="1" applyAlignment="1">
      <alignment horizontal="center" vertical="center"/>
    </xf>
    <xf numFmtId="0" fontId="57" fillId="0" borderId="14" xfId="0" applyNumberFormat="1" applyFont="1" applyFill="1" applyBorder="1" applyAlignment="1">
      <alignment horizontal="center" vertical="center"/>
    </xf>
    <xf numFmtId="0" fontId="48" fillId="0" borderId="0" xfId="0" applyFont="1" applyBorder="1" applyAlignment="1" applyProtection="1">
      <alignment horizontal="center" vertical="center" wrapText="1"/>
      <protection locked="0"/>
    </xf>
    <xf numFmtId="0" fontId="49" fillId="44" borderId="85" xfId="0" applyFont="1" applyFill="1" applyBorder="1" applyAlignment="1" applyProtection="1">
      <alignment horizontal="center" vertical="center" wrapText="1"/>
      <protection locked="0"/>
    </xf>
    <xf numFmtId="0" fontId="49" fillId="44" borderId="86" xfId="0" applyFont="1" applyFill="1" applyBorder="1" applyAlignment="1" applyProtection="1">
      <alignment horizontal="center" vertical="center" wrapText="1"/>
      <protection locked="0"/>
    </xf>
    <xf numFmtId="0" fontId="49" fillId="44" borderId="87" xfId="0" applyFont="1" applyFill="1" applyBorder="1" applyAlignment="1" applyProtection="1">
      <alignment horizontal="center" vertical="center" wrapText="1"/>
      <protection locked="0"/>
    </xf>
    <xf numFmtId="0" fontId="49" fillId="44" borderId="88" xfId="0" applyFont="1" applyFill="1" applyBorder="1" applyAlignment="1" applyProtection="1">
      <alignment horizontal="center" vertical="center" wrapText="1"/>
      <protection locked="0"/>
    </xf>
    <xf numFmtId="0" fontId="49" fillId="44" borderId="49" xfId="0" applyFont="1" applyFill="1" applyBorder="1" applyAlignment="1" applyProtection="1">
      <alignment horizontal="center" vertical="center" wrapText="1"/>
      <protection locked="0"/>
    </xf>
    <xf numFmtId="0" fontId="0" fillId="46" borderId="96" xfId="0" applyFill="1" applyBorder="1" applyAlignment="1" applyProtection="1">
      <alignment horizontal="center" vertical="center" wrapText="1"/>
      <protection locked="0"/>
    </xf>
    <xf numFmtId="0" fontId="0" fillId="46" borderId="97" xfId="0" applyFill="1" applyBorder="1" applyAlignment="1" applyProtection="1">
      <alignment horizontal="center" vertical="center" wrapText="1"/>
      <protection locked="0"/>
    </xf>
    <xf numFmtId="0" fontId="0" fillId="46" borderId="97" xfId="0" applyFont="1" applyFill="1" applyBorder="1" applyAlignment="1" applyProtection="1">
      <alignment horizontal="center" vertical="center" textRotation="90" wrapText="1"/>
      <protection locked="0"/>
    </xf>
    <xf numFmtId="0" fontId="37" fillId="45" borderId="92" xfId="0" applyFont="1" applyFill="1" applyBorder="1" applyAlignment="1" applyProtection="1">
      <alignment horizontal="center" vertical="center" wrapText="1"/>
      <protection locked="0"/>
    </xf>
    <xf numFmtId="0" fontId="37" fillId="45" borderId="98" xfId="0" applyFont="1" applyFill="1" applyBorder="1" applyAlignment="1" applyProtection="1">
      <alignment horizontal="center" vertical="center" wrapText="1"/>
      <protection locked="0"/>
    </xf>
    <xf numFmtId="0" fontId="37" fillId="45" borderId="93" xfId="0" applyFont="1" applyFill="1" applyBorder="1" applyAlignment="1" applyProtection="1">
      <alignment horizontal="center" vertical="center" wrapText="1"/>
      <protection locked="0"/>
    </xf>
    <xf numFmtId="0" fontId="37" fillId="45" borderId="99" xfId="0" applyFont="1" applyFill="1" applyBorder="1" applyAlignment="1" applyProtection="1">
      <alignment horizontal="center" vertical="center" wrapText="1"/>
      <protection locked="0"/>
    </xf>
    <xf numFmtId="0" fontId="51" fillId="45" borderId="94" xfId="0" applyFont="1" applyFill="1" applyBorder="1" applyAlignment="1" applyProtection="1">
      <alignment horizontal="center" vertical="center" wrapText="1"/>
      <protection locked="0"/>
    </xf>
    <xf numFmtId="0" fontId="51" fillId="45" borderId="100" xfId="0" applyFont="1" applyFill="1" applyBorder="1" applyAlignment="1" applyProtection="1">
      <alignment horizontal="center" vertical="center" wrapText="1"/>
      <protection locked="0"/>
    </xf>
    <xf numFmtId="0" fontId="51" fillId="45" borderId="106" xfId="0" applyFont="1" applyFill="1" applyBorder="1" applyAlignment="1" applyProtection="1">
      <alignment horizontal="center" vertical="center" wrapText="1"/>
      <protection locked="0"/>
    </xf>
    <xf numFmtId="0" fontId="0" fillId="46" borderId="95" xfId="0" applyFill="1" applyBorder="1" applyAlignment="1" applyProtection="1">
      <alignment horizontal="center" vertical="center" textRotation="90" wrapText="1"/>
      <protection locked="0"/>
    </xf>
    <xf numFmtId="0" fontId="0" fillId="46" borderId="101" xfId="0" applyFill="1" applyBorder="1" applyAlignment="1" applyProtection="1">
      <alignment horizontal="center" vertical="center" textRotation="90" wrapText="1"/>
      <protection locked="0"/>
    </xf>
    <xf numFmtId="0" fontId="0" fillId="47" borderId="44" xfId="0" applyFont="1" applyFill="1" applyBorder="1" applyAlignment="1">
      <alignment horizontal="center" vertical="center" wrapText="1"/>
    </xf>
    <xf numFmtId="0" fontId="0" fillId="47" borderId="49" xfId="0" applyFont="1" applyFill="1" applyBorder="1" applyAlignment="1">
      <alignment horizontal="center" vertical="center" wrapText="1"/>
    </xf>
    <xf numFmtId="0" fontId="0" fillId="48" borderId="44" xfId="0" applyFont="1" applyFill="1" applyBorder="1" applyAlignment="1">
      <alignment horizontal="center" vertical="center" wrapText="1"/>
    </xf>
    <xf numFmtId="0" fontId="0" fillId="48" borderId="49" xfId="0" applyFont="1" applyFill="1" applyBorder="1" applyAlignment="1">
      <alignment horizontal="center" vertical="center" wrapText="1"/>
    </xf>
    <xf numFmtId="0" fontId="0" fillId="49" borderId="44" xfId="0" applyFont="1" applyFill="1" applyBorder="1" applyAlignment="1">
      <alignment horizontal="center" vertical="center" wrapText="1"/>
    </xf>
    <xf numFmtId="0" fontId="0" fillId="49" borderId="49" xfId="0" applyFont="1" applyFill="1" applyBorder="1" applyAlignment="1">
      <alignment horizontal="center" vertical="center" wrapText="1"/>
    </xf>
    <xf numFmtId="0" fontId="50" fillId="28" borderId="49" xfId="0" applyFont="1" applyFill="1" applyBorder="1" applyAlignment="1" applyProtection="1">
      <alignment horizontal="center" vertical="center" wrapText="1"/>
      <protection locked="0"/>
    </xf>
    <xf numFmtId="0" fontId="50" fillId="28" borderId="45" xfId="0" applyFont="1" applyFill="1" applyBorder="1" applyAlignment="1" applyProtection="1">
      <alignment horizontal="center" vertical="center" wrapText="1"/>
      <protection locked="0"/>
    </xf>
    <xf numFmtId="0" fontId="60" fillId="58" borderId="1" xfId="0" applyFont="1" applyFill="1" applyBorder="1" applyAlignment="1" applyProtection="1">
      <alignment horizontal="center" vertical="center" wrapText="1"/>
      <protection locked="0"/>
    </xf>
    <xf numFmtId="0" fontId="0" fillId="42" borderId="49" xfId="0" applyFont="1" applyFill="1" applyBorder="1" applyAlignment="1">
      <alignment horizontal="center" vertical="center" wrapText="1"/>
    </xf>
    <xf numFmtId="0" fontId="0" fillId="42" borderId="45" xfId="0" applyFont="1" applyFill="1" applyBorder="1" applyAlignment="1">
      <alignment horizontal="center" vertical="center" wrapText="1"/>
    </xf>
    <xf numFmtId="0" fontId="0" fillId="46" borderId="119" xfId="0" applyFont="1" applyFill="1" applyBorder="1" applyAlignment="1" applyProtection="1">
      <alignment horizontal="center" vertical="center" textRotation="90" wrapText="1"/>
      <protection locked="0"/>
    </xf>
    <xf numFmtId="0" fontId="0" fillId="46" borderId="96" xfId="0" applyFill="1" applyBorder="1" applyAlignment="1" applyProtection="1">
      <alignment horizontal="center" vertical="center" textRotation="90" wrapText="1"/>
      <protection locked="0"/>
    </xf>
    <xf numFmtId="0" fontId="0" fillId="46" borderId="97" xfId="0" applyFill="1" applyBorder="1" applyAlignment="1" applyProtection="1">
      <alignment horizontal="center" vertical="center" textRotation="90" wrapText="1"/>
      <protection locked="0"/>
    </xf>
    <xf numFmtId="0" fontId="0" fillId="42" borderId="53" xfId="0" applyFont="1" applyFill="1" applyBorder="1" applyAlignment="1">
      <alignment horizontal="center" vertical="center" wrapText="1"/>
    </xf>
    <xf numFmtId="0" fontId="0" fillId="42" borderId="70" xfId="0" applyFont="1" applyFill="1" applyBorder="1" applyAlignment="1">
      <alignment horizontal="center" vertical="center" wrapText="1"/>
    </xf>
    <xf numFmtId="0" fontId="0" fillId="45" borderId="44" xfId="0" applyFont="1" applyFill="1" applyBorder="1" applyAlignment="1">
      <alignment horizontal="center" vertical="center" wrapText="1"/>
    </xf>
    <xf numFmtId="0" fontId="0" fillId="45" borderId="49" xfId="0" applyFont="1" applyFill="1" applyBorder="1" applyAlignment="1">
      <alignment horizontal="center" vertical="center" wrapText="1"/>
    </xf>
    <xf numFmtId="0" fontId="0" fillId="45" borderId="8" xfId="0" applyFont="1" applyFill="1" applyBorder="1" applyAlignment="1">
      <alignment horizontal="center" vertical="center" wrapText="1"/>
    </xf>
    <xf numFmtId="0" fontId="0" fillId="45" borderId="43" xfId="0" applyFont="1" applyFill="1" applyBorder="1" applyAlignment="1">
      <alignment horizontal="center" vertical="center" wrapText="1"/>
    </xf>
    <xf numFmtId="0" fontId="0" fillId="45" borderId="10" xfId="0" applyFont="1" applyFill="1" applyBorder="1" applyAlignment="1">
      <alignment horizontal="center" vertical="center" wrapText="1"/>
    </xf>
    <xf numFmtId="0" fontId="50" fillId="28" borderId="44" xfId="0" applyFont="1" applyFill="1" applyBorder="1" applyAlignment="1" applyProtection="1">
      <alignment horizontal="center" vertical="center" wrapText="1"/>
      <protection locked="0"/>
    </xf>
    <xf numFmtId="0" fontId="0" fillId="49" borderId="8" xfId="0" applyFont="1" applyFill="1" applyBorder="1" applyAlignment="1">
      <alignment horizontal="center" vertical="center" wrapText="1"/>
    </xf>
    <xf numFmtId="0" fontId="0" fillId="49" borderId="43" xfId="0" applyFont="1" applyFill="1" applyBorder="1" applyAlignment="1">
      <alignment horizontal="center" vertical="center" wrapText="1"/>
    </xf>
    <xf numFmtId="0" fontId="0" fillId="49" borderId="10" xfId="0" applyFont="1" applyFill="1" applyBorder="1" applyAlignment="1">
      <alignment horizontal="center" vertical="center" wrapText="1"/>
    </xf>
    <xf numFmtId="0" fontId="0" fillId="47" borderId="13" xfId="0" applyFont="1" applyFill="1" applyBorder="1" applyAlignment="1">
      <alignment horizontal="center" vertical="center" wrapText="1"/>
    </xf>
    <xf numFmtId="0" fontId="0" fillId="47" borderId="0" xfId="0" applyFont="1" applyFill="1" applyBorder="1" applyAlignment="1">
      <alignment horizontal="center" vertical="center" wrapText="1"/>
    </xf>
    <xf numFmtId="0" fontId="0" fillId="47" borderId="14" xfId="0" applyFont="1" applyFill="1" applyBorder="1" applyAlignment="1">
      <alignment horizontal="center" vertical="center" wrapText="1"/>
    </xf>
    <xf numFmtId="0" fontId="0" fillId="48" borderId="13" xfId="0" applyFont="1" applyFill="1" applyBorder="1" applyAlignment="1">
      <alignment horizontal="center" vertical="center" wrapText="1"/>
    </xf>
    <xf numFmtId="0" fontId="0" fillId="48" borderId="0" xfId="0" applyFont="1" applyFill="1" applyBorder="1" applyAlignment="1">
      <alignment horizontal="center" vertical="center" wrapText="1"/>
    </xf>
    <xf numFmtId="0" fontId="0" fillId="48" borderId="14" xfId="0" applyFont="1" applyFill="1" applyBorder="1" applyAlignment="1">
      <alignment horizontal="center" vertical="center" wrapText="1"/>
    </xf>
    <xf numFmtId="0" fontId="51" fillId="28" borderId="6" xfId="0" applyFont="1" applyFill="1" applyBorder="1" applyAlignment="1" applyProtection="1">
      <alignment horizontal="center" vertical="center" textRotation="90" wrapText="1"/>
      <protection locked="0"/>
    </xf>
    <xf numFmtId="0" fontId="51" fillId="28" borderId="99" xfId="0" applyFont="1" applyFill="1" applyBorder="1" applyAlignment="1" applyProtection="1">
      <alignment horizontal="center" vertical="center" textRotation="90" wrapText="1"/>
      <protection locked="0"/>
    </xf>
    <xf numFmtId="0" fontId="51" fillId="28" borderId="5" xfId="0" applyFont="1" applyFill="1" applyBorder="1" applyAlignment="1" applyProtection="1">
      <alignment horizontal="center" vertical="center" textRotation="90" wrapText="1"/>
      <protection locked="0"/>
    </xf>
    <xf numFmtId="0" fontId="60" fillId="61" borderId="2" xfId="0" applyFont="1" applyFill="1" applyBorder="1" applyAlignment="1" applyProtection="1">
      <alignment horizontal="center" vertical="center" wrapText="1"/>
      <protection locked="0"/>
    </xf>
    <xf numFmtId="0" fontId="60" fillId="61" borderId="1" xfId="0" applyFont="1" applyFill="1" applyBorder="1" applyAlignment="1" applyProtection="1">
      <alignment horizontal="center" vertical="center" wrapText="1"/>
      <protection locked="0"/>
    </xf>
    <xf numFmtId="0" fontId="51" fillId="61" borderId="1" xfId="0" applyFont="1" applyFill="1" applyBorder="1" applyAlignment="1" applyProtection="1">
      <alignment horizontal="center" vertical="center" textRotation="90" wrapText="1"/>
      <protection locked="0"/>
    </xf>
    <xf numFmtId="0" fontId="51" fillId="50" borderId="6" xfId="0" applyFont="1" applyFill="1" applyBorder="1" applyAlignment="1" applyProtection="1">
      <alignment horizontal="center" vertical="center" textRotation="90" wrapText="1"/>
      <protection locked="0"/>
    </xf>
    <xf numFmtId="0" fontId="51" fillId="50" borderId="99" xfId="0" applyFont="1" applyFill="1" applyBorder="1" applyAlignment="1" applyProtection="1">
      <alignment horizontal="center" vertical="center" textRotation="90" wrapText="1"/>
      <protection locked="0"/>
    </xf>
    <xf numFmtId="0" fontId="51" fillId="50" borderId="5" xfId="0" applyFont="1" applyFill="1" applyBorder="1" applyAlignment="1" applyProtection="1">
      <alignment horizontal="center" vertical="center" textRotation="90" wrapText="1"/>
      <protection locked="0"/>
    </xf>
    <xf numFmtId="0" fontId="60" fillId="60" borderId="3" xfId="0" applyFont="1" applyFill="1" applyBorder="1" applyAlignment="1" applyProtection="1">
      <alignment horizontal="center" vertical="center" wrapText="1"/>
      <protection locked="0"/>
    </xf>
    <xf numFmtId="0" fontId="60" fillId="60" borderId="51" xfId="0" applyFont="1" applyFill="1" applyBorder="1" applyAlignment="1" applyProtection="1">
      <alignment horizontal="center" vertical="center" wrapText="1"/>
      <protection locked="0"/>
    </xf>
    <xf numFmtId="0" fontId="60" fillId="60" borderId="2" xfId="0" applyFont="1" applyFill="1" applyBorder="1" applyAlignment="1" applyProtection="1">
      <alignment horizontal="center" vertical="center" wrapText="1"/>
      <protection locked="0"/>
    </xf>
    <xf numFmtId="0" fontId="51" fillId="62" borderId="1" xfId="0" applyFont="1" applyFill="1" applyBorder="1" applyAlignment="1" applyProtection="1">
      <alignment horizontal="center" vertical="center" textRotation="90" wrapText="1"/>
      <protection locked="0"/>
    </xf>
    <xf numFmtId="0" fontId="49" fillId="44" borderId="120" xfId="0" applyFont="1" applyFill="1" applyBorder="1" applyAlignment="1" applyProtection="1">
      <alignment horizontal="center" vertical="center" wrapText="1"/>
      <protection locked="0"/>
    </xf>
    <xf numFmtId="0" fontId="37" fillId="39" borderId="1" xfId="0" applyFont="1" applyFill="1" applyBorder="1" applyAlignment="1" applyProtection="1">
      <alignment horizontal="center" vertical="center" wrapText="1"/>
      <protection locked="0"/>
    </xf>
    <xf numFmtId="0" fontId="51" fillId="58" borderId="6" xfId="0" applyFont="1" applyFill="1" applyBorder="1" applyAlignment="1" applyProtection="1">
      <alignment horizontal="center" vertical="center" textRotation="90" wrapText="1"/>
      <protection locked="0"/>
    </xf>
    <xf numFmtId="0" fontId="51" fillId="58" borderId="99" xfId="0" applyFont="1" applyFill="1" applyBorder="1" applyAlignment="1" applyProtection="1">
      <alignment horizontal="center" vertical="center" textRotation="90" wrapText="1"/>
      <protection locked="0"/>
    </xf>
    <xf numFmtId="0" fontId="51" fillId="58" borderId="5" xfId="0" applyFont="1" applyFill="1" applyBorder="1" applyAlignment="1" applyProtection="1">
      <alignment horizontal="center" vertical="center" textRotation="90" wrapText="1"/>
      <protection locked="0"/>
    </xf>
    <xf numFmtId="0" fontId="60" fillId="39" borderId="1" xfId="0" applyFont="1" applyFill="1" applyBorder="1" applyAlignment="1" applyProtection="1">
      <alignment horizontal="center" vertical="center" wrapText="1"/>
      <protection locked="0"/>
    </xf>
    <xf numFmtId="0" fontId="60" fillId="62" borderId="3" xfId="0" applyFont="1" applyFill="1" applyBorder="1" applyAlignment="1" applyProtection="1">
      <alignment horizontal="center" vertical="center" wrapText="1"/>
      <protection locked="0"/>
    </xf>
    <xf numFmtId="0" fontId="60" fillId="62" borderId="51" xfId="0" applyFont="1" applyFill="1" applyBorder="1" applyAlignment="1" applyProtection="1">
      <alignment horizontal="center" vertical="center" wrapText="1"/>
      <protection locked="0"/>
    </xf>
    <xf numFmtId="0" fontId="60" fillId="62" borderId="2" xfId="0" applyFont="1" applyFill="1" applyBorder="1" applyAlignment="1" applyProtection="1">
      <alignment horizontal="center" vertical="center" wrapText="1"/>
      <protection locked="0"/>
    </xf>
    <xf numFmtId="0" fontId="60" fillId="50" borderId="1" xfId="0" applyFont="1" applyFill="1" applyBorder="1" applyAlignment="1" applyProtection="1">
      <alignment horizontal="center" vertical="center" wrapText="1"/>
      <protection locked="0"/>
    </xf>
    <xf numFmtId="0" fontId="60" fillId="28" borderId="1" xfId="0" applyFont="1" applyFill="1" applyBorder="1" applyAlignment="1" applyProtection="1">
      <alignment horizontal="center" vertical="center" wrapText="1"/>
      <protection locked="0"/>
    </xf>
    <xf numFmtId="0" fontId="47" fillId="26" borderId="9" xfId="0" applyFont="1" applyFill="1" applyBorder="1" applyAlignment="1">
      <alignment horizontal="center" vertical="center" wrapText="1"/>
    </xf>
    <xf numFmtId="0" fontId="47" fillId="26" borderId="12" xfId="0" applyFont="1" applyFill="1" applyBorder="1" applyAlignment="1">
      <alignment horizontal="center" vertical="center" wrapText="1"/>
    </xf>
    <xf numFmtId="0" fontId="47" fillId="26" borderId="20" xfId="0" applyFont="1" applyFill="1" applyBorder="1" applyAlignment="1">
      <alignment horizontal="center" vertical="center" wrapText="1"/>
    </xf>
    <xf numFmtId="0" fontId="24" fillId="62" borderId="51" xfId="0" applyFont="1" applyFill="1" applyBorder="1" applyAlignment="1">
      <alignment horizontal="left" vertical="center" wrapText="1"/>
    </xf>
    <xf numFmtId="0" fontId="24" fillId="62" borderId="2" xfId="0" applyFont="1" applyFill="1" applyBorder="1" applyAlignment="1">
      <alignment horizontal="left" vertical="center" wrapText="1"/>
    </xf>
    <xf numFmtId="0" fontId="24" fillId="60" borderId="51" xfId="0" applyFont="1" applyFill="1" applyBorder="1" applyAlignment="1">
      <alignment horizontal="left" vertical="center" wrapText="1"/>
    </xf>
    <xf numFmtId="0" fontId="24" fillId="60" borderId="2" xfId="0" applyFont="1" applyFill="1" applyBorder="1" applyAlignment="1">
      <alignment horizontal="left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19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24" fillId="39" borderId="51" xfId="0" applyFont="1" applyFill="1" applyBorder="1" applyAlignment="1">
      <alignment horizontal="left" vertical="center" wrapText="1"/>
    </xf>
    <xf numFmtId="0" fontId="24" fillId="39" borderId="2" xfId="0" applyFont="1" applyFill="1" applyBorder="1" applyAlignment="1">
      <alignment horizontal="left" vertical="center" wrapText="1"/>
    </xf>
    <xf numFmtId="0" fontId="24" fillId="28" borderId="51" xfId="0" applyFont="1" applyFill="1" applyBorder="1" applyAlignment="1">
      <alignment horizontal="left" vertical="center" wrapText="1"/>
    </xf>
    <xf numFmtId="0" fontId="24" fillId="28" borderId="2" xfId="0" applyFont="1" applyFill="1" applyBorder="1" applyAlignment="1">
      <alignment horizontal="left" vertical="center" wrapText="1"/>
    </xf>
    <xf numFmtId="0" fontId="24" fillId="50" borderId="51" xfId="0" applyFont="1" applyFill="1" applyBorder="1" applyAlignment="1">
      <alignment horizontal="left" vertical="center" wrapText="1"/>
    </xf>
    <xf numFmtId="0" fontId="24" fillId="50" borderId="2" xfId="0" applyFont="1" applyFill="1" applyBorder="1" applyAlignment="1">
      <alignment horizontal="left" vertical="center" wrapText="1"/>
    </xf>
    <xf numFmtId="0" fontId="72" fillId="61" borderId="3" xfId="0" applyFont="1" applyFill="1" applyBorder="1" applyAlignment="1" applyProtection="1">
      <alignment horizontal="left" vertical="center" wrapText="1"/>
      <protection locked="0"/>
    </xf>
    <xf numFmtId="0" fontId="72" fillId="61" borderId="51" xfId="0" applyFont="1" applyFill="1" applyBorder="1" applyAlignment="1" applyProtection="1">
      <alignment horizontal="left" vertical="center" wrapText="1"/>
      <protection locked="0"/>
    </xf>
    <xf numFmtId="0" fontId="72" fillId="61" borderId="2" xfId="0" applyFont="1" applyFill="1" applyBorder="1" applyAlignment="1" applyProtection="1">
      <alignment horizontal="left" vertical="center" wrapText="1"/>
      <protection locked="0"/>
    </xf>
    <xf numFmtId="0" fontId="24" fillId="0" borderId="8" xfId="1" applyFont="1" applyFill="1" applyBorder="1" applyAlignment="1">
      <alignment horizontal="center" vertical="center" wrapText="1"/>
    </xf>
    <xf numFmtId="0" fontId="24" fillId="0" borderId="10" xfId="1" applyFont="1" applyFill="1" applyBorder="1" applyAlignment="1">
      <alignment horizontal="center" vertical="center" wrapText="1"/>
    </xf>
    <xf numFmtId="0" fontId="24" fillId="0" borderId="13" xfId="1" applyFont="1" applyFill="1" applyBorder="1" applyAlignment="1">
      <alignment horizontal="center" vertical="center" wrapText="1"/>
    </xf>
    <xf numFmtId="0" fontId="24" fillId="0" borderId="14" xfId="1" applyFont="1" applyFill="1" applyBorder="1" applyAlignment="1">
      <alignment horizontal="center" vertical="center" wrapText="1"/>
    </xf>
    <xf numFmtId="0" fontId="24" fillId="58" borderId="51" xfId="0" applyFont="1" applyFill="1" applyBorder="1" applyAlignment="1">
      <alignment horizontal="left" vertical="center" wrapText="1"/>
    </xf>
    <xf numFmtId="0" fontId="24" fillId="58" borderId="2" xfId="0" applyFont="1" applyFill="1" applyBorder="1" applyAlignment="1">
      <alignment horizontal="left" vertical="center" wrapText="1"/>
    </xf>
    <xf numFmtId="0" fontId="30" fillId="0" borderId="15" xfId="0" applyFont="1" applyBorder="1" applyAlignment="1">
      <alignment horizontal="center" vertical="center" textRotation="90" wrapText="1"/>
    </xf>
    <xf numFmtId="0" fontId="28" fillId="0" borderId="21" xfId="0" applyFont="1" applyBorder="1" applyAlignment="1">
      <alignment horizontal="center" vertical="center" textRotation="90" wrapText="1"/>
    </xf>
    <xf numFmtId="0" fontId="33" fillId="31" borderId="69" xfId="0" applyFont="1" applyFill="1" applyBorder="1" applyAlignment="1">
      <alignment horizontal="center" vertical="center" wrapText="1"/>
    </xf>
    <xf numFmtId="0" fontId="33" fillId="31" borderId="20" xfId="0" applyFont="1" applyFill="1" applyBorder="1" applyAlignment="1">
      <alignment horizontal="center" vertical="center" wrapText="1"/>
    </xf>
    <xf numFmtId="0" fontId="33" fillId="31" borderId="72" xfId="0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textRotation="90" wrapText="1"/>
    </xf>
    <xf numFmtId="0" fontId="28" fillId="0" borderId="13" xfId="0" applyFont="1" applyBorder="1" applyAlignment="1">
      <alignment horizontal="center" vertical="center" textRotation="90" wrapText="1"/>
    </xf>
    <xf numFmtId="0" fontId="28" fillId="0" borderId="46" xfId="0" applyFont="1" applyBorder="1" applyAlignment="1">
      <alignment horizontal="center" vertical="center" textRotation="90" wrapText="1"/>
    </xf>
    <xf numFmtId="0" fontId="23" fillId="0" borderId="21" xfId="1" applyFont="1" applyFill="1" applyBorder="1" applyAlignment="1">
      <alignment horizontal="center" vertical="center" wrapText="1"/>
    </xf>
    <xf numFmtId="0" fontId="23" fillId="0" borderId="51" xfId="1" applyFont="1" applyFill="1" applyBorder="1" applyAlignment="1">
      <alignment horizontal="center" vertical="center" wrapText="1"/>
    </xf>
    <xf numFmtId="0" fontId="23" fillId="0" borderId="2" xfId="1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25" fillId="31" borderId="25" xfId="1" applyFont="1" applyFill="1" applyBorder="1" applyAlignment="1">
      <alignment horizontal="center" vertical="center" wrapText="1"/>
    </xf>
    <xf numFmtId="0" fontId="25" fillId="31" borderId="52" xfId="1" applyFont="1" applyFill="1" applyBorder="1" applyAlignment="1">
      <alignment horizontal="center" vertical="center" wrapText="1"/>
    </xf>
    <xf numFmtId="0" fontId="25" fillId="31" borderId="27" xfId="1" applyFont="1" applyFill="1" applyBorder="1" applyAlignment="1">
      <alignment horizontal="center" vertical="center" wrapText="1"/>
    </xf>
    <xf numFmtId="0" fontId="27" fillId="0" borderId="9" xfId="0" applyFont="1" applyFill="1" applyBorder="1" applyAlignment="1">
      <alignment horizontal="center" vertical="center" textRotation="90" wrapText="1"/>
    </xf>
    <xf numFmtId="0" fontId="28" fillId="0" borderId="20" xfId="0" applyFont="1" applyFill="1" applyBorder="1" applyAlignment="1">
      <alignment horizontal="center" vertical="center" textRotation="90" wrapText="1"/>
    </xf>
    <xf numFmtId="0" fontId="29" fillId="0" borderId="79" xfId="0" applyFont="1" applyFill="1" applyBorder="1" applyAlignment="1">
      <alignment horizontal="left" vertical="center" wrapText="1"/>
    </xf>
    <xf numFmtId="0" fontId="29" fillId="0" borderId="24" xfId="0" applyFont="1" applyFill="1" applyBorder="1" applyAlignment="1">
      <alignment horizontal="left" vertical="center" wrapText="1"/>
    </xf>
    <xf numFmtId="0" fontId="23" fillId="26" borderId="9" xfId="0" applyFont="1" applyFill="1" applyBorder="1" applyAlignment="1">
      <alignment horizontal="center" vertical="center" wrapText="1"/>
    </xf>
    <xf numFmtId="0" fontId="23" fillId="26" borderId="12" xfId="0" applyFont="1" applyFill="1" applyBorder="1" applyAlignment="1">
      <alignment horizontal="center" vertical="center" wrapText="1"/>
    </xf>
    <xf numFmtId="0" fontId="23" fillId="26" borderId="20" xfId="0" applyFont="1" applyFill="1" applyBorder="1" applyAlignment="1">
      <alignment horizontal="center" vertical="center" wrapText="1"/>
    </xf>
    <xf numFmtId="0" fontId="26" fillId="25" borderId="44" xfId="1" applyFont="1" applyFill="1" applyBorder="1" applyAlignment="1">
      <alignment horizontal="left" vertical="top" wrapText="1"/>
    </xf>
    <xf numFmtId="0" fontId="26" fillId="25" borderId="49" xfId="1" applyFont="1" applyFill="1" applyBorder="1" applyAlignment="1">
      <alignment horizontal="left" vertical="top" wrapText="1"/>
    </xf>
    <xf numFmtId="0" fontId="24" fillId="0" borderId="46" xfId="1" applyFont="1" applyFill="1" applyBorder="1" applyAlignment="1">
      <alignment horizontal="center" vertical="center" wrapText="1"/>
    </xf>
    <xf numFmtId="0" fontId="24" fillId="0" borderId="48" xfId="1" applyFont="1" applyFill="1" applyBorder="1" applyAlignment="1">
      <alignment horizontal="center" vertical="center" wrapText="1"/>
    </xf>
    <xf numFmtId="0" fontId="23" fillId="32" borderId="15" xfId="1" applyFont="1" applyFill="1" applyBorder="1" applyAlignment="1">
      <alignment horizontal="center" vertical="center" wrapText="1"/>
    </xf>
    <xf numFmtId="0" fontId="23" fillId="32" borderId="53" xfId="1" applyFont="1" applyFill="1" applyBorder="1" applyAlignment="1">
      <alignment horizontal="center" vertical="center" wrapText="1"/>
    </xf>
    <xf numFmtId="0" fontId="23" fillId="32" borderId="18" xfId="1" applyFont="1" applyFill="1" applyBorder="1" applyAlignment="1">
      <alignment horizontal="center" vertical="center" wrapText="1"/>
    </xf>
    <xf numFmtId="0" fontId="23" fillId="27" borderId="21" xfId="1" applyFont="1" applyFill="1" applyBorder="1" applyAlignment="1">
      <alignment horizontal="center" vertical="center" wrapText="1"/>
    </xf>
    <xf numFmtId="0" fontId="23" fillId="27" borderId="51" xfId="1" applyFont="1" applyFill="1" applyBorder="1" applyAlignment="1">
      <alignment horizontal="center" vertical="center" wrapText="1"/>
    </xf>
    <xf numFmtId="0" fontId="23" fillId="27" borderId="2" xfId="1" applyFont="1" applyFill="1" applyBorder="1" applyAlignment="1">
      <alignment horizontal="center" vertical="center" wrapText="1"/>
    </xf>
    <xf numFmtId="0" fontId="23" fillId="29" borderId="21" xfId="1" applyFont="1" applyFill="1" applyBorder="1" applyAlignment="1">
      <alignment horizontal="center" vertical="center" wrapText="1"/>
    </xf>
    <xf numFmtId="0" fontId="23" fillId="29" borderId="51" xfId="1" applyFont="1" applyFill="1" applyBorder="1" applyAlignment="1">
      <alignment horizontal="center" vertical="center" wrapText="1"/>
    </xf>
    <xf numFmtId="0" fontId="23" fillId="29" borderId="2" xfId="1" applyFont="1" applyFill="1" applyBorder="1" applyAlignment="1">
      <alignment horizontal="center" vertical="center" wrapText="1"/>
    </xf>
    <xf numFmtId="0" fontId="23" fillId="28" borderId="21" xfId="1" applyFont="1" applyFill="1" applyBorder="1" applyAlignment="1">
      <alignment horizontal="center" vertical="center" wrapText="1"/>
    </xf>
    <xf numFmtId="0" fontId="23" fillId="28" borderId="51" xfId="1" applyFont="1" applyFill="1" applyBorder="1" applyAlignment="1">
      <alignment horizontal="center" vertical="center" wrapText="1"/>
    </xf>
    <xf numFmtId="0" fontId="23" fillId="28" borderId="2" xfId="1" applyFont="1" applyFill="1" applyBorder="1" applyAlignment="1">
      <alignment horizontal="center" vertical="center" wrapText="1"/>
    </xf>
    <xf numFmtId="0" fontId="23" fillId="26" borderId="21" xfId="1" applyFont="1" applyFill="1" applyBorder="1" applyAlignment="1">
      <alignment horizontal="center" vertical="center" wrapText="1"/>
    </xf>
    <xf numFmtId="0" fontId="23" fillId="26" borderId="51" xfId="1" applyFont="1" applyFill="1" applyBorder="1" applyAlignment="1">
      <alignment horizontal="center" vertical="center" wrapText="1"/>
    </xf>
    <xf numFmtId="0" fontId="23" fillId="26" borderId="2" xfId="1" applyFont="1" applyFill="1" applyBorder="1" applyAlignment="1">
      <alignment horizontal="center" vertical="center" wrapText="1"/>
    </xf>
    <xf numFmtId="0" fontId="23" fillId="26" borderId="8" xfId="0" applyFont="1" applyFill="1" applyBorder="1" applyAlignment="1">
      <alignment horizontal="center" vertical="center" wrapText="1"/>
    </xf>
    <xf numFmtId="0" fontId="23" fillId="26" borderId="13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/>
    </xf>
    <xf numFmtId="0" fontId="64" fillId="0" borderId="0" xfId="0" applyFont="1" applyFill="1" applyBorder="1" applyAlignment="1">
      <alignment horizontal="center"/>
    </xf>
    <xf numFmtId="0" fontId="2" fillId="0" borderId="43" xfId="0" applyFont="1" applyFill="1" applyBorder="1" applyAlignment="1">
      <alignment horizontal="center"/>
    </xf>
    <xf numFmtId="0" fontId="2" fillId="0" borderId="47" xfId="0" applyFont="1" applyFill="1" applyBorder="1" applyAlignment="1">
      <alignment horizontal="center"/>
    </xf>
    <xf numFmtId="0" fontId="66" fillId="0" borderId="0" xfId="0" applyFont="1" applyFill="1" applyBorder="1" applyAlignment="1"/>
    <xf numFmtId="0" fontId="2" fillId="0" borderId="0" xfId="0" applyFont="1" applyFill="1" applyBorder="1" applyAlignment="1">
      <alignment horizontal="center" vertical="top" wrapText="1"/>
    </xf>
    <xf numFmtId="0" fontId="65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47" xfId="0" applyFont="1" applyBorder="1" applyAlignment="1">
      <alignment horizontal="center"/>
    </xf>
    <xf numFmtId="0" fontId="2" fillId="0" borderId="115" xfId="0" applyFont="1" applyBorder="1" applyAlignment="1">
      <alignment horizontal="center"/>
    </xf>
    <xf numFmtId="0" fontId="2" fillId="0" borderId="74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61" fillId="0" borderId="118" xfId="0" applyFont="1" applyBorder="1" applyAlignment="1">
      <alignment horizontal="center" vertical="center"/>
    </xf>
    <xf numFmtId="0" fontId="61" fillId="0" borderId="43" xfId="0" applyFont="1" applyBorder="1" applyAlignment="1">
      <alignment horizontal="center" vertical="center"/>
    </xf>
    <xf numFmtId="0" fontId="61" fillId="0" borderId="82" xfId="0" applyFont="1" applyBorder="1" applyAlignment="1">
      <alignment horizontal="center" vertical="center"/>
    </xf>
    <xf numFmtId="0" fontId="61" fillId="0" borderId="73" xfId="0" applyFont="1" applyBorder="1" applyAlignment="1">
      <alignment vertical="center"/>
    </xf>
    <xf numFmtId="0" fontId="61" fillId="0" borderId="102" xfId="0" applyFont="1" applyBorder="1" applyAlignment="1">
      <alignment vertical="center"/>
    </xf>
    <xf numFmtId="0" fontId="61" fillId="0" borderId="4" xfId="0" applyFont="1" applyBorder="1" applyAlignment="1">
      <alignment vertical="center"/>
    </xf>
    <xf numFmtId="0" fontId="2" fillId="0" borderId="7" xfId="0" applyFont="1" applyBorder="1" applyAlignment="1">
      <alignment horizontal="center"/>
    </xf>
    <xf numFmtId="0" fontId="2" fillId="0" borderId="63" xfId="0" applyFont="1" applyBorder="1" applyAlignment="1">
      <alignment horizontal="center"/>
    </xf>
    <xf numFmtId="0" fontId="2" fillId="0" borderId="102" xfId="0" applyFont="1" applyBorder="1" applyAlignment="1">
      <alignment horizontal="center"/>
    </xf>
    <xf numFmtId="0" fontId="2" fillId="0" borderId="83" xfId="0" applyFont="1" applyBorder="1" applyAlignment="1">
      <alignment horizontal="center"/>
    </xf>
    <xf numFmtId="0" fontId="2" fillId="0" borderId="113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63" fillId="0" borderId="113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74" xfId="0" applyFont="1" applyBorder="1" applyAlignment="1">
      <alignment horizontal="center" vertical="center"/>
    </xf>
    <xf numFmtId="0" fontId="49" fillId="0" borderId="47" xfId="0" applyFont="1" applyBorder="1" applyAlignment="1">
      <alignment horizontal="center" vertical="center"/>
    </xf>
    <xf numFmtId="0" fontId="63" fillId="0" borderId="0" xfId="0" applyFont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47" xfId="0" applyFont="1" applyBorder="1" applyAlignment="1">
      <alignment horizontal="center" vertical="center"/>
    </xf>
    <xf numFmtId="0" fontId="0" fillId="38" borderId="9" xfId="0" applyFill="1" applyBorder="1" applyAlignment="1">
      <alignment horizontal="center" vertical="center" textRotation="90"/>
    </xf>
    <xf numFmtId="0" fontId="0" fillId="38" borderId="20" xfId="0" applyFill="1" applyBorder="1" applyAlignment="1">
      <alignment horizontal="center" vertical="center" textRotation="90"/>
    </xf>
    <xf numFmtId="0" fontId="0" fillId="38" borderId="12" xfId="0" applyFill="1" applyBorder="1" applyAlignment="1">
      <alignment horizontal="center" vertical="center" textRotation="90"/>
    </xf>
    <xf numFmtId="0" fontId="0" fillId="0" borderId="1" xfId="0" applyBorder="1" applyAlignment="1">
      <alignment horizontal="center"/>
    </xf>
    <xf numFmtId="0" fontId="23" fillId="26" borderId="1" xfId="0" applyFont="1" applyFill="1" applyBorder="1" applyAlignment="1">
      <alignment horizontal="center" vertical="center" wrapText="1"/>
    </xf>
    <xf numFmtId="0" fontId="0" fillId="39" borderId="1" xfId="0" applyFill="1" applyBorder="1" applyAlignment="1">
      <alignment horizontal="center"/>
    </xf>
    <xf numFmtId="0" fontId="0" fillId="40" borderId="1" xfId="0" applyFill="1" applyBorder="1" applyAlignment="1">
      <alignment horizontal="center"/>
    </xf>
    <xf numFmtId="0" fontId="24" fillId="39" borderId="1" xfId="0" applyFont="1" applyFill="1" applyBorder="1" applyAlignment="1">
      <alignment horizontal="center" vertical="center" wrapText="1"/>
    </xf>
    <xf numFmtId="0" fontId="24" fillId="28" borderId="1" xfId="0" applyFont="1" applyFill="1" applyBorder="1" applyAlignment="1">
      <alignment horizontal="center" vertical="center" wrapText="1"/>
    </xf>
    <xf numFmtId="0" fontId="24" fillId="50" borderId="1" xfId="0" applyFont="1" applyFill="1" applyBorder="1" applyAlignment="1">
      <alignment horizontal="center" vertical="center" wrapText="1"/>
    </xf>
    <xf numFmtId="0" fontId="24" fillId="61" borderId="1" xfId="0" applyFont="1" applyFill="1" applyBorder="1" applyAlignment="1">
      <alignment horizontal="center" vertical="center" wrapText="1"/>
    </xf>
    <xf numFmtId="0" fontId="24" fillId="62" borderId="1" xfId="0" applyFont="1" applyFill="1" applyBorder="1" applyAlignment="1">
      <alignment horizontal="center" vertical="center" wrapText="1"/>
    </xf>
    <xf numFmtId="0" fontId="24" fillId="60" borderId="1" xfId="0" applyFont="1" applyFill="1" applyBorder="1" applyAlignment="1">
      <alignment horizontal="center" vertical="center" wrapText="1"/>
    </xf>
    <xf numFmtId="0" fontId="24" fillId="58" borderId="1" xfId="0" applyFont="1" applyFill="1" applyBorder="1" applyAlignment="1">
      <alignment horizontal="center" vertical="center" wrapText="1"/>
    </xf>
    <xf numFmtId="0" fontId="20" fillId="0" borderId="61" xfId="0" applyFont="1" applyBorder="1" applyAlignment="1">
      <alignment horizontal="center" vertical="center" wrapText="1" shrinkToFit="1"/>
    </xf>
  </cellXfs>
  <cellStyles count="76">
    <cellStyle name="20% - Accent1" xfId="2" xr:uid="{00000000-0005-0000-0000-000000000000}"/>
    <cellStyle name="20% - Accent2" xfId="3" xr:uid="{00000000-0005-0000-0000-000001000000}"/>
    <cellStyle name="20% - Accent3" xfId="4" xr:uid="{00000000-0005-0000-0000-000002000000}"/>
    <cellStyle name="20% - Accent4" xfId="5" xr:uid="{00000000-0005-0000-0000-000003000000}"/>
    <cellStyle name="20% - Accent5" xfId="6" xr:uid="{00000000-0005-0000-0000-000004000000}"/>
    <cellStyle name="20% - Accent6" xfId="7" xr:uid="{00000000-0005-0000-0000-000005000000}"/>
    <cellStyle name="40% - Accent1" xfId="8" xr:uid="{00000000-0005-0000-0000-000006000000}"/>
    <cellStyle name="40% - Accent2" xfId="9" xr:uid="{00000000-0005-0000-0000-000007000000}"/>
    <cellStyle name="40% - Accent3" xfId="10" xr:uid="{00000000-0005-0000-0000-000008000000}"/>
    <cellStyle name="40% - Accent4" xfId="11" xr:uid="{00000000-0005-0000-0000-000009000000}"/>
    <cellStyle name="40% - Accent5" xfId="12" xr:uid="{00000000-0005-0000-0000-00000A000000}"/>
    <cellStyle name="40% - Accent6" xfId="13" xr:uid="{00000000-0005-0000-0000-00000B000000}"/>
    <cellStyle name="60% - Accent1" xfId="14" xr:uid="{00000000-0005-0000-0000-00000C000000}"/>
    <cellStyle name="60% - Accent2" xfId="15" xr:uid="{00000000-0005-0000-0000-00000D000000}"/>
    <cellStyle name="60% - Accent3" xfId="16" xr:uid="{00000000-0005-0000-0000-00000E000000}"/>
    <cellStyle name="60% - Accent4" xfId="17" xr:uid="{00000000-0005-0000-0000-00000F000000}"/>
    <cellStyle name="60% - Accent5" xfId="18" xr:uid="{00000000-0005-0000-0000-000010000000}"/>
    <cellStyle name="60% - Accent6" xfId="19" xr:uid="{00000000-0005-0000-0000-000011000000}"/>
    <cellStyle name="Accent1 2" xfId="20" xr:uid="{00000000-0005-0000-0000-000012000000}"/>
    <cellStyle name="Accent2 2" xfId="21" xr:uid="{00000000-0005-0000-0000-000013000000}"/>
    <cellStyle name="Accent3 2" xfId="22" xr:uid="{00000000-0005-0000-0000-000014000000}"/>
    <cellStyle name="Accent4 2" xfId="23" xr:uid="{00000000-0005-0000-0000-000015000000}"/>
    <cellStyle name="Accent5 2" xfId="24" xr:uid="{00000000-0005-0000-0000-000016000000}"/>
    <cellStyle name="Accent6 2" xfId="25" xr:uid="{00000000-0005-0000-0000-000017000000}"/>
    <cellStyle name="Bad" xfId="26" xr:uid="{00000000-0005-0000-0000-000018000000}"/>
    <cellStyle name="Calculation" xfId="27" xr:uid="{00000000-0005-0000-0000-000019000000}"/>
    <cellStyle name="Check Cell" xfId="28" xr:uid="{00000000-0005-0000-0000-00001A000000}"/>
    <cellStyle name="Comma  - Style1" xfId="61" xr:uid="{00000000-0005-0000-0000-00001B000000}"/>
    <cellStyle name="Comma  - Style2" xfId="62" xr:uid="{00000000-0005-0000-0000-00001C000000}"/>
    <cellStyle name="Comma  - Style3" xfId="63" xr:uid="{00000000-0005-0000-0000-00001D000000}"/>
    <cellStyle name="Comma  - Style4" xfId="64" xr:uid="{00000000-0005-0000-0000-00001E000000}"/>
    <cellStyle name="Comma  - Style5" xfId="65" xr:uid="{00000000-0005-0000-0000-00001F000000}"/>
    <cellStyle name="Comma  - Style6" xfId="66" xr:uid="{00000000-0005-0000-0000-000020000000}"/>
    <cellStyle name="Comma  - Style7" xfId="67" xr:uid="{00000000-0005-0000-0000-000021000000}"/>
    <cellStyle name="Comma  - Style8" xfId="68" xr:uid="{00000000-0005-0000-0000-000022000000}"/>
    <cellStyle name="entry" xfId="60" xr:uid="{00000000-0005-0000-0000-000023000000}"/>
    <cellStyle name="entry 2" xfId="74" xr:uid="{00000000-0005-0000-0000-000024000000}"/>
    <cellStyle name="Euro" xfId="29" xr:uid="{00000000-0005-0000-0000-000025000000}"/>
    <cellStyle name="Euro 2" xfId="53" xr:uid="{00000000-0005-0000-0000-000026000000}"/>
    <cellStyle name="Euro 2 2" xfId="56" xr:uid="{00000000-0005-0000-0000-000027000000}"/>
    <cellStyle name="Euro 3" xfId="50" xr:uid="{00000000-0005-0000-0000-000028000000}"/>
    <cellStyle name="Euro 4" xfId="47" xr:uid="{00000000-0005-0000-0000-000029000000}"/>
    <cellStyle name="Explanatory Text" xfId="30" xr:uid="{00000000-0005-0000-0000-00002A000000}"/>
    <cellStyle name="Good" xfId="31" xr:uid="{00000000-0005-0000-0000-00002B000000}"/>
    <cellStyle name="Header1" xfId="69" xr:uid="{00000000-0005-0000-0000-00002C000000}"/>
    <cellStyle name="Header2" xfId="70" xr:uid="{00000000-0005-0000-0000-00002D000000}"/>
    <cellStyle name="Heading 1" xfId="32" xr:uid="{00000000-0005-0000-0000-00002E000000}"/>
    <cellStyle name="Heading 2" xfId="33" xr:uid="{00000000-0005-0000-0000-00002F000000}"/>
    <cellStyle name="Heading 3" xfId="34" xr:uid="{00000000-0005-0000-0000-000030000000}"/>
    <cellStyle name="Heading 4" xfId="35" xr:uid="{00000000-0005-0000-0000-000031000000}"/>
    <cellStyle name="Input" xfId="36" xr:uid="{00000000-0005-0000-0000-000032000000}"/>
    <cellStyle name="Lien hypertexte" xfId="59" builtinId="8"/>
    <cellStyle name="Linked Cell" xfId="37" xr:uid="{00000000-0005-0000-0000-000034000000}"/>
    <cellStyle name="Neutral" xfId="38" xr:uid="{00000000-0005-0000-0000-000035000000}"/>
    <cellStyle name="Normal" xfId="0" builtinId="0"/>
    <cellStyle name="Normal 2" xfId="1" xr:uid="{00000000-0005-0000-0000-000037000000}"/>
    <cellStyle name="Normal 3" xfId="52" xr:uid="{00000000-0005-0000-0000-000038000000}"/>
    <cellStyle name="Normal 3 2" xfId="55" xr:uid="{00000000-0005-0000-0000-000039000000}"/>
    <cellStyle name="Normal 3 3" xfId="73" xr:uid="{00000000-0005-0000-0000-00003A000000}"/>
    <cellStyle name="Normal 4" xfId="49" xr:uid="{00000000-0005-0000-0000-00003B000000}"/>
    <cellStyle name="Normal 5" xfId="46" xr:uid="{00000000-0005-0000-0000-00003C000000}"/>
    <cellStyle name="Normal 6" xfId="58" xr:uid="{00000000-0005-0000-0000-00003D000000}"/>
    <cellStyle name="Normale_Foglio1" xfId="39" xr:uid="{00000000-0005-0000-0000-00003E000000}"/>
    <cellStyle name="Note" xfId="40" xr:uid="{00000000-0005-0000-0000-00003F000000}"/>
    <cellStyle name="Note 2" xfId="54" xr:uid="{00000000-0005-0000-0000-000040000000}"/>
    <cellStyle name="Note 2 2" xfId="57" xr:uid="{00000000-0005-0000-0000-000041000000}"/>
    <cellStyle name="Note 3" xfId="51" xr:uid="{00000000-0005-0000-0000-000042000000}"/>
    <cellStyle name="Note 4" xfId="48" xr:uid="{00000000-0005-0000-0000-000043000000}"/>
    <cellStyle name="Output" xfId="41" xr:uid="{00000000-0005-0000-0000-000044000000}"/>
    <cellStyle name="sect6" xfId="75" xr:uid="{00000000-0005-0000-0000-000045000000}"/>
    <cellStyle name="Title" xfId="42" xr:uid="{00000000-0005-0000-0000-000046000000}"/>
    <cellStyle name="Total 2" xfId="43" xr:uid="{00000000-0005-0000-0000-000047000000}"/>
    <cellStyle name="Valuta (0)_ATTREZZA.XLS" xfId="44" xr:uid="{00000000-0005-0000-0000-000048000000}"/>
    <cellStyle name="Warning Text" xfId="45" xr:uid="{00000000-0005-0000-0000-000049000000}"/>
    <cellStyle name="標準_ZG915_Block Diagram_00_0" xfId="71" xr:uid="{00000000-0005-0000-0000-00004A000000}"/>
    <cellStyle name="標準2" xfId="72" xr:uid="{00000000-0005-0000-0000-00004B000000}"/>
  </cellStyles>
  <dxfs count="288">
    <dxf>
      <border diagonalUp="0" diagonalDown="0">
        <left style="thin">
          <color rgb="FF0070C0"/>
        </left>
        <right/>
        <top/>
        <bottom/>
        <vertical/>
        <horizontal/>
      </border>
    </dxf>
    <dxf>
      <border diagonalUp="0" diagonalDown="0">
        <left style="thin">
          <color rgb="FF0070C0"/>
        </left>
        <right style="thin">
          <color rgb="FF0070C0"/>
        </right>
        <top/>
        <bottom/>
        <vertical/>
        <horizontal/>
      </border>
    </dxf>
    <dxf>
      <border diagonalUp="0" diagonalDown="0">
        <left style="thin">
          <color rgb="FF0070C0"/>
        </left>
        <right style="thin">
          <color rgb="FF0070C0"/>
        </right>
        <top/>
        <bottom/>
        <vertical/>
        <horizontal/>
      </border>
    </dxf>
    <dxf>
      <border diagonalUp="0" diagonalDown="0">
        <left style="thin">
          <color rgb="FF0070C0"/>
        </left>
        <right style="thin">
          <color rgb="FF0070C0"/>
        </right>
        <top/>
        <bottom/>
        <vertical/>
        <horizontal/>
      </border>
    </dxf>
    <dxf>
      <border diagonalUp="0" diagonalDown="0">
        <left style="thin">
          <color rgb="FF0070C0"/>
        </left>
        <right style="thin">
          <color rgb="FF0070C0"/>
        </right>
        <top/>
        <bottom/>
        <vertical/>
        <horizontal/>
      </border>
    </dxf>
    <dxf>
      <border diagonalUp="0" diagonalDown="0">
        <left style="thin">
          <color rgb="FF0070C0"/>
        </left>
        <right style="thin">
          <color rgb="FF0070C0"/>
        </right>
        <top/>
        <bottom/>
        <vertical/>
        <horizontal/>
      </border>
    </dxf>
    <dxf>
      <border diagonalUp="0" diagonalDown="0">
        <left/>
        <right style="thin">
          <color rgb="FF0070C0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theme="3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CC"/>
      <color rgb="FFCCFFFF"/>
      <color rgb="FFFFCCFF"/>
      <color rgb="FF00FFFF"/>
      <color rgb="FF6699FF"/>
      <color rgb="FF99CCFF"/>
      <color rgb="FFCCFFCC"/>
      <color rgb="FF00FF00"/>
      <color rgb="FF66FF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openxmlformats.org/officeDocument/2006/relationships/worksheet" Target="worksheets/sheet10.xml"/>
  <Relationship Id="rId11" Type="http://schemas.openxmlformats.org/officeDocument/2006/relationships/worksheet" Target="worksheets/sheet11.xml"/>
  <Relationship Id="rId12" Type="http://schemas.openxmlformats.org/officeDocument/2006/relationships/worksheet" Target="worksheets/sheet12.xml"/>
  <Relationship Id="rId13" Type="http://schemas.openxmlformats.org/officeDocument/2006/relationships/worksheet" Target="worksheets/sheet13.xml"/>
  <Relationship Id="rId14" Type="http://schemas.openxmlformats.org/officeDocument/2006/relationships/worksheet" Target="worksheets/sheet14.xml"/>
  <Relationship Id="rId15" Type="http://schemas.openxmlformats.org/officeDocument/2006/relationships/worksheet" Target="worksheets/sheet15.xml"/>
  <Relationship Id="rId16" Type="http://schemas.openxmlformats.org/officeDocument/2006/relationships/worksheet" Target="worksheets/sheet16.xml"/>
  <Relationship Id="rId17" Type="http://schemas.openxmlformats.org/officeDocument/2006/relationships/externalLink" Target="externalLinks/externalLink1.xml"/>
  <Relationship Id="rId18" Type="http://schemas.openxmlformats.org/officeDocument/2006/relationships/externalLink" Target="externalLinks/externalLink2.xml"/>
  <Relationship Id="rId19" Type="http://schemas.openxmlformats.org/officeDocument/2006/relationships/theme" Target="theme/theme1.xml"/>
  <Relationship Id="rId2" Type="http://schemas.openxmlformats.org/officeDocument/2006/relationships/worksheet" Target="worksheets/sheet2.xml"/>
  <Relationship Id="rId20" Type="http://schemas.openxmlformats.org/officeDocument/2006/relationships/styles" Target="styles.xml"/>
  <Relationship Id="rId21" Type="http://schemas.openxmlformats.org/officeDocument/2006/relationships/sharedStrings" Target="sharedStrings.xml"/>
  <Relationship Id="rId22" Type="http://schemas.openxmlformats.org/officeDocument/2006/relationships/calcChain" Target="calcChain.xml"/>
  <Relationship Id="rId23" Type="http://schemas.microsoft.com/office/2006/relationships/vbaProject" Target="vbaProject.bin"/>
  <Relationship Id="rId24" Type="http://schemas.openxmlformats.org/officeDocument/2006/relationships/customXml" Target="../customXml/item1.xml"/>
  <Relationship Id="rId25" Type="http://schemas.openxmlformats.org/officeDocument/2006/relationships/customXml" Target="../customXml/item2.xml"/>
  <Relationship Id="rId26" Type="http://schemas.openxmlformats.org/officeDocument/2006/relationships/customXml" Target="../customXml/item3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worksheet" Target="worksheets/sheet6.xml"/>
  <Relationship Id="rId7" Type="http://schemas.openxmlformats.org/officeDocument/2006/relationships/worksheet" Target="worksheets/sheet7.xml"/>
  <Relationship Id="rId8" Type="http://schemas.openxmlformats.org/officeDocument/2006/relationships/worksheet" Target="worksheets/sheet8.xml"/>
  <Relationship Id="rId9" Type="http://schemas.openxmlformats.org/officeDocument/2006/relationships/worksheet" Target="worksheets/sheet9.xml"/>
</Relationships>

</file>

<file path=xl/charts/_rels/chart12.xml.rels><?xml version="1.0" encoding="UTF-8"?>

<Relationships xmlns="http://schemas.openxmlformats.org/package/2006/relationships">
  <Relationship Id="rId1" Type="http://schemas.microsoft.com/office/2011/relationships/chartStyle" Target="style1.xml"/>
  <Relationship Id="rId2" Type="http://schemas.microsoft.com/office/2011/relationships/chartColorStyle" Target="colors1.xml"/>
</Relationships>

</file>

<file path=xl/charts/_rels/chart13.xml.rels><?xml version="1.0" encoding="UTF-8"?>

<Relationships xmlns="http://schemas.openxmlformats.org/package/2006/relationships">
  <Relationship Id="rId1" Type="http://schemas.microsoft.com/office/2011/relationships/chartStyle" Target="style2.xml"/>
  <Relationship Id="rId2" Type="http://schemas.microsoft.com/office/2011/relationships/chartColorStyle" Target="colors2.xml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Supplier status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1-F141-4373-85DD-258D1E5B24E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F141-4373-85DD-258D1E5B24E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F141-4373-85DD-258D1E5B24EA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F141-4373-85DD-258D1E5B24EA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F141-4373-85DD-258D1E5B24EA}"/>
              </c:ext>
            </c:extLst>
          </c:dPt>
          <c:dPt>
            <c:idx val="5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B-F141-4373-85DD-258D1E5B24E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(DV!$C$4:$C$5,DV!$C$9:$C$10)</c:f>
              <c:strCache>
                <c:ptCount val="4"/>
                <c:pt idx="0">
                  <c:v>OK</c:v>
                </c:pt>
                <c:pt idx="1">
                  <c:v>NOK major</c:v>
                </c:pt>
                <c:pt idx="2">
                  <c:v>NA</c:v>
                </c:pt>
                <c:pt idx="3">
                  <c:v>On going</c:v>
                </c:pt>
              </c:strCache>
            </c:strRef>
          </c:cat>
          <c:val>
            <c:numRef>
              <c:f>(DV!$J$4:$J$5,DV!$J$9:$J$10)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141-4373-85DD-258D1E5B24E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3324263038548754"/>
          <c:y val="0.18621899535285363"/>
          <c:w val="0.19414425978941963"/>
          <c:h val="0.59998197334406222"/>
        </c:manualLayout>
      </c:layout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Stellantis</a:t>
            </a:r>
            <a:r>
              <a:rPr lang="fr-FR" baseline="0"/>
              <a:t> status</a:t>
            </a:r>
            <a:endParaRPr lang="fr-FR"/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1-22FB-4E24-BB59-7368366BEEE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22FB-4E24-BB59-7368366BEEE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22FB-4E24-BB59-7368366BEEEA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22FB-4E24-BB59-7368366BEEEA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22FB-4E24-BB59-7368366BEEEA}"/>
              </c:ext>
            </c:extLst>
          </c:dPt>
          <c:dPt>
            <c:idx val="5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B-22FB-4E24-BB59-7368366BEEE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22FB-4E24-BB59-7368366BEEE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3324263038548754"/>
          <c:y val="0.11128048280768008"/>
          <c:w val="0.24639960150966528"/>
          <c:h val="0.69247170126766522"/>
        </c:manualLayout>
      </c:layout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Statuts PSA des essais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1-3600-4D04-A5F3-B9B6AABA56A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3600-4D04-A5F3-B9B6AABA56A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3600-4D04-A5F3-B9B6AABA56AA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3600-4D04-A5F3-B9B6AABA56AA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600-4D04-A5F3-B9B6AABA56AA}"/>
              </c:ext>
            </c:extLst>
          </c:dPt>
          <c:dPt>
            <c:idx val="5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B-3600-4D04-A5F3-B9B6AABA56A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'DVbis - MEKA'!$C$4:$C$9</c:f>
              <c:strCache>
                <c:ptCount val="6"/>
                <c:pt idx="0">
                  <c:v>OK</c:v>
                </c:pt>
                <c:pt idx="1">
                  <c:v>NOK Majeur</c:v>
                </c:pt>
                <c:pt idx="2">
                  <c:v>NOK Mineur</c:v>
                </c:pt>
                <c:pt idx="3">
                  <c:v>En analyse</c:v>
                </c:pt>
                <c:pt idx="4">
                  <c:v>NA</c:v>
                </c:pt>
                <c:pt idx="5">
                  <c:v>En cours</c:v>
                </c:pt>
              </c:strCache>
            </c:strRef>
          </c:cat>
          <c:val>
            <c:numRef>
              <c:f>'DVbis - MEKA'!$H$4:$H$9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00-4D04-A5F3-B9B6AABA56A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8464092869448587"/>
          <c:y val="0.26702704715102099"/>
          <c:w val="0.19773792593106476"/>
          <c:h val="0.73297295284897901"/>
        </c:manualLayout>
      </c:layout>
      <c:overlay val="0"/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Supplier status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1-355F-48B8-BCB4-3EDEF20666E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355F-48B8-BCB4-3EDEF20666E2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355F-48B8-BCB4-3EDEF20666E2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355F-48B8-BCB4-3EDEF20666E2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55F-48B8-BCB4-3EDEF20666E2}"/>
              </c:ext>
            </c:extLst>
          </c:dPt>
          <c:dPt>
            <c:idx val="5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B-355F-48B8-BCB4-3EDEF20666E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('DV2'!$C$4:$C$5,'DV2'!$C$9:$C$10)</c:f>
              <c:strCache>
                <c:ptCount val="4"/>
                <c:pt idx="0">
                  <c:v>OK</c:v>
                </c:pt>
                <c:pt idx="1">
                  <c:v>NOK major</c:v>
                </c:pt>
                <c:pt idx="2">
                  <c:v>NA</c:v>
                </c:pt>
                <c:pt idx="3">
                  <c:v>On going</c:v>
                </c:pt>
              </c:strCache>
            </c:strRef>
          </c:cat>
          <c:val>
            <c:numRef>
              <c:f>('DV2'!$J$4:$J$5,'DV2'!$J$9:$J$10)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55F-48B8-BCB4-3EDEF20666E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3324263038548754"/>
          <c:y val="0.18621899535285363"/>
          <c:w val="0.19414425978941963"/>
          <c:h val="0.59998197334406222"/>
        </c:manualLayout>
      </c:layout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Stellantis</a:t>
            </a:r>
            <a:r>
              <a:rPr lang="fr-FR" baseline="0"/>
              <a:t> status</a:t>
            </a:r>
            <a:endParaRPr lang="fr-FR"/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1-45D2-434F-842D-E21ED675435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45D2-434F-842D-E21ED675435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45D2-434F-842D-E21ED6754354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45D2-434F-842D-E21ED6754354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45D2-434F-842D-E21ED6754354}"/>
              </c:ext>
            </c:extLst>
          </c:dPt>
          <c:dPt>
            <c:idx val="5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B-45D2-434F-842D-E21ED675435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45D2-434F-842D-E21ED675435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3324263038548754"/>
          <c:y val="0.11128048280768008"/>
          <c:w val="0.24639960150966528"/>
          <c:h val="0.69247170126766522"/>
        </c:manualLayout>
      </c:layout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Supplier status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1-327B-4DC5-A4A6-303ABD32548F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327B-4DC5-A4A6-303ABD32548F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327B-4DC5-A4A6-303ABD32548F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327B-4DC5-A4A6-303ABD32548F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27B-4DC5-A4A6-303ABD32548F}"/>
              </c:ext>
            </c:extLst>
          </c:dPt>
          <c:dPt>
            <c:idx val="5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B-327B-4DC5-A4A6-303ABD32548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(PPV!$C$4:$C$5,PPV!$C$9:$C$10)</c:f>
              <c:strCache>
                <c:ptCount val="4"/>
                <c:pt idx="0">
                  <c:v>OK</c:v>
                </c:pt>
                <c:pt idx="1">
                  <c:v>NOK major</c:v>
                </c:pt>
                <c:pt idx="2">
                  <c:v>NA</c:v>
                </c:pt>
                <c:pt idx="3">
                  <c:v>On going</c:v>
                </c:pt>
              </c:strCache>
            </c:strRef>
          </c:cat>
          <c:val>
            <c:numRef>
              <c:f>(PPV!$J$4:$J$5,PPV!$J$9:$J$10)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27B-4DC5-A4A6-303ABD32548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3324263038548754"/>
          <c:y val="0.18621899535285363"/>
          <c:w val="0.19414425978941963"/>
          <c:h val="0.59998197334406222"/>
        </c:manualLayout>
      </c:layout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Stellantis</a:t>
            </a:r>
            <a:r>
              <a:rPr lang="fr-FR" baseline="0"/>
              <a:t> status</a:t>
            </a:r>
            <a:endParaRPr lang="fr-FR"/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1-F3C4-493D-B271-7A5BA2FC45F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F3C4-493D-B271-7A5BA2FC45F2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F3C4-493D-B271-7A5BA2FC45F2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F3C4-493D-B271-7A5BA2FC45F2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F3C4-493D-B271-7A5BA2FC45F2}"/>
              </c:ext>
            </c:extLst>
          </c:dPt>
          <c:dPt>
            <c:idx val="5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B-F3C4-493D-B271-7A5BA2FC45F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F3C4-493D-B271-7A5BA2FC45F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3324263038548754"/>
          <c:y val="0.11128048280768008"/>
          <c:w val="0.24639960150966528"/>
          <c:h val="0.69247170126766522"/>
        </c:manualLayout>
      </c:layout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Supplier status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1-D003-4D5A-A30E-606E868644A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D003-4D5A-A30E-606E868644A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D003-4D5A-A30E-606E868644A5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D003-4D5A-A30E-606E868644A5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D003-4D5A-A30E-606E868644A5}"/>
              </c:ext>
            </c:extLst>
          </c:dPt>
          <c:dPt>
            <c:idx val="5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B-D003-4D5A-A30E-606E868644A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(PV!$C$4:$C$5,PV!$C$9:$C$10)</c:f>
              <c:strCache>
                <c:ptCount val="4"/>
                <c:pt idx="0">
                  <c:v>OK</c:v>
                </c:pt>
                <c:pt idx="1">
                  <c:v>NOK major</c:v>
                </c:pt>
                <c:pt idx="2">
                  <c:v>NA</c:v>
                </c:pt>
                <c:pt idx="3">
                  <c:v>On going</c:v>
                </c:pt>
              </c:strCache>
            </c:strRef>
          </c:cat>
          <c:val>
            <c:numRef>
              <c:f>(PV!$J$4:$J$5,PV!$J$9:$J$10)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003-4D5A-A30E-606E868644A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3324263038548754"/>
          <c:y val="0.18621899535285363"/>
          <c:w val="0.19414425978941963"/>
          <c:h val="0.59998197334406222"/>
        </c:manualLayout>
      </c:layout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Stellantis</a:t>
            </a:r>
            <a:r>
              <a:rPr lang="fr-FR" baseline="0"/>
              <a:t> status</a:t>
            </a:r>
            <a:endParaRPr lang="fr-FR"/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1-29C8-4316-B3F5-3E4505729EE6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29C8-4316-B3F5-3E4505729EE6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29C8-4316-B3F5-3E4505729EE6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29C8-4316-B3F5-3E4505729EE6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29C8-4316-B3F5-3E4505729EE6}"/>
              </c:ext>
            </c:extLst>
          </c:dPt>
          <c:dPt>
            <c:idx val="5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B-29C8-4316-B3F5-3E4505729EE6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29C8-4316-B3F5-3E4505729EE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3324263038548754"/>
          <c:y val="0.11128048280768008"/>
          <c:w val="0.24639960150966528"/>
          <c:h val="0.69247170126766522"/>
        </c:manualLayout>
      </c:layout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Supplier status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1-2BF1-4188-B853-8E7F1CFB601F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2BF1-4188-B853-8E7F1CFB601F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2BF1-4188-B853-8E7F1CFB601F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2BF1-4188-B853-8E7F1CFB601F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2BF1-4188-B853-8E7F1CFB601F}"/>
              </c:ext>
            </c:extLst>
          </c:dPt>
          <c:dPt>
            <c:idx val="5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B-2BF1-4188-B853-8E7F1CFB601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(Template!$C$4:$C$5,Template!$C$9:$C$10)</c:f>
              <c:strCache>
                <c:ptCount val="4"/>
                <c:pt idx="0">
                  <c:v>OK</c:v>
                </c:pt>
                <c:pt idx="1">
                  <c:v>NOK major</c:v>
                </c:pt>
                <c:pt idx="2">
                  <c:v>NA</c:v>
                </c:pt>
                <c:pt idx="3">
                  <c:v>On going</c:v>
                </c:pt>
              </c:strCache>
            </c:strRef>
          </c:cat>
          <c:val>
            <c:numRef>
              <c:f>(Template!$J$4:$J$5,Template!$J$9:$J$10)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F1-4188-B853-8E7F1CFB601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3324263038548754"/>
          <c:y val="0.18621899535285363"/>
          <c:w val="0.19414425978941963"/>
          <c:h val="0.59998197334406222"/>
        </c:manualLayout>
      </c:layout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Stellantis</a:t>
            </a:r>
            <a:r>
              <a:rPr lang="fr-FR" baseline="0"/>
              <a:t> status</a:t>
            </a:r>
            <a:endParaRPr lang="fr-FR"/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1-A6F9-41F7-A227-A0120D73F43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A6F9-41F7-A227-A0120D73F43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A6F9-41F7-A227-A0120D73F43E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A6F9-41F7-A227-A0120D73F43E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A6F9-41F7-A227-A0120D73F43E}"/>
              </c:ext>
            </c:extLst>
          </c:dPt>
          <c:dPt>
            <c:idx val="5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B-A6F9-41F7-A227-A0120D73F43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A6F9-41F7-A227-A0120D73F43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3324263038548754"/>
          <c:y val="0.11128048280768008"/>
          <c:w val="0.24639960150966528"/>
          <c:h val="0.69247170126766522"/>
        </c:manualLayout>
      </c:layout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DV synthesis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7670209804209855E-2"/>
          <c:y val="0.30309579072082343"/>
          <c:w val="0.92962549932901439"/>
          <c:h val="0.67222641727623145"/>
        </c:manualLayout>
      </c:layout>
      <c:pie3DChart>
        <c:varyColors val="1"/>
        <c:ser>
          <c:idx val="1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6D7-4C2A-8079-3ADF38BD74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76D7-4C2A-8079-3ADF38BD74F7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6D7-4C2A-8079-3ADF38BD74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76D7-4C2A-8079-3ADF38BD74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76D7-4C2A-8079-3ADF38BD74F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76D7-4C2A-8079-3ADF38BD74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'Validation synthesis'!$F$99:$F$101</c:f>
              <c:strCache>
                <c:ptCount val="3"/>
                <c:pt idx="0">
                  <c:v>OK</c:v>
                </c:pt>
                <c:pt idx="1">
                  <c:v>NOK</c:v>
                </c:pt>
                <c:pt idx="2">
                  <c:v>Action plan</c:v>
                </c:pt>
              </c:strCache>
            </c:strRef>
          </c:cat>
          <c:val>
            <c:numRef>
              <c:f>'Validation synthesis'!$G$99:$G$101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D7-4C2A-8079-3ADF38BD74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3320659161221099E-2"/>
          <c:y val="0.11631156352271019"/>
          <c:w val="0.9434268438026896"/>
          <c:h val="0.165474855801096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PV synthesis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7670209804209855E-2"/>
          <c:y val="0.30309579072082343"/>
          <c:w val="0.92962549932901439"/>
          <c:h val="0.67222641727623145"/>
        </c:manualLayout>
      </c:layout>
      <c:pie3DChart>
        <c:varyColors val="1"/>
        <c:ser>
          <c:idx val="1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D77A-41F3-8823-435080C80DB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D77A-41F3-8823-435080C80DB8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D77A-41F3-8823-435080C80DB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D77A-41F3-8823-435080C80DB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D77A-41F3-8823-435080C80DB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D77A-41F3-8823-435080C80D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'Validation synthesis'!$I$99:$I$101</c:f>
              <c:strCache>
                <c:ptCount val="3"/>
                <c:pt idx="0">
                  <c:v>OK</c:v>
                </c:pt>
                <c:pt idx="1">
                  <c:v>NOK</c:v>
                </c:pt>
                <c:pt idx="2">
                  <c:v>Action plan</c:v>
                </c:pt>
              </c:strCache>
            </c:strRef>
          </c:cat>
          <c:val>
            <c:numRef>
              <c:f>'Validation synthesis'!$J$99:$J$101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77A-41F3-8823-435080C80DB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3320659161221099E-2"/>
          <c:y val="0.11967998412863867"/>
          <c:w val="0.9434268438026896"/>
          <c:h val="0.165474855801096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?>

<Relationships xmlns="http://schemas.openxmlformats.org/package/2006/relationships">
  <Relationship Id="rId1" Type="http://schemas.openxmlformats.org/officeDocument/2006/relationships/image" Target="../media/image1.png"/>
</Relationships>

</file>

<file path=xl/drawings/_rels/drawing2.xml.rels><?xml version="1.0" encoding="UTF-8"?>

<Relationships xmlns="http://schemas.openxmlformats.org/package/2006/relationships">
  <Relationship Id="rId1" Type="http://schemas.openxmlformats.org/officeDocument/2006/relationships/chart" Target="../charts/chart1.xml"/>
  <Relationship Id="rId2" Type="http://schemas.openxmlformats.org/officeDocument/2006/relationships/chart" Target="../charts/chart2.xml"/>
</Relationships>

</file>

<file path=xl/drawings/_rels/drawing3.xml.rels><?xml version="1.0" encoding="UTF-8"?>

<Relationships xmlns="http://schemas.openxmlformats.org/package/2006/relationships">
  <Relationship Id="rId1" Type="http://schemas.openxmlformats.org/officeDocument/2006/relationships/chart" Target="../charts/chart3.xml"/>
</Relationships>

</file>

<file path=xl/drawings/_rels/drawing4.xml.rels><?xml version="1.0" encoding="UTF-8"?>

<Relationships xmlns="http://schemas.openxmlformats.org/package/2006/relationships">
  <Relationship Id="rId1" Type="http://schemas.openxmlformats.org/officeDocument/2006/relationships/chart" Target="../charts/chart4.xml"/>
  <Relationship Id="rId2" Type="http://schemas.openxmlformats.org/officeDocument/2006/relationships/chart" Target="../charts/chart5.xml"/>
</Relationships>

</file>

<file path=xl/drawings/_rels/drawing5.xml.rels><?xml version="1.0" encoding="UTF-8"?>

<Relationships xmlns="http://schemas.openxmlformats.org/package/2006/relationships">
  <Relationship Id="rId1" Type="http://schemas.openxmlformats.org/officeDocument/2006/relationships/image" Target="../media/image2.png"/>
  <Relationship Id="rId2" Type="http://schemas.openxmlformats.org/officeDocument/2006/relationships/image" TargetMode="External" Target="cid:image001.png@01D6EE67.EC5ABCA0"/>
  <Relationship Id="rId3" Type="http://schemas.openxmlformats.org/officeDocument/2006/relationships/image" Target="../media/image3.png"/>
  <Relationship Id="rId4" Type="http://schemas.openxmlformats.org/officeDocument/2006/relationships/image" Target="../media/image4.png"/>
</Relationships>

</file>

<file path=xl/drawings/_rels/drawing6.xml.rels><?xml version="1.0" encoding="UTF-8"?>

<Relationships xmlns="http://schemas.openxmlformats.org/package/2006/relationships">
  <Relationship Id="rId1" Type="http://schemas.openxmlformats.org/officeDocument/2006/relationships/chart" Target="../charts/chart6.xml"/>
  <Relationship Id="rId2" Type="http://schemas.openxmlformats.org/officeDocument/2006/relationships/chart" Target="../charts/chart7.xml"/>
</Relationships>

</file>

<file path=xl/drawings/_rels/drawing7.xml.rels><?xml version="1.0" encoding="UTF-8"?>

<Relationships xmlns="http://schemas.openxmlformats.org/package/2006/relationships">
  <Relationship Id="rId1" Type="http://schemas.openxmlformats.org/officeDocument/2006/relationships/image" Target="../media/image2.png"/>
  <Relationship Id="rId2" Type="http://schemas.openxmlformats.org/officeDocument/2006/relationships/image" TargetMode="External" Target="cid:image001.png@01D6EE67.EC5ABCA0"/>
  <Relationship Id="rId3" Type="http://schemas.openxmlformats.org/officeDocument/2006/relationships/image" Target="../media/image3.png"/>
  <Relationship Id="rId4" Type="http://schemas.openxmlformats.org/officeDocument/2006/relationships/image" Target="../media/image4.png"/>
</Relationships>

</file>

<file path=xl/drawings/_rels/drawing8.xml.rels><?xml version="1.0" encoding="UTF-8"?>

<Relationships xmlns="http://schemas.openxmlformats.org/package/2006/relationships">
  <Relationship Id="rId1" Type="http://schemas.openxmlformats.org/officeDocument/2006/relationships/chart" Target="../charts/chart8.xml"/>
  <Relationship Id="rId2" Type="http://schemas.openxmlformats.org/officeDocument/2006/relationships/chart" Target="../charts/chart9.xml"/>
</Relationships>

</file>

<file path=xl/drawings/_rels/drawing9.xml.rels><?xml version="1.0" encoding="UTF-8"?>

<Relationships xmlns="http://schemas.openxmlformats.org/package/2006/relationships">
  <Relationship Id="rId1" Type="http://schemas.openxmlformats.org/officeDocument/2006/relationships/image" Target="../media/image2.png"/>
  <Relationship Id="rId2" Type="http://schemas.openxmlformats.org/officeDocument/2006/relationships/image" TargetMode="External" Target="cid:image001.png@01D6EE67.EC5ABCA0"/>
  <Relationship Id="rId3" Type="http://schemas.openxmlformats.org/officeDocument/2006/relationships/image" Target="../media/image3.png"/>
  <Relationship Id="rId4" Type="http://schemas.openxmlformats.org/officeDocument/2006/relationships/image" Target="../media/image4.png"/>
</Relationships>

</file>

<file path=xl/drawings/_rels/drawing10.xml.rels><?xml version="1.0" encoding="UTF-8"?>

<Relationships xmlns="http://schemas.openxmlformats.org/package/2006/relationships">
  <Relationship Id="rId1" Type="http://schemas.openxmlformats.org/officeDocument/2006/relationships/image" Target="../media/image2.png"/>
  <Relationship Id="rId2" Type="http://schemas.openxmlformats.org/officeDocument/2006/relationships/image" TargetMode="External" Target="cid:image001.png@01D6EE67.EC5ABCA0"/>
  <Relationship Id="rId3" Type="http://schemas.openxmlformats.org/officeDocument/2006/relationships/image" Target="../media/image5.png"/>
</Relationships>

</file>

<file path=xl/drawings/_rels/drawing11.xml.rels><?xml version="1.0" encoding="UTF-8"?>

<Relationships xmlns="http://schemas.openxmlformats.org/package/2006/relationships">
  <Relationship Id="rId1" Type="http://schemas.openxmlformats.org/officeDocument/2006/relationships/chart" Target="../charts/chart10.xml"/>
  <Relationship Id="rId2" Type="http://schemas.openxmlformats.org/officeDocument/2006/relationships/chart" Target="../charts/chart11.xml"/>
</Relationships>

</file>

<file path=xl/drawings/_rels/drawing12.xml.rels><?xml version="1.0" encoding="UTF-8"?>

<Relationships xmlns="http://schemas.openxmlformats.org/package/2006/relationships">
  <Relationship Id="rId1" Type="http://schemas.openxmlformats.org/officeDocument/2006/relationships/chart" Target="../charts/chart12.xml"/>
  <Relationship Id="rId2" Type="http://schemas.openxmlformats.org/officeDocument/2006/relationships/chart" Target="../charts/chart13.xml"/>
</Relationships>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30</xdr:row>
          <xdr:rowOff>28575</xdr:rowOff>
        </xdr:from>
        <xdr:to>
          <xdr:col>3</xdr:col>
          <xdr:colOff>342900</xdr:colOff>
          <xdr:row>31</xdr:row>
          <xdr:rowOff>19050</xdr:rowOff>
        </xdr:to>
        <xdr:sp macro="" textlink="">
          <xdr:nvSpPr>
            <xdr:cNvPr id="1029" name="Check Box 5" descr="Confor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30</xdr:row>
          <xdr:rowOff>0</xdr:rowOff>
        </xdr:from>
        <xdr:to>
          <xdr:col>6</xdr:col>
          <xdr:colOff>342900</xdr:colOff>
          <xdr:row>31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142875</xdr:colOff>
      <xdr:row>0</xdr:row>
      <xdr:rowOff>19051</xdr:rowOff>
    </xdr:from>
    <xdr:to>
      <xdr:col>6</xdr:col>
      <xdr:colOff>1066800</xdr:colOff>
      <xdr:row>3</xdr:row>
      <xdr:rowOff>112255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00925" y="19051"/>
          <a:ext cx="2143125" cy="6932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760070</xdr:colOff>
      <xdr:row>3</xdr:row>
      <xdr:rowOff>5159</xdr:rowOff>
    </xdr:from>
    <xdr:to>
      <xdr:col>12</xdr:col>
      <xdr:colOff>0</xdr:colOff>
      <xdr:row>10</xdr:row>
      <xdr:rowOff>168088</xdr:rowOff>
    </xdr:to>
    <xdr:graphicFrame macro="">
      <xdr:nvGraphicFramePr>
        <xdr:cNvPr id="2" name="Graphiqu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13607</xdr:colOff>
      <xdr:row>3</xdr:row>
      <xdr:rowOff>0</xdr:rowOff>
    </xdr:from>
    <xdr:to>
      <xdr:col>14</xdr:col>
      <xdr:colOff>7693</xdr:colOff>
      <xdr:row>10</xdr:row>
      <xdr:rowOff>169333</xdr:rowOff>
    </xdr:to>
    <xdr:graphicFrame macro="">
      <xdr:nvGraphicFramePr>
        <xdr:cNvPr id="3" name="Graphique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11</xdr:col>
      <xdr:colOff>0</xdr:colOff>
      <xdr:row>10</xdr:row>
      <xdr:rowOff>0</xdr:rowOff>
    </xdr:to>
    <xdr:graphicFrame macro="">
      <xdr:nvGraphicFramePr>
        <xdr:cNvPr id="2" name="Graphique 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760070</xdr:colOff>
      <xdr:row>3</xdr:row>
      <xdr:rowOff>5159</xdr:rowOff>
    </xdr:from>
    <xdr:to>
      <xdr:col>12</xdr:col>
      <xdr:colOff>0</xdr:colOff>
      <xdr:row>10</xdr:row>
      <xdr:rowOff>168088</xdr:rowOff>
    </xdr:to>
    <xdr:graphicFrame macro="">
      <xdr:nvGraphicFramePr>
        <xdr:cNvPr id="2" name="Graphique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13607</xdr:colOff>
      <xdr:row>3</xdr:row>
      <xdr:rowOff>0</xdr:rowOff>
    </xdr:from>
    <xdr:to>
      <xdr:col>14</xdr:col>
      <xdr:colOff>7693</xdr:colOff>
      <xdr:row>10</xdr:row>
      <xdr:rowOff>169333</xdr:rowOff>
    </xdr:to>
    <xdr:graphicFrame macro="">
      <xdr:nvGraphicFramePr>
        <xdr:cNvPr id="3" name="Graphique 5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204107</xdr:colOff>
      <xdr:row>0</xdr:row>
      <xdr:rowOff>136071</xdr:rowOff>
    </xdr:from>
    <xdr:to>
      <xdr:col>23</xdr:col>
      <xdr:colOff>484414</xdr:colOff>
      <xdr:row>3</xdr:row>
      <xdr:rowOff>73478</xdr:rowOff>
    </xdr:to>
    <xdr:pic>
      <xdr:nvPicPr>
        <xdr:cNvPr id="3" name="Image 1" descr="Logo_Stellantis_Signature_RGB-0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67057" y="136071"/>
          <a:ext cx="2375807" cy="708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123825</xdr:colOff>
      <xdr:row>9</xdr:row>
      <xdr:rowOff>95250</xdr:rowOff>
    </xdr:from>
    <xdr:to>
      <xdr:col>22</xdr:col>
      <xdr:colOff>154559</xdr:colOff>
      <xdr:row>33</xdr:row>
      <xdr:rowOff>124789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0" y="1733550"/>
          <a:ext cx="8003159" cy="3572839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34</xdr:row>
      <xdr:rowOff>28575</xdr:rowOff>
    </xdr:from>
    <xdr:to>
      <xdr:col>22</xdr:col>
      <xdr:colOff>508052</xdr:colOff>
      <xdr:row>59</xdr:row>
      <xdr:rowOff>85726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0075" y="5400675"/>
          <a:ext cx="9756827" cy="38576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760070</xdr:colOff>
      <xdr:row>3</xdr:row>
      <xdr:rowOff>5159</xdr:rowOff>
    </xdr:from>
    <xdr:to>
      <xdr:col>12</xdr:col>
      <xdr:colOff>0</xdr:colOff>
      <xdr:row>10</xdr:row>
      <xdr:rowOff>168088</xdr:rowOff>
    </xdr:to>
    <xdr:graphicFrame macro="">
      <xdr:nvGraphicFramePr>
        <xdr:cNvPr id="2" name="Graphique 5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13607</xdr:colOff>
      <xdr:row>3</xdr:row>
      <xdr:rowOff>0</xdr:rowOff>
    </xdr:from>
    <xdr:to>
      <xdr:col>14</xdr:col>
      <xdr:colOff>7693</xdr:colOff>
      <xdr:row>10</xdr:row>
      <xdr:rowOff>169333</xdr:rowOff>
    </xdr:to>
    <xdr:graphicFrame macro="">
      <xdr:nvGraphicFramePr>
        <xdr:cNvPr id="3" name="Graphique 5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204107</xdr:colOff>
      <xdr:row>0</xdr:row>
      <xdr:rowOff>136071</xdr:rowOff>
    </xdr:from>
    <xdr:to>
      <xdr:col>23</xdr:col>
      <xdr:colOff>484414</xdr:colOff>
      <xdr:row>3</xdr:row>
      <xdr:rowOff>73478</xdr:rowOff>
    </xdr:to>
    <xdr:pic>
      <xdr:nvPicPr>
        <xdr:cNvPr id="3" name="Image 1" descr="Logo_Stellantis_Signature_RGB-0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67057" y="136071"/>
          <a:ext cx="2375807" cy="708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22</xdr:col>
      <xdr:colOff>268859</xdr:colOff>
      <xdr:row>33</xdr:row>
      <xdr:rowOff>29539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14550" y="1638300"/>
          <a:ext cx="8003159" cy="3572839"/>
        </a:xfrm>
        <a:prstGeom prst="rect">
          <a:avLst/>
        </a:prstGeom>
      </xdr:spPr>
    </xdr:pic>
    <xdr:clientData/>
  </xdr:twoCellAnchor>
  <xdr:twoCellAnchor editAs="oneCell">
    <xdr:from>
      <xdr:col>2</xdr:col>
      <xdr:colOff>428625</xdr:colOff>
      <xdr:row>33</xdr:row>
      <xdr:rowOff>161925</xdr:rowOff>
    </xdr:from>
    <xdr:to>
      <xdr:col>23</xdr:col>
      <xdr:colOff>155627</xdr:colOff>
      <xdr:row>59</xdr:row>
      <xdr:rowOff>28576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7250" y="5343525"/>
          <a:ext cx="9756827" cy="385762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760070</xdr:colOff>
      <xdr:row>3</xdr:row>
      <xdr:rowOff>5159</xdr:rowOff>
    </xdr:from>
    <xdr:to>
      <xdr:col>12</xdr:col>
      <xdr:colOff>0</xdr:colOff>
      <xdr:row>10</xdr:row>
      <xdr:rowOff>168088</xdr:rowOff>
    </xdr:to>
    <xdr:graphicFrame macro="">
      <xdr:nvGraphicFramePr>
        <xdr:cNvPr id="2" name="Graphique 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13607</xdr:colOff>
      <xdr:row>3</xdr:row>
      <xdr:rowOff>0</xdr:rowOff>
    </xdr:from>
    <xdr:to>
      <xdr:col>14</xdr:col>
      <xdr:colOff>7693</xdr:colOff>
      <xdr:row>10</xdr:row>
      <xdr:rowOff>169333</xdr:rowOff>
    </xdr:to>
    <xdr:graphicFrame macro="">
      <xdr:nvGraphicFramePr>
        <xdr:cNvPr id="3" name="Graphique 5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204107</xdr:colOff>
      <xdr:row>0</xdr:row>
      <xdr:rowOff>136071</xdr:rowOff>
    </xdr:from>
    <xdr:to>
      <xdr:col>23</xdr:col>
      <xdr:colOff>484414</xdr:colOff>
      <xdr:row>3</xdr:row>
      <xdr:rowOff>73478</xdr:rowOff>
    </xdr:to>
    <xdr:pic>
      <xdr:nvPicPr>
        <xdr:cNvPr id="3" name="Image 1" descr="Logo_Stellantis_Signature_RGB-0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67057" y="136071"/>
          <a:ext cx="2375807" cy="708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22</xdr:col>
      <xdr:colOff>268859</xdr:colOff>
      <xdr:row>33</xdr:row>
      <xdr:rowOff>29539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14550" y="1638300"/>
          <a:ext cx="8003159" cy="3572839"/>
        </a:xfrm>
        <a:prstGeom prst="rect">
          <a:avLst/>
        </a:prstGeom>
      </xdr:spPr>
    </xdr:pic>
    <xdr:clientData/>
  </xdr:twoCellAnchor>
  <xdr:twoCellAnchor editAs="oneCell">
    <xdr:from>
      <xdr:col>2</xdr:col>
      <xdr:colOff>352425</xdr:colOff>
      <xdr:row>33</xdr:row>
      <xdr:rowOff>161925</xdr:rowOff>
    </xdr:from>
    <xdr:to>
      <xdr:col>23</xdr:col>
      <xdr:colOff>79427</xdr:colOff>
      <xdr:row>59</xdr:row>
      <xdr:rowOff>28576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1050" y="5343525"/>
          <a:ext cx="9756827" cy="385762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204107</xdr:colOff>
      <xdr:row>0</xdr:row>
      <xdr:rowOff>136071</xdr:rowOff>
    </xdr:from>
    <xdr:to>
      <xdr:col>23</xdr:col>
      <xdr:colOff>484414</xdr:colOff>
      <xdr:row>3</xdr:row>
      <xdr:rowOff>73478</xdr:rowOff>
    </xdr:to>
    <xdr:pic>
      <xdr:nvPicPr>
        <xdr:cNvPr id="3" name="Image 1" descr="Logo_Stellantis_Signature_RGB-0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67057" y="136071"/>
          <a:ext cx="2375807" cy="708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123825</xdr:colOff>
      <xdr:row>10</xdr:row>
      <xdr:rowOff>9525</xdr:rowOff>
    </xdr:from>
    <xdr:to>
      <xdr:col>23</xdr:col>
      <xdr:colOff>54750</xdr:colOff>
      <xdr:row>50</xdr:row>
      <xdr:rowOff>46174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2450" y="1838325"/>
          <a:ext cx="9960750" cy="612312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760070</xdr:colOff>
      <xdr:row>3</xdr:row>
      <xdr:rowOff>5159</xdr:rowOff>
    </xdr:from>
    <xdr:to>
      <xdr:col>12</xdr:col>
      <xdr:colOff>0</xdr:colOff>
      <xdr:row>10</xdr:row>
      <xdr:rowOff>168088</xdr:rowOff>
    </xdr:to>
    <xdr:graphicFrame macro="">
      <xdr:nvGraphicFramePr>
        <xdr:cNvPr id="2" name="Graphique 5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13607</xdr:colOff>
      <xdr:row>3</xdr:row>
      <xdr:rowOff>0</xdr:rowOff>
    </xdr:from>
    <xdr:to>
      <xdr:col>14</xdr:col>
      <xdr:colOff>7693</xdr:colOff>
      <xdr:row>10</xdr:row>
      <xdr:rowOff>169333</xdr:rowOff>
    </xdr:to>
    <xdr:graphicFrame macro="">
      <xdr:nvGraphicFramePr>
        <xdr:cNvPr id="3" name="Graphique 5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101</xdr:row>
      <xdr:rowOff>15874</xdr:rowOff>
    </xdr:from>
    <xdr:to>
      <xdr:col>7</xdr:col>
      <xdr:colOff>9495</xdr:colOff>
      <xdr:row>120</xdr:row>
      <xdr:rowOff>166687</xdr:rowOff>
    </xdr:to>
    <xdr:graphicFrame macro="">
      <xdr:nvGraphicFramePr>
        <xdr:cNvPr id="2" name="Graphique 5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15876</xdr:colOff>
      <xdr:row>101</xdr:row>
      <xdr:rowOff>15875</xdr:rowOff>
    </xdr:from>
    <xdr:to>
      <xdr:col>10</xdr:col>
      <xdr:colOff>25370</xdr:colOff>
      <xdr:row>120</xdr:row>
      <xdr:rowOff>166688</xdr:rowOff>
    </xdr:to>
    <xdr:graphicFrame macro="">
      <xdr:nvGraphicFramePr>
        <xdr:cNvPr id="3" name="Graphique 5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?>

<Relationships xmlns="http://schemas.openxmlformats.org/package/2006/relationships">
  <Relationship Id="rId1" Type="http://schemas.openxmlformats.org/officeDocument/2006/relationships/externalLinkPath" TargetMode="External" Target="/Users/u403105/AppData/Local/Microsoft/Windows/INetCache/IE/VWSVVAEU/02017_17_04154_conformity_matrix_STE_SWES_pour_TCM2020_ind_11__1_.xlsx"/>
</Relationships>

</file>

<file path=xl/externalLinks/_rels/externalLink2.xml.rels><?xml version="1.0" encoding="UTF-8"?>

<Relationships xmlns="http://schemas.openxmlformats.org/package/2006/relationships">
  <Relationship Id="rId1" Type="http://schemas.openxmlformats.org/officeDocument/2006/relationships/externalLinkPath" TargetMode="External" Target="http://r2.dome.inetpsa.com/user/U173464/_Fa&#231;ade/Partage%20FMUX%20CMTA/Matrice/Matrice%20-%20FMUX%20-%20V02.xls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uv"/>
      <sheetName val="Version"/>
      <sheetName val="summary"/>
      <sheetName val="Generic matrix for SWES ETS"/>
    </sheetNames>
    <sheetDataSet>
      <sheetData sheetId="0" refreshError="1"/>
      <sheetData sheetId="1"/>
      <sheetData sheetId="2" refreshError="1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sion"/>
      <sheetName val="Matrice"/>
      <sheetName val="data"/>
    </sheetNames>
    <sheetDataSet>
      <sheetData sheetId="0"/>
      <sheetData sheetId="1"/>
      <sheetData sheetId="2">
        <row r="2">
          <cell r="A2" t="str">
            <v>R</v>
          </cell>
        </row>
        <row r="3">
          <cell r="A3" t="str">
            <v>O</v>
          </cell>
        </row>
        <row r="4">
          <cell r="A4" t="str">
            <v>V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2" displayName="Tableau2" ref="A2:H23" totalsRowShown="0" tableBorderDxfId="7">
  <tableColumns count="8">
    <tableColumn id="1" xr3:uid="{00000000-0010-0000-0000-000001000000}" name="Issue N°" dataDxfId="6"/>
    <tableColumn id="2" xr3:uid="{00000000-0010-0000-0000-000002000000}" name="Autor" dataDxfId="5"/>
    <tableColumn id="3" xr3:uid="{00000000-0010-0000-0000-000003000000}" name="Status" dataDxfId="4"/>
    <tableColumn id="4" xr3:uid="{00000000-0010-0000-0000-000004000000}" name="Gravity" dataDxfId="3"/>
    <tableColumn id="5" xr3:uid="{00000000-0010-0000-0000-000005000000}" name="Creation date"/>
    <tableColumn id="6" xr3:uid="{00000000-0010-0000-0000-000006000000}" name="Title" dataDxfId="2"/>
    <tableColumn id="7" xr3:uid="{00000000-0010-0000-0000-000007000000}" name="Remarks" dataDxfId="1"/>
    <tableColumn id="8" xr3:uid="{00000000-0010-0000-0000-000008000000}" name="Update dat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2" Type="http://schemas.openxmlformats.org/officeDocument/2006/relationships/drawing" Target="../drawings/drawing1.xml"/>
  <Relationship Id="rId3" Type="http://schemas.openxmlformats.org/officeDocument/2006/relationships/vmlDrawing" Target="../drawings/vmlDrawing1.vml"/>
  <Relationship Id="rId4" Type="http://schemas.openxmlformats.org/officeDocument/2006/relationships/ctrlProp" Target="../ctrlProps/ctrlProp1.xml"/>
  <Relationship Id="rId5" Type="http://schemas.openxmlformats.org/officeDocument/2006/relationships/ctrlProp" Target="../ctrlProps/ctrlProp2.xml"/>
</Relationships>

</file>

<file path=xl/worksheets/_rels/sheet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.bin"/>
</Relationships>

</file>

<file path=xl/worksheets/_rels/sheet3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3.bin"/>
</Relationships>

</file>

<file path=xl/worksheets/_rels/sheet4.xml.rels><?xml version="1.0" encoding="UTF-8"?>

<Relationships xmlns="http://schemas.openxmlformats.org/package/2006/relationships">
  <Relationship Id="rId1" Type="http://schemas.openxmlformats.org/officeDocument/2006/relationships/hyperlink" TargetMode="External" Target="https://docinfogroupe.psa-peugeot-citroen.com/ead/doc/ref.20408_18_01223/v.vc/fiche"/>
  <Relationship Id="rId2" Type="http://schemas.openxmlformats.org/officeDocument/2006/relationships/printerSettings" Target="../printerSettings/printerSettings4.bin"/>
  <Relationship Id="rId3" Type="http://schemas.openxmlformats.org/officeDocument/2006/relationships/drawing" Target="../drawings/drawing2.xml"/>
</Relationships>

</file>

<file path=xl/worksheets/_rels/sheet5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5.bin"/>
  <Relationship Id="rId2" Type="http://schemas.openxmlformats.org/officeDocument/2006/relationships/drawing" Target="../drawings/drawing3.xml"/>
</Relationships>

</file>

<file path=xl/worksheets/_rels/sheet6.xml.rels><?xml version="1.0" encoding="UTF-8"?>

<Relationships xmlns="http://schemas.openxmlformats.org/package/2006/relationships">
  <Relationship Id="rId1" Type="http://schemas.openxmlformats.org/officeDocument/2006/relationships/hyperlink" TargetMode="External" Target="https://docinfogroupe.psa-peugeot-citroen.com/ead/doc/ref.20408_18_01223/v.vc/fiche"/>
  <Relationship Id="rId2" Type="http://schemas.openxmlformats.org/officeDocument/2006/relationships/printerSettings" Target="../printerSettings/printerSettings6.bin"/>
  <Relationship Id="rId3" Type="http://schemas.openxmlformats.org/officeDocument/2006/relationships/drawing" Target="../drawings/drawing4.xml"/>
</Relationships>

</file>

<file path=xl/worksheets/_rels/sheet7.xml.rels><?xml version="1.0" encoding="UTF-8"?>

<Relationships xmlns="http://schemas.openxmlformats.org/package/2006/relationships">
  <Relationship Id="rId1" Type="http://schemas.openxmlformats.org/officeDocument/2006/relationships/drawing" Target="../drawings/drawing5.xml"/>
</Relationships>

</file>

<file path=xl/worksheets/_rels/sheet8.xml.rels><?xml version="1.0" encoding="UTF-8"?>

<Relationships xmlns="http://schemas.openxmlformats.org/package/2006/relationships">
  <Relationship Id="rId1" Type="http://schemas.openxmlformats.org/officeDocument/2006/relationships/hyperlink" TargetMode="External" Target="https://docinfogroupe.psa-peugeot-citroen.com/ead/doc/ref.20408_18_01223/v.vc/fiche"/>
  <Relationship Id="rId2" Type="http://schemas.openxmlformats.org/officeDocument/2006/relationships/printerSettings" Target="../printerSettings/printerSettings7.bin"/>
  <Relationship Id="rId3" Type="http://schemas.openxmlformats.org/officeDocument/2006/relationships/drawing" Target="../drawings/drawing6.xml"/>
</Relationships>

</file>

<file path=xl/worksheets/_rels/sheet9.xml.rels><?xml version="1.0" encoding="UTF-8"?>

<Relationships xmlns="http://schemas.openxmlformats.org/package/2006/relationships">
  <Relationship Id="rId1" Type="http://schemas.openxmlformats.org/officeDocument/2006/relationships/drawing" Target="../drawings/drawing7.xml"/>
</Relationships>

</file>

<file path=xl/worksheets/_rels/sheet10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8.bin"/>
</Relationships>

</file>

<file path=xl/worksheets/_rels/sheet11.xml.rels><?xml version="1.0" encoding="UTF-8"?>

<Relationships xmlns="http://schemas.openxmlformats.org/package/2006/relationships">
  <Relationship Id="rId1" Type="http://schemas.openxmlformats.org/officeDocument/2006/relationships/hyperlink" TargetMode="External" Target="https://docinfogroupe.psa-peugeot-citroen.com/ead/doc/ref.20408_18_01223/v.vc/fiche"/>
  <Relationship Id="rId2" Type="http://schemas.openxmlformats.org/officeDocument/2006/relationships/printerSettings" Target="../printerSettings/printerSettings9.bin"/>
  <Relationship Id="rId3" Type="http://schemas.openxmlformats.org/officeDocument/2006/relationships/drawing" Target="../drawings/drawing8.xml"/>
</Relationships>

</file>

<file path=xl/worksheets/_rels/sheet12.xml.rels><?xml version="1.0" encoding="UTF-8"?>

<Relationships xmlns="http://schemas.openxmlformats.org/package/2006/relationships">
  <Relationship Id="rId1" Type="http://schemas.openxmlformats.org/officeDocument/2006/relationships/drawing" Target="../drawings/drawing9.xml"/>
</Relationships>

</file>

<file path=xl/worksheets/_rels/sheet13.xml.rels><?xml version="1.0" encoding="UTF-8"?>

<Relationships xmlns="http://schemas.openxmlformats.org/package/2006/relationships">
  <Relationship Id="rId1" Type="http://schemas.openxmlformats.org/officeDocument/2006/relationships/drawing" Target="../drawings/drawing10.xml"/>
</Relationships>

</file>

<file path=xl/worksheets/_rels/sheet14.xml.rels><?xml version="1.0" encoding="UTF-8"?>

<Relationships xmlns="http://schemas.openxmlformats.org/package/2006/relationships">
  <Relationship Id="rId1" Type="http://schemas.openxmlformats.org/officeDocument/2006/relationships/hyperlink" TargetMode="External" Target="https://docinfogroupe.psa-peugeot-citroen.com/ead/doc/ref.20408_18_01223/v.vc/fiche"/>
  <Relationship Id="rId2" Type="http://schemas.openxmlformats.org/officeDocument/2006/relationships/printerSettings" Target="../printerSettings/printerSettings10.bin"/>
  <Relationship Id="rId3" Type="http://schemas.openxmlformats.org/officeDocument/2006/relationships/drawing" Target="../drawings/drawing11.xml"/>
</Relationships>

</file>

<file path=xl/worksheets/_rels/sheet15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1.bin"/>
  <Relationship Id="rId2" Type="http://schemas.openxmlformats.org/officeDocument/2006/relationships/drawing" Target="../drawings/drawing12.xml"/>
</Relationships>

</file>

<file path=xl/worksheets/_rels/sheet16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2.bin"/>
  <Relationship Id="rId2" Type="http://schemas.openxmlformats.org/officeDocument/2006/relationships/table" Target="../tables/table1.xml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39"/>
  <sheetViews>
    <sheetView zoomScaleNormal="100" zoomScaleSheetLayoutView="100" workbookViewId="0">
      <selection activeCell="B11" sqref="B11:E11"/>
    </sheetView>
  </sheetViews>
  <sheetFormatPr baseColWidth="10" defaultRowHeight="15"/>
  <cols>
    <col min="1" max="1" width="35.7109375" customWidth="1"/>
    <col min="2" max="7" width="18.28515625" customWidth="1"/>
  </cols>
  <sheetData>
    <row r="1" spans="1:7" ht="16.5" thickBot="1">
      <c r="A1" s="12" t="s">
        <v>265</v>
      </c>
      <c r="B1" s="644" t="s">
        <v>263</v>
      </c>
      <c r="C1" s="645"/>
      <c r="D1" s="645"/>
      <c r="E1" s="646"/>
      <c r="F1" s="647"/>
      <c r="G1" s="648"/>
    </row>
    <row r="2" spans="1:7" ht="15" customHeight="1">
      <c r="A2" s="13" t="s">
        <v>183</v>
      </c>
      <c r="B2" s="649" t="s">
        <v>567</v>
      </c>
      <c r="C2" s="650"/>
      <c r="D2" s="650"/>
      <c r="E2" s="651"/>
      <c r="F2" s="655" t="s">
        <v>563</v>
      </c>
      <c r="G2" s="656"/>
    </row>
    <row r="3" spans="1:7" ht="15.75" customHeight="1" thickBot="1">
      <c r="A3" s="13" t="s">
        <v>72</v>
      </c>
      <c r="B3" s="652"/>
      <c r="C3" s="653"/>
      <c r="D3" s="653"/>
      <c r="E3" s="654"/>
      <c r="F3" s="655"/>
      <c r="G3" s="656"/>
    </row>
    <row r="4" spans="1:7" ht="15.75" thickBot="1">
      <c r="A4" s="14" t="s">
        <v>184</v>
      </c>
      <c r="B4" s="659" t="s">
        <v>69</v>
      </c>
      <c r="C4" s="660"/>
      <c r="D4" s="660"/>
      <c r="E4" s="661"/>
      <c r="F4" s="655"/>
      <c r="G4" s="656"/>
    </row>
    <row r="5" spans="1:7" ht="15.75" thickBot="1">
      <c r="A5" s="15" t="s">
        <v>185</v>
      </c>
      <c r="B5" s="662">
        <v>1</v>
      </c>
      <c r="C5" s="663"/>
      <c r="D5" s="663"/>
      <c r="E5" s="664"/>
      <c r="F5" s="657"/>
      <c r="G5" s="658"/>
    </row>
    <row r="6" spans="1:7">
      <c r="A6" s="632"/>
      <c r="B6" s="633"/>
      <c r="C6" s="633"/>
      <c r="D6" s="633"/>
      <c r="E6" s="633"/>
      <c r="F6" s="633"/>
      <c r="G6" s="634"/>
    </row>
    <row r="7" spans="1:7" ht="46.5" customHeight="1">
      <c r="A7" s="635" t="s">
        <v>565</v>
      </c>
      <c r="B7" s="636"/>
      <c r="C7" s="636"/>
      <c r="D7" s="636"/>
      <c r="E7" s="636"/>
      <c r="F7" s="636"/>
      <c r="G7" s="637"/>
    </row>
    <row r="8" spans="1:7">
      <c r="A8" s="635"/>
      <c r="B8" s="636"/>
      <c r="C8" s="636"/>
      <c r="D8" s="636"/>
      <c r="E8" s="636"/>
      <c r="F8" s="636"/>
      <c r="G8" s="637"/>
    </row>
    <row r="9" spans="1:7" ht="18.75" customHeight="1" thickBot="1">
      <c r="A9" s="638" t="s">
        <v>186</v>
      </c>
      <c r="B9" s="639"/>
      <c r="C9" s="639"/>
      <c r="D9" s="639"/>
      <c r="E9" s="639"/>
      <c r="F9" s="639"/>
      <c r="G9" s="640"/>
    </row>
    <row r="10" spans="1:7" ht="16.5" thickBot="1">
      <c r="A10" s="641" t="s">
        <v>550</v>
      </c>
      <c r="B10" s="642"/>
      <c r="C10" s="642"/>
      <c r="D10" s="642"/>
      <c r="E10" s="642"/>
      <c r="F10" s="642"/>
      <c r="G10" s="643"/>
    </row>
    <row r="11" spans="1:7" ht="39.75" customHeight="1" thickBot="1">
      <c r="A11" s="27" t="s">
        <v>568</v>
      </c>
      <c r="B11" s="672" t="s">
        <v>569</v>
      </c>
      <c r="C11" s="673"/>
      <c r="D11" s="673"/>
      <c r="E11" s="674"/>
      <c r="F11" s="672" t="s">
        <v>264</v>
      </c>
      <c r="G11" s="675"/>
    </row>
    <row r="12" spans="1:7">
      <c r="A12" s="16" t="s">
        <v>187</v>
      </c>
      <c r="B12" s="17"/>
      <c r="C12" s="17"/>
      <c r="D12" s="17"/>
      <c r="E12" s="17"/>
      <c r="F12" s="17"/>
      <c r="G12" s="18"/>
    </row>
    <row r="13" spans="1:7" ht="29.25" customHeight="1" thickBot="1">
      <c r="A13" s="676" t="s">
        <v>446</v>
      </c>
      <c r="B13" s="677"/>
      <c r="C13" s="677"/>
      <c r="D13" s="677"/>
      <c r="E13" s="677"/>
      <c r="F13" s="677"/>
      <c r="G13" s="678"/>
    </row>
    <row r="14" spans="1:7" ht="15.75" thickBot="1">
      <c r="A14" s="679" t="s">
        <v>266</v>
      </c>
      <c r="B14" s="665"/>
      <c r="C14" s="666"/>
      <c r="D14" s="665" t="s">
        <v>267</v>
      </c>
      <c r="E14" s="665"/>
      <c r="F14" s="665"/>
      <c r="G14" s="666"/>
    </row>
    <row r="15" spans="1:7" ht="15" customHeight="1">
      <c r="A15" s="249" t="s">
        <v>188</v>
      </c>
      <c r="B15" s="684" t="s">
        <v>564</v>
      </c>
      <c r="C15" s="684"/>
      <c r="D15" s="680"/>
      <c r="E15" s="680"/>
      <c r="F15" s="684"/>
      <c r="G15" s="684"/>
    </row>
    <row r="16" spans="1:7" ht="15" customHeight="1">
      <c r="A16" s="19"/>
      <c r="B16" s="684"/>
      <c r="C16" s="684"/>
      <c r="D16" s="680"/>
      <c r="E16" s="680"/>
      <c r="F16" s="684"/>
      <c r="G16" s="684"/>
    </row>
    <row r="17" spans="1:7">
      <c r="A17" s="19"/>
      <c r="B17" s="684"/>
      <c r="C17" s="684"/>
      <c r="D17" s="680"/>
      <c r="E17" s="680"/>
      <c r="F17" s="680"/>
      <c r="G17" s="686"/>
    </row>
    <row r="18" spans="1:7">
      <c r="A18" s="19"/>
      <c r="B18" s="684"/>
      <c r="C18" s="684"/>
      <c r="D18" s="680"/>
      <c r="E18" s="680"/>
      <c r="F18" s="680"/>
      <c r="G18" s="686"/>
    </row>
    <row r="19" spans="1:7" ht="15" customHeight="1">
      <c r="A19" s="19"/>
      <c r="B19" s="684"/>
      <c r="C19" s="684"/>
      <c r="D19" s="680"/>
      <c r="E19" s="680"/>
      <c r="F19" s="670"/>
      <c r="G19" s="671"/>
    </row>
    <row r="20" spans="1:7">
      <c r="A20" s="19"/>
      <c r="B20" s="684"/>
      <c r="C20" s="684"/>
      <c r="D20" s="680"/>
      <c r="E20" s="680"/>
      <c r="F20" s="670"/>
      <c r="G20" s="671"/>
    </row>
    <row r="21" spans="1:7" ht="15.75" thickBot="1">
      <c r="A21" s="21"/>
      <c r="B21" s="668"/>
      <c r="C21" s="669"/>
      <c r="D21" s="685"/>
      <c r="E21" s="685"/>
      <c r="F21" s="668"/>
      <c r="G21" s="669"/>
    </row>
    <row r="22" spans="1:7" ht="15.75" thickBot="1">
      <c r="A22" s="681" t="s">
        <v>268</v>
      </c>
      <c r="B22" s="682"/>
      <c r="C22" s="682"/>
      <c r="D22" s="682"/>
      <c r="E22" s="682"/>
      <c r="F22" s="682"/>
      <c r="G22" s="683"/>
    </row>
    <row r="23" spans="1:7" ht="15.75" thickBot="1">
      <c r="A23" s="61" t="s">
        <v>193</v>
      </c>
      <c r="B23" s="61" t="s">
        <v>192</v>
      </c>
      <c r="C23" s="61" t="s">
        <v>191</v>
      </c>
      <c r="D23" s="64" t="s">
        <v>189</v>
      </c>
      <c r="E23" s="62" t="s">
        <v>190</v>
      </c>
      <c r="F23" s="61" t="s">
        <v>194</v>
      </c>
      <c r="G23" s="61" t="s">
        <v>270</v>
      </c>
    </row>
    <row r="24" spans="1:7" ht="15.75" thickBot="1">
      <c r="A24" s="61" t="s">
        <v>73</v>
      </c>
      <c r="B24" s="61">
        <f>COUNTIF('RFQ response'!K8:K100,"OK")</f>
        <v>30</v>
      </c>
      <c r="C24" s="61">
        <f>COUNTIFS(DV!E51:E105,"OK",DV!J51:J105,"")+COUNTIFS(DV!E51:E105,"OK",DV!J51:J105,"NA")</f>
        <v>1</v>
      </c>
      <c r="D24" s="61">
        <f>DV!K4</f>
        <v>1</v>
      </c>
      <c r="E24" s="61">
        <f>DV!K5+DV!K6</f>
        <v>2</v>
      </c>
      <c r="F24" s="63">
        <f>100*D24/B24</f>
        <v>3.3333333333333335</v>
      </c>
      <c r="G24" s="63">
        <f>100*(D24+E24)/B24</f>
        <v>10</v>
      </c>
    </row>
    <row r="25" spans="1:7" ht="15.75" thickBot="1">
      <c r="A25" s="61" t="s">
        <v>181</v>
      </c>
      <c r="B25" s="61">
        <f>COUNTIF('RFQ response'!L8:L100,"OK")</f>
        <v>41</v>
      </c>
      <c r="C25" s="61">
        <f>COUNTIFS('DV2'!E51:E105,"OK",'DV2'!J51:J105,"")+COUNTIFS('DV2'!E51:E105,"OK",'DV2'!J51:J105,"NA")</f>
        <v>12</v>
      </c>
      <c r="D25" s="61">
        <f>'DV2'!K4</f>
        <v>1</v>
      </c>
      <c r="E25" s="61">
        <f>'DV2'!K5+'DV2'!K6</f>
        <v>2</v>
      </c>
      <c r="F25" s="63">
        <f>100*D25/B25</f>
        <v>2.4390243902439024</v>
      </c>
      <c r="G25" s="63">
        <f>100*(D25+E25)/B25</f>
        <v>7.3170731707317076</v>
      </c>
    </row>
    <row r="26" spans="1:7" ht="15.75" thickBot="1">
      <c r="A26" s="61" t="s">
        <v>182</v>
      </c>
      <c r="B26" s="61">
        <f>COUNTIF('RFQ response'!M8:M100,"OK")</f>
        <v>68</v>
      </c>
      <c r="C26" s="61">
        <f>COUNTIFS(PPV!E51:E105,"OK",PPV!J51:J105,"")+COUNTIFS(PPV!E51:E105,"OK",PPV!J51:J105,"NA")</f>
        <v>39</v>
      </c>
      <c r="D26" s="61">
        <f>PPV!K4</f>
        <v>1</v>
      </c>
      <c r="E26" s="61">
        <f>PPV!K5+PPV!K6</f>
        <v>2</v>
      </c>
      <c r="F26" s="63">
        <f>100*D26/B26</f>
        <v>1.4705882352941178</v>
      </c>
      <c r="G26" s="63">
        <f>100*(D26+E26)/B26</f>
        <v>4.4117647058823533</v>
      </c>
    </row>
    <row r="27" spans="1:7" ht="15.75" thickBot="1">
      <c r="A27" s="61" t="s">
        <v>74</v>
      </c>
      <c r="B27" s="61">
        <f>COUNTIF('RFQ response'!N8:N100,"OK")</f>
        <v>67</v>
      </c>
      <c r="C27" s="61">
        <f>COUNTIFS(PV!E51:E105,"OK",PV!J51:J105,"")+COUNTIFS(PV!E51:E105,"OK",PV!J51:J105,"NA")</f>
        <v>38</v>
      </c>
      <c r="D27" s="61">
        <f>PV!K4</f>
        <v>1</v>
      </c>
      <c r="E27" s="61">
        <f>PV!K5+PV!K6</f>
        <v>2</v>
      </c>
      <c r="F27" s="63">
        <f>100*D27/B27</f>
        <v>1.4925373134328359</v>
      </c>
      <c r="G27" s="63">
        <f>100*(D27+E27)/B27</f>
        <v>4.4776119402985071</v>
      </c>
    </row>
    <row r="28" spans="1:7" ht="15.75" thickBot="1">
      <c r="A28" s="61"/>
      <c r="B28" s="61"/>
      <c r="C28" s="61"/>
      <c r="D28" s="61"/>
      <c r="E28" s="61"/>
      <c r="F28" s="63"/>
      <c r="G28" s="63"/>
    </row>
    <row r="29" spans="1:7">
      <c r="A29" s="50"/>
      <c r="B29" s="20"/>
      <c r="C29" s="20"/>
      <c r="D29" s="20"/>
      <c r="E29" s="20"/>
      <c r="F29" s="22"/>
      <c r="G29" s="23"/>
    </row>
    <row r="30" spans="1:7" ht="15.75" thickBot="1">
      <c r="A30" s="667" t="s">
        <v>195</v>
      </c>
      <c r="B30" s="668"/>
      <c r="C30" s="668"/>
      <c r="D30" s="668"/>
      <c r="E30" s="668"/>
      <c r="F30" s="668"/>
      <c r="G30" s="669"/>
    </row>
    <row r="31" spans="1:7" ht="42.75" customHeight="1" thickBot="1">
      <c r="A31" s="65" t="s">
        <v>253</v>
      </c>
      <c r="B31" s="693" t="s">
        <v>196</v>
      </c>
      <c r="C31" s="693"/>
      <c r="D31" s="178"/>
      <c r="E31" s="693" t="s">
        <v>269</v>
      </c>
      <c r="F31" s="693"/>
      <c r="G31" s="179"/>
    </row>
    <row r="32" spans="1:7" ht="16.5" thickBot="1">
      <c r="A32" s="694" t="s">
        <v>254</v>
      </c>
      <c r="B32" s="695"/>
      <c r="C32" s="695"/>
      <c r="D32" s="695"/>
      <c r="E32" s="695"/>
      <c r="F32" s="695"/>
      <c r="G32" s="696"/>
    </row>
    <row r="33" spans="1:7" ht="155.25" customHeight="1" thickBot="1">
      <c r="A33" s="702"/>
      <c r="B33" s="703"/>
      <c r="C33" s="703"/>
      <c r="D33" s="703"/>
      <c r="E33" s="703"/>
      <c r="F33" s="703"/>
      <c r="G33" s="704"/>
    </row>
    <row r="34" spans="1:7" ht="112.5" customHeight="1" thickBot="1">
      <c r="A34" s="711"/>
      <c r="B34" s="712"/>
      <c r="C34" s="712"/>
      <c r="D34" s="712"/>
      <c r="E34" s="712"/>
      <c r="F34" s="712"/>
      <c r="G34" s="713"/>
    </row>
    <row r="35" spans="1:7" ht="112.5" customHeight="1">
      <c r="A35" s="708"/>
      <c r="B35" s="709"/>
      <c r="C35" s="709"/>
      <c r="D35" s="709"/>
      <c r="E35" s="709"/>
      <c r="F35" s="709"/>
      <c r="G35" s="710"/>
    </row>
    <row r="36" spans="1:7" ht="15.75" thickBot="1">
      <c r="A36" s="28" t="s">
        <v>199</v>
      </c>
      <c r="B36" s="697" t="s">
        <v>198</v>
      </c>
      <c r="C36" s="698"/>
      <c r="D36" s="698"/>
      <c r="E36" s="699"/>
      <c r="F36" s="700" t="s">
        <v>197</v>
      </c>
      <c r="G36" s="701"/>
    </row>
    <row r="37" spans="1:7">
      <c r="A37" s="24" t="s">
        <v>200</v>
      </c>
      <c r="B37" s="705" t="s">
        <v>200</v>
      </c>
      <c r="C37" s="706"/>
      <c r="D37" s="706"/>
      <c r="E37" s="707"/>
      <c r="F37" s="705" t="s">
        <v>200</v>
      </c>
      <c r="G37" s="707"/>
    </row>
    <row r="38" spans="1:7">
      <c r="A38" s="25" t="s">
        <v>70</v>
      </c>
      <c r="B38" s="687" t="s">
        <v>70</v>
      </c>
      <c r="C38" s="688"/>
      <c r="D38" s="688"/>
      <c r="E38" s="689"/>
      <c r="F38" s="687" t="s">
        <v>70</v>
      </c>
      <c r="G38" s="689"/>
    </row>
    <row r="39" spans="1:7" ht="15.75" thickBot="1">
      <c r="A39" s="26" t="s">
        <v>71</v>
      </c>
      <c r="B39" s="690" t="s">
        <v>71</v>
      </c>
      <c r="C39" s="691"/>
      <c r="D39" s="691"/>
      <c r="E39" s="692"/>
      <c r="F39" s="690" t="s">
        <v>71</v>
      </c>
      <c r="G39" s="692"/>
    </row>
  </sheetData>
  <mergeCells count="53">
    <mergeCell ref="B38:E38"/>
    <mergeCell ref="F38:G38"/>
    <mergeCell ref="B39:E39"/>
    <mergeCell ref="F39:G39"/>
    <mergeCell ref="B31:C31"/>
    <mergeCell ref="E31:F31"/>
    <mergeCell ref="A32:G32"/>
    <mergeCell ref="B36:E36"/>
    <mergeCell ref="F36:G36"/>
    <mergeCell ref="A33:G33"/>
    <mergeCell ref="B37:E37"/>
    <mergeCell ref="F37:G37"/>
    <mergeCell ref="A35:G35"/>
    <mergeCell ref="A34:G34"/>
    <mergeCell ref="B16:C16"/>
    <mergeCell ref="B17:C17"/>
    <mergeCell ref="B18:C18"/>
    <mergeCell ref="B19:C19"/>
    <mergeCell ref="B20:C20"/>
    <mergeCell ref="D19:E19"/>
    <mergeCell ref="D20:E20"/>
    <mergeCell ref="D21:E21"/>
    <mergeCell ref="F15:G15"/>
    <mergeCell ref="F16:G16"/>
    <mergeCell ref="F17:G17"/>
    <mergeCell ref="F18:G18"/>
    <mergeCell ref="D14:G14"/>
    <mergeCell ref="A30:G30"/>
    <mergeCell ref="F19:G19"/>
    <mergeCell ref="B11:E11"/>
    <mergeCell ref="F11:G11"/>
    <mergeCell ref="A13:G13"/>
    <mergeCell ref="A14:C14"/>
    <mergeCell ref="D15:E15"/>
    <mergeCell ref="D16:E16"/>
    <mergeCell ref="D17:E17"/>
    <mergeCell ref="D18:E18"/>
    <mergeCell ref="F20:G20"/>
    <mergeCell ref="F21:G21"/>
    <mergeCell ref="A22:G22"/>
    <mergeCell ref="B15:C15"/>
    <mergeCell ref="B21:C21"/>
    <mergeCell ref="B1:E1"/>
    <mergeCell ref="F1:G1"/>
    <mergeCell ref="B2:E3"/>
    <mergeCell ref="F2:G5"/>
    <mergeCell ref="B4:E4"/>
    <mergeCell ref="B5:E5"/>
    <mergeCell ref="A6:G6"/>
    <mergeCell ref="A7:G7"/>
    <mergeCell ref="A8:G8"/>
    <mergeCell ref="A9:G9"/>
    <mergeCell ref="A10:G10"/>
  </mergeCells>
  <pageMargins left="0.7" right="0.7" top="0.75" bottom="0.75" header="0.3" footer="0.3"/>
  <pageSetup paperSize="9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heck Box 5">
              <controlPr defaultSize="0" autoFill="0" autoLine="0" autoPict="0" altText="Conforme">
                <anchor moveWithCells="1">
                  <from>
                    <xdr:col>3</xdr:col>
                    <xdr:colOff>123825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6</xdr:col>
                    <xdr:colOff>114300</xdr:colOff>
                    <xdr:row>30</xdr:row>
                    <xdr:rowOff>0</xdr:rowOff>
                  </from>
                  <to>
                    <xdr:col>6</xdr:col>
                    <xdr:colOff>342900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7"/>
  <sheetViews>
    <sheetView workbookViewId="0">
      <selection activeCell="C14" sqref="C14"/>
    </sheetView>
  </sheetViews>
  <sheetFormatPr baseColWidth="10" defaultRowHeight="15"/>
  <cols>
    <col min="1" max="1" width="23.140625" customWidth="1"/>
    <col min="2" max="2" width="64.7109375" customWidth="1"/>
    <col min="3" max="3" width="38.7109375" customWidth="1"/>
    <col min="4" max="4" width="28.140625" customWidth="1"/>
  </cols>
  <sheetData>
    <row r="1" spans="1:5">
      <c r="A1" s="250"/>
      <c r="B1" s="251"/>
      <c r="C1" s="251"/>
      <c r="D1" s="251"/>
      <c r="E1" s="252"/>
    </row>
    <row r="2" spans="1:5" ht="18.75">
      <c r="A2" s="714" t="s">
        <v>271</v>
      </c>
      <c r="B2" s="715"/>
      <c r="C2" s="715"/>
      <c r="D2" s="715"/>
      <c r="E2" s="716"/>
    </row>
    <row r="3" spans="1:5">
      <c r="A3" s="253"/>
      <c r="B3" s="254"/>
      <c r="C3" s="254"/>
      <c r="D3" s="254"/>
      <c r="E3" s="255"/>
    </row>
    <row r="4" spans="1:5">
      <c r="A4" s="256" t="s">
        <v>272</v>
      </c>
      <c r="B4" s="256" t="s">
        <v>273</v>
      </c>
      <c r="C4" s="256" t="s">
        <v>263</v>
      </c>
      <c r="D4" s="256" t="s">
        <v>69</v>
      </c>
      <c r="E4" s="255"/>
    </row>
    <row r="5" spans="1:5">
      <c r="A5" s="533" t="s">
        <v>231</v>
      </c>
      <c r="B5" s="534" t="s">
        <v>447</v>
      </c>
      <c r="C5" s="258" t="s">
        <v>400</v>
      </c>
      <c r="D5" s="259" t="s">
        <v>566</v>
      </c>
      <c r="E5" s="255"/>
    </row>
    <row r="6" spans="1:5" ht="24">
      <c r="A6" s="536" t="s">
        <v>406</v>
      </c>
      <c r="B6" s="535" t="s">
        <v>407</v>
      </c>
      <c r="C6" s="533" t="s">
        <v>448</v>
      </c>
      <c r="D6" s="258" t="s">
        <v>410</v>
      </c>
      <c r="E6" s="255"/>
    </row>
    <row r="7" spans="1:5" ht="24">
      <c r="A7" s="536" t="s">
        <v>408</v>
      </c>
      <c r="B7" s="535" t="s">
        <v>409</v>
      </c>
      <c r="C7" s="258" t="s">
        <v>549</v>
      </c>
      <c r="D7" s="258">
        <v>45457</v>
      </c>
      <c r="E7" s="255"/>
    </row>
    <row r="8" spans="1:5">
      <c r="A8" s="533" t="s">
        <v>274</v>
      </c>
      <c r="B8" s="535" t="s">
        <v>275</v>
      </c>
      <c r="C8" s="631" t="s">
        <v>570</v>
      </c>
      <c r="D8" s="258" t="s">
        <v>276</v>
      </c>
      <c r="E8" s="255"/>
    </row>
    <row r="9" spans="1:5">
      <c r="A9" s="463"/>
      <c r="B9" s="463"/>
      <c r="C9" s="464"/>
      <c r="D9" s="463"/>
      <c r="E9" s="255"/>
    </row>
    <row r="10" spans="1:5" ht="18.75">
      <c r="A10" s="714" t="s">
        <v>277</v>
      </c>
      <c r="B10" s="715"/>
      <c r="C10" s="715"/>
      <c r="D10" s="715"/>
      <c r="E10" s="716"/>
    </row>
    <row r="11" spans="1:5">
      <c r="A11" s="253"/>
      <c r="B11" s="254"/>
      <c r="C11" s="254"/>
      <c r="D11" s="254"/>
      <c r="E11" s="255"/>
    </row>
    <row r="12" spans="1:5">
      <c r="A12" s="256" t="s">
        <v>272</v>
      </c>
      <c r="B12" s="256" t="s">
        <v>273</v>
      </c>
      <c r="C12" s="256" t="s">
        <v>263</v>
      </c>
      <c r="D12" s="256" t="s">
        <v>69</v>
      </c>
      <c r="E12" s="255"/>
    </row>
    <row r="13" spans="1:5">
      <c r="A13" s="260"/>
      <c r="B13" s="260"/>
      <c r="C13" s="257"/>
      <c r="D13" s="261"/>
      <c r="E13" s="255"/>
    </row>
    <row r="14" spans="1:5">
      <c r="A14" s="253"/>
      <c r="B14" s="254"/>
      <c r="C14" s="254"/>
      <c r="D14" s="254"/>
      <c r="E14" s="255"/>
    </row>
    <row r="15" spans="1:5">
      <c r="A15" s="253"/>
      <c r="B15" s="254"/>
      <c r="C15" s="254"/>
      <c r="D15" s="254"/>
      <c r="E15" s="255"/>
    </row>
    <row r="16" spans="1:5">
      <c r="A16" s="253"/>
      <c r="B16" s="254"/>
      <c r="C16" s="254"/>
      <c r="D16" s="254"/>
      <c r="E16" s="255"/>
    </row>
    <row r="17" spans="1:5" ht="15.75" thickBot="1">
      <c r="A17" s="262"/>
      <c r="B17" s="263"/>
      <c r="C17" s="263"/>
      <c r="D17" s="263"/>
      <c r="E17" s="264"/>
    </row>
  </sheetData>
  <mergeCells count="2">
    <mergeCell ref="A2:E2"/>
    <mergeCell ref="A10:E10"/>
  </mergeCells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3"/>
  </sheetPr>
  <dimension ref="A1:AM100"/>
  <sheetViews>
    <sheetView tabSelected="1"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G10" sqref="G10"/>
    </sheetView>
  </sheetViews>
  <sheetFormatPr baseColWidth="10" defaultColWidth="9.140625" defaultRowHeight="12.75"/>
  <cols>
    <col min="1" max="1" width="6.42578125" style="265" customWidth="1"/>
    <col min="2" max="2" width="15.5703125" style="266" bestFit="1" customWidth="1"/>
    <col min="3" max="3" width="20.7109375" style="266" bestFit="1" customWidth="1"/>
    <col min="4" max="4" width="24.28515625" style="185" bestFit="1" customWidth="1"/>
    <col min="5" max="5" width="43.140625" style="266" customWidth="1"/>
    <col min="6" max="6" width="5.85546875" style="266" customWidth="1"/>
    <col min="7" max="7" width="24.28515625" style="266" bestFit="1" customWidth="1"/>
    <col min="8" max="8" width="5.5703125" style="266" customWidth="1"/>
    <col min="9" max="9" width="17.140625" style="266" customWidth="1"/>
    <col min="10" max="10" width="17.140625" style="185" customWidth="1"/>
    <col min="11" max="13" width="4.7109375" style="266" customWidth="1"/>
    <col min="14" max="14" width="4.7109375" style="185" customWidth="1"/>
    <col min="15" max="15" width="19.5703125" style="185" customWidth="1"/>
    <col min="16" max="16" width="21" style="185" customWidth="1"/>
    <col min="17" max="17" width="17.140625" style="185" customWidth="1"/>
    <col min="18" max="19" width="10.7109375" style="185" hidden="1" customWidth="1"/>
    <col min="20" max="20" width="4.7109375" style="185" hidden="1" customWidth="1"/>
    <col min="21" max="22" width="10.7109375" style="185" hidden="1" customWidth="1"/>
    <col min="23" max="23" width="4.7109375" style="185" hidden="1" customWidth="1"/>
    <col min="24" max="25" width="10.7109375" style="185" hidden="1" customWidth="1"/>
    <col min="26" max="26" width="4.7109375" style="185" hidden="1" customWidth="1"/>
    <col min="27" max="28" width="10.7109375" style="185" hidden="1" customWidth="1"/>
    <col min="29" max="29" width="4.7109375" style="185" hidden="1" customWidth="1"/>
    <col min="30" max="31" width="10.7109375" style="266" hidden="1" customWidth="1"/>
    <col min="32" max="32" width="4.7109375" style="266" hidden="1" customWidth="1"/>
    <col min="33" max="38" width="9.140625" style="266" hidden="1" customWidth="1"/>
    <col min="39" max="16384" width="9.140625" style="266"/>
  </cols>
  <sheetData>
    <row r="1" spans="1:39" ht="15" thickBot="1">
      <c r="B1" s="717" t="s">
        <v>218</v>
      </c>
      <c r="C1" s="717"/>
      <c r="D1" s="717"/>
      <c r="E1" s="717"/>
      <c r="F1" s="248"/>
      <c r="G1" s="248"/>
      <c r="H1" s="248"/>
      <c r="I1" s="248"/>
      <c r="J1" s="248"/>
      <c r="K1" s="248"/>
      <c r="L1" s="248"/>
      <c r="M1" s="248"/>
    </row>
    <row r="2" spans="1:39" ht="21.75" thickTop="1" thickBot="1">
      <c r="B2" s="718" t="s">
        <v>303</v>
      </c>
      <c r="C2" s="719"/>
      <c r="D2" s="719"/>
      <c r="E2" s="719"/>
      <c r="F2" s="720" t="s">
        <v>304</v>
      </c>
      <c r="G2" s="721"/>
      <c r="H2" s="721"/>
      <c r="I2" s="721"/>
      <c r="J2" s="721"/>
      <c r="K2" s="721"/>
      <c r="L2" s="721"/>
      <c r="M2" s="721"/>
      <c r="N2" s="721"/>
      <c r="O2" s="779" t="s">
        <v>302</v>
      </c>
      <c r="P2" s="779"/>
      <c r="Q2" s="779"/>
      <c r="R2" s="722"/>
      <c r="S2" s="722"/>
      <c r="T2" s="722"/>
      <c r="U2" s="722"/>
      <c r="V2" s="722"/>
      <c r="W2" s="722"/>
      <c r="X2" s="722"/>
      <c r="Y2" s="722"/>
      <c r="Z2" s="722"/>
      <c r="AA2" s="722"/>
      <c r="AB2" s="722"/>
      <c r="AC2" s="722"/>
      <c r="AD2" s="722"/>
      <c r="AE2" s="722"/>
      <c r="AF2" s="722"/>
      <c r="AJ2" s="266" t="s">
        <v>57</v>
      </c>
      <c r="AL2" s="266" t="s">
        <v>57</v>
      </c>
    </row>
    <row r="3" spans="1:39" ht="68.25" thickTop="1" thickBot="1">
      <c r="B3" s="267"/>
      <c r="C3" s="268"/>
      <c r="D3" s="268"/>
      <c r="E3" s="269"/>
      <c r="F3" s="270"/>
      <c r="G3" s="271"/>
      <c r="H3" s="271"/>
      <c r="I3" s="272"/>
      <c r="J3" s="273"/>
      <c r="K3" s="274" t="s">
        <v>473</v>
      </c>
      <c r="L3" s="274" t="s">
        <v>474</v>
      </c>
      <c r="M3" s="274" t="s">
        <v>475</v>
      </c>
      <c r="N3" s="433" t="s">
        <v>476</v>
      </c>
      <c r="O3" s="437"/>
      <c r="P3" s="437"/>
      <c r="Q3" s="437"/>
      <c r="R3" s="434"/>
      <c r="S3" s="741" t="s">
        <v>219</v>
      </c>
      <c r="T3" s="741"/>
      <c r="U3" s="741"/>
      <c r="V3" s="741"/>
      <c r="W3" s="742"/>
      <c r="X3" s="756" t="s">
        <v>236</v>
      </c>
      <c r="Y3" s="741"/>
      <c r="Z3" s="741"/>
      <c r="AA3" s="741"/>
      <c r="AB3" s="741"/>
      <c r="AC3" s="742"/>
      <c r="AD3" s="756" t="s">
        <v>220</v>
      </c>
      <c r="AE3" s="741"/>
      <c r="AF3" s="742"/>
      <c r="AI3" s="266" t="s">
        <v>57</v>
      </c>
      <c r="AJ3" s="275" t="s">
        <v>59</v>
      </c>
      <c r="AK3" s="275" t="s">
        <v>221</v>
      </c>
      <c r="AL3" s="266" t="s">
        <v>63</v>
      </c>
    </row>
    <row r="4" spans="1:39" ht="46.5" thickTop="1" thickBot="1">
      <c r="B4" s="726" t="s">
        <v>222</v>
      </c>
      <c r="C4" s="728" t="s">
        <v>278</v>
      </c>
      <c r="D4" s="728" t="s">
        <v>279</v>
      </c>
      <c r="E4" s="730" t="s">
        <v>223</v>
      </c>
      <c r="F4" s="733" t="s">
        <v>405</v>
      </c>
      <c r="G4" s="723" t="s">
        <v>283</v>
      </c>
      <c r="H4" s="747" t="s">
        <v>282</v>
      </c>
      <c r="I4" s="723" t="s">
        <v>281</v>
      </c>
      <c r="J4" s="723" t="s">
        <v>280</v>
      </c>
      <c r="K4" s="725" t="s">
        <v>224</v>
      </c>
      <c r="L4" s="725" t="s">
        <v>224</v>
      </c>
      <c r="M4" s="725" t="s">
        <v>224</v>
      </c>
      <c r="N4" s="746" t="s">
        <v>224</v>
      </c>
      <c r="O4" s="780" t="s">
        <v>299</v>
      </c>
      <c r="P4" s="780" t="s">
        <v>300</v>
      </c>
      <c r="Q4" s="780" t="s">
        <v>301</v>
      </c>
      <c r="R4" s="749" t="s">
        <v>234</v>
      </c>
      <c r="S4" s="749"/>
      <c r="T4" s="750"/>
      <c r="U4" s="753" t="s">
        <v>237</v>
      </c>
      <c r="V4" s="754"/>
      <c r="W4" s="755"/>
      <c r="X4" s="760" t="s">
        <v>238</v>
      </c>
      <c r="Y4" s="761"/>
      <c r="Z4" s="762"/>
      <c r="AA4" s="763" t="s">
        <v>239</v>
      </c>
      <c r="AB4" s="764"/>
      <c r="AC4" s="765"/>
      <c r="AD4" s="757" t="s">
        <v>240</v>
      </c>
      <c r="AE4" s="758"/>
      <c r="AF4" s="759"/>
      <c r="AI4" s="266" t="s">
        <v>59</v>
      </c>
      <c r="AJ4" s="275" t="s">
        <v>226</v>
      </c>
      <c r="AK4" s="275" t="s">
        <v>225</v>
      </c>
      <c r="AL4" s="266" t="s">
        <v>59</v>
      </c>
    </row>
    <row r="5" spans="1:39" ht="15.75" thickBot="1">
      <c r="B5" s="727"/>
      <c r="C5" s="729"/>
      <c r="D5" s="729"/>
      <c r="E5" s="731"/>
      <c r="F5" s="734"/>
      <c r="G5" s="724"/>
      <c r="H5" s="748"/>
      <c r="I5" s="724"/>
      <c r="J5" s="724"/>
      <c r="K5" s="725"/>
      <c r="L5" s="725"/>
      <c r="M5" s="725"/>
      <c r="N5" s="746"/>
      <c r="O5" s="780"/>
      <c r="P5" s="780"/>
      <c r="Q5" s="780"/>
      <c r="R5" s="744" t="s">
        <v>235</v>
      </c>
      <c r="S5" s="745"/>
      <c r="T5" s="276" t="s">
        <v>57</v>
      </c>
      <c r="U5" s="751" t="s">
        <v>235</v>
      </c>
      <c r="V5" s="752"/>
      <c r="W5" s="277" t="s">
        <v>57</v>
      </c>
      <c r="X5" s="735" t="s">
        <v>235</v>
      </c>
      <c r="Y5" s="736"/>
      <c r="Z5" s="278" t="s">
        <v>57</v>
      </c>
      <c r="AA5" s="737" t="s">
        <v>235</v>
      </c>
      <c r="AB5" s="738"/>
      <c r="AC5" s="279" t="s">
        <v>57</v>
      </c>
      <c r="AD5" s="739" t="s">
        <v>235</v>
      </c>
      <c r="AE5" s="740"/>
      <c r="AF5" s="280" t="s">
        <v>57</v>
      </c>
      <c r="AJ5" s="275" t="s">
        <v>230</v>
      </c>
    </row>
    <row r="6" spans="1:39" ht="57.75">
      <c r="B6" s="727"/>
      <c r="C6" s="729"/>
      <c r="D6" s="729"/>
      <c r="E6" s="732"/>
      <c r="F6" s="734"/>
      <c r="G6" s="724"/>
      <c r="H6" s="748"/>
      <c r="I6" s="724"/>
      <c r="J6" s="724"/>
      <c r="K6" s="725"/>
      <c r="L6" s="725"/>
      <c r="M6" s="725"/>
      <c r="N6" s="746"/>
      <c r="O6" s="780"/>
      <c r="P6" s="780"/>
      <c r="Q6" s="780"/>
      <c r="R6" s="430" t="s">
        <v>227</v>
      </c>
      <c r="S6" s="194" t="s">
        <v>228</v>
      </c>
      <c r="T6" s="193" t="s">
        <v>229</v>
      </c>
      <c r="U6" s="195" t="s">
        <v>227</v>
      </c>
      <c r="V6" s="196" t="s">
        <v>228</v>
      </c>
      <c r="W6" s="203" t="s">
        <v>229</v>
      </c>
      <c r="X6" s="197" t="s">
        <v>227</v>
      </c>
      <c r="Y6" s="198" t="s">
        <v>228</v>
      </c>
      <c r="Z6" s="204" t="s">
        <v>229</v>
      </c>
      <c r="AA6" s="199" t="s">
        <v>227</v>
      </c>
      <c r="AB6" s="200" t="s">
        <v>228</v>
      </c>
      <c r="AC6" s="205" t="s">
        <v>229</v>
      </c>
      <c r="AD6" s="201" t="s">
        <v>227</v>
      </c>
      <c r="AE6" s="202" t="s">
        <v>228</v>
      </c>
      <c r="AF6" s="206" t="s">
        <v>229</v>
      </c>
      <c r="AJ6" s="266" t="s">
        <v>246</v>
      </c>
    </row>
    <row r="7" spans="1:39" ht="16.5" thickBot="1">
      <c r="A7" s="308"/>
      <c r="B7" s="743" t="s">
        <v>449</v>
      </c>
      <c r="C7" s="743"/>
      <c r="D7" s="743"/>
      <c r="E7" s="743"/>
      <c r="F7" s="447"/>
      <c r="G7" s="448"/>
      <c r="H7" s="449"/>
      <c r="I7" s="450"/>
      <c r="J7" s="450"/>
      <c r="K7" s="451"/>
      <c r="L7" s="452"/>
      <c r="M7" s="452"/>
      <c r="N7" s="453"/>
      <c r="O7" s="438"/>
      <c r="P7" s="438"/>
      <c r="Q7" s="438"/>
      <c r="R7" s="435"/>
      <c r="S7" s="431"/>
      <c r="T7" s="432"/>
      <c r="U7" s="195"/>
      <c r="V7" s="196"/>
      <c r="W7" s="203"/>
      <c r="X7" s="197"/>
      <c r="Y7" s="198"/>
      <c r="Z7" s="204"/>
      <c r="AA7" s="199"/>
      <c r="AB7" s="200"/>
      <c r="AC7" s="205"/>
      <c r="AD7" s="201"/>
      <c r="AE7" s="202"/>
      <c r="AF7" s="206"/>
    </row>
    <row r="8" spans="1:39" ht="15" customHeight="1">
      <c r="A8" s="781" t="s">
        <v>460</v>
      </c>
      <c r="B8" s="299" t="s">
        <v>312</v>
      </c>
      <c r="C8" s="462" t="s">
        <v>313</v>
      </c>
      <c r="D8" s="462" t="s">
        <v>477</v>
      </c>
      <c r="E8" s="189" t="s">
        <v>255</v>
      </c>
      <c r="F8" s="592"/>
      <c r="G8" s="190"/>
      <c r="H8" s="190"/>
      <c r="I8" s="191"/>
      <c r="J8" s="192"/>
      <c r="K8" s="603" t="s">
        <v>57</v>
      </c>
      <c r="L8" s="593" t="s">
        <v>57</v>
      </c>
      <c r="M8" s="593" t="s">
        <v>57</v>
      </c>
      <c r="N8" s="604" t="s">
        <v>57</v>
      </c>
      <c r="O8" s="439"/>
      <c r="P8" s="439"/>
      <c r="Q8" s="439"/>
      <c r="R8" s="285"/>
      <c r="S8" s="283"/>
      <c r="T8" s="284"/>
      <c r="U8" s="285"/>
      <c r="V8" s="283"/>
      <c r="W8" s="286"/>
      <c r="X8" s="282"/>
      <c r="Y8" s="283"/>
      <c r="Z8" s="287"/>
      <c r="AA8" s="282"/>
      <c r="AB8" s="283"/>
      <c r="AC8" s="287"/>
      <c r="AD8" s="288"/>
      <c r="AE8" s="289"/>
      <c r="AF8" s="284"/>
    </row>
    <row r="9" spans="1:39" ht="15">
      <c r="A9" s="782"/>
      <c r="B9" s="281" t="s">
        <v>312</v>
      </c>
      <c r="C9" s="186" t="s">
        <v>314</v>
      </c>
      <c r="D9" s="462" t="s">
        <v>478</v>
      </c>
      <c r="E9" s="187" t="s">
        <v>414</v>
      </c>
      <c r="F9" s="593"/>
      <c r="G9" s="182"/>
      <c r="H9" s="182"/>
      <c r="I9" s="183"/>
      <c r="J9" s="184"/>
      <c r="K9" s="603" t="s">
        <v>57</v>
      </c>
      <c r="L9" s="593" t="s">
        <v>57</v>
      </c>
      <c r="M9" s="593" t="s">
        <v>57</v>
      </c>
      <c r="N9" s="604" t="s">
        <v>57</v>
      </c>
      <c r="O9" s="439"/>
      <c r="P9" s="439"/>
      <c r="Q9" s="439"/>
      <c r="R9" s="293"/>
      <c r="S9" s="291"/>
      <c r="T9" s="292"/>
      <c r="U9" s="293"/>
      <c r="V9" s="291"/>
      <c r="W9" s="294"/>
      <c r="X9" s="290"/>
      <c r="Y9" s="291"/>
      <c r="Z9" s="295"/>
      <c r="AA9" s="290"/>
      <c r="AB9" s="291"/>
      <c r="AC9" s="295"/>
      <c r="AD9" s="296"/>
      <c r="AE9" s="297"/>
      <c r="AF9" s="292"/>
    </row>
    <row r="10" spans="1:39" ht="48">
      <c r="A10" s="782"/>
      <c r="B10" s="281" t="s">
        <v>312</v>
      </c>
      <c r="C10" s="186" t="s">
        <v>315</v>
      </c>
      <c r="D10" s="462" t="s">
        <v>479</v>
      </c>
      <c r="E10" s="187" t="s">
        <v>459</v>
      </c>
      <c r="F10" s="593"/>
      <c r="G10" s="182"/>
      <c r="H10" s="182"/>
      <c r="I10" s="183"/>
      <c r="J10" s="184"/>
      <c r="K10" s="603" t="s">
        <v>57</v>
      </c>
      <c r="L10" s="593" t="s">
        <v>57</v>
      </c>
      <c r="M10" s="593" t="s">
        <v>57</v>
      </c>
      <c r="N10" s="604" t="s">
        <v>57</v>
      </c>
      <c r="O10" s="439"/>
      <c r="P10" s="439"/>
      <c r="Q10" s="439"/>
      <c r="R10" s="293"/>
      <c r="S10" s="291"/>
      <c r="T10" s="292"/>
      <c r="U10" s="293"/>
      <c r="V10" s="291"/>
      <c r="W10" s="294"/>
      <c r="X10" s="290"/>
      <c r="Y10" s="291"/>
      <c r="Z10" s="295"/>
      <c r="AA10" s="290"/>
      <c r="AB10" s="291"/>
      <c r="AC10" s="295"/>
      <c r="AD10" s="296"/>
      <c r="AE10" s="297"/>
      <c r="AF10" s="292"/>
      <c r="AM10" s="298"/>
    </row>
    <row r="11" spans="1:39" ht="24">
      <c r="A11" s="782"/>
      <c r="B11" s="281" t="s">
        <v>312</v>
      </c>
      <c r="C11" s="186" t="s">
        <v>316</v>
      </c>
      <c r="D11" s="462" t="s">
        <v>480</v>
      </c>
      <c r="E11" s="187" t="s">
        <v>415</v>
      </c>
      <c r="F11" s="593"/>
      <c r="G11" s="182"/>
      <c r="H11" s="182"/>
      <c r="I11" s="183"/>
      <c r="J11" s="184"/>
      <c r="K11" s="603" t="s">
        <v>57</v>
      </c>
      <c r="L11" s="593" t="s">
        <v>57</v>
      </c>
      <c r="M11" s="593" t="s">
        <v>57</v>
      </c>
      <c r="N11" s="604" t="s">
        <v>57</v>
      </c>
      <c r="O11" s="439"/>
      <c r="P11" s="439"/>
      <c r="Q11" s="439"/>
      <c r="R11" s="293"/>
      <c r="S11" s="291"/>
      <c r="T11" s="292"/>
      <c r="U11" s="293"/>
      <c r="V11" s="291"/>
      <c r="W11" s="294"/>
      <c r="X11" s="290"/>
      <c r="Y11" s="291"/>
      <c r="Z11" s="295"/>
      <c r="AA11" s="290"/>
      <c r="AB11" s="291"/>
      <c r="AC11" s="295"/>
      <c r="AD11" s="296"/>
      <c r="AE11" s="297"/>
      <c r="AF11" s="292"/>
    </row>
    <row r="12" spans="1:39" ht="15">
      <c r="A12" s="782"/>
      <c r="B12" s="281" t="s">
        <v>312</v>
      </c>
      <c r="C12" s="186" t="s">
        <v>317</v>
      </c>
      <c r="D12" s="462" t="s">
        <v>481</v>
      </c>
      <c r="E12" s="187" t="s">
        <v>416</v>
      </c>
      <c r="F12" s="593"/>
      <c r="G12" s="182"/>
      <c r="H12" s="182"/>
      <c r="I12" s="183"/>
      <c r="J12" s="184"/>
      <c r="K12" s="603" t="s">
        <v>57</v>
      </c>
      <c r="L12" s="593" t="s">
        <v>57</v>
      </c>
      <c r="M12" s="593" t="s">
        <v>57</v>
      </c>
      <c r="N12" s="604" t="s">
        <v>57</v>
      </c>
      <c r="O12" s="439"/>
      <c r="P12" s="439"/>
      <c r="Q12" s="439"/>
      <c r="R12" s="293"/>
      <c r="S12" s="291"/>
      <c r="T12" s="292"/>
      <c r="U12" s="293"/>
      <c r="V12" s="291"/>
      <c r="W12" s="294"/>
      <c r="X12" s="290"/>
      <c r="Y12" s="291"/>
      <c r="Z12" s="295"/>
      <c r="AA12" s="290"/>
      <c r="AB12" s="291"/>
      <c r="AC12" s="295"/>
      <c r="AD12" s="296"/>
      <c r="AE12" s="297"/>
      <c r="AF12" s="292"/>
    </row>
    <row r="13" spans="1:39" ht="15">
      <c r="A13" s="782"/>
      <c r="B13" s="281" t="s">
        <v>312</v>
      </c>
      <c r="C13" s="186" t="s">
        <v>318</v>
      </c>
      <c r="D13" s="462" t="s">
        <v>482</v>
      </c>
      <c r="E13" s="187" t="s">
        <v>418</v>
      </c>
      <c r="F13" s="593"/>
      <c r="G13" s="182"/>
      <c r="H13" s="182"/>
      <c r="I13" s="183"/>
      <c r="J13" s="184"/>
      <c r="K13" s="603" t="s">
        <v>57</v>
      </c>
      <c r="L13" s="593" t="s">
        <v>57</v>
      </c>
      <c r="M13" s="593" t="s">
        <v>57</v>
      </c>
      <c r="N13" s="604" t="s">
        <v>57</v>
      </c>
      <c r="O13" s="439"/>
      <c r="P13" s="439"/>
      <c r="Q13" s="439"/>
      <c r="R13" s="293"/>
      <c r="S13" s="291"/>
      <c r="T13" s="292"/>
      <c r="U13" s="293"/>
      <c r="V13" s="291"/>
      <c r="W13" s="294"/>
      <c r="X13" s="290"/>
      <c r="Y13" s="291"/>
      <c r="Z13" s="295"/>
      <c r="AA13" s="290"/>
      <c r="AB13" s="291"/>
      <c r="AC13" s="295"/>
      <c r="AD13" s="296"/>
      <c r="AE13" s="297"/>
      <c r="AF13" s="292"/>
    </row>
    <row r="14" spans="1:39" ht="15">
      <c r="A14" s="782"/>
      <c r="B14" s="281" t="s">
        <v>312</v>
      </c>
      <c r="C14" s="186" t="s">
        <v>319</v>
      </c>
      <c r="D14" s="462" t="s">
        <v>483</v>
      </c>
      <c r="E14" s="187" t="s">
        <v>417</v>
      </c>
      <c r="F14" s="593"/>
      <c r="G14" s="182"/>
      <c r="H14" s="182"/>
      <c r="I14" s="183"/>
      <c r="J14" s="184"/>
      <c r="K14" s="603" t="s">
        <v>57</v>
      </c>
      <c r="L14" s="593" t="s">
        <v>57</v>
      </c>
      <c r="M14" s="593" t="s">
        <v>57</v>
      </c>
      <c r="N14" s="604" t="s">
        <v>57</v>
      </c>
      <c r="O14" s="439"/>
      <c r="P14" s="439"/>
      <c r="Q14" s="439"/>
      <c r="R14" s="293"/>
      <c r="S14" s="291"/>
      <c r="T14" s="292"/>
      <c r="U14" s="293"/>
      <c r="V14" s="291"/>
      <c r="W14" s="294"/>
      <c r="X14" s="290"/>
      <c r="Y14" s="291"/>
      <c r="Z14" s="295"/>
      <c r="AA14" s="290"/>
      <c r="AB14" s="291"/>
      <c r="AC14" s="295"/>
      <c r="AD14" s="296"/>
      <c r="AE14" s="297"/>
      <c r="AF14" s="292"/>
    </row>
    <row r="15" spans="1:39" ht="15">
      <c r="A15" s="782"/>
      <c r="B15" s="281" t="s">
        <v>312</v>
      </c>
      <c r="C15" s="186" t="s">
        <v>320</v>
      </c>
      <c r="D15" s="462" t="s">
        <v>484</v>
      </c>
      <c r="E15" s="187" t="s">
        <v>419</v>
      </c>
      <c r="F15" s="593"/>
      <c r="G15" s="182"/>
      <c r="H15" s="182"/>
      <c r="I15" s="183"/>
      <c r="J15" s="184"/>
      <c r="K15" s="603" t="s">
        <v>57</v>
      </c>
      <c r="L15" s="593" t="s">
        <v>57</v>
      </c>
      <c r="M15" s="593" t="s">
        <v>57</v>
      </c>
      <c r="N15" s="604" t="s">
        <v>57</v>
      </c>
      <c r="O15" s="439"/>
      <c r="P15" s="439"/>
      <c r="Q15" s="439"/>
      <c r="R15" s="293"/>
      <c r="S15" s="291"/>
      <c r="T15" s="292"/>
      <c r="U15" s="293"/>
      <c r="V15" s="291"/>
      <c r="W15" s="294"/>
      <c r="X15" s="290"/>
      <c r="Y15" s="291"/>
      <c r="Z15" s="295"/>
      <c r="AA15" s="290"/>
      <c r="AB15" s="291"/>
      <c r="AC15" s="295"/>
      <c r="AD15" s="296"/>
      <c r="AE15" s="297"/>
      <c r="AF15" s="292"/>
    </row>
    <row r="16" spans="1:39" ht="15">
      <c r="A16" s="782"/>
      <c r="B16" s="281" t="s">
        <v>312</v>
      </c>
      <c r="C16" s="186" t="s">
        <v>321</v>
      </c>
      <c r="D16" s="462" t="s">
        <v>485</v>
      </c>
      <c r="E16" s="187" t="s">
        <v>420</v>
      </c>
      <c r="F16" s="593"/>
      <c r="G16" s="182"/>
      <c r="H16" s="182"/>
      <c r="I16" s="183"/>
      <c r="J16" s="184"/>
      <c r="K16" s="603" t="s">
        <v>57</v>
      </c>
      <c r="L16" s="593" t="s">
        <v>57</v>
      </c>
      <c r="M16" s="593" t="s">
        <v>57</v>
      </c>
      <c r="N16" s="604" t="s">
        <v>57</v>
      </c>
      <c r="O16" s="439"/>
      <c r="P16" s="439"/>
      <c r="Q16" s="439"/>
      <c r="R16" s="293"/>
      <c r="S16" s="291"/>
      <c r="T16" s="292"/>
      <c r="U16" s="293"/>
      <c r="V16" s="291"/>
      <c r="W16" s="294"/>
      <c r="X16" s="290"/>
      <c r="Y16" s="291"/>
      <c r="Z16" s="295"/>
      <c r="AA16" s="290"/>
      <c r="AB16" s="291"/>
      <c r="AC16" s="295"/>
      <c r="AD16" s="296"/>
      <c r="AE16" s="297"/>
      <c r="AF16" s="292"/>
    </row>
    <row r="17" spans="1:32" ht="15">
      <c r="A17" s="782"/>
      <c r="B17" s="281" t="s">
        <v>312</v>
      </c>
      <c r="C17" s="186" t="s">
        <v>322</v>
      </c>
      <c r="D17" s="462" t="s">
        <v>486</v>
      </c>
      <c r="E17" s="187" t="s">
        <v>421</v>
      </c>
      <c r="F17" s="593"/>
      <c r="G17" s="182"/>
      <c r="H17" s="182"/>
      <c r="I17" s="183"/>
      <c r="J17" s="184"/>
      <c r="K17" s="603" t="s">
        <v>57</v>
      </c>
      <c r="L17" s="593" t="s">
        <v>57</v>
      </c>
      <c r="M17" s="593" t="s">
        <v>57</v>
      </c>
      <c r="N17" s="604" t="s">
        <v>57</v>
      </c>
      <c r="O17" s="439"/>
      <c r="P17" s="439"/>
      <c r="Q17" s="439"/>
      <c r="R17" s="293"/>
      <c r="S17" s="291"/>
      <c r="T17" s="292"/>
      <c r="U17" s="293"/>
      <c r="V17" s="291"/>
      <c r="W17" s="294"/>
      <c r="X17" s="290"/>
      <c r="Y17" s="291"/>
      <c r="Z17" s="295"/>
      <c r="AA17" s="290"/>
      <c r="AB17" s="291"/>
      <c r="AC17" s="295"/>
      <c r="AD17" s="296"/>
      <c r="AE17" s="297"/>
      <c r="AF17" s="292"/>
    </row>
    <row r="18" spans="1:32" ht="24">
      <c r="A18" s="782"/>
      <c r="B18" s="508" t="s">
        <v>312</v>
      </c>
      <c r="C18" s="509" t="s">
        <v>323</v>
      </c>
      <c r="D18" s="587" t="s">
        <v>363</v>
      </c>
      <c r="E18" s="510" t="s">
        <v>422</v>
      </c>
      <c r="F18" s="594" t="s">
        <v>59</v>
      </c>
      <c r="G18" s="511"/>
      <c r="H18" s="511"/>
      <c r="I18" s="512"/>
      <c r="J18" s="513"/>
      <c r="K18" s="605" t="s">
        <v>59</v>
      </c>
      <c r="L18" s="594" t="s">
        <v>59</v>
      </c>
      <c r="M18" s="594" t="s">
        <v>59</v>
      </c>
      <c r="N18" s="606" t="s">
        <v>59</v>
      </c>
      <c r="O18" s="514"/>
      <c r="P18" s="514"/>
      <c r="Q18" s="514"/>
      <c r="R18" s="293"/>
      <c r="S18" s="291"/>
      <c r="T18" s="292"/>
      <c r="U18" s="293"/>
      <c r="V18" s="291"/>
      <c r="W18" s="294"/>
      <c r="X18" s="290"/>
      <c r="Y18" s="291"/>
      <c r="Z18" s="295"/>
      <c r="AA18" s="290"/>
      <c r="AB18" s="291"/>
      <c r="AC18" s="295"/>
      <c r="AD18" s="296"/>
      <c r="AE18" s="297"/>
      <c r="AF18" s="292"/>
    </row>
    <row r="19" spans="1:32" ht="15">
      <c r="A19" s="782"/>
      <c r="B19" s="281" t="s">
        <v>312</v>
      </c>
      <c r="C19" s="186" t="s">
        <v>324</v>
      </c>
      <c r="D19" s="462" t="s">
        <v>487</v>
      </c>
      <c r="E19" s="187" t="s">
        <v>423</v>
      </c>
      <c r="F19" s="593"/>
      <c r="G19" s="182"/>
      <c r="H19" s="182"/>
      <c r="I19" s="183"/>
      <c r="J19" s="184"/>
      <c r="K19" s="603" t="s">
        <v>57</v>
      </c>
      <c r="L19" s="593" t="s">
        <v>57</v>
      </c>
      <c r="M19" s="593" t="s">
        <v>57</v>
      </c>
      <c r="N19" s="604" t="s">
        <v>57</v>
      </c>
      <c r="O19" s="439"/>
      <c r="P19" s="439"/>
      <c r="Q19" s="439"/>
      <c r="R19" s="293"/>
      <c r="S19" s="291"/>
      <c r="T19" s="292"/>
      <c r="U19" s="293"/>
      <c r="V19" s="291"/>
      <c r="W19" s="294"/>
      <c r="X19" s="290"/>
      <c r="Y19" s="291"/>
      <c r="Z19" s="295"/>
      <c r="AA19" s="290"/>
      <c r="AB19" s="291"/>
      <c r="AC19" s="295"/>
      <c r="AD19" s="296"/>
      <c r="AE19" s="297"/>
      <c r="AF19" s="292"/>
    </row>
    <row r="20" spans="1:32" ht="15">
      <c r="A20" s="782"/>
      <c r="B20" s="508" t="s">
        <v>312</v>
      </c>
      <c r="C20" s="509" t="s">
        <v>325</v>
      </c>
      <c r="D20" s="446" t="s">
        <v>363</v>
      </c>
      <c r="E20" s="510" t="s">
        <v>464</v>
      </c>
      <c r="F20" s="593" t="s">
        <v>59</v>
      </c>
      <c r="G20" s="511"/>
      <c r="H20" s="511"/>
      <c r="I20" s="512"/>
      <c r="J20" s="513"/>
      <c r="K20" s="603" t="s">
        <v>59</v>
      </c>
      <c r="L20" s="593" t="s">
        <v>59</v>
      </c>
      <c r="M20" s="593" t="s">
        <v>59</v>
      </c>
      <c r="N20" s="604" t="s">
        <v>59</v>
      </c>
      <c r="O20" s="514"/>
      <c r="P20" s="514"/>
      <c r="Q20" s="514"/>
      <c r="R20" s="293"/>
      <c r="S20" s="291"/>
      <c r="T20" s="292"/>
      <c r="U20" s="293"/>
      <c r="V20" s="291"/>
      <c r="W20" s="294"/>
      <c r="X20" s="290"/>
      <c r="Y20" s="291"/>
      <c r="Z20" s="295"/>
      <c r="AA20" s="290"/>
      <c r="AB20" s="291"/>
      <c r="AC20" s="295"/>
      <c r="AD20" s="296"/>
      <c r="AE20" s="297"/>
      <c r="AF20" s="292"/>
    </row>
    <row r="21" spans="1:32" ht="15">
      <c r="A21" s="782"/>
      <c r="B21" s="281" t="s">
        <v>312</v>
      </c>
      <c r="C21" s="186" t="s">
        <v>326</v>
      </c>
      <c r="D21" s="462" t="s">
        <v>488</v>
      </c>
      <c r="E21" s="187" t="s">
        <v>424</v>
      </c>
      <c r="F21" s="593"/>
      <c r="G21" s="182"/>
      <c r="H21" s="182"/>
      <c r="I21" s="183"/>
      <c r="J21" s="184"/>
      <c r="K21" s="603" t="s">
        <v>57</v>
      </c>
      <c r="L21" s="593" t="s">
        <v>57</v>
      </c>
      <c r="M21" s="593" t="s">
        <v>57</v>
      </c>
      <c r="N21" s="604" t="s">
        <v>57</v>
      </c>
      <c r="O21" s="439"/>
      <c r="P21" s="439"/>
      <c r="Q21" s="439"/>
      <c r="R21" s="293"/>
      <c r="S21" s="291"/>
      <c r="T21" s="292"/>
      <c r="U21" s="293"/>
      <c r="V21" s="291"/>
      <c r="W21" s="294"/>
      <c r="X21" s="290"/>
      <c r="Y21" s="291"/>
      <c r="Z21" s="295"/>
      <c r="AA21" s="290"/>
      <c r="AB21" s="291"/>
      <c r="AC21" s="295"/>
      <c r="AD21" s="296"/>
      <c r="AE21" s="297"/>
      <c r="AF21" s="292"/>
    </row>
    <row r="22" spans="1:32" ht="15">
      <c r="A22" s="782"/>
      <c r="B22" s="281" t="s">
        <v>312</v>
      </c>
      <c r="C22" s="186" t="s">
        <v>327</v>
      </c>
      <c r="D22" s="462" t="s">
        <v>489</v>
      </c>
      <c r="E22" s="187" t="s">
        <v>425</v>
      </c>
      <c r="F22" s="593"/>
      <c r="G22" s="182"/>
      <c r="H22" s="182"/>
      <c r="I22" s="183"/>
      <c r="J22" s="184"/>
      <c r="K22" s="603" t="s">
        <v>57</v>
      </c>
      <c r="L22" s="593" t="s">
        <v>57</v>
      </c>
      <c r="M22" s="593" t="s">
        <v>57</v>
      </c>
      <c r="N22" s="604" t="s">
        <v>57</v>
      </c>
      <c r="O22" s="439"/>
      <c r="P22" s="439"/>
      <c r="Q22" s="439"/>
      <c r="R22" s="293"/>
      <c r="S22" s="291"/>
      <c r="T22" s="292"/>
      <c r="U22" s="293"/>
      <c r="V22" s="291"/>
      <c r="W22" s="294"/>
      <c r="X22" s="290"/>
      <c r="Y22" s="291"/>
      <c r="Z22" s="295"/>
      <c r="AA22" s="290"/>
      <c r="AB22" s="291"/>
      <c r="AC22" s="295"/>
      <c r="AD22" s="296"/>
      <c r="AE22" s="297"/>
      <c r="AF22" s="292"/>
    </row>
    <row r="23" spans="1:32" ht="15">
      <c r="A23" s="782"/>
      <c r="B23" s="281" t="s">
        <v>312</v>
      </c>
      <c r="C23" s="186" t="s">
        <v>328</v>
      </c>
      <c r="D23" s="462" t="s">
        <v>490</v>
      </c>
      <c r="E23" s="187" t="s">
        <v>426</v>
      </c>
      <c r="F23" s="593"/>
      <c r="G23" s="182"/>
      <c r="H23" s="182"/>
      <c r="I23" s="183"/>
      <c r="J23" s="184"/>
      <c r="K23" s="603" t="s">
        <v>57</v>
      </c>
      <c r="L23" s="593" t="s">
        <v>57</v>
      </c>
      <c r="M23" s="593" t="s">
        <v>57</v>
      </c>
      <c r="N23" s="604" t="s">
        <v>57</v>
      </c>
      <c r="O23" s="439"/>
      <c r="P23" s="439"/>
      <c r="Q23" s="439"/>
      <c r="R23" s="293"/>
      <c r="S23" s="291"/>
      <c r="T23" s="292"/>
      <c r="U23" s="293"/>
      <c r="V23" s="291"/>
      <c r="W23" s="294"/>
      <c r="X23" s="290"/>
      <c r="Y23" s="291"/>
      <c r="Z23" s="295"/>
      <c r="AA23" s="290"/>
      <c r="AB23" s="291"/>
      <c r="AC23" s="295"/>
      <c r="AD23" s="296"/>
      <c r="AE23" s="297"/>
      <c r="AF23" s="292"/>
    </row>
    <row r="24" spans="1:32" ht="15">
      <c r="A24" s="782"/>
      <c r="B24" s="281" t="s">
        <v>312</v>
      </c>
      <c r="C24" s="186" t="s">
        <v>329</v>
      </c>
      <c r="D24" s="462" t="s">
        <v>491</v>
      </c>
      <c r="E24" s="187" t="s">
        <v>427</v>
      </c>
      <c r="F24" s="593"/>
      <c r="G24" s="182"/>
      <c r="H24" s="182"/>
      <c r="I24" s="183"/>
      <c r="J24" s="184"/>
      <c r="K24" s="603" t="s">
        <v>57</v>
      </c>
      <c r="L24" s="593" t="s">
        <v>57</v>
      </c>
      <c r="M24" s="593" t="s">
        <v>57</v>
      </c>
      <c r="N24" s="604" t="s">
        <v>57</v>
      </c>
      <c r="O24" s="439"/>
      <c r="P24" s="439"/>
      <c r="Q24" s="439"/>
      <c r="R24" s="293"/>
      <c r="S24" s="291"/>
      <c r="T24" s="292"/>
      <c r="U24" s="293"/>
      <c r="V24" s="291"/>
      <c r="W24" s="294"/>
      <c r="X24" s="290"/>
      <c r="Y24" s="291"/>
      <c r="Z24" s="295"/>
      <c r="AA24" s="290"/>
      <c r="AB24" s="291"/>
      <c r="AC24" s="295"/>
      <c r="AD24" s="296"/>
      <c r="AE24" s="297"/>
      <c r="AF24" s="292"/>
    </row>
    <row r="25" spans="1:32" ht="15">
      <c r="A25" s="782"/>
      <c r="B25" s="281" t="s">
        <v>312</v>
      </c>
      <c r="C25" s="186" t="s">
        <v>330</v>
      </c>
      <c r="D25" s="462" t="s">
        <v>492</v>
      </c>
      <c r="E25" s="187" t="s">
        <v>428</v>
      </c>
      <c r="F25" s="593"/>
      <c r="G25" s="182"/>
      <c r="H25" s="182"/>
      <c r="I25" s="183"/>
      <c r="J25" s="184"/>
      <c r="K25" s="603" t="s">
        <v>57</v>
      </c>
      <c r="L25" s="593" t="s">
        <v>57</v>
      </c>
      <c r="M25" s="593" t="s">
        <v>57</v>
      </c>
      <c r="N25" s="604" t="s">
        <v>57</v>
      </c>
      <c r="O25" s="439"/>
      <c r="P25" s="439"/>
      <c r="Q25" s="439"/>
      <c r="R25" s="293"/>
      <c r="S25" s="291"/>
      <c r="T25" s="292"/>
      <c r="U25" s="293"/>
      <c r="V25" s="291"/>
      <c r="W25" s="294"/>
      <c r="X25" s="290"/>
      <c r="Y25" s="291"/>
      <c r="Z25" s="295"/>
      <c r="AA25" s="290"/>
      <c r="AB25" s="291"/>
      <c r="AC25" s="295"/>
      <c r="AD25" s="296"/>
      <c r="AE25" s="297"/>
      <c r="AF25" s="292"/>
    </row>
    <row r="26" spans="1:32" ht="36">
      <c r="A26" s="782"/>
      <c r="B26" s="281" t="s">
        <v>312</v>
      </c>
      <c r="C26" s="462" t="s">
        <v>331</v>
      </c>
      <c r="D26" s="462" t="s">
        <v>493</v>
      </c>
      <c r="E26" s="189" t="s">
        <v>429</v>
      </c>
      <c r="F26" s="592" t="s">
        <v>59</v>
      </c>
      <c r="G26" s="190"/>
      <c r="H26" s="190"/>
      <c r="I26" s="191"/>
      <c r="J26" s="192"/>
      <c r="K26" s="603" t="s">
        <v>59</v>
      </c>
      <c r="L26" s="593" t="s">
        <v>59</v>
      </c>
      <c r="M26" s="593" t="s">
        <v>59</v>
      </c>
      <c r="N26" s="604" t="s">
        <v>59</v>
      </c>
      <c r="O26" s="439"/>
      <c r="P26" s="439"/>
      <c r="Q26" s="439"/>
      <c r="R26" s="303"/>
      <c r="S26" s="301"/>
      <c r="T26" s="302"/>
      <c r="U26" s="303"/>
      <c r="V26" s="301"/>
      <c r="W26" s="304"/>
      <c r="X26" s="300"/>
      <c r="Y26" s="301"/>
      <c r="Z26" s="305"/>
      <c r="AA26" s="300"/>
      <c r="AB26" s="301"/>
      <c r="AC26" s="305"/>
      <c r="AD26" s="306"/>
      <c r="AE26" s="307"/>
      <c r="AF26" s="302"/>
    </row>
    <row r="27" spans="1:32" ht="24">
      <c r="A27" s="782"/>
      <c r="B27" s="281" t="s">
        <v>312</v>
      </c>
      <c r="C27" s="186" t="s">
        <v>332</v>
      </c>
      <c r="D27" s="462" t="s">
        <v>494</v>
      </c>
      <c r="E27" s="187" t="s">
        <v>430</v>
      </c>
      <c r="F27" s="593"/>
      <c r="G27" s="182"/>
      <c r="H27" s="182"/>
      <c r="I27" s="183"/>
      <c r="J27" s="184"/>
      <c r="K27" s="603" t="s">
        <v>57</v>
      </c>
      <c r="L27" s="593" t="s">
        <v>57</v>
      </c>
      <c r="M27" s="593" t="s">
        <v>57</v>
      </c>
      <c r="N27" s="604" t="s">
        <v>57</v>
      </c>
      <c r="O27" s="439"/>
      <c r="P27" s="439"/>
      <c r="Q27" s="439"/>
      <c r="R27" s="293"/>
      <c r="S27" s="291"/>
      <c r="T27" s="292"/>
      <c r="U27" s="293"/>
      <c r="V27" s="291"/>
      <c r="W27" s="294"/>
      <c r="X27" s="290"/>
      <c r="Y27" s="291"/>
      <c r="Z27" s="295"/>
      <c r="AA27" s="290"/>
      <c r="AB27" s="291"/>
      <c r="AC27" s="295"/>
      <c r="AD27" s="296"/>
      <c r="AE27" s="297"/>
      <c r="AF27" s="292"/>
    </row>
    <row r="28" spans="1:32" ht="15" customHeight="1">
      <c r="A28" s="782"/>
      <c r="B28" s="508" t="s">
        <v>312</v>
      </c>
      <c r="C28" s="509" t="s">
        <v>333</v>
      </c>
      <c r="D28" s="446" t="s">
        <v>363</v>
      </c>
      <c r="E28" s="510" t="s">
        <v>256</v>
      </c>
      <c r="F28" s="593" t="s">
        <v>59</v>
      </c>
      <c r="G28" s="511"/>
      <c r="H28" s="511"/>
      <c r="I28" s="512"/>
      <c r="J28" s="513"/>
      <c r="K28" s="603" t="s">
        <v>59</v>
      </c>
      <c r="L28" s="593" t="s">
        <v>59</v>
      </c>
      <c r="M28" s="593" t="s">
        <v>59</v>
      </c>
      <c r="N28" s="604" t="s">
        <v>59</v>
      </c>
      <c r="O28" s="514"/>
      <c r="P28" s="514"/>
      <c r="Q28" s="514"/>
      <c r="R28" s="293"/>
      <c r="S28" s="291"/>
      <c r="T28" s="292"/>
      <c r="U28" s="293"/>
      <c r="V28" s="291"/>
      <c r="W28" s="294"/>
      <c r="X28" s="290"/>
      <c r="Y28" s="291"/>
      <c r="Z28" s="295"/>
      <c r="AA28" s="290"/>
      <c r="AB28" s="291"/>
      <c r="AC28" s="295"/>
      <c r="AD28" s="296"/>
      <c r="AE28" s="297"/>
      <c r="AF28" s="292"/>
    </row>
    <row r="29" spans="1:32" ht="15">
      <c r="A29" s="783"/>
      <c r="B29" s="508" t="s">
        <v>312</v>
      </c>
      <c r="C29" s="509" t="s">
        <v>334</v>
      </c>
      <c r="D29" s="446" t="s">
        <v>363</v>
      </c>
      <c r="E29" s="510" t="s">
        <v>432</v>
      </c>
      <c r="F29" s="593" t="s">
        <v>59</v>
      </c>
      <c r="G29" s="511"/>
      <c r="H29" s="511"/>
      <c r="I29" s="512"/>
      <c r="J29" s="513"/>
      <c r="K29" s="603" t="s">
        <v>59</v>
      </c>
      <c r="L29" s="593" t="s">
        <v>59</v>
      </c>
      <c r="M29" s="593" t="s">
        <v>59</v>
      </c>
      <c r="N29" s="604" t="s">
        <v>59</v>
      </c>
      <c r="O29" s="514"/>
      <c r="P29" s="514"/>
      <c r="Q29" s="514"/>
      <c r="R29" s="293"/>
      <c r="S29" s="291"/>
      <c r="T29" s="292"/>
      <c r="U29" s="293"/>
      <c r="V29" s="291"/>
      <c r="W29" s="294"/>
      <c r="X29" s="290"/>
      <c r="Y29" s="291"/>
      <c r="Z29" s="295"/>
      <c r="AA29" s="290"/>
      <c r="AB29" s="291"/>
      <c r="AC29" s="295"/>
      <c r="AD29" s="296"/>
      <c r="AE29" s="297"/>
      <c r="AF29" s="292"/>
    </row>
    <row r="30" spans="1:32" ht="78" customHeight="1">
      <c r="A30" s="781" t="s">
        <v>461</v>
      </c>
      <c r="B30" s="281" t="s">
        <v>312</v>
      </c>
      <c r="C30" s="186" t="s">
        <v>335</v>
      </c>
      <c r="D30" s="462" t="s">
        <v>495</v>
      </c>
      <c r="E30" s="187" t="s">
        <v>431</v>
      </c>
      <c r="F30" s="593"/>
      <c r="G30" s="182"/>
      <c r="H30" s="182"/>
      <c r="I30" s="183"/>
      <c r="J30" s="184"/>
      <c r="K30" s="603" t="s">
        <v>57</v>
      </c>
      <c r="L30" s="593" t="s">
        <v>57</v>
      </c>
      <c r="M30" s="593" t="s">
        <v>57</v>
      </c>
      <c r="N30" s="604" t="s">
        <v>57</v>
      </c>
      <c r="O30" s="439"/>
      <c r="P30" s="439"/>
      <c r="Q30" s="439"/>
      <c r="R30" s="293"/>
      <c r="S30" s="291"/>
      <c r="T30" s="292"/>
      <c r="U30" s="293"/>
      <c r="V30" s="291"/>
      <c r="W30" s="294"/>
      <c r="X30" s="290"/>
      <c r="Y30" s="291"/>
      <c r="Z30" s="295"/>
      <c r="AA30" s="290"/>
      <c r="AB30" s="291"/>
      <c r="AC30" s="295"/>
      <c r="AD30" s="296"/>
      <c r="AE30" s="297"/>
      <c r="AF30" s="292"/>
    </row>
    <row r="31" spans="1:32" ht="24">
      <c r="A31" s="782"/>
      <c r="B31" s="281" t="s">
        <v>312</v>
      </c>
      <c r="C31" s="186" t="s">
        <v>336</v>
      </c>
      <c r="D31" s="462" t="s">
        <v>496</v>
      </c>
      <c r="E31" s="187" t="s">
        <v>433</v>
      </c>
      <c r="F31" s="593"/>
      <c r="G31" s="182"/>
      <c r="H31" s="182"/>
      <c r="I31" s="183"/>
      <c r="J31" s="184"/>
      <c r="K31" s="603" t="s">
        <v>57</v>
      </c>
      <c r="L31" s="593" t="s">
        <v>57</v>
      </c>
      <c r="M31" s="593" t="s">
        <v>57</v>
      </c>
      <c r="N31" s="604" t="s">
        <v>57</v>
      </c>
      <c r="O31" s="439"/>
      <c r="P31" s="439"/>
      <c r="Q31" s="439"/>
      <c r="R31" s="293"/>
      <c r="S31" s="291"/>
      <c r="T31" s="292"/>
      <c r="U31" s="293"/>
      <c r="V31" s="291"/>
      <c r="W31" s="294"/>
      <c r="X31" s="290"/>
      <c r="Y31" s="291"/>
      <c r="Z31" s="295"/>
      <c r="AA31" s="290"/>
      <c r="AB31" s="291"/>
      <c r="AC31" s="295"/>
      <c r="AD31" s="296"/>
      <c r="AE31" s="297"/>
      <c r="AF31" s="292"/>
    </row>
    <row r="32" spans="1:32" ht="24">
      <c r="A32" s="782"/>
      <c r="B32" s="281" t="s">
        <v>312</v>
      </c>
      <c r="C32" s="186" t="s">
        <v>337</v>
      </c>
      <c r="D32" s="462" t="s">
        <v>497</v>
      </c>
      <c r="E32" s="187" t="s">
        <v>434</v>
      </c>
      <c r="F32" s="593"/>
      <c r="G32" s="182"/>
      <c r="H32" s="182"/>
      <c r="I32" s="183"/>
      <c r="J32" s="184"/>
      <c r="K32" s="603" t="s">
        <v>57</v>
      </c>
      <c r="L32" s="593" t="s">
        <v>57</v>
      </c>
      <c r="M32" s="593" t="s">
        <v>57</v>
      </c>
      <c r="N32" s="604" t="s">
        <v>57</v>
      </c>
      <c r="O32" s="439"/>
      <c r="P32" s="439"/>
      <c r="Q32" s="439"/>
      <c r="R32" s="293"/>
      <c r="S32" s="291"/>
      <c r="T32" s="292"/>
      <c r="U32" s="293"/>
      <c r="V32" s="291"/>
      <c r="W32" s="294"/>
      <c r="X32" s="290"/>
      <c r="Y32" s="291"/>
      <c r="Z32" s="295"/>
      <c r="AA32" s="290"/>
      <c r="AB32" s="291"/>
      <c r="AC32" s="295"/>
      <c r="AD32" s="296"/>
      <c r="AE32" s="297"/>
      <c r="AF32" s="292"/>
    </row>
    <row r="33" spans="1:32" ht="15">
      <c r="A33" s="782"/>
      <c r="B33" s="281" t="s">
        <v>312</v>
      </c>
      <c r="C33" s="186" t="s">
        <v>338</v>
      </c>
      <c r="D33" s="462" t="s">
        <v>498</v>
      </c>
      <c r="E33" s="187" t="s">
        <v>435</v>
      </c>
      <c r="F33" s="593"/>
      <c r="G33" s="182"/>
      <c r="H33" s="182"/>
      <c r="I33" s="183"/>
      <c r="J33" s="184"/>
      <c r="K33" s="603" t="s">
        <v>57</v>
      </c>
      <c r="L33" s="593" t="s">
        <v>57</v>
      </c>
      <c r="M33" s="593" t="s">
        <v>57</v>
      </c>
      <c r="N33" s="604" t="s">
        <v>57</v>
      </c>
      <c r="O33" s="439"/>
      <c r="P33" s="439"/>
      <c r="Q33" s="439"/>
      <c r="R33" s="293"/>
      <c r="S33" s="291"/>
      <c r="T33" s="292"/>
      <c r="U33" s="293"/>
      <c r="V33" s="291"/>
      <c r="W33" s="294"/>
      <c r="X33" s="290"/>
      <c r="Y33" s="291"/>
      <c r="Z33" s="295"/>
      <c r="AA33" s="290"/>
      <c r="AB33" s="291"/>
      <c r="AC33" s="295"/>
      <c r="AD33" s="296"/>
      <c r="AE33" s="297"/>
      <c r="AF33" s="292"/>
    </row>
    <row r="34" spans="1:32" ht="15">
      <c r="A34" s="782"/>
      <c r="B34" s="281" t="s">
        <v>312</v>
      </c>
      <c r="C34" s="462" t="s">
        <v>339</v>
      </c>
      <c r="D34" s="462" t="s">
        <v>499</v>
      </c>
      <c r="E34" s="189" t="s">
        <v>436</v>
      </c>
      <c r="F34" s="592"/>
      <c r="G34" s="190"/>
      <c r="H34" s="190"/>
      <c r="I34" s="191"/>
      <c r="J34" s="192"/>
      <c r="K34" s="603" t="s">
        <v>57</v>
      </c>
      <c r="L34" s="593" t="s">
        <v>57</v>
      </c>
      <c r="M34" s="593" t="s">
        <v>57</v>
      </c>
      <c r="N34" s="604" t="s">
        <v>57</v>
      </c>
      <c r="O34" s="439"/>
      <c r="P34" s="439"/>
      <c r="Q34" s="439"/>
      <c r="R34" s="303"/>
      <c r="S34" s="301"/>
      <c r="T34" s="302"/>
      <c r="U34" s="303"/>
      <c r="V34" s="301"/>
      <c r="W34" s="304"/>
      <c r="X34" s="300"/>
      <c r="Y34" s="301"/>
      <c r="Z34" s="305"/>
      <c r="AA34" s="300"/>
      <c r="AB34" s="301"/>
      <c r="AC34" s="305"/>
      <c r="AD34" s="306"/>
      <c r="AE34" s="307"/>
      <c r="AF34" s="302"/>
    </row>
    <row r="35" spans="1:32" ht="15">
      <c r="A35" s="783"/>
      <c r="B35" s="508" t="s">
        <v>312</v>
      </c>
      <c r="C35" s="509" t="s">
        <v>340</v>
      </c>
      <c r="D35" s="446" t="s">
        <v>363</v>
      </c>
      <c r="E35" s="510" t="s">
        <v>437</v>
      </c>
      <c r="F35" s="593" t="s">
        <v>59</v>
      </c>
      <c r="G35" s="511"/>
      <c r="H35" s="511"/>
      <c r="I35" s="512"/>
      <c r="J35" s="513"/>
      <c r="K35" s="603" t="s">
        <v>59</v>
      </c>
      <c r="L35" s="593" t="s">
        <v>59</v>
      </c>
      <c r="M35" s="593" t="s">
        <v>59</v>
      </c>
      <c r="N35" s="604" t="s">
        <v>59</v>
      </c>
      <c r="O35" s="514"/>
      <c r="P35" s="514"/>
      <c r="Q35" s="514"/>
      <c r="R35" s="293"/>
      <c r="S35" s="291"/>
      <c r="T35" s="292"/>
      <c r="U35" s="293"/>
      <c r="V35" s="291"/>
      <c r="W35" s="294"/>
      <c r="X35" s="290"/>
      <c r="Y35" s="291"/>
      <c r="Z35" s="295"/>
      <c r="AA35" s="290"/>
      <c r="AB35" s="291"/>
      <c r="AC35" s="295"/>
      <c r="AD35" s="296"/>
      <c r="AE35" s="297"/>
      <c r="AF35" s="292"/>
    </row>
    <row r="36" spans="1:32" ht="24" customHeight="1">
      <c r="A36" s="781" t="s">
        <v>462</v>
      </c>
      <c r="B36" s="281" t="s">
        <v>312</v>
      </c>
      <c r="C36" s="186" t="s">
        <v>341</v>
      </c>
      <c r="D36" s="186" t="s">
        <v>500</v>
      </c>
      <c r="E36" s="187" t="s">
        <v>438</v>
      </c>
      <c r="F36" s="593"/>
      <c r="G36" s="182"/>
      <c r="H36" s="182"/>
      <c r="I36" s="183"/>
      <c r="J36" s="184"/>
      <c r="K36" s="603" t="s">
        <v>57</v>
      </c>
      <c r="L36" s="593" t="s">
        <v>57</v>
      </c>
      <c r="M36" s="593" t="s">
        <v>57</v>
      </c>
      <c r="N36" s="604" t="s">
        <v>57</v>
      </c>
      <c r="O36" s="439"/>
      <c r="P36" s="439"/>
      <c r="Q36" s="439"/>
      <c r="R36" s="293"/>
      <c r="S36" s="291"/>
      <c r="T36" s="292"/>
      <c r="U36" s="293"/>
      <c r="V36" s="291"/>
      <c r="W36" s="294"/>
      <c r="X36" s="290"/>
      <c r="Y36" s="291"/>
      <c r="Z36" s="295"/>
      <c r="AA36" s="290"/>
      <c r="AB36" s="291"/>
      <c r="AC36" s="295"/>
      <c r="AD36" s="296"/>
      <c r="AE36" s="297"/>
      <c r="AF36" s="292"/>
    </row>
    <row r="37" spans="1:32" ht="24">
      <c r="A37" s="782"/>
      <c r="B37" s="281" t="s">
        <v>312</v>
      </c>
      <c r="C37" s="186" t="s">
        <v>342</v>
      </c>
      <c r="D37" s="186" t="s">
        <v>501</v>
      </c>
      <c r="E37" s="187" t="s">
        <v>439</v>
      </c>
      <c r="F37" s="593"/>
      <c r="G37" s="182"/>
      <c r="H37" s="182"/>
      <c r="I37" s="183"/>
      <c r="J37" s="184"/>
      <c r="K37" s="603" t="s">
        <v>57</v>
      </c>
      <c r="L37" s="593" t="s">
        <v>57</v>
      </c>
      <c r="M37" s="593" t="s">
        <v>57</v>
      </c>
      <c r="N37" s="604" t="s">
        <v>57</v>
      </c>
      <c r="O37" s="439"/>
      <c r="P37" s="439"/>
      <c r="Q37" s="439"/>
      <c r="R37" s="293"/>
      <c r="S37" s="291"/>
      <c r="T37" s="292"/>
      <c r="U37" s="293"/>
      <c r="V37" s="291"/>
      <c r="W37" s="294"/>
      <c r="X37" s="290"/>
      <c r="Y37" s="291"/>
      <c r="Z37" s="295"/>
      <c r="AA37" s="290"/>
      <c r="AB37" s="291"/>
      <c r="AC37" s="295"/>
      <c r="AD37" s="296"/>
      <c r="AE37" s="297"/>
      <c r="AF37" s="292"/>
    </row>
    <row r="38" spans="1:32" ht="24">
      <c r="A38" s="782"/>
      <c r="B38" s="281" t="s">
        <v>312</v>
      </c>
      <c r="C38" s="186" t="s">
        <v>343</v>
      </c>
      <c r="D38" s="186" t="s">
        <v>502</v>
      </c>
      <c r="E38" s="187" t="s">
        <v>440</v>
      </c>
      <c r="F38" s="593"/>
      <c r="G38" s="182"/>
      <c r="H38" s="182"/>
      <c r="I38" s="183"/>
      <c r="J38" s="184"/>
      <c r="K38" s="603" t="s">
        <v>57</v>
      </c>
      <c r="L38" s="593" t="s">
        <v>57</v>
      </c>
      <c r="M38" s="593" t="s">
        <v>57</v>
      </c>
      <c r="N38" s="604" t="s">
        <v>57</v>
      </c>
      <c r="O38" s="439"/>
      <c r="P38" s="439"/>
      <c r="Q38" s="439"/>
      <c r="R38" s="293"/>
      <c r="S38" s="291"/>
      <c r="T38" s="292"/>
      <c r="U38" s="293"/>
      <c r="V38" s="291"/>
      <c r="W38" s="294"/>
      <c r="X38" s="290"/>
      <c r="Y38" s="291"/>
      <c r="Z38" s="295"/>
      <c r="AA38" s="290"/>
      <c r="AB38" s="291"/>
      <c r="AC38" s="295"/>
      <c r="AD38" s="296"/>
      <c r="AE38" s="297"/>
      <c r="AF38" s="292"/>
    </row>
    <row r="39" spans="1:32" ht="15">
      <c r="A39" s="782"/>
      <c r="B39" s="281" t="s">
        <v>312</v>
      </c>
      <c r="C39" s="186" t="s">
        <v>344</v>
      </c>
      <c r="D39" s="186" t="s">
        <v>503</v>
      </c>
      <c r="E39" s="187" t="s">
        <v>441</v>
      </c>
      <c r="F39" s="593"/>
      <c r="G39" s="182"/>
      <c r="H39" s="182"/>
      <c r="I39" s="183"/>
      <c r="J39" s="184"/>
      <c r="K39" s="603" t="s">
        <v>57</v>
      </c>
      <c r="L39" s="593" t="s">
        <v>57</v>
      </c>
      <c r="M39" s="593" t="s">
        <v>57</v>
      </c>
      <c r="N39" s="604" t="s">
        <v>57</v>
      </c>
      <c r="O39" s="439"/>
      <c r="P39" s="439"/>
      <c r="Q39" s="439"/>
      <c r="R39" s="293"/>
      <c r="S39" s="291"/>
      <c r="T39" s="292"/>
      <c r="U39" s="293"/>
      <c r="V39" s="291"/>
      <c r="W39" s="294"/>
      <c r="X39" s="290"/>
      <c r="Y39" s="291"/>
      <c r="Z39" s="295"/>
      <c r="AA39" s="290"/>
      <c r="AB39" s="291"/>
      <c r="AC39" s="295"/>
      <c r="AD39" s="296"/>
      <c r="AE39" s="297"/>
      <c r="AF39" s="292"/>
    </row>
    <row r="40" spans="1:32" ht="15">
      <c r="A40" s="782"/>
      <c r="B40" s="508" t="s">
        <v>312</v>
      </c>
      <c r="C40" s="509" t="s">
        <v>345</v>
      </c>
      <c r="D40" s="446" t="s">
        <v>363</v>
      </c>
      <c r="E40" s="510" t="s">
        <v>442</v>
      </c>
      <c r="F40" s="593" t="s">
        <v>59</v>
      </c>
      <c r="G40" s="511"/>
      <c r="H40" s="511"/>
      <c r="I40" s="512"/>
      <c r="J40" s="513"/>
      <c r="K40" s="603" t="s">
        <v>59</v>
      </c>
      <c r="L40" s="593" t="s">
        <v>59</v>
      </c>
      <c r="M40" s="593" t="s">
        <v>59</v>
      </c>
      <c r="N40" s="604" t="s">
        <v>59</v>
      </c>
      <c r="O40" s="514"/>
      <c r="P40" s="514"/>
      <c r="Q40" s="514"/>
      <c r="R40" s="293"/>
      <c r="S40" s="291"/>
      <c r="T40" s="292"/>
      <c r="U40" s="293"/>
      <c r="V40" s="291"/>
      <c r="W40" s="294"/>
      <c r="X40" s="290"/>
      <c r="Y40" s="291"/>
      <c r="Z40" s="295"/>
      <c r="AA40" s="290"/>
      <c r="AB40" s="291"/>
      <c r="AC40" s="295"/>
      <c r="AD40" s="296"/>
      <c r="AE40" s="297"/>
      <c r="AF40" s="292"/>
    </row>
    <row r="41" spans="1:32" ht="15">
      <c r="A41" s="783"/>
      <c r="B41" s="508" t="s">
        <v>312</v>
      </c>
      <c r="C41" s="509" t="s">
        <v>346</v>
      </c>
      <c r="D41" s="446" t="s">
        <v>363</v>
      </c>
      <c r="E41" s="515" t="s">
        <v>443</v>
      </c>
      <c r="F41" s="593" t="s">
        <v>59</v>
      </c>
      <c r="G41" s="511"/>
      <c r="H41" s="511"/>
      <c r="I41" s="512"/>
      <c r="J41" s="513"/>
      <c r="K41" s="603" t="s">
        <v>59</v>
      </c>
      <c r="L41" s="593" t="s">
        <v>59</v>
      </c>
      <c r="M41" s="593" t="s">
        <v>59</v>
      </c>
      <c r="N41" s="604" t="s">
        <v>59</v>
      </c>
      <c r="O41" s="514"/>
      <c r="P41" s="514"/>
      <c r="Q41" s="514"/>
      <c r="R41" s="293"/>
      <c r="S41" s="291"/>
      <c r="T41" s="292"/>
      <c r="U41" s="293"/>
      <c r="V41" s="291"/>
      <c r="W41" s="294"/>
      <c r="X41" s="290"/>
      <c r="Y41" s="291"/>
      <c r="Z41" s="295"/>
      <c r="AA41" s="290"/>
      <c r="AB41" s="291"/>
      <c r="AC41" s="295"/>
      <c r="AD41" s="296"/>
      <c r="AE41" s="297"/>
      <c r="AF41" s="292"/>
    </row>
    <row r="42" spans="1:32" ht="15">
      <c r="A42" s="781" t="s">
        <v>463</v>
      </c>
      <c r="B42" s="281" t="s">
        <v>312</v>
      </c>
      <c r="C42" s="186" t="s">
        <v>347</v>
      </c>
      <c r="D42" s="186" t="s">
        <v>504</v>
      </c>
      <c r="E42" s="187" t="s">
        <v>444</v>
      </c>
      <c r="F42" s="593"/>
      <c r="G42" s="182"/>
      <c r="H42" s="182"/>
      <c r="I42" s="183"/>
      <c r="J42" s="184"/>
      <c r="K42" s="603" t="s">
        <v>57</v>
      </c>
      <c r="L42" s="593" t="s">
        <v>57</v>
      </c>
      <c r="M42" s="593" t="s">
        <v>57</v>
      </c>
      <c r="N42" s="604" t="s">
        <v>57</v>
      </c>
      <c r="O42" s="439"/>
      <c r="P42" s="439"/>
      <c r="Q42" s="439"/>
      <c r="R42" s="293"/>
      <c r="S42" s="291"/>
      <c r="T42" s="292"/>
      <c r="U42" s="293"/>
      <c r="V42" s="291"/>
      <c r="W42" s="294"/>
      <c r="X42" s="290"/>
      <c r="Y42" s="291"/>
      <c r="Z42" s="295"/>
      <c r="AA42" s="290"/>
      <c r="AB42" s="291"/>
      <c r="AC42" s="295"/>
      <c r="AD42" s="296"/>
      <c r="AE42" s="297"/>
      <c r="AF42" s="292"/>
    </row>
    <row r="43" spans="1:32" ht="15">
      <c r="A43" s="783"/>
      <c r="B43" s="281" t="s">
        <v>312</v>
      </c>
      <c r="C43" s="462" t="s">
        <v>348</v>
      </c>
      <c r="D43" s="186" t="s">
        <v>505</v>
      </c>
      <c r="E43" s="189" t="s">
        <v>445</v>
      </c>
      <c r="F43" s="592"/>
      <c r="G43" s="190"/>
      <c r="H43" s="190"/>
      <c r="I43" s="191"/>
      <c r="J43" s="192"/>
      <c r="K43" s="603" t="s">
        <v>57</v>
      </c>
      <c r="L43" s="593" t="s">
        <v>57</v>
      </c>
      <c r="M43" s="593" t="s">
        <v>57</v>
      </c>
      <c r="N43" s="604" t="s">
        <v>57</v>
      </c>
      <c r="O43" s="439"/>
      <c r="P43" s="439"/>
      <c r="Q43" s="439"/>
      <c r="R43" s="303"/>
      <c r="S43" s="301"/>
      <c r="T43" s="302"/>
      <c r="U43" s="303"/>
      <c r="V43" s="301"/>
      <c r="W43" s="304"/>
      <c r="X43" s="300"/>
      <c r="Y43" s="301"/>
      <c r="Z43" s="305"/>
      <c r="AA43" s="300"/>
      <c r="AB43" s="301"/>
      <c r="AC43" s="305"/>
      <c r="AD43" s="306"/>
      <c r="AE43" s="307"/>
      <c r="AF43" s="302"/>
    </row>
    <row r="44" spans="1:32" ht="81.75" customHeight="1">
      <c r="A44" s="580" t="s">
        <v>556</v>
      </c>
      <c r="B44" s="281" t="s">
        <v>231</v>
      </c>
      <c r="C44" s="462" t="s">
        <v>557</v>
      </c>
      <c r="D44" s="186" t="s">
        <v>558</v>
      </c>
      <c r="E44" s="189" t="s">
        <v>559</v>
      </c>
      <c r="F44" s="592"/>
      <c r="G44" s="576"/>
      <c r="H44" s="576"/>
      <c r="I44" s="577"/>
      <c r="J44" s="578"/>
      <c r="K44" s="603" t="s">
        <v>57</v>
      </c>
      <c r="L44" s="593" t="s">
        <v>57</v>
      </c>
      <c r="M44" s="593" t="s">
        <v>57</v>
      </c>
      <c r="N44" s="604" t="s">
        <v>57</v>
      </c>
      <c r="O44" s="579"/>
      <c r="P44" s="579"/>
      <c r="Q44" s="579"/>
      <c r="R44" s="582"/>
      <c r="S44" s="301"/>
      <c r="T44" s="302"/>
      <c r="U44" s="303"/>
      <c r="V44" s="301"/>
      <c r="W44" s="304"/>
      <c r="X44" s="300"/>
      <c r="Y44" s="301"/>
      <c r="Z44" s="305"/>
      <c r="AA44" s="300"/>
      <c r="AB44" s="301"/>
      <c r="AC44" s="305"/>
      <c r="AD44" s="306"/>
      <c r="AE44" s="307"/>
      <c r="AF44" s="302"/>
    </row>
    <row r="45" spans="1:32" ht="15.75">
      <c r="A45" s="316"/>
      <c r="B45" s="784" t="s">
        <v>551</v>
      </c>
      <c r="C45" s="784"/>
      <c r="D45" s="784"/>
      <c r="E45" s="784"/>
      <c r="F45" s="595"/>
      <c r="G45" s="317"/>
      <c r="H45" s="318"/>
      <c r="I45" s="319"/>
      <c r="J45" s="319"/>
      <c r="K45" s="607"/>
      <c r="L45" s="608"/>
      <c r="M45" s="608"/>
      <c r="N45" s="609"/>
      <c r="O45" s="440"/>
      <c r="P45" s="440"/>
      <c r="Q45" s="440"/>
      <c r="R45" s="403"/>
      <c r="S45" s="423"/>
      <c r="T45" s="424"/>
      <c r="U45" s="425"/>
      <c r="V45" s="423"/>
      <c r="W45" s="426"/>
      <c r="X45" s="422"/>
      <c r="Y45" s="423"/>
      <c r="Z45" s="427"/>
      <c r="AA45" s="422"/>
      <c r="AB45" s="423"/>
      <c r="AC45" s="427"/>
      <c r="AD45" s="428"/>
      <c r="AE45" s="429"/>
      <c r="AF45" s="424"/>
    </row>
    <row r="46" spans="1:32" ht="15" customHeight="1">
      <c r="A46" s="581"/>
      <c r="B46" s="281" t="s">
        <v>231</v>
      </c>
      <c r="C46" s="235" t="s">
        <v>232</v>
      </c>
      <c r="D46" s="186" t="s">
        <v>552</v>
      </c>
      <c r="E46" s="188" t="s">
        <v>553</v>
      </c>
      <c r="F46" s="593"/>
      <c r="G46" s="182"/>
      <c r="H46" s="182"/>
      <c r="I46" s="183"/>
      <c r="J46" s="184"/>
      <c r="K46" s="610" t="s">
        <v>59</v>
      </c>
      <c r="L46" s="593" t="s">
        <v>57</v>
      </c>
      <c r="M46" s="593" t="s">
        <v>57</v>
      </c>
      <c r="N46" s="611" t="s">
        <v>59</v>
      </c>
      <c r="O46" s="439"/>
      <c r="P46" s="439"/>
      <c r="Q46" s="439"/>
      <c r="R46" s="293"/>
      <c r="S46" s="291"/>
      <c r="T46" s="292"/>
      <c r="U46" s="293"/>
      <c r="V46" s="291"/>
      <c r="W46" s="294"/>
      <c r="X46" s="290"/>
      <c r="Y46" s="291"/>
      <c r="Z46" s="295"/>
      <c r="AA46" s="290"/>
      <c r="AB46" s="291"/>
      <c r="AC46" s="295"/>
      <c r="AD46" s="296"/>
      <c r="AE46" s="297"/>
      <c r="AF46" s="292"/>
    </row>
    <row r="47" spans="1:32" ht="15.75">
      <c r="A47" s="312"/>
      <c r="B47" s="789" t="s">
        <v>450</v>
      </c>
      <c r="C47" s="789"/>
      <c r="D47" s="789"/>
      <c r="E47" s="789"/>
      <c r="F47" s="596"/>
      <c r="G47" s="313"/>
      <c r="H47" s="314"/>
      <c r="I47" s="315"/>
      <c r="J47" s="315"/>
      <c r="K47" s="612"/>
      <c r="L47" s="613"/>
      <c r="M47" s="613"/>
      <c r="N47" s="614"/>
      <c r="O47" s="441"/>
      <c r="P47" s="441"/>
      <c r="Q47" s="441"/>
      <c r="R47" s="416"/>
      <c r="S47" s="414"/>
      <c r="T47" s="415"/>
      <c r="U47" s="416"/>
      <c r="V47" s="414"/>
      <c r="W47" s="417"/>
      <c r="X47" s="413"/>
      <c r="Y47" s="414"/>
      <c r="Z47" s="418"/>
      <c r="AA47" s="413"/>
      <c r="AB47" s="414"/>
      <c r="AC47" s="418"/>
      <c r="AD47" s="419"/>
      <c r="AE47" s="420"/>
      <c r="AF47" s="421"/>
    </row>
    <row r="48" spans="1:32" ht="15">
      <c r="A48" s="766" t="s">
        <v>451</v>
      </c>
      <c r="B48" s="186" t="s">
        <v>231</v>
      </c>
      <c r="C48" s="538" t="s">
        <v>363</v>
      </c>
      <c r="D48" s="186" t="s">
        <v>515</v>
      </c>
      <c r="E48" s="187" t="s">
        <v>355</v>
      </c>
      <c r="F48" s="593"/>
      <c r="G48" s="182"/>
      <c r="H48" s="182"/>
      <c r="I48" s="183"/>
      <c r="J48" s="184"/>
      <c r="K48" s="603" t="s">
        <v>59</v>
      </c>
      <c r="L48" s="593" t="s">
        <v>59</v>
      </c>
      <c r="M48" s="593" t="s">
        <v>57</v>
      </c>
      <c r="N48" s="604" t="s">
        <v>57</v>
      </c>
      <c r="O48" s="439"/>
      <c r="P48" s="439"/>
      <c r="Q48" s="439"/>
      <c r="R48" s="293"/>
      <c r="S48" s="291"/>
      <c r="T48" s="292"/>
      <c r="U48" s="303"/>
      <c r="V48" s="301"/>
      <c r="W48" s="304"/>
      <c r="X48" s="300"/>
      <c r="Y48" s="301"/>
      <c r="Z48" s="305"/>
      <c r="AA48" s="300"/>
      <c r="AB48" s="301"/>
      <c r="AC48" s="305"/>
      <c r="AD48" s="306"/>
      <c r="AE48" s="307"/>
      <c r="AF48" s="302"/>
    </row>
    <row r="49" spans="1:32" ht="15">
      <c r="A49" s="767"/>
      <c r="B49" s="186" t="s">
        <v>231</v>
      </c>
      <c r="C49" s="538" t="s">
        <v>363</v>
      </c>
      <c r="D49" s="186" t="s">
        <v>516</v>
      </c>
      <c r="E49" s="187" t="s">
        <v>356</v>
      </c>
      <c r="F49" s="593"/>
      <c r="G49" s="182"/>
      <c r="H49" s="182"/>
      <c r="I49" s="183"/>
      <c r="J49" s="184"/>
      <c r="K49" s="603" t="s">
        <v>59</v>
      </c>
      <c r="L49" s="593" t="s">
        <v>59</v>
      </c>
      <c r="M49" s="593" t="s">
        <v>57</v>
      </c>
      <c r="N49" s="604" t="s">
        <v>57</v>
      </c>
      <c r="O49" s="439"/>
      <c r="P49" s="439"/>
      <c r="Q49" s="439"/>
      <c r="R49" s="293"/>
      <c r="S49" s="291"/>
      <c r="T49" s="292"/>
      <c r="U49" s="303"/>
      <c r="V49" s="301"/>
      <c r="W49" s="304"/>
      <c r="X49" s="300"/>
      <c r="Y49" s="301"/>
      <c r="Z49" s="305"/>
      <c r="AA49" s="300"/>
      <c r="AB49" s="301"/>
      <c r="AC49" s="305"/>
      <c r="AD49" s="306"/>
      <c r="AE49" s="307"/>
      <c r="AF49" s="302"/>
    </row>
    <row r="50" spans="1:32" ht="15">
      <c r="A50" s="767"/>
      <c r="B50" s="186" t="s">
        <v>231</v>
      </c>
      <c r="C50" s="538" t="s">
        <v>363</v>
      </c>
      <c r="D50" s="186" t="s">
        <v>517</v>
      </c>
      <c r="E50" s="187" t="s">
        <v>357</v>
      </c>
      <c r="F50" s="593"/>
      <c r="G50" s="182"/>
      <c r="H50" s="182"/>
      <c r="I50" s="183"/>
      <c r="J50" s="184"/>
      <c r="K50" s="603" t="s">
        <v>59</v>
      </c>
      <c r="L50" s="593" t="s">
        <v>59</v>
      </c>
      <c r="M50" s="593" t="s">
        <v>57</v>
      </c>
      <c r="N50" s="604" t="s">
        <v>57</v>
      </c>
      <c r="O50" s="439"/>
      <c r="P50" s="439"/>
      <c r="Q50" s="439"/>
      <c r="R50" s="293"/>
      <c r="S50" s="291"/>
      <c r="T50" s="292"/>
      <c r="U50" s="303"/>
      <c r="V50" s="301"/>
      <c r="W50" s="304"/>
      <c r="X50" s="300"/>
      <c r="Y50" s="301"/>
      <c r="Z50" s="305"/>
      <c r="AA50" s="300"/>
      <c r="AB50" s="301"/>
      <c r="AC50" s="305"/>
      <c r="AD50" s="306"/>
      <c r="AE50" s="307"/>
      <c r="AF50" s="302"/>
    </row>
    <row r="51" spans="1:32" ht="15">
      <c r="A51" s="767"/>
      <c r="B51" s="186" t="s">
        <v>231</v>
      </c>
      <c r="C51" s="538" t="s">
        <v>363</v>
      </c>
      <c r="D51" s="186" t="s">
        <v>518</v>
      </c>
      <c r="E51" s="187" t="s">
        <v>358</v>
      </c>
      <c r="F51" s="593"/>
      <c r="G51" s="182"/>
      <c r="H51" s="182"/>
      <c r="I51" s="183"/>
      <c r="J51" s="184"/>
      <c r="K51" s="603" t="s">
        <v>59</v>
      </c>
      <c r="L51" s="593" t="s">
        <v>59</v>
      </c>
      <c r="M51" s="593" t="s">
        <v>57</v>
      </c>
      <c r="N51" s="604" t="s">
        <v>57</v>
      </c>
      <c r="O51" s="439"/>
      <c r="P51" s="439"/>
      <c r="Q51" s="439"/>
      <c r="R51" s="293"/>
      <c r="S51" s="291"/>
      <c r="T51" s="292"/>
      <c r="U51" s="303"/>
      <c r="V51" s="301"/>
      <c r="W51" s="304"/>
      <c r="X51" s="300"/>
      <c r="Y51" s="301"/>
      <c r="Z51" s="305"/>
      <c r="AA51" s="300"/>
      <c r="AB51" s="301"/>
      <c r="AC51" s="305"/>
      <c r="AD51" s="306"/>
      <c r="AE51" s="307"/>
      <c r="AF51" s="302"/>
    </row>
    <row r="52" spans="1:32" ht="15">
      <c r="A52" s="767"/>
      <c r="B52" s="186" t="s">
        <v>231</v>
      </c>
      <c r="C52" s="538" t="s">
        <v>363</v>
      </c>
      <c r="D52" s="186" t="s">
        <v>519</v>
      </c>
      <c r="E52" s="189" t="s">
        <v>359</v>
      </c>
      <c r="F52" s="593"/>
      <c r="G52" s="182"/>
      <c r="H52" s="182"/>
      <c r="I52" s="183"/>
      <c r="J52" s="184"/>
      <c r="K52" s="603" t="s">
        <v>59</v>
      </c>
      <c r="L52" s="593" t="s">
        <v>59</v>
      </c>
      <c r="M52" s="593" t="s">
        <v>57</v>
      </c>
      <c r="N52" s="604" t="s">
        <v>57</v>
      </c>
      <c r="O52" s="439"/>
      <c r="P52" s="439"/>
      <c r="Q52" s="439"/>
      <c r="R52" s="293"/>
      <c r="S52" s="291"/>
      <c r="T52" s="292"/>
      <c r="U52" s="303"/>
      <c r="V52" s="301"/>
      <c r="W52" s="304"/>
      <c r="X52" s="300"/>
      <c r="Y52" s="301"/>
      <c r="Z52" s="305"/>
      <c r="AA52" s="300"/>
      <c r="AB52" s="301"/>
      <c r="AC52" s="305"/>
      <c r="AD52" s="306"/>
      <c r="AE52" s="307"/>
      <c r="AF52" s="302"/>
    </row>
    <row r="53" spans="1:32" ht="15">
      <c r="A53" s="767"/>
      <c r="B53" s="443" t="s">
        <v>231</v>
      </c>
      <c r="C53" s="446" t="s">
        <v>363</v>
      </c>
      <c r="D53" s="446" t="s">
        <v>363</v>
      </c>
      <c r="E53" s="444" t="s">
        <v>411</v>
      </c>
      <c r="F53" s="593" t="s">
        <v>59</v>
      </c>
      <c r="G53" s="182"/>
      <c r="H53" s="182"/>
      <c r="I53" s="183"/>
      <c r="J53" s="184"/>
      <c r="K53" s="603" t="s">
        <v>59</v>
      </c>
      <c r="L53" s="593" t="s">
        <v>59</v>
      </c>
      <c r="M53" s="593" t="s">
        <v>59</v>
      </c>
      <c r="N53" s="604" t="s">
        <v>59</v>
      </c>
      <c r="O53" s="439"/>
      <c r="P53" s="439"/>
      <c r="Q53" s="439"/>
      <c r="R53" s="293"/>
      <c r="S53" s="291"/>
      <c r="T53" s="292"/>
      <c r="U53" s="303"/>
      <c r="V53" s="301"/>
      <c r="W53" s="304"/>
      <c r="X53" s="300"/>
      <c r="Y53" s="301"/>
      <c r="Z53" s="305"/>
      <c r="AA53" s="300"/>
      <c r="AB53" s="301"/>
      <c r="AC53" s="305"/>
      <c r="AD53" s="306"/>
      <c r="AE53" s="307"/>
      <c r="AF53" s="302"/>
    </row>
    <row r="54" spans="1:32" ht="15">
      <c r="A54" s="767"/>
      <c r="B54" s="186" t="s">
        <v>231</v>
      </c>
      <c r="C54" s="538" t="s">
        <v>363</v>
      </c>
      <c r="D54" s="186" t="s">
        <v>520</v>
      </c>
      <c r="E54" s="189" t="s">
        <v>360</v>
      </c>
      <c r="F54" s="593"/>
      <c r="G54" s="182"/>
      <c r="H54" s="182"/>
      <c r="I54" s="183"/>
      <c r="J54" s="184"/>
      <c r="K54" s="603" t="s">
        <v>59</v>
      </c>
      <c r="L54" s="593" t="s">
        <v>59</v>
      </c>
      <c r="M54" s="593" t="s">
        <v>57</v>
      </c>
      <c r="N54" s="604" t="s">
        <v>57</v>
      </c>
      <c r="O54" s="439"/>
      <c r="P54" s="439"/>
      <c r="Q54" s="439"/>
      <c r="R54" s="293"/>
      <c r="S54" s="291"/>
      <c r="T54" s="292"/>
      <c r="U54" s="303"/>
      <c r="V54" s="301"/>
      <c r="W54" s="304"/>
      <c r="X54" s="300"/>
      <c r="Y54" s="301"/>
      <c r="Z54" s="305"/>
      <c r="AA54" s="300"/>
      <c r="AB54" s="301"/>
      <c r="AC54" s="305"/>
      <c r="AD54" s="306"/>
      <c r="AE54" s="307"/>
      <c r="AF54" s="302"/>
    </row>
    <row r="55" spans="1:32" ht="24">
      <c r="A55" s="767"/>
      <c r="B55" s="186" t="s">
        <v>231</v>
      </c>
      <c r="C55" s="186" t="s">
        <v>362</v>
      </c>
      <c r="D55" s="186" t="s">
        <v>521</v>
      </c>
      <c r="E55" s="187" t="s">
        <v>361</v>
      </c>
      <c r="F55" s="593"/>
      <c r="G55" s="182"/>
      <c r="H55" s="182"/>
      <c r="I55" s="183"/>
      <c r="J55" s="184"/>
      <c r="K55" s="603" t="s">
        <v>59</v>
      </c>
      <c r="L55" s="593" t="s">
        <v>59</v>
      </c>
      <c r="M55" s="593" t="s">
        <v>57</v>
      </c>
      <c r="N55" s="604" t="s">
        <v>57</v>
      </c>
      <c r="O55" s="439"/>
      <c r="P55" s="439"/>
      <c r="Q55" s="439"/>
      <c r="R55" s="293"/>
      <c r="S55" s="291"/>
      <c r="T55" s="292"/>
      <c r="U55" s="303"/>
      <c r="V55" s="301"/>
      <c r="W55" s="304"/>
      <c r="X55" s="300"/>
      <c r="Y55" s="301"/>
      <c r="Z55" s="305"/>
      <c r="AA55" s="300"/>
      <c r="AB55" s="301"/>
      <c r="AC55" s="305"/>
      <c r="AD55" s="306"/>
      <c r="AE55" s="307"/>
      <c r="AF55" s="302"/>
    </row>
    <row r="56" spans="1:32" ht="15">
      <c r="A56" s="768"/>
      <c r="B56" s="443" t="s">
        <v>231</v>
      </c>
      <c r="C56" s="186" t="s">
        <v>363</v>
      </c>
      <c r="D56" s="446" t="s">
        <v>363</v>
      </c>
      <c r="E56" s="187" t="s">
        <v>412</v>
      </c>
      <c r="F56" s="593" t="s">
        <v>59</v>
      </c>
      <c r="G56" s="182"/>
      <c r="H56" s="182"/>
      <c r="I56" s="183"/>
      <c r="J56" s="184"/>
      <c r="K56" s="603" t="s">
        <v>59</v>
      </c>
      <c r="L56" s="593" t="s">
        <v>59</v>
      </c>
      <c r="M56" s="593" t="s">
        <v>59</v>
      </c>
      <c r="N56" s="604" t="s">
        <v>59</v>
      </c>
      <c r="O56" s="439"/>
      <c r="P56" s="439"/>
      <c r="Q56" s="439"/>
      <c r="R56" s="293"/>
      <c r="S56" s="291"/>
      <c r="T56" s="292"/>
      <c r="U56" s="303"/>
      <c r="V56" s="301"/>
      <c r="W56" s="304"/>
      <c r="X56" s="300"/>
      <c r="Y56" s="301"/>
      <c r="Z56" s="305"/>
      <c r="AA56" s="300"/>
      <c r="AB56" s="301"/>
      <c r="AC56" s="305"/>
      <c r="AD56" s="306"/>
      <c r="AE56" s="307"/>
      <c r="AF56" s="302"/>
    </row>
    <row r="57" spans="1:32" ht="15" customHeight="1">
      <c r="A57" s="766" t="s">
        <v>554</v>
      </c>
      <c r="B57" s="443" t="s">
        <v>231</v>
      </c>
      <c r="C57" s="443" t="s">
        <v>383</v>
      </c>
      <c r="D57" s="443" t="s">
        <v>533</v>
      </c>
      <c r="E57" s="629" t="s">
        <v>465</v>
      </c>
      <c r="F57" s="592"/>
      <c r="G57" s="190"/>
      <c r="H57" s="190"/>
      <c r="I57" s="191"/>
      <c r="J57" s="192"/>
      <c r="K57" s="603" t="s">
        <v>59</v>
      </c>
      <c r="L57" s="593" t="s">
        <v>59</v>
      </c>
      <c r="M57" s="593" t="s">
        <v>57</v>
      </c>
      <c r="N57" s="604" t="s">
        <v>57</v>
      </c>
      <c r="O57" s="439"/>
      <c r="P57" s="439"/>
      <c r="Q57" s="439"/>
      <c r="R57" s="293"/>
      <c r="S57" s="291"/>
      <c r="T57" s="292"/>
      <c r="U57" s="303"/>
      <c r="V57" s="301"/>
      <c r="W57" s="304"/>
      <c r="X57" s="300"/>
      <c r="Y57" s="301"/>
      <c r="Z57" s="305"/>
      <c r="AA57" s="300"/>
      <c r="AB57" s="301"/>
      <c r="AC57" s="305"/>
      <c r="AD57" s="306"/>
      <c r="AE57" s="307"/>
      <c r="AF57" s="302"/>
    </row>
    <row r="58" spans="1:32" ht="15">
      <c r="A58" s="767"/>
      <c r="B58" s="443" t="s">
        <v>231</v>
      </c>
      <c r="C58" s="443" t="s">
        <v>384</v>
      </c>
      <c r="D58" s="443" t="s">
        <v>534</v>
      </c>
      <c r="E58" s="629" t="s">
        <v>466</v>
      </c>
      <c r="F58" s="592"/>
      <c r="G58" s="190"/>
      <c r="H58" s="190"/>
      <c r="I58" s="191"/>
      <c r="J58" s="192"/>
      <c r="K58" s="603" t="s">
        <v>59</v>
      </c>
      <c r="L58" s="593" t="s">
        <v>59</v>
      </c>
      <c r="M58" s="593" t="s">
        <v>57</v>
      </c>
      <c r="N58" s="604" t="s">
        <v>57</v>
      </c>
      <c r="O58" s="439"/>
      <c r="P58" s="439"/>
      <c r="Q58" s="439"/>
      <c r="R58" s="293"/>
      <c r="S58" s="291"/>
      <c r="T58" s="292"/>
      <c r="U58" s="303"/>
      <c r="V58" s="301"/>
      <c r="W58" s="304"/>
      <c r="X58" s="300"/>
      <c r="Y58" s="301"/>
      <c r="Z58" s="305"/>
      <c r="AA58" s="300"/>
      <c r="AB58" s="301"/>
      <c r="AC58" s="305"/>
      <c r="AD58" s="306"/>
      <c r="AE58" s="307"/>
      <c r="AF58" s="302"/>
    </row>
    <row r="59" spans="1:32" ht="15">
      <c r="A59" s="767"/>
      <c r="B59" s="443" t="s">
        <v>231</v>
      </c>
      <c r="C59" s="443" t="s">
        <v>386</v>
      </c>
      <c r="D59" s="443" t="s">
        <v>536</v>
      </c>
      <c r="E59" s="629" t="s">
        <v>385</v>
      </c>
      <c r="F59" s="592" t="s">
        <v>59</v>
      </c>
      <c r="G59" s="190"/>
      <c r="H59" s="190"/>
      <c r="I59" s="191"/>
      <c r="J59" s="192"/>
      <c r="K59" s="603" t="s">
        <v>59</v>
      </c>
      <c r="L59" s="593" t="s">
        <v>59</v>
      </c>
      <c r="M59" s="593" t="s">
        <v>59</v>
      </c>
      <c r="N59" s="604" t="s">
        <v>59</v>
      </c>
      <c r="O59" s="439"/>
      <c r="P59" s="439"/>
      <c r="Q59" s="439"/>
      <c r="R59" s="293"/>
      <c r="S59" s="291"/>
      <c r="T59" s="292"/>
      <c r="U59" s="303"/>
      <c r="V59" s="301"/>
      <c r="W59" s="304"/>
      <c r="X59" s="300"/>
      <c r="Y59" s="301"/>
      <c r="Z59" s="305"/>
      <c r="AA59" s="300"/>
      <c r="AB59" s="301"/>
      <c r="AC59" s="305"/>
      <c r="AD59" s="306"/>
      <c r="AE59" s="307"/>
      <c r="AF59" s="302"/>
    </row>
    <row r="60" spans="1:32" ht="15">
      <c r="A60" s="767"/>
      <c r="B60" s="443" t="s">
        <v>231</v>
      </c>
      <c r="C60" s="443" t="s">
        <v>387</v>
      </c>
      <c r="D60" s="443" t="s">
        <v>537</v>
      </c>
      <c r="E60" s="629" t="s">
        <v>257</v>
      </c>
      <c r="F60" s="592"/>
      <c r="G60" s="190"/>
      <c r="H60" s="190"/>
      <c r="I60" s="191"/>
      <c r="J60" s="192"/>
      <c r="K60" s="603" t="s">
        <v>59</v>
      </c>
      <c r="L60" s="593" t="s">
        <v>57</v>
      </c>
      <c r="M60" s="593" t="s">
        <v>57</v>
      </c>
      <c r="N60" s="604" t="s">
        <v>57</v>
      </c>
      <c r="O60" s="439"/>
      <c r="P60" s="439"/>
      <c r="Q60" s="439"/>
      <c r="R60" s="293"/>
      <c r="S60" s="291"/>
      <c r="T60" s="292"/>
      <c r="U60" s="303"/>
      <c r="V60" s="301"/>
      <c r="W60" s="304"/>
      <c r="X60" s="300"/>
      <c r="Y60" s="301"/>
      <c r="Z60" s="305"/>
      <c r="AA60" s="300"/>
      <c r="AB60" s="301"/>
      <c r="AC60" s="305"/>
      <c r="AD60" s="306"/>
      <c r="AE60" s="307"/>
      <c r="AF60" s="302"/>
    </row>
    <row r="61" spans="1:32" ht="15">
      <c r="A61" s="767"/>
      <c r="B61" s="443" t="s">
        <v>231</v>
      </c>
      <c r="C61" s="443" t="s">
        <v>353</v>
      </c>
      <c r="D61" s="443" t="s">
        <v>538</v>
      </c>
      <c r="E61" s="629" t="s">
        <v>258</v>
      </c>
      <c r="F61" s="592"/>
      <c r="G61" s="190"/>
      <c r="H61" s="190"/>
      <c r="I61" s="191"/>
      <c r="J61" s="192"/>
      <c r="K61" s="603" t="s">
        <v>59</v>
      </c>
      <c r="L61" s="603" t="s">
        <v>59</v>
      </c>
      <c r="M61" s="593" t="s">
        <v>57</v>
      </c>
      <c r="N61" s="604" t="s">
        <v>57</v>
      </c>
      <c r="O61" s="439"/>
      <c r="P61" s="439"/>
      <c r="Q61" s="439"/>
      <c r="R61" s="293"/>
      <c r="S61" s="291"/>
      <c r="T61" s="292"/>
      <c r="U61" s="303"/>
      <c r="V61" s="301"/>
      <c r="W61" s="304"/>
      <c r="X61" s="300"/>
      <c r="Y61" s="301"/>
      <c r="Z61" s="305"/>
      <c r="AA61" s="300"/>
      <c r="AB61" s="301"/>
      <c r="AC61" s="305"/>
      <c r="AD61" s="306"/>
      <c r="AE61" s="307"/>
      <c r="AF61" s="302"/>
    </row>
    <row r="62" spans="1:32" ht="15">
      <c r="A62" s="767"/>
      <c r="B62" s="545" t="s">
        <v>231</v>
      </c>
      <c r="C62" s="443" t="s">
        <v>388</v>
      </c>
      <c r="D62" s="443" t="s">
        <v>539</v>
      </c>
      <c r="E62" s="629" t="s">
        <v>389</v>
      </c>
      <c r="F62" s="592" t="s">
        <v>59</v>
      </c>
      <c r="G62" s="190"/>
      <c r="H62" s="190"/>
      <c r="I62" s="191"/>
      <c r="J62" s="192"/>
      <c r="K62" s="603" t="s">
        <v>59</v>
      </c>
      <c r="L62" s="603" t="s">
        <v>59</v>
      </c>
      <c r="M62" s="593" t="s">
        <v>59</v>
      </c>
      <c r="N62" s="604" t="s">
        <v>59</v>
      </c>
      <c r="O62" s="439"/>
      <c r="P62" s="439"/>
      <c r="Q62" s="439"/>
      <c r="R62" s="293"/>
      <c r="S62" s="291"/>
      <c r="T62" s="292"/>
      <c r="U62" s="303"/>
      <c r="V62" s="301"/>
      <c r="W62" s="304"/>
      <c r="X62" s="300"/>
      <c r="Y62" s="301"/>
      <c r="Z62" s="305"/>
      <c r="AA62" s="300"/>
      <c r="AB62" s="301"/>
      <c r="AC62" s="305"/>
      <c r="AD62" s="306"/>
      <c r="AE62" s="307"/>
      <c r="AF62" s="302"/>
    </row>
    <row r="63" spans="1:32" ht="15">
      <c r="A63" s="767"/>
      <c r="B63" s="545" t="s">
        <v>231</v>
      </c>
      <c r="C63" s="443" t="s">
        <v>390</v>
      </c>
      <c r="D63" s="443" t="s">
        <v>540</v>
      </c>
      <c r="E63" s="629" t="s">
        <v>309</v>
      </c>
      <c r="F63" s="592"/>
      <c r="G63" s="190"/>
      <c r="H63" s="190"/>
      <c r="I63" s="191"/>
      <c r="J63" s="192"/>
      <c r="K63" s="603" t="s">
        <v>59</v>
      </c>
      <c r="L63" s="593" t="s">
        <v>57</v>
      </c>
      <c r="M63" s="593" t="s">
        <v>57</v>
      </c>
      <c r="N63" s="604" t="s">
        <v>57</v>
      </c>
      <c r="O63" s="439"/>
      <c r="P63" s="439"/>
      <c r="Q63" s="439"/>
      <c r="R63" s="293"/>
      <c r="S63" s="291"/>
      <c r="T63" s="302"/>
      <c r="U63" s="303"/>
      <c r="V63" s="301"/>
      <c r="W63" s="304"/>
      <c r="X63" s="300"/>
      <c r="Y63" s="301"/>
      <c r="Z63" s="305"/>
      <c r="AA63" s="300"/>
      <c r="AB63" s="301"/>
      <c r="AC63" s="305"/>
      <c r="AD63" s="306"/>
      <c r="AE63" s="307"/>
      <c r="AF63" s="302"/>
    </row>
    <row r="64" spans="1:32" ht="15">
      <c r="A64" s="767"/>
      <c r="B64" s="545" t="s">
        <v>231</v>
      </c>
      <c r="C64" s="443" t="s">
        <v>391</v>
      </c>
      <c r="D64" s="443" t="s">
        <v>541</v>
      </c>
      <c r="E64" s="629" t="s">
        <v>310</v>
      </c>
      <c r="F64" s="592"/>
      <c r="G64" s="190"/>
      <c r="H64" s="190"/>
      <c r="I64" s="191"/>
      <c r="J64" s="192"/>
      <c r="K64" s="603" t="s">
        <v>59</v>
      </c>
      <c r="L64" s="593" t="s">
        <v>57</v>
      </c>
      <c r="M64" s="593" t="s">
        <v>57</v>
      </c>
      <c r="N64" s="604" t="s">
        <v>57</v>
      </c>
      <c r="O64" s="439"/>
      <c r="P64" s="439"/>
      <c r="Q64" s="439"/>
      <c r="R64" s="293"/>
      <c r="S64" s="291"/>
      <c r="T64" s="302"/>
      <c r="U64" s="303"/>
      <c r="V64" s="301"/>
      <c r="W64" s="304"/>
      <c r="X64" s="300"/>
      <c r="Y64" s="301"/>
      <c r="Z64" s="305"/>
      <c r="AA64" s="300"/>
      <c r="AB64" s="301"/>
      <c r="AC64" s="305"/>
      <c r="AD64" s="306"/>
      <c r="AE64" s="307"/>
      <c r="AF64" s="302"/>
    </row>
    <row r="65" spans="1:32" ht="15">
      <c r="A65" s="767"/>
      <c r="B65" s="545" t="s">
        <v>231</v>
      </c>
      <c r="C65" s="443" t="s">
        <v>354</v>
      </c>
      <c r="D65" s="443" t="s">
        <v>542</v>
      </c>
      <c r="E65" s="629" t="s">
        <v>311</v>
      </c>
      <c r="F65" s="592"/>
      <c r="G65" s="190"/>
      <c r="H65" s="190"/>
      <c r="I65" s="191"/>
      <c r="J65" s="192"/>
      <c r="K65" s="603" t="s">
        <v>59</v>
      </c>
      <c r="L65" s="603" t="s">
        <v>59</v>
      </c>
      <c r="M65" s="593" t="s">
        <v>57</v>
      </c>
      <c r="N65" s="604" t="s">
        <v>57</v>
      </c>
      <c r="O65" s="439"/>
      <c r="P65" s="439"/>
      <c r="Q65" s="439"/>
      <c r="R65" s="293"/>
      <c r="S65" s="291"/>
      <c r="T65" s="302"/>
      <c r="U65" s="303"/>
      <c r="V65" s="301"/>
      <c r="W65" s="304"/>
      <c r="X65" s="300"/>
      <c r="Y65" s="301"/>
      <c r="Z65" s="305"/>
      <c r="AA65" s="300"/>
      <c r="AB65" s="301"/>
      <c r="AC65" s="305"/>
      <c r="AD65" s="306"/>
      <c r="AE65" s="307"/>
      <c r="AF65" s="302"/>
    </row>
    <row r="66" spans="1:32" ht="15" customHeight="1">
      <c r="A66" s="766" t="s">
        <v>305</v>
      </c>
      <c r="B66" s="545" t="s">
        <v>231</v>
      </c>
      <c r="C66" s="443" t="s">
        <v>467</v>
      </c>
      <c r="D66" s="443" t="s">
        <v>535</v>
      </c>
      <c r="E66" s="629" t="s">
        <v>306</v>
      </c>
      <c r="F66" s="592"/>
      <c r="G66" s="190"/>
      <c r="H66" s="190"/>
      <c r="I66" s="191"/>
      <c r="J66" s="192"/>
      <c r="K66" s="603" t="s">
        <v>59</v>
      </c>
      <c r="L66" s="603" t="s">
        <v>59</v>
      </c>
      <c r="M66" s="593" t="s">
        <v>57</v>
      </c>
      <c r="N66" s="604" t="s">
        <v>57</v>
      </c>
      <c r="O66" s="439"/>
      <c r="P66" s="439"/>
      <c r="Q66" s="439"/>
      <c r="R66" s="293"/>
      <c r="S66" s="291"/>
      <c r="T66" s="292"/>
      <c r="U66" s="293"/>
      <c r="V66" s="291"/>
      <c r="W66" s="294"/>
      <c r="X66" s="290"/>
      <c r="Y66" s="291"/>
      <c r="Z66" s="295"/>
      <c r="AA66" s="290"/>
      <c r="AB66" s="291"/>
      <c r="AC66" s="295"/>
      <c r="AD66" s="296"/>
      <c r="AE66" s="297"/>
      <c r="AF66" s="292"/>
    </row>
    <row r="67" spans="1:32" ht="36">
      <c r="A67" s="767"/>
      <c r="B67" s="545" t="s">
        <v>231</v>
      </c>
      <c r="C67" s="443" t="s">
        <v>468</v>
      </c>
      <c r="D67" s="443" t="s">
        <v>543</v>
      </c>
      <c r="E67" s="629" t="s">
        <v>307</v>
      </c>
      <c r="F67" s="592"/>
      <c r="G67" s="190"/>
      <c r="H67" s="190"/>
      <c r="I67" s="191"/>
      <c r="J67" s="192"/>
      <c r="K67" s="603" t="s">
        <v>59</v>
      </c>
      <c r="L67" s="603" t="s">
        <v>59</v>
      </c>
      <c r="M67" s="593" t="s">
        <v>57</v>
      </c>
      <c r="N67" s="604" t="s">
        <v>57</v>
      </c>
      <c r="O67" s="439"/>
      <c r="P67" s="439"/>
      <c r="Q67" s="439"/>
      <c r="R67" s="293"/>
      <c r="S67" s="291"/>
      <c r="T67" s="292"/>
      <c r="U67" s="293"/>
      <c r="V67" s="291"/>
      <c r="W67" s="294"/>
      <c r="X67" s="290"/>
      <c r="Y67" s="291"/>
      <c r="Z67" s="295"/>
      <c r="AA67" s="290"/>
      <c r="AB67" s="291"/>
      <c r="AC67" s="295"/>
      <c r="AD67" s="296"/>
      <c r="AE67" s="297"/>
      <c r="AF67" s="292"/>
    </row>
    <row r="68" spans="1:32" ht="15">
      <c r="A68" s="767"/>
      <c r="B68" s="545" t="s">
        <v>231</v>
      </c>
      <c r="C68" s="443" t="s">
        <v>469</v>
      </c>
      <c r="D68" s="443" t="s">
        <v>544</v>
      </c>
      <c r="E68" s="629" t="s">
        <v>471</v>
      </c>
      <c r="F68" s="592"/>
      <c r="G68" s="190"/>
      <c r="H68" s="190"/>
      <c r="I68" s="191"/>
      <c r="J68" s="192"/>
      <c r="K68" s="603" t="s">
        <v>59</v>
      </c>
      <c r="L68" s="603" t="s">
        <v>59</v>
      </c>
      <c r="M68" s="593" t="s">
        <v>57</v>
      </c>
      <c r="N68" s="604" t="s">
        <v>57</v>
      </c>
      <c r="O68" s="439"/>
      <c r="P68" s="439"/>
      <c r="Q68" s="439"/>
      <c r="R68" s="293"/>
      <c r="S68" s="291"/>
      <c r="T68" s="292"/>
      <c r="U68" s="293"/>
      <c r="V68" s="291"/>
      <c r="W68" s="294"/>
      <c r="X68" s="290"/>
      <c r="Y68" s="291"/>
      <c r="Z68" s="295"/>
      <c r="AA68" s="290"/>
      <c r="AB68" s="291"/>
      <c r="AC68" s="295"/>
      <c r="AD68" s="296"/>
      <c r="AE68" s="297"/>
      <c r="AF68" s="292"/>
    </row>
    <row r="69" spans="1:32" ht="24">
      <c r="A69" s="767"/>
      <c r="B69" s="545" t="s">
        <v>231</v>
      </c>
      <c r="C69" s="443" t="s">
        <v>470</v>
      </c>
      <c r="D69" s="443" t="s">
        <v>545</v>
      </c>
      <c r="E69" s="629" t="s">
        <v>308</v>
      </c>
      <c r="F69" s="592" t="s">
        <v>59</v>
      </c>
      <c r="G69" s="190"/>
      <c r="H69" s="190"/>
      <c r="I69" s="191"/>
      <c r="J69" s="192"/>
      <c r="K69" s="603" t="s">
        <v>59</v>
      </c>
      <c r="L69" s="603" t="s">
        <v>59</v>
      </c>
      <c r="M69" s="593" t="s">
        <v>59</v>
      </c>
      <c r="N69" s="604" t="s">
        <v>59</v>
      </c>
      <c r="O69" s="439"/>
      <c r="P69" s="439"/>
      <c r="Q69" s="439"/>
      <c r="R69" s="293"/>
      <c r="S69" s="291"/>
      <c r="T69" s="292"/>
      <c r="U69" s="293"/>
      <c r="V69" s="291"/>
      <c r="W69" s="294"/>
      <c r="X69" s="290"/>
      <c r="Y69" s="291"/>
      <c r="Z69" s="295"/>
      <c r="AA69" s="290"/>
      <c r="AB69" s="291"/>
      <c r="AC69" s="295"/>
      <c r="AD69" s="296"/>
      <c r="AE69" s="297"/>
      <c r="AF69" s="292"/>
    </row>
    <row r="70" spans="1:32" ht="15">
      <c r="A70" s="768"/>
      <c r="B70" s="545" t="s">
        <v>231</v>
      </c>
      <c r="C70" s="443" t="s">
        <v>546</v>
      </c>
      <c r="D70" s="575" t="s">
        <v>547</v>
      </c>
      <c r="E70" s="629" t="s">
        <v>548</v>
      </c>
      <c r="F70" s="597"/>
      <c r="G70" s="576"/>
      <c r="H70" s="576"/>
      <c r="I70" s="577"/>
      <c r="J70" s="578"/>
      <c r="K70" s="603" t="s">
        <v>59</v>
      </c>
      <c r="L70" s="603" t="s">
        <v>59</v>
      </c>
      <c r="M70" s="593" t="s">
        <v>57</v>
      </c>
      <c r="N70" s="604" t="s">
        <v>57</v>
      </c>
      <c r="O70" s="579"/>
      <c r="P70" s="579"/>
      <c r="Q70" s="579"/>
      <c r="R70" s="293"/>
      <c r="S70" s="291"/>
      <c r="T70" s="302"/>
      <c r="U70" s="303"/>
      <c r="V70" s="301"/>
      <c r="W70" s="304"/>
      <c r="X70" s="300"/>
      <c r="Y70" s="301"/>
      <c r="Z70" s="305"/>
      <c r="AA70" s="300"/>
      <c r="AB70" s="301"/>
      <c r="AC70" s="305"/>
      <c r="AD70" s="306"/>
      <c r="AE70" s="307"/>
      <c r="AF70" s="302"/>
    </row>
    <row r="71" spans="1:32" ht="15.75">
      <c r="A71" s="541"/>
      <c r="B71" s="788" t="s">
        <v>458</v>
      </c>
      <c r="C71" s="788"/>
      <c r="D71" s="788"/>
      <c r="E71" s="788"/>
      <c r="F71" s="598"/>
      <c r="G71" s="309"/>
      <c r="H71" s="310"/>
      <c r="I71" s="311"/>
      <c r="J71" s="311"/>
      <c r="K71" s="615"/>
      <c r="L71" s="616"/>
      <c r="M71" s="616"/>
      <c r="N71" s="617"/>
      <c r="O71" s="442"/>
      <c r="P71" s="442"/>
      <c r="Q71" s="442"/>
      <c r="R71" s="436"/>
      <c r="S71" s="404"/>
      <c r="T71" s="405"/>
      <c r="U71" s="406"/>
      <c r="V71" s="407"/>
      <c r="W71" s="408"/>
      <c r="X71" s="409"/>
      <c r="Y71" s="407"/>
      <c r="Z71" s="410"/>
      <c r="AA71" s="409"/>
      <c r="AB71" s="407"/>
      <c r="AC71" s="410"/>
      <c r="AD71" s="411"/>
      <c r="AE71" s="412"/>
      <c r="AF71" s="405"/>
    </row>
    <row r="72" spans="1:32" ht="15" customHeight="1">
      <c r="A72" s="772" t="s">
        <v>452</v>
      </c>
      <c r="B72" s="281" t="s">
        <v>231</v>
      </c>
      <c r="C72" s="186" t="s">
        <v>373</v>
      </c>
      <c r="D72" s="186" t="s">
        <v>506</v>
      </c>
      <c r="E72" s="187" t="s">
        <v>364</v>
      </c>
      <c r="F72" s="593"/>
      <c r="G72" s="182"/>
      <c r="H72" s="182"/>
      <c r="I72" s="183"/>
      <c r="J72" s="184"/>
      <c r="K72" s="603" t="s">
        <v>59</v>
      </c>
      <c r="L72" s="603" t="s">
        <v>57</v>
      </c>
      <c r="M72" s="593" t="s">
        <v>57</v>
      </c>
      <c r="N72" s="604" t="s">
        <v>57</v>
      </c>
      <c r="O72" s="439"/>
      <c r="P72" s="439"/>
      <c r="Q72" s="439"/>
      <c r="R72" s="293"/>
      <c r="S72" s="291"/>
      <c r="T72" s="292"/>
      <c r="U72" s="293"/>
      <c r="V72" s="291"/>
      <c r="W72" s="294"/>
      <c r="X72" s="290"/>
      <c r="Y72" s="291"/>
      <c r="Z72" s="295"/>
      <c r="AA72" s="290"/>
      <c r="AB72" s="291"/>
      <c r="AC72" s="295"/>
      <c r="AD72" s="296"/>
      <c r="AE72" s="297"/>
      <c r="AF72" s="292"/>
    </row>
    <row r="73" spans="1:32" ht="15">
      <c r="A73" s="773"/>
      <c r="B73" s="281" t="s">
        <v>231</v>
      </c>
      <c r="C73" s="186" t="s">
        <v>374</v>
      </c>
      <c r="D73" s="186" t="s">
        <v>507</v>
      </c>
      <c r="E73" s="187" t="s">
        <v>365</v>
      </c>
      <c r="F73" s="593"/>
      <c r="G73" s="182"/>
      <c r="H73" s="182"/>
      <c r="I73" s="183"/>
      <c r="J73" s="184"/>
      <c r="K73" s="603" t="s">
        <v>59</v>
      </c>
      <c r="L73" s="603" t="s">
        <v>57</v>
      </c>
      <c r="M73" s="593" t="s">
        <v>57</v>
      </c>
      <c r="N73" s="604" t="s">
        <v>57</v>
      </c>
      <c r="O73" s="439"/>
      <c r="P73" s="439"/>
      <c r="Q73" s="439"/>
      <c r="R73" s="293"/>
      <c r="S73" s="291"/>
      <c r="T73" s="292"/>
      <c r="U73" s="293"/>
      <c r="V73" s="291"/>
      <c r="W73" s="294"/>
      <c r="X73" s="290"/>
      <c r="Y73" s="291"/>
      <c r="Z73" s="295"/>
      <c r="AA73" s="290"/>
      <c r="AB73" s="291"/>
      <c r="AC73" s="295"/>
      <c r="AD73" s="296"/>
      <c r="AE73" s="297"/>
      <c r="AF73" s="292"/>
    </row>
    <row r="74" spans="1:32" ht="15">
      <c r="A74" s="773"/>
      <c r="B74" s="281" t="s">
        <v>231</v>
      </c>
      <c r="C74" s="186" t="s">
        <v>232</v>
      </c>
      <c r="D74" s="186" t="s">
        <v>508</v>
      </c>
      <c r="E74" s="187" t="s">
        <v>366</v>
      </c>
      <c r="F74" s="593"/>
      <c r="G74" s="182"/>
      <c r="H74" s="182"/>
      <c r="I74" s="183"/>
      <c r="J74" s="184"/>
      <c r="K74" s="603" t="s">
        <v>59</v>
      </c>
      <c r="L74" s="603" t="s">
        <v>57</v>
      </c>
      <c r="M74" s="593" t="s">
        <v>57</v>
      </c>
      <c r="N74" s="604" t="s">
        <v>57</v>
      </c>
      <c r="O74" s="439"/>
      <c r="P74" s="439"/>
      <c r="Q74" s="439"/>
      <c r="R74" s="293"/>
      <c r="S74" s="291"/>
      <c r="T74" s="292"/>
      <c r="U74" s="293"/>
      <c r="V74" s="291"/>
      <c r="W74" s="294"/>
      <c r="X74" s="290"/>
      <c r="Y74" s="291"/>
      <c r="Z74" s="295"/>
      <c r="AA74" s="290"/>
      <c r="AB74" s="291"/>
      <c r="AC74" s="295"/>
      <c r="AD74" s="296"/>
      <c r="AE74" s="297"/>
      <c r="AF74" s="292"/>
    </row>
    <row r="75" spans="1:32" ht="15">
      <c r="A75" s="773"/>
      <c r="B75" s="281" t="s">
        <v>231</v>
      </c>
      <c r="C75" s="186" t="s">
        <v>375</v>
      </c>
      <c r="D75" s="186" t="s">
        <v>509</v>
      </c>
      <c r="E75" s="187" t="s">
        <v>367</v>
      </c>
      <c r="F75" s="593"/>
      <c r="G75" s="182"/>
      <c r="H75" s="182"/>
      <c r="I75" s="183"/>
      <c r="J75" s="184"/>
      <c r="K75" s="603" t="s">
        <v>59</v>
      </c>
      <c r="L75" s="603" t="s">
        <v>57</v>
      </c>
      <c r="M75" s="593" t="s">
        <v>57</v>
      </c>
      <c r="N75" s="604" t="s">
        <v>57</v>
      </c>
      <c r="O75" s="439"/>
      <c r="P75" s="439"/>
      <c r="Q75" s="439"/>
      <c r="R75" s="293"/>
      <c r="S75" s="291"/>
      <c r="T75" s="292"/>
      <c r="U75" s="293"/>
      <c r="V75" s="291"/>
      <c r="W75" s="294"/>
      <c r="X75" s="290"/>
      <c r="Y75" s="291"/>
      <c r="Z75" s="295"/>
      <c r="AA75" s="290"/>
      <c r="AB75" s="291"/>
      <c r="AC75" s="295"/>
      <c r="AD75" s="296"/>
      <c r="AE75" s="297"/>
      <c r="AF75" s="292"/>
    </row>
    <row r="76" spans="1:32" ht="15">
      <c r="A76" s="773"/>
      <c r="B76" s="281" t="s">
        <v>231</v>
      </c>
      <c r="C76" s="186" t="s">
        <v>376</v>
      </c>
      <c r="D76" s="186" t="s">
        <v>510</v>
      </c>
      <c r="E76" s="187" t="s">
        <v>368</v>
      </c>
      <c r="F76" s="593"/>
      <c r="G76" s="182"/>
      <c r="H76" s="182"/>
      <c r="I76" s="183"/>
      <c r="J76" s="184"/>
      <c r="K76" s="603" t="s">
        <v>59</v>
      </c>
      <c r="L76" s="603" t="s">
        <v>57</v>
      </c>
      <c r="M76" s="593" t="s">
        <v>57</v>
      </c>
      <c r="N76" s="604" t="s">
        <v>57</v>
      </c>
      <c r="O76" s="439"/>
      <c r="P76" s="439"/>
      <c r="Q76" s="439"/>
      <c r="R76" s="293"/>
      <c r="S76" s="291"/>
      <c r="T76" s="292"/>
      <c r="U76" s="293"/>
      <c r="V76" s="291"/>
      <c r="W76" s="294"/>
      <c r="X76" s="290"/>
      <c r="Y76" s="291"/>
      <c r="Z76" s="295"/>
      <c r="AA76" s="290"/>
      <c r="AB76" s="291"/>
      <c r="AC76" s="295"/>
      <c r="AD76" s="296"/>
      <c r="AE76" s="297"/>
      <c r="AF76" s="292"/>
    </row>
    <row r="77" spans="1:32" ht="15">
      <c r="A77" s="773"/>
      <c r="B77" s="281" t="s">
        <v>231</v>
      </c>
      <c r="C77" s="186" t="s">
        <v>377</v>
      </c>
      <c r="D77" s="186" t="s">
        <v>511</v>
      </c>
      <c r="E77" s="187" t="s">
        <v>369</v>
      </c>
      <c r="F77" s="593"/>
      <c r="G77" s="182"/>
      <c r="H77" s="182"/>
      <c r="I77" s="183"/>
      <c r="J77" s="184"/>
      <c r="K77" s="603" t="s">
        <v>59</v>
      </c>
      <c r="L77" s="603" t="s">
        <v>57</v>
      </c>
      <c r="M77" s="593" t="s">
        <v>57</v>
      </c>
      <c r="N77" s="604" t="s">
        <v>57</v>
      </c>
      <c r="O77" s="439"/>
      <c r="P77" s="439"/>
      <c r="Q77" s="439"/>
      <c r="R77" s="293"/>
      <c r="S77" s="291"/>
      <c r="T77" s="292"/>
      <c r="U77" s="293"/>
      <c r="V77" s="291"/>
      <c r="W77" s="294"/>
      <c r="X77" s="290"/>
      <c r="Y77" s="291"/>
      <c r="Z77" s="295"/>
      <c r="AA77" s="290"/>
      <c r="AB77" s="291"/>
      <c r="AC77" s="295"/>
      <c r="AD77" s="296"/>
      <c r="AE77" s="297"/>
      <c r="AF77" s="292"/>
    </row>
    <row r="78" spans="1:32" ht="15">
      <c r="A78" s="773"/>
      <c r="B78" s="281" t="s">
        <v>231</v>
      </c>
      <c r="C78" s="186" t="s">
        <v>378</v>
      </c>
      <c r="D78" s="186" t="s">
        <v>512</v>
      </c>
      <c r="E78" s="187" t="s">
        <v>370</v>
      </c>
      <c r="F78" s="593"/>
      <c r="G78" s="182"/>
      <c r="H78" s="182"/>
      <c r="I78" s="183"/>
      <c r="J78" s="184"/>
      <c r="K78" s="603" t="s">
        <v>59</v>
      </c>
      <c r="L78" s="603" t="s">
        <v>59</v>
      </c>
      <c r="M78" s="593" t="s">
        <v>57</v>
      </c>
      <c r="N78" s="604" t="s">
        <v>57</v>
      </c>
      <c r="O78" s="439"/>
      <c r="P78" s="439"/>
      <c r="Q78" s="439"/>
      <c r="R78" s="293"/>
      <c r="S78" s="291"/>
      <c r="T78" s="292"/>
      <c r="U78" s="293"/>
      <c r="V78" s="291"/>
      <c r="W78" s="294"/>
      <c r="X78" s="290"/>
      <c r="Y78" s="291"/>
      <c r="Z78" s="295"/>
      <c r="AA78" s="290"/>
      <c r="AB78" s="291"/>
      <c r="AC78" s="295"/>
      <c r="AD78" s="296"/>
      <c r="AE78" s="297"/>
      <c r="AF78" s="292"/>
    </row>
    <row r="79" spans="1:32" ht="15">
      <c r="A79" s="773"/>
      <c r="B79" s="281" t="s">
        <v>231</v>
      </c>
      <c r="C79" s="186" t="s">
        <v>379</v>
      </c>
      <c r="D79" s="186" t="s">
        <v>513</v>
      </c>
      <c r="E79" s="187" t="s">
        <v>371</v>
      </c>
      <c r="F79" s="593"/>
      <c r="G79" s="182"/>
      <c r="H79" s="182"/>
      <c r="I79" s="183"/>
      <c r="J79" s="184"/>
      <c r="K79" s="603" t="s">
        <v>59</v>
      </c>
      <c r="L79" s="603" t="s">
        <v>59</v>
      </c>
      <c r="M79" s="593" t="s">
        <v>57</v>
      </c>
      <c r="N79" s="604" t="s">
        <v>57</v>
      </c>
      <c r="O79" s="439"/>
      <c r="P79" s="439"/>
      <c r="Q79" s="439"/>
      <c r="R79" s="293"/>
      <c r="S79" s="291"/>
      <c r="T79" s="292"/>
      <c r="U79" s="293"/>
      <c r="V79" s="291"/>
      <c r="W79" s="294"/>
      <c r="X79" s="290"/>
      <c r="Y79" s="291"/>
      <c r="Z79" s="295"/>
      <c r="AA79" s="290"/>
      <c r="AB79" s="291"/>
      <c r="AC79" s="295"/>
      <c r="AD79" s="296"/>
      <c r="AE79" s="297"/>
      <c r="AF79" s="292"/>
    </row>
    <row r="80" spans="1:32" ht="15" customHeight="1">
      <c r="A80" s="773"/>
      <c r="B80" s="281" t="s">
        <v>231</v>
      </c>
      <c r="C80" s="186" t="s">
        <v>16</v>
      </c>
      <c r="D80" s="186" t="s">
        <v>514</v>
      </c>
      <c r="E80" s="187" t="s">
        <v>372</v>
      </c>
      <c r="F80" s="593"/>
      <c r="G80" s="182"/>
      <c r="H80" s="182"/>
      <c r="I80" s="183"/>
      <c r="J80" s="184"/>
      <c r="K80" s="603" t="s">
        <v>59</v>
      </c>
      <c r="L80" s="603" t="s">
        <v>57</v>
      </c>
      <c r="M80" s="593" t="s">
        <v>57</v>
      </c>
      <c r="N80" s="604" t="s">
        <v>57</v>
      </c>
      <c r="O80" s="439"/>
      <c r="P80" s="439"/>
      <c r="Q80" s="439"/>
      <c r="R80" s="293"/>
      <c r="S80" s="291"/>
      <c r="T80" s="292"/>
      <c r="U80" s="293"/>
      <c r="V80" s="291"/>
      <c r="W80" s="294"/>
      <c r="X80" s="290"/>
      <c r="Y80" s="291"/>
      <c r="Z80" s="295"/>
      <c r="AA80" s="290"/>
      <c r="AB80" s="291"/>
      <c r="AC80" s="295"/>
      <c r="AD80" s="296"/>
      <c r="AE80" s="297"/>
      <c r="AF80" s="292"/>
    </row>
    <row r="81" spans="1:32" ht="15" customHeight="1">
      <c r="A81" s="772" t="s">
        <v>555</v>
      </c>
      <c r="B81" s="445" t="s">
        <v>231</v>
      </c>
      <c r="C81" s="544" t="s">
        <v>352</v>
      </c>
      <c r="D81" s="544" t="s">
        <v>526</v>
      </c>
      <c r="E81" s="630" t="s">
        <v>259</v>
      </c>
      <c r="F81" s="592"/>
      <c r="G81" s="190"/>
      <c r="H81" s="190"/>
      <c r="I81" s="191"/>
      <c r="J81" s="192"/>
      <c r="K81" s="603" t="s">
        <v>59</v>
      </c>
      <c r="L81" s="603" t="s">
        <v>59</v>
      </c>
      <c r="M81" s="593" t="s">
        <v>57</v>
      </c>
      <c r="N81" s="604" t="s">
        <v>57</v>
      </c>
      <c r="O81" s="439"/>
      <c r="P81" s="439"/>
      <c r="Q81" s="439"/>
      <c r="R81" s="293"/>
      <c r="S81" s="291"/>
      <c r="T81" s="292"/>
      <c r="U81" s="293"/>
      <c r="V81" s="291"/>
      <c r="W81" s="294"/>
      <c r="X81" s="290"/>
      <c r="Y81" s="291"/>
      <c r="Z81" s="295"/>
      <c r="AA81" s="290"/>
      <c r="AB81" s="291"/>
      <c r="AC81" s="295"/>
      <c r="AD81" s="296"/>
      <c r="AE81" s="297"/>
      <c r="AF81" s="292"/>
    </row>
    <row r="82" spans="1:32" ht="15">
      <c r="A82" s="773"/>
      <c r="B82" s="445" t="s">
        <v>231</v>
      </c>
      <c r="C82" s="544" t="s">
        <v>351</v>
      </c>
      <c r="D82" s="544" t="s">
        <v>527</v>
      </c>
      <c r="E82" s="630" t="s">
        <v>260</v>
      </c>
      <c r="F82" s="592"/>
      <c r="G82" s="190"/>
      <c r="H82" s="190"/>
      <c r="I82" s="191"/>
      <c r="J82" s="192"/>
      <c r="K82" s="603" t="s">
        <v>59</v>
      </c>
      <c r="L82" s="603" t="s">
        <v>59</v>
      </c>
      <c r="M82" s="593" t="s">
        <v>57</v>
      </c>
      <c r="N82" s="604" t="s">
        <v>57</v>
      </c>
      <c r="O82" s="439"/>
      <c r="P82" s="439"/>
      <c r="Q82" s="439"/>
      <c r="R82" s="293"/>
      <c r="S82" s="291"/>
      <c r="T82" s="292"/>
      <c r="U82" s="293"/>
      <c r="V82" s="291"/>
      <c r="W82" s="294"/>
      <c r="X82" s="290"/>
      <c r="Y82" s="291"/>
      <c r="Z82" s="295"/>
      <c r="AA82" s="290"/>
      <c r="AB82" s="291"/>
      <c r="AC82" s="295"/>
      <c r="AD82" s="296"/>
      <c r="AE82" s="297"/>
      <c r="AF82" s="292"/>
    </row>
    <row r="83" spans="1:32" ht="15">
      <c r="A83" s="773"/>
      <c r="B83" s="445" t="s">
        <v>231</v>
      </c>
      <c r="C83" s="544" t="s">
        <v>350</v>
      </c>
      <c r="D83" s="544" t="s">
        <v>528</v>
      </c>
      <c r="E83" s="630" t="s">
        <v>233</v>
      </c>
      <c r="F83" s="592"/>
      <c r="G83" s="190"/>
      <c r="H83" s="190"/>
      <c r="I83" s="191"/>
      <c r="J83" s="192"/>
      <c r="K83" s="603" t="s">
        <v>59</v>
      </c>
      <c r="L83" s="603" t="s">
        <v>59</v>
      </c>
      <c r="M83" s="593" t="s">
        <v>57</v>
      </c>
      <c r="N83" s="604" t="s">
        <v>57</v>
      </c>
      <c r="O83" s="439"/>
      <c r="P83" s="439"/>
      <c r="Q83" s="439"/>
      <c r="R83" s="293"/>
      <c r="S83" s="291"/>
      <c r="T83" s="292"/>
      <c r="U83" s="293"/>
      <c r="V83" s="291"/>
      <c r="W83" s="294"/>
      <c r="X83" s="290"/>
      <c r="Y83" s="291"/>
      <c r="Z83" s="295"/>
      <c r="AA83" s="290"/>
      <c r="AB83" s="291"/>
      <c r="AC83" s="295"/>
      <c r="AD83" s="296"/>
      <c r="AE83" s="297"/>
      <c r="AF83" s="292"/>
    </row>
    <row r="84" spans="1:32" ht="15">
      <c r="A84" s="773"/>
      <c r="B84" s="445" t="s">
        <v>231</v>
      </c>
      <c r="C84" s="544" t="s">
        <v>349</v>
      </c>
      <c r="D84" s="544" t="s">
        <v>529</v>
      </c>
      <c r="E84" s="630" t="s">
        <v>261</v>
      </c>
      <c r="F84" s="592"/>
      <c r="G84" s="190"/>
      <c r="H84" s="190"/>
      <c r="I84" s="191"/>
      <c r="J84" s="192"/>
      <c r="K84" s="603" t="s">
        <v>59</v>
      </c>
      <c r="L84" s="603" t="s">
        <v>59</v>
      </c>
      <c r="M84" s="593" t="s">
        <v>57</v>
      </c>
      <c r="N84" s="604" t="s">
        <v>57</v>
      </c>
      <c r="O84" s="439"/>
      <c r="P84" s="439"/>
      <c r="Q84" s="439"/>
      <c r="R84" s="293"/>
      <c r="S84" s="291"/>
      <c r="T84" s="292"/>
      <c r="U84" s="293"/>
      <c r="V84" s="291"/>
      <c r="W84" s="294"/>
      <c r="X84" s="290"/>
      <c r="Y84" s="291"/>
      <c r="Z84" s="295"/>
      <c r="AA84" s="290"/>
      <c r="AB84" s="291"/>
      <c r="AC84" s="295"/>
      <c r="AD84" s="296"/>
      <c r="AE84" s="297"/>
      <c r="AF84" s="292"/>
    </row>
    <row r="85" spans="1:32" ht="15">
      <c r="A85" s="773"/>
      <c r="B85" s="445" t="s">
        <v>231</v>
      </c>
      <c r="C85" s="544" t="s">
        <v>397</v>
      </c>
      <c r="D85" s="544" t="s">
        <v>530</v>
      </c>
      <c r="E85" s="630" t="s">
        <v>262</v>
      </c>
      <c r="F85" s="592"/>
      <c r="G85" s="190"/>
      <c r="H85" s="190"/>
      <c r="I85" s="191"/>
      <c r="J85" s="192"/>
      <c r="K85" s="603" t="s">
        <v>59</v>
      </c>
      <c r="L85" s="603" t="s">
        <v>59</v>
      </c>
      <c r="M85" s="593" t="s">
        <v>57</v>
      </c>
      <c r="N85" s="604" t="s">
        <v>57</v>
      </c>
      <c r="O85" s="439"/>
      <c r="P85" s="439"/>
      <c r="Q85" s="439"/>
      <c r="R85" s="293"/>
      <c r="S85" s="291"/>
      <c r="T85" s="292"/>
      <c r="U85" s="293"/>
      <c r="V85" s="291"/>
      <c r="W85" s="294"/>
      <c r="X85" s="290"/>
      <c r="Y85" s="291"/>
      <c r="Z85" s="295"/>
      <c r="AA85" s="290"/>
      <c r="AB85" s="291"/>
      <c r="AC85" s="295"/>
      <c r="AD85" s="296"/>
      <c r="AE85" s="297"/>
      <c r="AF85" s="292"/>
    </row>
    <row r="86" spans="1:32" ht="24">
      <c r="A86" s="773"/>
      <c r="B86" s="445" t="s">
        <v>231</v>
      </c>
      <c r="C86" s="544" t="s">
        <v>398</v>
      </c>
      <c r="D86" s="544" t="s">
        <v>531</v>
      </c>
      <c r="E86" s="630" t="s">
        <v>401</v>
      </c>
      <c r="F86" s="592" t="s">
        <v>59</v>
      </c>
      <c r="G86" s="190"/>
      <c r="H86" s="190"/>
      <c r="I86" s="191"/>
      <c r="J86" s="192"/>
      <c r="K86" s="603" t="s">
        <v>59</v>
      </c>
      <c r="L86" s="603" t="s">
        <v>59</v>
      </c>
      <c r="M86" s="593" t="s">
        <v>59</v>
      </c>
      <c r="N86" s="604" t="s">
        <v>59</v>
      </c>
      <c r="O86" s="439"/>
      <c r="P86" s="439"/>
      <c r="Q86" s="439"/>
      <c r="R86" s="293"/>
      <c r="S86" s="291"/>
      <c r="T86" s="292"/>
      <c r="U86" s="293"/>
      <c r="V86" s="291"/>
      <c r="W86" s="294"/>
      <c r="X86" s="290"/>
      <c r="Y86" s="291"/>
      <c r="Z86" s="295"/>
      <c r="AA86" s="290"/>
      <c r="AB86" s="291"/>
      <c r="AC86" s="295"/>
      <c r="AD86" s="296"/>
      <c r="AE86" s="297"/>
      <c r="AF86" s="292"/>
    </row>
    <row r="87" spans="1:32" ht="15">
      <c r="A87" s="773"/>
      <c r="B87" s="445" t="s">
        <v>231</v>
      </c>
      <c r="C87" s="544" t="s">
        <v>399</v>
      </c>
      <c r="D87" s="544" t="s">
        <v>532</v>
      </c>
      <c r="E87" s="630" t="s">
        <v>402</v>
      </c>
      <c r="F87" s="592"/>
      <c r="G87" s="190"/>
      <c r="H87" s="190"/>
      <c r="I87" s="191"/>
      <c r="J87" s="192"/>
      <c r="K87" s="603" t="s">
        <v>59</v>
      </c>
      <c r="L87" s="603" t="s">
        <v>59</v>
      </c>
      <c r="M87" s="593" t="s">
        <v>57</v>
      </c>
      <c r="N87" s="604" t="s">
        <v>57</v>
      </c>
      <c r="O87" s="439"/>
      <c r="P87" s="439"/>
      <c r="Q87" s="439"/>
      <c r="R87" s="293"/>
      <c r="S87" s="291"/>
      <c r="T87" s="292"/>
      <c r="U87" s="293"/>
      <c r="V87" s="291"/>
      <c r="W87" s="294"/>
      <c r="X87" s="290"/>
      <c r="Y87" s="291"/>
      <c r="Z87" s="295"/>
      <c r="AA87" s="290"/>
      <c r="AB87" s="291"/>
      <c r="AC87" s="295"/>
      <c r="AD87" s="296"/>
      <c r="AE87" s="297"/>
      <c r="AF87" s="292"/>
    </row>
    <row r="88" spans="1:32" ht="15">
      <c r="A88" s="774"/>
      <c r="B88" s="445" t="s">
        <v>231</v>
      </c>
      <c r="C88" s="544" t="s">
        <v>560</v>
      </c>
      <c r="D88" s="544" t="s">
        <v>562</v>
      </c>
      <c r="E88" s="630" t="s">
        <v>561</v>
      </c>
      <c r="F88" s="597"/>
      <c r="G88" s="576"/>
      <c r="H88" s="576"/>
      <c r="I88" s="577"/>
      <c r="J88" s="578"/>
      <c r="K88" s="618" t="s">
        <v>57</v>
      </c>
      <c r="L88" s="597" t="s">
        <v>57</v>
      </c>
      <c r="M88" s="597" t="s">
        <v>57</v>
      </c>
      <c r="N88" s="619" t="s">
        <v>57</v>
      </c>
      <c r="O88" s="579"/>
      <c r="P88" s="579"/>
      <c r="Q88" s="579"/>
      <c r="R88" s="293"/>
      <c r="S88" s="291"/>
      <c r="T88" s="292"/>
      <c r="U88" s="293"/>
      <c r="V88" s="291"/>
      <c r="W88" s="294"/>
      <c r="X88" s="290"/>
      <c r="Y88" s="291"/>
      <c r="Z88" s="295"/>
      <c r="AA88" s="290"/>
      <c r="AB88" s="291"/>
      <c r="AC88" s="295"/>
      <c r="AD88" s="296"/>
      <c r="AE88" s="297"/>
      <c r="AF88" s="292"/>
    </row>
    <row r="89" spans="1:32" s="477" customFormat="1" ht="15.75">
      <c r="A89" s="543"/>
      <c r="B89" s="769" t="s">
        <v>453</v>
      </c>
      <c r="C89" s="770"/>
      <c r="D89" s="770"/>
      <c r="E89" s="770"/>
      <c r="F89" s="599"/>
      <c r="G89" s="465"/>
      <c r="H89" s="466"/>
      <c r="I89" s="467"/>
      <c r="J89" s="467"/>
      <c r="K89" s="620"/>
      <c r="L89" s="621"/>
      <c r="M89" s="621"/>
      <c r="N89" s="622"/>
      <c r="O89" s="468"/>
      <c r="P89" s="468"/>
      <c r="Q89" s="468"/>
      <c r="R89" s="469"/>
      <c r="S89" s="470"/>
      <c r="T89" s="471"/>
      <c r="U89" s="469"/>
      <c r="V89" s="470"/>
      <c r="W89" s="472"/>
      <c r="X89" s="473"/>
      <c r="Y89" s="470"/>
      <c r="Z89" s="474"/>
      <c r="AA89" s="473"/>
      <c r="AB89" s="470"/>
      <c r="AC89" s="474"/>
      <c r="AD89" s="475"/>
      <c r="AE89" s="476"/>
      <c r="AF89" s="471"/>
    </row>
    <row r="90" spans="1:32" ht="48">
      <c r="A90" s="771" t="s">
        <v>454</v>
      </c>
      <c r="B90" s="281" t="s">
        <v>231</v>
      </c>
      <c r="C90" s="186" t="s">
        <v>363</v>
      </c>
      <c r="D90" s="186" t="s">
        <v>522</v>
      </c>
      <c r="E90" s="189" t="s">
        <v>380</v>
      </c>
      <c r="F90" s="592"/>
      <c r="G90" s="190"/>
      <c r="H90" s="190"/>
      <c r="I90" s="191"/>
      <c r="J90" s="192"/>
      <c r="K90" s="603" t="s">
        <v>59</v>
      </c>
      <c r="L90" s="603" t="s">
        <v>59</v>
      </c>
      <c r="M90" s="593" t="s">
        <v>57</v>
      </c>
      <c r="N90" s="604" t="s">
        <v>57</v>
      </c>
      <c r="O90" s="439"/>
      <c r="P90" s="439"/>
      <c r="Q90" s="439"/>
      <c r="R90" s="293"/>
      <c r="S90" s="291"/>
      <c r="T90" s="292"/>
      <c r="U90" s="293"/>
      <c r="V90" s="291"/>
      <c r="W90" s="294"/>
      <c r="X90" s="290"/>
      <c r="Y90" s="291"/>
      <c r="Z90" s="295"/>
      <c r="AA90" s="290"/>
      <c r="AB90" s="291"/>
      <c r="AC90" s="295"/>
      <c r="AD90" s="296"/>
      <c r="AE90" s="297"/>
      <c r="AF90" s="292"/>
    </row>
    <row r="91" spans="1:32" ht="15">
      <c r="A91" s="771"/>
      <c r="B91" s="281" t="s">
        <v>231</v>
      </c>
      <c r="C91" s="186" t="s">
        <v>363</v>
      </c>
      <c r="D91" s="446" t="s">
        <v>363</v>
      </c>
      <c r="E91" s="189" t="s">
        <v>381</v>
      </c>
      <c r="F91" s="592" t="s">
        <v>59</v>
      </c>
      <c r="G91" s="190"/>
      <c r="H91" s="190"/>
      <c r="I91" s="191"/>
      <c r="J91" s="192"/>
      <c r="K91" s="603" t="s">
        <v>59</v>
      </c>
      <c r="L91" s="593" t="s">
        <v>59</v>
      </c>
      <c r="M91" s="593" t="s">
        <v>59</v>
      </c>
      <c r="N91" s="604" t="s">
        <v>59</v>
      </c>
      <c r="O91" s="439"/>
      <c r="P91" s="439"/>
      <c r="Q91" s="439"/>
      <c r="R91" s="293"/>
      <c r="S91" s="291"/>
      <c r="T91" s="292"/>
      <c r="U91" s="293"/>
      <c r="V91" s="291"/>
      <c r="W91" s="294"/>
      <c r="X91" s="290"/>
      <c r="Y91" s="291"/>
      <c r="Z91" s="295"/>
      <c r="AA91" s="290"/>
      <c r="AB91" s="291"/>
      <c r="AC91" s="295"/>
      <c r="AD91" s="296"/>
      <c r="AE91" s="297"/>
      <c r="AF91" s="292"/>
    </row>
    <row r="92" spans="1:32" ht="48">
      <c r="A92" s="771"/>
      <c r="B92" s="281" t="s">
        <v>231</v>
      </c>
      <c r="C92" s="186" t="s">
        <v>363</v>
      </c>
      <c r="D92" s="186" t="s">
        <v>523</v>
      </c>
      <c r="E92" s="234" t="s">
        <v>382</v>
      </c>
      <c r="F92" s="592"/>
      <c r="G92" s="190"/>
      <c r="H92" s="190"/>
      <c r="I92" s="191"/>
      <c r="J92" s="192"/>
      <c r="K92" s="603" t="s">
        <v>59</v>
      </c>
      <c r="L92" s="603" t="s">
        <v>59</v>
      </c>
      <c r="M92" s="593" t="s">
        <v>57</v>
      </c>
      <c r="N92" s="604" t="s">
        <v>57</v>
      </c>
      <c r="O92" s="439"/>
      <c r="P92" s="439"/>
      <c r="Q92" s="439"/>
      <c r="R92" s="293"/>
      <c r="S92" s="291"/>
      <c r="T92" s="292"/>
      <c r="U92" s="293"/>
      <c r="V92" s="291"/>
      <c r="W92" s="294"/>
      <c r="X92" s="290"/>
      <c r="Y92" s="291"/>
      <c r="Z92" s="295"/>
      <c r="AA92" s="290"/>
      <c r="AB92" s="291"/>
      <c r="AC92" s="295"/>
      <c r="AD92" s="296"/>
      <c r="AE92" s="297"/>
      <c r="AF92" s="292"/>
    </row>
    <row r="93" spans="1:32" ht="15">
      <c r="A93" s="771"/>
      <c r="B93" s="281" t="s">
        <v>231</v>
      </c>
      <c r="C93" s="186" t="s">
        <v>363</v>
      </c>
      <c r="D93" s="446" t="s">
        <v>363</v>
      </c>
      <c r="E93" s="187" t="s">
        <v>403</v>
      </c>
      <c r="F93" s="592" t="s">
        <v>59</v>
      </c>
      <c r="G93" s="190"/>
      <c r="H93" s="190"/>
      <c r="I93" s="191"/>
      <c r="J93" s="192"/>
      <c r="K93" s="603" t="s">
        <v>59</v>
      </c>
      <c r="L93" s="593" t="s">
        <v>59</v>
      </c>
      <c r="M93" s="593" t="s">
        <v>59</v>
      </c>
      <c r="N93" s="604" t="s">
        <v>59</v>
      </c>
      <c r="O93" s="439"/>
      <c r="P93" s="439"/>
      <c r="Q93" s="439"/>
      <c r="R93" s="293"/>
      <c r="S93" s="291"/>
      <c r="T93" s="292"/>
      <c r="U93" s="293"/>
      <c r="V93" s="291"/>
      <c r="W93" s="294"/>
      <c r="X93" s="290"/>
      <c r="Y93" s="291"/>
      <c r="Z93" s="295"/>
      <c r="AA93" s="290"/>
      <c r="AB93" s="291"/>
      <c r="AC93" s="295"/>
      <c r="AD93" s="296"/>
      <c r="AE93" s="297"/>
      <c r="AF93" s="292"/>
    </row>
    <row r="94" spans="1:32" s="501" customFormat="1" ht="15.75" customHeight="1">
      <c r="A94" s="542"/>
      <c r="B94" s="785" t="s">
        <v>455</v>
      </c>
      <c r="C94" s="786"/>
      <c r="D94" s="786"/>
      <c r="E94" s="787"/>
      <c r="F94" s="600"/>
      <c r="G94" s="489"/>
      <c r="H94" s="490"/>
      <c r="I94" s="491"/>
      <c r="J94" s="491"/>
      <c r="K94" s="623"/>
      <c r="L94" s="624"/>
      <c r="M94" s="624"/>
      <c r="N94" s="625"/>
      <c r="O94" s="492"/>
      <c r="P94" s="492"/>
      <c r="Q94" s="492"/>
      <c r="R94" s="493"/>
      <c r="S94" s="494"/>
      <c r="T94" s="495"/>
      <c r="U94" s="493"/>
      <c r="V94" s="494"/>
      <c r="W94" s="496"/>
      <c r="X94" s="497"/>
      <c r="Y94" s="494"/>
      <c r="Z94" s="498"/>
      <c r="AA94" s="497"/>
      <c r="AB94" s="494"/>
      <c r="AC94" s="498"/>
      <c r="AD94" s="499"/>
      <c r="AE94" s="500"/>
      <c r="AF94" s="495"/>
    </row>
    <row r="95" spans="1:32" ht="15">
      <c r="A95" s="778" t="s">
        <v>456</v>
      </c>
      <c r="B95" s="508" t="s">
        <v>231</v>
      </c>
      <c r="C95" s="509" t="s">
        <v>363</v>
      </c>
      <c r="D95" s="587" t="s">
        <v>232</v>
      </c>
      <c r="E95" s="515" t="s">
        <v>392</v>
      </c>
      <c r="F95" s="601" t="s">
        <v>59</v>
      </c>
      <c r="G95" s="588"/>
      <c r="H95" s="588"/>
      <c r="I95" s="589"/>
      <c r="J95" s="590"/>
      <c r="K95" s="605" t="s">
        <v>59</v>
      </c>
      <c r="L95" s="605" t="s">
        <v>59</v>
      </c>
      <c r="M95" s="605" t="s">
        <v>59</v>
      </c>
      <c r="N95" s="604" t="s">
        <v>59</v>
      </c>
      <c r="O95" s="514"/>
      <c r="P95" s="514"/>
      <c r="Q95" s="514"/>
      <c r="R95" s="293"/>
      <c r="S95" s="291"/>
      <c r="T95" s="292"/>
      <c r="U95" s="293"/>
      <c r="V95" s="291"/>
      <c r="W95" s="294"/>
      <c r="X95" s="290"/>
      <c r="Y95" s="291"/>
      <c r="Z95" s="295"/>
      <c r="AA95" s="290"/>
      <c r="AB95" s="291"/>
      <c r="AC95" s="295"/>
      <c r="AD95" s="296"/>
      <c r="AE95" s="297"/>
      <c r="AF95" s="292"/>
    </row>
    <row r="96" spans="1:32" ht="15">
      <c r="A96" s="778"/>
      <c r="B96" s="281" t="s">
        <v>231</v>
      </c>
      <c r="C96" s="186" t="s">
        <v>363</v>
      </c>
      <c r="D96" s="186" t="s">
        <v>524</v>
      </c>
      <c r="E96" s="189" t="s">
        <v>393</v>
      </c>
      <c r="F96" s="592"/>
      <c r="G96" s="190"/>
      <c r="H96" s="190"/>
      <c r="I96" s="191"/>
      <c r="J96" s="192"/>
      <c r="K96" s="603" t="s">
        <v>59</v>
      </c>
      <c r="L96" s="603" t="s">
        <v>59</v>
      </c>
      <c r="M96" s="593" t="s">
        <v>57</v>
      </c>
      <c r="N96" s="604" t="s">
        <v>57</v>
      </c>
      <c r="O96" s="439"/>
      <c r="P96" s="439"/>
      <c r="Q96" s="439"/>
      <c r="R96" s="293"/>
      <c r="S96" s="291"/>
      <c r="T96" s="292"/>
      <c r="U96" s="293"/>
      <c r="V96" s="291"/>
      <c r="W96" s="294"/>
      <c r="X96" s="290"/>
      <c r="Y96" s="291"/>
      <c r="Z96" s="295"/>
      <c r="AA96" s="290"/>
      <c r="AB96" s="291"/>
      <c r="AC96" s="295"/>
      <c r="AD96" s="296"/>
      <c r="AE96" s="297"/>
      <c r="AF96" s="292"/>
    </row>
    <row r="97" spans="1:32" ht="15">
      <c r="A97" s="778"/>
      <c r="B97" s="281" t="s">
        <v>231</v>
      </c>
      <c r="C97" s="186" t="s">
        <v>363</v>
      </c>
      <c r="D97" s="446" t="s">
        <v>363</v>
      </c>
      <c r="E97" s="234" t="s">
        <v>413</v>
      </c>
      <c r="F97" s="592" t="s">
        <v>59</v>
      </c>
      <c r="G97" s="190"/>
      <c r="H97" s="190"/>
      <c r="I97" s="191"/>
      <c r="J97" s="192"/>
      <c r="K97" s="603" t="s">
        <v>59</v>
      </c>
      <c r="L97" s="593" t="s">
        <v>59</v>
      </c>
      <c r="M97" s="593" t="s">
        <v>59</v>
      </c>
      <c r="N97" s="604" t="s">
        <v>59</v>
      </c>
      <c r="O97" s="439"/>
      <c r="P97" s="439"/>
      <c r="Q97" s="439"/>
      <c r="R97" s="293"/>
      <c r="S97" s="291"/>
      <c r="T97" s="292"/>
      <c r="U97" s="293"/>
      <c r="V97" s="291"/>
      <c r="W97" s="294"/>
      <c r="X97" s="290"/>
      <c r="Y97" s="291"/>
      <c r="Z97" s="295"/>
      <c r="AA97" s="290"/>
      <c r="AB97" s="291"/>
      <c r="AC97" s="295"/>
      <c r="AD97" s="296"/>
      <c r="AE97" s="297"/>
      <c r="AF97" s="292"/>
    </row>
    <row r="98" spans="1:32" ht="15">
      <c r="A98" s="778"/>
      <c r="B98" s="281" t="s">
        <v>231</v>
      </c>
      <c r="C98" s="186" t="s">
        <v>363</v>
      </c>
      <c r="D98" s="186" t="s">
        <v>525</v>
      </c>
      <c r="E98" s="234" t="s">
        <v>394</v>
      </c>
      <c r="F98" s="592"/>
      <c r="G98" s="190"/>
      <c r="H98" s="190"/>
      <c r="I98" s="191"/>
      <c r="J98" s="192"/>
      <c r="K98" s="603" t="s">
        <v>59</v>
      </c>
      <c r="L98" s="603" t="s">
        <v>59</v>
      </c>
      <c r="M98" s="593" t="s">
        <v>57</v>
      </c>
      <c r="N98" s="604" t="s">
        <v>57</v>
      </c>
      <c r="O98" s="439"/>
      <c r="P98" s="439"/>
      <c r="Q98" s="439"/>
      <c r="R98" s="293"/>
      <c r="S98" s="291"/>
      <c r="T98" s="292"/>
      <c r="U98" s="293"/>
      <c r="V98" s="291"/>
      <c r="W98" s="294"/>
      <c r="X98" s="290"/>
      <c r="Y98" s="291"/>
      <c r="Z98" s="295"/>
      <c r="AA98" s="290"/>
      <c r="AB98" s="291"/>
      <c r="AC98" s="295"/>
      <c r="AD98" s="296"/>
      <c r="AE98" s="297"/>
      <c r="AF98" s="292"/>
    </row>
    <row r="99" spans="1:32" s="488" customFormat="1" ht="15.75">
      <c r="A99" s="478"/>
      <c r="B99" s="775" t="s">
        <v>457</v>
      </c>
      <c r="C99" s="776"/>
      <c r="D99" s="776"/>
      <c r="E99" s="777"/>
      <c r="F99" s="602"/>
      <c r="G99" s="540"/>
      <c r="H99" s="539"/>
      <c r="I99" s="516"/>
      <c r="J99" s="516"/>
      <c r="K99" s="626"/>
      <c r="L99" s="627"/>
      <c r="M99" s="627"/>
      <c r="N99" s="628"/>
      <c r="O99" s="479"/>
      <c r="P99" s="479"/>
      <c r="Q99" s="479"/>
      <c r="R99" s="480"/>
      <c r="S99" s="481"/>
      <c r="T99" s="482"/>
      <c r="U99" s="480"/>
      <c r="V99" s="481"/>
      <c r="W99" s="483"/>
      <c r="X99" s="484"/>
      <c r="Y99" s="481"/>
      <c r="Z99" s="485"/>
      <c r="AA99" s="484"/>
      <c r="AB99" s="481"/>
      <c r="AC99" s="485"/>
      <c r="AD99" s="486"/>
      <c r="AE99" s="487"/>
      <c r="AF99" s="482"/>
    </row>
    <row r="100" spans="1:32" ht="66">
      <c r="A100" s="537" t="s">
        <v>395</v>
      </c>
      <c r="B100" s="508" t="s">
        <v>231</v>
      </c>
      <c r="C100" s="591" t="s">
        <v>404</v>
      </c>
      <c r="D100" s="587" t="s">
        <v>232</v>
      </c>
      <c r="E100" s="515" t="s">
        <v>396</v>
      </c>
      <c r="F100" s="601" t="s">
        <v>59</v>
      </c>
      <c r="G100" s="588"/>
      <c r="H100" s="588"/>
      <c r="I100" s="589"/>
      <c r="J100" s="590"/>
      <c r="K100" s="603" t="s">
        <v>59</v>
      </c>
      <c r="L100" s="593" t="s">
        <v>59</v>
      </c>
      <c r="M100" s="593" t="s">
        <v>59</v>
      </c>
      <c r="N100" s="604" t="s">
        <v>59</v>
      </c>
      <c r="O100" s="514"/>
      <c r="P100" s="514"/>
      <c r="Q100" s="514"/>
      <c r="R100" s="293"/>
      <c r="S100" s="291"/>
      <c r="T100" s="292"/>
      <c r="U100" s="293"/>
      <c r="V100" s="291"/>
      <c r="W100" s="294"/>
      <c r="X100" s="290"/>
      <c r="Y100" s="291"/>
      <c r="Z100" s="295"/>
      <c r="AA100" s="290"/>
      <c r="AB100" s="291"/>
      <c r="AC100" s="295"/>
      <c r="AD100" s="296"/>
      <c r="AE100" s="297"/>
      <c r="AF100" s="292"/>
    </row>
  </sheetData>
  <sheetProtection algorithmName="SHA-512" hashValue="+oD4QU1/qMP/obRCjgIRHBS50ghc9TicxU9KZgoxPFbRjlZhAxc8H5+P+uaIhCiYnO4T2asTVvcCjWtO/qjClg==" saltValue="Aod4v48efFsPloDt6JoD1A==" spinCount="100000" sheet="1" objects="1" scenarios="1"/>
  <protectedRanges>
    <protectedRange algorithmName="SHA-512" hashValue="BmWSCdDzKDQXucfUSwOKFhzZ4CX10HxeW4nRpjC0+0G3ZtJWHkvw4UqhAKa6Wc+SwZZNUmdxk4sdI0C/6754DQ==" saltValue="hjzYyKAx8b2lkKzUT9R2zw==" spinCount="100000" sqref="F4:F100" name="Applicabilité"/>
  </protectedRanges>
  <mergeCells count="52">
    <mergeCell ref="B99:E99"/>
    <mergeCell ref="A95:A98"/>
    <mergeCell ref="A72:A80"/>
    <mergeCell ref="A66:A70"/>
    <mergeCell ref="O2:Q2"/>
    <mergeCell ref="O4:O6"/>
    <mergeCell ref="P4:P6"/>
    <mergeCell ref="Q4:Q6"/>
    <mergeCell ref="A8:A29"/>
    <mergeCell ref="A30:A35"/>
    <mergeCell ref="A36:A41"/>
    <mergeCell ref="A42:A43"/>
    <mergeCell ref="B45:E45"/>
    <mergeCell ref="B94:E94"/>
    <mergeCell ref="B71:E71"/>
    <mergeCell ref="B47:E47"/>
    <mergeCell ref="A57:A65"/>
    <mergeCell ref="A48:A56"/>
    <mergeCell ref="B89:E89"/>
    <mergeCell ref="A90:A93"/>
    <mergeCell ref="A81:A88"/>
    <mergeCell ref="X3:AC3"/>
    <mergeCell ref="AD3:AF3"/>
    <mergeCell ref="AD4:AF4"/>
    <mergeCell ref="X4:Z4"/>
    <mergeCell ref="AA4:AC4"/>
    <mergeCell ref="S3:W3"/>
    <mergeCell ref="B7:E7"/>
    <mergeCell ref="R5:S5"/>
    <mergeCell ref="M4:M6"/>
    <mergeCell ref="N4:N6"/>
    <mergeCell ref="G4:G6"/>
    <mergeCell ref="H4:H6"/>
    <mergeCell ref="R4:T4"/>
    <mergeCell ref="U5:V5"/>
    <mergeCell ref="U4:W4"/>
    <mergeCell ref="B1:E1"/>
    <mergeCell ref="B2:E2"/>
    <mergeCell ref="F2:N2"/>
    <mergeCell ref="R2:AF2"/>
    <mergeCell ref="I4:I6"/>
    <mergeCell ref="J4:J6"/>
    <mergeCell ref="K4:K6"/>
    <mergeCell ref="L4:L6"/>
    <mergeCell ref="B4:B6"/>
    <mergeCell ref="C4:C6"/>
    <mergeCell ref="D4:D6"/>
    <mergeCell ref="E4:E6"/>
    <mergeCell ref="F4:F6"/>
    <mergeCell ref="X5:Y5"/>
    <mergeCell ref="AA5:AB5"/>
    <mergeCell ref="AD5:AE5"/>
  </mergeCells>
  <phoneticPr fontId="29" type="noConversion"/>
  <conditionalFormatting sqref="B2 B1:F1 B4:E6 C11:C25 E11:E25 K4:M4 F3:F7 K1:Q1 R1:XFD2 U4 X3 AD3 R3:R5 X4:AD4 B8:J8 E10:M10 R6:AF42 AG3:XFD42 C40:C42 B7 B101:XFD1048576 B74:C74 B75:B76 F72:J80 AG95:XFD98 B9:B44 AG90:XFD93 AG81:XFD88 U81:W98 D40:D41 F11:M19 N42:Q44 F46:XFD46 F48:Q48 F54:J56 B76:C88 K72:Q82 F49:K53 D53:E53 E54 E83:Q88 E81:J82 E74 E76:E80 E40:Q40 F41:Q41 E9:J9 K8:M9 N8:Q19 E90:Q93 F40:F41 F20:Q34 B90:C93 B95:C98 K66:W66 G63:J66 G67:W67 C26:E34 D35:Q39 D42:N42 D43:D44 E52 D72:D88 C57 F43:N44 B88:E88 O66:Q67 B62:D70 P66:Q70 K66:N70 D9:D27 C58:D61 B48:B61 K54:K60 T48:T65 O57:S65 AG57:XFD70 D56:D70 E57:J57 F63:F67 F58:J62 E58:E70 E95:Q98 L49:Q60 K61:Q65 F68:W70">
    <cfRule type="cellIs" dxfId="287" priority="604" operator="equal">
      <formula>"NA"</formula>
    </cfRule>
  </conditionalFormatting>
  <conditionalFormatting sqref="B8:J8 S45:AF45 O10:O44 R47:AF47 Q17:Q44 P9:P44 C49:C54 O81:Q88 B48:B54 O72:AF80 M52:AF54 E52:K52 B100:C100 M40:AF41 M35:AF35 M28:AF29 M20:AF20 C9:J9 K8:AF9 M91:Q91 M93:Q93 M97:Q97 R81:AF100 E98:Q98 B90:C93 B95:C98 D53:K53 C20:K20 C28:K29 D35:K35 C40:K41 D91:K91 D93:K93 D97:K97 K66:Q66 G63:J66 G67:Q67 C21:AF27 C30:AF34 D36:AF39 B55:C55 E54:J55 D90:Q90 D92:Q92 N46:AF46 B46 B9:B44 C42:AF44 B72:N88 R66:AF71 C10:AF19 M100:Q100 E100:K100 L49:L60 K54:K65 O55:AF65 B56:J57 F58:J62 F63:F67 B58:E70 E95:Q96 M55:N60 L61:N65 F68:Q70">
    <cfRule type="expression" dxfId="286" priority="603">
      <formula>$F8="NA"</formula>
    </cfRule>
  </conditionalFormatting>
  <conditionalFormatting sqref="G4:I7">
    <cfRule type="cellIs" dxfId="285" priority="592" operator="equal">
      <formula>"NA"</formula>
    </cfRule>
  </conditionalFormatting>
  <conditionalFormatting sqref="G1:J1">
    <cfRule type="cellIs" dxfId="284" priority="596" operator="equal">
      <formula>"NA"</formula>
    </cfRule>
  </conditionalFormatting>
  <conditionalFormatting sqref="J4:J7">
    <cfRule type="cellIs" dxfId="283" priority="593" operator="equal">
      <formula>"NA"</formula>
    </cfRule>
  </conditionalFormatting>
  <conditionalFormatting sqref="R43:AF44 S45:AF45 R47:S56 C49:C54 B72:C80 B48:B54 B55:C55 E55 E72:E80 C56:E56 C43:E44 R66:AF100 B56:B61 U47:AF65">
    <cfRule type="expression" dxfId="282" priority="584">
      <formula>$N43="NA"</formula>
    </cfRule>
  </conditionalFormatting>
  <conditionalFormatting sqref="L43:M44">
    <cfRule type="cellIs" dxfId="281" priority="501" operator="equal">
      <formula>"NA"</formula>
    </cfRule>
  </conditionalFormatting>
  <conditionalFormatting sqref="C9:C10">
    <cfRule type="cellIs" dxfId="280" priority="386" operator="equal">
      <formula>"NA"</formula>
    </cfRule>
  </conditionalFormatting>
  <conditionalFormatting sqref="C35:C39">
    <cfRule type="cellIs" dxfId="279" priority="384" operator="equal">
      <formula>"NA"</formula>
    </cfRule>
  </conditionalFormatting>
  <conditionalFormatting sqref="C35:C39">
    <cfRule type="expression" dxfId="278" priority="383">
      <formula>$F35="NA"</formula>
    </cfRule>
  </conditionalFormatting>
  <conditionalFormatting sqref="D43:D44">
    <cfRule type="cellIs" dxfId="277" priority="361" operator="equal">
      <formula>"NA"</formula>
    </cfRule>
  </conditionalFormatting>
  <conditionalFormatting sqref="R43:T44 S45:T45 R47:S56 R66:T98">
    <cfRule type="expression" dxfId="276" priority="709">
      <formula>$R$5="NA"</formula>
    </cfRule>
  </conditionalFormatting>
  <conditionalFormatting sqref="AD5">
    <cfRule type="cellIs" dxfId="275" priority="311" operator="equal">
      <formula>"NA"</formula>
    </cfRule>
  </conditionalFormatting>
  <conditionalFormatting sqref="T5">
    <cfRule type="cellIs" dxfId="274" priority="335" operator="equal">
      <formula>"NA"</formula>
    </cfRule>
  </conditionalFormatting>
  <conditionalFormatting sqref="U43:W45 U47:W98">
    <cfRule type="expression" dxfId="273" priority="846">
      <formula>$U$5="NA"</formula>
    </cfRule>
  </conditionalFormatting>
  <conditionalFormatting sqref="X43:Z45 X47:Z98">
    <cfRule type="expression" dxfId="272" priority="849">
      <formula>$X$5="NA"</formula>
    </cfRule>
  </conditionalFormatting>
  <conditionalFormatting sqref="AA43:AC45 AA47:AC98">
    <cfRule type="expression" dxfId="271" priority="852">
      <formula>$AA$5="NA"</formula>
    </cfRule>
  </conditionalFormatting>
  <conditionalFormatting sqref="AD43:AF45 AD47:AF98">
    <cfRule type="expression" dxfId="270" priority="855">
      <formula>$AD$5="NA"</formula>
    </cfRule>
  </conditionalFormatting>
  <conditionalFormatting sqref="N4">
    <cfRule type="cellIs" dxfId="269" priority="333" operator="equal">
      <formula>"NA"</formula>
    </cfRule>
  </conditionalFormatting>
  <conditionalFormatting sqref="N43:Q44">
    <cfRule type="cellIs" dxfId="268" priority="325" operator="equal">
      <formula>"NA"</formula>
    </cfRule>
  </conditionalFormatting>
  <conditionalFormatting sqref="Z5">
    <cfRule type="cellIs" dxfId="267" priority="319" operator="equal">
      <formula>"NA"</formula>
    </cfRule>
  </conditionalFormatting>
  <conditionalFormatting sqref="W5">
    <cfRule type="cellIs" dxfId="266" priority="321" operator="equal">
      <formula>"NA"</formula>
    </cfRule>
  </conditionalFormatting>
  <conditionalFormatting sqref="AC5">
    <cfRule type="cellIs" dxfId="265" priority="317" operator="equal">
      <formula>"NA"</formula>
    </cfRule>
  </conditionalFormatting>
  <conditionalFormatting sqref="AF5">
    <cfRule type="cellIs" dxfId="264" priority="315" operator="equal">
      <formula>"NA"</formula>
    </cfRule>
  </conditionalFormatting>
  <conditionalFormatting sqref="X5:Y5">
    <cfRule type="cellIs" dxfId="263" priority="314" operator="equal">
      <formula>"NA"</formula>
    </cfRule>
  </conditionalFormatting>
  <conditionalFormatting sqref="U5">
    <cfRule type="cellIs" dxfId="262" priority="313" operator="equal">
      <formula>"NA"</formula>
    </cfRule>
  </conditionalFormatting>
  <conditionalFormatting sqref="AA5:AB5">
    <cfRule type="cellIs" dxfId="261" priority="312" operator="equal">
      <formula>"NA"</formula>
    </cfRule>
  </conditionalFormatting>
  <conditionalFormatting sqref="B71">
    <cfRule type="cellIs" dxfId="260" priority="292" operator="equal">
      <formula>"NA"</formula>
    </cfRule>
  </conditionalFormatting>
  <conditionalFormatting sqref="F71">
    <cfRule type="cellIs" dxfId="259" priority="291" operator="equal">
      <formula>"NA"</formula>
    </cfRule>
  </conditionalFormatting>
  <conditionalFormatting sqref="G71:I71">
    <cfRule type="cellIs" dxfId="258" priority="289" operator="equal">
      <formula>"NA"</formula>
    </cfRule>
  </conditionalFormatting>
  <conditionalFormatting sqref="J71">
    <cfRule type="cellIs" dxfId="257" priority="290" operator="equal">
      <formula>"NA"</formula>
    </cfRule>
  </conditionalFormatting>
  <conditionalFormatting sqref="F47 B47">
    <cfRule type="cellIs" dxfId="256" priority="288" operator="equal">
      <formula>"NA"</formula>
    </cfRule>
  </conditionalFormatting>
  <conditionalFormatting sqref="G47:I47">
    <cfRule type="cellIs" dxfId="255" priority="286" operator="equal">
      <formula>"NA"</formula>
    </cfRule>
  </conditionalFormatting>
  <conditionalFormatting sqref="J47">
    <cfRule type="cellIs" dxfId="254" priority="287" operator="equal">
      <formula>"NA"</formula>
    </cfRule>
  </conditionalFormatting>
  <conditionalFormatting sqref="F94 B94">
    <cfRule type="cellIs" dxfId="253" priority="283" operator="equal">
      <formula>"NA"</formula>
    </cfRule>
  </conditionalFormatting>
  <conditionalFormatting sqref="G94:I94">
    <cfRule type="cellIs" dxfId="252" priority="281" operator="equal">
      <formula>"NA"</formula>
    </cfRule>
  </conditionalFormatting>
  <conditionalFormatting sqref="J94">
    <cfRule type="cellIs" dxfId="251" priority="282" operator="equal">
      <formula>"NA"</formula>
    </cfRule>
  </conditionalFormatting>
  <conditionalFormatting sqref="E46">
    <cfRule type="cellIs" dxfId="250" priority="267" operator="equal">
      <formula>"NA"</formula>
    </cfRule>
  </conditionalFormatting>
  <conditionalFormatting sqref="E46:M46">
    <cfRule type="expression" dxfId="249" priority="266">
      <formula>$F46="NA"</formula>
    </cfRule>
  </conditionalFormatting>
  <conditionalFormatting sqref="F45 B45">
    <cfRule type="cellIs" dxfId="248" priority="262" operator="equal">
      <formula>"NA"</formula>
    </cfRule>
  </conditionalFormatting>
  <conditionalFormatting sqref="G45:I45">
    <cfRule type="cellIs" dxfId="247" priority="260" operator="equal">
      <formula>"NA"</formula>
    </cfRule>
  </conditionalFormatting>
  <conditionalFormatting sqref="J45">
    <cfRule type="cellIs" dxfId="246" priority="261" operator="equal">
      <formula>"NA"</formula>
    </cfRule>
  </conditionalFormatting>
  <conditionalFormatting sqref="B46">
    <cfRule type="cellIs" dxfId="245" priority="259" operator="equal">
      <formula>"NA"</formula>
    </cfRule>
  </conditionalFormatting>
  <conditionalFormatting sqref="T47">
    <cfRule type="cellIs" dxfId="244" priority="255" operator="equal">
      <formula>"NA"</formula>
    </cfRule>
  </conditionalFormatting>
  <conditionalFormatting sqref="B73">
    <cfRule type="cellIs" dxfId="243" priority="238" operator="equal">
      <formula>"NA"</formula>
    </cfRule>
  </conditionalFormatting>
  <conditionalFormatting sqref="B72:B80">
    <cfRule type="cellIs" dxfId="242" priority="233" operator="equal">
      <formula>"NA"</formula>
    </cfRule>
  </conditionalFormatting>
  <conditionalFormatting sqref="O4">
    <cfRule type="cellIs" dxfId="241" priority="230" operator="equal">
      <formula>"NA"</formula>
    </cfRule>
  </conditionalFormatting>
  <conditionalFormatting sqref="P4">
    <cfRule type="cellIs" dxfId="240" priority="229" operator="equal">
      <formula>"NA"</formula>
    </cfRule>
  </conditionalFormatting>
  <conditionalFormatting sqref="Q4">
    <cfRule type="cellIs" dxfId="239" priority="228" operator="equal">
      <formula>"NA"</formula>
    </cfRule>
  </conditionalFormatting>
  <conditionalFormatting sqref="Q8:Q44 Q95:Q98 Q90:Q93 Q72:Q88 Q48:Q70">
    <cfRule type="cellIs" dxfId="238" priority="224" operator="equal">
      <formula>"NOK"</formula>
    </cfRule>
    <cfRule type="cellIs" dxfId="237" priority="225" operator="equal">
      <formula>"OK"</formula>
    </cfRule>
  </conditionalFormatting>
  <conditionalFormatting sqref="Q46">
    <cfRule type="cellIs" dxfId="236" priority="223" operator="equal">
      <formula>"NA"</formula>
    </cfRule>
  </conditionalFormatting>
  <conditionalFormatting sqref="Q46">
    <cfRule type="cellIs" dxfId="235" priority="221" operator="equal">
      <formula>"NOK"</formula>
    </cfRule>
    <cfRule type="cellIs" dxfId="234" priority="222" operator="equal">
      <formula>"OK"</formula>
    </cfRule>
  </conditionalFormatting>
  <conditionalFormatting sqref="P46">
    <cfRule type="cellIs" dxfId="233" priority="208" operator="equal">
      <formula>"NA"</formula>
    </cfRule>
  </conditionalFormatting>
  <conditionalFormatting sqref="C48 E49:K51 K49:K52 M49:AF51 M49:N52 E48:AF48">
    <cfRule type="expression" dxfId="232" priority="195">
      <formula>$F48="NA"</formula>
    </cfRule>
  </conditionalFormatting>
  <conditionalFormatting sqref="C48 E48:E51">
    <cfRule type="expression" dxfId="231" priority="194">
      <formula>$N48="NA"</formula>
    </cfRule>
  </conditionalFormatting>
  <conditionalFormatting sqref="D53:E53 E52">
    <cfRule type="expression" dxfId="230" priority="184">
      <formula>$N52="NA"</formula>
    </cfRule>
  </conditionalFormatting>
  <conditionalFormatting sqref="C48:C54 E48:E51">
    <cfRule type="expression" dxfId="229" priority="898">
      <formula>#REF!="NA"</formula>
    </cfRule>
  </conditionalFormatting>
  <conditionalFormatting sqref="C48:C54 E48:E51">
    <cfRule type="expression" dxfId="228" priority="899">
      <formula>#REF!="NA"</formula>
    </cfRule>
  </conditionalFormatting>
  <conditionalFormatting sqref="C55:C56">
    <cfRule type="cellIs" dxfId="227" priority="183" operator="equal">
      <formula>"NA"</formula>
    </cfRule>
  </conditionalFormatting>
  <conditionalFormatting sqref="B73:B74">
    <cfRule type="cellIs" dxfId="226" priority="162" operator="equal">
      <formula>"NA"</formula>
    </cfRule>
  </conditionalFormatting>
  <conditionalFormatting sqref="B75:B77">
    <cfRule type="cellIs" dxfId="225" priority="160" operator="equal">
      <formula>"NA"</formula>
    </cfRule>
  </conditionalFormatting>
  <conditionalFormatting sqref="B72:C73 B72:B80 E72:E73">
    <cfRule type="expression" dxfId="224" priority="930">
      <formula>#REF!="NA"</formula>
    </cfRule>
  </conditionalFormatting>
  <conditionalFormatting sqref="B72:C74 B73:B80 E72:E74">
    <cfRule type="expression" dxfId="223" priority="943">
      <formula>#REF!="NA"</formula>
    </cfRule>
  </conditionalFormatting>
  <conditionalFormatting sqref="B75:C75 B75:B77 E75">
    <cfRule type="expression" dxfId="222" priority="955">
      <formula>#REF!="NA"</formula>
    </cfRule>
  </conditionalFormatting>
  <conditionalFormatting sqref="B75:C77 E75:E77">
    <cfRule type="expression" dxfId="221" priority="963">
      <formula>#REF!="NA"</formula>
    </cfRule>
  </conditionalFormatting>
  <conditionalFormatting sqref="B78:C80 E78:E80">
    <cfRule type="expression" dxfId="220" priority="977">
      <formula>#REF!="NA"</formula>
    </cfRule>
  </conditionalFormatting>
  <conditionalFormatting sqref="B78:C80 E78:E80">
    <cfRule type="expression" dxfId="219" priority="978">
      <formula>#REF!="NA"</formula>
    </cfRule>
  </conditionalFormatting>
  <conditionalFormatting sqref="AG100:XFD100 E100:J100 U99:W100 C100 O100:Q100">
    <cfRule type="cellIs" dxfId="218" priority="147" operator="equal">
      <formula>"NA"</formula>
    </cfRule>
  </conditionalFormatting>
  <conditionalFormatting sqref="R99:T100">
    <cfRule type="expression" dxfId="217" priority="148">
      <formula>$R$5="NA"</formula>
    </cfRule>
  </conditionalFormatting>
  <conditionalFormatting sqref="U99:W100">
    <cfRule type="expression" dxfId="216" priority="149">
      <formula>$U$5="NA"</formula>
    </cfRule>
  </conditionalFormatting>
  <conditionalFormatting sqref="X99:Z100">
    <cfRule type="expression" dxfId="215" priority="150">
      <formula>$X$5="NA"</formula>
    </cfRule>
  </conditionalFormatting>
  <conditionalFormatting sqref="AA99:AC100">
    <cfRule type="expression" dxfId="214" priority="151">
      <formula>$AA$5="NA"</formula>
    </cfRule>
  </conditionalFormatting>
  <conditionalFormatting sqref="AD99:AF100">
    <cfRule type="expression" dxfId="213" priority="152">
      <formula>$AD$5="NA"</formula>
    </cfRule>
  </conditionalFormatting>
  <conditionalFormatting sqref="F99 B99">
    <cfRule type="cellIs" dxfId="212" priority="142" operator="equal">
      <formula>"NA"</formula>
    </cfRule>
  </conditionalFormatting>
  <conditionalFormatting sqref="G99:I99">
    <cfRule type="cellIs" dxfId="211" priority="140" operator="equal">
      <formula>"NA"</formula>
    </cfRule>
  </conditionalFormatting>
  <conditionalFormatting sqref="J99">
    <cfRule type="cellIs" dxfId="210" priority="141" operator="equal">
      <formula>"NA"</formula>
    </cfRule>
  </conditionalFormatting>
  <conditionalFormatting sqref="B100">
    <cfRule type="cellIs" dxfId="209" priority="139" operator="equal">
      <formula>"NA"</formula>
    </cfRule>
  </conditionalFormatting>
  <conditionalFormatting sqref="Q100">
    <cfRule type="cellIs" dxfId="208" priority="137" operator="equal">
      <formula>"NA"</formula>
    </cfRule>
  </conditionalFormatting>
  <conditionalFormatting sqref="Q100">
    <cfRule type="cellIs" dxfId="207" priority="136" operator="equal">
      <formula>"NA"</formula>
    </cfRule>
  </conditionalFormatting>
  <conditionalFormatting sqref="Q100">
    <cfRule type="cellIs" dxfId="206" priority="134" operator="equal">
      <formula>"NOK"</formula>
    </cfRule>
    <cfRule type="cellIs" dxfId="205" priority="135" operator="equal">
      <formula>"OK"</formula>
    </cfRule>
  </conditionalFormatting>
  <conditionalFormatting sqref="P100">
    <cfRule type="cellIs" dxfId="204" priority="133" operator="equal">
      <formula>"NA"</formula>
    </cfRule>
  </conditionalFormatting>
  <conditionalFormatting sqref="P100">
    <cfRule type="cellIs" dxfId="203" priority="132" operator="equal">
      <formula>"NA"</formula>
    </cfRule>
  </conditionalFormatting>
  <conditionalFormatting sqref="F89 B89">
    <cfRule type="cellIs" dxfId="202" priority="129" operator="equal">
      <formula>"NA"</formula>
    </cfRule>
  </conditionalFormatting>
  <conditionalFormatting sqref="G89:I89">
    <cfRule type="cellIs" dxfId="201" priority="127" operator="equal">
      <formula>"NA"</formula>
    </cfRule>
  </conditionalFormatting>
  <conditionalFormatting sqref="J89">
    <cfRule type="cellIs" dxfId="200" priority="128" operator="equal">
      <formula>"NA"</formula>
    </cfRule>
  </conditionalFormatting>
  <conditionalFormatting sqref="H66 G67:J67">
    <cfRule type="cellIs" dxfId="199" priority="116" operator="equal">
      <formula>"NA"</formula>
    </cfRule>
  </conditionalFormatting>
  <conditionalFormatting sqref="E41">
    <cfRule type="expression" dxfId="198" priority="93">
      <formula>$N41="NA"</formula>
    </cfRule>
  </conditionalFormatting>
  <conditionalFormatting sqref="L40">
    <cfRule type="expression" dxfId="197" priority="78">
      <formula>$F40="NA"</formula>
    </cfRule>
  </conditionalFormatting>
  <conditionalFormatting sqref="L41">
    <cfRule type="expression" dxfId="196" priority="77">
      <formula>$F41="NA"</formula>
    </cfRule>
  </conditionalFormatting>
  <conditionalFormatting sqref="L35">
    <cfRule type="expression" dxfId="195" priority="76">
      <formula>$F35="NA"</formula>
    </cfRule>
  </conditionalFormatting>
  <conditionalFormatting sqref="L28">
    <cfRule type="expression" dxfId="194" priority="75">
      <formula>$F28="NA"</formula>
    </cfRule>
  </conditionalFormatting>
  <conditionalFormatting sqref="L29">
    <cfRule type="expression" dxfId="193" priority="74">
      <formula>$F29="NA"</formula>
    </cfRule>
  </conditionalFormatting>
  <conditionalFormatting sqref="L20">
    <cfRule type="expression" dxfId="192" priority="73">
      <formula>$F20="NA"</formula>
    </cfRule>
  </conditionalFormatting>
  <conditionalFormatting sqref="L91">
    <cfRule type="expression" dxfId="191" priority="72">
      <formula>$F91="NA"</formula>
    </cfRule>
  </conditionalFormatting>
  <conditionalFormatting sqref="L93">
    <cfRule type="expression" dxfId="190" priority="71">
      <formula>$F93="NA"</formula>
    </cfRule>
  </conditionalFormatting>
  <conditionalFormatting sqref="L97">
    <cfRule type="expression" dxfId="189" priority="70">
      <formula>$F97="NA"</formula>
    </cfRule>
  </conditionalFormatting>
  <conditionalFormatting sqref="D53">
    <cfRule type="expression" dxfId="188" priority="65">
      <formula>$N53="NA"</formula>
    </cfRule>
  </conditionalFormatting>
  <conditionalFormatting sqref="D53">
    <cfRule type="expression" dxfId="187" priority="66">
      <formula>#REF!="NA"</formula>
    </cfRule>
  </conditionalFormatting>
  <conditionalFormatting sqref="D53">
    <cfRule type="expression" dxfId="186" priority="67">
      <formula>#REF!="NA"</formula>
    </cfRule>
  </conditionalFormatting>
  <conditionalFormatting sqref="D20">
    <cfRule type="expression" dxfId="185" priority="62">
      <formula>$N20="NA"</formula>
    </cfRule>
  </conditionalFormatting>
  <conditionalFormatting sqref="D20">
    <cfRule type="expression" dxfId="184" priority="63">
      <formula>#REF!="NA"</formula>
    </cfRule>
  </conditionalFormatting>
  <conditionalFormatting sqref="D20">
    <cfRule type="expression" dxfId="183" priority="64">
      <formula>#REF!="NA"</formula>
    </cfRule>
  </conditionalFormatting>
  <conditionalFormatting sqref="D28">
    <cfRule type="expression" dxfId="182" priority="59">
      <formula>$N28="NA"</formula>
    </cfRule>
  </conditionalFormatting>
  <conditionalFormatting sqref="D28">
    <cfRule type="expression" dxfId="181" priority="60">
      <formula>#REF!="NA"</formula>
    </cfRule>
  </conditionalFormatting>
  <conditionalFormatting sqref="D28">
    <cfRule type="expression" dxfId="180" priority="61">
      <formula>#REF!="NA"</formula>
    </cfRule>
  </conditionalFormatting>
  <conditionalFormatting sqref="D29">
    <cfRule type="expression" dxfId="179" priority="56">
      <formula>$N29="NA"</formula>
    </cfRule>
  </conditionalFormatting>
  <conditionalFormatting sqref="D29">
    <cfRule type="expression" dxfId="178" priority="57">
      <formula>#REF!="NA"</formula>
    </cfRule>
  </conditionalFormatting>
  <conditionalFormatting sqref="D29">
    <cfRule type="expression" dxfId="177" priority="58">
      <formula>#REF!="NA"</formula>
    </cfRule>
  </conditionalFormatting>
  <conditionalFormatting sqref="D35">
    <cfRule type="expression" dxfId="176" priority="53">
      <formula>$N35="NA"</formula>
    </cfRule>
  </conditionalFormatting>
  <conditionalFormatting sqref="D35">
    <cfRule type="expression" dxfId="175" priority="54">
      <formula>#REF!="NA"</formula>
    </cfRule>
  </conditionalFormatting>
  <conditionalFormatting sqref="D35">
    <cfRule type="expression" dxfId="174" priority="55">
      <formula>#REF!="NA"</formula>
    </cfRule>
  </conditionalFormatting>
  <conditionalFormatting sqref="D40">
    <cfRule type="expression" dxfId="173" priority="50">
      <formula>$N40="NA"</formula>
    </cfRule>
  </conditionalFormatting>
  <conditionalFormatting sqref="D40">
    <cfRule type="expression" dxfId="172" priority="51">
      <formula>#REF!="NA"</formula>
    </cfRule>
  </conditionalFormatting>
  <conditionalFormatting sqref="D40">
    <cfRule type="expression" dxfId="171" priority="52">
      <formula>#REF!="NA"</formula>
    </cfRule>
  </conditionalFormatting>
  <conditionalFormatting sqref="D41">
    <cfRule type="expression" dxfId="170" priority="47">
      <formula>$N41="NA"</formula>
    </cfRule>
  </conditionalFormatting>
  <conditionalFormatting sqref="D41">
    <cfRule type="expression" dxfId="169" priority="48">
      <formula>#REF!="NA"</formula>
    </cfRule>
  </conditionalFormatting>
  <conditionalFormatting sqref="D41">
    <cfRule type="expression" dxfId="168" priority="49">
      <formula>#REF!="NA"</formula>
    </cfRule>
  </conditionalFormatting>
  <conditionalFormatting sqref="D56">
    <cfRule type="expression" dxfId="167" priority="45">
      <formula>#REF!="NA"</formula>
    </cfRule>
  </conditionalFormatting>
  <conditionalFormatting sqref="D56">
    <cfRule type="expression" dxfId="166" priority="46">
      <formula>#REF!="NA"</formula>
    </cfRule>
  </conditionalFormatting>
  <conditionalFormatting sqref="D91">
    <cfRule type="expression" dxfId="165" priority="42">
      <formula>$N91="NA"</formula>
    </cfRule>
  </conditionalFormatting>
  <conditionalFormatting sqref="D91">
    <cfRule type="expression" dxfId="164" priority="43">
      <formula>#REF!="NA"</formula>
    </cfRule>
  </conditionalFormatting>
  <conditionalFormatting sqref="D91">
    <cfRule type="expression" dxfId="163" priority="44">
      <formula>#REF!="NA"</formula>
    </cfRule>
  </conditionalFormatting>
  <conditionalFormatting sqref="D93">
    <cfRule type="expression" dxfId="162" priority="39">
      <formula>$N93="NA"</formula>
    </cfRule>
  </conditionalFormatting>
  <conditionalFormatting sqref="D93">
    <cfRule type="expression" dxfId="161" priority="40">
      <formula>#REF!="NA"</formula>
    </cfRule>
  </conditionalFormatting>
  <conditionalFormatting sqref="D93">
    <cfRule type="expression" dxfId="160" priority="41">
      <formula>#REF!="NA"</formula>
    </cfRule>
  </conditionalFormatting>
  <conditionalFormatting sqref="D97">
    <cfRule type="expression" dxfId="159" priority="36">
      <formula>$N97="NA"</formula>
    </cfRule>
  </conditionalFormatting>
  <conditionalFormatting sqref="D97">
    <cfRule type="expression" dxfId="158" priority="37">
      <formula>#REF!="NA"</formula>
    </cfRule>
  </conditionalFormatting>
  <conditionalFormatting sqref="D97">
    <cfRule type="expression" dxfId="157" priority="38">
      <formula>#REF!="NA"</formula>
    </cfRule>
  </conditionalFormatting>
  <conditionalFormatting sqref="L60">
    <cfRule type="expression" dxfId="156" priority="35">
      <formula>$F60="NA"</formula>
    </cfRule>
  </conditionalFormatting>
  <conditionalFormatting sqref="D90">
    <cfRule type="cellIs" dxfId="155" priority="24" operator="equal">
      <formula>"NA"</formula>
    </cfRule>
  </conditionalFormatting>
  <conditionalFormatting sqref="D92">
    <cfRule type="cellIs" dxfId="154" priority="23" operator="equal">
      <formula>"NA"</formula>
    </cfRule>
  </conditionalFormatting>
  <conditionalFormatting sqref="D96">
    <cfRule type="cellIs" dxfId="153" priority="22" operator="equal">
      <formula>"NA"</formula>
    </cfRule>
  </conditionalFormatting>
  <conditionalFormatting sqref="D96">
    <cfRule type="expression" dxfId="152" priority="21">
      <formula>$F96="NA"</formula>
    </cfRule>
  </conditionalFormatting>
  <conditionalFormatting sqref="D98">
    <cfRule type="cellIs" dxfId="151" priority="20" operator="equal">
      <formula>"NA"</formula>
    </cfRule>
  </conditionalFormatting>
  <conditionalFormatting sqref="D98">
    <cfRule type="expression" dxfId="150" priority="19">
      <formula>$F98="NA"</formula>
    </cfRule>
  </conditionalFormatting>
  <conditionalFormatting sqref="B44">
    <cfRule type="cellIs" dxfId="149" priority="16" operator="equal">
      <formula>"NA"</formula>
    </cfRule>
  </conditionalFormatting>
  <conditionalFormatting sqref="D18">
    <cfRule type="expression" dxfId="148" priority="13">
      <formula>$N18="NA"</formula>
    </cfRule>
  </conditionalFormatting>
  <conditionalFormatting sqref="D18">
    <cfRule type="expression" dxfId="147" priority="14">
      <formula>#REF!="NA"</formula>
    </cfRule>
  </conditionalFormatting>
  <conditionalFormatting sqref="D18">
    <cfRule type="expression" dxfId="146" priority="15">
      <formula>#REF!="NA"</formula>
    </cfRule>
  </conditionalFormatting>
  <conditionalFormatting sqref="D95">
    <cfRule type="expression" dxfId="145" priority="12">
      <formula>$F95="NA"</formula>
    </cfRule>
  </conditionalFormatting>
  <conditionalFormatting sqref="D95">
    <cfRule type="expression" dxfId="144" priority="9">
      <formula>$N95="NA"</formula>
    </cfRule>
  </conditionalFormatting>
  <conditionalFormatting sqref="D95">
    <cfRule type="expression" dxfId="143" priority="10">
      <formula>#REF!="NA"</formula>
    </cfRule>
  </conditionalFormatting>
  <conditionalFormatting sqref="D95">
    <cfRule type="expression" dxfId="142" priority="11">
      <formula>#REF!="NA"</formula>
    </cfRule>
  </conditionalFormatting>
  <conditionalFormatting sqref="D100">
    <cfRule type="expression" dxfId="141" priority="8">
      <formula>$F100="NA"</formula>
    </cfRule>
  </conditionalFormatting>
  <conditionalFormatting sqref="D100">
    <cfRule type="expression" dxfId="140" priority="5">
      <formula>$N100="NA"</formula>
    </cfRule>
  </conditionalFormatting>
  <conditionalFormatting sqref="D100">
    <cfRule type="expression" dxfId="139" priority="6">
      <formula>#REF!="NA"</formula>
    </cfRule>
  </conditionalFormatting>
  <conditionalFormatting sqref="D100">
    <cfRule type="expression" dxfId="138" priority="7">
      <formula>#REF!="NA"</formula>
    </cfRule>
  </conditionalFormatting>
  <conditionalFormatting sqref="K100:N100">
    <cfRule type="cellIs" dxfId="137" priority="4" operator="equal">
      <formula>"NA"</formula>
    </cfRule>
  </conditionalFormatting>
  <conditionalFormatting sqref="L100">
    <cfRule type="expression" dxfId="136" priority="3">
      <formula>$F100="NA"</formula>
    </cfRule>
  </conditionalFormatting>
  <conditionalFormatting sqref="E57:E70">
    <cfRule type="expression" dxfId="135" priority="2">
      <formula>$N57="NA"</formula>
    </cfRule>
  </conditionalFormatting>
  <conditionalFormatting sqref="E57:E70">
    <cfRule type="expression" dxfId="134" priority="1">
      <formula>$N57="NA"</formula>
    </cfRule>
  </conditionalFormatting>
  <dataValidations count="4">
    <dataValidation type="list" allowBlank="1" showInputMessage="1" showErrorMessage="1" sqref="W5 Z5 AF5 T5 AC5 F72:F88 F95:F98 F100 F90:F93 F46 F8:F44 F48:F70" xr:uid="{00000000-0002-0000-0200-000000000000}">
      <formula1>"OK, NA"</formula1>
    </dataValidation>
    <dataValidation type="list" allowBlank="1" showInputMessage="1" showErrorMessage="1" sqref="M90:N93 M72:N88 M96:N98 M46:N46 L63:L64 L60 M8:N44 M100:N100 M48:N70" xr:uid="{00000000-0002-0000-0200-000001000000}">
      <formula1>$AJ$2:$AJ$6</formula1>
    </dataValidation>
    <dataValidation type="list" allowBlank="1" showInputMessage="1" showErrorMessage="1" sqref="K72:L88 K90:L93 K95:L98 M95:N95 K46:L46 K8:L44 L65:L70 K100:L100 L48:L59 K48:K70 L61:L62" xr:uid="{00000000-0002-0000-0200-000002000000}">
      <formula1>$AI$3:$AI$5</formula1>
    </dataValidation>
    <dataValidation type="list" allowBlank="1" showInputMessage="1" showErrorMessage="1" sqref="Q8:Q44 Q46 Q95:Q98 Q100 Q90:Q93 Q72:Q88 Q48:Q70" xr:uid="{D9DBB058-EEF2-4CCA-9567-0FD4C2CC402D}">
      <formula1>$AL$2:$AL$4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A4C8C-30C9-4BE5-B31E-FE8893DF4B83}">
  <sheetPr codeName="Feuil21">
    <tabColor rgb="FFFFC000"/>
  </sheetPr>
  <dimension ref="A1:AA105"/>
  <sheetViews>
    <sheetView zoomScaleNormal="100" zoomScaleSheetLayoutView="100" workbookViewId="0">
      <pane xSplit="1" ySplit="2" topLeftCell="B52" activePane="bottomRight" state="frozen"/>
      <selection pane="topRight" activeCell="B1" sqref="B1"/>
      <selection pane="bottomLeft" activeCell="A3" sqref="A3"/>
      <selection pane="bottomRight" activeCell="A67" sqref="A67:XFD67"/>
    </sheetView>
  </sheetViews>
  <sheetFormatPr baseColWidth="10" defaultRowHeight="15"/>
  <cols>
    <col min="2" max="2" width="16.5703125" style="141" customWidth="1"/>
    <col min="3" max="3" width="58.42578125" bestFit="1" customWidth="1"/>
    <col min="4" max="4" width="23.140625" style="320" customWidth="1"/>
    <col min="5" max="5" width="13.85546875" customWidth="1"/>
    <col min="6" max="6" width="12.140625" style="103" customWidth="1"/>
    <col min="8" max="9" width="12.140625" style="103" customWidth="1"/>
    <col min="12" max="12" width="60.140625" customWidth="1"/>
    <col min="13" max="13" width="50.140625" customWidth="1"/>
    <col min="14" max="14" width="14.140625" customWidth="1"/>
    <col min="15" max="15" width="46.28515625" customWidth="1"/>
    <col min="17" max="26" width="11.42578125" hidden="1" customWidth="1"/>
    <col min="27" max="27" width="10.42578125" hidden="1" customWidth="1"/>
  </cols>
  <sheetData>
    <row r="1" spans="1:27" ht="35.25" customHeight="1" thickBot="1">
      <c r="A1" s="210" t="s">
        <v>289</v>
      </c>
      <c r="B1" s="790" t="s">
        <v>290</v>
      </c>
      <c r="C1" s="210" t="s">
        <v>291</v>
      </c>
      <c r="D1" s="517" t="s">
        <v>250</v>
      </c>
      <c r="E1" s="517" t="s">
        <v>241</v>
      </c>
      <c r="F1" s="517" t="s">
        <v>204</v>
      </c>
      <c r="G1" s="790" t="s">
        <v>208</v>
      </c>
      <c r="H1" s="517" t="s">
        <v>242</v>
      </c>
      <c r="I1" s="517" t="s">
        <v>292</v>
      </c>
      <c r="J1" s="180" t="s">
        <v>293</v>
      </c>
      <c r="K1" s="180" t="s">
        <v>243</v>
      </c>
      <c r="L1" s="790" t="s">
        <v>294</v>
      </c>
      <c r="M1" s="517" t="s">
        <v>205</v>
      </c>
      <c r="N1" s="790" t="s">
        <v>244</v>
      </c>
      <c r="O1" s="790" t="s">
        <v>212</v>
      </c>
    </row>
    <row r="2" spans="1:27" ht="15.75" thickBot="1">
      <c r="A2" s="181" t="s">
        <v>203</v>
      </c>
      <c r="B2" s="791"/>
      <c r="C2" s="211"/>
      <c r="D2" s="518"/>
      <c r="E2" s="518"/>
      <c r="F2" s="518"/>
      <c r="G2" s="791"/>
      <c r="H2" s="518"/>
      <c r="I2" s="518"/>
      <c r="J2" s="518" t="s">
        <v>206</v>
      </c>
      <c r="K2" s="518" t="s">
        <v>207</v>
      </c>
      <c r="L2" s="791"/>
      <c r="M2" s="518"/>
      <c r="N2" s="791"/>
      <c r="O2" s="792"/>
    </row>
    <row r="3" spans="1:27" ht="47.25" thickBot="1">
      <c r="A3" s="45" t="s">
        <v>202</v>
      </c>
      <c r="B3" s="207"/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176"/>
    </row>
    <row r="4" spans="1:27">
      <c r="A4" s="810" t="s">
        <v>201</v>
      </c>
      <c r="B4" s="811"/>
      <c r="C4" s="519" t="s">
        <v>57</v>
      </c>
      <c r="D4" s="214"/>
      <c r="E4" s="214"/>
      <c r="F4" s="214"/>
      <c r="G4" s="214"/>
      <c r="H4" s="214"/>
      <c r="I4" s="215"/>
      <c r="J4" s="66">
        <f>SUM(AA50:AA98)</f>
        <v>0</v>
      </c>
      <c r="K4" s="67">
        <f>SUM(W12:W105)</f>
        <v>1</v>
      </c>
      <c r="L4" s="79"/>
      <c r="M4" s="520"/>
      <c r="N4" s="216"/>
      <c r="O4" s="177"/>
    </row>
    <row r="5" spans="1:27">
      <c r="A5" s="812"/>
      <c r="B5" s="813"/>
      <c r="C5" s="521" t="s">
        <v>296</v>
      </c>
      <c r="D5" s="522"/>
      <c r="E5" s="522"/>
      <c r="F5" s="522"/>
      <c r="G5" s="522"/>
      <c r="H5" s="522"/>
      <c r="I5" s="522"/>
      <c r="J5" s="30">
        <f>SUM(Z50:Z105)</f>
        <v>0</v>
      </c>
      <c r="K5" s="31">
        <f>SUM(V12:V105)</f>
        <v>1</v>
      </c>
      <c r="L5" s="217"/>
      <c r="M5" s="523"/>
      <c r="N5" s="218"/>
      <c r="O5" s="177"/>
    </row>
    <row r="6" spans="1:27">
      <c r="A6" s="812"/>
      <c r="B6" s="813"/>
      <c r="C6" s="524" t="s">
        <v>209</v>
      </c>
      <c r="D6" s="525"/>
      <c r="E6" s="525"/>
      <c r="F6" s="525"/>
      <c r="G6" s="525"/>
      <c r="H6" s="525"/>
      <c r="I6" s="525"/>
      <c r="J6" s="322" t="s">
        <v>59</v>
      </c>
      <c r="K6" s="33">
        <f>SUM(U12:U105)</f>
        <v>1</v>
      </c>
      <c r="L6" s="219"/>
      <c r="M6" s="526"/>
      <c r="N6" s="220"/>
      <c r="O6" s="177"/>
    </row>
    <row r="7" spans="1:27">
      <c r="A7" s="812"/>
      <c r="B7" s="813"/>
      <c r="C7" s="527" t="s">
        <v>210</v>
      </c>
      <c r="D7" s="528"/>
      <c r="E7" s="528"/>
      <c r="F7" s="528"/>
      <c r="G7" s="528"/>
      <c r="H7" s="528"/>
      <c r="I7" s="528"/>
      <c r="J7" s="322" t="s">
        <v>59</v>
      </c>
      <c r="K7" s="35">
        <f>SUM(T12:T105)</f>
        <v>1</v>
      </c>
      <c r="L7" s="221"/>
      <c r="M7" s="529"/>
      <c r="N7" s="222"/>
      <c r="O7" s="177"/>
    </row>
    <row r="8" spans="1:27">
      <c r="A8" s="812"/>
      <c r="B8" s="813"/>
      <c r="C8" s="228" t="s">
        <v>297</v>
      </c>
      <c r="D8" s="229"/>
      <c r="E8" s="229"/>
      <c r="F8" s="229"/>
      <c r="G8" s="229"/>
      <c r="H8" s="229"/>
      <c r="I8" s="229"/>
      <c r="J8" s="322" t="s">
        <v>59</v>
      </c>
      <c r="K8" s="230">
        <f>SUM(S12:S105)</f>
        <v>1</v>
      </c>
      <c r="L8" s="231"/>
      <c r="M8" s="232"/>
      <c r="N8" s="233"/>
      <c r="O8" s="177"/>
    </row>
    <row r="9" spans="1:27" ht="15.75" thickBot="1">
      <c r="A9" s="812"/>
      <c r="B9" s="813"/>
      <c r="C9" s="530" t="s">
        <v>59</v>
      </c>
      <c r="D9" s="531"/>
      <c r="E9" s="531"/>
      <c r="F9" s="531"/>
      <c r="G9" s="531"/>
      <c r="H9" s="531"/>
      <c r="I9" s="531"/>
      <c r="J9" s="36">
        <f>SUM(Y50:Y98)</f>
        <v>0</v>
      </c>
      <c r="K9" s="37">
        <f>SUM(R12:R105)</f>
        <v>1</v>
      </c>
      <c r="L9" s="223"/>
      <c r="M9" s="532"/>
      <c r="N9" s="224"/>
      <c r="O9" s="177"/>
    </row>
    <row r="10" spans="1:27" ht="15.75" thickBot="1">
      <c r="A10" s="812"/>
      <c r="B10" s="813"/>
      <c r="C10" s="212" t="s">
        <v>211</v>
      </c>
      <c r="D10" s="213"/>
      <c r="E10" s="213"/>
      <c r="F10" s="213"/>
      <c r="G10" s="213"/>
      <c r="H10" s="213"/>
      <c r="I10" s="213"/>
      <c r="J10" s="38">
        <f>SUM(X50:X98)</f>
        <v>0</v>
      </c>
      <c r="K10" s="39">
        <f>SUM(Q12:Q105)</f>
        <v>1</v>
      </c>
      <c r="L10" s="225"/>
      <c r="M10" s="226"/>
      <c r="N10" s="227"/>
      <c r="O10" s="177"/>
      <c r="Q10" s="797" t="s">
        <v>214</v>
      </c>
      <c r="R10" s="798"/>
      <c r="S10" s="798"/>
      <c r="T10" s="798"/>
      <c r="U10" s="798"/>
      <c r="V10" s="798"/>
      <c r="W10" s="799"/>
      <c r="X10" s="797" t="s">
        <v>206</v>
      </c>
      <c r="Y10" s="798"/>
      <c r="Z10" s="798"/>
      <c r="AA10" s="800"/>
    </row>
    <row r="11" spans="1:27">
      <c r="A11" s="812"/>
      <c r="B11" s="813"/>
      <c r="C11" s="236" t="s">
        <v>66</v>
      </c>
      <c r="D11" s="209"/>
      <c r="E11" s="209"/>
      <c r="F11" s="209"/>
      <c r="G11" s="209"/>
      <c r="H11" s="209"/>
      <c r="I11" s="209"/>
      <c r="J11" s="174">
        <f>SUM(J4:J10)</f>
        <v>0</v>
      </c>
      <c r="K11" s="175">
        <f>SUM(K4:K10)</f>
        <v>7</v>
      </c>
      <c r="L11" s="241"/>
      <c r="M11" s="242"/>
      <c r="N11" s="243"/>
      <c r="O11" s="177"/>
      <c r="Q11" s="3" t="s">
        <v>211</v>
      </c>
      <c r="R11" s="4" t="s">
        <v>59</v>
      </c>
      <c r="S11" s="4" t="s">
        <v>297</v>
      </c>
      <c r="T11" s="4" t="s">
        <v>210</v>
      </c>
      <c r="U11" s="4" t="s">
        <v>213</v>
      </c>
      <c r="V11" s="4" t="s">
        <v>296</v>
      </c>
      <c r="W11" s="5" t="s">
        <v>62</v>
      </c>
      <c r="X11" s="3" t="s">
        <v>211</v>
      </c>
      <c r="Y11" s="4" t="s">
        <v>59</v>
      </c>
      <c r="Z11" s="4" t="s">
        <v>63</v>
      </c>
      <c r="AA11" s="6" t="s">
        <v>62</v>
      </c>
    </row>
    <row r="12" spans="1:27" s="2" customFormat="1" ht="15.75" customHeight="1">
      <c r="A12" s="321"/>
      <c r="B12" s="814" t="s">
        <v>449</v>
      </c>
      <c r="C12" s="814"/>
      <c r="D12" s="814"/>
      <c r="E12" s="814"/>
      <c r="F12" s="814"/>
      <c r="G12" s="814"/>
      <c r="H12" s="814"/>
      <c r="I12" s="814"/>
      <c r="J12" s="814"/>
      <c r="K12" s="814"/>
      <c r="L12" s="814"/>
      <c r="M12" s="814"/>
      <c r="N12" s="814"/>
      <c r="O12" s="815"/>
      <c r="P12"/>
      <c r="Q12" s="9">
        <f>IF(K12="On going",1,0)</f>
        <v>0</v>
      </c>
      <c r="R12" s="10">
        <f>IF(K12="NA",1,0)</f>
        <v>0</v>
      </c>
      <c r="S12" s="10">
        <f>IF(K12="Deviation",1,0)</f>
        <v>0</v>
      </c>
      <c r="T12" s="1">
        <f>IF(K12="In analysis",1,0)</f>
        <v>0</v>
      </c>
      <c r="U12" s="1">
        <f>IF(K12="NOK minor",1,0)</f>
        <v>0</v>
      </c>
      <c r="V12" s="1">
        <f>IF(K12="NOK major",1,0)</f>
        <v>0</v>
      </c>
      <c r="W12" s="7">
        <f>IF(K12="OK",1,0)</f>
        <v>0</v>
      </c>
      <c r="X12" s="9">
        <f>IF($J12="On going",1,0)</f>
        <v>0</v>
      </c>
      <c r="Y12" s="10">
        <f>IF($J12="NA",1,0)</f>
        <v>0</v>
      </c>
      <c r="Z12" s="1">
        <f>IF($J12="NOK",1,0)</f>
        <v>0</v>
      </c>
      <c r="AA12" s="8">
        <f>IF($J12="OK",1,0)</f>
        <v>0</v>
      </c>
    </row>
    <row r="13" spans="1:27" s="2" customFormat="1">
      <c r="A13" s="321"/>
      <c r="B13" s="240" t="str">
        <f>'RFQ response'!C8</f>
        <v>C_ET_01_V</v>
      </c>
      <c r="C13" s="237" t="str">
        <f>'RFQ response'!E8</f>
        <v>Resistance to usual power supply voltages</v>
      </c>
      <c r="D13" s="74" t="str">
        <f>'RFQ response'!D8</f>
        <v>REQ-0945093</v>
      </c>
      <c r="E13" s="238" t="str">
        <f>'RFQ response'!K8</f>
        <v>OK</v>
      </c>
      <c r="F13" s="75"/>
      <c r="G13" s="74"/>
      <c r="H13" s="74"/>
      <c r="I13" s="95"/>
      <c r="J13" s="75" t="s">
        <v>57</v>
      </c>
      <c r="K13" s="74" t="s">
        <v>57</v>
      </c>
      <c r="L13" s="74"/>
      <c r="M13" s="173"/>
      <c r="N13" s="239"/>
      <c r="O13" s="239"/>
      <c r="P13"/>
      <c r="Q13" s="9">
        <f t="shared" ref="Q13:Q16" si="0">IF(K13="On going",1,0)</f>
        <v>0</v>
      </c>
      <c r="R13" s="10">
        <f t="shared" ref="R13:R16" si="1">IF(K13="NA",1,0)</f>
        <v>0</v>
      </c>
      <c r="S13" s="10">
        <f t="shared" ref="S13:S16" si="2">IF(K13="Deviation",1,0)</f>
        <v>0</v>
      </c>
      <c r="T13" s="1">
        <f t="shared" ref="T13:T16" si="3">IF(K13="In analysis",1,0)</f>
        <v>0</v>
      </c>
      <c r="U13" s="1">
        <f t="shared" ref="U13:U16" si="4">IF(K13="NOK minor",1,0)</f>
        <v>0</v>
      </c>
      <c r="V13" s="1">
        <f t="shared" ref="V13:V16" si="5">IF(K13="NOK major",1,0)</f>
        <v>0</v>
      </c>
      <c r="W13" s="7">
        <f t="shared" ref="W13:W16" si="6">IF(K13="OK",1,0)</f>
        <v>1</v>
      </c>
      <c r="X13" s="9">
        <f t="shared" ref="X13:X16" si="7">IF($J13="On going",1,0)</f>
        <v>0</v>
      </c>
      <c r="Y13" s="10">
        <f t="shared" ref="Y13:Y16" si="8">IF($J13="NA",1,0)</f>
        <v>0</v>
      </c>
      <c r="Z13" s="1">
        <f t="shared" ref="Z13:Z16" si="9">IF($J13="NOK",1,0)</f>
        <v>0</v>
      </c>
      <c r="AA13" s="8">
        <f t="shared" ref="AA13:AA16" si="10">IF($J13="OK",1,0)</f>
        <v>1</v>
      </c>
    </row>
    <row r="14" spans="1:27" s="2" customFormat="1">
      <c r="A14" s="321"/>
      <c r="B14" s="240" t="str">
        <f>'RFQ response'!C9</f>
        <v>C_ET_02_V</v>
      </c>
      <c r="C14" s="237" t="str">
        <f>'RFQ response'!E9</f>
        <v xml:space="preserve">Resistance to exceptional supply voltage </v>
      </c>
      <c r="D14" s="74" t="str">
        <f>'RFQ response'!D9</f>
        <v>REQ-0945094</v>
      </c>
      <c r="E14" s="238" t="str">
        <f>'RFQ response'!K9</f>
        <v>OK</v>
      </c>
      <c r="F14" s="75"/>
      <c r="G14" s="74"/>
      <c r="H14" s="74"/>
      <c r="I14" s="95"/>
      <c r="J14" s="75" t="s">
        <v>63</v>
      </c>
      <c r="K14" s="74" t="s">
        <v>296</v>
      </c>
      <c r="L14" s="74"/>
      <c r="M14" s="173"/>
      <c r="N14" s="239"/>
      <c r="O14" s="239"/>
      <c r="P14"/>
      <c r="Q14" s="9">
        <f t="shared" si="0"/>
        <v>0</v>
      </c>
      <c r="R14" s="10">
        <f t="shared" si="1"/>
        <v>0</v>
      </c>
      <c r="S14" s="10">
        <f t="shared" si="2"/>
        <v>0</v>
      </c>
      <c r="T14" s="1">
        <f t="shared" si="3"/>
        <v>0</v>
      </c>
      <c r="U14" s="1">
        <f t="shared" si="4"/>
        <v>0</v>
      </c>
      <c r="V14" s="1">
        <f t="shared" si="5"/>
        <v>1</v>
      </c>
      <c r="W14" s="7">
        <f t="shared" si="6"/>
        <v>0</v>
      </c>
      <c r="X14" s="9">
        <f t="shared" si="7"/>
        <v>0</v>
      </c>
      <c r="Y14" s="10">
        <f t="shared" si="8"/>
        <v>0</v>
      </c>
      <c r="Z14" s="1">
        <f t="shared" si="9"/>
        <v>1</v>
      </c>
      <c r="AA14" s="8">
        <f t="shared" si="10"/>
        <v>0</v>
      </c>
    </row>
    <row r="15" spans="1:27" s="2" customFormat="1" ht="22.5">
      <c r="A15" s="321"/>
      <c r="B15" s="240" t="str">
        <f>'RFQ response'!C10</f>
        <v>C_ET_03_V</v>
      </c>
      <c r="C15" s="237" t="str">
        <f>'RFQ response'!E10</f>
        <v>Resistance to unusual power supply voltages (U=24V)
Resistance to unusual power supply voltages (U=-14V)</v>
      </c>
      <c r="D15" s="74" t="str">
        <f>'RFQ response'!D10</f>
        <v>REQ-0945095
REQ-0945096</v>
      </c>
      <c r="E15" s="238" t="str">
        <f>'RFQ response'!K10</f>
        <v>OK</v>
      </c>
      <c r="F15" s="75"/>
      <c r="G15" s="74"/>
      <c r="H15" s="74"/>
      <c r="I15" s="95"/>
      <c r="J15" s="75" t="s">
        <v>59</v>
      </c>
      <c r="K15" s="74" t="s">
        <v>297</v>
      </c>
      <c r="L15" s="74"/>
      <c r="M15" s="173"/>
      <c r="N15" s="239"/>
      <c r="O15" s="239"/>
      <c r="P15"/>
      <c r="Q15" s="9">
        <f t="shared" si="0"/>
        <v>0</v>
      </c>
      <c r="R15" s="10">
        <f t="shared" si="1"/>
        <v>0</v>
      </c>
      <c r="S15" s="10">
        <f t="shared" si="2"/>
        <v>1</v>
      </c>
      <c r="T15" s="1">
        <f t="shared" si="3"/>
        <v>0</v>
      </c>
      <c r="U15" s="1">
        <f t="shared" si="4"/>
        <v>0</v>
      </c>
      <c r="V15" s="1">
        <f t="shared" si="5"/>
        <v>0</v>
      </c>
      <c r="W15" s="7">
        <f t="shared" si="6"/>
        <v>0</v>
      </c>
      <c r="X15" s="9">
        <f t="shared" si="7"/>
        <v>0</v>
      </c>
      <c r="Y15" s="10">
        <f t="shared" si="8"/>
        <v>1</v>
      </c>
      <c r="Z15" s="1">
        <f t="shared" si="9"/>
        <v>0</v>
      </c>
      <c r="AA15" s="8">
        <f t="shared" si="10"/>
        <v>0</v>
      </c>
    </row>
    <row r="16" spans="1:27" s="2" customFormat="1">
      <c r="A16" s="321"/>
      <c r="B16" s="240" t="str">
        <f>'RFQ response'!C11</f>
        <v>C_ET_04_V</v>
      </c>
      <c r="C16" s="237" t="str">
        <f>'RFQ response'!E11</f>
        <v xml:space="preserve">Resistance to slow decrease and increase of supply voltage </v>
      </c>
      <c r="D16" s="74" t="str">
        <f>'RFQ response'!D11</f>
        <v>REQ-0945097</v>
      </c>
      <c r="E16" s="238" t="str">
        <f>'RFQ response'!K11</f>
        <v>OK</v>
      </c>
      <c r="F16" s="75"/>
      <c r="G16" s="74"/>
      <c r="H16" s="74"/>
      <c r="I16" s="95"/>
      <c r="J16" s="75" t="s">
        <v>211</v>
      </c>
      <c r="K16" s="74" t="s">
        <v>209</v>
      </c>
      <c r="L16" s="74"/>
      <c r="M16" s="173"/>
      <c r="N16" s="239"/>
      <c r="O16" s="239"/>
      <c r="P16"/>
      <c r="Q16" s="9">
        <f t="shared" si="0"/>
        <v>0</v>
      </c>
      <c r="R16" s="10">
        <f t="shared" si="1"/>
        <v>0</v>
      </c>
      <c r="S16" s="10">
        <f t="shared" si="2"/>
        <v>0</v>
      </c>
      <c r="T16" s="1">
        <f t="shared" si="3"/>
        <v>0</v>
      </c>
      <c r="U16" s="1">
        <f t="shared" si="4"/>
        <v>1</v>
      </c>
      <c r="V16" s="1">
        <f t="shared" si="5"/>
        <v>0</v>
      </c>
      <c r="W16" s="7">
        <f t="shared" si="6"/>
        <v>0</v>
      </c>
      <c r="X16" s="9">
        <f t="shared" si="7"/>
        <v>1</v>
      </c>
      <c r="Y16" s="10">
        <f t="shared" si="8"/>
        <v>0</v>
      </c>
      <c r="Z16" s="1">
        <f t="shared" si="9"/>
        <v>0</v>
      </c>
      <c r="AA16" s="8">
        <f t="shared" si="10"/>
        <v>0</v>
      </c>
    </row>
    <row r="17" spans="1:27" s="2" customFormat="1">
      <c r="A17" s="321"/>
      <c r="B17" s="240" t="str">
        <f>'RFQ response'!C12</f>
        <v>C_ET_05_V</v>
      </c>
      <c r="C17" s="237" t="str">
        <f>'RFQ response'!E12</f>
        <v>Reset behavior at voltage drop</v>
      </c>
      <c r="D17" s="74" t="str">
        <f>'RFQ response'!D12</f>
        <v>REQ-0945098</v>
      </c>
      <c r="E17" s="238" t="str">
        <f>'RFQ response'!K12</f>
        <v>OK</v>
      </c>
      <c r="F17" s="75"/>
      <c r="G17" s="74"/>
      <c r="H17" s="74"/>
      <c r="I17" s="95"/>
      <c r="J17" s="75"/>
      <c r="K17" s="74" t="s">
        <v>210</v>
      </c>
      <c r="L17" s="74"/>
      <c r="M17" s="173"/>
      <c r="N17" s="239"/>
      <c r="O17" s="239"/>
      <c r="P17"/>
      <c r="Q17" s="9">
        <f t="shared" ref="Q17:Q24" si="11">IF(K17="On going",1,0)</f>
        <v>0</v>
      </c>
      <c r="R17" s="10">
        <f t="shared" ref="R17:R24" si="12">IF(K17="NA",1,0)</f>
        <v>0</v>
      </c>
      <c r="S17" s="10">
        <f t="shared" ref="S17:S24" si="13">IF(K17="Deviation",1,0)</f>
        <v>0</v>
      </c>
      <c r="T17" s="1">
        <f t="shared" ref="T17:T24" si="14">IF(K17="In analysis",1,0)</f>
        <v>1</v>
      </c>
      <c r="U17" s="1">
        <f t="shared" ref="U17:U24" si="15">IF(K17="NOK minor",1,0)</f>
        <v>0</v>
      </c>
      <c r="V17" s="1">
        <f t="shared" ref="V17:V24" si="16">IF(K17="NOK major",1,0)</f>
        <v>0</v>
      </c>
      <c r="W17" s="7">
        <f t="shared" ref="W17:W24" si="17">IF(K17="OK",1,0)</f>
        <v>0</v>
      </c>
      <c r="X17" s="9">
        <f t="shared" ref="X17:X24" si="18">IF($J17="On going",1,0)</f>
        <v>0</v>
      </c>
      <c r="Y17" s="10">
        <f t="shared" ref="Y17:Y24" si="19">IF($J17="NA",1,0)</f>
        <v>0</v>
      </c>
      <c r="Z17" s="1">
        <f t="shared" ref="Z17:Z24" si="20">IF($J17="NOK",1,0)</f>
        <v>0</v>
      </c>
      <c r="AA17" s="8">
        <f t="shared" ref="AA17:AA24" si="21">IF($J17="OK",1,0)</f>
        <v>0</v>
      </c>
    </row>
    <row r="18" spans="1:27" s="2" customFormat="1">
      <c r="A18" s="321"/>
      <c r="B18" s="240" t="str">
        <f>'RFQ response'!C13</f>
        <v>C_ET_06_V</v>
      </c>
      <c r="C18" s="237" t="str">
        <f>'RFQ response'!E13</f>
        <v>Supply voltage drop out</v>
      </c>
      <c r="D18" s="74" t="str">
        <f>'RFQ response'!D13</f>
        <v>REQ-0945099</v>
      </c>
      <c r="E18" s="238" t="str">
        <f>'RFQ response'!K13</f>
        <v>OK</v>
      </c>
      <c r="F18" s="75"/>
      <c r="G18" s="74"/>
      <c r="H18" s="74"/>
      <c r="I18" s="95"/>
      <c r="J18" s="75"/>
      <c r="K18" s="74" t="s">
        <v>59</v>
      </c>
      <c r="L18" s="74"/>
      <c r="M18" s="173"/>
      <c r="N18" s="239"/>
      <c r="O18" s="239"/>
      <c r="P18"/>
      <c r="Q18" s="9">
        <f t="shared" si="11"/>
        <v>0</v>
      </c>
      <c r="R18" s="10">
        <f t="shared" si="12"/>
        <v>1</v>
      </c>
      <c r="S18" s="10">
        <f t="shared" si="13"/>
        <v>0</v>
      </c>
      <c r="T18" s="1">
        <f t="shared" si="14"/>
        <v>0</v>
      </c>
      <c r="U18" s="1">
        <f t="shared" si="15"/>
        <v>0</v>
      </c>
      <c r="V18" s="1">
        <f t="shared" si="16"/>
        <v>0</v>
      </c>
      <c r="W18" s="7">
        <f t="shared" si="17"/>
        <v>0</v>
      </c>
      <c r="X18" s="9">
        <f t="shared" si="18"/>
        <v>0</v>
      </c>
      <c r="Y18" s="10">
        <f t="shared" si="19"/>
        <v>0</v>
      </c>
      <c r="Z18" s="1">
        <f t="shared" si="20"/>
        <v>0</v>
      </c>
      <c r="AA18" s="8">
        <f t="shared" si="21"/>
        <v>0</v>
      </c>
    </row>
    <row r="19" spans="1:27" s="2" customFormat="1">
      <c r="A19" s="321"/>
      <c r="B19" s="240" t="str">
        <f>'RFQ response'!C14</f>
        <v>C_ET_07_V</v>
      </c>
      <c r="C19" s="237" t="str">
        <f>'RFQ response'!E14</f>
        <v>Supply voltage dips</v>
      </c>
      <c r="D19" s="74" t="str">
        <f>'RFQ response'!D14</f>
        <v>REQ-0945100</v>
      </c>
      <c r="E19" s="238" t="str">
        <f>'RFQ response'!K14</f>
        <v>OK</v>
      </c>
      <c r="F19" s="75"/>
      <c r="G19" s="74"/>
      <c r="H19" s="74"/>
      <c r="I19" s="95"/>
      <c r="J19" s="75"/>
      <c r="K19" s="74" t="s">
        <v>211</v>
      </c>
      <c r="L19" s="74"/>
      <c r="M19" s="173"/>
      <c r="N19" s="239"/>
      <c r="O19" s="239"/>
      <c r="P19"/>
      <c r="Q19" s="9">
        <f t="shared" si="11"/>
        <v>1</v>
      </c>
      <c r="R19" s="10">
        <f t="shared" si="12"/>
        <v>0</v>
      </c>
      <c r="S19" s="10">
        <f t="shared" si="13"/>
        <v>0</v>
      </c>
      <c r="T19" s="1">
        <f t="shared" si="14"/>
        <v>0</v>
      </c>
      <c r="U19" s="1">
        <f t="shared" si="15"/>
        <v>0</v>
      </c>
      <c r="V19" s="1">
        <f t="shared" si="16"/>
        <v>0</v>
      </c>
      <c r="W19" s="7">
        <f t="shared" si="17"/>
        <v>0</v>
      </c>
      <c r="X19" s="9">
        <f t="shared" si="18"/>
        <v>0</v>
      </c>
      <c r="Y19" s="10">
        <f t="shared" si="19"/>
        <v>0</v>
      </c>
      <c r="Z19" s="1">
        <f t="shared" si="20"/>
        <v>0</v>
      </c>
      <c r="AA19" s="8">
        <f t="shared" si="21"/>
        <v>0</v>
      </c>
    </row>
    <row r="20" spans="1:27" s="2" customFormat="1">
      <c r="A20" s="321"/>
      <c r="B20" s="240" t="str">
        <f>'RFQ response'!C15</f>
        <v>C_ET_08_V</v>
      </c>
      <c r="C20" s="237" t="str">
        <f>'RFQ response'!E15</f>
        <v>Supply voltage ripple</v>
      </c>
      <c r="D20" s="74" t="str">
        <f>'RFQ response'!D15</f>
        <v>REQ-0945101</v>
      </c>
      <c r="E20" s="238" t="str">
        <f>'RFQ response'!K15</f>
        <v>OK</v>
      </c>
      <c r="F20" s="75"/>
      <c r="G20" s="74"/>
      <c r="H20" s="74"/>
      <c r="I20" s="95"/>
      <c r="J20" s="75"/>
      <c r="K20" s="74"/>
      <c r="L20" s="74"/>
      <c r="M20" s="173"/>
      <c r="N20" s="239"/>
      <c r="O20" s="239"/>
      <c r="P20"/>
      <c r="Q20" s="9">
        <f t="shared" si="11"/>
        <v>0</v>
      </c>
      <c r="R20" s="10">
        <f t="shared" si="12"/>
        <v>0</v>
      </c>
      <c r="S20" s="10">
        <f t="shared" si="13"/>
        <v>0</v>
      </c>
      <c r="T20" s="1">
        <f t="shared" si="14"/>
        <v>0</v>
      </c>
      <c r="U20" s="1">
        <f t="shared" si="15"/>
        <v>0</v>
      </c>
      <c r="V20" s="1">
        <f t="shared" si="16"/>
        <v>0</v>
      </c>
      <c r="W20" s="7">
        <f t="shared" si="17"/>
        <v>0</v>
      </c>
      <c r="X20" s="9">
        <f t="shared" si="18"/>
        <v>0</v>
      </c>
      <c r="Y20" s="10">
        <f t="shared" si="19"/>
        <v>0</v>
      </c>
      <c r="Z20" s="1">
        <f t="shared" si="20"/>
        <v>0</v>
      </c>
      <c r="AA20" s="8">
        <f t="shared" si="21"/>
        <v>0</v>
      </c>
    </row>
    <row r="21" spans="1:27" s="2" customFormat="1">
      <c r="A21" s="321"/>
      <c r="B21" s="240" t="str">
        <f>'RFQ response'!C16</f>
        <v>C_ET_09_V</v>
      </c>
      <c r="C21" s="237" t="str">
        <f>'RFQ response'!E16</f>
        <v>Resistance to the “Volt Control” voltage pulse</v>
      </c>
      <c r="D21" s="74" t="str">
        <f>'RFQ response'!D16</f>
        <v>REQ-0945102</v>
      </c>
      <c r="E21" s="238" t="str">
        <f>'RFQ response'!K16</f>
        <v>OK</v>
      </c>
      <c r="F21" s="75"/>
      <c r="G21" s="74"/>
      <c r="H21" s="74"/>
      <c r="I21" s="95"/>
      <c r="J21" s="75"/>
      <c r="K21" s="74"/>
      <c r="L21" s="74"/>
      <c r="M21" s="173"/>
      <c r="N21" s="239"/>
      <c r="O21" s="239"/>
      <c r="P21"/>
      <c r="Q21" s="9">
        <f t="shared" si="11"/>
        <v>0</v>
      </c>
      <c r="R21" s="10">
        <f t="shared" si="12"/>
        <v>0</v>
      </c>
      <c r="S21" s="10">
        <f t="shared" si="13"/>
        <v>0</v>
      </c>
      <c r="T21" s="1">
        <f t="shared" si="14"/>
        <v>0</v>
      </c>
      <c r="U21" s="1">
        <f t="shared" si="15"/>
        <v>0</v>
      </c>
      <c r="V21" s="1">
        <f t="shared" si="16"/>
        <v>0</v>
      </c>
      <c r="W21" s="7">
        <f t="shared" si="17"/>
        <v>0</v>
      </c>
      <c r="X21" s="9">
        <f t="shared" si="18"/>
        <v>0</v>
      </c>
      <c r="Y21" s="10">
        <f t="shared" si="19"/>
        <v>0</v>
      </c>
      <c r="Z21" s="1">
        <f t="shared" si="20"/>
        <v>0</v>
      </c>
      <c r="AA21" s="8">
        <f t="shared" si="21"/>
        <v>0</v>
      </c>
    </row>
    <row r="22" spans="1:27" s="2" customFormat="1">
      <c r="A22" s="321"/>
      <c r="B22" s="240" t="str">
        <f>'RFQ response'!C17</f>
        <v>C_ET_10_V</v>
      </c>
      <c r="C22" s="237" t="str">
        <f>'RFQ response'!E17</f>
        <v>Ignition off draw (IOD)</v>
      </c>
      <c r="D22" s="74" t="str">
        <f>'RFQ response'!D17</f>
        <v>REQ-0945103</v>
      </c>
      <c r="E22" s="238" t="str">
        <f>'RFQ response'!K17</f>
        <v>OK</v>
      </c>
      <c r="F22" s="75"/>
      <c r="G22" s="74"/>
      <c r="H22" s="74"/>
      <c r="I22" s="95"/>
      <c r="J22" s="75"/>
      <c r="K22" s="74"/>
      <c r="L22" s="74"/>
      <c r="M22" s="173"/>
      <c r="N22" s="239"/>
      <c r="O22" s="239"/>
      <c r="P22"/>
      <c r="Q22" s="9">
        <f t="shared" si="11"/>
        <v>0</v>
      </c>
      <c r="R22" s="10">
        <f t="shared" si="12"/>
        <v>0</v>
      </c>
      <c r="S22" s="10">
        <f t="shared" si="13"/>
        <v>0</v>
      </c>
      <c r="T22" s="1">
        <f t="shared" si="14"/>
        <v>0</v>
      </c>
      <c r="U22" s="1">
        <f t="shared" si="15"/>
        <v>0</v>
      </c>
      <c r="V22" s="1">
        <f t="shared" si="16"/>
        <v>0</v>
      </c>
      <c r="W22" s="7">
        <f t="shared" si="17"/>
        <v>0</v>
      </c>
      <c r="X22" s="9">
        <f t="shared" si="18"/>
        <v>0</v>
      </c>
      <c r="Y22" s="10">
        <f t="shared" si="19"/>
        <v>0</v>
      </c>
      <c r="Z22" s="1">
        <f t="shared" si="20"/>
        <v>0</v>
      </c>
      <c r="AA22" s="8">
        <f t="shared" si="21"/>
        <v>0</v>
      </c>
    </row>
    <row r="23" spans="1:27" s="2" customFormat="1">
      <c r="A23" s="321"/>
      <c r="B23" s="240" t="str">
        <f>'RFQ response'!C18</f>
        <v>C_ET_11_V</v>
      </c>
      <c r="C23" s="237" t="str">
        <f>'RFQ response'!E18</f>
        <v>Immunity to potential difference between power supply</v>
      </c>
      <c r="D23" s="74" t="str">
        <f>'RFQ response'!D18</f>
        <v xml:space="preserve"> -</v>
      </c>
      <c r="E23" s="238" t="str">
        <f>'RFQ response'!K18</f>
        <v>NA</v>
      </c>
      <c r="F23" s="75"/>
      <c r="G23" s="74"/>
      <c r="H23" s="74"/>
      <c r="I23" s="95"/>
      <c r="J23" s="75"/>
      <c r="K23" s="74"/>
      <c r="L23" s="74"/>
      <c r="M23" s="173"/>
      <c r="N23" s="239"/>
      <c r="O23" s="239"/>
      <c r="P23"/>
      <c r="Q23" s="9">
        <f t="shared" si="11"/>
        <v>0</v>
      </c>
      <c r="R23" s="10">
        <f t="shared" si="12"/>
        <v>0</v>
      </c>
      <c r="S23" s="10">
        <f t="shared" si="13"/>
        <v>0</v>
      </c>
      <c r="T23" s="1">
        <f t="shared" si="14"/>
        <v>0</v>
      </c>
      <c r="U23" s="1">
        <f t="shared" si="15"/>
        <v>0</v>
      </c>
      <c r="V23" s="1">
        <f t="shared" si="16"/>
        <v>0</v>
      </c>
      <c r="W23" s="7">
        <f t="shared" si="17"/>
        <v>0</v>
      </c>
      <c r="X23" s="9">
        <f t="shared" si="18"/>
        <v>0</v>
      </c>
      <c r="Y23" s="10">
        <f t="shared" si="19"/>
        <v>0</v>
      </c>
      <c r="Z23" s="1">
        <f t="shared" si="20"/>
        <v>0</v>
      </c>
      <c r="AA23" s="8">
        <f t="shared" si="21"/>
        <v>0</v>
      </c>
    </row>
    <row r="24" spans="1:27" s="2" customFormat="1">
      <c r="A24" s="321"/>
      <c r="B24" s="240" t="str">
        <f>'RFQ response'!C19</f>
        <v>C_ET_12_V</v>
      </c>
      <c r="C24" s="237" t="str">
        <f>'RFQ response'!E19</f>
        <v>Immunity to ground and supply voltage short circuit</v>
      </c>
      <c r="D24" s="74" t="str">
        <f>'RFQ response'!D19</f>
        <v>REQ-0945105</v>
      </c>
      <c r="E24" s="238" t="str">
        <f>'RFQ response'!K19</f>
        <v>OK</v>
      </c>
      <c r="F24" s="75"/>
      <c r="G24" s="74"/>
      <c r="H24" s="74"/>
      <c r="I24" s="95"/>
      <c r="J24" s="75"/>
      <c r="K24" s="74"/>
      <c r="L24" s="74"/>
      <c r="M24" s="173"/>
      <c r="N24" s="239"/>
      <c r="O24" s="239"/>
      <c r="P24"/>
      <c r="Q24" s="9">
        <f t="shared" si="11"/>
        <v>0</v>
      </c>
      <c r="R24" s="10">
        <f t="shared" si="12"/>
        <v>0</v>
      </c>
      <c r="S24" s="10">
        <f t="shared" si="13"/>
        <v>0</v>
      </c>
      <c r="T24" s="1">
        <f t="shared" si="14"/>
        <v>0</v>
      </c>
      <c r="U24" s="1">
        <f t="shared" si="15"/>
        <v>0</v>
      </c>
      <c r="V24" s="1">
        <f t="shared" si="16"/>
        <v>0</v>
      </c>
      <c r="W24" s="7">
        <f t="shared" si="17"/>
        <v>0</v>
      </c>
      <c r="X24" s="9">
        <f t="shared" si="18"/>
        <v>0</v>
      </c>
      <c r="Y24" s="10">
        <f t="shared" si="19"/>
        <v>0</v>
      </c>
      <c r="Z24" s="1">
        <f t="shared" si="20"/>
        <v>0</v>
      </c>
      <c r="AA24" s="8">
        <f t="shared" si="21"/>
        <v>0</v>
      </c>
    </row>
    <row r="25" spans="1:27" s="2" customFormat="1">
      <c r="A25" s="321"/>
      <c r="B25" s="240" t="str">
        <f>'RFQ response'!C20</f>
        <v>C_TE_01_V</v>
      </c>
      <c r="C25" s="237" t="str">
        <f>'RFQ response'!E20</f>
        <v>Conducted transient emission</v>
      </c>
      <c r="D25" s="74" t="str">
        <f>'RFQ response'!D20</f>
        <v xml:space="preserve"> -</v>
      </c>
      <c r="E25" s="238" t="str">
        <f>'RFQ response'!K20</f>
        <v>NA</v>
      </c>
      <c r="F25" s="75"/>
      <c r="G25" s="74"/>
      <c r="H25" s="74"/>
      <c r="I25" s="95"/>
      <c r="J25" s="75"/>
      <c r="K25" s="74"/>
      <c r="L25" s="74"/>
      <c r="M25" s="173"/>
      <c r="N25" s="239"/>
      <c r="O25" s="239"/>
      <c r="P25"/>
      <c r="Q25" s="9">
        <f t="shared" ref="Q25:Q28" si="22">IF(K25="On going",1,0)</f>
        <v>0</v>
      </c>
      <c r="R25" s="10">
        <f t="shared" ref="R25:R28" si="23">IF(K25="NA",1,0)</f>
        <v>0</v>
      </c>
      <c r="S25" s="10">
        <f t="shared" ref="S25:S28" si="24">IF(K25="Deviation",1,0)</f>
        <v>0</v>
      </c>
      <c r="T25" s="1">
        <f t="shared" ref="T25:T28" si="25">IF(K25="In analysis",1,0)</f>
        <v>0</v>
      </c>
      <c r="U25" s="1">
        <f t="shared" ref="U25:U28" si="26">IF(K25="NOK minor",1,0)</f>
        <v>0</v>
      </c>
      <c r="V25" s="1">
        <f t="shared" ref="V25:V28" si="27">IF(K25="NOK major",1,0)</f>
        <v>0</v>
      </c>
      <c r="W25" s="7">
        <f t="shared" ref="W25:W28" si="28">IF(K25="OK",1,0)</f>
        <v>0</v>
      </c>
      <c r="X25" s="9">
        <f t="shared" ref="X25:X28" si="29">IF($J25="On going",1,0)</f>
        <v>0</v>
      </c>
      <c r="Y25" s="10">
        <f t="shared" ref="Y25:Y28" si="30">IF($J25="NA",1,0)</f>
        <v>0</v>
      </c>
      <c r="Z25" s="1">
        <f t="shared" ref="Z25:Z28" si="31">IF($J25="NOK",1,0)</f>
        <v>0</v>
      </c>
      <c r="AA25" s="8">
        <f t="shared" ref="AA25:AA28" si="32">IF($J25="OK",1,0)</f>
        <v>0</v>
      </c>
    </row>
    <row r="26" spans="1:27" s="2" customFormat="1">
      <c r="A26" s="321"/>
      <c r="B26" s="240" t="str">
        <f>'RFQ response'!C21</f>
        <v>C_TI_01_V</v>
      </c>
      <c r="C26" s="237" t="str">
        <f>'RFQ response'!E21</f>
        <v xml:space="preserve">Transient pulses - Pulses 1 and 2a </v>
      </c>
      <c r="D26" s="74" t="str">
        <f>'RFQ response'!D21</f>
        <v>REQ-0945106</v>
      </c>
      <c r="E26" s="238" t="str">
        <f>'RFQ response'!K21</f>
        <v>OK</v>
      </c>
      <c r="F26" s="75"/>
      <c r="G26" s="74"/>
      <c r="H26" s="74"/>
      <c r="I26" s="95"/>
      <c r="J26" s="75"/>
      <c r="K26" s="74"/>
      <c r="L26" s="74"/>
      <c r="M26" s="173"/>
      <c r="N26" s="239"/>
      <c r="O26" s="239"/>
      <c r="P26"/>
      <c r="Q26" s="9">
        <f t="shared" si="22"/>
        <v>0</v>
      </c>
      <c r="R26" s="10">
        <f t="shared" si="23"/>
        <v>0</v>
      </c>
      <c r="S26" s="10">
        <f t="shared" si="24"/>
        <v>0</v>
      </c>
      <c r="T26" s="1">
        <f t="shared" si="25"/>
        <v>0</v>
      </c>
      <c r="U26" s="1">
        <f t="shared" si="26"/>
        <v>0</v>
      </c>
      <c r="V26" s="1">
        <f t="shared" si="27"/>
        <v>0</v>
      </c>
      <c r="W26" s="7">
        <f t="shared" si="28"/>
        <v>0</v>
      </c>
      <c r="X26" s="9">
        <f t="shared" si="29"/>
        <v>0</v>
      </c>
      <c r="Y26" s="10">
        <f t="shared" si="30"/>
        <v>0</v>
      </c>
      <c r="Z26" s="1">
        <f t="shared" si="31"/>
        <v>0</v>
      </c>
      <c r="AA26" s="8">
        <f t="shared" si="32"/>
        <v>0</v>
      </c>
    </row>
    <row r="27" spans="1:27" s="2" customFormat="1">
      <c r="A27" s="321"/>
      <c r="B27" s="240" t="str">
        <f>'RFQ response'!C22</f>
        <v>C_TI_02_V</v>
      </c>
      <c r="C27" s="237" t="str">
        <f>'RFQ response'!E22</f>
        <v xml:space="preserve">Transient pulses - Pulses 3a and 3b </v>
      </c>
      <c r="D27" s="74" t="str">
        <f>'RFQ response'!D22</f>
        <v>REQ-0945107</v>
      </c>
      <c r="E27" s="238" t="str">
        <f>'RFQ response'!K22</f>
        <v>OK</v>
      </c>
      <c r="F27" s="75"/>
      <c r="G27" s="74"/>
      <c r="H27" s="74"/>
      <c r="I27" s="95"/>
      <c r="J27" s="75"/>
      <c r="K27" s="74"/>
      <c r="L27" s="74"/>
      <c r="M27" s="173"/>
      <c r="N27" s="239"/>
      <c r="O27" s="239"/>
      <c r="P27"/>
      <c r="Q27" s="9">
        <f t="shared" si="22"/>
        <v>0</v>
      </c>
      <c r="R27" s="10">
        <f t="shared" si="23"/>
        <v>0</v>
      </c>
      <c r="S27" s="10">
        <f t="shared" si="24"/>
        <v>0</v>
      </c>
      <c r="T27" s="1">
        <f t="shared" si="25"/>
        <v>0</v>
      </c>
      <c r="U27" s="1">
        <f t="shared" si="26"/>
        <v>0</v>
      </c>
      <c r="V27" s="1">
        <f t="shared" si="27"/>
        <v>0</v>
      </c>
      <c r="W27" s="7">
        <f t="shared" si="28"/>
        <v>0</v>
      </c>
      <c r="X27" s="9">
        <f t="shared" si="29"/>
        <v>0</v>
      </c>
      <c r="Y27" s="10">
        <f t="shared" si="30"/>
        <v>0</v>
      </c>
      <c r="Z27" s="1">
        <f t="shared" si="31"/>
        <v>0</v>
      </c>
      <c r="AA27" s="8">
        <f t="shared" si="32"/>
        <v>0</v>
      </c>
    </row>
    <row r="28" spans="1:27" s="2" customFormat="1">
      <c r="A28" s="321"/>
      <c r="B28" s="240" t="str">
        <f>'RFQ response'!C23</f>
        <v>C_TI_03_V</v>
      </c>
      <c r="C28" s="237" t="str">
        <f>'RFQ response'!E23</f>
        <v>Engine cold and warm cranking – Pulse 4 bis</v>
      </c>
      <c r="D28" s="74" t="str">
        <f>'RFQ response'!D23</f>
        <v>REQ-0945108</v>
      </c>
      <c r="E28" s="238" t="str">
        <f>'RFQ response'!K23</f>
        <v>OK</v>
      </c>
      <c r="F28" s="75"/>
      <c r="G28" s="74"/>
      <c r="H28" s="74"/>
      <c r="I28" s="95"/>
      <c r="J28" s="75"/>
      <c r="K28" s="74"/>
      <c r="L28" s="74"/>
      <c r="M28" s="173"/>
      <c r="N28" s="239"/>
      <c r="O28" s="239"/>
      <c r="P28"/>
      <c r="Q28" s="9">
        <f t="shared" si="22"/>
        <v>0</v>
      </c>
      <c r="R28" s="10">
        <f t="shared" si="23"/>
        <v>0</v>
      </c>
      <c r="S28" s="10">
        <f t="shared" si="24"/>
        <v>0</v>
      </c>
      <c r="T28" s="1">
        <f t="shared" si="25"/>
        <v>0</v>
      </c>
      <c r="U28" s="1">
        <f t="shared" si="26"/>
        <v>0</v>
      </c>
      <c r="V28" s="1">
        <f t="shared" si="27"/>
        <v>0</v>
      </c>
      <c r="W28" s="7">
        <f t="shared" si="28"/>
        <v>0</v>
      </c>
      <c r="X28" s="9">
        <f t="shared" si="29"/>
        <v>0</v>
      </c>
      <c r="Y28" s="10">
        <f t="shared" si="30"/>
        <v>0</v>
      </c>
      <c r="Z28" s="1">
        <f t="shared" si="31"/>
        <v>0</v>
      </c>
      <c r="AA28" s="8">
        <f t="shared" si="32"/>
        <v>0</v>
      </c>
    </row>
    <row r="29" spans="1:27" s="2" customFormat="1">
      <c r="A29" s="321"/>
      <c r="B29" s="240" t="str">
        <f>'RFQ response'!C24</f>
        <v>C_TI_04_V</v>
      </c>
      <c r="C29" s="237" t="str">
        <f>'RFQ response'!E24</f>
        <v xml:space="preserve">Resistance to load dump </v>
      </c>
      <c r="D29" s="74" t="str">
        <f>'RFQ response'!D24</f>
        <v>REQ-0945109</v>
      </c>
      <c r="E29" s="238" t="str">
        <f>'RFQ response'!K24</f>
        <v>OK</v>
      </c>
      <c r="F29" s="75"/>
      <c r="G29" s="74"/>
      <c r="H29" s="74"/>
      <c r="I29" s="95"/>
      <c r="J29" s="75"/>
      <c r="K29" s="74"/>
      <c r="L29" s="74"/>
      <c r="M29" s="173"/>
      <c r="N29" s="239"/>
      <c r="O29" s="239"/>
      <c r="P29"/>
      <c r="Q29" s="9">
        <f t="shared" ref="Q29:Q32" si="33">IF(K29="On going",1,0)</f>
        <v>0</v>
      </c>
      <c r="R29" s="10">
        <f t="shared" ref="R29:R32" si="34">IF(K29="NA",1,0)</f>
        <v>0</v>
      </c>
      <c r="S29" s="10">
        <f t="shared" ref="S29:S32" si="35">IF(K29="Deviation",1,0)</f>
        <v>0</v>
      </c>
      <c r="T29" s="1">
        <f t="shared" ref="T29:T32" si="36">IF(K29="In analysis",1,0)</f>
        <v>0</v>
      </c>
      <c r="U29" s="1">
        <f t="shared" ref="U29:U32" si="37">IF(K29="NOK minor",1,0)</f>
        <v>0</v>
      </c>
      <c r="V29" s="1">
        <f t="shared" ref="V29:V32" si="38">IF(K29="NOK major",1,0)</f>
        <v>0</v>
      </c>
      <c r="W29" s="7">
        <f t="shared" ref="W29:W32" si="39">IF(K29="OK",1,0)</f>
        <v>0</v>
      </c>
      <c r="X29" s="9">
        <f t="shared" ref="X29:X32" si="40">IF($J29="On going",1,0)</f>
        <v>0</v>
      </c>
      <c r="Y29" s="10">
        <f t="shared" ref="Y29:Y32" si="41">IF($J29="NA",1,0)</f>
        <v>0</v>
      </c>
      <c r="Z29" s="1">
        <f t="shared" ref="Z29:Z32" si="42">IF($J29="NOK",1,0)</f>
        <v>0</v>
      </c>
      <c r="AA29" s="8">
        <f t="shared" ref="AA29:AA32" si="43">IF($J29="OK",1,0)</f>
        <v>0</v>
      </c>
    </row>
    <row r="30" spans="1:27" s="2" customFormat="1">
      <c r="A30" s="321"/>
      <c r="B30" s="240" t="str">
        <f>'RFQ response'!C25</f>
        <v>C_TI_05_V</v>
      </c>
      <c r="C30" s="237" t="str">
        <f>'RFQ response'!E25</f>
        <v xml:space="preserve">Immunity to transients on signal lines – CCC method </v>
      </c>
      <c r="D30" s="74" t="str">
        <f>'RFQ response'!D25</f>
        <v>REQ-0945110</v>
      </c>
      <c r="E30" s="238" t="str">
        <f>'RFQ response'!K25</f>
        <v>OK</v>
      </c>
      <c r="F30" s="75"/>
      <c r="G30" s="74"/>
      <c r="H30" s="74"/>
      <c r="I30" s="95"/>
      <c r="J30" s="75"/>
      <c r="K30" s="74"/>
      <c r="L30" s="74"/>
      <c r="M30" s="173"/>
      <c r="N30" s="239"/>
      <c r="O30" s="239"/>
      <c r="P30"/>
      <c r="Q30" s="9">
        <f t="shared" si="33"/>
        <v>0</v>
      </c>
      <c r="R30" s="10">
        <f t="shared" si="34"/>
        <v>0</v>
      </c>
      <c r="S30" s="10">
        <f t="shared" si="35"/>
        <v>0</v>
      </c>
      <c r="T30" s="1">
        <f t="shared" si="36"/>
        <v>0</v>
      </c>
      <c r="U30" s="1">
        <f t="shared" si="37"/>
        <v>0</v>
      </c>
      <c r="V30" s="1">
        <f t="shared" si="38"/>
        <v>0</v>
      </c>
      <c r="W30" s="7">
        <f t="shared" si="39"/>
        <v>0</v>
      </c>
      <c r="X30" s="9">
        <f t="shared" si="40"/>
        <v>0</v>
      </c>
      <c r="Y30" s="10">
        <f t="shared" si="41"/>
        <v>0</v>
      </c>
      <c r="Z30" s="1">
        <f t="shared" si="42"/>
        <v>0</v>
      </c>
      <c r="AA30" s="8">
        <f t="shared" si="43"/>
        <v>0</v>
      </c>
    </row>
    <row r="31" spans="1:27" s="2" customFormat="1" ht="22.5">
      <c r="A31" s="321"/>
      <c r="B31" s="240" t="str">
        <f>'RFQ response'!C26</f>
        <v>C_TI_06_V</v>
      </c>
      <c r="C31" s="237" t="str">
        <f>'RFQ response'!E26</f>
        <v>Transient pulses – Immunity of input / outputs connected to inductive and / or locally grounded load - Pulses A2-1 and A2-2</v>
      </c>
      <c r="D31" s="74" t="str">
        <f>'RFQ response'!D26</f>
        <v>REQ-0945111</v>
      </c>
      <c r="E31" s="238" t="str">
        <f>'RFQ response'!K26</f>
        <v>NA</v>
      </c>
      <c r="F31" s="75"/>
      <c r="G31" s="74"/>
      <c r="H31" s="74"/>
      <c r="I31" s="95"/>
      <c r="J31" s="75"/>
      <c r="K31" s="74"/>
      <c r="L31" s="74"/>
      <c r="M31" s="173"/>
      <c r="N31" s="239"/>
      <c r="O31" s="239"/>
      <c r="P31"/>
      <c r="Q31" s="9">
        <f t="shared" si="33"/>
        <v>0</v>
      </c>
      <c r="R31" s="10">
        <f t="shared" si="34"/>
        <v>0</v>
      </c>
      <c r="S31" s="10">
        <f t="shared" si="35"/>
        <v>0</v>
      </c>
      <c r="T31" s="1">
        <f t="shared" si="36"/>
        <v>0</v>
      </c>
      <c r="U31" s="1">
        <f t="shared" si="37"/>
        <v>0</v>
      </c>
      <c r="V31" s="1">
        <f t="shared" si="38"/>
        <v>0</v>
      </c>
      <c r="W31" s="7">
        <f t="shared" si="39"/>
        <v>0</v>
      </c>
      <c r="X31" s="9">
        <f t="shared" si="40"/>
        <v>0</v>
      </c>
      <c r="Y31" s="10">
        <f t="shared" si="41"/>
        <v>0</v>
      </c>
      <c r="Z31" s="1">
        <f t="shared" si="42"/>
        <v>0</v>
      </c>
      <c r="AA31" s="8">
        <f t="shared" si="43"/>
        <v>0</v>
      </c>
    </row>
    <row r="32" spans="1:27" s="2" customFormat="1">
      <c r="A32" s="321"/>
      <c r="B32" s="240" t="str">
        <f>'RFQ response'!C27</f>
        <v>C_TI_07_V</v>
      </c>
      <c r="C32" s="237" t="str">
        <f>'RFQ response'!E27</f>
        <v>Transient pulses – Immunity to the transients with wire to wire coupling</v>
      </c>
      <c r="D32" s="74" t="str">
        <f>'RFQ response'!D27</f>
        <v>REQ-0945112</v>
      </c>
      <c r="E32" s="238" t="str">
        <f>'RFQ response'!K27</f>
        <v>OK</v>
      </c>
      <c r="F32" s="75"/>
      <c r="G32" s="74"/>
      <c r="H32" s="74"/>
      <c r="I32" s="95"/>
      <c r="J32" s="75"/>
      <c r="K32" s="74"/>
      <c r="L32" s="74"/>
      <c r="M32" s="173"/>
      <c r="N32" s="239"/>
      <c r="O32" s="239"/>
      <c r="P32"/>
      <c r="Q32" s="9">
        <f t="shared" si="33"/>
        <v>0</v>
      </c>
      <c r="R32" s="10">
        <f t="shared" si="34"/>
        <v>0</v>
      </c>
      <c r="S32" s="10">
        <f t="shared" si="35"/>
        <v>0</v>
      </c>
      <c r="T32" s="1">
        <f t="shared" si="36"/>
        <v>0</v>
      </c>
      <c r="U32" s="1">
        <f t="shared" si="37"/>
        <v>0</v>
      </c>
      <c r="V32" s="1">
        <f t="shared" si="38"/>
        <v>0</v>
      </c>
      <c r="W32" s="7">
        <f t="shared" si="39"/>
        <v>0</v>
      </c>
      <c r="X32" s="9">
        <f t="shared" si="40"/>
        <v>0</v>
      </c>
      <c r="Y32" s="10">
        <f t="shared" si="41"/>
        <v>0</v>
      </c>
      <c r="Z32" s="1">
        <f t="shared" si="42"/>
        <v>0</v>
      </c>
      <c r="AA32" s="8">
        <f t="shared" si="43"/>
        <v>0</v>
      </c>
    </row>
    <row r="33" spans="1:27" s="2" customFormat="1">
      <c r="A33" s="321"/>
      <c r="B33" s="240" t="str">
        <f>'RFQ response'!C28</f>
        <v>C_TI_01_R</v>
      </c>
      <c r="C33" s="237" t="str">
        <f>'RFQ response'!E28</f>
        <v>Immunity to the transients on the signal line</v>
      </c>
      <c r="D33" s="74" t="str">
        <f>'RFQ response'!D28</f>
        <v xml:space="preserve"> -</v>
      </c>
      <c r="E33" s="238" t="str">
        <f>'RFQ response'!K28</f>
        <v>NA</v>
      </c>
      <c r="F33" s="75"/>
      <c r="G33" s="74"/>
      <c r="H33" s="74"/>
      <c r="I33" s="95"/>
      <c r="J33" s="75"/>
      <c r="K33" s="74"/>
      <c r="L33" s="74"/>
      <c r="M33" s="173"/>
      <c r="N33" s="239"/>
      <c r="O33" s="239"/>
      <c r="P33"/>
      <c r="Q33" s="9">
        <f t="shared" ref="Q33:Q36" si="44">IF(K33="On going",1,0)</f>
        <v>0</v>
      </c>
      <c r="R33" s="10">
        <f t="shared" ref="R33:R36" si="45">IF(K33="NA",1,0)</f>
        <v>0</v>
      </c>
      <c r="S33" s="10">
        <f t="shared" ref="S33:S36" si="46">IF(K33="Deviation",1,0)</f>
        <v>0</v>
      </c>
      <c r="T33" s="1">
        <f t="shared" ref="T33:T36" si="47">IF(K33="In analysis",1,0)</f>
        <v>0</v>
      </c>
      <c r="U33" s="1">
        <f t="shared" ref="U33:U36" si="48">IF(K33="NOK minor",1,0)</f>
        <v>0</v>
      </c>
      <c r="V33" s="1">
        <f t="shared" ref="V33:V36" si="49">IF(K33="NOK major",1,0)</f>
        <v>0</v>
      </c>
      <c r="W33" s="7">
        <f t="shared" ref="W33:W36" si="50">IF(K33="OK",1,0)</f>
        <v>0</v>
      </c>
      <c r="X33" s="9">
        <f t="shared" ref="X33:X36" si="51">IF($J33="On going",1,0)</f>
        <v>0</v>
      </c>
      <c r="Y33" s="10">
        <f t="shared" ref="Y33:Y36" si="52">IF($J33="NA",1,0)</f>
        <v>0</v>
      </c>
      <c r="Z33" s="1">
        <f t="shared" ref="Z33:Z36" si="53">IF($J33="NOK",1,0)</f>
        <v>0</v>
      </c>
      <c r="AA33" s="8">
        <f t="shared" ref="AA33:AA36" si="54">IF($J33="OK",1,0)</f>
        <v>0</v>
      </c>
    </row>
    <row r="34" spans="1:27" s="2" customFormat="1">
      <c r="A34" s="321"/>
      <c r="B34" s="240" t="str">
        <f>'RFQ response'!C29</f>
        <v>C_TE_01_R</v>
      </c>
      <c r="C34" s="237" t="str">
        <f>'RFQ response'!E29</f>
        <v>Conducted Transient Emission</v>
      </c>
      <c r="D34" s="74" t="str">
        <f>'RFQ response'!D29</f>
        <v xml:space="preserve"> -</v>
      </c>
      <c r="E34" s="238" t="str">
        <f>'RFQ response'!K29</f>
        <v>NA</v>
      </c>
      <c r="F34" s="75"/>
      <c r="G34" s="74"/>
      <c r="H34" s="74"/>
      <c r="I34" s="95"/>
      <c r="J34" s="75"/>
      <c r="K34" s="74"/>
      <c r="L34" s="74"/>
      <c r="M34" s="173"/>
      <c r="N34" s="239"/>
      <c r="O34" s="239"/>
      <c r="P34"/>
      <c r="Q34" s="9">
        <f t="shared" si="44"/>
        <v>0</v>
      </c>
      <c r="R34" s="10">
        <f t="shared" si="45"/>
        <v>0</v>
      </c>
      <c r="S34" s="10">
        <f t="shared" si="46"/>
        <v>0</v>
      </c>
      <c r="T34" s="1">
        <f t="shared" si="47"/>
        <v>0</v>
      </c>
      <c r="U34" s="1">
        <f t="shared" si="48"/>
        <v>0</v>
      </c>
      <c r="V34" s="1">
        <f t="shared" si="49"/>
        <v>0</v>
      </c>
      <c r="W34" s="7">
        <f t="shared" si="50"/>
        <v>0</v>
      </c>
      <c r="X34" s="9">
        <f t="shared" si="51"/>
        <v>0</v>
      </c>
      <c r="Y34" s="10">
        <f t="shared" si="52"/>
        <v>0</v>
      </c>
      <c r="Z34" s="1">
        <f t="shared" si="53"/>
        <v>0</v>
      </c>
      <c r="AA34" s="8">
        <f t="shared" si="54"/>
        <v>0</v>
      </c>
    </row>
    <row r="35" spans="1:27" s="2" customFormat="1">
      <c r="A35" s="321"/>
      <c r="B35" s="240" t="str">
        <f>'RFQ response'!C30</f>
        <v>C_CI_01_V</v>
      </c>
      <c r="C35" s="237" t="str">
        <f>'RFQ response'!E30</f>
        <v>Bulk current injection (BCI)</v>
      </c>
      <c r="D35" s="74" t="str">
        <f>'RFQ response'!D30</f>
        <v>REQ-0945113</v>
      </c>
      <c r="E35" s="238" t="str">
        <f>'RFQ response'!K30</f>
        <v>OK</v>
      </c>
      <c r="F35" s="75"/>
      <c r="G35" s="74"/>
      <c r="H35" s="74"/>
      <c r="I35" s="95"/>
      <c r="J35" s="75"/>
      <c r="K35" s="74"/>
      <c r="L35" s="74"/>
      <c r="M35" s="173"/>
      <c r="N35" s="239"/>
      <c r="O35" s="239"/>
      <c r="P35"/>
      <c r="Q35" s="9">
        <f t="shared" si="44"/>
        <v>0</v>
      </c>
      <c r="R35" s="10">
        <f t="shared" si="45"/>
        <v>0</v>
      </c>
      <c r="S35" s="10">
        <f t="shared" si="46"/>
        <v>0</v>
      </c>
      <c r="T35" s="1">
        <f t="shared" si="47"/>
        <v>0</v>
      </c>
      <c r="U35" s="1">
        <f t="shared" si="48"/>
        <v>0</v>
      </c>
      <c r="V35" s="1">
        <f t="shared" si="49"/>
        <v>0</v>
      </c>
      <c r="W35" s="7">
        <f t="shared" si="50"/>
        <v>0</v>
      </c>
      <c r="X35" s="9">
        <f t="shared" si="51"/>
        <v>0</v>
      </c>
      <c r="Y35" s="10">
        <f t="shared" si="52"/>
        <v>0</v>
      </c>
      <c r="Z35" s="1">
        <f t="shared" si="53"/>
        <v>0</v>
      </c>
      <c r="AA35" s="8">
        <f t="shared" si="54"/>
        <v>0</v>
      </c>
    </row>
    <row r="36" spans="1:27" s="2" customFormat="1">
      <c r="A36" s="321"/>
      <c r="B36" s="240" t="str">
        <f>'RFQ response'!C31</f>
        <v>C_RI_01_V</v>
      </c>
      <c r="C36" s="237" t="str">
        <f>'RFQ response'!E31</f>
        <v>Immunity to external sources – ALSE (Absorber Line Shielded Enclosure)</v>
      </c>
      <c r="D36" s="74" t="str">
        <f>'RFQ response'!D31</f>
        <v>REQ-0945114</v>
      </c>
      <c r="E36" s="238" t="str">
        <f>'RFQ response'!K31</f>
        <v>OK</v>
      </c>
      <c r="F36" s="75"/>
      <c r="G36" s="74"/>
      <c r="H36" s="74"/>
      <c r="I36" s="95"/>
      <c r="J36" s="75"/>
      <c r="K36" s="74"/>
      <c r="L36" s="74"/>
      <c r="M36" s="173"/>
      <c r="N36" s="239"/>
      <c r="O36" s="239"/>
      <c r="P36"/>
      <c r="Q36" s="9">
        <f t="shared" si="44"/>
        <v>0</v>
      </c>
      <c r="R36" s="10">
        <f t="shared" si="45"/>
        <v>0</v>
      </c>
      <c r="S36" s="10">
        <f t="shared" si="46"/>
        <v>0</v>
      </c>
      <c r="T36" s="1">
        <f t="shared" si="47"/>
        <v>0</v>
      </c>
      <c r="U36" s="1">
        <f t="shared" si="48"/>
        <v>0</v>
      </c>
      <c r="V36" s="1">
        <f t="shared" si="49"/>
        <v>0</v>
      </c>
      <c r="W36" s="7">
        <f t="shared" si="50"/>
        <v>0</v>
      </c>
      <c r="X36" s="9">
        <f t="shared" si="51"/>
        <v>0</v>
      </c>
      <c r="Y36" s="10">
        <f t="shared" si="52"/>
        <v>0</v>
      </c>
      <c r="Z36" s="1">
        <f t="shared" si="53"/>
        <v>0</v>
      </c>
      <c r="AA36" s="8">
        <f t="shared" si="54"/>
        <v>0</v>
      </c>
    </row>
    <row r="37" spans="1:27" s="2" customFormat="1">
      <c r="A37" s="321"/>
      <c r="B37" s="240" t="str">
        <f>'RFQ response'!C32</f>
        <v>C_RI_02_V</v>
      </c>
      <c r="C37" s="237" t="str">
        <f>'RFQ response'!E32</f>
        <v>Immunity to external sources – Reverberation chamber</v>
      </c>
      <c r="D37" s="74" t="str">
        <f>'RFQ response'!D32</f>
        <v>REQ-0945115</v>
      </c>
      <c r="E37" s="238" t="str">
        <f>'RFQ response'!K32</f>
        <v>OK</v>
      </c>
      <c r="F37" s="75"/>
      <c r="G37" s="74"/>
      <c r="H37" s="74"/>
      <c r="I37" s="95"/>
      <c r="J37" s="75"/>
      <c r="K37" s="74"/>
      <c r="L37" s="74"/>
      <c r="M37" s="173"/>
      <c r="N37" s="239"/>
      <c r="O37" s="239"/>
      <c r="P37"/>
      <c r="Q37" s="9">
        <f t="shared" ref="Q37:Q40" si="55">IF(K37="On going",1,0)</f>
        <v>0</v>
      </c>
      <c r="R37" s="10">
        <f t="shared" ref="R37:R40" si="56">IF(K37="NA",1,0)</f>
        <v>0</v>
      </c>
      <c r="S37" s="10">
        <f t="shared" ref="S37:S40" si="57">IF(K37="Deviation",1,0)</f>
        <v>0</v>
      </c>
      <c r="T37" s="1">
        <f t="shared" ref="T37:T40" si="58">IF(K37="In analysis",1,0)</f>
        <v>0</v>
      </c>
      <c r="U37" s="1">
        <f t="shared" ref="U37:U40" si="59">IF(K37="NOK minor",1,0)</f>
        <v>0</v>
      </c>
      <c r="V37" s="1">
        <f t="shared" ref="V37:V40" si="60">IF(K37="NOK major",1,0)</f>
        <v>0</v>
      </c>
      <c r="W37" s="7">
        <f t="shared" ref="W37:W40" si="61">IF(K37="OK",1,0)</f>
        <v>0</v>
      </c>
      <c r="X37" s="9">
        <f t="shared" ref="X37:X40" si="62">IF($J37="On going",1,0)</f>
        <v>0</v>
      </c>
      <c r="Y37" s="10">
        <f t="shared" ref="Y37:Y40" si="63">IF($J37="NA",1,0)</f>
        <v>0</v>
      </c>
      <c r="Z37" s="1">
        <f t="shared" ref="Z37:Z40" si="64">IF($J37="NOK",1,0)</f>
        <v>0</v>
      </c>
      <c r="AA37" s="8">
        <f t="shared" ref="AA37:AA40" si="65">IF($J37="OK",1,0)</f>
        <v>0</v>
      </c>
    </row>
    <row r="38" spans="1:27" s="2" customFormat="1">
      <c r="A38" s="321"/>
      <c r="B38" s="240" t="str">
        <f>'RFQ response'!C33</f>
        <v>C_RI_03_V</v>
      </c>
      <c r="C38" s="237" t="str">
        <f>'RFQ response'!E33</f>
        <v>Immunity to portable transmitters</v>
      </c>
      <c r="D38" s="74" t="str">
        <f>'RFQ response'!D33</f>
        <v>REQ-0945116</v>
      </c>
      <c r="E38" s="238" t="str">
        <f>'RFQ response'!K33</f>
        <v>OK</v>
      </c>
      <c r="F38" s="75"/>
      <c r="G38" s="74"/>
      <c r="H38" s="74"/>
      <c r="I38" s="95"/>
      <c r="J38" s="75"/>
      <c r="K38" s="74"/>
      <c r="L38" s="74"/>
      <c r="M38" s="173"/>
      <c r="N38" s="239"/>
      <c r="O38" s="239"/>
      <c r="P38"/>
      <c r="Q38" s="9">
        <f t="shared" si="55"/>
        <v>0</v>
      </c>
      <c r="R38" s="10">
        <f t="shared" si="56"/>
        <v>0</v>
      </c>
      <c r="S38" s="10">
        <f t="shared" si="57"/>
        <v>0</v>
      </c>
      <c r="T38" s="1">
        <f t="shared" si="58"/>
        <v>0</v>
      </c>
      <c r="U38" s="1">
        <f t="shared" si="59"/>
        <v>0</v>
      </c>
      <c r="V38" s="1">
        <f t="shared" si="60"/>
        <v>0</v>
      </c>
      <c r="W38" s="7">
        <f t="shared" si="61"/>
        <v>0</v>
      </c>
      <c r="X38" s="9">
        <f t="shared" si="62"/>
        <v>0</v>
      </c>
      <c r="Y38" s="10">
        <f t="shared" si="63"/>
        <v>0</v>
      </c>
      <c r="Z38" s="1">
        <f t="shared" si="64"/>
        <v>0</v>
      </c>
      <c r="AA38" s="8">
        <f t="shared" si="65"/>
        <v>0</v>
      </c>
    </row>
    <row r="39" spans="1:27" s="2" customFormat="1">
      <c r="A39" s="321"/>
      <c r="B39" s="240" t="str">
        <f>'RFQ response'!C34</f>
        <v>C_RI_04_V</v>
      </c>
      <c r="C39" s="237" t="str">
        <f>'RFQ response'!E34</f>
        <v xml:space="preserve">Immunity to magnetic field </v>
      </c>
      <c r="D39" s="74" t="str">
        <f>'RFQ response'!D34</f>
        <v>REQ-0945117</v>
      </c>
      <c r="E39" s="238" t="str">
        <f>'RFQ response'!K34</f>
        <v>OK</v>
      </c>
      <c r="F39" s="75"/>
      <c r="G39" s="74"/>
      <c r="H39" s="74"/>
      <c r="I39" s="95"/>
      <c r="J39" s="75"/>
      <c r="K39" s="74"/>
      <c r="L39" s="74"/>
      <c r="M39" s="173"/>
      <c r="N39" s="239"/>
      <c r="O39" s="239"/>
      <c r="P39"/>
      <c r="Q39" s="9">
        <f t="shared" si="55"/>
        <v>0</v>
      </c>
      <c r="R39" s="10">
        <f t="shared" si="56"/>
        <v>0</v>
      </c>
      <c r="S39" s="10">
        <f t="shared" si="57"/>
        <v>0</v>
      </c>
      <c r="T39" s="1">
        <f t="shared" si="58"/>
        <v>0</v>
      </c>
      <c r="U39" s="1">
        <f t="shared" si="59"/>
        <v>0</v>
      </c>
      <c r="V39" s="1">
        <f t="shared" si="60"/>
        <v>0</v>
      </c>
      <c r="W39" s="7">
        <f t="shared" si="61"/>
        <v>0</v>
      </c>
      <c r="X39" s="9">
        <f t="shared" si="62"/>
        <v>0</v>
      </c>
      <c r="Y39" s="10">
        <f t="shared" si="63"/>
        <v>0</v>
      </c>
      <c r="Z39" s="1">
        <f t="shared" si="64"/>
        <v>0</v>
      </c>
      <c r="AA39" s="8">
        <f t="shared" si="65"/>
        <v>0</v>
      </c>
    </row>
    <row r="40" spans="1:27" s="2" customFormat="1">
      <c r="A40" s="321"/>
      <c r="B40" s="240" t="str">
        <f>'RFQ response'!C35</f>
        <v>C_RI_05_R</v>
      </c>
      <c r="C40" s="237" t="str">
        <f>'RFQ response'!E35</f>
        <v>Immunity to electromagnetic radiation</v>
      </c>
      <c r="D40" s="74" t="str">
        <f>'RFQ response'!D35</f>
        <v xml:space="preserve"> -</v>
      </c>
      <c r="E40" s="238" t="str">
        <f>'RFQ response'!K35</f>
        <v>NA</v>
      </c>
      <c r="F40" s="75"/>
      <c r="G40" s="74"/>
      <c r="H40" s="74"/>
      <c r="I40" s="95"/>
      <c r="J40" s="75"/>
      <c r="K40" s="74"/>
      <c r="L40" s="74"/>
      <c r="M40" s="173"/>
      <c r="N40" s="239"/>
      <c r="O40" s="239"/>
      <c r="P40"/>
      <c r="Q40" s="9">
        <f t="shared" si="55"/>
        <v>0</v>
      </c>
      <c r="R40" s="10">
        <f t="shared" si="56"/>
        <v>0</v>
      </c>
      <c r="S40" s="10">
        <f t="shared" si="57"/>
        <v>0</v>
      </c>
      <c r="T40" s="1">
        <f t="shared" si="58"/>
        <v>0</v>
      </c>
      <c r="U40" s="1">
        <f t="shared" si="59"/>
        <v>0</v>
      </c>
      <c r="V40" s="1">
        <f t="shared" si="60"/>
        <v>0</v>
      </c>
      <c r="W40" s="7">
        <f t="shared" si="61"/>
        <v>0</v>
      </c>
      <c r="X40" s="9">
        <f t="shared" si="62"/>
        <v>0</v>
      </c>
      <c r="Y40" s="10">
        <f t="shared" si="63"/>
        <v>0</v>
      </c>
      <c r="Z40" s="1">
        <f t="shared" si="64"/>
        <v>0</v>
      </c>
      <c r="AA40" s="8">
        <f t="shared" si="65"/>
        <v>0</v>
      </c>
    </row>
    <row r="41" spans="1:27" s="2" customFormat="1">
      <c r="A41" s="321"/>
      <c r="B41" s="240" t="str">
        <f>'RFQ response'!C36</f>
        <v>C_CE_01_V</v>
      </c>
      <c r="C41" s="237" t="str">
        <f>'RFQ response'!E36</f>
        <v>RF conducted emission on power supply inputs – AN voltage measurement</v>
      </c>
      <c r="D41" s="74" t="str">
        <f>'RFQ response'!D36</f>
        <v>REQ-0945121</v>
      </c>
      <c r="E41" s="238" t="str">
        <f>'RFQ response'!K36</f>
        <v>OK</v>
      </c>
      <c r="F41" s="75"/>
      <c r="G41" s="74"/>
      <c r="H41" s="74"/>
      <c r="I41" s="95"/>
      <c r="J41" s="75"/>
      <c r="K41" s="74"/>
      <c r="L41" s="74"/>
      <c r="M41" s="173"/>
      <c r="N41" s="239"/>
      <c r="O41" s="239"/>
      <c r="P41"/>
      <c r="Q41" s="9">
        <f t="shared" ref="Q41:Q44" si="66">IF(K41="On going",1,0)</f>
        <v>0</v>
      </c>
      <c r="R41" s="10">
        <f t="shared" ref="R41:R44" si="67">IF(K41="NA",1,0)</f>
        <v>0</v>
      </c>
      <c r="S41" s="10">
        <f t="shared" ref="S41:S44" si="68">IF(K41="Deviation",1,0)</f>
        <v>0</v>
      </c>
      <c r="T41" s="1">
        <f t="shared" ref="T41:T44" si="69">IF(K41="In analysis",1,0)</f>
        <v>0</v>
      </c>
      <c r="U41" s="1">
        <f t="shared" ref="U41:U44" si="70">IF(K41="NOK minor",1,0)</f>
        <v>0</v>
      </c>
      <c r="V41" s="1">
        <f t="shared" ref="V41:V44" si="71">IF(K41="NOK major",1,0)</f>
        <v>0</v>
      </c>
      <c r="W41" s="7">
        <f t="shared" ref="W41:W44" si="72">IF(K41="OK",1,0)</f>
        <v>0</v>
      </c>
      <c r="X41" s="9">
        <f t="shared" ref="X41:X44" si="73">IF($J41="On going",1,0)</f>
        <v>0</v>
      </c>
      <c r="Y41" s="10">
        <f t="shared" ref="Y41:Y44" si="74">IF($J41="NA",1,0)</f>
        <v>0</v>
      </c>
      <c r="Z41" s="1">
        <f t="shared" ref="Z41:Z44" si="75">IF($J41="NOK",1,0)</f>
        <v>0</v>
      </c>
      <c r="AA41" s="8">
        <f t="shared" ref="AA41:AA44" si="76">IF($J41="OK",1,0)</f>
        <v>0</v>
      </c>
    </row>
    <row r="42" spans="1:27" s="2" customFormat="1">
      <c r="A42" s="321"/>
      <c r="B42" s="240" t="str">
        <f>'RFQ response'!C37</f>
        <v>C_CE_02_V</v>
      </c>
      <c r="C42" s="237" t="str">
        <f>'RFQ response'!E37</f>
        <v>RF conducted emission on wiring – Current probe measurement</v>
      </c>
      <c r="D42" s="74" t="str">
        <f>'RFQ response'!D37</f>
        <v>REQ-0945122</v>
      </c>
      <c r="E42" s="238" t="str">
        <f>'RFQ response'!K37</f>
        <v>OK</v>
      </c>
      <c r="F42" s="75"/>
      <c r="G42" s="74"/>
      <c r="H42" s="74"/>
      <c r="I42" s="95"/>
      <c r="J42" s="75"/>
      <c r="K42" s="74"/>
      <c r="L42" s="74"/>
      <c r="M42" s="173"/>
      <c r="N42" s="239"/>
      <c r="O42" s="239"/>
      <c r="P42"/>
      <c r="Q42" s="9">
        <f t="shared" si="66"/>
        <v>0</v>
      </c>
      <c r="R42" s="10">
        <f t="shared" si="67"/>
        <v>0</v>
      </c>
      <c r="S42" s="10">
        <f t="shared" si="68"/>
        <v>0</v>
      </c>
      <c r="T42" s="1">
        <f t="shared" si="69"/>
        <v>0</v>
      </c>
      <c r="U42" s="1">
        <f t="shared" si="70"/>
        <v>0</v>
      </c>
      <c r="V42" s="1">
        <f t="shared" si="71"/>
        <v>0</v>
      </c>
      <c r="W42" s="7">
        <f t="shared" si="72"/>
        <v>0</v>
      </c>
      <c r="X42" s="9">
        <f t="shared" si="73"/>
        <v>0</v>
      </c>
      <c r="Y42" s="10">
        <f t="shared" si="74"/>
        <v>0</v>
      </c>
      <c r="Z42" s="1">
        <f t="shared" si="75"/>
        <v>0</v>
      </c>
      <c r="AA42" s="8">
        <f t="shared" si="76"/>
        <v>0</v>
      </c>
    </row>
    <row r="43" spans="1:27" s="2" customFormat="1">
      <c r="A43" s="321"/>
      <c r="B43" s="240" t="str">
        <f>'RFQ response'!C38</f>
        <v>C_RE_01_V</v>
      </c>
      <c r="C43" s="237" t="str">
        <f>'RFQ response'!E38</f>
        <v>Electric field radiated emission – ALSE (Absorber Line Shielded Enclosure)</v>
      </c>
      <c r="D43" s="74" t="str">
        <f>'RFQ response'!D38</f>
        <v>REQ-0945123</v>
      </c>
      <c r="E43" s="238" t="str">
        <f>'RFQ response'!K38</f>
        <v>OK</v>
      </c>
      <c r="F43" s="75"/>
      <c r="G43" s="74"/>
      <c r="H43" s="74"/>
      <c r="I43" s="95"/>
      <c r="J43" s="75"/>
      <c r="K43" s="74"/>
      <c r="L43" s="74"/>
      <c r="M43" s="173"/>
      <c r="N43" s="239"/>
      <c r="O43" s="239"/>
      <c r="P43"/>
      <c r="Q43" s="9">
        <f t="shared" si="66"/>
        <v>0</v>
      </c>
      <c r="R43" s="10">
        <f t="shared" si="67"/>
        <v>0</v>
      </c>
      <c r="S43" s="10">
        <f t="shared" si="68"/>
        <v>0</v>
      </c>
      <c r="T43" s="1">
        <f t="shared" si="69"/>
        <v>0</v>
      </c>
      <c r="U43" s="1">
        <f t="shared" si="70"/>
        <v>0</v>
      </c>
      <c r="V43" s="1">
        <f t="shared" si="71"/>
        <v>0</v>
      </c>
      <c r="W43" s="7">
        <f t="shared" si="72"/>
        <v>0</v>
      </c>
      <c r="X43" s="9">
        <f t="shared" si="73"/>
        <v>0</v>
      </c>
      <c r="Y43" s="10">
        <f t="shared" si="74"/>
        <v>0</v>
      </c>
      <c r="Z43" s="1">
        <f t="shared" si="75"/>
        <v>0</v>
      </c>
      <c r="AA43" s="8">
        <f t="shared" si="76"/>
        <v>0</v>
      </c>
    </row>
    <row r="44" spans="1:27" s="2" customFormat="1">
      <c r="A44" s="321"/>
      <c r="B44" s="240" t="str">
        <f>'RFQ response'!C39</f>
        <v>C_RE_02_V</v>
      </c>
      <c r="C44" s="237" t="str">
        <f>'RFQ response'!E39</f>
        <v xml:space="preserve">Keyless entry - Magnetic field </v>
      </c>
      <c r="D44" s="74" t="str">
        <f>'RFQ response'!D39</f>
        <v>REQ-0945124</v>
      </c>
      <c r="E44" s="238" t="str">
        <f>'RFQ response'!K39</f>
        <v>OK</v>
      </c>
      <c r="F44" s="75"/>
      <c r="G44" s="74"/>
      <c r="H44" s="74"/>
      <c r="I44" s="95"/>
      <c r="J44" s="75"/>
      <c r="K44" s="74"/>
      <c r="L44" s="74"/>
      <c r="M44" s="173"/>
      <c r="N44" s="239"/>
      <c r="O44" s="239"/>
      <c r="P44"/>
      <c r="Q44" s="9">
        <f t="shared" si="66"/>
        <v>0</v>
      </c>
      <c r="R44" s="10">
        <f t="shared" si="67"/>
        <v>0</v>
      </c>
      <c r="S44" s="10">
        <f t="shared" si="68"/>
        <v>0</v>
      </c>
      <c r="T44" s="1">
        <f t="shared" si="69"/>
        <v>0</v>
      </c>
      <c r="U44" s="1">
        <f t="shared" si="70"/>
        <v>0</v>
      </c>
      <c r="V44" s="1">
        <f t="shared" si="71"/>
        <v>0</v>
      </c>
      <c r="W44" s="7">
        <f t="shared" si="72"/>
        <v>0</v>
      </c>
      <c r="X44" s="9">
        <f t="shared" si="73"/>
        <v>0</v>
      </c>
      <c r="Y44" s="10">
        <f t="shared" si="74"/>
        <v>0</v>
      </c>
      <c r="Z44" s="1">
        <f t="shared" si="75"/>
        <v>0</v>
      </c>
      <c r="AA44" s="8">
        <f t="shared" si="76"/>
        <v>0</v>
      </c>
    </row>
    <row r="45" spans="1:27" s="2" customFormat="1">
      <c r="A45" s="321"/>
      <c r="B45" s="240" t="str">
        <f>'RFQ response'!C40</f>
        <v>C_RE_03_R</v>
      </c>
      <c r="C45" s="237" t="str">
        <f>'RFQ response'!E40</f>
        <v>Broadband radiated emission</v>
      </c>
      <c r="D45" s="74" t="str">
        <f>'RFQ response'!D40</f>
        <v xml:space="preserve"> -</v>
      </c>
      <c r="E45" s="238" t="str">
        <f>'RFQ response'!K40</f>
        <v>NA</v>
      </c>
      <c r="F45" s="75"/>
      <c r="G45" s="74"/>
      <c r="H45" s="74"/>
      <c r="I45" s="95"/>
      <c r="J45" s="75"/>
      <c r="K45" s="74"/>
      <c r="L45" s="74"/>
      <c r="M45" s="173"/>
      <c r="N45" s="239"/>
      <c r="O45" s="239"/>
      <c r="P45"/>
      <c r="Q45" s="9">
        <f t="shared" ref="Q45:Q46" si="77">IF(K45="On going",1,0)</f>
        <v>0</v>
      </c>
      <c r="R45" s="10">
        <f t="shared" ref="R45:R46" si="78">IF(K45="NA",1,0)</f>
        <v>0</v>
      </c>
      <c r="S45" s="10">
        <f t="shared" ref="S45:S46" si="79">IF(K45="Deviation",1,0)</f>
        <v>0</v>
      </c>
      <c r="T45" s="1">
        <f t="shared" ref="T45:T46" si="80">IF(K45="In analysis",1,0)</f>
        <v>0</v>
      </c>
      <c r="U45" s="1">
        <f t="shared" ref="U45:U46" si="81">IF(K45="NOK minor",1,0)</f>
        <v>0</v>
      </c>
      <c r="V45" s="1">
        <f t="shared" ref="V45:V46" si="82">IF(K45="NOK major",1,0)</f>
        <v>0</v>
      </c>
      <c r="W45" s="7">
        <f t="shared" ref="W45:W46" si="83">IF(K45="OK",1,0)</f>
        <v>0</v>
      </c>
      <c r="X45" s="9">
        <f t="shared" ref="X45:X99" si="84">IF($J45="On going",1,0)</f>
        <v>0</v>
      </c>
      <c r="Y45" s="10">
        <f t="shared" ref="Y45:Y99" si="85">IF($J45="NA",1,0)</f>
        <v>0</v>
      </c>
      <c r="Z45" s="1">
        <f t="shared" ref="Z45:Z99" si="86">IF($J45="NOK",1,0)</f>
        <v>0</v>
      </c>
      <c r="AA45" s="8">
        <f t="shared" ref="AA45:AA99" si="87">IF($J45="OK",1,0)</f>
        <v>0</v>
      </c>
    </row>
    <row r="46" spans="1:27" s="2" customFormat="1">
      <c r="A46" s="321"/>
      <c r="B46" s="240" t="str">
        <f>'RFQ response'!C41</f>
        <v>C_RE_04_R</v>
      </c>
      <c r="C46" s="237" t="str">
        <f>'RFQ response'!E41</f>
        <v>Narrowband radiated emission</v>
      </c>
      <c r="D46" s="74" t="str">
        <f>'RFQ response'!D41</f>
        <v xml:space="preserve"> -</v>
      </c>
      <c r="E46" s="238" t="str">
        <f>'RFQ response'!K41</f>
        <v>NA</v>
      </c>
      <c r="F46" s="75"/>
      <c r="G46" s="74"/>
      <c r="H46" s="74"/>
      <c r="I46" s="95"/>
      <c r="J46" s="75"/>
      <c r="K46" s="74"/>
      <c r="L46" s="74"/>
      <c r="M46" s="173"/>
      <c r="N46" s="239"/>
      <c r="O46" s="239"/>
      <c r="P46"/>
      <c r="Q46" s="9">
        <f t="shared" si="77"/>
        <v>0</v>
      </c>
      <c r="R46" s="10">
        <f t="shared" si="78"/>
        <v>0</v>
      </c>
      <c r="S46" s="10">
        <f t="shared" si="79"/>
        <v>0</v>
      </c>
      <c r="T46" s="1">
        <f t="shared" si="80"/>
        <v>0</v>
      </c>
      <c r="U46" s="1">
        <f t="shared" si="81"/>
        <v>0</v>
      </c>
      <c r="V46" s="1">
        <f t="shared" si="82"/>
        <v>0</v>
      </c>
      <c r="W46" s="7">
        <f t="shared" si="83"/>
        <v>0</v>
      </c>
      <c r="X46" s="9">
        <f t="shared" si="84"/>
        <v>0</v>
      </c>
      <c r="Y46" s="10">
        <f t="shared" si="85"/>
        <v>0</v>
      </c>
      <c r="Z46" s="1">
        <f t="shared" si="86"/>
        <v>0</v>
      </c>
      <c r="AA46" s="8">
        <f t="shared" si="87"/>
        <v>0</v>
      </c>
    </row>
    <row r="47" spans="1:27" s="2" customFormat="1">
      <c r="A47" s="321"/>
      <c r="B47" s="240" t="str">
        <f>'RFQ response'!C42</f>
        <v>C_ESD_01_V</v>
      </c>
      <c r="C47" s="237" t="str">
        <f>'RFQ response'!E42</f>
        <v xml:space="preserve">Component not connected - Handling </v>
      </c>
      <c r="D47" s="74" t="str">
        <f>'RFQ response'!D42</f>
        <v>REQ-0945125</v>
      </c>
      <c r="E47" s="238" t="str">
        <f>'RFQ response'!K42</f>
        <v>OK</v>
      </c>
      <c r="F47" s="75"/>
      <c r="G47" s="74"/>
      <c r="H47" s="74"/>
      <c r="I47" s="95"/>
      <c r="J47" s="75"/>
      <c r="K47" s="74"/>
      <c r="L47" s="74"/>
      <c r="M47" s="173"/>
      <c r="N47" s="239"/>
      <c r="O47" s="239"/>
      <c r="P47"/>
      <c r="Q47" s="9">
        <f t="shared" ref="Q47" si="88">IF(K47="On going",1,0)</f>
        <v>0</v>
      </c>
      <c r="R47" s="10">
        <f t="shared" ref="R47" si="89">IF(K47="NA",1,0)</f>
        <v>0</v>
      </c>
      <c r="S47" s="10">
        <f t="shared" ref="S47" si="90">IF(K47="Deviation",1,0)</f>
        <v>0</v>
      </c>
      <c r="T47" s="1">
        <f t="shared" ref="T47" si="91">IF(K47="In analysis",1,0)</f>
        <v>0</v>
      </c>
      <c r="U47" s="1">
        <f t="shared" ref="U47" si="92">IF(K47="NOK minor",1,0)</f>
        <v>0</v>
      </c>
      <c r="V47" s="1">
        <f t="shared" ref="V47" si="93">IF(K47="NOK major",1,0)</f>
        <v>0</v>
      </c>
      <c r="W47" s="7">
        <f t="shared" ref="W47" si="94">IF(K47="OK",1,0)</f>
        <v>0</v>
      </c>
      <c r="X47" s="9">
        <f t="shared" si="84"/>
        <v>0</v>
      </c>
      <c r="Y47" s="10">
        <f t="shared" si="85"/>
        <v>0</v>
      </c>
      <c r="Z47" s="1">
        <f t="shared" si="86"/>
        <v>0</v>
      </c>
      <c r="AA47" s="8">
        <f t="shared" si="87"/>
        <v>0</v>
      </c>
    </row>
    <row r="48" spans="1:27" s="2" customFormat="1">
      <c r="A48" s="321"/>
      <c r="B48" s="240" t="str">
        <f>'RFQ response'!C43</f>
        <v>C_ESD_02_V</v>
      </c>
      <c r="C48" s="237" t="str">
        <f>'RFQ response'!E43</f>
        <v xml:space="preserve">Operating </v>
      </c>
      <c r="D48" s="74" t="str">
        <f>'RFQ response'!D43</f>
        <v>REQ-0945126</v>
      </c>
      <c r="E48" s="238" t="str">
        <f>'RFQ response'!K43</f>
        <v>OK</v>
      </c>
      <c r="F48" s="75"/>
      <c r="G48" s="74"/>
      <c r="H48" s="74"/>
      <c r="I48" s="95"/>
      <c r="J48" s="75"/>
      <c r="K48" s="74"/>
      <c r="L48" s="74"/>
      <c r="M48" s="173"/>
      <c r="N48" s="239"/>
      <c r="O48" s="239"/>
      <c r="P48"/>
      <c r="Q48" s="9">
        <f t="shared" ref="Q48" si="95">IF(K48="On going",1,0)</f>
        <v>0</v>
      </c>
      <c r="R48" s="10">
        <f t="shared" ref="R48" si="96">IF(K48="NA",1,0)</f>
        <v>0</v>
      </c>
      <c r="S48" s="10">
        <f t="shared" ref="S48" si="97">IF(K48="Deviation",1,0)</f>
        <v>0</v>
      </c>
      <c r="T48" s="1">
        <f t="shared" ref="T48" si="98">IF(K48="In analysis",1,0)</f>
        <v>0</v>
      </c>
      <c r="U48" s="1">
        <f t="shared" ref="U48" si="99">IF(K48="NOK minor",1,0)</f>
        <v>0</v>
      </c>
      <c r="V48" s="1">
        <f t="shared" ref="V48" si="100">IF(K48="NOK major",1,0)</f>
        <v>0</v>
      </c>
      <c r="W48" s="7">
        <f t="shared" ref="W48" si="101">IF(K48="OK",1,0)</f>
        <v>0</v>
      </c>
      <c r="X48" s="9">
        <f t="shared" si="84"/>
        <v>0</v>
      </c>
      <c r="Y48" s="10">
        <f t="shared" si="85"/>
        <v>0</v>
      </c>
      <c r="Z48" s="1">
        <f t="shared" si="86"/>
        <v>0</v>
      </c>
      <c r="AA48" s="8">
        <f t="shared" si="87"/>
        <v>0</v>
      </c>
    </row>
    <row r="49" spans="1:27" s="2" customFormat="1">
      <c r="A49" s="321"/>
      <c r="B49" s="240" t="str">
        <f>'RFQ response'!C44</f>
        <v>SET1</v>
      </c>
      <c r="C49" s="237" t="str">
        <f>'RFQ response'!E44</f>
        <v>Electrical consumptions measurement</v>
      </c>
      <c r="D49" s="74" t="str">
        <f>'RFQ response'!D44</f>
        <v>REQ-0994080</v>
      </c>
      <c r="E49" s="238" t="str">
        <f>'RFQ response'!K44</f>
        <v>OK</v>
      </c>
      <c r="F49" s="75"/>
      <c r="G49" s="74"/>
      <c r="H49" s="74"/>
      <c r="I49" s="95"/>
      <c r="J49" s="75"/>
      <c r="K49" s="74"/>
      <c r="L49" s="74"/>
      <c r="M49" s="173"/>
      <c r="N49" s="239"/>
      <c r="O49" s="239"/>
      <c r="P49"/>
      <c r="Q49" s="9"/>
      <c r="R49" s="10"/>
      <c r="S49" s="10"/>
      <c r="T49" s="1"/>
      <c r="U49" s="1"/>
      <c r="V49" s="1"/>
      <c r="W49" s="7"/>
      <c r="X49" s="9"/>
      <c r="Y49" s="10"/>
      <c r="Z49" s="1"/>
      <c r="AA49" s="8"/>
    </row>
    <row r="50" spans="1:27" s="2" customFormat="1" ht="15.75" customHeight="1">
      <c r="A50" s="321"/>
      <c r="B50" s="801" t="s">
        <v>551</v>
      </c>
      <c r="C50" s="801"/>
      <c r="D50" s="801"/>
      <c r="E50" s="801"/>
      <c r="F50" s="801"/>
      <c r="G50" s="801"/>
      <c r="H50" s="801"/>
      <c r="I50" s="801"/>
      <c r="J50" s="801"/>
      <c r="K50" s="801"/>
      <c r="L50" s="801"/>
      <c r="M50" s="801"/>
      <c r="N50" s="801"/>
      <c r="O50" s="802"/>
      <c r="P50"/>
      <c r="Q50" s="9">
        <f>IF(K50="On going",1,0)</f>
        <v>0</v>
      </c>
      <c r="R50" s="10">
        <f>IF(K50="NA",1,0)</f>
        <v>0</v>
      </c>
      <c r="S50" s="10">
        <f>IF(K50="Deviation",1,0)</f>
        <v>0</v>
      </c>
      <c r="T50" s="1">
        <f>IF(K50="In analysis",1,0)</f>
        <v>0</v>
      </c>
      <c r="U50" s="1">
        <f>IF(K50="NOK minor",1,0)</f>
        <v>0</v>
      </c>
      <c r="V50" s="1">
        <f>IF(K50="NOK major",1,0)</f>
        <v>0</v>
      </c>
      <c r="W50" s="7">
        <f>IF(K50="OK",1,0)</f>
        <v>0</v>
      </c>
      <c r="X50" s="9">
        <f>IF($J50="On going",1,0)</f>
        <v>0</v>
      </c>
      <c r="Y50" s="10">
        <f>IF($J50="NA",1,0)</f>
        <v>0</v>
      </c>
      <c r="Z50" s="1">
        <f>IF($J50="NOK",1,0)</f>
        <v>0</v>
      </c>
      <c r="AA50" s="8">
        <f>IF($J50="OK",1,0)</f>
        <v>0</v>
      </c>
    </row>
    <row r="51" spans="1:27" s="2" customFormat="1">
      <c r="A51" s="321"/>
      <c r="B51" s="240" t="str">
        <f>'RFQ response'!C46</f>
        <v>-</v>
      </c>
      <c r="C51" s="237" t="str">
        <f>'RFQ response'!E46</f>
        <v>Connectors tests</v>
      </c>
      <c r="D51" s="74" t="str">
        <f>'RFQ response'!D46</f>
        <v xml:space="preserve">REQ-0994082 </v>
      </c>
      <c r="E51" s="238" t="str">
        <f>'RFQ response'!K46</f>
        <v>NA</v>
      </c>
      <c r="F51" s="75"/>
      <c r="G51" s="74"/>
      <c r="H51" s="74"/>
      <c r="I51" s="95"/>
      <c r="J51" s="75"/>
      <c r="K51" s="74"/>
      <c r="L51" s="74"/>
      <c r="M51" s="173"/>
      <c r="N51" s="239"/>
      <c r="O51" s="239"/>
      <c r="P51"/>
      <c r="Q51" s="9">
        <f t="shared" ref="Q51:Q99" si="102">IF(K51="On going",1,0)</f>
        <v>0</v>
      </c>
      <c r="R51" s="10">
        <f t="shared" ref="R51:R99" si="103">IF(K51="NA",1,0)</f>
        <v>0</v>
      </c>
      <c r="S51" s="10">
        <f t="shared" ref="S51:S99" si="104">IF(K51="Deviation",1,0)</f>
        <v>0</v>
      </c>
      <c r="T51" s="1">
        <f t="shared" ref="T51:T99" si="105">IF(K51="In analysis",1,0)</f>
        <v>0</v>
      </c>
      <c r="U51" s="1">
        <f t="shared" ref="U51:U99" si="106">IF(K51="NOK minor",1,0)</f>
        <v>0</v>
      </c>
      <c r="V51" s="1">
        <f t="shared" ref="V51:V99" si="107">IF(K51="NOK major",1,0)</f>
        <v>0</v>
      </c>
      <c r="W51" s="7">
        <f t="shared" ref="W51:W99" si="108">IF(K51="OK",1,0)</f>
        <v>0</v>
      </c>
      <c r="X51" s="9">
        <f t="shared" si="84"/>
        <v>0</v>
      </c>
      <c r="Y51" s="10">
        <f t="shared" si="85"/>
        <v>0</v>
      </c>
      <c r="Z51" s="1">
        <f t="shared" si="86"/>
        <v>0</v>
      </c>
      <c r="AA51" s="8">
        <f t="shared" si="87"/>
        <v>0</v>
      </c>
    </row>
    <row r="52" spans="1:27" s="2" customFormat="1" ht="22.5" customHeight="1">
      <c r="A52" s="321"/>
      <c r="B52" s="803" t="s">
        <v>450</v>
      </c>
      <c r="C52" s="803"/>
      <c r="D52" s="803"/>
      <c r="E52" s="803"/>
      <c r="F52" s="803"/>
      <c r="G52" s="803"/>
      <c r="H52" s="803"/>
      <c r="I52" s="803"/>
      <c r="J52" s="803"/>
      <c r="K52" s="803"/>
      <c r="L52" s="803"/>
      <c r="M52" s="803"/>
      <c r="N52" s="803"/>
      <c r="O52" s="804"/>
      <c r="P52"/>
      <c r="Q52" s="9">
        <f t="shared" si="102"/>
        <v>0</v>
      </c>
      <c r="R52" s="10">
        <f t="shared" si="103"/>
        <v>0</v>
      </c>
      <c r="S52" s="10">
        <f t="shared" si="104"/>
        <v>0</v>
      </c>
      <c r="T52" s="1">
        <f t="shared" si="105"/>
        <v>0</v>
      </c>
      <c r="U52" s="1">
        <f t="shared" si="106"/>
        <v>0</v>
      </c>
      <c r="V52" s="1">
        <f t="shared" si="107"/>
        <v>0</v>
      </c>
      <c r="W52" s="7">
        <f t="shared" si="108"/>
        <v>0</v>
      </c>
      <c r="X52" s="9">
        <f t="shared" si="84"/>
        <v>0</v>
      </c>
      <c r="Y52" s="10">
        <f t="shared" si="85"/>
        <v>0</v>
      </c>
      <c r="Z52" s="1">
        <f t="shared" si="86"/>
        <v>0</v>
      </c>
      <c r="AA52" s="8">
        <f t="shared" si="87"/>
        <v>0</v>
      </c>
    </row>
    <row r="53" spans="1:27" s="2" customFormat="1">
      <c r="A53" s="321"/>
      <c r="B53" s="240" t="str">
        <f>'RFQ response'!C48</f>
        <v xml:space="preserve"> -</v>
      </c>
      <c r="C53" s="237" t="str">
        <f>'RFQ response'!E48</f>
        <v>Requirements on connectors &amp; wiring harness</v>
      </c>
      <c r="D53" s="74" t="str">
        <f>'RFQ response'!D48</f>
        <v>REQ-0945120</v>
      </c>
      <c r="E53" s="238" t="str">
        <f>'RFQ response'!K48</f>
        <v>NA</v>
      </c>
      <c r="F53" s="75"/>
      <c r="G53" s="74"/>
      <c r="H53" s="74"/>
      <c r="I53" s="95"/>
      <c r="J53" s="75"/>
      <c r="K53" s="74"/>
      <c r="L53" s="74"/>
      <c r="M53" s="173"/>
      <c r="N53" s="239"/>
      <c r="O53" s="239"/>
      <c r="P53"/>
      <c r="Q53" s="9">
        <f t="shared" si="102"/>
        <v>0</v>
      </c>
      <c r="R53" s="10">
        <f t="shared" si="103"/>
        <v>0</v>
      </c>
      <c r="S53" s="10">
        <f t="shared" si="104"/>
        <v>0</v>
      </c>
      <c r="T53" s="1">
        <f t="shared" si="105"/>
        <v>0</v>
      </c>
      <c r="U53" s="1">
        <f t="shared" si="106"/>
        <v>0</v>
      </c>
      <c r="V53" s="1">
        <f t="shared" si="107"/>
        <v>0</v>
      </c>
      <c r="W53" s="7">
        <f t="shared" si="108"/>
        <v>0</v>
      </c>
      <c r="X53" s="9">
        <f t="shared" si="84"/>
        <v>0</v>
      </c>
      <c r="Y53" s="10">
        <f t="shared" si="85"/>
        <v>0</v>
      </c>
      <c r="Z53" s="1">
        <f t="shared" si="86"/>
        <v>0</v>
      </c>
      <c r="AA53" s="8">
        <f t="shared" si="87"/>
        <v>0</v>
      </c>
    </row>
    <row r="54" spans="1:27" s="2" customFormat="1">
      <c r="A54" s="321"/>
      <c r="B54" s="240" t="str">
        <f>'RFQ response'!C49</f>
        <v xml:space="preserve"> -</v>
      </c>
      <c r="C54" s="237" t="str">
        <f>'RFQ response'!E49</f>
        <v>Device restraint performance</v>
      </c>
      <c r="D54" s="74" t="str">
        <f>'RFQ response'!D49</f>
        <v>REQ-0945142</v>
      </c>
      <c r="E54" s="238" t="str">
        <f>'RFQ response'!K49</f>
        <v>NA</v>
      </c>
      <c r="F54" s="75"/>
      <c r="G54" s="74"/>
      <c r="H54" s="74"/>
      <c r="I54" s="95"/>
      <c r="J54" s="75"/>
      <c r="K54" s="74"/>
      <c r="L54" s="74"/>
      <c r="M54" s="173"/>
      <c r="N54" s="239"/>
      <c r="O54" s="239"/>
      <c r="P54"/>
      <c r="Q54" s="9">
        <f t="shared" si="102"/>
        <v>0</v>
      </c>
      <c r="R54" s="10">
        <f t="shared" si="103"/>
        <v>0</v>
      </c>
      <c r="S54" s="10">
        <f t="shared" si="104"/>
        <v>0</v>
      </c>
      <c r="T54" s="1">
        <f t="shared" si="105"/>
        <v>0</v>
      </c>
      <c r="U54" s="1">
        <f t="shared" si="106"/>
        <v>0</v>
      </c>
      <c r="V54" s="1">
        <f t="shared" si="107"/>
        <v>0</v>
      </c>
      <c r="W54" s="7">
        <f t="shared" si="108"/>
        <v>0</v>
      </c>
      <c r="X54" s="9">
        <f t="shared" si="84"/>
        <v>0</v>
      </c>
      <c r="Y54" s="10">
        <f t="shared" si="85"/>
        <v>0</v>
      </c>
      <c r="Z54" s="1">
        <f t="shared" si="86"/>
        <v>0</v>
      </c>
      <c r="AA54" s="8">
        <f t="shared" si="87"/>
        <v>0</v>
      </c>
    </row>
    <row r="55" spans="1:27" s="2" customFormat="1">
      <c r="A55" s="321"/>
      <c r="B55" s="240" t="str">
        <f>'RFQ response'!C50</f>
        <v xml:space="preserve"> -</v>
      </c>
      <c r="C55" s="237" t="str">
        <f>'RFQ response'!E50</f>
        <v>Terminals mechanical resistance</v>
      </c>
      <c r="D55" s="74" t="str">
        <f>'RFQ response'!D50</f>
        <v>REQ-0945143</v>
      </c>
      <c r="E55" s="238" t="str">
        <f>'RFQ response'!K50</f>
        <v>NA</v>
      </c>
      <c r="F55" s="75"/>
      <c r="G55" s="74"/>
      <c r="H55" s="74"/>
      <c r="I55" s="95"/>
      <c r="J55" s="75"/>
      <c r="K55" s="74"/>
      <c r="L55" s="74"/>
      <c r="M55" s="173"/>
      <c r="N55" s="239"/>
      <c r="O55" s="239"/>
      <c r="P55"/>
      <c r="Q55" s="9">
        <f t="shared" si="102"/>
        <v>0</v>
      </c>
      <c r="R55" s="10">
        <f t="shared" si="103"/>
        <v>0</v>
      </c>
      <c r="S55" s="10">
        <f t="shared" si="104"/>
        <v>0</v>
      </c>
      <c r="T55" s="1">
        <f t="shared" si="105"/>
        <v>0</v>
      </c>
      <c r="U55" s="1">
        <f t="shared" si="106"/>
        <v>0</v>
      </c>
      <c r="V55" s="1">
        <f t="shared" si="107"/>
        <v>0</v>
      </c>
      <c r="W55" s="7">
        <f t="shared" si="108"/>
        <v>0</v>
      </c>
      <c r="X55" s="9">
        <f t="shared" si="84"/>
        <v>0</v>
      </c>
      <c r="Y55" s="10">
        <f t="shared" si="85"/>
        <v>0</v>
      </c>
      <c r="Z55" s="1">
        <f t="shared" si="86"/>
        <v>0</v>
      </c>
      <c r="AA55" s="8">
        <f t="shared" si="87"/>
        <v>0</v>
      </c>
    </row>
    <row r="56" spans="1:27" s="2" customFormat="1">
      <c r="A56" s="321"/>
      <c r="B56" s="240" t="str">
        <f>'RFQ response'!C51</f>
        <v xml:space="preserve"> -</v>
      </c>
      <c r="C56" s="237" t="str">
        <f>'RFQ response'!E51</f>
        <v>Mechanical vibration</v>
      </c>
      <c r="D56" s="74" t="str">
        <f>'RFQ response'!D51</f>
        <v>REQ-0945144</v>
      </c>
      <c r="E56" s="238" t="str">
        <f>'RFQ response'!K51</f>
        <v>NA</v>
      </c>
      <c r="F56" s="75"/>
      <c r="G56" s="74"/>
      <c r="H56" s="74"/>
      <c r="I56" s="95"/>
      <c r="J56" s="75"/>
      <c r="K56" s="74"/>
      <c r="L56" s="74"/>
      <c r="M56" s="173"/>
      <c r="N56" s="239"/>
      <c r="O56" s="239"/>
      <c r="P56"/>
      <c r="Q56" s="9">
        <f t="shared" si="102"/>
        <v>0</v>
      </c>
      <c r="R56" s="10">
        <f t="shared" si="103"/>
        <v>0</v>
      </c>
      <c r="S56" s="10">
        <f t="shared" si="104"/>
        <v>0</v>
      </c>
      <c r="T56" s="1">
        <f t="shared" si="105"/>
        <v>0</v>
      </c>
      <c r="U56" s="1">
        <f t="shared" si="106"/>
        <v>0</v>
      </c>
      <c r="V56" s="1">
        <f t="shared" si="107"/>
        <v>0</v>
      </c>
      <c r="W56" s="7">
        <f t="shared" si="108"/>
        <v>0</v>
      </c>
      <c r="X56" s="9">
        <f t="shared" si="84"/>
        <v>0</v>
      </c>
      <c r="Y56" s="10">
        <f t="shared" si="85"/>
        <v>0</v>
      </c>
      <c r="Z56" s="1">
        <f t="shared" si="86"/>
        <v>0</v>
      </c>
      <c r="AA56" s="8">
        <f t="shared" si="87"/>
        <v>0</v>
      </c>
    </row>
    <row r="57" spans="1:27" s="2" customFormat="1">
      <c r="A57" s="321"/>
      <c r="B57" s="240" t="str">
        <f>'RFQ response'!C52</f>
        <v xml:space="preserve"> -</v>
      </c>
      <c r="C57" s="237" t="str">
        <f>'RFQ response'!E52</f>
        <v>Mechanical shock</v>
      </c>
      <c r="D57" s="74" t="str">
        <f>'RFQ response'!D52</f>
        <v>REQ-0945149</v>
      </c>
      <c r="E57" s="238" t="str">
        <f>'RFQ response'!K52</f>
        <v>NA</v>
      </c>
      <c r="F57" s="75"/>
      <c r="G57" s="74"/>
      <c r="H57" s="74"/>
      <c r="I57" s="95"/>
      <c r="J57" s="75"/>
      <c r="K57" s="74"/>
      <c r="L57" s="74"/>
      <c r="M57" s="173"/>
      <c r="N57" s="239"/>
      <c r="O57" s="239"/>
      <c r="P57"/>
      <c r="Q57" s="9">
        <f t="shared" si="102"/>
        <v>0</v>
      </c>
      <c r="R57" s="10">
        <f t="shared" si="103"/>
        <v>0</v>
      </c>
      <c r="S57" s="10">
        <f t="shared" si="104"/>
        <v>0</v>
      </c>
      <c r="T57" s="1">
        <f t="shared" si="105"/>
        <v>0</v>
      </c>
      <c r="U57" s="1">
        <f t="shared" si="106"/>
        <v>0</v>
      </c>
      <c r="V57" s="1">
        <f t="shared" si="107"/>
        <v>0</v>
      </c>
      <c r="W57" s="7">
        <f t="shared" si="108"/>
        <v>0</v>
      </c>
      <c r="X57" s="9">
        <f t="shared" si="84"/>
        <v>0</v>
      </c>
      <c r="Y57" s="10">
        <f t="shared" si="85"/>
        <v>0</v>
      </c>
      <c r="Z57" s="1">
        <f t="shared" si="86"/>
        <v>0</v>
      </c>
      <c r="AA57" s="8">
        <f t="shared" si="87"/>
        <v>0</v>
      </c>
    </row>
    <row r="58" spans="1:27" s="2" customFormat="1">
      <c r="A58" s="321"/>
      <c r="B58" s="240" t="str">
        <f>'RFQ response'!C53</f>
        <v xml:space="preserve"> -</v>
      </c>
      <c r="C58" s="546" t="str">
        <f>'RFQ response'!E53</f>
        <v>Mechanical shock endurance</v>
      </c>
      <c r="D58" s="547" t="str">
        <f>'RFQ response'!D53</f>
        <v xml:space="preserve"> -</v>
      </c>
      <c r="E58" s="548" t="str">
        <f>'RFQ response'!K53</f>
        <v>NA</v>
      </c>
      <c r="F58" s="504"/>
      <c r="G58" s="502"/>
      <c r="H58" s="502"/>
      <c r="I58" s="505"/>
      <c r="J58" s="504"/>
      <c r="K58" s="502"/>
      <c r="L58" s="502"/>
      <c r="M58" s="506"/>
      <c r="N58" s="507"/>
      <c r="O58" s="507"/>
      <c r="P58"/>
      <c r="Q58" s="9">
        <f t="shared" si="102"/>
        <v>0</v>
      </c>
      <c r="R58" s="10">
        <f t="shared" si="103"/>
        <v>0</v>
      </c>
      <c r="S58" s="10">
        <f t="shared" si="104"/>
        <v>0</v>
      </c>
      <c r="T58" s="1">
        <f t="shared" si="105"/>
        <v>0</v>
      </c>
      <c r="U58" s="1">
        <f t="shared" si="106"/>
        <v>0</v>
      </c>
      <c r="V58" s="1">
        <f t="shared" si="107"/>
        <v>0</v>
      </c>
      <c r="W58" s="7">
        <f t="shared" si="108"/>
        <v>0</v>
      </c>
      <c r="X58" s="9">
        <f t="shared" si="84"/>
        <v>0</v>
      </c>
      <c r="Y58" s="10">
        <f t="shared" si="85"/>
        <v>0</v>
      </c>
      <c r="Z58" s="1">
        <f t="shared" si="86"/>
        <v>0</v>
      </c>
      <c r="AA58" s="8">
        <f t="shared" si="87"/>
        <v>0</v>
      </c>
    </row>
    <row r="59" spans="1:27" s="2" customFormat="1">
      <c r="A59" s="321"/>
      <c r="B59" s="240" t="str">
        <f>'RFQ response'!C54</f>
        <v xml:space="preserve"> -</v>
      </c>
      <c r="C59" s="237" t="str">
        <f>'RFQ response'!E54</f>
        <v>Handling drop</v>
      </c>
      <c r="D59" s="74" t="str">
        <f>'RFQ response'!D54</f>
        <v>REQ-0945119</v>
      </c>
      <c r="E59" s="238" t="str">
        <f>'RFQ response'!K54</f>
        <v>NA</v>
      </c>
      <c r="F59" s="75"/>
      <c r="G59" s="74"/>
      <c r="H59" s="74"/>
      <c r="I59" s="95"/>
      <c r="J59" s="75"/>
      <c r="K59" s="74"/>
      <c r="L59" s="74"/>
      <c r="M59" s="173"/>
      <c r="N59" s="239"/>
      <c r="O59" s="239"/>
      <c r="P59"/>
      <c r="Q59" s="9">
        <f t="shared" si="102"/>
        <v>0</v>
      </c>
      <c r="R59" s="10">
        <f t="shared" si="103"/>
        <v>0</v>
      </c>
      <c r="S59" s="10">
        <f t="shared" si="104"/>
        <v>0</v>
      </c>
      <c r="T59" s="1">
        <f t="shared" si="105"/>
        <v>0</v>
      </c>
      <c r="U59" s="1">
        <f t="shared" si="106"/>
        <v>0</v>
      </c>
      <c r="V59" s="1">
        <f t="shared" si="107"/>
        <v>0</v>
      </c>
      <c r="W59" s="7">
        <f t="shared" si="108"/>
        <v>0</v>
      </c>
      <c r="X59" s="9">
        <f t="shared" si="84"/>
        <v>0</v>
      </c>
      <c r="Y59" s="10">
        <f t="shared" si="85"/>
        <v>0</v>
      </c>
      <c r="Z59" s="1">
        <f t="shared" si="86"/>
        <v>0</v>
      </c>
      <c r="AA59" s="8">
        <f t="shared" si="87"/>
        <v>0</v>
      </c>
    </row>
    <row r="60" spans="1:27" s="2" customFormat="1">
      <c r="A60" s="321"/>
      <c r="B60" s="240" t="str">
        <f>'RFQ response'!C55</f>
        <v>MEAE</v>
      </c>
      <c r="C60" s="237" t="str">
        <f>'RFQ response'!E55</f>
        <v>Mechanical (hydraulic) and electrical activation endurance</v>
      </c>
      <c r="D60" s="74" t="str">
        <f>'RFQ response'!D55</f>
        <v>REQ-0945118</v>
      </c>
      <c r="E60" s="238" t="str">
        <f>'RFQ response'!K55</f>
        <v>NA</v>
      </c>
      <c r="F60" s="75"/>
      <c r="G60" s="74"/>
      <c r="H60" s="74"/>
      <c r="I60" s="95"/>
      <c r="J60" s="75"/>
      <c r="K60" s="74"/>
      <c r="L60" s="74"/>
      <c r="M60" s="173"/>
      <c r="N60" s="239"/>
      <c r="O60" s="239"/>
      <c r="P60"/>
      <c r="Q60" s="9">
        <f t="shared" si="102"/>
        <v>0</v>
      </c>
      <c r="R60" s="10">
        <f t="shared" si="103"/>
        <v>0</v>
      </c>
      <c r="S60" s="10">
        <f t="shared" si="104"/>
        <v>0</v>
      </c>
      <c r="T60" s="1">
        <f t="shared" si="105"/>
        <v>0</v>
      </c>
      <c r="U60" s="1">
        <f t="shared" si="106"/>
        <v>0</v>
      </c>
      <c r="V60" s="1">
        <f t="shared" si="107"/>
        <v>0</v>
      </c>
      <c r="W60" s="7">
        <f t="shared" si="108"/>
        <v>0</v>
      </c>
      <c r="X60" s="9">
        <f t="shared" si="84"/>
        <v>0</v>
      </c>
      <c r="Y60" s="10">
        <f t="shared" si="85"/>
        <v>0</v>
      </c>
      <c r="Z60" s="1">
        <f t="shared" si="86"/>
        <v>0</v>
      </c>
      <c r="AA60" s="8">
        <f t="shared" si="87"/>
        <v>0</v>
      </c>
    </row>
    <row r="61" spans="1:27" s="2" customFormat="1">
      <c r="A61" s="321"/>
      <c r="B61" s="240" t="str">
        <f>'RFQ response'!C56</f>
        <v xml:space="preserve"> -</v>
      </c>
      <c r="C61" s="546" t="str">
        <f>'RFQ response'!E56</f>
        <v>Gravel bombardment</v>
      </c>
      <c r="D61" s="547" t="str">
        <f>'RFQ response'!D56</f>
        <v xml:space="preserve"> -</v>
      </c>
      <c r="E61" s="548" t="str">
        <f>'RFQ response'!K56</f>
        <v>NA</v>
      </c>
      <c r="F61" s="504"/>
      <c r="G61" s="502"/>
      <c r="H61" s="502"/>
      <c r="I61" s="505"/>
      <c r="J61" s="504"/>
      <c r="K61" s="502"/>
      <c r="L61" s="502"/>
      <c r="M61" s="506"/>
      <c r="N61" s="507"/>
      <c r="O61" s="507"/>
      <c r="P61"/>
      <c r="Q61" s="9">
        <f t="shared" si="102"/>
        <v>0</v>
      </c>
      <c r="R61" s="10">
        <f t="shared" si="103"/>
        <v>0</v>
      </c>
      <c r="S61" s="10">
        <f t="shared" si="104"/>
        <v>0</v>
      </c>
      <c r="T61" s="1">
        <f t="shared" si="105"/>
        <v>0</v>
      </c>
      <c r="U61" s="1">
        <f t="shared" si="106"/>
        <v>0</v>
      </c>
      <c r="V61" s="1">
        <f t="shared" si="107"/>
        <v>0</v>
      </c>
      <c r="W61" s="7">
        <f t="shared" si="108"/>
        <v>0</v>
      </c>
      <c r="X61" s="9">
        <f t="shared" si="84"/>
        <v>0</v>
      </c>
      <c r="Y61" s="10">
        <f t="shared" si="85"/>
        <v>0</v>
      </c>
      <c r="Z61" s="1">
        <f t="shared" si="86"/>
        <v>0</v>
      </c>
      <c r="AA61" s="8">
        <f t="shared" si="87"/>
        <v>0</v>
      </c>
    </row>
    <row r="62" spans="1:27" s="2" customFormat="1">
      <c r="A62" s="321"/>
      <c r="B62" s="240" t="str">
        <f>'RFQ response'!C57</f>
        <v>SMT1.1</v>
      </c>
      <c r="C62" s="237" t="str">
        <f>'RFQ response'!E57</f>
        <v>Pull Test (200N)</v>
      </c>
      <c r="D62" s="74" t="str">
        <f>'RFQ response'!D57</f>
        <v>REQ-0945079</v>
      </c>
      <c r="E62" s="238" t="str">
        <f>'RFQ response'!K57</f>
        <v>NA</v>
      </c>
      <c r="F62" s="75"/>
      <c r="G62" s="74"/>
      <c r="H62" s="74"/>
      <c r="I62" s="95"/>
      <c r="J62" s="75"/>
      <c r="K62" s="74"/>
      <c r="L62" s="74"/>
      <c r="M62" s="173"/>
      <c r="N62" s="239"/>
      <c r="O62" s="239"/>
      <c r="P62"/>
      <c r="Q62" s="9">
        <f t="shared" si="102"/>
        <v>0</v>
      </c>
      <c r="R62" s="10">
        <f t="shared" si="103"/>
        <v>0</v>
      </c>
      <c r="S62" s="10">
        <f t="shared" si="104"/>
        <v>0</v>
      </c>
      <c r="T62" s="1">
        <f t="shared" si="105"/>
        <v>0</v>
      </c>
      <c r="U62" s="1">
        <f t="shared" si="106"/>
        <v>0</v>
      </c>
      <c r="V62" s="1">
        <f t="shared" si="107"/>
        <v>0</v>
      </c>
      <c r="W62" s="7">
        <f t="shared" si="108"/>
        <v>0</v>
      </c>
      <c r="X62" s="9">
        <f t="shared" si="84"/>
        <v>0</v>
      </c>
      <c r="Y62" s="10">
        <f t="shared" si="85"/>
        <v>0</v>
      </c>
      <c r="Z62" s="1">
        <f t="shared" si="86"/>
        <v>0</v>
      </c>
      <c r="AA62" s="8">
        <f t="shared" si="87"/>
        <v>0</v>
      </c>
    </row>
    <row r="63" spans="1:27" s="2" customFormat="1">
      <c r="A63" s="321"/>
      <c r="B63" s="240" t="str">
        <f>'RFQ response'!C58</f>
        <v>SMT1.2</v>
      </c>
      <c r="C63" s="237" t="str">
        <f>'RFQ response'!E58</f>
        <v>Pull Test (400N)</v>
      </c>
      <c r="D63" s="74" t="str">
        <f>'RFQ response'!D58</f>
        <v>REQ-0945090</v>
      </c>
      <c r="E63" s="238" t="str">
        <f>'RFQ response'!K58</f>
        <v>NA</v>
      </c>
      <c r="F63" s="75"/>
      <c r="G63" s="74"/>
      <c r="H63" s="74"/>
      <c r="I63" s="95"/>
      <c r="J63" s="75"/>
      <c r="K63" s="74"/>
      <c r="L63" s="74"/>
      <c r="M63" s="173"/>
      <c r="N63" s="239"/>
      <c r="O63" s="239"/>
      <c r="P63"/>
      <c r="Q63" s="9">
        <f t="shared" si="102"/>
        <v>0</v>
      </c>
      <c r="R63" s="10">
        <f t="shared" si="103"/>
        <v>0</v>
      </c>
      <c r="S63" s="10">
        <f t="shared" si="104"/>
        <v>0</v>
      </c>
      <c r="T63" s="1">
        <f t="shared" si="105"/>
        <v>0</v>
      </c>
      <c r="U63" s="1">
        <f t="shared" si="106"/>
        <v>0</v>
      </c>
      <c r="V63" s="1">
        <f t="shared" si="107"/>
        <v>0</v>
      </c>
      <c r="W63" s="7">
        <f t="shared" si="108"/>
        <v>0</v>
      </c>
      <c r="X63" s="9">
        <f t="shared" si="84"/>
        <v>0</v>
      </c>
      <c r="Y63" s="10">
        <f t="shared" si="85"/>
        <v>0</v>
      </c>
      <c r="Z63" s="1">
        <f t="shared" si="86"/>
        <v>0</v>
      </c>
      <c r="AA63" s="8">
        <f t="shared" si="87"/>
        <v>0</v>
      </c>
    </row>
    <row r="64" spans="1:27" s="2" customFormat="1">
      <c r="A64" s="321"/>
      <c r="B64" s="240" t="str">
        <f>'RFQ response'!C59</f>
        <v>SMT2.2</v>
      </c>
      <c r="C64" s="237" t="str">
        <f>'RFQ response'!E59</f>
        <v>Folding, unfolding and adjustment noise</v>
      </c>
      <c r="D64" s="74" t="str">
        <f>'RFQ response'!D59</f>
        <v>REQ-0945146</v>
      </c>
      <c r="E64" s="238" t="str">
        <f>'RFQ response'!K59</f>
        <v>NA</v>
      </c>
      <c r="F64" s="75"/>
      <c r="G64" s="74"/>
      <c r="H64" s="74"/>
      <c r="I64" s="95"/>
      <c r="J64" s="75"/>
      <c r="K64" s="74"/>
      <c r="L64" s="74"/>
      <c r="M64" s="173"/>
      <c r="N64" s="239"/>
      <c r="O64" s="239"/>
      <c r="P64"/>
      <c r="Q64" s="9">
        <f t="shared" si="102"/>
        <v>0</v>
      </c>
      <c r="R64" s="10">
        <f t="shared" si="103"/>
        <v>0</v>
      </c>
      <c r="S64" s="10">
        <f t="shared" si="104"/>
        <v>0</v>
      </c>
      <c r="T64" s="1">
        <f t="shared" si="105"/>
        <v>0</v>
      </c>
      <c r="U64" s="1">
        <f t="shared" si="106"/>
        <v>0</v>
      </c>
      <c r="V64" s="1">
        <f t="shared" si="107"/>
        <v>0</v>
      </c>
      <c r="W64" s="7">
        <f t="shared" si="108"/>
        <v>0</v>
      </c>
      <c r="X64" s="9">
        <f t="shared" si="84"/>
        <v>0</v>
      </c>
      <c r="Y64" s="10">
        <f t="shared" si="85"/>
        <v>0</v>
      </c>
      <c r="Z64" s="1">
        <f t="shared" si="86"/>
        <v>0</v>
      </c>
      <c r="AA64" s="8">
        <f t="shared" si="87"/>
        <v>0</v>
      </c>
    </row>
    <row r="65" spans="1:27" s="2" customFormat="1">
      <c r="A65" s="321"/>
      <c r="B65" s="240" t="str">
        <f>'RFQ response'!C60</f>
        <v>SMT2.3</v>
      </c>
      <c r="C65" s="237" t="str">
        <f>'RFQ response'!E60</f>
        <v>Electronic noise</v>
      </c>
      <c r="D65" s="74" t="str">
        <f>'RFQ response'!D60</f>
        <v>REQ-0945147</v>
      </c>
      <c r="E65" s="238" t="str">
        <f>'RFQ response'!K60</f>
        <v>NA</v>
      </c>
      <c r="F65" s="75"/>
      <c r="G65" s="74"/>
      <c r="H65" s="74"/>
      <c r="I65" s="95"/>
      <c r="J65" s="75"/>
      <c r="K65" s="74"/>
      <c r="L65" s="74"/>
      <c r="M65" s="173"/>
      <c r="N65" s="239"/>
      <c r="O65" s="239"/>
      <c r="P65"/>
      <c r="Q65" s="9">
        <f t="shared" si="102"/>
        <v>0</v>
      </c>
      <c r="R65" s="10">
        <f t="shared" si="103"/>
        <v>0</v>
      </c>
      <c r="S65" s="10">
        <f t="shared" si="104"/>
        <v>0</v>
      </c>
      <c r="T65" s="1">
        <f t="shared" si="105"/>
        <v>0</v>
      </c>
      <c r="U65" s="1">
        <f t="shared" si="106"/>
        <v>0</v>
      </c>
      <c r="V65" s="1">
        <f t="shared" si="107"/>
        <v>0</v>
      </c>
      <c r="W65" s="7">
        <f t="shared" si="108"/>
        <v>0</v>
      </c>
      <c r="X65" s="9">
        <f t="shared" si="84"/>
        <v>0</v>
      </c>
      <c r="Y65" s="10">
        <f t="shared" si="85"/>
        <v>0</v>
      </c>
      <c r="Z65" s="1">
        <f t="shared" si="86"/>
        <v>0</v>
      </c>
      <c r="AA65" s="8">
        <f t="shared" si="87"/>
        <v>0</v>
      </c>
    </row>
    <row r="66" spans="1:27" s="2" customFormat="1">
      <c r="A66" s="321"/>
      <c r="B66" s="240" t="str">
        <f>'RFQ response'!C61</f>
        <v>SMT3</v>
      </c>
      <c r="C66" s="237" t="str">
        <f>'RFQ response'!E61</f>
        <v>Unwanted noise – Vibratory organic test</v>
      </c>
      <c r="D66" s="74" t="str">
        <f>'RFQ response'!D61</f>
        <v>REQ-0945148</v>
      </c>
      <c r="E66" s="238" t="str">
        <f>'RFQ response'!K61</f>
        <v>NA</v>
      </c>
      <c r="F66" s="75"/>
      <c r="G66" s="74"/>
      <c r="H66" s="74"/>
      <c r="I66" s="95"/>
      <c r="J66" s="75"/>
      <c r="K66" s="74"/>
      <c r="L66" s="74"/>
      <c r="M66" s="173"/>
      <c r="N66" s="239"/>
      <c r="O66" s="239"/>
      <c r="P66"/>
      <c r="Q66" s="9">
        <f t="shared" si="102"/>
        <v>0</v>
      </c>
      <c r="R66" s="10">
        <f t="shared" si="103"/>
        <v>0</v>
      </c>
      <c r="S66" s="10">
        <f t="shared" si="104"/>
        <v>0</v>
      </c>
      <c r="T66" s="1">
        <f t="shared" si="105"/>
        <v>0</v>
      </c>
      <c r="U66" s="1">
        <f t="shared" si="106"/>
        <v>0</v>
      </c>
      <c r="V66" s="1">
        <f t="shared" si="107"/>
        <v>0</v>
      </c>
      <c r="W66" s="7">
        <f t="shared" si="108"/>
        <v>0</v>
      </c>
      <c r="X66" s="9">
        <f t="shared" si="84"/>
        <v>0</v>
      </c>
      <c r="Y66" s="10">
        <f t="shared" si="85"/>
        <v>0</v>
      </c>
      <c r="Z66" s="1">
        <f t="shared" si="86"/>
        <v>0</v>
      </c>
      <c r="AA66" s="8">
        <f t="shared" si="87"/>
        <v>0</v>
      </c>
    </row>
    <row r="67" spans="1:27" s="2" customFormat="1" ht="15" customHeight="1">
      <c r="A67" s="321"/>
      <c r="B67" s="240" t="str">
        <f>'RFQ response'!C62</f>
        <v>SMT5</v>
      </c>
      <c r="C67" s="237" t="str">
        <f>'RFQ response'!E62</f>
        <v>Endurance test of folding/unfolding of the combiner</v>
      </c>
      <c r="D67" s="74" t="str">
        <f>'RFQ response'!D62</f>
        <v>REQ-0945151</v>
      </c>
      <c r="E67" s="238" t="str">
        <f>'RFQ response'!K62</f>
        <v>NA</v>
      </c>
      <c r="F67" s="75"/>
      <c r="G67" s="74"/>
      <c r="H67" s="74"/>
      <c r="I67" s="95"/>
      <c r="J67" s="75"/>
      <c r="K67" s="74"/>
      <c r="L67" s="74"/>
      <c r="M67" s="173"/>
      <c r="N67" s="239"/>
      <c r="O67" s="239"/>
      <c r="P67"/>
      <c r="Q67" s="9">
        <f t="shared" si="102"/>
        <v>0</v>
      </c>
      <c r="R67" s="10">
        <f t="shared" si="103"/>
        <v>0</v>
      </c>
      <c r="S67" s="10">
        <f t="shared" si="104"/>
        <v>0</v>
      </c>
      <c r="T67" s="1">
        <f t="shared" si="105"/>
        <v>0</v>
      </c>
      <c r="U67" s="1">
        <f t="shared" si="106"/>
        <v>0</v>
      </c>
      <c r="V67" s="1">
        <f t="shared" si="107"/>
        <v>0</v>
      </c>
      <c r="W67" s="7">
        <f t="shared" si="108"/>
        <v>0</v>
      </c>
      <c r="X67" s="9">
        <f t="shared" si="84"/>
        <v>0</v>
      </c>
      <c r="Y67" s="10">
        <f t="shared" si="85"/>
        <v>0</v>
      </c>
      <c r="Z67" s="1">
        <f t="shared" si="86"/>
        <v>0</v>
      </c>
      <c r="AA67" s="8">
        <f t="shared" si="87"/>
        <v>0</v>
      </c>
    </row>
    <row r="68" spans="1:27" s="2" customFormat="1" ht="15" customHeight="1">
      <c r="A68" s="321"/>
      <c r="B68" s="240" t="str">
        <f>'RFQ response'!C63</f>
        <v>SMT6.1</v>
      </c>
      <c r="C68" s="237" t="str">
        <f>'RFQ response'!E63</f>
        <v>Capacitive detection test without gloves</v>
      </c>
      <c r="D68" s="74" t="str">
        <f>'RFQ response'!D63</f>
        <v>REQ-0945152</v>
      </c>
      <c r="E68" s="238" t="str">
        <f>'RFQ response'!K63</f>
        <v>NA</v>
      </c>
      <c r="F68" s="75"/>
      <c r="G68" s="74"/>
      <c r="H68" s="74"/>
      <c r="I68" s="95"/>
      <c r="J68" s="75"/>
      <c r="K68" s="74"/>
      <c r="L68" s="74"/>
      <c r="M68" s="173"/>
      <c r="N68" s="239"/>
      <c r="O68" s="239"/>
      <c r="P68"/>
      <c r="Q68" s="9"/>
      <c r="R68" s="10"/>
      <c r="S68" s="10"/>
      <c r="T68" s="1"/>
      <c r="U68" s="1"/>
      <c r="V68" s="1"/>
      <c r="W68" s="7"/>
      <c r="X68" s="9"/>
      <c r="Y68" s="10"/>
      <c r="Z68" s="1"/>
      <c r="AA68" s="8"/>
    </row>
    <row r="69" spans="1:27" s="2" customFormat="1" ht="15" customHeight="1">
      <c r="A69" s="321"/>
      <c r="B69" s="240" t="str">
        <f>'RFQ response'!C64</f>
        <v>SMT6.2</v>
      </c>
      <c r="C69" s="237" t="str">
        <f>'RFQ response'!E64</f>
        <v>Capacitive detection test with thin gloves</v>
      </c>
      <c r="D69" s="74" t="str">
        <f>'RFQ response'!D64</f>
        <v>REQ-0945153</v>
      </c>
      <c r="E69" s="238" t="str">
        <f>'RFQ response'!K64</f>
        <v>NA</v>
      </c>
      <c r="F69" s="75"/>
      <c r="G69" s="74"/>
      <c r="H69" s="74"/>
      <c r="I69" s="95"/>
      <c r="J69" s="75"/>
      <c r="K69" s="74"/>
      <c r="L69" s="74"/>
      <c r="M69" s="173"/>
      <c r="N69" s="239"/>
      <c r="O69" s="239"/>
      <c r="P69"/>
      <c r="Q69" s="9"/>
      <c r="R69" s="10"/>
      <c r="S69" s="10"/>
      <c r="T69" s="1"/>
      <c r="U69" s="1"/>
      <c r="V69" s="1"/>
      <c r="W69" s="7"/>
      <c r="X69" s="9"/>
      <c r="Y69" s="10"/>
      <c r="Z69" s="1"/>
      <c r="AA69" s="8"/>
    </row>
    <row r="70" spans="1:27" s="2" customFormat="1" ht="15" customHeight="1">
      <c r="A70" s="321"/>
      <c r="B70" s="240" t="str">
        <f>'RFQ response'!C65</f>
        <v>SMT7</v>
      </c>
      <c r="C70" s="237" t="str">
        <f>'RFQ response'!E65</f>
        <v>Edge cover lens hardness test (falling ball)</v>
      </c>
      <c r="D70" s="74" t="str">
        <f>'RFQ response'!D65</f>
        <v>REQ-0945154</v>
      </c>
      <c r="E70" s="238" t="str">
        <f>'RFQ response'!K65</f>
        <v>NA</v>
      </c>
      <c r="F70" s="75"/>
      <c r="G70" s="74"/>
      <c r="H70" s="74"/>
      <c r="I70" s="95"/>
      <c r="J70" s="75"/>
      <c r="K70" s="74"/>
      <c r="L70" s="74"/>
      <c r="M70" s="173"/>
      <c r="N70" s="239"/>
      <c r="O70" s="239"/>
      <c r="P70"/>
      <c r="Q70" s="9"/>
      <c r="R70" s="10"/>
      <c r="S70" s="10"/>
      <c r="T70" s="1"/>
      <c r="U70" s="1"/>
      <c r="V70" s="1"/>
      <c r="W70" s="7"/>
      <c r="X70" s="9"/>
      <c r="Y70" s="10"/>
      <c r="Z70" s="1"/>
      <c r="AA70" s="8"/>
    </row>
    <row r="71" spans="1:27" s="2" customFormat="1" ht="15" customHeight="1">
      <c r="A71" s="321"/>
      <c r="B71" s="240" t="str">
        <f>'RFQ response'!C66</f>
        <v>SMT8.1</v>
      </c>
      <c r="C71" s="237" t="str">
        <f>'RFQ response'!E66</f>
        <v>Indentation</v>
      </c>
      <c r="D71" s="74" t="str">
        <f>'RFQ response'!D66</f>
        <v>REQ-0945091</v>
      </c>
      <c r="E71" s="238" t="str">
        <f>'RFQ response'!K66</f>
        <v>NA</v>
      </c>
      <c r="F71" s="75"/>
      <c r="G71" s="74"/>
      <c r="H71" s="74"/>
      <c r="I71" s="95"/>
      <c r="J71" s="75"/>
      <c r="K71" s="74"/>
      <c r="L71" s="74"/>
      <c r="M71" s="173"/>
      <c r="N71" s="239"/>
      <c r="O71" s="239"/>
      <c r="P71"/>
      <c r="Q71" s="9"/>
      <c r="R71" s="10"/>
      <c r="S71" s="10"/>
      <c r="T71" s="1"/>
      <c r="U71" s="1"/>
      <c r="V71" s="1"/>
      <c r="W71" s="7"/>
      <c r="X71" s="9"/>
      <c r="Y71" s="10"/>
      <c r="Z71" s="1"/>
      <c r="AA71" s="8"/>
    </row>
    <row r="72" spans="1:27" s="2" customFormat="1" ht="33.75">
      <c r="A72" s="321"/>
      <c r="B72" s="240" t="str">
        <f>'RFQ response'!C67</f>
        <v>SMT8.2</v>
      </c>
      <c r="C72" s="237" t="str">
        <f>'RFQ response'!E67</f>
        <v>Rigidity of the frontage</v>
      </c>
      <c r="D72" s="74" t="str">
        <f>'RFQ response'!D67</f>
        <v>REQ-0945162
REQ-0945180
REQ-0945181</v>
      </c>
      <c r="E72" s="238" t="str">
        <f>'RFQ response'!K67</f>
        <v>NA</v>
      </c>
      <c r="F72" s="75"/>
      <c r="G72" s="74"/>
      <c r="H72" s="74"/>
      <c r="I72" s="95"/>
      <c r="J72" s="75"/>
      <c r="K72" s="74"/>
      <c r="L72" s="74"/>
      <c r="M72" s="173"/>
      <c r="N72" s="239"/>
      <c r="O72" s="239"/>
      <c r="P72"/>
      <c r="Q72" s="9"/>
      <c r="R72" s="10"/>
      <c r="S72" s="10"/>
      <c r="T72" s="1"/>
      <c r="U72" s="1"/>
      <c r="V72" s="1"/>
      <c r="W72" s="7"/>
      <c r="X72" s="9"/>
      <c r="Y72" s="10"/>
      <c r="Z72" s="1"/>
      <c r="AA72" s="8"/>
    </row>
    <row r="73" spans="1:27" s="2" customFormat="1" ht="15" customHeight="1">
      <c r="A73" s="321"/>
      <c r="B73" s="240" t="str">
        <f>'RFQ response'!C68</f>
        <v>SMT8.4</v>
      </c>
      <c r="C73" s="237" t="str">
        <f>'RFQ response'!E68</f>
        <v>Exceptional effort on the floating display</v>
      </c>
      <c r="D73" s="74" t="str">
        <f>'RFQ response'!D68</f>
        <v>REQ-0945184</v>
      </c>
      <c r="E73" s="238" t="str">
        <f>'RFQ response'!K68</f>
        <v>NA</v>
      </c>
      <c r="F73" s="75"/>
      <c r="G73" s="74"/>
      <c r="H73" s="74"/>
      <c r="I73" s="95"/>
      <c r="J73" s="75"/>
      <c r="K73" s="74"/>
      <c r="L73" s="74"/>
      <c r="M73" s="173"/>
      <c r="N73" s="239"/>
      <c r="O73" s="239"/>
      <c r="P73"/>
      <c r="Q73" s="9"/>
      <c r="R73" s="10"/>
      <c r="S73" s="10"/>
      <c r="T73" s="1"/>
      <c r="U73" s="1"/>
      <c r="V73" s="1"/>
      <c r="W73" s="7"/>
      <c r="X73" s="9"/>
      <c r="Y73" s="10"/>
      <c r="Z73" s="1"/>
      <c r="AA73" s="8"/>
    </row>
    <row r="74" spans="1:27" s="2" customFormat="1" ht="22.5">
      <c r="A74" s="321"/>
      <c r="B74" s="240" t="str">
        <f>'RFQ response'!C69</f>
        <v>SMT8.5</v>
      </c>
      <c r="C74" s="237" t="str">
        <f>'RFQ response'!E69</f>
        <v>Rigidity of the finger rest</v>
      </c>
      <c r="D74" s="74" t="str">
        <f>'RFQ response'!D69</f>
        <v>REQ-0945185
REQ-0945186</v>
      </c>
      <c r="E74" s="238" t="str">
        <f>'RFQ response'!K69</f>
        <v>NA</v>
      </c>
      <c r="F74" s="75"/>
      <c r="G74" s="74"/>
      <c r="H74" s="74"/>
      <c r="I74" s="95"/>
      <c r="J74" s="75"/>
      <c r="K74" s="74"/>
      <c r="L74" s="74"/>
      <c r="M74" s="173"/>
      <c r="N74" s="239"/>
      <c r="O74" s="239"/>
      <c r="P74"/>
      <c r="Q74" s="9"/>
      <c r="R74" s="10"/>
      <c r="S74" s="10"/>
      <c r="T74" s="1"/>
      <c r="U74" s="1"/>
      <c r="V74" s="1"/>
      <c r="W74" s="7"/>
      <c r="X74" s="9"/>
      <c r="Y74" s="10"/>
      <c r="Z74" s="1"/>
      <c r="AA74" s="8"/>
    </row>
    <row r="75" spans="1:27" s="2" customFormat="1">
      <c r="A75" s="321"/>
      <c r="B75" s="240" t="str">
        <f>'RFQ response'!C70</f>
        <v>SMT9</v>
      </c>
      <c r="C75" s="237" t="str">
        <f>'RFQ response'!E70</f>
        <v>Coatings performance tests for display cover lenses</v>
      </c>
      <c r="D75" s="74" t="str">
        <f>'RFQ response'!D70</f>
        <v>REQ-0945179</v>
      </c>
      <c r="E75" s="238" t="str">
        <f>'RFQ response'!K70</f>
        <v>NA</v>
      </c>
      <c r="F75" s="75"/>
      <c r="G75" s="74"/>
      <c r="H75" s="74"/>
      <c r="I75" s="95"/>
      <c r="J75" s="75"/>
      <c r="K75" s="74"/>
      <c r="L75" s="74"/>
      <c r="M75" s="173"/>
      <c r="N75" s="239"/>
      <c r="O75" s="239"/>
      <c r="P75"/>
      <c r="Q75" s="9"/>
      <c r="R75" s="10"/>
      <c r="S75" s="10"/>
      <c r="T75" s="1"/>
      <c r="U75" s="1"/>
      <c r="V75" s="1"/>
      <c r="W75" s="7"/>
      <c r="X75" s="9"/>
      <c r="Y75" s="10"/>
      <c r="Z75" s="1"/>
      <c r="AA75" s="8"/>
    </row>
    <row r="76" spans="1:27" s="2" customFormat="1" ht="15" customHeight="1">
      <c r="A76" s="321"/>
      <c r="B76" s="805" t="s">
        <v>458</v>
      </c>
      <c r="C76" s="805"/>
      <c r="D76" s="805"/>
      <c r="E76" s="805"/>
      <c r="F76" s="805"/>
      <c r="G76" s="805"/>
      <c r="H76" s="805"/>
      <c r="I76" s="805"/>
      <c r="J76" s="805"/>
      <c r="K76" s="805"/>
      <c r="L76" s="805"/>
      <c r="M76" s="805"/>
      <c r="N76" s="805"/>
      <c r="O76" s="806"/>
      <c r="P76"/>
      <c r="Q76" s="9">
        <f t="shared" si="102"/>
        <v>0</v>
      </c>
      <c r="R76" s="10">
        <f t="shared" si="103"/>
        <v>0</v>
      </c>
      <c r="S76" s="10">
        <f t="shared" si="104"/>
        <v>0</v>
      </c>
      <c r="T76" s="1">
        <f t="shared" si="105"/>
        <v>0</v>
      </c>
      <c r="U76" s="1">
        <f t="shared" si="106"/>
        <v>0</v>
      </c>
      <c r="V76" s="1">
        <f t="shared" si="107"/>
        <v>0</v>
      </c>
      <c r="W76" s="7">
        <f t="shared" si="108"/>
        <v>0</v>
      </c>
      <c r="X76" s="9">
        <f t="shared" si="84"/>
        <v>0</v>
      </c>
      <c r="Y76" s="10">
        <f t="shared" si="85"/>
        <v>0</v>
      </c>
      <c r="Z76" s="1">
        <f t="shared" si="86"/>
        <v>0</v>
      </c>
      <c r="AA76" s="8">
        <f t="shared" si="87"/>
        <v>0</v>
      </c>
    </row>
    <row r="77" spans="1:27" s="2" customFormat="1">
      <c r="A77" s="321"/>
      <c r="B77" s="240" t="str">
        <f>'RFQ response'!C72</f>
        <v>SSTE</v>
      </c>
      <c r="C77" s="237" t="str">
        <f>'RFQ response'!E72</f>
        <v>Shipping / Storage Temperature Exposure</v>
      </c>
      <c r="D77" s="74" t="str">
        <f>'RFQ response'!D72</f>
        <v>REQ-0945155</v>
      </c>
      <c r="E77" s="238" t="str">
        <f>'RFQ response'!K72</f>
        <v>NA</v>
      </c>
      <c r="F77" s="75"/>
      <c r="G77" s="74"/>
      <c r="H77" s="74"/>
      <c r="I77" s="95"/>
      <c r="J77" s="75"/>
      <c r="K77" s="74"/>
      <c r="L77" s="74"/>
      <c r="M77" s="173"/>
      <c r="N77" s="239"/>
      <c r="O77" s="239"/>
      <c r="P77"/>
      <c r="Q77" s="9">
        <f t="shared" si="102"/>
        <v>0</v>
      </c>
      <c r="R77" s="10">
        <f t="shared" si="103"/>
        <v>0</v>
      </c>
      <c r="S77" s="10">
        <f t="shared" si="104"/>
        <v>0</v>
      </c>
      <c r="T77" s="1">
        <f t="shared" si="105"/>
        <v>0</v>
      </c>
      <c r="U77" s="1">
        <f t="shared" si="106"/>
        <v>0</v>
      </c>
      <c r="V77" s="1">
        <f t="shared" si="107"/>
        <v>0</v>
      </c>
      <c r="W77" s="7">
        <f t="shared" si="108"/>
        <v>0</v>
      </c>
      <c r="X77" s="9">
        <f t="shared" si="84"/>
        <v>0</v>
      </c>
      <c r="Y77" s="10">
        <f t="shared" si="85"/>
        <v>0</v>
      </c>
      <c r="Z77" s="1">
        <f t="shared" si="86"/>
        <v>0</v>
      </c>
      <c r="AA77" s="8">
        <f t="shared" si="87"/>
        <v>0</v>
      </c>
    </row>
    <row r="78" spans="1:27" s="2" customFormat="1">
      <c r="A78" s="321"/>
      <c r="B78" s="240" t="str">
        <f>'RFQ response'!C73</f>
        <v>LTOE</v>
      </c>
      <c r="C78" s="237" t="str">
        <f>'RFQ response'!E73</f>
        <v>Low Temperature Operating Endurance</v>
      </c>
      <c r="D78" s="74" t="str">
        <f>'RFQ response'!D73</f>
        <v>REQ-0945156</v>
      </c>
      <c r="E78" s="238" t="str">
        <f>'RFQ response'!K73</f>
        <v>NA</v>
      </c>
      <c r="F78" s="75"/>
      <c r="G78" s="74"/>
      <c r="H78" s="74"/>
      <c r="I78" s="95"/>
      <c r="J78" s="75"/>
      <c r="K78" s="74"/>
      <c r="L78" s="74"/>
      <c r="M78" s="173"/>
      <c r="N78" s="239"/>
      <c r="O78" s="239"/>
      <c r="P78"/>
      <c r="Q78" s="9">
        <f t="shared" si="102"/>
        <v>0</v>
      </c>
      <c r="R78" s="10">
        <f t="shared" si="103"/>
        <v>0</v>
      </c>
      <c r="S78" s="10">
        <f t="shared" si="104"/>
        <v>0</v>
      </c>
      <c r="T78" s="1">
        <f t="shared" si="105"/>
        <v>0</v>
      </c>
      <c r="U78" s="1">
        <f t="shared" si="106"/>
        <v>0</v>
      </c>
      <c r="V78" s="1">
        <f t="shared" si="107"/>
        <v>0</v>
      </c>
      <c r="W78" s="7">
        <f t="shared" si="108"/>
        <v>0</v>
      </c>
      <c r="X78" s="9">
        <f t="shared" si="84"/>
        <v>0</v>
      </c>
      <c r="Y78" s="10">
        <f t="shared" si="85"/>
        <v>0</v>
      </c>
      <c r="Z78" s="1">
        <f t="shared" si="86"/>
        <v>0</v>
      </c>
      <c r="AA78" s="8">
        <f t="shared" si="87"/>
        <v>0</v>
      </c>
    </row>
    <row r="79" spans="1:27" s="2" customFormat="1">
      <c r="A79" s="321"/>
      <c r="B79" s="240" t="str">
        <f>'RFQ response'!C74</f>
        <v>-</v>
      </c>
      <c r="C79" s="237" t="str">
        <f>'RFQ response'!E74</f>
        <v>Temperature Step</v>
      </c>
      <c r="D79" s="74" t="str">
        <f>'RFQ response'!D74</f>
        <v>REQ-0945157</v>
      </c>
      <c r="E79" s="238" t="str">
        <f>'RFQ response'!K74</f>
        <v>NA</v>
      </c>
      <c r="F79" s="75"/>
      <c r="G79" s="74"/>
      <c r="H79" s="74"/>
      <c r="I79" s="95"/>
      <c r="J79" s="75"/>
      <c r="K79" s="74"/>
      <c r="L79" s="74"/>
      <c r="M79" s="173"/>
      <c r="N79" s="239"/>
      <c r="O79" s="239"/>
      <c r="P79"/>
      <c r="Q79" s="9">
        <f t="shared" si="102"/>
        <v>0</v>
      </c>
      <c r="R79" s="10">
        <f t="shared" si="103"/>
        <v>0</v>
      </c>
      <c r="S79" s="10">
        <f t="shared" si="104"/>
        <v>0</v>
      </c>
      <c r="T79" s="1">
        <f t="shared" si="105"/>
        <v>0</v>
      </c>
      <c r="U79" s="1">
        <f t="shared" si="106"/>
        <v>0</v>
      </c>
      <c r="V79" s="1">
        <f t="shared" si="107"/>
        <v>0</v>
      </c>
      <c r="W79" s="7">
        <f t="shared" si="108"/>
        <v>0</v>
      </c>
      <c r="X79" s="9">
        <f t="shared" si="84"/>
        <v>0</v>
      </c>
      <c r="Y79" s="10">
        <f t="shared" si="85"/>
        <v>0</v>
      </c>
      <c r="Z79" s="1">
        <f t="shared" si="86"/>
        <v>0</v>
      </c>
      <c r="AA79" s="8">
        <f t="shared" si="87"/>
        <v>0</v>
      </c>
    </row>
    <row r="80" spans="1:27" s="2" customFormat="1">
      <c r="A80" s="321"/>
      <c r="B80" s="240" t="str">
        <f>'RFQ response'!C75</f>
        <v>HTOE</v>
      </c>
      <c r="C80" s="237" t="str">
        <f>'RFQ response'!E75</f>
        <v>High Temperature Operating Endurance</v>
      </c>
      <c r="D80" s="74" t="str">
        <f>'RFQ response'!D75</f>
        <v>REQ-0945158</v>
      </c>
      <c r="E80" s="238" t="str">
        <f>'RFQ response'!K75</f>
        <v>NA</v>
      </c>
      <c r="F80" s="75"/>
      <c r="G80" s="74"/>
      <c r="H80" s="74"/>
      <c r="I80" s="95"/>
      <c r="J80" s="75"/>
      <c r="K80" s="74"/>
      <c r="L80" s="74"/>
      <c r="M80" s="173"/>
      <c r="N80" s="239"/>
      <c r="O80" s="239"/>
      <c r="P80"/>
      <c r="Q80" s="9">
        <f t="shared" si="102"/>
        <v>0</v>
      </c>
      <c r="R80" s="10">
        <f t="shared" si="103"/>
        <v>0</v>
      </c>
      <c r="S80" s="10">
        <f t="shared" si="104"/>
        <v>0</v>
      </c>
      <c r="T80" s="1">
        <f t="shared" si="105"/>
        <v>0</v>
      </c>
      <c r="U80" s="1">
        <f t="shared" si="106"/>
        <v>0</v>
      </c>
      <c r="V80" s="1">
        <f t="shared" si="107"/>
        <v>0</v>
      </c>
      <c r="W80" s="7">
        <f t="shared" si="108"/>
        <v>0</v>
      </c>
      <c r="X80" s="9">
        <f t="shared" si="84"/>
        <v>0</v>
      </c>
      <c r="Y80" s="10">
        <f t="shared" si="85"/>
        <v>0</v>
      </c>
      <c r="Z80" s="1">
        <f t="shared" si="86"/>
        <v>0</v>
      </c>
      <c r="AA80" s="8">
        <f t="shared" si="87"/>
        <v>0</v>
      </c>
    </row>
    <row r="81" spans="1:27" s="2" customFormat="1">
      <c r="A81" s="321"/>
      <c r="B81" s="240" t="str">
        <f>'RFQ response'!C76</f>
        <v>PTCE</v>
      </c>
      <c r="C81" s="237" t="str">
        <f>'RFQ response'!E76</f>
        <v>Power Thermal Cycle Endurance</v>
      </c>
      <c r="D81" s="74" t="str">
        <f>'RFQ response'!D76</f>
        <v>REQ-0945163</v>
      </c>
      <c r="E81" s="238" t="str">
        <f>'RFQ response'!K76</f>
        <v>NA</v>
      </c>
      <c r="F81" s="75"/>
      <c r="G81" s="74"/>
      <c r="H81" s="74"/>
      <c r="I81" s="95"/>
      <c r="J81" s="75"/>
      <c r="K81" s="74"/>
      <c r="L81" s="74"/>
      <c r="M81" s="173"/>
      <c r="N81" s="239"/>
      <c r="O81" s="239"/>
      <c r="P81"/>
      <c r="Q81" s="9">
        <f t="shared" si="102"/>
        <v>0</v>
      </c>
      <c r="R81" s="10">
        <f t="shared" si="103"/>
        <v>0</v>
      </c>
      <c r="S81" s="10">
        <f t="shared" si="104"/>
        <v>0</v>
      </c>
      <c r="T81" s="1">
        <f t="shared" si="105"/>
        <v>0</v>
      </c>
      <c r="U81" s="1">
        <f t="shared" si="106"/>
        <v>0</v>
      </c>
      <c r="V81" s="1">
        <f t="shared" si="107"/>
        <v>0</v>
      </c>
      <c r="W81" s="7">
        <f t="shared" si="108"/>
        <v>0</v>
      </c>
      <c r="X81" s="9">
        <f t="shared" si="84"/>
        <v>0</v>
      </c>
      <c r="Y81" s="10">
        <f t="shared" si="85"/>
        <v>0</v>
      </c>
      <c r="Z81" s="1">
        <f t="shared" si="86"/>
        <v>0</v>
      </c>
      <c r="AA81" s="8">
        <f t="shared" si="87"/>
        <v>0</v>
      </c>
    </row>
    <row r="82" spans="1:27" s="2" customFormat="1">
      <c r="A82" s="321"/>
      <c r="B82" s="240" t="str">
        <f>'RFQ response'!C77</f>
        <v>TS</v>
      </c>
      <c r="C82" s="237" t="str">
        <f>'RFQ response'!E77</f>
        <v>Thermal Shock</v>
      </c>
      <c r="D82" s="74" t="str">
        <f>'RFQ response'!D77</f>
        <v>REQ-0945159</v>
      </c>
      <c r="E82" s="238" t="str">
        <f>'RFQ response'!K77</f>
        <v>NA</v>
      </c>
      <c r="F82" s="75"/>
      <c r="G82" s="74"/>
      <c r="H82" s="74"/>
      <c r="I82" s="95"/>
      <c r="J82" s="75"/>
      <c r="K82" s="74"/>
      <c r="L82" s="74"/>
      <c r="M82" s="173"/>
      <c r="N82" s="239"/>
      <c r="O82" s="239"/>
      <c r="P82"/>
      <c r="Q82" s="9">
        <f t="shared" si="102"/>
        <v>0</v>
      </c>
      <c r="R82" s="10">
        <f t="shared" si="103"/>
        <v>0</v>
      </c>
      <c r="S82" s="10">
        <f t="shared" si="104"/>
        <v>0</v>
      </c>
      <c r="T82" s="1">
        <f t="shared" si="105"/>
        <v>0</v>
      </c>
      <c r="U82" s="1">
        <f t="shared" si="106"/>
        <v>0</v>
      </c>
      <c r="V82" s="1">
        <f t="shared" si="107"/>
        <v>0</v>
      </c>
      <c r="W82" s="7">
        <f t="shared" si="108"/>
        <v>0</v>
      </c>
      <c r="X82" s="9">
        <f t="shared" si="84"/>
        <v>0</v>
      </c>
      <c r="Y82" s="10">
        <f t="shared" si="85"/>
        <v>0</v>
      </c>
      <c r="Z82" s="1">
        <f t="shared" si="86"/>
        <v>0</v>
      </c>
      <c r="AA82" s="8">
        <f t="shared" si="87"/>
        <v>0</v>
      </c>
    </row>
    <row r="83" spans="1:27" s="2" customFormat="1">
      <c r="A83" s="321"/>
      <c r="B83" s="240" t="str">
        <f>'RFQ response'!C78</f>
        <v>THC</v>
      </c>
      <c r="C83" s="237" t="str">
        <f>'RFQ response'!E78</f>
        <v>Thermal Humidity Cycle</v>
      </c>
      <c r="D83" s="74" t="str">
        <f>'RFQ response'!D78</f>
        <v>REQ-0945160</v>
      </c>
      <c r="E83" s="238" t="str">
        <f>'RFQ response'!K78</f>
        <v>NA</v>
      </c>
      <c r="F83" s="75"/>
      <c r="G83" s="74"/>
      <c r="H83" s="74"/>
      <c r="I83" s="95"/>
      <c r="J83" s="75"/>
      <c r="K83" s="74"/>
      <c r="L83" s="74"/>
      <c r="M83" s="173"/>
      <c r="N83" s="239"/>
      <c r="O83" s="239"/>
      <c r="P83"/>
      <c r="Q83" s="9">
        <f t="shared" si="102"/>
        <v>0</v>
      </c>
      <c r="R83" s="10">
        <f t="shared" si="103"/>
        <v>0</v>
      </c>
      <c r="S83" s="10">
        <f t="shared" si="104"/>
        <v>0</v>
      </c>
      <c r="T83" s="1">
        <f t="shared" si="105"/>
        <v>0</v>
      </c>
      <c r="U83" s="1">
        <f t="shared" si="106"/>
        <v>0</v>
      </c>
      <c r="V83" s="1">
        <f t="shared" si="107"/>
        <v>0</v>
      </c>
      <c r="W83" s="7">
        <f t="shared" si="108"/>
        <v>0</v>
      </c>
      <c r="X83" s="9">
        <f t="shared" si="84"/>
        <v>0</v>
      </c>
      <c r="Y83" s="10">
        <f t="shared" si="85"/>
        <v>0</v>
      </c>
      <c r="Z83" s="1">
        <f t="shared" si="86"/>
        <v>0</v>
      </c>
      <c r="AA83" s="8">
        <f t="shared" si="87"/>
        <v>0</v>
      </c>
    </row>
    <row r="84" spans="1:27" s="2" customFormat="1">
      <c r="A84" s="321"/>
      <c r="B84" s="240" t="str">
        <f>'RFQ response'!C79</f>
        <v>HTHE</v>
      </c>
      <c r="C84" s="237" t="str">
        <f>'RFQ response'!E79</f>
        <v>High Temperature &amp; High Humidity Endurance</v>
      </c>
      <c r="D84" s="74" t="str">
        <f>'RFQ response'!D79</f>
        <v>REQ-0945161</v>
      </c>
      <c r="E84" s="238" t="str">
        <f>'RFQ response'!K79</f>
        <v>NA</v>
      </c>
      <c r="F84" s="75"/>
      <c r="G84" s="74"/>
      <c r="H84" s="74"/>
      <c r="I84" s="95"/>
      <c r="J84" s="75"/>
      <c r="K84" s="74"/>
      <c r="L84" s="74"/>
      <c r="M84" s="173"/>
      <c r="N84" s="239"/>
      <c r="O84" s="239"/>
      <c r="P84"/>
      <c r="Q84" s="9">
        <f t="shared" si="102"/>
        <v>0</v>
      </c>
      <c r="R84" s="10">
        <f t="shared" si="103"/>
        <v>0</v>
      </c>
      <c r="S84" s="10">
        <f t="shared" si="104"/>
        <v>0</v>
      </c>
      <c r="T84" s="1">
        <f t="shared" si="105"/>
        <v>0</v>
      </c>
      <c r="U84" s="1">
        <f t="shared" si="106"/>
        <v>0</v>
      </c>
      <c r="V84" s="1">
        <f t="shared" si="107"/>
        <v>0</v>
      </c>
      <c r="W84" s="7">
        <f t="shared" si="108"/>
        <v>0</v>
      </c>
      <c r="X84" s="9">
        <f t="shared" si="84"/>
        <v>0</v>
      </c>
      <c r="Y84" s="10">
        <f t="shared" si="85"/>
        <v>0</v>
      </c>
      <c r="Z84" s="1">
        <f t="shared" si="86"/>
        <v>0</v>
      </c>
      <c r="AA84" s="8">
        <f t="shared" si="87"/>
        <v>0</v>
      </c>
    </row>
    <row r="85" spans="1:27" s="2" customFormat="1">
      <c r="A85" s="321"/>
      <c r="B85" s="240" t="str">
        <f>'RFQ response'!C80</f>
        <v>CL06</v>
      </c>
      <c r="C85" s="237" t="str">
        <f>'RFQ response'!E80</f>
        <v>Self-heating measurement</v>
      </c>
      <c r="D85" s="74" t="str">
        <f>'RFQ response'!D80</f>
        <v>REQ-0945127</v>
      </c>
      <c r="E85" s="238" t="str">
        <f>'RFQ response'!K80</f>
        <v>NA</v>
      </c>
      <c r="F85" s="75"/>
      <c r="G85" s="74"/>
      <c r="H85" s="74"/>
      <c r="I85" s="95"/>
      <c r="J85" s="75"/>
      <c r="K85" s="74"/>
      <c r="L85" s="74"/>
      <c r="M85" s="173"/>
      <c r="N85" s="239"/>
      <c r="O85" s="239"/>
      <c r="P85"/>
      <c r="Q85" s="9">
        <f t="shared" si="102"/>
        <v>0</v>
      </c>
      <c r="R85" s="10">
        <f t="shared" si="103"/>
        <v>0</v>
      </c>
      <c r="S85" s="10">
        <f t="shared" si="104"/>
        <v>0</v>
      </c>
      <c r="T85" s="1">
        <f t="shared" si="105"/>
        <v>0</v>
      </c>
      <c r="U85" s="1">
        <f t="shared" si="106"/>
        <v>0</v>
      </c>
      <c r="V85" s="1">
        <f t="shared" si="107"/>
        <v>0</v>
      </c>
      <c r="W85" s="7">
        <f t="shared" si="108"/>
        <v>0</v>
      </c>
      <c r="X85" s="9">
        <f t="shared" si="84"/>
        <v>0</v>
      </c>
      <c r="Y85" s="10">
        <f t="shared" si="85"/>
        <v>0</v>
      </c>
      <c r="Z85" s="1">
        <f t="shared" si="86"/>
        <v>0</v>
      </c>
      <c r="AA85" s="8">
        <f t="shared" si="87"/>
        <v>0</v>
      </c>
    </row>
    <row r="86" spans="1:27" s="2" customFormat="1">
      <c r="A86" s="321"/>
      <c r="B86" s="240" t="str">
        <f>'RFQ response'!C81</f>
        <v>SCT1</v>
      </c>
      <c r="C86" s="237" t="str">
        <f>'RFQ response'!E81</f>
        <v>Resistance test of the displays to the ultraviolet rays</v>
      </c>
      <c r="D86" s="74" t="str">
        <f>'RFQ response'!D81</f>
        <v>REQ-0945164</v>
      </c>
      <c r="E86" s="238" t="str">
        <f>'RFQ response'!K81</f>
        <v>NA</v>
      </c>
      <c r="F86" s="75"/>
      <c r="G86" s="74"/>
      <c r="H86" s="74"/>
      <c r="I86" s="95"/>
      <c r="J86" s="75"/>
      <c r="K86" s="74"/>
      <c r="L86" s="74"/>
      <c r="M86" s="173"/>
      <c r="N86" s="239"/>
      <c r="O86" s="239"/>
      <c r="P86"/>
      <c r="Q86" s="9">
        <f t="shared" si="102"/>
        <v>0</v>
      </c>
      <c r="R86" s="10">
        <f t="shared" si="103"/>
        <v>0</v>
      </c>
      <c r="S86" s="10">
        <f t="shared" si="104"/>
        <v>0</v>
      </c>
      <c r="T86" s="1">
        <f t="shared" si="105"/>
        <v>0</v>
      </c>
      <c r="U86" s="1">
        <f t="shared" si="106"/>
        <v>0</v>
      </c>
      <c r="V86" s="1">
        <f t="shared" si="107"/>
        <v>0</v>
      </c>
      <c r="W86" s="7">
        <f t="shared" si="108"/>
        <v>0</v>
      </c>
      <c r="X86" s="9">
        <f t="shared" si="84"/>
        <v>0</v>
      </c>
      <c r="Y86" s="10">
        <f t="shared" si="85"/>
        <v>0</v>
      </c>
      <c r="Z86" s="1">
        <f t="shared" si="86"/>
        <v>0</v>
      </c>
      <c r="AA86" s="8">
        <f t="shared" si="87"/>
        <v>0</v>
      </c>
    </row>
    <row r="87" spans="1:27" s="2" customFormat="1">
      <c r="A87" s="321"/>
      <c r="B87" s="240" t="str">
        <f>'RFQ response'!C82</f>
        <v>SCT2</v>
      </c>
      <c r="C87" s="237" t="str">
        <f>'RFQ response'!E82</f>
        <v>Resistance test of the displays to corrosive liquids</v>
      </c>
      <c r="D87" s="74" t="str">
        <f>'RFQ response'!D82</f>
        <v>REQ-0945165</v>
      </c>
      <c r="E87" s="238" t="str">
        <f>'RFQ response'!K82</f>
        <v>NA</v>
      </c>
      <c r="F87" s="75"/>
      <c r="G87" s="74"/>
      <c r="H87" s="74"/>
      <c r="I87" s="95"/>
      <c r="J87" s="75"/>
      <c r="K87" s="74"/>
      <c r="L87" s="74"/>
      <c r="M87" s="173"/>
      <c r="N87" s="239"/>
      <c r="O87" s="239"/>
      <c r="P87"/>
      <c r="Q87" s="9">
        <f t="shared" si="102"/>
        <v>0</v>
      </c>
      <c r="R87" s="10">
        <f t="shared" si="103"/>
        <v>0</v>
      </c>
      <c r="S87" s="10">
        <f t="shared" si="104"/>
        <v>0</v>
      </c>
      <c r="T87" s="1">
        <f t="shared" si="105"/>
        <v>0</v>
      </c>
      <c r="U87" s="1">
        <f t="shared" si="106"/>
        <v>0</v>
      </c>
      <c r="V87" s="1">
        <f t="shared" si="107"/>
        <v>0</v>
      </c>
      <c r="W87" s="7">
        <f t="shared" si="108"/>
        <v>0</v>
      </c>
      <c r="X87" s="9">
        <f t="shared" si="84"/>
        <v>0</v>
      </c>
      <c r="Y87" s="10">
        <f t="shared" si="85"/>
        <v>0</v>
      </c>
      <c r="Z87" s="1">
        <f t="shared" si="86"/>
        <v>0</v>
      </c>
      <c r="AA87" s="8">
        <f t="shared" si="87"/>
        <v>0</v>
      </c>
    </row>
    <row r="88" spans="1:27" s="2" customFormat="1">
      <c r="A88" s="321"/>
      <c r="B88" s="240" t="str">
        <f>'RFQ response'!C83</f>
        <v>SCT3</v>
      </c>
      <c r="C88" s="237" t="str">
        <f>'RFQ response'!E83</f>
        <v>Sun resistance</v>
      </c>
      <c r="D88" s="74" t="str">
        <f>'RFQ response'!D83</f>
        <v>REQ-0945166</v>
      </c>
      <c r="E88" s="238" t="str">
        <f>'RFQ response'!K83</f>
        <v>NA</v>
      </c>
      <c r="F88" s="75"/>
      <c r="G88" s="74"/>
      <c r="H88" s="74"/>
      <c r="I88" s="95"/>
      <c r="J88" s="75"/>
      <c r="K88" s="74"/>
      <c r="L88" s="74"/>
      <c r="M88" s="173"/>
      <c r="N88" s="239"/>
      <c r="O88" s="239"/>
      <c r="P88"/>
      <c r="Q88" s="9">
        <f t="shared" si="102"/>
        <v>0</v>
      </c>
      <c r="R88" s="10">
        <f t="shared" si="103"/>
        <v>0</v>
      </c>
      <c r="S88" s="10">
        <f t="shared" si="104"/>
        <v>0</v>
      </c>
      <c r="T88" s="1">
        <f t="shared" si="105"/>
        <v>0</v>
      </c>
      <c r="U88" s="1">
        <f t="shared" si="106"/>
        <v>0</v>
      </c>
      <c r="V88" s="1">
        <f t="shared" si="107"/>
        <v>0</v>
      </c>
      <c r="W88" s="7">
        <f t="shared" si="108"/>
        <v>0</v>
      </c>
      <c r="X88" s="9">
        <f t="shared" si="84"/>
        <v>0</v>
      </c>
      <c r="Y88" s="10">
        <f t="shared" si="85"/>
        <v>0</v>
      </c>
      <c r="Z88" s="1">
        <f t="shared" si="86"/>
        <v>0</v>
      </c>
      <c r="AA88" s="8">
        <f t="shared" si="87"/>
        <v>0</v>
      </c>
    </row>
    <row r="89" spans="1:27" s="2" customFormat="1">
      <c r="A89" s="321"/>
      <c r="B89" s="240" t="str">
        <f>'RFQ response'!C84</f>
        <v>SCT4</v>
      </c>
      <c r="C89" s="237" t="str">
        <f>'RFQ response'!E84</f>
        <v>Resistance to pullout of glued parts</v>
      </c>
      <c r="D89" s="74" t="str">
        <f>'RFQ response'!D84</f>
        <v>REQ-0945167</v>
      </c>
      <c r="E89" s="238" t="str">
        <f>'RFQ response'!K84</f>
        <v>NA</v>
      </c>
      <c r="F89" s="75"/>
      <c r="G89" s="74"/>
      <c r="H89" s="74"/>
      <c r="I89" s="95"/>
      <c r="J89" s="75"/>
      <c r="K89" s="74"/>
      <c r="L89" s="74"/>
      <c r="M89" s="173"/>
      <c r="N89" s="239"/>
      <c r="O89" s="239"/>
      <c r="P89"/>
      <c r="Q89" s="9">
        <f t="shared" si="102"/>
        <v>0</v>
      </c>
      <c r="R89" s="10">
        <f t="shared" si="103"/>
        <v>0</v>
      </c>
      <c r="S89" s="10">
        <f t="shared" si="104"/>
        <v>0</v>
      </c>
      <c r="T89" s="1">
        <f t="shared" si="105"/>
        <v>0</v>
      </c>
      <c r="U89" s="1">
        <f t="shared" si="106"/>
        <v>0</v>
      </c>
      <c r="V89" s="1">
        <f t="shared" si="107"/>
        <v>0</v>
      </c>
      <c r="W89" s="7">
        <f t="shared" si="108"/>
        <v>0</v>
      </c>
      <c r="X89" s="9">
        <f t="shared" si="84"/>
        <v>0</v>
      </c>
      <c r="Y89" s="10">
        <f t="shared" si="85"/>
        <v>0</v>
      </c>
      <c r="Z89" s="1">
        <f t="shared" si="86"/>
        <v>0</v>
      </c>
      <c r="AA89" s="8">
        <f t="shared" si="87"/>
        <v>0</v>
      </c>
    </row>
    <row r="90" spans="1:27" s="2" customFormat="1">
      <c r="A90" s="321"/>
      <c r="B90" s="240" t="str">
        <f>'RFQ response'!C85</f>
        <v>SCT5</v>
      </c>
      <c r="C90" s="237" t="str">
        <f>'RFQ response'!E85</f>
        <v>Fingerprint affinity and cleanability test on displays</v>
      </c>
      <c r="D90" s="74" t="str">
        <f>'RFQ response'!D85</f>
        <v>REQ-0945168</v>
      </c>
      <c r="E90" s="238" t="str">
        <f>'RFQ response'!K85</f>
        <v>NA</v>
      </c>
      <c r="F90" s="75"/>
      <c r="G90" s="74"/>
      <c r="H90" s="74"/>
      <c r="I90" s="95"/>
      <c r="J90" s="75"/>
      <c r="K90" s="74"/>
      <c r="L90" s="74"/>
      <c r="M90" s="173"/>
      <c r="N90" s="239"/>
      <c r="O90" s="239"/>
      <c r="P90"/>
      <c r="Q90" s="9">
        <f t="shared" si="102"/>
        <v>0</v>
      </c>
      <c r="R90" s="10">
        <f t="shared" si="103"/>
        <v>0</v>
      </c>
      <c r="S90" s="10">
        <f t="shared" si="104"/>
        <v>0</v>
      </c>
      <c r="T90" s="1">
        <f t="shared" si="105"/>
        <v>0</v>
      </c>
      <c r="U90" s="1">
        <f t="shared" si="106"/>
        <v>0</v>
      </c>
      <c r="V90" s="1">
        <f t="shared" si="107"/>
        <v>0</v>
      </c>
      <c r="W90" s="7">
        <f t="shared" si="108"/>
        <v>0</v>
      </c>
      <c r="X90" s="9">
        <f t="shared" si="84"/>
        <v>0</v>
      </c>
      <c r="Y90" s="10">
        <f t="shared" si="85"/>
        <v>0</v>
      </c>
      <c r="Z90" s="1">
        <f t="shared" si="86"/>
        <v>0</v>
      </c>
      <c r="AA90" s="8">
        <f t="shared" si="87"/>
        <v>0</v>
      </c>
    </row>
    <row r="91" spans="1:27" s="2" customFormat="1" ht="28.5" customHeight="1">
      <c r="A91" s="321"/>
      <c r="B91" s="240" t="str">
        <f>'RFQ response'!C86</f>
        <v>SCT6.1</v>
      </c>
      <c r="C91" s="237" t="str">
        <f>'RFQ response'!E86</f>
        <v>Resistance to climatic ageing (not exposed to direct sun)</v>
      </c>
      <c r="D91" s="74" t="str">
        <f>'RFQ response'!D86</f>
        <v>REQ-0945169</v>
      </c>
      <c r="E91" s="238" t="str">
        <f>'RFQ response'!K86</f>
        <v>NA</v>
      </c>
      <c r="F91" s="75"/>
      <c r="G91" s="74"/>
      <c r="H91" s="74"/>
      <c r="I91" s="95"/>
      <c r="J91" s="75"/>
      <c r="K91" s="74"/>
      <c r="L91" s="74"/>
      <c r="M91" s="173"/>
      <c r="N91" s="239"/>
      <c r="O91" s="239"/>
      <c r="P91"/>
      <c r="Q91" s="9">
        <f t="shared" si="102"/>
        <v>0</v>
      </c>
      <c r="R91" s="10">
        <f t="shared" si="103"/>
        <v>0</v>
      </c>
      <c r="S91" s="10">
        <f t="shared" si="104"/>
        <v>0</v>
      </c>
      <c r="T91" s="1">
        <f t="shared" si="105"/>
        <v>0</v>
      </c>
      <c r="U91" s="1">
        <f t="shared" si="106"/>
        <v>0</v>
      </c>
      <c r="V91" s="1">
        <f t="shared" si="107"/>
        <v>0</v>
      </c>
      <c r="W91" s="7">
        <f t="shared" si="108"/>
        <v>0</v>
      </c>
      <c r="X91" s="9">
        <f t="shared" si="84"/>
        <v>0</v>
      </c>
      <c r="Y91" s="10">
        <f t="shared" si="85"/>
        <v>0</v>
      </c>
      <c r="Z91" s="1">
        <f t="shared" si="86"/>
        <v>0</v>
      </c>
      <c r="AA91" s="8">
        <f t="shared" si="87"/>
        <v>0</v>
      </c>
    </row>
    <row r="92" spans="1:27" s="2" customFormat="1">
      <c r="A92" s="321"/>
      <c r="B92" s="240" t="str">
        <f>'RFQ response'!C87</f>
        <v>SCT6.2</v>
      </c>
      <c r="C92" s="237" t="str">
        <f>'RFQ response'!E87</f>
        <v>Resistance to climatic ageing (exposed to direct sun)</v>
      </c>
      <c r="D92" s="74" t="str">
        <f>'RFQ response'!D87</f>
        <v>REQ-0945170</v>
      </c>
      <c r="E92" s="238" t="str">
        <f>'RFQ response'!K87</f>
        <v>NA</v>
      </c>
      <c r="F92" s="75"/>
      <c r="G92" s="74"/>
      <c r="H92" s="74"/>
      <c r="I92" s="95"/>
      <c r="J92" s="75"/>
      <c r="K92" s="74"/>
      <c r="L92" s="74"/>
      <c r="M92" s="173"/>
      <c r="N92" s="239"/>
      <c r="O92" s="239"/>
      <c r="P92"/>
      <c r="Q92" s="9">
        <f t="shared" si="102"/>
        <v>0</v>
      </c>
      <c r="R92" s="10">
        <f t="shared" si="103"/>
        <v>0</v>
      </c>
      <c r="S92" s="10">
        <f t="shared" si="104"/>
        <v>0</v>
      </c>
      <c r="T92" s="1">
        <f t="shared" si="105"/>
        <v>0</v>
      </c>
      <c r="U92" s="1">
        <f t="shared" si="106"/>
        <v>0</v>
      </c>
      <c r="V92" s="1">
        <f t="shared" si="107"/>
        <v>0</v>
      </c>
      <c r="W92" s="7">
        <f t="shared" si="108"/>
        <v>0</v>
      </c>
      <c r="X92" s="9">
        <f t="shared" si="84"/>
        <v>0</v>
      </c>
      <c r="Y92" s="10">
        <f t="shared" si="85"/>
        <v>0</v>
      </c>
      <c r="Z92" s="1">
        <f t="shared" si="86"/>
        <v>0</v>
      </c>
      <c r="AA92" s="8">
        <f t="shared" si="87"/>
        <v>0</v>
      </c>
    </row>
    <row r="93" spans="1:27" s="2" customFormat="1">
      <c r="A93" s="321"/>
      <c r="B93" s="240" t="str">
        <f>'RFQ response'!C88</f>
        <v>SCT7</v>
      </c>
      <c r="C93" s="237" t="str">
        <f>'RFQ response'!E88</f>
        <v>Surface temperature test of the tactile displays</v>
      </c>
      <c r="D93" s="74" t="str">
        <f>'RFQ response'!D88</f>
        <v>REQ-0994059</v>
      </c>
      <c r="E93" s="238" t="str">
        <f>'RFQ response'!K88</f>
        <v>OK</v>
      </c>
      <c r="F93" s="75"/>
      <c r="G93" s="74"/>
      <c r="H93" s="74"/>
      <c r="I93" s="95"/>
      <c r="J93" s="75"/>
      <c r="K93" s="74"/>
      <c r="L93" s="74"/>
      <c r="M93" s="173"/>
      <c r="N93" s="239"/>
      <c r="O93" s="239"/>
      <c r="P93"/>
      <c r="Q93" s="9"/>
      <c r="R93" s="10"/>
      <c r="S93" s="10"/>
      <c r="T93" s="1"/>
      <c r="U93" s="1"/>
      <c r="V93" s="1"/>
      <c r="W93" s="7"/>
      <c r="X93" s="9"/>
      <c r="Y93" s="10"/>
      <c r="Z93" s="1"/>
      <c r="AA93" s="8"/>
    </row>
    <row r="94" spans="1:27" s="2" customFormat="1" ht="15" customHeight="1">
      <c r="A94" s="321"/>
      <c r="B94" s="807" t="s">
        <v>453</v>
      </c>
      <c r="C94" s="808"/>
      <c r="D94" s="808"/>
      <c r="E94" s="808"/>
      <c r="F94" s="808"/>
      <c r="G94" s="808"/>
      <c r="H94" s="808"/>
      <c r="I94" s="808"/>
      <c r="J94" s="808"/>
      <c r="K94" s="808"/>
      <c r="L94" s="808"/>
      <c r="M94" s="808"/>
      <c r="N94" s="808"/>
      <c r="O94" s="809"/>
      <c r="P94"/>
      <c r="Q94" s="9">
        <f t="shared" si="102"/>
        <v>0</v>
      </c>
      <c r="R94" s="10">
        <f t="shared" si="103"/>
        <v>0</v>
      </c>
      <c r="S94" s="10">
        <f t="shared" si="104"/>
        <v>0</v>
      </c>
      <c r="T94" s="1">
        <f t="shared" si="105"/>
        <v>0</v>
      </c>
      <c r="U94" s="1">
        <f t="shared" si="106"/>
        <v>0</v>
      </c>
      <c r="V94" s="1">
        <f t="shared" si="107"/>
        <v>0</v>
      </c>
      <c r="W94" s="7">
        <f t="shared" si="108"/>
        <v>0</v>
      </c>
      <c r="X94" s="9">
        <f t="shared" si="84"/>
        <v>0</v>
      </c>
      <c r="Y94" s="10">
        <f t="shared" si="85"/>
        <v>0</v>
      </c>
      <c r="Z94" s="1">
        <f t="shared" si="86"/>
        <v>0</v>
      </c>
      <c r="AA94" s="8">
        <f t="shared" si="87"/>
        <v>0</v>
      </c>
    </row>
    <row r="95" spans="1:27" ht="45">
      <c r="A95" s="321"/>
      <c r="B95" s="240" t="str">
        <f>'RFQ response'!C90</f>
        <v xml:space="preserve"> -</v>
      </c>
      <c r="C95" s="237" t="str">
        <f>'RFQ response'!E90</f>
        <v>Dust intrusion</v>
      </c>
      <c r="D95" s="74" t="str">
        <f>'RFQ response'!D90</f>
        <v>REQ-0945171
REQ-0945172
REQ-0945173
REQ-0945174</v>
      </c>
      <c r="E95" s="238" t="str">
        <f>'RFQ response'!K90</f>
        <v>NA</v>
      </c>
      <c r="F95" s="75"/>
      <c r="G95" s="74"/>
      <c r="H95" s="74"/>
      <c r="I95" s="95"/>
      <c r="J95" s="75"/>
      <c r="K95" s="74"/>
      <c r="L95" s="74"/>
      <c r="M95" s="173"/>
      <c r="N95" s="239"/>
      <c r="O95" s="239"/>
      <c r="Q95" s="9">
        <f t="shared" si="102"/>
        <v>0</v>
      </c>
      <c r="R95" s="10">
        <f t="shared" si="103"/>
        <v>0</v>
      </c>
      <c r="S95" s="10">
        <f t="shared" si="104"/>
        <v>0</v>
      </c>
      <c r="T95" s="1">
        <f t="shared" si="105"/>
        <v>0</v>
      </c>
      <c r="U95" s="1">
        <f t="shared" si="106"/>
        <v>0</v>
      </c>
      <c r="V95" s="1">
        <f t="shared" si="107"/>
        <v>0</v>
      </c>
      <c r="W95" s="7">
        <f t="shared" si="108"/>
        <v>0</v>
      </c>
      <c r="X95" s="9">
        <f t="shared" si="84"/>
        <v>0</v>
      </c>
      <c r="Y95" s="10">
        <f t="shared" si="85"/>
        <v>0</v>
      </c>
      <c r="Z95" s="1">
        <f t="shared" si="86"/>
        <v>0</v>
      </c>
      <c r="AA95" s="8">
        <f t="shared" si="87"/>
        <v>0</v>
      </c>
    </row>
    <row r="96" spans="1:27">
      <c r="A96" s="321"/>
      <c r="B96" s="240" t="str">
        <f>'RFQ response'!C91</f>
        <v xml:space="preserve"> -</v>
      </c>
      <c r="C96" s="546" t="str">
        <f>'RFQ response'!E91</f>
        <v>Mud resistance</v>
      </c>
      <c r="D96" s="547" t="str">
        <f>'RFQ response'!D91</f>
        <v xml:space="preserve"> -</v>
      </c>
      <c r="E96" s="548" t="str">
        <f>'RFQ response'!K91</f>
        <v>NA</v>
      </c>
      <c r="F96" s="504"/>
      <c r="G96" s="502"/>
      <c r="H96" s="502"/>
      <c r="I96" s="505"/>
      <c r="J96" s="504"/>
      <c r="K96" s="502"/>
      <c r="L96" s="502"/>
      <c r="M96" s="506"/>
      <c r="N96" s="507"/>
      <c r="O96" s="507"/>
      <c r="Q96" s="9">
        <f t="shared" si="102"/>
        <v>0</v>
      </c>
      <c r="R96" s="10">
        <f t="shared" si="103"/>
        <v>0</v>
      </c>
      <c r="S96" s="10">
        <f t="shared" si="104"/>
        <v>0</v>
      </c>
      <c r="T96" s="1">
        <f t="shared" si="105"/>
        <v>0</v>
      </c>
      <c r="U96" s="1">
        <f t="shared" si="106"/>
        <v>0</v>
      </c>
      <c r="V96" s="1">
        <f t="shared" si="107"/>
        <v>0</v>
      </c>
      <c r="W96" s="7">
        <f t="shared" si="108"/>
        <v>0</v>
      </c>
      <c r="X96" s="9">
        <f t="shared" si="84"/>
        <v>0</v>
      </c>
      <c r="Y96" s="10">
        <f t="shared" si="85"/>
        <v>0</v>
      </c>
      <c r="Z96" s="1">
        <f t="shared" si="86"/>
        <v>0</v>
      </c>
      <c r="AA96" s="8">
        <f t="shared" si="87"/>
        <v>0</v>
      </c>
    </row>
    <row r="97" spans="1:27" ht="45">
      <c r="A97" s="321"/>
      <c r="B97" s="240" t="str">
        <f>'RFQ response'!C92</f>
        <v xml:space="preserve"> -</v>
      </c>
      <c r="C97" s="237" t="str">
        <f>'RFQ response'!E92</f>
        <v>Water or steam intrusion</v>
      </c>
      <c r="D97" s="74" t="str">
        <f>'RFQ response'!D92</f>
        <v>REQ-0945175
REQ-0945176
REQ-0945086
REQ-0945083</v>
      </c>
      <c r="E97" s="238" t="str">
        <f>'RFQ response'!K92</f>
        <v>NA</v>
      </c>
      <c r="F97" s="75"/>
      <c r="G97" s="74"/>
      <c r="H97" s="74"/>
      <c r="I97" s="95"/>
      <c r="J97" s="75"/>
      <c r="K97" s="74"/>
      <c r="L97" s="74"/>
      <c r="M97" s="173"/>
      <c r="N97" s="239"/>
      <c r="O97" s="239"/>
      <c r="Q97" s="9">
        <f t="shared" si="102"/>
        <v>0</v>
      </c>
      <c r="R97" s="10">
        <f t="shared" si="103"/>
        <v>0</v>
      </c>
      <c r="S97" s="10">
        <f t="shared" si="104"/>
        <v>0</v>
      </c>
      <c r="T97" s="1">
        <f t="shared" si="105"/>
        <v>0</v>
      </c>
      <c r="U97" s="1">
        <f t="shared" si="106"/>
        <v>0</v>
      </c>
      <c r="V97" s="1">
        <f t="shared" si="107"/>
        <v>0</v>
      </c>
      <c r="W97" s="7">
        <f t="shared" si="108"/>
        <v>0</v>
      </c>
      <c r="X97" s="9">
        <f t="shared" si="84"/>
        <v>0</v>
      </c>
      <c r="Y97" s="10">
        <f t="shared" si="85"/>
        <v>0</v>
      </c>
      <c r="Z97" s="1">
        <f t="shared" si="86"/>
        <v>0</v>
      </c>
      <c r="AA97" s="8">
        <f t="shared" si="87"/>
        <v>0</v>
      </c>
    </row>
    <row r="98" spans="1:27">
      <c r="A98" s="321"/>
      <c r="B98" s="240" t="str">
        <f>'RFQ response'!C93</f>
        <v xml:space="preserve"> -</v>
      </c>
      <c r="C98" s="546" t="str">
        <f>'RFQ response'!E93</f>
        <v>Iced salt water immersion/splash</v>
      </c>
      <c r="D98" s="547" t="str">
        <f>'RFQ response'!D93</f>
        <v xml:space="preserve"> -</v>
      </c>
      <c r="E98" s="548" t="str">
        <f>'RFQ response'!K93</f>
        <v>NA</v>
      </c>
      <c r="F98" s="504"/>
      <c r="G98" s="502"/>
      <c r="H98" s="502"/>
      <c r="I98" s="505"/>
      <c r="J98" s="504"/>
      <c r="K98" s="502"/>
      <c r="L98" s="502"/>
      <c r="M98" s="506"/>
      <c r="N98" s="507"/>
      <c r="O98" s="507"/>
      <c r="Q98" s="9">
        <f t="shared" si="102"/>
        <v>0</v>
      </c>
      <c r="R98" s="10">
        <f t="shared" si="103"/>
        <v>0</v>
      </c>
      <c r="S98" s="10">
        <f t="shared" si="104"/>
        <v>0</v>
      </c>
      <c r="T98" s="1">
        <f t="shared" si="105"/>
        <v>0</v>
      </c>
      <c r="U98" s="1">
        <f t="shared" si="106"/>
        <v>0</v>
      </c>
      <c r="V98" s="1">
        <f t="shared" si="107"/>
        <v>0</v>
      </c>
      <c r="W98" s="7">
        <f t="shared" si="108"/>
        <v>0</v>
      </c>
      <c r="X98" s="9">
        <f t="shared" si="84"/>
        <v>0</v>
      </c>
      <c r="Y98" s="10">
        <f t="shared" si="85"/>
        <v>0</v>
      </c>
      <c r="Z98" s="1">
        <f t="shared" si="86"/>
        <v>0</v>
      </c>
      <c r="AA98" s="8">
        <f t="shared" si="87"/>
        <v>0</v>
      </c>
    </row>
    <row r="99" spans="1:27" s="2" customFormat="1" ht="15" customHeight="1">
      <c r="A99" s="321"/>
      <c r="B99" s="793" t="s">
        <v>455</v>
      </c>
      <c r="C99" s="793"/>
      <c r="D99" s="793"/>
      <c r="E99" s="793"/>
      <c r="F99" s="793"/>
      <c r="G99" s="793"/>
      <c r="H99" s="793"/>
      <c r="I99" s="793"/>
      <c r="J99" s="793"/>
      <c r="K99" s="793"/>
      <c r="L99" s="793"/>
      <c r="M99" s="793"/>
      <c r="N99" s="793"/>
      <c r="O99" s="794"/>
      <c r="P99"/>
      <c r="Q99" s="9">
        <f t="shared" si="102"/>
        <v>0</v>
      </c>
      <c r="R99" s="10">
        <f t="shared" si="103"/>
        <v>0</v>
      </c>
      <c r="S99" s="10">
        <f t="shared" si="104"/>
        <v>0</v>
      </c>
      <c r="T99" s="1">
        <f t="shared" si="105"/>
        <v>0</v>
      </c>
      <c r="U99" s="1">
        <f t="shared" si="106"/>
        <v>0</v>
      </c>
      <c r="V99" s="1">
        <f t="shared" si="107"/>
        <v>0</v>
      </c>
      <c r="W99" s="7">
        <f t="shared" si="108"/>
        <v>0</v>
      </c>
      <c r="X99" s="9">
        <f t="shared" si="84"/>
        <v>0</v>
      </c>
      <c r="Y99" s="10">
        <f t="shared" si="85"/>
        <v>0</v>
      </c>
      <c r="Z99" s="1">
        <f t="shared" si="86"/>
        <v>0</v>
      </c>
      <c r="AA99" s="8">
        <f t="shared" si="87"/>
        <v>0</v>
      </c>
    </row>
    <row r="100" spans="1:27">
      <c r="A100" s="321"/>
      <c r="B100" s="240" t="str">
        <f>'RFQ response'!C95</f>
        <v xml:space="preserve"> -</v>
      </c>
      <c r="C100" s="237" t="str">
        <f>'RFQ response'!E95</f>
        <v>Material housing corrosion</v>
      </c>
      <c r="D100" s="74" t="str">
        <f>'RFQ response'!D95</f>
        <v>-</v>
      </c>
      <c r="E100" s="238" t="str">
        <f>'RFQ response'!K95</f>
        <v>NA</v>
      </c>
      <c r="F100" s="75"/>
      <c r="G100" s="74"/>
      <c r="H100" s="74"/>
      <c r="I100" s="95"/>
      <c r="J100" s="75"/>
      <c r="K100" s="74"/>
      <c r="L100" s="74"/>
      <c r="M100" s="173"/>
      <c r="N100" s="239"/>
      <c r="O100" s="239"/>
      <c r="Q100" s="9">
        <f t="shared" ref="Q100:Q105" si="109">IF(K100="On going",1,0)</f>
        <v>0</v>
      </c>
      <c r="R100" s="10">
        <f t="shared" ref="R100:R105" si="110">IF(K100="NA",1,0)</f>
        <v>0</v>
      </c>
      <c r="S100" s="10">
        <f t="shared" ref="S100:S105" si="111">IF(K100="Deviation",1,0)</f>
        <v>0</v>
      </c>
      <c r="T100" s="1">
        <f t="shared" ref="T100:T105" si="112">IF(K100="In analysis",1,0)</f>
        <v>0</v>
      </c>
      <c r="U100" s="1">
        <f t="shared" ref="U100:U105" si="113">IF(K100="NOK minor",1,0)</f>
        <v>0</v>
      </c>
      <c r="V100" s="1">
        <f t="shared" ref="V100:V105" si="114">IF(K100="NOK major",1,0)</f>
        <v>0</v>
      </c>
      <c r="W100" s="7">
        <f t="shared" ref="W100:W105" si="115">IF(K100="OK",1,0)</f>
        <v>0</v>
      </c>
      <c r="X100" s="9">
        <f t="shared" ref="X100:X105" si="116">IF($J100="On going",1,0)</f>
        <v>0</v>
      </c>
      <c r="Y100" s="10">
        <f t="shared" ref="Y100:Y105" si="117">IF($J100="NA",1,0)</f>
        <v>0</v>
      </c>
      <c r="Z100" s="1">
        <f t="shared" ref="Z100:Z105" si="118">IF($J100="NOK",1,0)</f>
        <v>0</v>
      </c>
      <c r="AA100" s="8">
        <f t="shared" ref="AA100:AA105" si="119">IF($J100="OK",1,0)</f>
        <v>0</v>
      </c>
    </row>
    <row r="101" spans="1:27">
      <c r="A101" s="321"/>
      <c r="B101" s="240" t="str">
        <f>'RFQ response'!C96</f>
        <v xml:space="preserve"> -</v>
      </c>
      <c r="C101" s="237" t="str">
        <f>'RFQ response'!E96</f>
        <v>Salt fog</v>
      </c>
      <c r="D101" s="74" t="str">
        <f>'RFQ response'!D96</f>
        <v>REQ-0945076</v>
      </c>
      <c r="E101" s="238" t="str">
        <f>'RFQ response'!K96</f>
        <v>NA</v>
      </c>
      <c r="F101" s="75"/>
      <c r="G101" s="74"/>
      <c r="H101" s="74"/>
      <c r="I101" s="95"/>
      <c r="J101" s="75"/>
      <c r="K101" s="74"/>
      <c r="L101" s="74"/>
      <c r="M101" s="173"/>
      <c r="N101" s="239"/>
      <c r="O101" s="239"/>
      <c r="Q101" s="9">
        <f t="shared" si="109"/>
        <v>0</v>
      </c>
      <c r="R101" s="10">
        <f t="shared" si="110"/>
        <v>0</v>
      </c>
      <c r="S101" s="10">
        <f t="shared" si="111"/>
        <v>0</v>
      </c>
      <c r="T101" s="1">
        <f t="shared" si="112"/>
        <v>0</v>
      </c>
      <c r="U101" s="1">
        <f t="shared" si="113"/>
        <v>0</v>
      </c>
      <c r="V101" s="1">
        <f t="shared" si="114"/>
        <v>0</v>
      </c>
      <c r="W101" s="7">
        <f t="shared" si="115"/>
        <v>0</v>
      </c>
      <c r="X101" s="9">
        <f t="shared" si="116"/>
        <v>0</v>
      </c>
      <c r="Y101" s="10">
        <f t="shared" si="117"/>
        <v>0</v>
      </c>
      <c r="Z101" s="1">
        <f t="shared" si="118"/>
        <v>0</v>
      </c>
      <c r="AA101" s="8">
        <f t="shared" si="119"/>
        <v>0</v>
      </c>
    </row>
    <row r="102" spans="1:27">
      <c r="A102" s="321"/>
      <c r="B102" s="240" t="str">
        <f>'RFQ response'!C97</f>
        <v xml:space="preserve"> -</v>
      </c>
      <c r="C102" s="546" t="str">
        <f>'RFQ response'!E97</f>
        <v>Mixed flowing gas</v>
      </c>
      <c r="D102" s="547" t="str">
        <f>'RFQ response'!D97</f>
        <v xml:space="preserve"> -</v>
      </c>
      <c r="E102" s="503" t="str">
        <f>'RFQ response'!K97</f>
        <v>NA</v>
      </c>
      <c r="F102" s="504"/>
      <c r="G102" s="502"/>
      <c r="H102" s="502"/>
      <c r="I102" s="505"/>
      <c r="J102" s="504"/>
      <c r="K102" s="502"/>
      <c r="L102" s="502"/>
      <c r="M102" s="506"/>
      <c r="N102" s="507"/>
      <c r="O102" s="507"/>
      <c r="Q102" s="9">
        <f t="shared" si="109"/>
        <v>0</v>
      </c>
      <c r="R102" s="10">
        <f t="shared" si="110"/>
        <v>0</v>
      </c>
      <c r="S102" s="10">
        <f t="shared" si="111"/>
        <v>0</v>
      </c>
      <c r="T102" s="1">
        <f t="shared" si="112"/>
        <v>0</v>
      </c>
      <c r="U102" s="1">
        <f t="shared" si="113"/>
        <v>0</v>
      </c>
      <c r="V102" s="1">
        <f t="shared" si="114"/>
        <v>0</v>
      </c>
      <c r="W102" s="7">
        <f t="shared" si="115"/>
        <v>0</v>
      </c>
      <c r="X102" s="9">
        <f t="shared" si="116"/>
        <v>0</v>
      </c>
      <c r="Y102" s="10">
        <f t="shared" si="117"/>
        <v>0</v>
      </c>
      <c r="Z102" s="1">
        <f t="shared" si="118"/>
        <v>0</v>
      </c>
      <c r="AA102" s="8">
        <f t="shared" si="119"/>
        <v>0</v>
      </c>
    </row>
    <row r="103" spans="1:27">
      <c r="A103" s="321"/>
      <c r="B103" s="240" t="str">
        <f>'RFQ response'!C98</f>
        <v xml:space="preserve"> -</v>
      </c>
      <c r="C103" s="237" t="str">
        <f>'RFQ response'!E98</f>
        <v>Chemical exposure</v>
      </c>
      <c r="D103" s="74" t="str">
        <f>'RFQ response'!D98</f>
        <v>REQ-0945077</v>
      </c>
      <c r="E103" s="238" t="str">
        <f>'RFQ response'!K98</f>
        <v>NA</v>
      </c>
      <c r="F103" s="75"/>
      <c r="G103" s="74"/>
      <c r="H103" s="74"/>
      <c r="I103" s="95"/>
      <c r="J103" s="75"/>
      <c r="K103" s="74"/>
      <c r="L103" s="74"/>
      <c r="M103" s="173"/>
      <c r="N103" s="239"/>
      <c r="O103" s="239"/>
      <c r="Q103" s="9">
        <f t="shared" si="109"/>
        <v>0</v>
      </c>
      <c r="R103" s="10">
        <f t="shared" si="110"/>
        <v>0</v>
      </c>
      <c r="S103" s="10">
        <f t="shared" si="111"/>
        <v>0</v>
      </c>
      <c r="T103" s="1">
        <f t="shared" si="112"/>
        <v>0</v>
      </c>
      <c r="U103" s="1">
        <f t="shared" si="113"/>
        <v>0</v>
      </c>
      <c r="V103" s="1">
        <f t="shared" si="114"/>
        <v>0</v>
      </c>
      <c r="W103" s="7">
        <f t="shared" si="115"/>
        <v>0</v>
      </c>
      <c r="X103" s="9">
        <f t="shared" si="116"/>
        <v>0</v>
      </c>
      <c r="Y103" s="10">
        <f t="shared" si="117"/>
        <v>0</v>
      </c>
      <c r="Z103" s="1">
        <f t="shared" si="118"/>
        <v>0</v>
      </c>
      <c r="AA103" s="8">
        <f t="shared" si="119"/>
        <v>0</v>
      </c>
    </row>
    <row r="104" spans="1:27" s="2" customFormat="1" ht="15" customHeight="1">
      <c r="A104" s="321"/>
      <c r="B104" s="795" t="s">
        <v>457</v>
      </c>
      <c r="C104" s="795"/>
      <c r="D104" s="795"/>
      <c r="E104" s="795"/>
      <c r="F104" s="795"/>
      <c r="G104" s="795"/>
      <c r="H104" s="795"/>
      <c r="I104" s="795"/>
      <c r="J104" s="795"/>
      <c r="K104" s="795"/>
      <c r="L104" s="795"/>
      <c r="M104" s="795"/>
      <c r="N104" s="795"/>
      <c r="O104" s="796"/>
      <c r="P104"/>
      <c r="Q104" s="9">
        <f t="shared" si="109"/>
        <v>0</v>
      </c>
      <c r="R104" s="10">
        <f t="shared" si="110"/>
        <v>0</v>
      </c>
      <c r="S104" s="10">
        <f t="shared" si="111"/>
        <v>0</v>
      </c>
      <c r="T104" s="1">
        <f t="shared" si="112"/>
        <v>0</v>
      </c>
      <c r="U104" s="1">
        <f t="shared" si="113"/>
        <v>0</v>
      </c>
      <c r="V104" s="1">
        <f t="shared" si="114"/>
        <v>0</v>
      </c>
      <c r="W104" s="7">
        <f t="shared" si="115"/>
        <v>0</v>
      </c>
      <c r="X104" s="9">
        <f t="shared" si="116"/>
        <v>0</v>
      </c>
      <c r="Y104" s="10">
        <f t="shared" si="117"/>
        <v>0</v>
      </c>
      <c r="Z104" s="1">
        <f t="shared" si="118"/>
        <v>0</v>
      </c>
      <c r="AA104" s="8">
        <f t="shared" si="119"/>
        <v>0</v>
      </c>
    </row>
    <row r="105" spans="1:27">
      <c r="A105" s="321"/>
      <c r="B105" s="240" t="str">
        <f>'RFQ response'!C100</f>
        <v>TTF</v>
      </c>
      <c r="C105" s="237" t="str">
        <f>'RFQ response'!E100</f>
        <v xml:space="preserve">Test-To-Failure </v>
      </c>
      <c r="D105" s="74" t="str">
        <f>'RFQ response'!D100</f>
        <v>-</v>
      </c>
      <c r="E105" s="238" t="str">
        <f>'RFQ response'!K100</f>
        <v>NA</v>
      </c>
      <c r="F105" s="75"/>
      <c r="G105" s="74"/>
      <c r="H105" s="74"/>
      <c r="I105" s="95"/>
      <c r="J105" s="75"/>
      <c r="K105" s="74"/>
      <c r="L105" s="74"/>
      <c r="M105" s="173"/>
      <c r="N105" s="239"/>
      <c r="O105" s="239"/>
      <c r="Q105" s="9">
        <f t="shared" si="109"/>
        <v>0</v>
      </c>
      <c r="R105" s="10">
        <f t="shared" si="110"/>
        <v>0</v>
      </c>
      <c r="S105" s="10">
        <f t="shared" si="111"/>
        <v>0</v>
      </c>
      <c r="T105" s="1">
        <f t="shared" si="112"/>
        <v>0</v>
      </c>
      <c r="U105" s="1">
        <f t="shared" si="113"/>
        <v>0</v>
      </c>
      <c r="V105" s="1">
        <f t="shared" si="114"/>
        <v>0</v>
      </c>
      <c r="W105" s="7">
        <f t="shared" si="115"/>
        <v>0</v>
      </c>
      <c r="X105" s="9">
        <f t="shared" si="116"/>
        <v>0</v>
      </c>
      <c r="Y105" s="10">
        <f t="shared" si="117"/>
        <v>0</v>
      </c>
      <c r="Z105" s="1">
        <f t="shared" si="118"/>
        <v>0</v>
      </c>
      <c r="AA105" s="8">
        <f t="shared" si="119"/>
        <v>0</v>
      </c>
    </row>
  </sheetData>
  <autoFilter ref="A10:Y105" xr:uid="{00000000-0009-0000-0000-000003000000}">
    <filterColumn colId="0" showButton="0"/>
    <filterColumn colId="2" showButton="0"/>
    <filterColumn colId="3" showButton="0"/>
    <filterColumn colId="4" showButton="0"/>
    <filterColumn colId="5" showButton="0"/>
  </autoFilter>
  <mergeCells count="15">
    <mergeCell ref="B99:O99"/>
    <mergeCell ref="B104:O104"/>
    <mergeCell ref="Q10:W10"/>
    <mergeCell ref="X10:AA10"/>
    <mergeCell ref="B50:O50"/>
    <mergeCell ref="B52:O52"/>
    <mergeCell ref="B76:O76"/>
    <mergeCell ref="B94:O94"/>
    <mergeCell ref="A4:B11"/>
    <mergeCell ref="B12:O12"/>
    <mergeCell ref="B1:B2"/>
    <mergeCell ref="G1:G2"/>
    <mergeCell ref="L1:L2"/>
    <mergeCell ref="N1:N2"/>
    <mergeCell ref="O1:O2"/>
  </mergeCells>
  <conditionalFormatting sqref="K95:K98 K105 K100:K103 K51 K77:K93 K53:K75">
    <cfRule type="expression" dxfId="133" priority="16">
      <formula>$K51="Deviation"</formula>
    </cfRule>
    <cfRule type="expression" dxfId="132" priority="17" stopIfTrue="1">
      <formula>$K51="OK"</formula>
    </cfRule>
    <cfRule type="expression" dxfId="131" priority="18" stopIfTrue="1">
      <formula>$K51="NOK major"</formula>
    </cfRule>
    <cfRule type="expression" dxfId="130" priority="19" stopIfTrue="1">
      <formula>$K51="NOK minor"</formula>
    </cfRule>
    <cfRule type="expression" dxfId="129" priority="20" stopIfTrue="1">
      <formula>$K51="In analysis"</formula>
    </cfRule>
    <cfRule type="expression" dxfId="128" priority="21" stopIfTrue="1">
      <formula>$K51="On going"</formula>
    </cfRule>
    <cfRule type="expression" dxfId="127" priority="22" stopIfTrue="1">
      <formula>$K51="NA"</formula>
    </cfRule>
  </conditionalFormatting>
  <conditionalFormatting sqref="B94">
    <cfRule type="cellIs" dxfId="126" priority="15" operator="equal">
      <formula>"NA"</formula>
    </cfRule>
  </conditionalFormatting>
  <conditionalFormatting sqref="K20:K49">
    <cfRule type="expression" dxfId="125" priority="8">
      <formula>$K20="Deviation"</formula>
    </cfRule>
    <cfRule type="expression" dxfId="124" priority="9" stopIfTrue="1">
      <formula>$K20="OK"</formula>
    </cfRule>
    <cfRule type="expression" dxfId="123" priority="10" stopIfTrue="1">
      <formula>$K20="NOK major"</formula>
    </cfRule>
    <cfRule type="expression" dxfId="122" priority="11" stopIfTrue="1">
      <formula>$K20="NOK minor"</formula>
    </cfRule>
    <cfRule type="expression" dxfId="121" priority="12" stopIfTrue="1">
      <formula>$K20="In analysis"</formula>
    </cfRule>
    <cfRule type="expression" dxfId="120" priority="13" stopIfTrue="1">
      <formula>$K20="On going"</formula>
    </cfRule>
    <cfRule type="expression" dxfId="119" priority="14" stopIfTrue="1">
      <formula>$K20="NA"</formula>
    </cfRule>
  </conditionalFormatting>
  <conditionalFormatting sqref="K13:K19">
    <cfRule type="expression" dxfId="118" priority="1">
      <formula>$K13="Deviation"</formula>
    </cfRule>
    <cfRule type="expression" dxfId="117" priority="2" stopIfTrue="1">
      <formula>$K13="OK"</formula>
    </cfRule>
    <cfRule type="expression" dxfId="116" priority="3" stopIfTrue="1">
      <formula>$K13="NOK major"</formula>
    </cfRule>
    <cfRule type="expression" dxfId="115" priority="4" stopIfTrue="1">
      <formula>$K13="NOK minor"</formula>
    </cfRule>
    <cfRule type="expression" dxfId="114" priority="5" stopIfTrue="1">
      <formula>$K13="In analysis"</formula>
    </cfRule>
    <cfRule type="expression" dxfId="113" priority="6" stopIfTrue="1">
      <formula>$K13="On going"</formula>
    </cfRule>
    <cfRule type="expression" dxfId="112" priority="7" stopIfTrue="1">
      <formula>$K13="NA"</formula>
    </cfRule>
  </conditionalFormatting>
  <dataValidations count="2">
    <dataValidation type="list" allowBlank="1" showInputMessage="1" showErrorMessage="1" sqref="J51 J95:J98 J13:J49 J105 J100:J103 J77:J93 J53:J75" xr:uid="{AE508454-4E8D-42C4-9BB8-E9F83A57BFB4}">
      <formula1>"OK,NOK,NA,On going,"</formula1>
    </dataValidation>
    <dataValidation type="list" allowBlank="1" showInputMessage="1" showErrorMessage="1" sqref="K51 K95:K98 K13:K49 K105 K100:K103 K77:K93 K53:K75" xr:uid="{02D27B08-A99D-4393-89B0-FEC844B889FA}">
      <formula1>$C$4:$C$10</formula1>
    </dataValidation>
  </dataValidations>
  <hyperlinks>
    <hyperlink ref="M89" r:id="rId1" display="https://docinfogroupe.psa-peugeot-citroen.com/ead/doc/ref.20408_18_01223/v.vc/fiche" xr:uid="{BCD80831-E570-4734-A560-A10C12EFF7AD}"/>
  </hyperlinks>
  <pageMargins left="0.7" right="0.7" top="0.75" bottom="0.75" header="0.3" footer="0.3"/>
  <pageSetup paperSize="9" scale="51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V96"/>
  <sheetViews>
    <sheetView zoomScaleNormal="100" zoomScaleSheetLayoutView="100" workbookViewId="0">
      <pane ySplit="2" topLeftCell="A3" activePane="bottomLeft" state="frozen"/>
      <selection pane="bottomLeft" activeCell="B3" sqref="B3:K3"/>
    </sheetView>
  </sheetViews>
  <sheetFormatPr baseColWidth="10" defaultRowHeight="15"/>
  <cols>
    <col min="2" max="2" width="9.140625" style="91" bestFit="1" customWidth="1"/>
    <col min="3" max="3" width="60.28515625" customWidth="1"/>
    <col min="4" max="4" width="18.28515625" style="103" bestFit="1" customWidth="1"/>
    <col min="5" max="5" width="79.140625" customWidth="1"/>
    <col min="6" max="6" width="17" bestFit="1" customWidth="1"/>
    <col min="11" max="11" width="113.85546875" customWidth="1"/>
    <col min="12" max="12" width="102.85546875" customWidth="1"/>
    <col min="13" max="22" width="11.42578125" hidden="1" customWidth="1"/>
  </cols>
  <sheetData>
    <row r="1" spans="1:22" ht="26.25" thickBot="1">
      <c r="A1" s="135" t="s">
        <v>0</v>
      </c>
      <c r="B1" s="835" t="s">
        <v>1</v>
      </c>
      <c r="C1" s="857" t="s">
        <v>2</v>
      </c>
      <c r="D1" s="835" t="s">
        <v>3</v>
      </c>
      <c r="E1" s="835" t="s">
        <v>4</v>
      </c>
      <c r="F1" s="835" t="s">
        <v>145</v>
      </c>
      <c r="G1" s="29" t="s">
        <v>5</v>
      </c>
      <c r="H1" s="29" t="s">
        <v>5</v>
      </c>
      <c r="I1" s="835" t="s">
        <v>146</v>
      </c>
      <c r="J1" s="835" t="s">
        <v>159</v>
      </c>
      <c r="K1" s="835" t="s">
        <v>6</v>
      </c>
      <c r="L1" s="835" t="s">
        <v>176</v>
      </c>
    </row>
    <row r="2" spans="1:22" ht="15.75" thickBot="1">
      <c r="A2" s="51">
        <v>40842</v>
      </c>
      <c r="B2" s="836"/>
      <c r="C2" s="858"/>
      <c r="D2" s="836"/>
      <c r="E2" s="836"/>
      <c r="F2" s="836"/>
      <c r="G2" s="129" t="s">
        <v>7</v>
      </c>
      <c r="H2" s="129" t="s">
        <v>8</v>
      </c>
      <c r="I2" s="836"/>
      <c r="J2" s="836"/>
      <c r="K2" s="836"/>
      <c r="L2" s="837"/>
    </row>
    <row r="3" spans="1:22" ht="63" thickBot="1">
      <c r="A3" s="45" t="s">
        <v>55</v>
      </c>
      <c r="B3" s="838"/>
      <c r="C3" s="839"/>
      <c r="D3" s="839"/>
      <c r="E3" s="839"/>
      <c r="F3" s="839"/>
      <c r="G3" s="839"/>
      <c r="H3" s="839"/>
      <c r="I3" s="839"/>
      <c r="J3" s="839"/>
      <c r="K3" s="839"/>
      <c r="L3" s="108"/>
    </row>
    <row r="4" spans="1:22">
      <c r="A4" s="810" t="s">
        <v>56</v>
      </c>
      <c r="B4" s="811"/>
      <c r="C4" s="842" t="s">
        <v>57</v>
      </c>
      <c r="D4" s="843"/>
      <c r="E4" s="844"/>
      <c r="F4" s="130"/>
      <c r="G4" s="66">
        <f>SUM($V11:$V99)</f>
        <v>0</v>
      </c>
      <c r="H4" s="67">
        <f>SUM(R11:R99)</f>
        <v>0</v>
      </c>
      <c r="I4" s="79"/>
      <c r="J4" s="80"/>
      <c r="K4" s="81"/>
      <c r="L4" s="109"/>
    </row>
    <row r="5" spans="1:22">
      <c r="A5" s="812"/>
      <c r="B5" s="813"/>
      <c r="C5" s="845" t="s">
        <v>64</v>
      </c>
      <c r="D5" s="846"/>
      <c r="E5" s="847"/>
      <c r="F5" s="93"/>
      <c r="G5" s="30">
        <f>SUM($U11:$U99)</f>
        <v>0</v>
      </c>
      <c r="H5" s="31">
        <f>SUM(Q11:Q99)</f>
        <v>0</v>
      </c>
      <c r="I5" s="82"/>
      <c r="J5" s="83"/>
      <c r="K5" s="84"/>
      <c r="L5" s="109"/>
    </row>
    <row r="6" spans="1:22">
      <c r="A6" s="812"/>
      <c r="B6" s="813"/>
      <c r="C6" s="848" t="s">
        <v>65</v>
      </c>
      <c r="D6" s="849"/>
      <c r="E6" s="850"/>
      <c r="F6" s="131"/>
      <c r="G6" s="32"/>
      <c r="H6" s="33">
        <f>SUM(P11:P99)</f>
        <v>0</v>
      </c>
      <c r="I6" s="82"/>
      <c r="J6" s="83"/>
      <c r="K6" s="84"/>
      <c r="L6" s="109"/>
    </row>
    <row r="7" spans="1:22">
      <c r="A7" s="812"/>
      <c r="B7" s="813"/>
      <c r="C7" s="851" t="s">
        <v>60</v>
      </c>
      <c r="D7" s="852"/>
      <c r="E7" s="853"/>
      <c r="F7" s="132"/>
      <c r="G7" s="34"/>
      <c r="H7" s="35">
        <f>SUM(O11:O99)</f>
        <v>0</v>
      </c>
      <c r="I7" s="82"/>
      <c r="J7" s="83"/>
      <c r="K7" s="84"/>
      <c r="L7" s="109"/>
    </row>
    <row r="8" spans="1:22" ht="15.75" thickBot="1">
      <c r="A8" s="812"/>
      <c r="B8" s="813"/>
      <c r="C8" s="854" t="s">
        <v>59</v>
      </c>
      <c r="D8" s="855"/>
      <c r="E8" s="856"/>
      <c r="F8" s="133"/>
      <c r="G8" s="36">
        <f>SUM($T11:$T99)</f>
        <v>0</v>
      </c>
      <c r="H8" s="37">
        <f>SUM(N11:N99)</f>
        <v>2</v>
      </c>
      <c r="I8" s="82"/>
      <c r="J8" s="83"/>
      <c r="K8" s="84"/>
      <c r="L8" s="109"/>
    </row>
    <row r="9" spans="1:22">
      <c r="A9" s="812"/>
      <c r="B9" s="813"/>
      <c r="C9" s="824" t="s">
        <v>58</v>
      </c>
      <c r="D9" s="825"/>
      <c r="E9" s="826"/>
      <c r="F9" s="134"/>
      <c r="G9" s="38">
        <f>SUM($S11:$S99)</f>
        <v>0</v>
      </c>
      <c r="H9" s="39">
        <f>SUM($M11:$M99)</f>
        <v>0</v>
      </c>
      <c r="I9" s="82"/>
      <c r="J9" s="83"/>
      <c r="K9" s="84"/>
      <c r="L9" s="109"/>
      <c r="M9" s="827" t="s">
        <v>67</v>
      </c>
      <c r="N9" s="798"/>
      <c r="O9" s="798"/>
      <c r="P9" s="798"/>
      <c r="Q9" s="798"/>
      <c r="R9" s="799"/>
      <c r="S9" s="797" t="s">
        <v>68</v>
      </c>
      <c r="T9" s="798"/>
      <c r="U9" s="798"/>
      <c r="V9" s="800"/>
    </row>
    <row r="10" spans="1:22" ht="15.75" thickBot="1">
      <c r="A10" s="840"/>
      <c r="B10" s="841"/>
      <c r="C10" s="828" t="s">
        <v>66</v>
      </c>
      <c r="D10" s="829"/>
      <c r="E10" s="830"/>
      <c r="F10" s="128"/>
      <c r="G10" s="46">
        <f>SUM(G4:G9)</f>
        <v>0</v>
      </c>
      <c r="H10" s="47">
        <f>SUM(H4:H9)</f>
        <v>2</v>
      </c>
      <c r="I10" s="85"/>
      <c r="J10" s="86"/>
      <c r="K10" s="87"/>
      <c r="L10" s="109"/>
      <c r="M10" s="106" t="s">
        <v>58</v>
      </c>
      <c r="N10" s="4" t="s">
        <v>59</v>
      </c>
      <c r="O10" s="4" t="s">
        <v>60</v>
      </c>
      <c r="P10" s="4" t="s">
        <v>61</v>
      </c>
      <c r="Q10" s="4" t="s">
        <v>54</v>
      </c>
      <c r="R10" s="5" t="s">
        <v>62</v>
      </c>
      <c r="S10" s="3" t="s">
        <v>58</v>
      </c>
      <c r="T10" s="4" t="s">
        <v>59</v>
      </c>
      <c r="U10" s="4" t="s">
        <v>63</v>
      </c>
      <c r="V10" s="6" t="s">
        <v>62</v>
      </c>
    </row>
    <row r="11" spans="1:22" s="2" customFormat="1">
      <c r="A11" s="831" t="s">
        <v>9</v>
      </c>
      <c r="B11" s="71" t="s">
        <v>10</v>
      </c>
      <c r="C11" s="40" t="s">
        <v>11</v>
      </c>
      <c r="D11" s="100"/>
      <c r="E11" s="92"/>
      <c r="F11" s="92"/>
      <c r="G11" s="55"/>
      <c r="H11" s="102" t="s">
        <v>59</v>
      </c>
      <c r="I11" s="55"/>
      <c r="J11" s="55"/>
      <c r="K11" s="56"/>
      <c r="L11" s="110"/>
      <c r="M11" s="107">
        <f>IF(H11="En cours",1,0)</f>
        <v>0</v>
      </c>
      <c r="N11" s="10">
        <f>IF(H11="NA",1,0)</f>
        <v>1</v>
      </c>
      <c r="O11" s="1">
        <f>IF(H11="En analyse",1,0)</f>
        <v>0</v>
      </c>
      <c r="P11" s="1">
        <f>IF(H11="NOK mineur",1,0)</f>
        <v>0</v>
      </c>
      <c r="Q11" s="1">
        <f>IF(H11="NOK majeur",1,0)</f>
        <v>0</v>
      </c>
      <c r="R11" s="7">
        <f>IF(H11="OK",1,0)</f>
        <v>0</v>
      </c>
      <c r="S11" s="9">
        <f>IF($G11="En cours",1,0)</f>
        <v>0</v>
      </c>
      <c r="T11" s="10">
        <f>IF($G11="NA",1,0)</f>
        <v>0</v>
      </c>
      <c r="U11" s="1">
        <f>IF($G11="NOK",1,0)</f>
        <v>0</v>
      </c>
      <c r="V11" s="8">
        <f>IF($G11="OK",1,0)</f>
        <v>0</v>
      </c>
    </row>
    <row r="12" spans="1:22" s="2" customFormat="1">
      <c r="A12" s="832"/>
      <c r="B12" s="72" t="s">
        <v>12</v>
      </c>
      <c r="C12" s="44" t="s">
        <v>13</v>
      </c>
      <c r="D12" s="97"/>
      <c r="E12" s="74"/>
      <c r="F12" s="41"/>
      <c r="G12" s="41"/>
      <c r="H12" s="75" t="s">
        <v>59</v>
      </c>
      <c r="I12" s="41"/>
      <c r="J12" s="41"/>
      <c r="K12" s="43"/>
      <c r="L12" s="110"/>
      <c r="M12" s="107">
        <f t="shared" ref="M12:M74" si="0">IF(H12="En cours",1,0)</f>
        <v>0</v>
      </c>
      <c r="N12" s="10">
        <f t="shared" ref="N12:N74" si="1">IF(H12="NA",1,0)</f>
        <v>1</v>
      </c>
      <c r="O12" s="1">
        <f t="shared" ref="O12:O74" si="2">IF(H12="En analyse",1,0)</f>
        <v>0</v>
      </c>
      <c r="P12" s="1">
        <f t="shared" ref="P12:P74" si="3">IF(H12="NOK mineur",1,0)</f>
        <v>0</v>
      </c>
      <c r="Q12" s="1">
        <f t="shared" ref="Q12:Q74" si="4">IF(H12="NOK majeur",1,0)</f>
        <v>0</v>
      </c>
      <c r="R12" s="7">
        <f t="shared" ref="R12:R74" si="5">IF(H12="OK",1,0)</f>
        <v>0</v>
      </c>
      <c r="S12" s="9">
        <f t="shared" ref="S12:S74" si="6">IF($G12="En cours",1,0)</f>
        <v>0</v>
      </c>
      <c r="T12" s="10">
        <f t="shared" ref="T12:T74" si="7">IF($G12="NA",1,0)</f>
        <v>0</v>
      </c>
      <c r="U12" s="1">
        <f t="shared" ref="U12:U74" si="8">IF($G12="NOK",1,0)</f>
        <v>0</v>
      </c>
      <c r="V12" s="8">
        <f t="shared" ref="V12:V74" si="9">IF($G12="OK",1,0)</f>
        <v>0</v>
      </c>
    </row>
    <row r="13" spans="1:22" s="2" customFormat="1">
      <c r="A13" s="832"/>
      <c r="B13" s="72" t="s">
        <v>14</v>
      </c>
      <c r="C13" s="44" t="s">
        <v>15</v>
      </c>
      <c r="D13" s="97"/>
      <c r="E13" s="95"/>
      <c r="F13" s="94"/>
      <c r="G13" s="41"/>
      <c r="H13" s="42"/>
      <c r="I13" s="42"/>
      <c r="J13" s="42"/>
      <c r="K13" s="136"/>
      <c r="L13" s="118"/>
      <c r="M13" s="107">
        <f t="shared" si="0"/>
        <v>0</v>
      </c>
      <c r="N13" s="10">
        <f t="shared" si="1"/>
        <v>0</v>
      </c>
      <c r="O13" s="1">
        <f t="shared" si="2"/>
        <v>0</v>
      </c>
      <c r="P13" s="1">
        <f t="shared" si="3"/>
        <v>0</v>
      </c>
      <c r="Q13" s="1">
        <f t="shared" si="4"/>
        <v>0</v>
      </c>
      <c r="R13" s="7">
        <f t="shared" si="5"/>
        <v>0</v>
      </c>
      <c r="S13" s="9">
        <f t="shared" si="6"/>
        <v>0</v>
      </c>
      <c r="T13" s="10">
        <f t="shared" si="7"/>
        <v>0</v>
      </c>
      <c r="U13" s="1">
        <f t="shared" si="8"/>
        <v>0</v>
      </c>
      <c r="V13" s="8">
        <f t="shared" si="9"/>
        <v>0</v>
      </c>
    </row>
    <row r="14" spans="1:22" s="2" customFormat="1">
      <c r="A14" s="832"/>
      <c r="B14" s="72" t="s">
        <v>16</v>
      </c>
      <c r="C14" s="44" t="s">
        <v>17</v>
      </c>
      <c r="D14" s="97"/>
      <c r="E14" s="41"/>
      <c r="F14" s="41"/>
      <c r="G14" s="41"/>
      <c r="H14" s="42"/>
      <c r="I14" s="41"/>
      <c r="J14" s="41"/>
      <c r="K14" s="113"/>
      <c r="L14" s="110"/>
      <c r="M14" s="107">
        <f t="shared" si="0"/>
        <v>0</v>
      </c>
      <c r="N14" s="10">
        <f t="shared" si="1"/>
        <v>0</v>
      </c>
      <c r="O14" s="1">
        <f t="shared" si="2"/>
        <v>0</v>
      </c>
      <c r="P14" s="1">
        <f t="shared" si="3"/>
        <v>0</v>
      </c>
      <c r="Q14" s="1">
        <f t="shared" si="4"/>
        <v>0</v>
      </c>
      <c r="R14" s="7">
        <f t="shared" si="5"/>
        <v>0</v>
      </c>
      <c r="S14" s="9">
        <f t="shared" si="6"/>
        <v>0</v>
      </c>
      <c r="T14" s="10">
        <f t="shared" si="7"/>
        <v>0</v>
      </c>
      <c r="U14" s="1">
        <f t="shared" si="8"/>
        <v>0</v>
      </c>
      <c r="V14" s="8">
        <f t="shared" si="9"/>
        <v>0</v>
      </c>
    </row>
    <row r="15" spans="1:22" s="2" customFormat="1">
      <c r="A15" s="832"/>
      <c r="B15" s="72" t="s">
        <v>18</v>
      </c>
      <c r="C15" s="44" t="s">
        <v>19</v>
      </c>
      <c r="D15" s="97"/>
      <c r="E15" s="94"/>
      <c r="F15" s="41"/>
      <c r="G15" s="41"/>
      <c r="H15" s="42"/>
      <c r="I15" s="41"/>
      <c r="J15" s="41"/>
      <c r="K15" s="43"/>
      <c r="L15" s="121"/>
      <c r="M15" s="107">
        <f t="shared" si="0"/>
        <v>0</v>
      </c>
      <c r="N15" s="10">
        <f t="shared" si="1"/>
        <v>0</v>
      </c>
      <c r="O15" s="1">
        <f t="shared" si="2"/>
        <v>0</v>
      </c>
      <c r="P15" s="1">
        <f t="shared" si="3"/>
        <v>0</v>
      </c>
      <c r="Q15" s="1">
        <f t="shared" si="4"/>
        <v>0</v>
      </c>
      <c r="R15" s="7">
        <f t="shared" si="5"/>
        <v>0</v>
      </c>
      <c r="S15" s="9">
        <f t="shared" si="6"/>
        <v>0</v>
      </c>
      <c r="T15" s="10">
        <f t="shared" si="7"/>
        <v>0</v>
      </c>
      <c r="U15" s="1">
        <f t="shared" si="8"/>
        <v>0</v>
      </c>
      <c r="V15" s="8">
        <f t="shared" si="9"/>
        <v>0</v>
      </c>
    </row>
    <row r="16" spans="1:22" s="2" customFormat="1">
      <c r="A16" s="832"/>
      <c r="B16" s="72" t="s">
        <v>20</v>
      </c>
      <c r="C16" s="44" t="s">
        <v>21</v>
      </c>
      <c r="D16" s="97"/>
      <c r="E16" s="41"/>
      <c r="F16" s="41"/>
      <c r="G16" s="41"/>
      <c r="H16" s="42"/>
      <c r="I16" s="41"/>
      <c r="J16" s="41"/>
      <c r="K16" s="43"/>
      <c r="L16" s="110"/>
      <c r="M16" s="107">
        <f t="shared" si="0"/>
        <v>0</v>
      </c>
      <c r="N16" s="10">
        <f t="shared" si="1"/>
        <v>0</v>
      </c>
      <c r="O16" s="1">
        <f t="shared" si="2"/>
        <v>0</v>
      </c>
      <c r="P16" s="1">
        <f t="shared" si="3"/>
        <v>0</v>
      </c>
      <c r="Q16" s="1">
        <f t="shared" si="4"/>
        <v>0</v>
      </c>
      <c r="R16" s="7">
        <f t="shared" si="5"/>
        <v>0</v>
      </c>
      <c r="S16" s="9">
        <f t="shared" si="6"/>
        <v>0</v>
      </c>
      <c r="T16" s="10">
        <f t="shared" si="7"/>
        <v>0</v>
      </c>
      <c r="U16" s="1">
        <f t="shared" si="8"/>
        <v>0</v>
      </c>
      <c r="V16" s="8">
        <f t="shared" si="9"/>
        <v>0</v>
      </c>
    </row>
    <row r="17" spans="1:22" s="2" customFormat="1">
      <c r="A17" s="832"/>
      <c r="B17" s="818" t="s">
        <v>22</v>
      </c>
      <c r="C17" s="68" t="s">
        <v>158</v>
      </c>
      <c r="D17" s="76"/>
      <c r="E17" s="94"/>
      <c r="F17" s="41"/>
      <c r="G17" s="41"/>
      <c r="H17" s="42"/>
      <c r="I17" s="41"/>
      <c r="J17" s="41"/>
      <c r="K17" s="43"/>
      <c r="L17" s="121"/>
      <c r="M17" s="107">
        <f t="shared" si="0"/>
        <v>0</v>
      </c>
      <c r="N17" s="10">
        <f t="shared" si="1"/>
        <v>0</v>
      </c>
      <c r="O17" s="1">
        <f t="shared" si="2"/>
        <v>0</v>
      </c>
      <c r="P17" s="1">
        <f t="shared" si="3"/>
        <v>0</v>
      </c>
      <c r="Q17" s="1">
        <f t="shared" si="4"/>
        <v>0</v>
      </c>
      <c r="R17" s="7">
        <f t="shared" si="5"/>
        <v>0</v>
      </c>
      <c r="S17" s="9">
        <f t="shared" si="6"/>
        <v>0</v>
      </c>
      <c r="T17" s="10">
        <f t="shared" si="7"/>
        <v>0</v>
      </c>
      <c r="U17" s="1">
        <f t="shared" si="8"/>
        <v>0</v>
      </c>
      <c r="V17" s="8">
        <f t="shared" si="9"/>
        <v>0</v>
      </c>
    </row>
    <row r="18" spans="1:22" s="2" customFormat="1">
      <c r="A18" s="832"/>
      <c r="B18" s="819"/>
      <c r="C18" s="98" t="s">
        <v>147</v>
      </c>
      <c r="D18" s="76"/>
      <c r="E18" s="96"/>
      <c r="F18" s="41"/>
      <c r="G18" s="41"/>
      <c r="H18" s="42"/>
      <c r="I18" s="41"/>
      <c r="J18" s="41"/>
      <c r="K18" s="43"/>
      <c r="L18" s="110"/>
      <c r="M18" s="107">
        <f t="shared" si="0"/>
        <v>0</v>
      </c>
      <c r="N18" s="10">
        <f t="shared" si="1"/>
        <v>0</v>
      </c>
      <c r="O18" s="1">
        <f t="shared" si="2"/>
        <v>0</v>
      </c>
      <c r="P18" s="1">
        <f t="shared" si="3"/>
        <v>0</v>
      </c>
      <c r="Q18" s="1">
        <f t="shared" si="4"/>
        <v>0</v>
      </c>
      <c r="R18" s="7">
        <f t="shared" si="5"/>
        <v>0</v>
      </c>
      <c r="S18" s="9">
        <f t="shared" si="6"/>
        <v>0</v>
      </c>
      <c r="T18" s="10">
        <f t="shared" si="7"/>
        <v>0</v>
      </c>
      <c r="U18" s="1">
        <f t="shared" si="8"/>
        <v>0</v>
      </c>
      <c r="V18" s="8">
        <f t="shared" si="9"/>
        <v>0</v>
      </c>
    </row>
    <row r="19" spans="1:22" s="2" customFormat="1">
      <c r="A19" s="832"/>
      <c r="B19" s="819"/>
      <c r="C19" s="98" t="s">
        <v>148</v>
      </c>
      <c r="D19" s="76"/>
      <c r="E19" s="96"/>
      <c r="F19" s="41"/>
      <c r="G19" s="41"/>
      <c r="H19" s="42"/>
      <c r="I19" s="41"/>
      <c r="J19" s="41"/>
      <c r="K19" s="43"/>
      <c r="L19" s="110"/>
      <c r="M19" s="107">
        <f t="shared" si="0"/>
        <v>0</v>
      </c>
      <c r="N19" s="10">
        <f t="shared" si="1"/>
        <v>0</v>
      </c>
      <c r="O19" s="1">
        <f t="shared" si="2"/>
        <v>0</v>
      </c>
      <c r="P19" s="1">
        <f t="shared" si="3"/>
        <v>0</v>
      </c>
      <c r="Q19" s="1">
        <f t="shared" si="4"/>
        <v>0</v>
      </c>
      <c r="R19" s="7">
        <f t="shared" si="5"/>
        <v>0</v>
      </c>
      <c r="S19" s="9">
        <f t="shared" si="6"/>
        <v>0</v>
      </c>
      <c r="T19" s="10">
        <f t="shared" si="7"/>
        <v>0</v>
      </c>
      <c r="U19" s="1">
        <f t="shared" si="8"/>
        <v>0</v>
      </c>
      <c r="V19" s="8">
        <f t="shared" si="9"/>
        <v>0</v>
      </c>
    </row>
    <row r="20" spans="1:22" s="2" customFormat="1">
      <c r="A20" s="832"/>
      <c r="B20" s="819"/>
      <c r="C20" s="98" t="s">
        <v>149</v>
      </c>
      <c r="D20" s="97"/>
      <c r="E20" s="41"/>
      <c r="F20" s="41"/>
      <c r="G20" s="41"/>
      <c r="H20" s="42"/>
      <c r="I20" s="41"/>
      <c r="J20" s="41"/>
      <c r="K20" s="43"/>
      <c r="L20" s="110"/>
      <c r="M20" s="107">
        <f t="shared" si="0"/>
        <v>0</v>
      </c>
      <c r="N20" s="10">
        <f t="shared" si="1"/>
        <v>0</v>
      </c>
      <c r="O20" s="1">
        <f t="shared" si="2"/>
        <v>0</v>
      </c>
      <c r="P20" s="1">
        <f t="shared" si="3"/>
        <v>0</v>
      </c>
      <c r="Q20" s="1">
        <f t="shared" si="4"/>
        <v>0</v>
      </c>
      <c r="R20" s="7">
        <f t="shared" si="5"/>
        <v>0</v>
      </c>
      <c r="S20" s="9">
        <f t="shared" si="6"/>
        <v>0</v>
      </c>
      <c r="T20" s="10">
        <f t="shared" si="7"/>
        <v>0</v>
      </c>
      <c r="U20" s="1">
        <f t="shared" si="8"/>
        <v>0</v>
      </c>
      <c r="V20" s="8">
        <f t="shared" si="9"/>
        <v>0</v>
      </c>
    </row>
    <row r="21" spans="1:22" s="2" customFormat="1">
      <c r="A21" s="832"/>
      <c r="B21" s="819"/>
      <c r="C21" s="98" t="s">
        <v>150</v>
      </c>
      <c r="D21" s="97"/>
      <c r="E21" s="41"/>
      <c r="F21" s="41"/>
      <c r="G21" s="41"/>
      <c r="H21" s="42"/>
      <c r="I21" s="41"/>
      <c r="J21" s="41"/>
      <c r="K21" s="43"/>
      <c r="L21" s="110"/>
      <c r="M21" s="107">
        <f t="shared" si="0"/>
        <v>0</v>
      </c>
      <c r="N21" s="10">
        <f t="shared" si="1"/>
        <v>0</v>
      </c>
      <c r="O21" s="1">
        <f t="shared" si="2"/>
        <v>0</v>
      </c>
      <c r="P21" s="1">
        <f t="shared" si="3"/>
        <v>0</v>
      </c>
      <c r="Q21" s="1">
        <f t="shared" si="4"/>
        <v>0</v>
      </c>
      <c r="R21" s="7">
        <f t="shared" si="5"/>
        <v>0</v>
      </c>
      <c r="S21" s="9">
        <f t="shared" si="6"/>
        <v>0</v>
      </c>
      <c r="T21" s="10">
        <f t="shared" si="7"/>
        <v>0</v>
      </c>
      <c r="U21" s="1">
        <f t="shared" si="8"/>
        <v>0</v>
      </c>
      <c r="V21" s="8">
        <f t="shared" si="9"/>
        <v>0</v>
      </c>
    </row>
    <row r="22" spans="1:22" s="2" customFormat="1">
      <c r="A22" s="832"/>
      <c r="B22" s="819"/>
      <c r="C22" s="98" t="s">
        <v>151</v>
      </c>
      <c r="D22" s="97"/>
      <c r="E22" s="41"/>
      <c r="F22" s="41"/>
      <c r="G22" s="41"/>
      <c r="H22" s="42"/>
      <c r="I22" s="41"/>
      <c r="J22" s="41"/>
      <c r="K22" s="43"/>
      <c r="L22" s="110"/>
      <c r="M22" s="107">
        <f t="shared" si="0"/>
        <v>0</v>
      </c>
      <c r="N22" s="10">
        <f t="shared" si="1"/>
        <v>0</v>
      </c>
      <c r="O22" s="1">
        <f t="shared" si="2"/>
        <v>0</v>
      </c>
      <c r="P22" s="1">
        <f t="shared" si="3"/>
        <v>0</v>
      </c>
      <c r="Q22" s="1">
        <f t="shared" si="4"/>
        <v>0</v>
      </c>
      <c r="R22" s="7">
        <f t="shared" si="5"/>
        <v>0</v>
      </c>
      <c r="S22" s="9">
        <f t="shared" si="6"/>
        <v>0</v>
      </c>
      <c r="T22" s="10">
        <f t="shared" si="7"/>
        <v>0</v>
      </c>
      <c r="U22" s="1">
        <f t="shared" si="8"/>
        <v>0</v>
      </c>
      <c r="V22" s="8">
        <f t="shared" si="9"/>
        <v>0</v>
      </c>
    </row>
    <row r="23" spans="1:22" s="2" customFormat="1">
      <c r="A23" s="832"/>
      <c r="B23" s="819"/>
      <c r="C23" s="99" t="s">
        <v>152</v>
      </c>
      <c r="D23" s="76"/>
      <c r="E23" s="94"/>
      <c r="F23" s="41"/>
      <c r="G23" s="41"/>
      <c r="H23" s="42"/>
      <c r="I23" s="112"/>
      <c r="J23" s="41"/>
      <c r="K23" s="833"/>
      <c r="L23" s="110"/>
      <c r="M23" s="107">
        <f t="shared" si="0"/>
        <v>0</v>
      </c>
      <c r="N23" s="10">
        <f t="shared" si="1"/>
        <v>0</v>
      </c>
      <c r="O23" s="1">
        <f t="shared" si="2"/>
        <v>0</v>
      </c>
      <c r="P23" s="1">
        <f t="shared" si="3"/>
        <v>0</v>
      </c>
      <c r="Q23" s="1">
        <f t="shared" si="4"/>
        <v>0</v>
      </c>
      <c r="R23" s="7">
        <f t="shared" si="5"/>
        <v>0</v>
      </c>
      <c r="S23" s="9">
        <f t="shared" si="6"/>
        <v>0</v>
      </c>
      <c r="T23" s="10">
        <f t="shared" si="7"/>
        <v>0</v>
      </c>
      <c r="U23" s="1">
        <f t="shared" si="8"/>
        <v>0</v>
      </c>
      <c r="V23" s="8">
        <f t="shared" si="9"/>
        <v>0</v>
      </c>
    </row>
    <row r="24" spans="1:22" s="2" customFormat="1">
      <c r="A24" s="832"/>
      <c r="B24" s="819"/>
      <c r="C24" s="99" t="s">
        <v>153</v>
      </c>
      <c r="D24" s="76"/>
      <c r="E24" s="94"/>
      <c r="F24" s="41"/>
      <c r="G24" s="41"/>
      <c r="H24" s="42"/>
      <c r="I24" s="112"/>
      <c r="J24" s="41"/>
      <c r="K24" s="834"/>
      <c r="L24" s="110"/>
      <c r="M24" s="107">
        <f t="shared" si="0"/>
        <v>0</v>
      </c>
      <c r="N24" s="10">
        <f t="shared" si="1"/>
        <v>0</v>
      </c>
      <c r="O24" s="1">
        <f t="shared" si="2"/>
        <v>0</v>
      </c>
      <c r="P24" s="1">
        <f t="shared" si="3"/>
        <v>0</v>
      </c>
      <c r="Q24" s="1">
        <f t="shared" si="4"/>
        <v>0</v>
      </c>
      <c r="R24" s="7">
        <f t="shared" si="5"/>
        <v>0</v>
      </c>
      <c r="S24" s="9">
        <f t="shared" si="6"/>
        <v>0</v>
      </c>
      <c r="T24" s="10">
        <f t="shared" si="7"/>
        <v>0</v>
      </c>
      <c r="U24" s="1">
        <f t="shared" si="8"/>
        <v>0</v>
      </c>
      <c r="V24" s="8">
        <f t="shared" si="9"/>
        <v>0</v>
      </c>
    </row>
    <row r="25" spans="1:22" s="2" customFormat="1">
      <c r="A25" s="832"/>
      <c r="B25" s="819"/>
      <c r="C25" s="99" t="s">
        <v>154</v>
      </c>
      <c r="D25" s="97"/>
      <c r="E25" s="41"/>
      <c r="F25" s="41"/>
      <c r="G25" s="41"/>
      <c r="H25" s="42"/>
      <c r="I25" s="41"/>
      <c r="J25" s="41"/>
      <c r="K25" s="43"/>
      <c r="L25" s="110"/>
      <c r="M25" s="107">
        <f t="shared" si="0"/>
        <v>0</v>
      </c>
      <c r="N25" s="10">
        <f t="shared" si="1"/>
        <v>0</v>
      </c>
      <c r="O25" s="1">
        <f t="shared" si="2"/>
        <v>0</v>
      </c>
      <c r="P25" s="1">
        <f t="shared" si="3"/>
        <v>0</v>
      </c>
      <c r="Q25" s="1">
        <f t="shared" si="4"/>
        <v>0</v>
      </c>
      <c r="R25" s="7">
        <f t="shared" si="5"/>
        <v>0</v>
      </c>
      <c r="S25" s="9">
        <f t="shared" si="6"/>
        <v>0</v>
      </c>
      <c r="T25" s="10">
        <f t="shared" si="7"/>
        <v>0</v>
      </c>
      <c r="U25" s="1">
        <f t="shared" si="8"/>
        <v>0</v>
      </c>
      <c r="V25" s="8">
        <f t="shared" si="9"/>
        <v>0</v>
      </c>
    </row>
    <row r="26" spans="1:22" s="2" customFormat="1">
      <c r="A26" s="832"/>
      <c r="B26" s="819"/>
      <c r="C26" s="99" t="s">
        <v>155</v>
      </c>
      <c r="D26" s="97"/>
      <c r="E26" s="41"/>
      <c r="F26" s="41"/>
      <c r="G26" s="41"/>
      <c r="H26" s="42"/>
      <c r="I26" s="41"/>
      <c r="J26" s="41"/>
      <c r="K26" s="43"/>
      <c r="L26" s="110"/>
      <c r="M26" s="107">
        <f t="shared" si="0"/>
        <v>0</v>
      </c>
      <c r="N26" s="10">
        <f t="shared" si="1"/>
        <v>0</v>
      </c>
      <c r="O26" s="1">
        <f t="shared" si="2"/>
        <v>0</v>
      </c>
      <c r="P26" s="1">
        <f t="shared" si="3"/>
        <v>0</v>
      </c>
      <c r="Q26" s="1">
        <f t="shared" si="4"/>
        <v>0</v>
      </c>
      <c r="R26" s="7">
        <f t="shared" si="5"/>
        <v>0</v>
      </c>
      <c r="S26" s="9">
        <f t="shared" si="6"/>
        <v>0</v>
      </c>
      <c r="T26" s="10">
        <f t="shared" si="7"/>
        <v>0</v>
      </c>
      <c r="U26" s="1">
        <f t="shared" si="8"/>
        <v>0</v>
      </c>
      <c r="V26" s="8">
        <f t="shared" si="9"/>
        <v>0</v>
      </c>
    </row>
    <row r="27" spans="1:22" s="2" customFormat="1">
      <c r="A27" s="832"/>
      <c r="B27" s="819"/>
      <c r="C27" s="99" t="s">
        <v>157</v>
      </c>
      <c r="D27" s="76"/>
      <c r="E27" s="41"/>
      <c r="F27" s="41"/>
      <c r="G27" s="41"/>
      <c r="H27" s="42"/>
      <c r="I27" s="41"/>
      <c r="J27" s="41"/>
      <c r="K27" s="43"/>
      <c r="L27" s="110"/>
      <c r="M27" s="107">
        <f t="shared" si="0"/>
        <v>0</v>
      </c>
      <c r="N27" s="10">
        <f t="shared" si="1"/>
        <v>0</v>
      </c>
      <c r="O27" s="1">
        <f t="shared" si="2"/>
        <v>0</v>
      </c>
      <c r="P27" s="1">
        <f t="shared" si="3"/>
        <v>0</v>
      </c>
      <c r="Q27" s="1">
        <f t="shared" si="4"/>
        <v>0</v>
      </c>
      <c r="R27" s="7">
        <f t="shared" si="5"/>
        <v>0</v>
      </c>
      <c r="S27" s="9">
        <f t="shared" si="6"/>
        <v>0</v>
      </c>
      <c r="T27" s="10">
        <f t="shared" si="7"/>
        <v>0</v>
      </c>
      <c r="U27" s="1">
        <f t="shared" si="8"/>
        <v>0</v>
      </c>
      <c r="V27" s="8">
        <f t="shared" si="9"/>
        <v>0</v>
      </c>
    </row>
    <row r="28" spans="1:22" s="2" customFormat="1">
      <c r="A28" s="832"/>
      <c r="B28" s="820"/>
      <c r="C28" s="99" t="s">
        <v>156</v>
      </c>
      <c r="D28" s="76"/>
      <c r="E28" s="94"/>
      <c r="F28" s="41"/>
      <c r="G28" s="41"/>
      <c r="H28" s="42"/>
      <c r="I28" s="41"/>
      <c r="J28" s="41"/>
      <c r="K28" s="43"/>
      <c r="L28" s="118"/>
      <c r="M28" s="107">
        <f t="shared" si="0"/>
        <v>0</v>
      </c>
      <c r="N28" s="10">
        <f t="shared" si="1"/>
        <v>0</v>
      </c>
      <c r="O28" s="1">
        <f t="shared" si="2"/>
        <v>0</v>
      </c>
      <c r="P28" s="1">
        <f t="shared" si="3"/>
        <v>0</v>
      </c>
      <c r="Q28" s="1">
        <f t="shared" si="4"/>
        <v>0</v>
      </c>
      <c r="R28" s="7">
        <f t="shared" si="5"/>
        <v>0</v>
      </c>
      <c r="S28" s="9">
        <f t="shared" si="6"/>
        <v>0</v>
      </c>
      <c r="T28" s="10">
        <f t="shared" si="7"/>
        <v>0</v>
      </c>
      <c r="U28" s="1">
        <f t="shared" si="8"/>
        <v>0</v>
      </c>
      <c r="V28" s="8">
        <f t="shared" si="9"/>
        <v>0</v>
      </c>
    </row>
    <row r="29" spans="1:22" s="2" customFormat="1">
      <c r="A29" s="832"/>
      <c r="B29" s="72" t="s">
        <v>23</v>
      </c>
      <c r="C29" s="44" t="s">
        <v>24</v>
      </c>
      <c r="D29" s="97"/>
      <c r="E29" s="95"/>
      <c r="F29" s="41"/>
      <c r="G29" s="41"/>
      <c r="H29" s="42"/>
      <c r="I29" s="41"/>
      <c r="J29" s="41"/>
      <c r="K29" s="43"/>
      <c r="L29" s="110"/>
      <c r="M29" s="107">
        <f t="shared" si="0"/>
        <v>0</v>
      </c>
      <c r="N29" s="10">
        <f t="shared" si="1"/>
        <v>0</v>
      </c>
      <c r="O29" s="1">
        <f t="shared" si="2"/>
        <v>0</v>
      </c>
      <c r="P29" s="1">
        <f t="shared" si="3"/>
        <v>0</v>
      </c>
      <c r="Q29" s="1">
        <f t="shared" si="4"/>
        <v>0</v>
      </c>
      <c r="R29" s="7">
        <f t="shared" si="5"/>
        <v>0</v>
      </c>
      <c r="S29" s="9">
        <f t="shared" si="6"/>
        <v>0</v>
      </c>
      <c r="T29" s="10">
        <f t="shared" si="7"/>
        <v>0</v>
      </c>
      <c r="U29" s="1">
        <f t="shared" si="8"/>
        <v>0</v>
      </c>
      <c r="V29" s="8">
        <f t="shared" si="9"/>
        <v>0</v>
      </c>
    </row>
    <row r="30" spans="1:22" s="2" customFormat="1">
      <c r="A30" s="832"/>
      <c r="B30" s="72" t="s">
        <v>76</v>
      </c>
      <c r="C30" s="44" t="s">
        <v>25</v>
      </c>
      <c r="D30" s="97"/>
      <c r="E30" s="41"/>
      <c r="F30" s="41"/>
      <c r="G30" s="41"/>
      <c r="H30" s="42"/>
      <c r="I30" s="41"/>
      <c r="J30" s="41"/>
      <c r="K30" s="43"/>
      <c r="L30" s="110"/>
      <c r="M30" s="107">
        <f t="shared" si="0"/>
        <v>0</v>
      </c>
      <c r="N30" s="10">
        <f t="shared" si="1"/>
        <v>0</v>
      </c>
      <c r="O30" s="1">
        <f t="shared" si="2"/>
        <v>0</v>
      </c>
      <c r="P30" s="1">
        <f t="shared" si="3"/>
        <v>0</v>
      </c>
      <c r="Q30" s="1">
        <f t="shared" si="4"/>
        <v>0</v>
      </c>
      <c r="R30" s="7">
        <f t="shared" si="5"/>
        <v>0</v>
      </c>
      <c r="S30" s="9">
        <f t="shared" si="6"/>
        <v>0</v>
      </c>
      <c r="T30" s="10">
        <f t="shared" si="7"/>
        <v>0</v>
      </c>
      <c r="U30" s="1">
        <f t="shared" si="8"/>
        <v>0</v>
      </c>
      <c r="V30" s="8">
        <f t="shared" si="9"/>
        <v>0</v>
      </c>
    </row>
    <row r="31" spans="1:22" s="2" customFormat="1">
      <c r="A31" s="832"/>
      <c r="B31" s="72" t="s">
        <v>77</v>
      </c>
      <c r="C31" s="44" t="s">
        <v>25</v>
      </c>
      <c r="D31" s="97"/>
      <c r="E31" s="41"/>
      <c r="F31" s="41"/>
      <c r="G31" s="41"/>
      <c r="H31" s="42"/>
      <c r="I31" s="41"/>
      <c r="J31" s="41"/>
      <c r="K31" s="43"/>
      <c r="L31" s="110"/>
      <c r="M31" s="107">
        <f t="shared" si="0"/>
        <v>0</v>
      </c>
      <c r="N31" s="10">
        <f t="shared" si="1"/>
        <v>0</v>
      </c>
      <c r="O31" s="1">
        <f t="shared" si="2"/>
        <v>0</v>
      </c>
      <c r="P31" s="1">
        <f t="shared" si="3"/>
        <v>0</v>
      </c>
      <c r="Q31" s="1">
        <f t="shared" si="4"/>
        <v>0</v>
      </c>
      <c r="R31" s="7">
        <f t="shared" si="5"/>
        <v>0</v>
      </c>
      <c r="S31" s="9">
        <f t="shared" si="6"/>
        <v>0</v>
      </c>
      <c r="T31" s="10">
        <f t="shared" si="7"/>
        <v>0</v>
      </c>
      <c r="U31" s="1">
        <f t="shared" si="8"/>
        <v>0</v>
      </c>
      <c r="V31" s="8">
        <f t="shared" si="9"/>
        <v>0</v>
      </c>
    </row>
    <row r="32" spans="1:22" s="2" customFormat="1">
      <c r="A32" s="832"/>
      <c r="B32" s="72" t="s">
        <v>26</v>
      </c>
      <c r="C32" s="44" t="s">
        <v>27</v>
      </c>
      <c r="D32" s="97"/>
      <c r="E32" s="41"/>
      <c r="F32" s="41"/>
      <c r="G32" s="41"/>
      <c r="H32" s="42"/>
      <c r="I32" s="41"/>
      <c r="J32" s="41"/>
      <c r="K32" s="43"/>
      <c r="L32" s="110"/>
      <c r="M32" s="107">
        <f t="shared" si="0"/>
        <v>0</v>
      </c>
      <c r="N32" s="10">
        <f t="shared" si="1"/>
        <v>0</v>
      </c>
      <c r="O32" s="1">
        <f t="shared" si="2"/>
        <v>0</v>
      </c>
      <c r="P32" s="1">
        <f t="shared" si="3"/>
        <v>0</v>
      </c>
      <c r="Q32" s="1">
        <f t="shared" si="4"/>
        <v>0</v>
      </c>
      <c r="R32" s="7">
        <f t="shared" si="5"/>
        <v>0</v>
      </c>
      <c r="S32" s="9">
        <f t="shared" si="6"/>
        <v>0</v>
      </c>
      <c r="T32" s="10">
        <f t="shared" si="7"/>
        <v>0</v>
      </c>
      <c r="U32" s="1">
        <f t="shared" si="8"/>
        <v>0</v>
      </c>
      <c r="V32" s="8">
        <f t="shared" si="9"/>
        <v>0</v>
      </c>
    </row>
    <row r="33" spans="1:22" s="2" customFormat="1">
      <c r="A33" s="832"/>
      <c r="B33" s="72" t="s">
        <v>28</v>
      </c>
      <c r="C33" s="44" t="s">
        <v>29</v>
      </c>
      <c r="D33" s="97"/>
      <c r="E33" s="41"/>
      <c r="F33" s="41"/>
      <c r="G33" s="41"/>
      <c r="H33" s="42"/>
      <c r="I33" s="41"/>
      <c r="J33" s="41"/>
      <c r="K33" s="43"/>
      <c r="L33" s="110"/>
      <c r="M33" s="107">
        <f t="shared" si="0"/>
        <v>0</v>
      </c>
      <c r="N33" s="10">
        <f t="shared" si="1"/>
        <v>0</v>
      </c>
      <c r="O33" s="1">
        <f t="shared" si="2"/>
        <v>0</v>
      </c>
      <c r="P33" s="1">
        <f t="shared" si="3"/>
        <v>0</v>
      </c>
      <c r="Q33" s="1">
        <f t="shared" si="4"/>
        <v>0</v>
      </c>
      <c r="R33" s="7">
        <f t="shared" si="5"/>
        <v>0</v>
      </c>
      <c r="S33" s="9">
        <f t="shared" si="6"/>
        <v>0</v>
      </c>
      <c r="T33" s="10">
        <f t="shared" si="7"/>
        <v>0</v>
      </c>
      <c r="U33" s="1">
        <f t="shared" si="8"/>
        <v>0</v>
      </c>
      <c r="V33" s="8">
        <f t="shared" si="9"/>
        <v>0</v>
      </c>
    </row>
    <row r="34" spans="1:22" s="2" customFormat="1">
      <c r="A34" s="832"/>
      <c r="B34" s="72" t="s">
        <v>30</v>
      </c>
      <c r="C34" s="44" t="s">
        <v>31</v>
      </c>
      <c r="D34" s="97"/>
      <c r="E34" s="41"/>
      <c r="F34" s="41"/>
      <c r="G34" s="41"/>
      <c r="H34" s="42"/>
      <c r="I34" s="41"/>
      <c r="J34" s="41"/>
      <c r="K34" s="43"/>
      <c r="L34" s="110"/>
      <c r="M34" s="107">
        <f t="shared" si="0"/>
        <v>0</v>
      </c>
      <c r="N34" s="10">
        <f t="shared" si="1"/>
        <v>0</v>
      </c>
      <c r="O34" s="1">
        <f t="shared" si="2"/>
        <v>0</v>
      </c>
      <c r="P34" s="1">
        <f t="shared" si="3"/>
        <v>0</v>
      </c>
      <c r="Q34" s="1">
        <f t="shared" si="4"/>
        <v>0</v>
      </c>
      <c r="R34" s="7">
        <f t="shared" si="5"/>
        <v>0</v>
      </c>
      <c r="S34" s="9">
        <f t="shared" si="6"/>
        <v>0</v>
      </c>
      <c r="T34" s="10">
        <f t="shared" si="7"/>
        <v>0</v>
      </c>
      <c r="U34" s="1">
        <f t="shared" si="8"/>
        <v>0</v>
      </c>
      <c r="V34" s="8">
        <f t="shared" si="9"/>
        <v>0</v>
      </c>
    </row>
    <row r="35" spans="1:22" s="2" customFormat="1" ht="15.75" thickBot="1">
      <c r="A35" s="832"/>
      <c r="B35" s="73" t="s">
        <v>75</v>
      </c>
      <c r="C35" s="68"/>
      <c r="D35" s="97"/>
      <c r="E35" s="41"/>
      <c r="F35" s="41"/>
      <c r="G35" s="41"/>
      <c r="H35" s="42"/>
      <c r="I35" s="41"/>
      <c r="J35" s="41"/>
      <c r="K35" s="43"/>
      <c r="L35" s="110"/>
      <c r="M35" s="107">
        <f t="shared" si="0"/>
        <v>0</v>
      </c>
      <c r="N35" s="10">
        <f t="shared" si="1"/>
        <v>0</v>
      </c>
      <c r="O35" s="1">
        <f t="shared" si="2"/>
        <v>0</v>
      </c>
      <c r="P35" s="1">
        <f t="shared" si="3"/>
        <v>0</v>
      </c>
      <c r="Q35" s="1">
        <f t="shared" si="4"/>
        <v>0</v>
      </c>
      <c r="R35" s="7">
        <f t="shared" si="5"/>
        <v>0</v>
      </c>
      <c r="S35" s="9">
        <f t="shared" si="6"/>
        <v>0</v>
      </c>
      <c r="T35" s="10">
        <f t="shared" si="7"/>
        <v>0</v>
      </c>
      <c r="U35" s="1">
        <f t="shared" si="8"/>
        <v>0</v>
      </c>
      <c r="V35" s="8">
        <f t="shared" si="9"/>
        <v>0</v>
      </c>
    </row>
    <row r="36" spans="1:22" s="2" customFormat="1">
      <c r="A36" s="816" t="s">
        <v>32</v>
      </c>
      <c r="B36" s="48" t="s">
        <v>33</v>
      </c>
      <c r="C36" s="40" t="s">
        <v>34</v>
      </c>
      <c r="D36" s="97"/>
      <c r="E36" s="41"/>
      <c r="F36" s="41"/>
      <c r="G36" s="41"/>
      <c r="H36" s="42"/>
      <c r="I36" s="41"/>
      <c r="J36" s="41"/>
      <c r="K36" s="43"/>
      <c r="L36" s="110"/>
      <c r="M36" s="107">
        <f t="shared" si="0"/>
        <v>0</v>
      </c>
      <c r="N36" s="10">
        <f t="shared" si="1"/>
        <v>0</v>
      </c>
      <c r="O36" s="1">
        <f t="shared" si="2"/>
        <v>0</v>
      </c>
      <c r="P36" s="1">
        <f t="shared" si="3"/>
        <v>0</v>
      </c>
      <c r="Q36" s="1">
        <f t="shared" si="4"/>
        <v>0</v>
      </c>
      <c r="R36" s="7">
        <f t="shared" si="5"/>
        <v>0</v>
      </c>
      <c r="S36" s="9">
        <f t="shared" si="6"/>
        <v>0</v>
      </c>
      <c r="T36" s="10">
        <f t="shared" si="7"/>
        <v>0</v>
      </c>
      <c r="U36" s="1">
        <f t="shared" si="8"/>
        <v>0</v>
      </c>
      <c r="V36" s="8">
        <f t="shared" si="9"/>
        <v>0</v>
      </c>
    </row>
    <row r="37" spans="1:22" s="2" customFormat="1">
      <c r="A37" s="817"/>
      <c r="B37" s="818" t="s">
        <v>35</v>
      </c>
      <c r="C37" s="44" t="s">
        <v>36</v>
      </c>
      <c r="D37" s="97"/>
      <c r="E37" s="41"/>
      <c r="F37" s="41"/>
      <c r="G37" s="41"/>
      <c r="H37" s="42"/>
      <c r="I37" s="41"/>
      <c r="J37" s="41"/>
      <c r="K37" s="43"/>
      <c r="L37" s="110"/>
      <c r="M37" s="107">
        <f t="shared" si="0"/>
        <v>0</v>
      </c>
      <c r="N37" s="10">
        <f t="shared" si="1"/>
        <v>0</v>
      </c>
      <c r="O37" s="1">
        <f t="shared" si="2"/>
        <v>0</v>
      </c>
      <c r="P37" s="1">
        <f t="shared" si="3"/>
        <v>0</v>
      </c>
      <c r="Q37" s="1">
        <f t="shared" si="4"/>
        <v>0</v>
      </c>
      <c r="R37" s="7">
        <f t="shared" si="5"/>
        <v>0</v>
      </c>
      <c r="S37" s="9">
        <f t="shared" si="6"/>
        <v>0</v>
      </c>
      <c r="T37" s="10">
        <f t="shared" si="7"/>
        <v>0</v>
      </c>
      <c r="U37" s="1">
        <f t="shared" si="8"/>
        <v>0</v>
      </c>
      <c r="V37" s="8">
        <f t="shared" si="9"/>
        <v>0</v>
      </c>
    </row>
    <row r="38" spans="1:22" s="2" customFormat="1">
      <c r="A38" s="817"/>
      <c r="B38" s="819"/>
      <c r="C38" s="44" t="s">
        <v>37</v>
      </c>
      <c r="D38" s="97"/>
      <c r="E38" s="41"/>
      <c r="F38" s="41"/>
      <c r="G38" s="41"/>
      <c r="H38" s="42"/>
      <c r="I38" s="41"/>
      <c r="J38" s="41"/>
      <c r="K38" s="43"/>
      <c r="L38" s="110"/>
      <c r="M38" s="107">
        <f t="shared" si="0"/>
        <v>0</v>
      </c>
      <c r="N38" s="10">
        <f t="shared" si="1"/>
        <v>0</v>
      </c>
      <c r="O38" s="1">
        <f t="shared" si="2"/>
        <v>0</v>
      </c>
      <c r="P38" s="1">
        <f t="shared" si="3"/>
        <v>0</v>
      </c>
      <c r="Q38" s="1">
        <f t="shared" si="4"/>
        <v>0</v>
      </c>
      <c r="R38" s="7">
        <f t="shared" si="5"/>
        <v>0</v>
      </c>
      <c r="S38" s="9">
        <f t="shared" si="6"/>
        <v>0</v>
      </c>
      <c r="T38" s="10">
        <f t="shared" si="7"/>
        <v>0</v>
      </c>
      <c r="U38" s="1">
        <f t="shared" si="8"/>
        <v>0</v>
      </c>
      <c r="V38" s="8">
        <f t="shared" si="9"/>
        <v>0</v>
      </c>
    </row>
    <row r="39" spans="1:22" s="2" customFormat="1">
      <c r="A39" s="817"/>
      <c r="B39" s="819"/>
      <c r="C39" s="44" t="s">
        <v>38</v>
      </c>
      <c r="D39" s="97"/>
      <c r="E39" s="41"/>
      <c r="F39" s="41"/>
      <c r="G39" s="41"/>
      <c r="H39" s="42"/>
      <c r="I39" s="41"/>
      <c r="J39" s="41"/>
      <c r="K39" s="43"/>
      <c r="L39" s="110"/>
      <c r="M39" s="107">
        <f t="shared" si="0"/>
        <v>0</v>
      </c>
      <c r="N39" s="10">
        <f t="shared" si="1"/>
        <v>0</v>
      </c>
      <c r="O39" s="1">
        <f t="shared" si="2"/>
        <v>0</v>
      </c>
      <c r="P39" s="1">
        <f t="shared" si="3"/>
        <v>0</v>
      </c>
      <c r="Q39" s="1">
        <f t="shared" si="4"/>
        <v>0</v>
      </c>
      <c r="R39" s="7">
        <f t="shared" si="5"/>
        <v>0</v>
      </c>
      <c r="S39" s="9">
        <f t="shared" si="6"/>
        <v>0</v>
      </c>
      <c r="T39" s="10">
        <f t="shared" si="7"/>
        <v>0</v>
      </c>
      <c r="U39" s="1">
        <f t="shared" si="8"/>
        <v>0</v>
      </c>
      <c r="V39" s="8">
        <f t="shared" si="9"/>
        <v>0</v>
      </c>
    </row>
    <row r="40" spans="1:22" s="2" customFormat="1">
      <c r="A40" s="817"/>
      <c r="B40" s="819"/>
      <c r="C40" s="44" t="s">
        <v>39</v>
      </c>
      <c r="D40" s="97"/>
      <c r="E40" s="41"/>
      <c r="F40" s="41"/>
      <c r="G40" s="41"/>
      <c r="H40" s="42"/>
      <c r="I40" s="41"/>
      <c r="J40" s="41"/>
      <c r="K40" s="43"/>
      <c r="L40" s="110"/>
      <c r="M40" s="107">
        <f t="shared" si="0"/>
        <v>0</v>
      </c>
      <c r="N40" s="10">
        <f t="shared" si="1"/>
        <v>0</v>
      </c>
      <c r="O40" s="1">
        <f t="shared" si="2"/>
        <v>0</v>
      </c>
      <c r="P40" s="1">
        <f t="shared" si="3"/>
        <v>0</v>
      </c>
      <c r="Q40" s="1">
        <f t="shared" si="4"/>
        <v>0</v>
      </c>
      <c r="R40" s="7">
        <f t="shared" si="5"/>
        <v>0</v>
      </c>
      <c r="S40" s="9">
        <f t="shared" si="6"/>
        <v>0</v>
      </c>
      <c r="T40" s="10">
        <f t="shared" si="7"/>
        <v>0</v>
      </c>
      <c r="U40" s="1">
        <f t="shared" si="8"/>
        <v>0</v>
      </c>
      <c r="V40" s="8">
        <f t="shared" si="9"/>
        <v>0</v>
      </c>
    </row>
    <row r="41" spans="1:22" s="2" customFormat="1">
      <c r="A41" s="817"/>
      <c r="B41" s="819"/>
      <c r="C41" s="44" t="s">
        <v>40</v>
      </c>
      <c r="D41" s="97"/>
      <c r="E41" s="41"/>
      <c r="F41" s="41"/>
      <c r="G41" s="41"/>
      <c r="H41" s="42"/>
      <c r="I41" s="41"/>
      <c r="J41" s="41"/>
      <c r="K41" s="43"/>
      <c r="L41" s="110"/>
      <c r="M41" s="107">
        <f t="shared" si="0"/>
        <v>0</v>
      </c>
      <c r="N41" s="10">
        <f t="shared" si="1"/>
        <v>0</v>
      </c>
      <c r="O41" s="1">
        <f t="shared" si="2"/>
        <v>0</v>
      </c>
      <c r="P41" s="1">
        <f t="shared" si="3"/>
        <v>0</v>
      </c>
      <c r="Q41" s="1">
        <f t="shared" si="4"/>
        <v>0</v>
      </c>
      <c r="R41" s="7">
        <f t="shared" si="5"/>
        <v>0</v>
      </c>
      <c r="S41" s="9">
        <f t="shared" si="6"/>
        <v>0</v>
      </c>
      <c r="T41" s="10">
        <f t="shared" si="7"/>
        <v>0</v>
      </c>
      <c r="U41" s="1">
        <f t="shared" si="8"/>
        <v>0</v>
      </c>
      <c r="V41" s="8">
        <f t="shared" si="9"/>
        <v>0</v>
      </c>
    </row>
    <row r="42" spans="1:22" s="2" customFormat="1">
      <c r="A42" s="817"/>
      <c r="B42" s="819"/>
      <c r="C42" s="44" t="s">
        <v>41</v>
      </c>
      <c r="D42" s="97"/>
      <c r="E42" s="41"/>
      <c r="F42" s="41"/>
      <c r="G42" s="41"/>
      <c r="H42" s="42"/>
      <c r="I42" s="41"/>
      <c r="J42" s="41"/>
      <c r="K42" s="43"/>
      <c r="L42" s="110"/>
      <c r="M42" s="107">
        <f t="shared" si="0"/>
        <v>0</v>
      </c>
      <c r="N42" s="10">
        <f t="shared" si="1"/>
        <v>0</v>
      </c>
      <c r="O42" s="1">
        <f t="shared" si="2"/>
        <v>0</v>
      </c>
      <c r="P42" s="1">
        <f t="shared" si="3"/>
        <v>0</v>
      </c>
      <c r="Q42" s="1">
        <f t="shared" si="4"/>
        <v>0</v>
      </c>
      <c r="R42" s="7">
        <f t="shared" si="5"/>
        <v>0</v>
      </c>
      <c r="S42" s="9">
        <f t="shared" si="6"/>
        <v>0</v>
      </c>
      <c r="T42" s="10">
        <f t="shared" si="7"/>
        <v>0</v>
      </c>
      <c r="U42" s="1">
        <f t="shared" si="8"/>
        <v>0</v>
      </c>
      <c r="V42" s="8">
        <f t="shared" si="9"/>
        <v>0</v>
      </c>
    </row>
    <row r="43" spans="1:22" s="2" customFormat="1">
      <c r="A43" s="817"/>
      <c r="B43" s="819"/>
      <c r="C43" s="44" t="s">
        <v>42</v>
      </c>
      <c r="D43" s="97"/>
      <c r="E43" s="41"/>
      <c r="F43" s="41"/>
      <c r="G43" s="41"/>
      <c r="H43" s="42"/>
      <c r="I43" s="41"/>
      <c r="J43" s="41"/>
      <c r="K43" s="43"/>
      <c r="L43" s="110"/>
      <c r="M43" s="107">
        <f t="shared" si="0"/>
        <v>0</v>
      </c>
      <c r="N43" s="10">
        <f t="shared" si="1"/>
        <v>0</v>
      </c>
      <c r="O43" s="1">
        <f t="shared" si="2"/>
        <v>0</v>
      </c>
      <c r="P43" s="1">
        <f t="shared" si="3"/>
        <v>0</v>
      </c>
      <c r="Q43" s="1">
        <f t="shared" si="4"/>
        <v>0</v>
      </c>
      <c r="R43" s="7">
        <f t="shared" si="5"/>
        <v>0</v>
      </c>
      <c r="S43" s="9">
        <f t="shared" si="6"/>
        <v>0</v>
      </c>
      <c r="T43" s="10">
        <f t="shared" si="7"/>
        <v>0</v>
      </c>
      <c r="U43" s="1">
        <f t="shared" si="8"/>
        <v>0</v>
      </c>
      <c r="V43" s="8">
        <f t="shared" si="9"/>
        <v>0</v>
      </c>
    </row>
    <row r="44" spans="1:22" s="2" customFormat="1">
      <c r="A44" s="817"/>
      <c r="B44" s="819"/>
      <c r="C44" s="44" t="s">
        <v>43</v>
      </c>
      <c r="D44" s="97"/>
      <c r="E44" s="41"/>
      <c r="F44" s="41"/>
      <c r="G44" s="41"/>
      <c r="H44" s="42"/>
      <c r="I44" s="41"/>
      <c r="J44" s="41"/>
      <c r="K44" s="43"/>
      <c r="L44" s="110"/>
      <c r="M44" s="107">
        <f t="shared" si="0"/>
        <v>0</v>
      </c>
      <c r="N44" s="10">
        <f t="shared" si="1"/>
        <v>0</v>
      </c>
      <c r="O44" s="1">
        <f t="shared" si="2"/>
        <v>0</v>
      </c>
      <c r="P44" s="1">
        <f t="shared" si="3"/>
        <v>0</v>
      </c>
      <c r="Q44" s="1">
        <f t="shared" si="4"/>
        <v>0</v>
      </c>
      <c r="R44" s="7">
        <f t="shared" si="5"/>
        <v>0</v>
      </c>
      <c r="S44" s="9">
        <f t="shared" si="6"/>
        <v>0</v>
      </c>
      <c r="T44" s="10">
        <f t="shared" si="7"/>
        <v>0</v>
      </c>
      <c r="U44" s="1">
        <f t="shared" si="8"/>
        <v>0</v>
      </c>
      <c r="V44" s="8">
        <f t="shared" si="9"/>
        <v>0</v>
      </c>
    </row>
    <row r="45" spans="1:22" s="2" customFormat="1">
      <c r="A45" s="817"/>
      <c r="B45" s="820"/>
      <c r="C45" s="44" t="s">
        <v>44</v>
      </c>
      <c r="D45" s="97"/>
      <c r="E45" s="41"/>
      <c r="F45" s="41"/>
      <c r="G45" s="41"/>
      <c r="H45" s="42"/>
      <c r="I45" s="41"/>
      <c r="J45" s="41"/>
      <c r="K45" s="43"/>
      <c r="L45" s="110"/>
      <c r="M45" s="107">
        <f t="shared" si="0"/>
        <v>0</v>
      </c>
      <c r="N45" s="10">
        <f t="shared" si="1"/>
        <v>0</v>
      </c>
      <c r="O45" s="1">
        <f t="shared" si="2"/>
        <v>0</v>
      </c>
      <c r="P45" s="1">
        <f t="shared" si="3"/>
        <v>0</v>
      </c>
      <c r="Q45" s="1">
        <f t="shared" si="4"/>
        <v>0</v>
      </c>
      <c r="R45" s="7">
        <f t="shared" si="5"/>
        <v>0</v>
      </c>
      <c r="S45" s="9">
        <f t="shared" si="6"/>
        <v>0</v>
      </c>
      <c r="T45" s="10">
        <f t="shared" si="7"/>
        <v>0</v>
      </c>
      <c r="U45" s="1">
        <f t="shared" si="8"/>
        <v>0</v>
      </c>
      <c r="V45" s="8">
        <f t="shared" si="9"/>
        <v>0</v>
      </c>
    </row>
    <row r="46" spans="1:22" s="2" customFormat="1">
      <c r="A46" s="817"/>
      <c r="B46" s="49" t="s">
        <v>45</v>
      </c>
      <c r="C46" s="44" t="s">
        <v>46</v>
      </c>
      <c r="D46" s="97"/>
      <c r="E46" s="41"/>
      <c r="F46" s="41"/>
      <c r="G46" s="41"/>
      <c r="H46" s="42"/>
      <c r="I46" s="41"/>
      <c r="J46" s="41"/>
      <c r="K46" s="43"/>
      <c r="L46" s="110"/>
      <c r="M46" s="107">
        <f t="shared" si="0"/>
        <v>0</v>
      </c>
      <c r="N46" s="10">
        <f t="shared" si="1"/>
        <v>0</v>
      </c>
      <c r="O46" s="1">
        <f t="shared" si="2"/>
        <v>0</v>
      </c>
      <c r="P46" s="1">
        <f t="shared" si="3"/>
        <v>0</v>
      </c>
      <c r="Q46" s="1">
        <f t="shared" si="4"/>
        <v>0</v>
      </c>
      <c r="R46" s="7">
        <f t="shared" si="5"/>
        <v>0</v>
      </c>
      <c r="S46" s="9">
        <f t="shared" si="6"/>
        <v>0</v>
      </c>
      <c r="T46" s="10">
        <f t="shared" si="7"/>
        <v>0</v>
      </c>
      <c r="U46" s="1">
        <f t="shared" si="8"/>
        <v>0</v>
      </c>
      <c r="V46" s="8">
        <f t="shared" si="9"/>
        <v>0</v>
      </c>
    </row>
    <row r="47" spans="1:22" s="2" customFormat="1">
      <c r="A47" s="817"/>
      <c r="B47" s="49" t="s">
        <v>47</v>
      </c>
      <c r="C47" s="44" t="s">
        <v>48</v>
      </c>
      <c r="D47" s="97"/>
      <c r="E47" s="41"/>
      <c r="F47" s="41"/>
      <c r="G47" s="41"/>
      <c r="H47" s="42"/>
      <c r="I47" s="41"/>
      <c r="J47" s="41"/>
      <c r="K47" s="43"/>
      <c r="L47" s="110"/>
      <c r="M47" s="107">
        <f t="shared" si="0"/>
        <v>0</v>
      </c>
      <c r="N47" s="10">
        <f t="shared" si="1"/>
        <v>0</v>
      </c>
      <c r="O47" s="1">
        <f t="shared" si="2"/>
        <v>0</v>
      </c>
      <c r="P47" s="1">
        <f t="shared" si="3"/>
        <v>0</v>
      </c>
      <c r="Q47" s="1">
        <f t="shared" si="4"/>
        <v>0</v>
      </c>
      <c r="R47" s="7">
        <f t="shared" si="5"/>
        <v>0</v>
      </c>
      <c r="S47" s="9">
        <f t="shared" si="6"/>
        <v>0</v>
      </c>
      <c r="T47" s="10">
        <f t="shared" si="7"/>
        <v>0</v>
      </c>
      <c r="U47" s="1">
        <f t="shared" si="8"/>
        <v>0</v>
      </c>
      <c r="V47" s="8">
        <f t="shared" si="9"/>
        <v>0</v>
      </c>
    </row>
    <row r="48" spans="1:22" s="2" customFormat="1">
      <c r="A48" s="817"/>
      <c r="B48" s="49" t="s">
        <v>49</v>
      </c>
      <c r="C48" s="44" t="s">
        <v>50</v>
      </c>
      <c r="D48" s="97"/>
      <c r="E48" s="41"/>
      <c r="F48" s="41"/>
      <c r="G48" s="41"/>
      <c r="H48" s="42"/>
      <c r="I48" s="41"/>
      <c r="J48" s="41"/>
      <c r="K48" s="43"/>
      <c r="L48" s="110"/>
      <c r="M48" s="107">
        <f t="shared" si="0"/>
        <v>0</v>
      </c>
      <c r="N48" s="10">
        <f t="shared" si="1"/>
        <v>0</v>
      </c>
      <c r="O48" s="1">
        <f t="shared" si="2"/>
        <v>0</v>
      </c>
      <c r="P48" s="1">
        <f t="shared" si="3"/>
        <v>0</v>
      </c>
      <c r="Q48" s="1">
        <f t="shared" si="4"/>
        <v>0</v>
      </c>
      <c r="R48" s="7">
        <f t="shared" si="5"/>
        <v>0</v>
      </c>
      <c r="S48" s="9">
        <f t="shared" si="6"/>
        <v>0</v>
      </c>
      <c r="T48" s="10">
        <f t="shared" si="7"/>
        <v>0</v>
      </c>
      <c r="U48" s="1">
        <f t="shared" si="8"/>
        <v>0</v>
      </c>
      <c r="V48" s="8">
        <f t="shared" si="9"/>
        <v>0</v>
      </c>
    </row>
    <row r="49" spans="1:22" s="2" customFormat="1" ht="15.75" thickBot="1">
      <c r="A49" s="817"/>
      <c r="B49" s="49" t="s">
        <v>51</v>
      </c>
      <c r="C49" s="44" t="s">
        <v>52</v>
      </c>
      <c r="D49" s="97"/>
      <c r="E49" s="94"/>
      <c r="F49" s="41"/>
      <c r="G49" s="41"/>
      <c r="H49" s="42"/>
      <c r="I49" s="41"/>
      <c r="J49" s="41"/>
      <c r="K49" s="43"/>
      <c r="L49" s="110"/>
      <c r="M49" s="107">
        <f t="shared" si="0"/>
        <v>0</v>
      </c>
      <c r="N49" s="10">
        <f t="shared" si="1"/>
        <v>0</v>
      </c>
      <c r="O49" s="1">
        <f t="shared" si="2"/>
        <v>0</v>
      </c>
      <c r="P49" s="1">
        <f t="shared" si="3"/>
        <v>0</v>
      </c>
      <c r="Q49" s="1">
        <f t="shared" si="4"/>
        <v>0</v>
      </c>
      <c r="R49" s="7">
        <f t="shared" si="5"/>
        <v>0</v>
      </c>
      <c r="S49" s="9">
        <f t="shared" si="6"/>
        <v>0</v>
      </c>
      <c r="T49" s="10">
        <f t="shared" si="7"/>
        <v>0</v>
      </c>
      <c r="U49" s="1">
        <f t="shared" si="8"/>
        <v>0</v>
      </c>
      <c r="V49" s="8">
        <f t="shared" si="9"/>
        <v>0</v>
      </c>
    </row>
    <row r="50" spans="1:22" s="2" customFormat="1" ht="22.5">
      <c r="A50" s="821" t="s">
        <v>78</v>
      </c>
      <c r="B50" s="71" t="s">
        <v>110</v>
      </c>
      <c r="C50" s="88" t="s">
        <v>109</v>
      </c>
      <c r="D50" s="97"/>
      <c r="E50" s="96"/>
      <c r="F50" s="41"/>
      <c r="G50" s="41"/>
      <c r="H50" s="42"/>
      <c r="I50" s="41"/>
      <c r="J50" s="41"/>
      <c r="K50" s="119"/>
      <c r="L50" s="110"/>
      <c r="M50" s="107">
        <f t="shared" si="0"/>
        <v>0</v>
      </c>
      <c r="N50" s="10">
        <f t="shared" si="1"/>
        <v>0</v>
      </c>
      <c r="O50" s="1">
        <f t="shared" si="2"/>
        <v>0</v>
      </c>
      <c r="P50" s="1">
        <f t="shared" si="3"/>
        <v>0</v>
      </c>
      <c r="Q50" s="1">
        <f t="shared" si="4"/>
        <v>0</v>
      </c>
      <c r="R50" s="7">
        <f t="shared" si="5"/>
        <v>0</v>
      </c>
      <c r="S50" s="9">
        <f t="shared" si="6"/>
        <v>0</v>
      </c>
      <c r="T50" s="10">
        <f t="shared" si="7"/>
        <v>0</v>
      </c>
      <c r="U50" s="1">
        <f t="shared" si="8"/>
        <v>0</v>
      </c>
      <c r="V50" s="8">
        <f t="shared" si="9"/>
        <v>0</v>
      </c>
    </row>
    <row r="51" spans="1:22" s="2" customFormat="1" ht="22.5">
      <c r="A51" s="822"/>
      <c r="B51" s="72" t="s">
        <v>112</v>
      </c>
      <c r="C51" s="89" t="s">
        <v>111</v>
      </c>
      <c r="D51" s="97"/>
      <c r="E51" s="96"/>
      <c r="F51" s="41"/>
      <c r="G51" s="41"/>
      <c r="H51" s="42"/>
      <c r="I51" s="41"/>
      <c r="J51" s="41"/>
      <c r="K51" s="119"/>
      <c r="L51" s="110"/>
      <c r="M51" s="107">
        <f t="shared" si="0"/>
        <v>0</v>
      </c>
      <c r="N51" s="10">
        <f t="shared" si="1"/>
        <v>0</v>
      </c>
      <c r="O51" s="1">
        <f t="shared" si="2"/>
        <v>0</v>
      </c>
      <c r="P51" s="1">
        <f t="shared" si="3"/>
        <v>0</v>
      </c>
      <c r="Q51" s="1">
        <f t="shared" si="4"/>
        <v>0</v>
      </c>
      <c r="R51" s="7">
        <f t="shared" si="5"/>
        <v>0</v>
      </c>
      <c r="S51" s="9">
        <f t="shared" si="6"/>
        <v>0</v>
      </c>
      <c r="T51" s="10">
        <f t="shared" si="7"/>
        <v>0</v>
      </c>
      <c r="U51" s="1">
        <f t="shared" si="8"/>
        <v>0</v>
      </c>
      <c r="V51" s="8">
        <f t="shared" si="9"/>
        <v>0</v>
      </c>
    </row>
    <row r="52" spans="1:22" s="2" customFormat="1" ht="22.5">
      <c r="A52" s="822"/>
      <c r="B52" s="72" t="s">
        <v>113</v>
      </c>
      <c r="C52" s="89" t="s">
        <v>79</v>
      </c>
      <c r="D52" s="97"/>
      <c r="E52" s="41"/>
      <c r="F52" s="41"/>
      <c r="G52" s="41"/>
      <c r="H52" s="42"/>
      <c r="I52" s="41"/>
      <c r="J52" s="41"/>
      <c r="K52" s="43"/>
      <c r="L52" s="110"/>
      <c r="M52" s="107">
        <f t="shared" si="0"/>
        <v>0</v>
      </c>
      <c r="N52" s="10">
        <f t="shared" si="1"/>
        <v>0</v>
      </c>
      <c r="O52" s="1">
        <f t="shared" si="2"/>
        <v>0</v>
      </c>
      <c r="P52" s="1">
        <f t="shared" si="3"/>
        <v>0</v>
      </c>
      <c r="Q52" s="1">
        <f t="shared" si="4"/>
        <v>0</v>
      </c>
      <c r="R52" s="7">
        <f t="shared" si="5"/>
        <v>0</v>
      </c>
      <c r="S52" s="9">
        <f t="shared" si="6"/>
        <v>0</v>
      </c>
      <c r="T52" s="10">
        <f t="shared" si="7"/>
        <v>0</v>
      </c>
      <c r="U52" s="1">
        <f t="shared" si="8"/>
        <v>0</v>
      </c>
      <c r="V52" s="8">
        <f t="shared" si="9"/>
        <v>0</v>
      </c>
    </row>
    <row r="53" spans="1:22" s="2" customFormat="1" ht="45">
      <c r="A53" s="822"/>
      <c r="B53" s="72" t="s">
        <v>114</v>
      </c>
      <c r="C53" s="89" t="s">
        <v>80</v>
      </c>
      <c r="D53" s="97"/>
      <c r="E53" s="41"/>
      <c r="F53" s="41"/>
      <c r="G53" s="41"/>
      <c r="H53" s="42"/>
      <c r="I53" s="41"/>
      <c r="J53" s="41"/>
      <c r="K53" s="43"/>
      <c r="L53" s="110"/>
      <c r="M53" s="107">
        <f t="shared" si="0"/>
        <v>0</v>
      </c>
      <c r="N53" s="10">
        <f t="shared" si="1"/>
        <v>0</v>
      </c>
      <c r="O53" s="1">
        <f t="shared" si="2"/>
        <v>0</v>
      </c>
      <c r="P53" s="1">
        <f t="shared" si="3"/>
        <v>0</v>
      </c>
      <c r="Q53" s="1">
        <f t="shared" si="4"/>
        <v>0</v>
      </c>
      <c r="R53" s="7">
        <f t="shared" si="5"/>
        <v>0</v>
      </c>
      <c r="S53" s="9">
        <f t="shared" si="6"/>
        <v>0</v>
      </c>
      <c r="T53" s="10">
        <f t="shared" si="7"/>
        <v>0</v>
      </c>
      <c r="U53" s="1">
        <f t="shared" si="8"/>
        <v>0</v>
      </c>
      <c r="V53" s="8">
        <f t="shared" si="9"/>
        <v>0</v>
      </c>
    </row>
    <row r="54" spans="1:22" s="2" customFormat="1" ht="22.5">
      <c r="A54" s="822"/>
      <c r="B54" s="72" t="s">
        <v>115</v>
      </c>
      <c r="C54" s="89" t="s">
        <v>81</v>
      </c>
      <c r="D54" s="97"/>
      <c r="E54" s="96"/>
      <c r="F54" s="41"/>
      <c r="G54" s="41"/>
      <c r="H54" s="42"/>
      <c r="I54" s="41"/>
      <c r="J54" s="41"/>
      <c r="K54" s="119"/>
      <c r="L54" s="110"/>
      <c r="M54" s="107">
        <f t="shared" si="0"/>
        <v>0</v>
      </c>
      <c r="N54" s="10">
        <f t="shared" si="1"/>
        <v>0</v>
      </c>
      <c r="O54" s="1">
        <f t="shared" si="2"/>
        <v>0</v>
      </c>
      <c r="P54" s="1">
        <f t="shared" si="3"/>
        <v>0</v>
      </c>
      <c r="Q54" s="1">
        <f t="shared" si="4"/>
        <v>0</v>
      </c>
      <c r="R54" s="7">
        <f t="shared" si="5"/>
        <v>0</v>
      </c>
      <c r="S54" s="9">
        <f t="shared" si="6"/>
        <v>0</v>
      </c>
      <c r="T54" s="10">
        <f t="shared" si="7"/>
        <v>0</v>
      </c>
      <c r="U54" s="1">
        <f t="shared" si="8"/>
        <v>0</v>
      </c>
      <c r="V54" s="8">
        <f t="shared" si="9"/>
        <v>0</v>
      </c>
    </row>
    <row r="55" spans="1:22" s="2" customFormat="1" ht="22.5">
      <c r="A55" s="822"/>
      <c r="B55" s="72" t="s">
        <v>116</v>
      </c>
      <c r="C55" s="89" t="s">
        <v>82</v>
      </c>
      <c r="D55" s="97"/>
      <c r="E55" s="41"/>
      <c r="F55" s="41"/>
      <c r="G55" s="41"/>
      <c r="H55" s="42"/>
      <c r="I55" s="41"/>
      <c r="J55" s="41"/>
      <c r="K55" s="43"/>
      <c r="L55" s="110"/>
      <c r="M55" s="107">
        <f t="shared" si="0"/>
        <v>0</v>
      </c>
      <c r="N55" s="10">
        <f t="shared" si="1"/>
        <v>0</v>
      </c>
      <c r="O55" s="1">
        <f t="shared" si="2"/>
        <v>0</v>
      </c>
      <c r="P55" s="1">
        <f t="shared" si="3"/>
        <v>0</v>
      </c>
      <c r="Q55" s="1">
        <f t="shared" si="4"/>
        <v>0</v>
      </c>
      <c r="R55" s="7">
        <f t="shared" si="5"/>
        <v>0</v>
      </c>
      <c r="S55" s="9">
        <f t="shared" si="6"/>
        <v>0</v>
      </c>
      <c r="T55" s="10">
        <f t="shared" si="7"/>
        <v>0</v>
      </c>
      <c r="U55" s="1">
        <f t="shared" si="8"/>
        <v>0</v>
      </c>
      <c r="V55" s="8">
        <f t="shared" si="9"/>
        <v>0</v>
      </c>
    </row>
    <row r="56" spans="1:22" s="2" customFormat="1" ht="22.5">
      <c r="A56" s="822"/>
      <c r="B56" s="72" t="s">
        <v>117</v>
      </c>
      <c r="C56" s="89" t="s">
        <v>83</v>
      </c>
      <c r="D56" s="97"/>
      <c r="E56" s="41"/>
      <c r="F56" s="41"/>
      <c r="G56" s="41"/>
      <c r="H56" s="42"/>
      <c r="I56" s="41"/>
      <c r="J56" s="41"/>
      <c r="K56" s="43"/>
      <c r="L56" s="110"/>
      <c r="M56" s="107">
        <f t="shared" si="0"/>
        <v>0</v>
      </c>
      <c r="N56" s="10">
        <f t="shared" si="1"/>
        <v>0</v>
      </c>
      <c r="O56" s="1">
        <f t="shared" si="2"/>
        <v>0</v>
      </c>
      <c r="P56" s="1">
        <f t="shared" si="3"/>
        <v>0</v>
      </c>
      <c r="Q56" s="1">
        <f t="shared" si="4"/>
        <v>0</v>
      </c>
      <c r="R56" s="7">
        <f t="shared" si="5"/>
        <v>0</v>
      </c>
      <c r="S56" s="9">
        <f t="shared" si="6"/>
        <v>0</v>
      </c>
      <c r="T56" s="10">
        <f t="shared" si="7"/>
        <v>0</v>
      </c>
      <c r="U56" s="1">
        <f t="shared" si="8"/>
        <v>0</v>
      </c>
      <c r="V56" s="8">
        <f t="shared" si="9"/>
        <v>0</v>
      </c>
    </row>
    <row r="57" spans="1:22" s="2" customFormat="1" ht="22.5">
      <c r="A57" s="822"/>
      <c r="B57" s="72" t="s">
        <v>118</v>
      </c>
      <c r="C57" s="89" t="s">
        <v>84</v>
      </c>
      <c r="D57" s="97"/>
      <c r="E57" s="96"/>
      <c r="F57" s="41"/>
      <c r="G57" s="41"/>
      <c r="H57" s="42"/>
      <c r="I57" s="41"/>
      <c r="J57" s="41"/>
      <c r="K57" s="119"/>
      <c r="L57" s="110"/>
      <c r="M57" s="107">
        <f t="shared" si="0"/>
        <v>0</v>
      </c>
      <c r="N57" s="10">
        <f t="shared" si="1"/>
        <v>0</v>
      </c>
      <c r="O57" s="1">
        <f t="shared" si="2"/>
        <v>0</v>
      </c>
      <c r="P57" s="1">
        <f t="shared" si="3"/>
        <v>0</v>
      </c>
      <c r="Q57" s="1">
        <f t="shared" si="4"/>
        <v>0</v>
      </c>
      <c r="R57" s="7">
        <f t="shared" si="5"/>
        <v>0</v>
      </c>
      <c r="S57" s="9">
        <f t="shared" si="6"/>
        <v>0</v>
      </c>
      <c r="T57" s="10">
        <f t="shared" si="7"/>
        <v>0</v>
      </c>
      <c r="U57" s="1">
        <f t="shared" si="8"/>
        <v>0</v>
      </c>
      <c r="V57" s="8">
        <f t="shared" si="9"/>
        <v>0</v>
      </c>
    </row>
    <row r="58" spans="1:22" s="2" customFormat="1" ht="22.5">
      <c r="A58" s="822"/>
      <c r="B58" s="72" t="s">
        <v>119</v>
      </c>
      <c r="C58" s="89" t="s">
        <v>85</v>
      </c>
      <c r="D58" s="97"/>
      <c r="E58" s="41"/>
      <c r="F58" s="41"/>
      <c r="G58" s="41"/>
      <c r="H58" s="42"/>
      <c r="I58" s="41"/>
      <c r="J58" s="41"/>
      <c r="K58" s="43"/>
      <c r="L58" s="110"/>
      <c r="M58" s="107">
        <f t="shared" si="0"/>
        <v>0</v>
      </c>
      <c r="N58" s="10">
        <f t="shared" si="1"/>
        <v>0</v>
      </c>
      <c r="O58" s="1">
        <f t="shared" si="2"/>
        <v>0</v>
      </c>
      <c r="P58" s="1">
        <f t="shared" si="3"/>
        <v>0</v>
      </c>
      <c r="Q58" s="1">
        <f t="shared" si="4"/>
        <v>0</v>
      </c>
      <c r="R58" s="7">
        <f t="shared" si="5"/>
        <v>0</v>
      </c>
      <c r="S58" s="9">
        <f t="shared" si="6"/>
        <v>0</v>
      </c>
      <c r="T58" s="10">
        <f t="shared" si="7"/>
        <v>0</v>
      </c>
      <c r="U58" s="1">
        <f t="shared" si="8"/>
        <v>0</v>
      </c>
      <c r="V58" s="8">
        <f t="shared" si="9"/>
        <v>0</v>
      </c>
    </row>
    <row r="59" spans="1:22" s="2" customFormat="1" ht="22.5">
      <c r="A59" s="822"/>
      <c r="B59" s="72" t="s">
        <v>120</v>
      </c>
      <c r="C59" s="89" t="s">
        <v>86</v>
      </c>
      <c r="D59" s="97"/>
      <c r="E59" s="96"/>
      <c r="F59" s="41"/>
      <c r="G59" s="41"/>
      <c r="H59" s="42"/>
      <c r="I59" s="41"/>
      <c r="J59" s="41"/>
      <c r="K59" s="119"/>
      <c r="L59" s="110"/>
      <c r="M59" s="107">
        <f t="shared" si="0"/>
        <v>0</v>
      </c>
      <c r="N59" s="10">
        <f t="shared" si="1"/>
        <v>0</v>
      </c>
      <c r="O59" s="1">
        <f t="shared" si="2"/>
        <v>0</v>
      </c>
      <c r="P59" s="1">
        <f t="shared" si="3"/>
        <v>0</v>
      </c>
      <c r="Q59" s="1">
        <f t="shared" si="4"/>
        <v>0</v>
      </c>
      <c r="R59" s="7">
        <f t="shared" si="5"/>
        <v>0</v>
      </c>
      <c r="S59" s="9">
        <f t="shared" si="6"/>
        <v>0</v>
      </c>
      <c r="T59" s="10">
        <f t="shared" si="7"/>
        <v>0</v>
      </c>
      <c r="U59" s="1">
        <f t="shared" si="8"/>
        <v>0</v>
      </c>
      <c r="V59" s="8">
        <f t="shared" si="9"/>
        <v>0</v>
      </c>
    </row>
    <row r="60" spans="1:22" s="2" customFormat="1" ht="22.5">
      <c r="A60" s="822"/>
      <c r="B60" s="72" t="s">
        <v>121</v>
      </c>
      <c r="C60" s="89" t="s">
        <v>87</v>
      </c>
      <c r="D60" s="97"/>
      <c r="E60" s="41"/>
      <c r="F60" s="41"/>
      <c r="G60" s="41"/>
      <c r="H60" s="42"/>
      <c r="I60" s="41"/>
      <c r="J60" s="41"/>
      <c r="K60" s="43"/>
      <c r="L60" s="110"/>
      <c r="M60" s="107">
        <f t="shared" si="0"/>
        <v>0</v>
      </c>
      <c r="N60" s="10">
        <f t="shared" si="1"/>
        <v>0</v>
      </c>
      <c r="O60" s="1">
        <f t="shared" si="2"/>
        <v>0</v>
      </c>
      <c r="P60" s="1">
        <f t="shared" si="3"/>
        <v>0</v>
      </c>
      <c r="Q60" s="1">
        <f t="shared" si="4"/>
        <v>0</v>
      </c>
      <c r="R60" s="7">
        <f t="shared" si="5"/>
        <v>0</v>
      </c>
      <c r="S60" s="9">
        <f t="shared" si="6"/>
        <v>0</v>
      </c>
      <c r="T60" s="10">
        <f t="shared" si="7"/>
        <v>0</v>
      </c>
      <c r="U60" s="1">
        <f t="shared" si="8"/>
        <v>0</v>
      </c>
      <c r="V60" s="8">
        <f t="shared" si="9"/>
        <v>0</v>
      </c>
    </row>
    <row r="61" spans="1:22" s="2" customFormat="1" ht="22.5">
      <c r="A61" s="822"/>
      <c r="B61" s="72" t="s">
        <v>122</v>
      </c>
      <c r="C61" s="89" t="s">
        <v>88</v>
      </c>
      <c r="D61" s="97"/>
      <c r="E61" s="96"/>
      <c r="F61" s="41"/>
      <c r="G61" s="41"/>
      <c r="H61" s="42"/>
      <c r="I61" s="41"/>
      <c r="J61" s="41"/>
      <c r="K61" s="119"/>
      <c r="L61" s="110"/>
      <c r="M61" s="107">
        <f t="shared" si="0"/>
        <v>0</v>
      </c>
      <c r="N61" s="10">
        <f t="shared" si="1"/>
        <v>0</v>
      </c>
      <c r="O61" s="1">
        <f t="shared" si="2"/>
        <v>0</v>
      </c>
      <c r="P61" s="1">
        <f t="shared" si="3"/>
        <v>0</v>
      </c>
      <c r="Q61" s="1">
        <f t="shared" si="4"/>
        <v>0</v>
      </c>
      <c r="R61" s="7">
        <f t="shared" si="5"/>
        <v>0</v>
      </c>
      <c r="S61" s="9">
        <f t="shared" si="6"/>
        <v>0</v>
      </c>
      <c r="T61" s="10">
        <f t="shared" si="7"/>
        <v>0</v>
      </c>
      <c r="U61" s="1">
        <f t="shared" si="8"/>
        <v>0</v>
      </c>
      <c r="V61" s="8">
        <f t="shared" si="9"/>
        <v>0</v>
      </c>
    </row>
    <row r="62" spans="1:22" s="2" customFormat="1" ht="22.5">
      <c r="A62" s="822"/>
      <c r="B62" s="72" t="s">
        <v>123</v>
      </c>
      <c r="C62" s="89" t="s">
        <v>89</v>
      </c>
      <c r="D62" s="97"/>
      <c r="E62" s="96"/>
      <c r="F62" s="41"/>
      <c r="G62" s="41"/>
      <c r="H62" s="42"/>
      <c r="I62" s="41"/>
      <c r="J62" s="41"/>
      <c r="K62" s="119"/>
      <c r="L62" s="110"/>
      <c r="M62" s="107">
        <f t="shared" si="0"/>
        <v>0</v>
      </c>
      <c r="N62" s="10">
        <f t="shared" si="1"/>
        <v>0</v>
      </c>
      <c r="O62" s="1">
        <f t="shared" si="2"/>
        <v>0</v>
      </c>
      <c r="P62" s="1">
        <f t="shared" si="3"/>
        <v>0</v>
      </c>
      <c r="Q62" s="1">
        <f t="shared" si="4"/>
        <v>0</v>
      </c>
      <c r="R62" s="7">
        <f t="shared" si="5"/>
        <v>0</v>
      </c>
      <c r="S62" s="9">
        <f t="shared" si="6"/>
        <v>0</v>
      </c>
      <c r="T62" s="10">
        <f t="shared" si="7"/>
        <v>0</v>
      </c>
      <c r="U62" s="1">
        <f t="shared" si="8"/>
        <v>0</v>
      </c>
      <c r="V62" s="8">
        <f t="shared" si="9"/>
        <v>0</v>
      </c>
    </row>
    <row r="63" spans="1:22" s="2" customFormat="1" ht="22.5">
      <c r="A63" s="822"/>
      <c r="B63" s="72" t="s">
        <v>124</v>
      </c>
      <c r="C63" s="89" t="s">
        <v>90</v>
      </c>
      <c r="D63" s="97"/>
      <c r="E63" s="96"/>
      <c r="F63" s="41"/>
      <c r="G63" s="41"/>
      <c r="H63" s="42"/>
      <c r="I63" s="41"/>
      <c r="J63" s="41"/>
      <c r="K63" s="119"/>
      <c r="L63" s="110"/>
      <c r="M63" s="107">
        <f t="shared" si="0"/>
        <v>0</v>
      </c>
      <c r="N63" s="10">
        <f t="shared" si="1"/>
        <v>0</v>
      </c>
      <c r="O63" s="1">
        <f t="shared" si="2"/>
        <v>0</v>
      </c>
      <c r="P63" s="1">
        <f t="shared" si="3"/>
        <v>0</v>
      </c>
      <c r="Q63" s="1">
        <f t="shared" si="4"/>
        <v>0</v>
      </c>
      <c r="R63" s="7">
        <f t="shared" si="5"/>
        <v>0</v>
      </c>
      <c r="S63" s="9">
        <f t="shared" si="6"/>
        <v>0</v>
      </c>
      <c r="T63" s="10">
        <f t="shared" si="7"/>
        <v>0</v>
      </c>
      <c r="U63" s="1">
        <f t="shared" si="8"/>
        <v>0</v>
      </c>
      <c r="V63" s="8">
        <f t="shared" si="9"/>
        <v>0</v>
      </c>
    </row>
    <row r="64" spans="1:22" s="2" customFormat="1" ht="22.5">
      <c r="A64" s="822"/>
      <c r="B64" s="72" t="s">
        <v>125</v>
      </c>
      <c r="C64" s="89" t="s">
        <v>91</v>
      </c>
      <c r="D64" s="97"/>
      <c r="E64" s="41"/>
      <c r="F64" s="41"/>
      <c r="G64" s="41"/>
      <c r="H64" s="42"/>
      <c r="I64" s="41"/>
      <c r="J64" s="41"/>
      <c r="K64" s="43"/>
      <c r="L64" s="110"/>
      <c r="M64" s="107">
        <f t="shared" si="0"/>
        <v>0</v>
      </c>
      <c r="N64" s="10">
        <f t="shared" si="1"/>
        <v>0</v>
      </c>
      <c r="O64" s="1">
        <f t="shared" si="2"/>
        <v>0</v>
      </c>
      <c r="P64" s="1">
        <f t="shared" si="3"/>
        <v>0</v>
      </c>
      <c r="Q64" s="1">
        <f t="shared" si="4"/>
        <v>0</v>
      </c>
      <c r="R64" s="7">
        <f t="shared" si="5"/>
        <v>0</v>
      </c>
      <c r="S64" s="9">
        <f t="shared" si="6"/>
        <v>0</v>
      </c>
      <c r="T64" s="10">
        <f t="shared" si="7"/>
        <v>0</v>
      </c>
      <c r="U64" s="1">
        <f t="shared" si="8"/>
        <v>0</v>
      </c>
      <c r="V64" s="8">
        <f t="shared" si="9"/>
        <v>0</v>
      </c>
    </row>
    <row r="65" spans="1:22" s="2" customFormat="1" ht="22.5">
      <c r="A65" s="822"/>
      <c r="B65" s="72" t="s">
        <v>126</v>
      </c>
      <c r="C65" s="89" t="s">
        <v>92</v>
      </c>
      <c r="D65" s="97"/>
      <c r="E65" s="96"/>
      <c r="F65" s="41"/>
      <c r="G65" s="41"/>
      <c r="H65" s="42"/>
      <c r="I65" s="41"/>
      <c r="J65" s="41"/>
      <c r="K65" s="119"/>
      <c r="L65" s="110"/>
      <c r="M65" s="107">
        <f t="shared" si="0"/>
        <v>0</v>
      </c>
      <c r="N65" s="10">
        <f t="shared" si="1"/>
        <v>0</v>
      </c>
      <c r="O65" s="1">
        <f t="shared" si="2"/>
        <v>0</v>
      </c>
      <c r="P65" s="1">
        <f t="shared" si="3"/>
        <v>0</v>
      </c>
      <c r="Q65" s="1">
        <f t="shared" si="4"/>
        <v>0</v>
      </c>
      <c r="R65" s="7">
        <f t="shared" si="5"/>
        <v>0</v>
      </c>
      <c r="S65" s="9">
        <f t="shared" si="6"/>
        <v>0</v>
      </c>
      <c r="T65" s="10">
        <f t="shared" si="7"/>
        <v>0</v>
      </c>
      <c r="U65" s="1">
        <f t="shared" si="8"/>
        <v>0</v>
      </c>
      <c r="V65" s="8">
        <f t="shared" si="9"/>
        <v>0</v>
      </c>
    </row>
    <row r="66" spans="1:22" s="2" customFormat="1" ht="22.5">
      <c r="A66" s="822"/>
      <c r="B66" s="72" t="s">
        <v>127</v>
      </c>
      <c r="C66" s="89" t="s">
        <v>93</v>
      </c>
      <c r="D66" s="97"/>
      <c r="E66" s="41"/>
      <c r="F66" s="41"/>
      <c r="G66" s="41"/>
      <c r="H66" s="42"/>
      <c r="I66" s="41"/>
      <c r="J66" s="41"/>
      <c r="K66" s="43"/>
      <c r="L66" s="110"/>
      <c r="M66" s="107">
        <f t="shared" si="0"/>
        <v>0</v>
      </c>
      <c r="N66" s="10">
        <f t="shared" si="1"/>
        <v>0</v>
      </c>
      <c r="O66" s="1">
        <f t="shared" si="2"/>
        <v>0</v>
      </c>
      <c r="P66" s="1">
        <f t="shared" si="3"/>
        <v>0</v>
      </c>
      <c r="Q66" s="1">
        <f t="shared" si="4"/>
        <v>0</v>
      </c>
      <c r="R66" s="7">
        <f t="shared" si="5"/>
        <v>0</v>
      </c>
      <c r="S66" s="9">
        <f t="shared" si="6"/>
        <v>0</v>
      </c>
      <c r="T66" s="10">
        <f t="shared" si="7"/>
        <v>0</v>
      </c>
      <c r="U66" s="1">
        <f t="shared" si="8"/>
        <v>0</v>
      </c>
      <c r="V66" s="8">
        <f t="shared" si="9"/>
        <v>0</v>
      </c>
    </row>
    <row r="67" spans="1:22" s="2" customFormat="1" ht="22.5">
      <c r="A67" s="822"/>
      <c r="B67" s="72" t="s">
        <v>128</v>
      </c>
      <c r="C67" s="89" t="s">
        <v>94</v>
      </c>
      <c r="D67" s="97"/>
      <c r="E67" s="41"/>
      <c r="F67" s="41"/>
      <c r="G67" s="41"/>
      <c r="H67" s="42"/>
      <c r="I67" s="41"/>
      <c r="J67" s="41"/>
      <c r="K67" s="43"/>
      <c r="L67" s="110"/>
      <c r="M67" s="107">
        <f t="shared" si="0"/>
        <v>0</v>
      </c>
      <c r="N67" s="10">
        <f t="shared" si="1"/>
        <v>0</v>
      </c>
      <c r="O67" s="1">
        <f t="shared" si="2"/>
        <v>0</v>
      </c>
      <c r="P67" s="1">
        <f t="shared" si="3"/>
        <v>0</v>
      </c>
      <c r="Q67" s="1">
        <f t="shared" si="4"/>
        <v>0</v>
      </c>
      <c r="R67" s="7">
        <f t="shared" si="5"/>
        <v>0</v>
      </c>
      <c r="S67" s="9">
        <f t="shared" si="6"/>
        <v>0</v>
      </c>
      <c r="T67" s="10">
        <f t="shared" si="7"/>
        <v>0</v>
      </c>
      <c r="U67" s="1">
        <f t="shared" si="8"/>
        <v>0</v>
      </c>
      <c r="V67" s="8">
        <f t="shared" si="9"/>
        <v>0</v>
      </c>
    </row>
    <row r="68" spans="1:22" s="2" customFormat="1" ht="22.5">
      <c r="A68" s="822"/>
      <c r="B68" s="72" t="s">
        <v>129</v>
      </c>
      <c r="C68" s="89" t="s">
        <v>95</v>
      </c>
      <c r="D68" s="97"/>
      <c r="E68" s="41"/>
      <c r="F68" s="41"/>
      <c r="G68" s="41"/>
      <c r="H68" s="42"/>
      <c r="I68" s="41"/>
      <c r="J68" s="41"/>
      <c r="K68" s="43"/>
      <c r="L68" s="110"/>
      <c r="M68" s="107">
        <f t="shared" si="0"/>
        <v>0</v>
      </c>
      <c r="N68" s="10">
        <f t="shared" si="1"/>
        <v>0</v>
      </c>
      <c r="O68" s="1">
        <f t="shared" si="2"/>
        <v>0</v>
      </c>
      <c r="P68" s="1">
        <f t="shared" si="3"/>
        <v>0</v>
      </c>
      <c r="Q68" s="1">
        <f t="shared" si="4"/>
        <v>0</v>
      </c>
      <c r="R68" s="7">
        <f t="shared" si="5"/>
        <v>0</v>
      </c>
      <c r="S68" s="9">
        <f t="shared" si="6"/>
        <v>0</v>
      </c>
      <c r="T68" s="10">
        <f t="shared" si="7"/>
        <v>0</v>
      </c>
      <c r="U68" s="1">
        <f t="shared" si="8"/>
        <v>0</v>
      </c>
      <c r="V68" s="8">
        <f t="shared" si="9"/>
        <v>0</v>
      </c>
    </row>
    <row r="69" spans="1:22" s="2" customFormat="1" ht="22.5">
      <c r="A69" s="822"/>
      <c r="B69" s="72" t="s">
        <v>130</v>
      </c>
      <c r="C69" s="89" t="s">
        <v>96</v>
      </c>
      <c r="D69" s="97"/>
      <c r="E69" s="41"/>
      <c r="F69" s="41"/>
      <c r="G69" s="41"/>
      <c r="H69" s="42"/>
      <c r="I69" s="41"/>
      <c r="J69" s="41"/>
      <c r="K69" s="43"/>
      <c r="L69" s="110"/>
      <c r="M69" s="107">
        <f t="shared" si="0"/>
        <v>0</v>
      </c>
      <c r="N69" s="10">
        <f t="shared" si="1"/>
        <v>0</v>
      </c>
      <c r="O69" s="1">
        <f t="shared" si="2"/>
        <v>0</v>
      </c>
      <c r="P69" s="1">
        <f t="shared" si="3"/>
        <v>0</v>
      </c>
      <c r="Q69" s="1">
        <f t="shared" si="4"/>
        <v>0</v>
      </c>
      <c r="R69" s="7">
        <f t="shared" si="5"/>
        <v>0</v>
      </c>
      <c r="S69" s="9">
        <f t="shared" si="6"/>
        <v>0</v>
      </c>
      <c r="T69" s="10">
        <f t="shared" si="7"/>
        <v>0</v>
      </c>
      <c r="U69" s="1">
        <f t="shared" si="8"/>
        <v>0</v>
      </c>
      <c r="V69" s="8">
        <f t="shared" si="9"/>
        <v>0</v>
      </c>
    </row>
    <row r="70" spans="1:22" s="2" customFormat="1" ht="22.5">
      <c r="A70" s="822"/>
      <c r="B70" s="72" t="s">
        <v>131</v>
      </c>
      <c r="C70" s="89" t="s">
        <v>97</v>
      </c>
      <c r="D70" s="97"/>
      <c r="E70" s="41"/>
      <c r="F70" s="41"/>
      <c r="G70" s="41"/>
      <c r="H70" s="42"/>
      <c r="I70" s="41"/>
      <c r="J70" s="41"/>
      <c r="K70" s="43"/>
      <c r="L70" s="110"/>
      <c r="M70" s="107">
        <f t="shared" si="0"/>
        <v>0</v>
      </c>
      <c r="N70" s="10">
        <f t="shared" si="1"/>
        <v>0</v>
      </c>
      <c r="O70" s="1">
        <f t="shared" si="2"/>
        <v>0</v>
      </c>
      <c r="P70" s="1">
        <f t="shared" si="3"/>
        <v>0</v>
      </c>
      <c r="Q70" s="1">
        <f t="shared" si="4"/>
        <v>0</v>
      </c>
      <c r="R70" s="7">
        <f t="shared" si="5"/>
        <v>0</v>
      </c>
      <c r="S70" s="9">
        <f t="shared" si="6"/>
        <v>0</v>
      </c>
      <c r="T70" s="10">
        <f t="shared" si="7"/>
        <v>0</v>
      </c>
      <c r="U70" s="1">
        <f t="shared" si="8"/>
        <v>0</v>
      </c>
      <c r="V70" s="8">
        <f t="shared" si="9"/>
        <v>0</v>
      </c>
    </row>
    <row r="71" spans="1:22" s="2" customFormat="1">
      <c r="A71" s="822"/>
      <c r="B71" s="72" t="s">
        <v>180</v>
      </c>
      <c r="C71" s="89"/>
      <c r="D71" s="97"/>
      <c r="E71" s="41"/>
      <c r="F71" s="41"/>
      <c r="G71" s="41"/>
      <c r="H71" s="42"/>
      <c r="I71" s="41"/>
      <c r="J71" s="41"/>
      <c r="K71" s="43"/>
      <c r="L71" s="110"/>
      <c r="M71" s="107"/>
      <c r="N71" s="10"/>
      <c r="O71" s="1"/>
      <c r="P71" s="1"/>
      <c r="Q71" s="1"/>
      <c r="R71" s="7"/>
      <c r="S71" s="9"/>
      <c r="T71" s="10"/>
      <c r="U71" s="1"/>
      <c r="V71" s="8"/>
    </row>
    <row r="72" spans="1:22" s="2" customFormat="1" ht="22.5">
      <c r="A72" s="822"/>
      <c r="B72" s="72" t="s">
        <v>132</v>
      </c>
      <c r="C72" s="89" t="s">
        <v>98</v>
      </c>
      <c r="D72" s="97"/>
      <c r="E72" s="41"/>
      <c r="F72" s="41"/>
      <c r="G72" s="41"/>
      <c r="H72" s="42"/>
      <c r="I72" s="41"/>
      <c r="J72" s="41"/>
      <c r="K72" s="43"/>
      <c r="L72" s="110"/>
      <c r="M72" s="107">
        <f t="shared" si="0"/>
        <v>0</v>
      </c>
      <c r="N72" s="10">
        <f t="shared" si="1"/>
        <v>0</v>
      </c>
      <c r="O72" s="1">
        <f t="shared" si="2"/>
        <v>0</v>
      </c>
      <c r="P72" s="1">
        <f t="shared" si="3"/>
        <v>0</v>
      </c>
      <c r="Q72" s="1">
        <f t="shared" si="4"/>
        <v>0</v>
      </c>
      <c r="R72" s="7">
        <f t="shared" si="5"/>
        <v>0</v>
      </c>
      <c r="S72" s="9">
        <f t="shared" si="6"/>
        <v>0</v>
      </c>
      <c r="T72" s="10">
        <f t="shared" si="7"/>
        <v>0</v>
      </c>
      <c r="U72" s="1">
        <f t="shared" si="8"/>
        <v>0</v>
      </c>
      <c r="V72" s="8">
        <f t="shared" si="9"/>
        <v>0</v>
      </c>
    </row>
    <row r="73" spans="1:22" s="2" customFormat="1" ht="22.5">
      <c r="A73" s="822"/>
      <c r="B73" s="72" t="s">
        <v>133</v>
      </c>
      <c r="C73" s="89" t="s">
        <v>99</v>
      </c>
      <c r="D73" s="97"/>
      <c r="E73" s="96"/>
      <c r="F73" s="41"/>
      <c r="G73" s="41"/>
      <c r="H73" s="42"/>
      <c r="I73" s="41"/>
      <c r="J73" s="41"/>
      <c r="K73" s="119"/>
      <c r="L73" s="110"/>
      <c r="M73" s="107">
        <f t="shared" si="0"/>
        <v>0</v>
      </c>
      <c r="N73" s="10">
        <f t="shared" si="1"/>
        <v>0</v>
      </c>
      <c r="O73" s="1">
        <f t="shared" si="2"/>
        <v>0</v>
      </c>
      <c r="P73" s="1">
        <f t="shared" si="3"/>
        <v>0</v>
      </c>
      <c r="Q73" s="1">
        <f t="shared" si="4"/>
        <v>0</v>
      </c>
      <c r="R73" s="7">
        <f t="shared" si="5"/>
        <v>0</v>
      </c>
      <c r="S73" s="9">
        <f t="shared" si="6"/>
        <v>0</v>
      </c>
      <c r="T73" s="10">
        <f t="shared" si="7"/>
        <v>0</v>
      </c>
      <c r="U73" s="1">
        <f t="shared" si="8"/>
        <v>0</v>
      </c>
      <c r="V73" s="8">
        <f t="shared" si="9"/>
        <v>0</v>
      </c>
    </row>
    <row r="74" spans="1:22" s="2" customFormat="1" ht="22.5">
      <c r="A74" s="822"/>
      <c r="B74" s="72" t="s">
        <v>137</v>
      </c>
      <c r="C74" s="89" t="s">
        <v>100</v>
      </c>
      <c r="D74" s="97"/>
      <c r="E74" s="41"/>
      <c r="F74" s="41"/>
      <c r="G74" s="41"/>
      <c r="H74" s="42"/>
      <c r="I74" s="41"/>
      <c r="J74" s="41"/>
      <c r="K74" s="43"/>
      <c r="L74" s="110"/>
      <c r="M74" s="107">
        <f t="shared" si="0"/>
        <v>0</v>
      </c>
      <c r="N74" s="10">
        <f t="shared" si="1"/>
        <v>0</v>
      </c>
      <c r="O74" s="1">
        <f t="shared" si="2"/>
        <v>0</v>
      </c>
      <c r="P74" s="1">
        <f t="shared" si="3"/>
        <v>0</v>
      </c>
      <c r="Q74" s="1">
        <f t="shared" si="4"/>
        <v>0</v>
      </c>
      <c r="R74" s="7">
        <f t="shared" si="5"/>
        <v>0</v>
      </c>
      <c r="S74" s="9">
        <f t="shared" si="6"/>
        <v>0</v>
      </c>
      <c r="T74" s="10">
        <f t="shared" si="7"/>
        <v>0</v>
      </c>
      <c r="U74" s="1">
        <f t="shared" si="8"/>
        <v>0</v>
      </c>
      <c r="V74" s="8">
        <f t="shared" si="9"/>
        <v>0</v>
      </c>
    </row>
    <row r="75" spans="1:22" s="2" customFormat="1" ht="22.5">
      <c r="A75" s="822"/>
      <c r="B75" s="72" t="s">
        <v>134</v>
      </c>
      <c r="C75" s="89" t="s">
        <v>101</v>
      </c>
      <c r="D75" s="97"/>
      <c r="E75" s="41"/>
      <c r="F75" s="41"/>
      <c r="G75" s="41"/>
      <c r="H75" s="42"/>
      <c r="I75" s="41"/>
      <c r="J75" s="41"/>
      <c r="K75" s="43"/>
      <c r="L75" s="110"/>
      <c r="M75" s="107">
        <f t="shared" ref="M75:M96" si="10">IF(H75="En cours",1,0)</f>
        <v>0</v>
      </c>
      <c r="N75" s="10">
        <f t="shared" ref="N75:N96" si="11">IF(H75="NA",1,0)</f>
        <v>0</v>
      </c>
      <c r="O75" s="1">
        <f t="shared" ref="O75:O96" si="12">IF(H75="En analyse",1,0)</f>
        <v>0</v>
      </c>
      <c r="P75" s="1">
        <f t="shared" ref="P75:P96" si="13">IF(H75="NOK mineur",1,0)</f>
        <v>0</v>
      </c>
      <c r="Q75" s="1">
        <f t="shared" ref="Q75:Q96" si="14">IF(H75="NOK majeur",1,0)</f>
        <v>0</v>
      </c>
      <c r="R75" s="7">
        <f t="shared" ref="R75:R96" si="15">IF(H75="OK",1,0)</f>
        <v>0</v>
      </c>
      <c r="S75" s="9">
        <f t="shared" ref="S75:S96" si="16">IF($G75="En cours",1,0)</f>
        <v>0</v>
      </c>
      <c r="T75" s="10">
        <f t="shared" ref="T75:T96" si="17">IF($G75="NA",1,0)</f>
        <v>0</v>
      </c>
      <c r="U75" s="1">
        <f t="shared" ref="U75:U96" si="18">IF($G75="NOK",1,0)</f>
        <v>0</v>
      </c>
      <c r="V75" s="8">
        <f t="shared" ref="V75:V96" si="19">IF($G75="OK",1,0)</f>
        <v>0</v>
      </c>
    </row>
    <row r="76" spans="1:22" s="2" customFormat="1" ht="22.5">
      <c r="A76" s="822"/>
      <c r="B76" s="72" t="s">
        <v>135</v>
      </c>
      <c r="C76" s="89" t="s">
        <v>102</v>
      </c>
      <c r="D76" s="97"/>
      <c r="E76" s="41"/>
      <c r="F76" s="41"/>
      <c r="G76" s="41"/>
      <c r="H76" s="42"/>
      <c r="I76" s="41"/>
      <c r="J76" s="41"/>
      <c r="K76" s="43"/>
      <c r="L76" s="110"/>
      <c r="M76" s="107">
        <f t="shared" si="10"/>
        <v>0</v>
      </c>
      <c r="N76" s="10">
        <f t="shared" si="11"/>
        <v>0</v>
      </c>
      <c r="O76" s="1">
        <f t="shared" si="12"/>
        <v>0</v>
      </c>
      <c r="P76" s="1">
        <f t="shared" si="13"/>
        <v>0</v>
      </c>
      <c r="Q76" s="1">
        <f t="shared" si="14"/>
        <v>0</v>
      </c>
      <c r="R76" s="7">
        <f t="shared" si="15"/>
        <v>0</v>
      </c>
      <c r="S76" s="9">
        <f t="shared" si="16"/>
        <v>0</v>
      </c>
      <c r="T76" s="10">
        <f t="shared" si="17"/>
        <v>0</v>
      </c>
      <c r="U76" s="1">
        <f t="shared" si="18"/>
        <v>0</v>
      </c>
      <c r="V76" s="8">
        <f t="shared" si="19"/>
        <v>0</v>
      </c>
    </row>
    <row r="77" spans="1:22" s="2" customFormat="1" ht="22.5">
      <c r="A77" s="822"/>
      <c r="B77" s="72" t="s">
        <v>136</v>
      </c>
      <c r="C77" s="89" t="s">
        <v>103</v>
      </c>
      <c r="D77" s="97"/>
      <c r="E77" s="41"/>
      <c r="F77" s="41"/>
      <c r="G77" s="41"/>
      <c r="H77" s="42"/>
      <c r="I77" s="41"/>
      <c r="J77" s="41"/>
      <c r="K77" s="43"/>
      <c r="L77" s="110"/>
      <c r="M77" s="107">
        <f t="shared" si="10"/>
        <v>0</v>
      </c>
      <c r="N77" s="10">
        <f t="shared" si="11"/>
        <v>0</v>
      </c>
      <c r="O77" s="1">
        <f t="shared" si="12"/>
        <v>0</v>
      </c>
      <c r="P77" s="1">
        <f t="shared" si="13"/>
        <v>0</v>
      </c>
      <c r="Q77" s="1">
        <f t="shared" si="14"/>
        <v>0</v>
      </c>
      <c r="R77" s="7">
        <f t="shared" si="15"/>
        <v>0</v>
      </c>
      <c r="S77" s="9">
        <f t="shared" si="16"/>
        <v>0</v>
      </c>
      <c r="T77" s="10">
        <f t="shared" si="17"/>
        <v>0</v>
      </c>
      <c r="U77" s="1">
        <f t="shared" si="18"/>
        <v>0</v>
      </c>
      <c r="V77" s="8">
        <f t="shared" si="19"/>
        <v>0</v>
      </c>
    </row>
    <row r="78" spans="1:22" s="2" customFormat="1" ht="22.5">
      <c r="A78" s="822"/>
      <c r="B78" s="72" t="s">
        <v>138</v>
      </c>
      <c r="C78" s="89" t="s">
        <v>104</v>
      </c>
      <c r="D78" s="97"/>
      <c r="E78" s="41"/>
      <c r="F78" s="41"/>
      <c r="G78" s="41"/>
      <c r="H78" s="42"/>
      <c r="I78" s="41"/>
      <c r="J78" s="41"/>
      <c r="K78" s="43"/>
      <c r="L78" s="110"/>
      <c r="M78" s="107">
        <f t="shared" si="10"/>
        <v>0</v>
      </c>
      <c r="N78" s="10">
        <f t="shared" si="11"/>
        <v>0</v>
      </c>
      <c r="O78" s="1">
        <f t="shared" si="12"/>
        <v>0</v>
      </c>
      <c r="P78" s="1">
        <f t="shared" si="13"/>
        <v>0</v>
      </c>
      <c r="Q78" s="1">
        <f t="shared" si="14"/>
        <v>0</v>
      </c>
      <c r="R78" s="7">
        <f t="shared" si="15"/>
        <v>0</v>
      </c>
      <c r="S78" s="9">
        <f t="shared" si="16"/>
        <v>0</v>
      </c>
      <c r="T78" s="10">
        <f t="shared" si="17"/>
        <v>0</v>
      </c>
      <c r="U78" s="1">
        <f t="shared" si="18"/>
        <v>0</v>
      </c>
      <c r="V78" s="8">
        <f t="shared" si="19"/>
        <v>0</v>
      </c>
    </row>
    <row r="79" spans="1:22" s="2" customFormat="1" ht="22.5">
      <c r="A79" s="822"/>
      <c r="B79" s="72" t="s">
        <v>139</v>
      </c>
      <c r="C79" s="89" t="s">
        <v>105</v>
      </c>
      <c r="D79" s="97"/>
      <c r="E79" s="41"/>
      <c r="F79" s="41"/>
      <c r="G79" s="41"/>
      <c r="H79" s="42"/>
      <c r="I79" s="41"/>
      <c r="J79" s="41"/>
      <c r="K79" s="43"/>
      <c r="L79" s="110"/>
      <c r="M79" s="107">
        <f t="shared" si="10"/>
        <v>0</v>
      </c>
      <c r="N79" s="10">
        <f t="shared" si="11"/>
        <v>0</v>
      </c>
      <c r="O79" s="1">
        <f t="shared" si="12"/>
        <v>0</v>
      </c>
      <c r="P79" s="1">
        <f t="shared" si="13"/>
        <v>0</v>
      </c>
      <c r="Q79" s="1">
        <f t="shared" si="14"/>
        <v>0</v>
      </c>
      <c r="R79" s="7">
        <f t="shared" si="15"/>
        <v>0</v>
      </c>
      <c r="S79" s="9">
        <f t="shared" si="16"/>
        <v>0</v>
      </c>
      <c r="T79" s="10">
        <f t="shared" si="17"/>
        <v>0</v>
      </c>
      <c r="U79" s="1">
        <f t="shared" si="18"/>
        <v>0</v>
      </c>
      <c r="V79" s="8">
        <f t="shared" si="19"/>
        <v>0</v>
      </c>
    </row>
    <row r="80" spans="1:22" s="2" customFormat="1" ht="22.5">
      <c r="A80" s="822"/>
      <c r="B80" s="72" t="s">
        <v>140</v>
      </c>
      <c r="C80" s="89" t="s">
        <v>106</v>
      </c>
      <c r="D80" s="97"/>
      <c r="E80" s="41"/>
      <c r="F80" s="41"/>
      <c r="G80" s="41"/>
      <c r="H80" s="42"/>
      <c r="I80" s="41"/>
      <c r="J80" s="41"/>
      <c r="K80" s="43"/>
      <c r="L80" s="110"/>
      <c r="M80" s="107">
        <f t="shared" si="10"/>
        <v>0</v>
      </c>
      <c r="N80" s="10">
        <f t="shared" si="11"/>
        <v>0</v>
      </c>
      <c r="O80" s="1">
        <f t="shared" si="12"/>
        <v>0</v>
      </c>
      <c r="P80" s="1">
        <f t="shared" si="13"/>
        <v>0</v>
      </c>
      <c r="Q80" s="1">
        <f t="shared" si="14"/>
        <v>0</v>
      </c>
      <c r="R80" s="7">
        <f t="shared" si="15"/>
        <v>0</v>
      </c>
      <c r="S80" s="9">
        <f t="shared" si="16"/>
        <v>0</v>
      </c>
      <c r="T80" s="10">
        <f t="shared" si="17"/>
        <v>0</v>
      </c>
      <c r="U80" s="1">
        <f t="shared" si="18"/>
        <v>0</v>
      </c>
      <c r="V80" s="8">
        <f t="shared" si="19"/>
        <v>0</v>
      </c>
    </row>
    <row r="81" spans="1:22" s="2" customFormat="1" ht="22.5">
      <c r="A81" s="822"/>
      <c r="B81" s="72" t="s">
        <v>141</v>
      </c>
      <c r="C81" s="89" t="s">
        <v>107</v>
      </c>
      <c r="D81" s="97"/>
      <c r="E81" s="41"/>
      <c r="F81" s="41"/>
      <c r="G81" s="41"/>
      <c r="H81" s="42"/>
      <c r="I81" s="41"/>
      <c r="J81" s="41"/>
      <c r="K81" s="43"/>
      <c r="L81" s="110"/>
      <c r="M81" s="107">
        <f t="shared" si="10"/>
        <v>0</v>
      </c>
      <c r="N81" s="10">
        <f t="shared" si="11"/>
        <v>0</v>
      </c>
      <c r="O81" s="1">
        <f t="shared" si="12"/>
        <v>0</v>
      </c>
      <c r="P81" s="1">
        <f t="shared" si="13"/>
        <v>0</v>
      </c>
      <c r="Q81" s="1">
        <f t="shared" si="14"/>
        <v>0</v>
      </c>
      <c r="R81" s="7">
        <f t="shared" si="15"/>
        <v>0</v>
      </c>
      <c r="S81" s="9">
        <f t="shared" si="16"/>
        <v>0</v>
      </c>
      <c r="T81" s="10">
        <f t="shared" si="17"/>
        <v>0</v>
      </c>
      <c r="U81" s="1">
        <f t="shared" si="18"/>
        <v>0</v>
      </c>
      <c r="V81" s="8">
        <f t="shared" si="19"/>
        <v>0</v>
      </c>
    </row>
    <row r="82" spans="1:22" s="2" customFormat="1" ht="22.5">
      <c r="A82" s="822"/>
      <c r="B82" s="72" t="s">
        <v>143</v>
      </c>
      <c r="C82" s="89" t="s">
        <v>142</v>
      </c>
      <c r="D82" s="97"/>
      <c r="E82" s="41"/>
      <c r="F82" s="41"/>
      <c r="G82" s="41"/>
      <c r="H82" s="42"/>
      <c r="I82" s="41"/>
      <c r="J82" s="41"/>
      <c r="K82" s="43"/>
      <c r="L82" s="110"/>
      <c r="M82" s="107">
        <f t="shared" si="10"/>
        <v>0</v>
      </c>
      <c r="N82" s="10">
        <f t="shared" si="11"/>
        <v>0</v>
      </c>
      <c r="O82" s="1">
        <f t="shared" si="12"/>
        <v>0</v>
      </c>
      <c r="P82" s="1">
        <f t="shared" si="13"/>
        <v>0</v>
      </c>
      <c r="Q82" s="1">
        <f t="shared" si="14"/>
        <v>0</v>
      </c>
      <c r="R82" s="7">
        <f t="shared" si="15"/>
        <v>0</v>
      </c>
      <c r="S82" s="9">
        <f t="shared" si="16"/>
        <v>0</v>
      </c>
      <c r="T82" s="10">
        <f t="shared" si="17"/>
        <v>0</v>
      </c>
      <c r="U82" s="1">
        <f t="shared" si="18"/>
        <v>0</v>
      </c>
      <c r="V82" s="8">
        <f t="shared" si="19"/>
        <v>0</v>
      </c>
    </row>
    <row r="83" spans="1:22" s="2" customFormat="1" ht="23.25" thickBot="1">
      <c r="A83" s="823"/>
      <c r="B83" s="127" t="s">
        <v>144</v>
      </c>
      <c r="C83" s="90" t="s">
        <v>108</v>
      </c>
      <c r="D83" s="101"/>
      <c r="E83" s="57"/>
      <c r="F83" s="57"/>
      <c r="G83" s="57"/>
      <c r="H83" s="58"/>
      <c r="I83" s="57"/>
      <c r="J83" s="57"/>
      <c r="K83" s="59"/>
      <c r="L83" s="110"/>
      <c r="M83" s="107">
        <f t="shared" si="10"/>
        <v>0</v>
      </c>
      <c r="N83" s="10">
        <f t="shared" si="11"/>
        <v>0</v>
      </c>
      <c r="O83" s="1">
        <f t="shared" si="12"/>
        <v>0</v>
      </c>
      <c r="P83" s="1">
        <f t="shared" si="13"/>
        <v>0</v>
      </c>
      <c r="Q83" s="1">
        <f t="shared" si="14"/>
        <v>0</v>
      </c>
      <c r="R83" s="7">
        <f t="shared" si="15"/>
        <v>0</v>
      </c>
      <c r="S83" s="9">
        <f t="shared" si="16"/>
        <v>0</v>
      </c>
      <c r="T83" s="10">
        <f t="shared" si="17"/>
        <v>0</v>
      </c>
      <c r="U83" s="1">
        <f t="shared" si="18"/>
        <v>0</v>
      </c>
      <c r="V83" s="8">
        <f t="shared" si="19"/>
        <v>0</v>
      </c>
    </row>
    <row r="84" spans="1:22" s="2" customFormat="1">
      <c r="A84" s="822" t="s">
        <v>53</v>
      </c>
      <c r="B84" s="71" t="s">
        <v>177</v>
      </c>
      <c r="C84" s="120"/>
      <c r="D84" s="97"/>
      <c r="E84" s="41"/>
      <c r="F84" s="41"/>
      <c r="G84" s="41"/>
      <c r="H84" s="42"/>
      <c r="I84" s="77"/>
      <c r="J84" s="77"/>
      <c r="K84" s="104"/>
      <c r="L84" s="110"/>
      <c r="M84" s="107">
        <f t="shared" si="10"/>
        <v>0</v>
      </c>
      <c r="N84" s="10">
        <f t="shared" si="11"/>
        <v>0</v>
      </c>
      <c r="O84" s="1">
        <f t="shared" si="12"/>
        <v>0</v>
      </c>
      <c r="P84" s="1">
        <f t="shared" si="13"/>
        <v>0</v>
      </c>
      <c r="Q84" s="1">
        <f t="shared" si="14"/>
        <v>0</v>
      </c>
      <c r="R84" s="7">
        <f t="shared" si="15"/>
        <v>0</v>
      </c>
      <c r="S84" s="9">
        <f t="shared" si="16"/>
        <v>0</v>
      </c>
      <c r="T84" s="10">
        <f t="shared" si="17"/>
        <v>0</v>
      </c>
      <c r="U84" s="1">
        <f t="shared" si="18"/>
        <v>0</v>
      </c>
      <c r="V84" s="8">
        <f t="shared" si="19"/>
        <v>0</v>
      </c>
    </row>
    <row r="85" spans="1:22" s="2" customFormat="1">
      <c r="A85" s="822"/>
      <c r="B85" s="72" t="s">
        <v>178</v>
      </c>
      <c r="C85" s="69"/>
      <c r="D85" s="97"/>
      <c r="E85" s="41"/>
      <c r="F85" s="41"/>
      <c r="G85" s="41"/>
      <c r="H85" s="42"/>
      <c r="I85" s="77"/>
      <c r="J85" s="77"/>
      <c r="K85" s="104"/>
      <c r="L85" s="110"/>
      <c r="M85" s="107">
        <f t="shared" si="10"/>
        <v>0</v>
      </c>
      <c r="N85" s="10">
        <f t="shared" si="11"/>
        <v>0</v>
      </c>
      <c r="O85" s="1">
        <f t="shared" si="12"/>
        <v>0</v>
      </c>
      <c r="P85" s="1">
        <f t="shared" si="13"/>
        <v>0</v>
      </c>
      <c r="Q85" s="1">
        <f t="shared" si="14"/>
        <v>0</v>
      </c>
      <c r="R85" s="7">
        <f t="shared" si="15"/>
        <v>0</v>
      </c>
      <c r="S85" s="9">
        <f t="shared" si="16"/>
        <v>0</v>
      </c>
      <c r="T85" s="10">
        <f t="shared" si="17"/>
        <v>0</v>
      </c>
      <c r="U85" s="1">
        <f t="shared" si="18"/>
        <v>0</v>
      </c>
      <c r="V85" s="8">
        <f t="shared" si="19"/>
        <v>0</v>
      </c>
    </row>
    <row r="86" spans="1:22" s="2" customFormat="1">
      <c r="A86" s="822"/>
      <c r="B86" s="72" t="s">
        <v>179</v>
      </c>
      <c r="C86" s="69"/>
      <c r="D86" s="97"/>
      <c r="E86" s="41"/>
      <c r="F86" s="41"/>
      <c r="G86" s="41"/>
      <c r="H86" s="42"/>
      <c r="I86" s="77"/>
      <c r="J86" s="77"/>
      <c r="K86" s="104"/>
      <c r="L86" s="110"/>
      <c r="M86" s="107">
        <f t="shared" si="10"/>
        <v>0</v>
      </c>
      <c r="N86" s="10">
        <f t="shared" si="11"/>
        <v>0</v>
      </c>
      <c r="O86" s="1">
        <f t="shared" si="12"/>
        <v>0</v>
      </c>
      <c r="P86" s="1">
        <f t="shared" si="13"/>
        <v>0</v>
      </c>
      <c r="Q86" s="1">
        <f t="shared" si="14"/>
        <v>0</v>
      </c>
      <c r="R86" s="7">
        <f t="shared" si="15"/>
        <v>0</v>
      </c>
      <c r="S86" s="9">
        <f t="shared" si="16"/>
        <v>0</v>
      </c>
      <c r="T86" s="10">
        <f t="shared" si="17"/>
        <v>0</v>
      </c>
      <c r="U86" s="1">
        <f t="shared" si="18"/>
        <v>0</v>
      </c>
      <c r="V86" s="8">
        <f t="shared" si="19"/>
        <v>0</v>
      </c>
    </row>
    <row r="87" spans="1:22" s="2" customFormat="1">
      <c r="A87" s="822"/>
      <c r="B87" s="72"/>
      <c r="C87" s="69"/>
      <c r="D87" s="97"/>
      <c r="E87" s="41"/>
      <c r="F87" s="41"/>
      <c r="G87" s="41"/>
      <c r="H87" s="42"/>
      <c r="I87" s="77"/>
      <c r="J87" s="77"/>
      <c r="K87" s="104"/>
      <c r="L87" s="110"/>
      <c r="M87" s="107">
        <f t="shared" si="10"/>
        <v>0</v>
      </c>
      <c r="N87" s="10">
        <f t="shared" si="11"/>
        <v>0</v>
      </c>
      <c r="O87" s="1">
        <f t="shared" si="12"/>
        <v>0</v>
      </c>
      <c r="P87" s="1">
        <f t="shared" si="13"/>
        <v>0</v>
      </c>
      <c r="Q87" s="1">
        <f t="shared" si="14"/>
        <v>0</v>
      </c>
      <c r="R87" s="7">
        <f t="shared" si="15"/>
        <v>0</v>
      </c>
      <c r="S87" s="9">
        <f t="shared" si="16"/>
        <v>0</v>
      </c>
      <c r="T87" s="10">
        <f t="shared" si="17"/>
        <v>0</v>
      </c>
      <c r="U87" s="1">
        <f t="shared" si="18"/>
        <v>0</v>
      </c>
      <c r="V87" s="8">
        <f t="shared" si="19"/>
        <v>0</v>
      </c>
    </row>
    <row r="88" spans="1:22" s="2" customFormat="1">
      <c r="A88" s="822"/>
      <c r="B88" s="72"/>
      <c r="C88" s="69"/>
      <c r="D88" s="97"/>
      <c r="E88" s="41"/>
      <c r="F88" s="41"/>
      <c r="G88" s="41"/>
      <c r="H88" s="42"/>
      <c r="I88" s="77"/>
      <c r="J88" s="77"/>
      <c r="K88" s="104"/>
      <c r="L88" s="110"/>
      <c r="M88" s="107">
        <f t="shared" si="10"/>
        <v>0</v>
      </c>
      <c r="N88" s="10">
        <f t="shared" si="11"/>
        <v>0</v>
      </c>
      <c r="O88" s="1">
        <f t="shared" si="12"/>
        <v>0</v>
      </c>
      <c r="P88" s="1">
        <f t="shared" si="13"/>
        <v>0</v>
      </c>
      <c r="Q88" s="1">
        <f t="shared" si="14"/>
        <v>0</v>
      </c>
      <c r="R88" s="7">
        <f t="shared" si="15"/>
        <v>0</v>
      </c>
      <c r="S88" s="9">
        <f t="shared" si="16"/>
        <v>0</v>
      </c>
      <c r="T88" s="10">
        <f t="shared" si="17"/>
        <v>0</v>
      </c>
      <c r="U88" s="1">
        <f t="shared" si="18"/>
        <v>0</v>
      </c>
      <c r="V88" s="8">
        <f t="shared" si="19"/>
        <v>0</v>
      </c>
    </row>
    <row r="89" spans="1:22" s="2" customFormat="1">
      <c r="A89" s="822"/>
      <c r="B89" s="72"/>
      <c r="C89" s="69"/>
      <c r="D89" s="97"/>
      <c r="E89" s="41"/>
      <c r="F89" s="41"/>
      <c r="G89" s="41"/>
      <c r="H89" s="42"/>
      <c r="I89" s="77"/>
      <c r="J89" s="77"/>
      <c r="K89" s="104"/>
      <c r="L89" s="110"/>
      <c r="M89" s="107">
        <f t="shared" si="10"/>
        <v>0</v>
      </c>
      <c r="N89" s="10">
        <f t="shared" si="11"/>
        <v>0</v>
      </c>
      <c r="O89" s="1">
        <f t="shared" si="12"/>
        <v>0</v>
      </c>
      <c r="P89" s="1">
        <f t="shared" si="13"/>
        <v>0</v>
      </c>
      <c r="Q89" s="1">
        <f t="shared" si="14"/>
        <v>0</v>
      </c>
      <c r="R89" s="7">
        <f t="shared" si="15"/>
        <v>0</v>
      </c>
      <c r="S89" s="9">
        <f t="shared" si="16"/>
        <v>0</v>
      </c>
      <c r="T89" s="10">
        <f t="shared" si="17"/>
        <v>0</v>
      </c>
      <c r="U89" s="1">
        <f t="shared" si="18"/>
        <v>0</v>
      </c>
      <c r="V89" s="8">
        <f t="shared" si="19"/>
        <v>0</v>
      </c>
    </row>
    <row r="90" spans="1:22" s="2" customFormat="1">
      <c r="A90" s="822"/>
      <c r="B90" s="72"/>
      <c r="C90" s="69"/>
      <c r="D90" s="97"/>
      <c r="E90" s="41"/>
      <c r="F90" s="41"/>
      <c r="G90" s="41"/>
      <c r="H90" s="42"/>
      <c r="I90" s="77"/>
      <c r="J90" s="77"/>
      <c r="K90" s="104"/>
      <c r="L90" s="110"/>
      <c r="M90" s="107">
        <f t="shared" si="10"/>
        <v>0</v>
      </c>
      <c r="N90" s="10">
        <f t="shared" si="11"/>
        <v>0</v>
      </c>
      <c r="O90" s="1">
        <f t="shared" si="12"/>
        <v>0</v>
      </c>
      <c r="P90" s="1">
        <f t="shared" si="13"/>
        <v>0</v>
      </c>
      <c r="Q90" s="1">
        <f t="shared" si="14"/>
        <v>0</v>
      </c>
      <c r="R90" s="7">
        <f t="shared" si="15"/>
        <v>0</v>
      </c>
      <c r="S90" s="9">
        <f t="shared" si="16"/>
        <v>0</v>
      </c>
      <c r="T90" s="10">
        <f t="shared" si="17"/>
        <v>0</v>
      </c>
      <c r="U90" s="1">
        <f t="shared" si="18"/>
        <v>0</v>
      </c>
      <c r="V90" s="8">
        <f t="shared" si="19"/>
        <v>0</v>
      </c>
    </row>
    <row r="91" spans="1:22" s="2" customFormat="1">
      <c r="A91" s="822"/>
      <c r="B91" s="72"/>
      <c r="C91" s="69"/>
      <c r="D91" s="97"/>
      <c r="E91" s="41"/>
      <c r="F91" s="41"/>
      <c r="G91" s="41"/>
      <c r="H91" s="42"/>
      <c r="I91" s="77"/>
      <c r="J91" s="77"/>
      <c r="K91" s="104"/>
      <c r="L91" s="110"/>
      <c r="M91" s="107">
        <f t="shared" si="10"/>
        <v>0</v>
      </c>
      <c r="N91" s="10">
        <f t="shared" si="11"/>
        <v>0</v>
      </c>
      <c r="O91" s="1">
        <f t="shared" si="12"/>
        <v>0</v>
      </c>
      <c r="P91" s="1">
        <f t="shared" si="13"/>
        <v>0</v>
      </c>
      <c r="Q91" s="1">
        <f t="shared" si="14"/>
        <v>0</v>
      </c>
      <c r="R91" s="7">
        <f t="shared" si="15"/>
        <v>0</v>
      </c>
      <c r="S91" s="9">
        <f t="shared" si="16"/>
        <v>0</v>
      </c>
      <c r="T91" s="10">
        <f t="shared" si="17"/>
        <v>0</v>
      </c>
      <c r="U91" s="1">
        <f t="shared" si="18"/>
        <v>0</v>
      </c>
      <c r="V91" s="8">
        <f t="shared" si="19"/>
        <v>0</v>
      </c>
    </row>
    <row r="92" spans="1:22" s="2" customFormat="1">
      <c r="A92" s="822"/>
      <c r="B92" s="72"/>
      <c r="C92" s="69"/>
      <c r="D92" s="97"/>
      <c r="E92" s="41"/>
      <c r="F92" s="41"/>
      <c r="G92" s="41"/>
      <c r="H92" s="42"/>
      <c r="I92" s="77"/>
      <c r="J92" s="77"/>
      <c r="K92" s="104"/>
      <c r="L92" s="110"/>
      <c r="M92" s="107">
        <f t="shared" si="10"/>
        <v>0</v>
      </c>
      <c r="N92" s="10">
        <f t="shared" si="11"/>
        <v>0</v>
      </c>
      <c r="O92" s="1">
        <f t="shared" si="12"/>
        <v>0</v>
      </c>
      <c r="P92" s="1">
        <f t="shared" si="13"/>
        <v>0</v>
      </c>
      <c r="Q92" s="1">
        <f t="shared" si="14"/>
        <v>0</v>
      </c>
      <c r="R92" s="7">
        <f t="shared" si="15"/>
        <v>0</v>
      </c>
      <c r="S92" s="9">
        <f t="shared" si="16"/>
        <v>0</v>
      </c>
      <c r="T92" s="10">
        <f t="shared" si="17"/>
        <v>0</v>
      </c>
      <c r="U92" s="1">
        <f t="shared" si="18"/>
        <v>0</v>
      </c>
      <c r="V92" s="8">
        <f t="shared" si="19"/>
        <v>0</v>
      </c>
    </row>
    <row r="93" spans="1:22" s="2" customFormat="1">
      <c r="A93" s="822"/>
      <c r="B93" s="72"/>
      <c r="C93" s="69"/>
      <c r="D93" s="97"/>
      <c r="E93" s="41"/>
      <c r="F93" s="41"/>
      <c r="G93" s="41"/>
      <c r="H93" s="42"/>
      <c r="I93" s="77"/>
      <c r="J93" s="77"/>
      <c r="K93" s="104"/>
      <c r="L93" s="110"/>
      <c r="M93" s="107">
        <f t="shared" si="10"/>
        <v>0</v>
      </c>
      <c r="N93" s="10">
        <f t="shared" si="11"/>
        <v>0</v>
      </c>
      <c r="O93" s="1">
        <f t="shared" si="12"/>
        <v>0</v>
      </c>
      <c r="P93" s="1">
        <f t="shared" si="13"/>
        <v>0</v>
      </c>
      <c r="Q93" s="1">
        <f t="shared" si="14"/>
        <v>0</v>
      </c>
      <c r="R93" s="7">
        <f t="shared" si="15"/>
        <v>0</v>
      </c>
      <c r="S93" s="9">
        <f t="shared" si="16"/>
        <v>0</v>
      </c>
      <c r="T93" s="10">
        <f t="shared" si="17"/>
        <v>0</v>
      </c>
      <c r="U93" s="1">
        <f t="shared" si="18"/>
        <v>0</v>
      </c>
      <c r="V93" s="8">
        <f t="shared" si="19"/>
        <v>0</v>
      </c>
    </row>
    <row r="94" spans="1:22" s="2" customFormat="1">
      <c r="A94" s="822"/>
      <c r="B94" s="72"/>
      <c r="C94" s="69"/>
      <c r="D94" s="97"/>
      <c r="E94" s="41"/>
      <c r="F94" s="41"/>
      <c r="G94" s="41"/>
      <c r="H94" s="42"/>
      <c r="I94" s="77"/>
      <c r="J94" s="77"/>
      <c r="K94" s="104"/>
      <c r="L94" s="110"/>
      <c r="M94" s="107">
        <f t="shared" si="10"/>
        <v>0</v>
      </c>
      <c r="N94" s="10">
        <f t="shared" si="11"/>
        <v>0</v>
      </c>
      <c r="O94" s="1">
        <f t="shared" si="12"/>
        <v>0</v>
      </c>
      <c r="P94" s="1">
        <f t="shared" si="13"/>
        <v>0</v>
      </c>
      <c r="Q94" s="1">
        <f t="shared" si="14"/>
        <v>0</v>
      </c>
      <c r="R94" s="7">
        <f t="shared" si="15"/>
        <v>0</v>
      </c>
      <c r="S94" s="9">
        <f t="shared" si="16"/>
        <v>0</v>
      </c>
      <c r="T94" s="10">
        <f t="shared" si="17"/>
        <v>0</v>
      </c>
      <c r="U94" s="1">
        <f t="shared" si="18"/>
        <v>0</v>
      </c>
      <c r="V94" s="8">
        <f t="shared" si="19"/>
        <v>0</v>
      </c>
    </row>
    <row r="95" spans="1:22" s="2" customFormat="1">
      <c r="A95" s="822"/>
      <c r="B95" s="72"/>
      <c r="C95" s="69"/>
      <c r="D95" s="97"/>
      <c r="E95" s="41"/>
      <c r="F95" s="41"/>
      <c r="G95" s="41"/>
      <c r="H95" s="42"/>
      <c r="I95" s="77"/>
      <c r="J95" s="77"/>
      <c r="K95" s="104"/>
      <c r="L95" s="110"/>
      <c r="M95" s="107">
        <f t="shared" si="10"/>
        <v>0</v>
      </c>
      <c r="N95" s="10">
        <f t="shared" si="11"/>
        <v>0</v>
      </c>
      <c r="O95" s="1">
        <f t="shared" si="12"/>
        <v>0</v>
      </c>
      <c r="P95" s="1">
        <f t="shared" si="13"/>
        <v>0</v>
      </c>
      <c r="Q95" s="1">
        <f t="shared" si="14"/>
        <v>0</v>
      </c>
      <c r="R95" s="7">
        <f t="shared" si="15"/>
        <v>0</v>
      </c>
      <c r="S95" s="9">
        <f t="shared" si="16"/>
        <v>0</v>
      </c>
      <c r="T95" s="10">
        <f t="shared" si="17"/>
        <v>0</v>
      </c>
      <c r="U95" s="1">
        <f t="shared" si="18"/>
        <v>0</v>
      </c>
      <c r="V95" s="8">
        <f t="shared" si="19"/>
        <v>0</v>
      </c>
    </row>
    <row r="96" spans="1:22" s="2" customFormat="1" ht="15.75" thickBot="1">
      <c r="A96" s="823"/>
      <c r="B96" s="73"/>
      <c r="C96" s="70"/>
      <c r="D96" s="101"/>
      <c r="E96" s="57"/>
      <c r="F96" s="57"/>
      <c r="G96" s="57"/>
      <c r="H96" s="58"/>
      <c r="I96" s="78"/>
      <c r="J96" s="78"/>
      <c r="K96" s="105"/>
      <c r="L96" s="111"/>
      <c r="M96" s="107">
        <f t="shared" si="10"/>
        <v>0</v>
      </c>
      <c r="N96" s="10">
        <f t="shared" si="11"/>
        <v>0</v>
      </c>
      <c r="O96" s="1">
        <f t="shared" si="12"/>
        <v>0</v>
      </c>
      <c r="P96" s="1">
        <f t="shared" si="13"/>
        <v>0</v>
      </c>
      <c r="Q96" s="1">
        <f t="shared" si="14"/>
        <v>0</v>
      </c>
      <c r="R96" s="7">
        <f t="shared" si="15"/>
        <v>0</v>
      </c>
      <c r="S96" s="9">
        <f t="shared" si="16"/>
        <v>0</v>
      </c>
      <c r="T96" s="10">
        <f t="shared" si="17"/>
        <v>0</v>
      </c>
      <c r="U96" s="1">
        <f t="shared" si="18"/>
        <v>0</v>
      </c>
      <c r="V96" s="8">
        <f t="shared" si="19"/>
        <v>0</v>
      </c>
    </row>
  </sheetData>
  <mergeCells count="27">
    <mergeCell ref="J1:J2"/>
    <mergeCell ref="K1:K2"/>
    <mergeCell ref="L1:L2"/>
    <mergeCell ref="B3:K3"/>
    <mergeCell ref="A4:B10"/>
    <mergeCell ref="C4:E4"/>
    <mergeCell ref="C5:E5"/>
    <mergeCell ref="C6:E6"/>
    <mergeCell ref="C7:E7"/>
    <mergeCell ref="C8:E8"/>
    <mergeCell ref="B1:B2"/>
    <mergeCell ref="C1:C2"/>
    <mergeCell ref="D1:D2"/>
    <mergeCell ref="E1:E2"/>
    <mergeCell ref="F1:F2"/>
    <mergeCell ref="I1:I2"/>
    <mergeCell ref="M9:R9"/>
    <mergeCell ref="S9:V9"/>
    <mergeCell ref="C10:E10"/>
    <mergeCell ref="A11:A35"/>
    <mergeCell ref="B17:B28"/>
    <mergeCell ref="K23:K24"/>
    <mergeCell ref="A36:A49"/>
    <mergeCell ref="B37:B45"/>
    <mergeCell ref="A50:A83"/>
    <mergeCell ref="A84:A96"/>
    <mergeCell ref="C9:E9"/>
  </mergeCells>
  <conditionalFormatting sqref="D12:G12 D13 D29 F29:H29 G13:H13 K12:K23 D14:H28 K25:K83 D30:H83">
    <cfRule type="expression" dxfId="111" priority="19" stopIfTrue="1">
      <formula>$H12="OK"</formula>
    </cfRule>
    <cfRule type="expression" dxfId="110" priority="20" stopIfTrue="1">
      <formula>$H12="NOK majeur"</formula>
    </cfRule>
    <cfRule type="expression" dxfId="109" priority="21" stopIfTrue="1">
      <formula>$H12="NOK mineur"</formula>
    </cfRule>
    <cfRule type="expression" dxfId="108" priority="22" stopIfTrue="1">
      <formula>$H12="En analyse"</formula>
    </cfRule>
    <cfRule type="expression" dxfId="107" priority="23" stopIfTrue="1">
      <formula>$H12="En cours"</formula>
    </cfRule>
    <cfRule type="expression" dxfId="106" priority="24" stopIfTrue="1">
      <formula>$H12="NA"</formula>
    </cfRule>
  </conditionalFormatting>
  <conditionalFormatting sqref="D11:H11 H12 K11 I11:J83">
    <cfRule type="expression" dxfId="105" priority="25" stopIfTrue="1">
      <formula>$H11="OK"</formula>
    </cfRule>
    <cfRule type="expression" dxfId="104" priority="26" stopIfTrue="1">
      <formula>$H11="NOK majeur"</formula>
    </cfRule>
    <cfRule type="expression" dxfId="103" priority="27" stopIfTrue="1">
      <formula>$H11="NOK mineur"</formula>
    </cfRule>
    <cfRule type="expression" dxfId="102" priority="28" stopIfTrue="1">
      <formula>$H11="En analyse"</formula>
    </cfRule>
    <cfRule type="expression" dxfId="101" priority="29" stopIfTrue="1">
      <formula>$H11="En cours"</formula>
    </cfRule>
    <cfRule type="expression" dxfId="100" priority="30" stopIfTrue="1">
      <formula>$H11="NA"</formula>
    </cfRule>
  </conditionalFormatting>
  <conditionalFormatting sqref="D84:K96">
    <cfRule type="expression" dxfId="99" priority="13" stopIfTrue="1">
      <formula>$H84="OK"</formula>
    </cfRule>
    <cfRule type="expression" dxfId="98" priority="14" stopIfTrue="1">
      <formula>$H84="NOK majeur"</formula>
    </cfRule>
    <cfRule type="expression" dxfId="97" priority="15" stopIfTrue="1">
      <formula>$H84="NOK mineur"</formula>
    </cfRule>
    <cfRule type="expression" dxfId="96" priority="16" stopIfTrue="1">
      <formula>$H84="En analyse"</formula>
    </cfRule>
    <cfRule type="expression" dxfId="95" priority="17" stopIfTrue="1">
      <formula>$H84="En cours"</formula>
    </cfRule>
    <cfRule type="expression" dxfId="94" priority="18" stopIfTrue="1">
      <formula>$H84="NA"</formula>
    </cfRule>
  </conditionalFormatting>
  <conditionalFormatting sqref="E13:F13">
    <cfRule type="expression" dxfId="93" priority="7" stopIfTrue="1">
      <formula>$H13="OK"</formula>
    </cfRule>
    <cfRule type="expression" dxfId="92" priority="8" stopIfTrue="1">
      <formula>$H13="NOK majeur"</formula>
    </cfRule>
    <cfRule type="expression" dxfId="91" priority="9" stopIfTrue="1">
      <formula>$H13="NOK mineur"</formula>
    </cfRule>
    <cfRule type="expression" dxfId="90" priority="10" stopIfTrue="1">
      <formula>$H13="En analyse"</formula>
    </cfRule>
    <cfRule type="expression" dxfId="89" priority="11" stopIfTrue="1">
      <formula>$H13="En cours"</formula>
    </cfRule>
    <cfRule type="expression" dxfId="88" priority="12" stopIfTrue="1">
      <formula>$H13="NA"</formula>
    </cfRule>
  </conditionalFormatting>
  <conditionalFormatting sqref="E29">
    <cfRule type="expression" dxfId="87" priority="1" stopIfTrue="1">
      <formula>$H29="OK"</formula>
    </cfRule>
    <cfRule type="expression" dxfId="86" priority="2" stopIfTrue="1">
      <formula>$H29="NOK majeur"</formula>
    </cfRule>
    <cfRule type="expression" dxfId="85" priority="3" stopIfTrue="1">
      <formula>$H29="NOK mineur"</formula>
    </cfRule>
    <cfRule type="expression" dxfId="84" priority="4" stopIfTrue="1">
      <formula>$H29="En analyse"</formula>
    </cfRule>
    <cfRule type="expression" dxfId="83" priority="5" stopIfTrue="1">
      <formula>$H29="En cours"</formula>
    </cfRule>
    <cfRule type="expression" dxfId="82" priority="6" stopIfTrue="1">
      <formula>$H29="NA"</formula>
    </cfRule>
  </conditionalFormatting>
  <dataValidations count="3">
    <dataValidation type="list" allowBlank="1" showInputMessage="1" showErrorMessage="1" sqref="I84:J96 H11:H96" xr:uid="{00000000-0002-0000-0500-000000000000}">
      <formula1>"OK,NOK mineur,NOK majeur,En analyse,NA,En cours,"</formula1>
    </dataValidation>
    <dataValidation type="list" allowBlank="1" showInputMessage="1" showErrorMessage="1" sqref="K30" xr:uid="{00000000-0002-0000-0500-000001000000}">
      <formula1>"OK,NOK,En cours,En analyse,Essai refait,Essai non fait,Non applicable"</formula1>
    </dataValidation>
    <dataValidation type="list" allowBlank="1" showInputMessage="1" showErrorMessage="1" sqref="G11:G96" xr:uid="{00000000-0002-0000-0500-000002000000}">
      <formula1>"OK,NOK,en cours,NA"</formula1>
    </dataValidation>
  </dataValidations>
  <pageMargins left="0.7" right="0.7" top="0.75" bottom="0.75" header="0.3" footer="0.3"/>
  <pageSetup paperSize="9" scale="5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54B9-2503-46B8-9182-0661C407B3D1}">
  <sheetPr codeName="Feuil22">
    <tabColor theme="0" tint="-0.499984740745262"/>
  </sheetPr>
  <dimension ref="A1:AA105"/>
  <sheetViews>
    <sheetView zoomScaleNormal="100" zoomScaleSheetLayoutView="100" workbookViewId="0">
      <pane xSplit="1" ySplit="2" topLeftCell="B61" activePane="bottomRight" state="frozen"/>
      <selection pane="topRight" activeCell="B1" sqref="B1"/>
      <selection pane="bottomLeft" activeCell="A3" sqref="A3"/>
      <selection pane="bottomRight" activeCell="A67" sqref="A67:XFD67"/>
    </sheetView>
  </sheetViews>
  <sheetFormatPr baseColWidth="10" defaultRowHeight="15"/>
  <cols>
    <col min="2" max="2" width="16.5703125" style="141" customWidth="1"/>
    <col min="3" max="3" width="58.42578125" bestFit="1" customWidth="1"/>
    <col min="4" max="4" width="23.140625" style="320" customWidth="1"/>
    <col min="5" max="5" width="13.85546875" customWidth="1"/>
    <col min="6" max="6" width="12.140625" style="103" customWidth="1"/>
    <col min="8" max="9" width="12.140625" style="103" customWidth="1"/>
    <col min="12" max="12" width="60.140625" customWidth="1"/>
    <col min="13" max="13" width="50.140625" customWidth="1"/>
    <col min="14" max="14" width="14.140625" customWidth="1"/>
    <col min="15" max="15" width="46.28515625" customWidth="1"/>
    <col min="17" max="26" width="11.42578125" hidden="1" customWidth="1"/>
    <col min="27" max="27" width="10.42578125" hidden="1" customWidth="1"/>
  </cols>
  <sheetData>
    <row r="1" spans="1:27" ht="35.25" customHeight="1" thickBot="1">
      <c r="A1" s="210" t="s">
        <v>289</v>
      </c>
      <c r="B1" s="790" t="s">
        <v>290</v>
      </c>
      <c r="C1" s="210" t="s">
        <v>291</v>
      </c>
      <c r="D1" s="517" t="s">
        <v>250</v>
      </c>
      <c r="E1" s="517" t="s">
        <v>241</v>
      </c>
      <c r="F1" s="517" t="s">
        <v>204</v>
      </c>
      <c r="G1" s="790" t="s">
        <v>208</v>
      </c>
      <c r="H1" s="517" t="s">
        <v>242</v>
      </c>
      <c r="I1" s="517" t="s">
        <v>292</v>
      </c>
      <c r="J1" s="180" t="s">
        <v>293</v>
      </c>
      <c r="K1" s="180" t="s">
        <v>243</v>
      </c>
      <c r="L1" s="790" t="s">
        <v>294</v>
      </c>
      <c r="M1" s="517" t="s">
        <v>205</v>
      </c>
      <c r="N1" s="790" t="s">
        <v>244</v>
      </c>
      <c r="O1" s="790" t="s">
        <v>212</v>
      </c>
    </row>
    <row r="2" spans="1:27" ht="15.75" thickBot="1">
      <c r="A2" s="181" t="s">
        <v>203</v>
      </c>
      <c r="B2" s="791"/>
      <c r="C2" s="211"/>
      <c r="D2" s="518"/>
      <c r="E2" s="518"/>
      <c r="F2" s="518"/>
      <c r="G2" s="791"/>
      <c r="H2" s="518"/>
      <c r="I2" s="518"/>
      <c r="J2" s="518" t="s">
        <v>206</v>
      </c>
      <c r="K2" s="518" t="s">
        <v>207</v>
      </c>
      <c r="L2" s="791"/>
      <c r="M2" s="518"/>
      <c r="N2" s="791"/>
      <c r="O2" s="792"/>
    </row>
    <row r="3" spans="1:27" ht="47.25" thickBot="1">
      <c r="A3" s="45" t="s">
        <v>202</v>
      </c>
      <c r="B3" s="207"/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176"/>
    </row>
    <row r="4" spans="1:27">
      <c r="A4" s="810" t="s">
        <v>201</v>
      </c>
      <c r="B4" s="811"/>
      <c r="C4" s="519" t="s">
        <v>57</v>
      </c>
      <c r="D4" s="214"/>
      <c r="E4" s="214"/>
      <c r="F4" s="214"/>
      <c r="G4" s="214"/>
      <c r="H4" s="214"/>
      <c r="I4" s="215"/>
      <c r="J4" s="66">
        <f>SUM(AA50:AA98)</f>
        <v>0</v>
      </c>
      <c r="K4" s="67">
        <f>SUM(W12:W105)</f>
        <v>1</v>
      </c>
      <c r="L4" s="79"/>
      <c r="M4" s="520"/>
      <c r="N4" s="216"/>
      <c r="O4" s="177"/>
    </row>
    <row r="5" spans="1:27">
      <c r="A5" s="812"/>
      <c r="B5" s="813"/>
      <c r="C5" s="521" t="s">
        <v>296</v>
      </c>
      <c r="D5" s="522"/>
      <c r="E5" s="522"/>
      <c r="F5" s="522"/>
      <c r="G5" s="522"/>
      <c r="H5" s="522"/>
      <c r="I5" s="522"/>
      <c r="J5" s="30">
        <f>SUM(Z50:Z105)</f>
        <v>0</v>
      </c>
      <c r="K5" s="31">
        <f>SUM(V12:V105)</f>
        <v>1</v>
      </c>
      <c r="L5" s="217"/>
      <c r="M5" s="523"/>
      <c r="N5" s="218"/>
      <c r="O5" s="177"/>
    </row>
    <row r="6" spans="1:27">
      <c r="A6" s="812"/>
      <c r="B6" s="813"/>
      <c r="C6" s="524" t="s">
        <v>209</v>
      </c>
      <c r="D6" s="525"/>
      <c r="E6" s="525"/>
      <c r="F6" s="525"/>
      <c r="G6" s="525"/>
      <c r="H6" s="525"/>
      <c r="I6" s="525"/>
      <c r="J6" s="322" t="s">
        <v>59</v>
      </c>
      <c r="K6" s="33">
        <f>SUM(U12:U105)</f>
        <v>1</v>
      </c>
      <c r="L6" s="219"/>
      <c r="M6" s="526"/>
      <c r="N6" s="220"/>
      <c r="O6" s="177"/>
    </row>
    <row r="7" spans="1:27">
      <c r="A7" s="812"/>
      <c r="B7" s="813"/>
      <c r="C7" s="527" t="s">
        <v>210</v>
      </c>
      <c r="D7" s="528"/>
      <c r="E7" s="528"/>
      <c r="F7" s="528"/>
      <c r="G7" s="528"/>
      <c r="H7" s="528"/>
      <c r="I7" s="528"/>
      <c r="J7" s="322" t="s">
        <v>59</v>
      </c>
      <c r="K7" s="35">
        <f>SUM(T12:T105)</f>
        <v>1</v>
      </c>
      <c r="L7" s="221"/>
      <c r="M7" s="529"/>
      <c r="N7" s="222"/>
      <c r="O7" s="177"/>
    </row>
    <row r="8" spans="1:27">
      <c r="A8" s="812"/>
      <c r="B8" s="813"/>
      <c r="C8" s="228" t="s">
        <v>297</v>
      </c>
      <c r="D8" s="229"/>
      <c r="E8" s="229"/>
      <c r="F8" s="229"/>
      <c r="G8" s="229"/>
      <c r="H8" s="229"/>
      <c r="I8" s="229"/>
      <c r="J8" s="322" t="s">
        <v>59</v>
      </c>
      <c r="K8" s="230">
        <f>SUM(S12:S105)</f>
        <v>1</v>
      </c>
      <c r="L8" s="231"/>
      <c r="M8" s="232"/>
      <c r="N8" s="233"/>
      <c r="O8" s="177"/>
    </row>
    <row r="9" spans="1:27" ht="15.75" thickBot="1">
      <c r="A9" s="812"/>
      <c r="B9" s="813"/>
      <c r="C9" s="530" t="s">
        <v>59</v>
      </c>
      <c r="D9" s="531"/>
      <c r="E9" s="531"/>
      <c r="F9" s="531"/>
      <c r="G9" s="531"/>
      <c r="H9" s="531"/>
      <c r="I9" s="531"/>
      <c r="J9" s="36">
        <f>SUM(Y50:Y98)</f>
        <v>0</v>
      </c>
      <c r="K9" s="37">
        <f>SUM(R12:R105)</f>
        <v>1</v>
      </c>
      <c r="L9" s="223"/>
      <c r="M9" s="532"/>
      <c r="N9" s="224"/>
      <c r="O9" s="177"/>
    </row>
    <row r="10" spans="1:27" ht="15.75" thickBot="1">
      <c r="A10" s="812"/>
      <c r="B10" s="813"/>
      <c r="C10" s="212" t="s">
        <v>211</v>
      </c>
      <c r="D10" s="213"/>
      <c r="E10" s="213"/>
      <c r="F10" s="213"/>
      <c r="G10" s="213"/>
      <c r="H10" s="213"/>
      <c r="I10" s="213"/>
      <c r="J10" s="38">
        <f>SUM(X50:X98)</f>
        <v>0</v>
      </c>
      <c r="K10" s="39">
        <f>SUM(Q12:Q105)</f>
        <v>1</v>
      </c>
      <c r="L10" s="225"/>
      <c r="M10" s="226"/>
      <c r="N10" s="227"/>
      <c r="O10" s="177"/>
      <c r="Q10" s="797" t="s">
        <v>214</v>
      </c>
      <c r="R10" s="798"/>
      <c r="S10" s="798"/>
      <c r="T10" s="798"/>
      <c r="U10" s="798"/>
      <c r="V10" s="798"/>
      <c r="W10" s="799"/>
      <c r="X10" s="797" t="s">
        <v>206</v>
      </c>
      <c r="Y10" s="798"/>
      <c r="Z10" s="798"/>
      <c r="AA10" s="800"/>
    </row>
    <row r="11" spans="1:27">
      <c r="A11" s="812"/>
      <c r="B11" s="813"/>
      <c r="C11" s="236" t="s">
        <v>66</v>
      </c>
      <c r="D11" s="209"/>
      <c r="E11" s="209"/>
      <c r="F11" s="209"/>
      <c r="G11" s="209"/>
      <c r="H11" s="209"/>
      <c r="I11" s="209"/>
      <c r="J11" s="174">
        <f>SUM(J4:J10)</f>
        <v>0</v>
      </c>
      <c r="K11" s="175">
        <f>SUM(K4:K10)</f>
        <v>7</v>
      </c>
      <c r="L11" s="241"/>
      <c r="M11" s="242"/>
      <c r="N11" s="243"/>
      <c r="O11" s="177"/>
      <c r="Q11" s="3" t="s">
        <v>211</v>
      </c>
      <c r="R11" s="4" t="s">
        <v>59</v>
      </c>
      <c r="S11" s="4" t="s">
        <v>297</v>
      </c>
      <c r="T11" s="4" t="s">
        <v>210</v>
      </c>
      <c r="U11" s="4" t="s">
        <v>213</v>
      </c>
      <c r="V11" s="4" t="s">
        <v>296</v>
      </c>
      <c r="W11" s="5" t="s">
        <v>62</v>
      </c>
      <c r="X11" s="3" t="s">
        <v>211</v>
      </c>
      <c r="Y11" s="4" t="s">
        <v>59</v>
      </c>
      <c r="Z11" s="4" t="s">
        <v>63</v>
      </c>
      <c r="AA11" s="6" t="s">
        <v>62</v>
      </c>
    </row>
    <row r="12" spans="1:27" s="2" customFormat="1" ht="15.75" customHeight="1">
      <c r="A12" s="321"/>
      <c r="B12" s="814" t="s">
        <v>449</v>
      </c>
      <c r="C12" s="814"/>
      <c r="D12" s="814"/>
      <c r="E12" s="814"/>
      <c r="F12" s="814"/>
      <c r="G12" s="814"/>
      <c r="H12" s="814"/>
      <c r="I12" s="814"/>
      <c r="J12" s="814"/>
      <c r="K12" s="814"/>
      <c r="L12" s="814"/>
      <c r="M12" s="814"/>
      <c r="N12" s="814"/>
      <c r="O12" s="815"/>
      <c r="P12"/>
      <c r="Q12" s="9">
        <f>IF(K12="On going",1,0)</f>
        <v>0</v>
      </c>
      <c r="R12" s="10">
        <f>IF(K12="NA",1,0)</f>
        <v>0</v>
      </c>
      <c r="S12" s="10">
        <f>IF(K12="Deviation",1,0)</f>
        <v>0</v>
      </c>
      <c r="T12" s="1">
        <f>IF(K12="In analysis",1,0)</f>
        <v>0</v>
      </c>
      <c r="U12" s="1">
        <f>IF(K12="NOK minor",1,0)</f>
        <v>0</v>
      </c>
      <c r="V12" s="1">
        <f>IF(K12="NOK major",1,0)</f>
        <v>0</v>
      </c>
      <c r="W12" s="7">
        <f>IF(K12="OK",1,0)</f>
        <v>0</v>
      </c>
      <c r="X12" s="9">
        <f>IF($J12="On going",1,0)</f>
        <v>0</v>
      </c>
      <c r="Y12" s="10">
        <f>IF($J12="NA",1,0)</f>
        <v>0</v>
      </c>
      <c r="Z12" s="1">
        <f>IF($J12="NOK",1,0)</f>
        <v>0</v>
      </c>
      <c r="AA12" s="8">
        <f>IF($J12="OK",1,0)</f>
        <v>0</v>
      </c>
    </row>
    <row r="13" spans="1:27" s="2" customFormat="1">
      <c r="A13" s="321"/>
      <c r="B13" s="240" t="str">
        <f>'RFQ response'!C8</f>
        <v>C_ET_01_V</v>
      </c>
      <c r="C13" s="237" t="str">
        <f>'RFQ response'!E8</f>
        <v>Resistance to usual power supply voltages</v>
      </c>
      <c r="D13" s="74" t="str">
        <f>'RFQ response'!D8</f>
        <v>REQ-0945093</v>
      </c>
      <c r="E13" s="238" t="str">
        <f>'RFQ response'!L8</f>
        <v>OK</v>
      </c>
      <c r="F13" s="75"/>
      <c r="G13" s="74"/>
      <c r="H13" s="74"/>
      <c r="I13" s="95"/>
      <c r="J13" s="75" t="s">
        <v>57</v>
      </c>
      <c r="K13" s="74" t="s">
        <v>57</v>
      </c>
      <c r="L13" s="74"/>
      <c r="M13" s="173"/>
      <c r="N13" s="239"/>
      <c r="O13" s="239"/>
      <c r="P13"/>
      <c r="Q13" s="9">
        <f t="shared" ref="Q13:Q16" si="0">IF(K13="On going",1,0)</f>
        <v>0</v>
      </c>
      <c r="R13" s="10">
        <f t="shared" ref="R13:R16" si="1">IF(K13="NA",1,0)</f>
        <v>0</v>
      </c>
      <c r="S13" s="10">
        <f t="shared" ref="S13:S16" si="2">IF(K13="Deviation",1,0)</f>
        <v>0</v>
      </c>
      <c r="T13" s="1">
        <f t="shared" ref="T13:T16" si="3">IF(K13="In analysis",1,0)</f>
        <v>0</v>
      </c>
      <c r="U13" s="1">
        <f t="shared" ref="U13:U16" si="4">IF(K13="NOK minor",1,0)</f>
        <v>0</v>
      </c>
      <c r="V13" s="1">
        <f t="shared" ref="V13:V16" si="5">IF(K13="NOK major",1,0)</f>
        <v>0</v>
      </c>
      <c r="W13" s="7">
        <f t="shared" ref="W13:W16" si="6">IF(K13="OK",1,0)</f>
        <v>1</v>
      </c>
      <c r="X13" s="9">
        <f t="shared" ref="X13:X16" si="7">IF($J13="On going",1,0)</f>
        <v>0</v>
      </c>
      <c r="Y13" s="10">
        <f t="shared" ref="Y13:Y16" si="8">IF($J13="NA",1,0)</f>
        <v>0</v>
      </c>
      <c r="Z13" s="1">
        <f t="shared" ref="Z13:Z16" si="9">IF($J13="NOK",1,0)</f>
        <v>0</v>
      </c>
      <c r="AA13" s="8">
        <f t="shared" ref="AA13:AA16" si="10">IF($J13="OK",1,0)</f>
        <v>1</v>
      </c>
    </row>
    <row r="14" spans="1:27" s="2" customFormat="1">
      <c r="A14" s="321"/>
      <c r="B14" s="240" t="str">
        <f>'RFQ response'!C9</f>
        <v>C_ET_02_V</v>
      </c>
      <c r="C14" s="237" t="str">
        <f>'RFQ response'!E9</f>
        <v xml:space="preserve">Resistance to exceptional supply voltage </v>
      </c>
      <c r="D14" s="74" t="str">
        <f>'RFQ response'!D9</f>
        <v>REQ-0945094</v>
      </c>
      <c r="E14" s="238" t="str">
        <f>'RFQ response'!L9</f>
        <v>OK</v>
      </c>
      <c r="F14" s="75"/>
      <c r="G14" s="74"/>
      <c r="H14" s="74"/>
      <c r="I14" s="95"/>
      <c r="J14" s="75" t="s">
        <v>63</v>
      </c>
      <c r="K14" s="74" t="s">
        <v>296</v>
      </c>
      <c r="L14" s="74"/>
      <c r="M14" s="173"/>
      <c r="N14" s="239"/>
      <c r="O14" s="239"/>
      <c r="P14"/>
      <c r="Q14" s="9">
        <f t="shared" si="0"/>
        <v>0</v>
      </c>
      <c r="R14" s="10">
        <f t="shared" si="1"/>
        <v>0</v>
      </c>
      <c r="S14" s="10">
        <f t="shared" si="2"/>
        <v>0</v>
      </c>
      <c r="T14" s="1">
        <f t="shared" si="3"/>
        <v>0</v>
      </c>
      <c r="U14" s="1">
        <f t="shared" si="4"/>
        <v>0</v>
      </c>
      <c r="V14" s="1">
        <f t="shared" si="5"/>
        <v>1</v>
      </c>
      <c r="W14" s="7">
        <f t="shared" si="6"/>
        <v>0</v>
      </c>
      <c r="X14" s="9">
        <f t="shared" si="7"/>
        <v>0</v>
      </c>
      <c r="Y14" s="10">
        <f t="shared" si="8"/>
        <v>0</v>
      </c>
      <c r="Z14" s="1">
        <f t="shared" si="9"/>
        <v>1</v>
      </c>
      <c r="AA14" s="8">
        <f t="shared" si="10"/>
        <v>0</v>
      </c>
    </row>
    <row r="15" spans="1:27" s="2" customFormat="1" ht="22.5">
      <c r="A15" s="321"/>
      <c r="B15" s="240" t="str">
        <f>'RFQ response'!C10</f>
        <v>C_ET_03_V</v>
      </c>
      <c r="C15" s="237" t="str">
        <f>'RFQ response'!E10</f>
        <v>Resistance to unusual power supply voltages (U=24V)
Resistance to unusual power supply voltages (U=-14V)</v>
      </c>
      <c r="D15" s="74" t="str">
        <f>'RFQ response'!D10</f>
        <v>REQ-0945095
REQ-0945096</v>
      </c>
      <c r="E15" s="238" t="str">
        <f>'RFQ response'!L10</f>
        <v>OK</v>
      </c>
      <c r="F15" s="75"/>
      <c r="G15" s="74"/>
      <c r="H15" s="74"/>
      <c r="I15" s="95"/>
      <c r="J15" s="75" t="s">
        <v>59</v>
      </c>
      <c r="K15" s="74" t="s">
        <v>297</v>
      </c>
      <c r="L15" s="74"/>
      <c r="M15" s="173"/>
      <c r="N15" s="239"/>
      <c r="O15" s="239"/>
      <c r="P15"/>
      <c r="Q15" s="9">
        <f t="shared" si="0"/>
        <v>0</v>
      </c>
      <c r="R15" s="10">
        <f t="shared" si="1"/>
        <v>0</v>
      </c>
      <c r="S15" s="10">
        <f t="shared" si="2"/>
        <v>1</v>
      </c>
      <c r="T15" s="1">
        <f t="shared" si="3"/>
        <v>0</v>
      </c>
      <c r="U15" s="1">
        <f t="shared" si="4"/>
        <v>0</v>
      </c>
      <c r="V15" s="1">
        <f t="shared" si="5"/>
        <v>0</v>
      </c>
      <c r="W15" s="7">
        <f t="shared" si="6"/>
        <v>0</v>
      </c>
      <c r="X15" s="9">
        <f t="shared" si="7"/>
        <v>0</v>
      </c>
      <c r="Y15" s="10">
        <f t="shared" si="8"/>
        <v>1</v>
      </c>
      <c r="Z15" s="1">
        <f t="shared" si="9"/>
        <v>0</v>
      </c>
      <c r="AA15" s="8">
        <f t="shared" si="10"/>
        <v>0</v>
      </c>
    </row>
    <row r="16" spans="1:27" s="2" customFormat="1">
      <c r="A16" s="321"/>
      <c r="B16" s="240" t="str">
        <f>'RFQ response'!C11</f>
        <v>C_ET_04_V</v>
      </c>
      <c r="C16" s="237" t="str">
        <f>'RFQ response'!E11</f>
        <v xml:space="preserve">Resistance to slow decrease and increase of supply voltage </v>
      </c>
      <c r="D16" s="74" t="str">
        <f>'RFQ response'!D11</f>
        <v>REQ-0945097</v>
      </c>
      <c r="E16" s="238" t="str">
        <f>'RFQ response'!L11</f>
        <v>OK</v>
      </c>
      <c r="F16" s="75"/>
      <c r="G16" s="74"/>
      <c r="H16" s="74"/>
      <c r="I16" s="95"/>
      <c r="J16" s="75" t="s">
        <v>211</v>
      </c>
      <c r="K16" s="74" t="s">
        <v>209</v>
      </c>
      <c r="L16" s="74"/>
      <c r="M16" s="173"/>
      <c r="N16" s="239"/>
      <c r="O16" s="239"/>
      <c r="P16"/>
      <c r="Q16" s="9">
        <f t="shared" si="0"/>
        <v>0</v>
      </c>
      <c r="R16" s="10">
        <f t="shared" si="1"/>
        <v>0</v>
      </c>
      <c r="S16" s="10">
        <f t="shared" si="2"/>
        <v>0</v>
      </c>
      <c r="T16" s="1">
        <f t="shared" si="3"/>
        <v>0</v>
      </c>
      <c r="U16" s="1">
        <f t="shared" si="4"/>
        <v>1</v>
      </c>
      <c r="V16" s="1">
        <f t="shared" si="5"/>
        <v>0</v>
      </c>
      <c r="W16" s="7">
        <f t="shared" si="6"/>
        <v>0</v>
      </c>
      <c r="X16" s="9">
        <f t="shared" si="7"/>
        <v>1</v>
      </c>
      <c r="Y16" s="10">
        <f t="shared" si="8"/>
        <v>0</v>
      </c>
      <c r="Z16" s="1">
        <f t="shared" si="9"/>
        <v>0</v>
      </c>
      <c r="AA16" s="8">
        <f t="shared" si="10"/>
        <v>0</v>
      </c>
    </row>
    <row r="17" spans="1:27" s="2" customFormat="1">
      <c r="A17" s="321"/>
      <c r="B17" s="240" t="str">
        <f>'RFQ response'!C12</f>
        <v>C_ET_05_V</v>
      </c>
      <c r="C17" s="237" t="str">
        <f>'RFQ response'!E12</f>
        <v>Reset behavior at voltage drop</v>
      </c>
      <c r="D17" s="74" t="str">
        <f>'RFQ response'!D12</f>
        <v>REQ-0945098</v>
      </c>
      <c r="E17" s="238" t="str">
        <f>'RFQ response'!L12</f>
        <v>OK</v>
      </c>
      <c r="F17" s="75"/>
      <c r="G17" s="74"/>
      <c r="H17" s="74"/>
      <c r="I17" s="95"/>
      <c r="J17" s="75"/>
      <c r="K17" s="74" t="s">
        <v>210</v>
      </c>
      <c r="L17" s="74"/>
      <c r="M17" s="173"/>
      <c r="N17" s="239"/>
      <c r="O17" s="239"/>
      <c r="P17"/>
      <c r="Q17" s="9">
        <f t="shared" ref="Q17:Q32" si="11">IF(K17="On going",1,0)</f>
        <v>0</v>
      </c>
      <c r="R17" s="10">
        <f t="shared" ref="R17:R32" si="12">IF(K17="NA",1,0)</f>
        <v>0</v>
      </c>
      <c r="S17" s="10">
        <f t="shared" ref="S17:S32" si="13">IF(K17="Deviation",1,0)</f>
        <v>0</v>
      </c>
      <c r="T17" s="1">
        <f t="shared" ref="T17:T32" si="14">IF(K17="In analysis",1,0)</f>
        <v>1</v>
      </c>
      <c r="U17" s="1">
        <f t="shared" ref="U17:U32" si="15">IF(K17="NOK minor",1,0)</f>
        <v>0</v>
      </c>
      <c r="V17" s="1">
        <f t="shared" ref="V17:V32" si="16">IF(K17="NOK major",1,0)</f>
        <v>0</v>
      </c>
      <c r="W17" s="7">
        <f t="shared" ref="W17:W32" si="17">IF(K17="OK",1,0)</f>
        <v>0</v>
      </c>
      <c r="X17" s="9">
        <f t="shared" ref="X17:X32" si="18">IF($J17="On going",1,0)</f>
        <v>0</v>
      </c>
      <c r="Y17" s="10">
        <f t="shared" ref="Y17:Y32" si="19">IF($J17="NA",1,0)</f>
        <v>0</v>
      </c>
      <c r="Z17" s="1">
        <f t="shared" ref="Z17:Z32" si="20">IF($J17="NOK",1,0)</f>
        <v>0</v>
      </c>
      <c r="AA17" s="8">
        <f t="shared" ref="AA17:AA32" si="21">IF($J17="OK",1,0)</f>
        <v>0</v>
      </c>
    </row>
    <row r="18" spans="1:27" s="2" customFormat="1">
      <c r="A18" s="321"/>
      <c r="B18" s="240" t="str">
        <f>'RFQ response'!C13</f>
        <v>C_ET_06_V</v>
      </c>
      <c r="C18" s="237" t="str">
        <f>'RFQ response'!E13</f>
        <v>Supply voltage drop out</v>
      </c>
      <c r="D18" s="74" t="str">
        <f>'RFQ response'!D13</f>
        <v>REQ-0945099</v>
      </c>
      <c r="E18" s="238" t="str">
        <f>'RFQ response'!L13</f>
        <v>OK</v>
      </c>
      <c r="F18" s="75"/>
      <c r="G18" s="74"/>
      <c r="H18" s="74"/>
      <c r="I18" s="95"/>
      <c r="J18" s="75"/>
      <c r="K18" s="74" t="s">
        <v>59</v>
      </c>
      <c r="L18" s="74"/>
      <c r="M18" s="173"/>
      <c r="N18" s="239"/>
      <c r="O18" s="239"/>
      <c r="P18"/>
      <c r="Q18" s="9">
        <f t="shared" si="11"/>
        <v>0</v>
      </c>
      <c r="R18" s="10">
        <f t="shared" si="12"/>
        <v>1</v>
      </c>
      <c r="S18" s="10">
        <f t="shared" si="13"/>
        <v>0</v>
      </c>
      <c r="T18" s="1">
        <f t="shared" si="14"/>
        <v>0</v>
      </c>
      <c r="U18" s="1">
        <f t="shared" si="15"/>
        <v>0</v>
      </c>
      <c r="V18" s="1">
        <f t="shared" si="16"/>
        <v>0</v>
      </c>
      <c r="W18" s="7">
        <f t="shared" si="17"/>
        <v>0</v>
      </c>
      <c r="X18" s="9">
        <f t="shared" si="18"/>
        <v>0</v>
      </c>
      <c r="Y18" s="10">
        <f t="shared" si="19"/>
        <v>0</v>
      </c>
      <c r="Z18" s="1">
        <f t="shared" si="20"/>
        <v>0</v>
      </c>
      <c r="AA18" s="8">
        <f t="shared" si="21"/>
        <v>0</v>
      </c>
    </row>
    <row r="19" spans="1:27" s="2" customFormat="1">
      <c r="A19" s="321"/>
      <c r="B19" s="240" t="str">
        <f>'RFQ response'!C14</f>
        <v>C_ET_07_V</v>
      </c>
      <c r="C19" s="237" t="str">
        <f>'RFQ response'!E14</f>
        <v>Supply voltage dips</v>
      </c>
      <c r="D19" s="74" t="str">
        <f>'RFQ response'!D14</f>
        <v>REQ-0945100</v>
      </c>
      <c r="E19" s="238" t="str">
        <f>'RFQ response'!L14</f>
        <v>OK</v>
      </c>
      <c r="F19" s="75"/>
      <c r="G19" s="74"/>
      <c r="H19" s="74"/>
      <c r="I19" s="95"/>
      <c r="J19" s="75"/>
      <c r="K19" s="74" t="s">
        <v>211</v>
      </c>
      <c r="L19" s="74"/>
      <c r="M19" s="173"/>
      <c r="N19" s="239"/>
      <c r="O19" s="239"/>
      <c r="P19"/>
      <c r="Q19" s="9">
        <f t="shared" si="11"/>
        <v>1</v>
      </c>
      <c r="R19" s="10">
        <f t="shared" si="12"/>
        <v>0</v>
      </c>
      <c r="S19" s="10">
        <f t="shared" si="13"/>
        <v>0</v>
      </c>
      <c r="T19" s="1">
        <f t="shared" si="14"/>
        <v>0</v>
      </c>
      <c r="U19" s="1">
        <f t="shared" si="15"/>
        <v>0</v>
      </c>
      <c r="V19" s="1">
        <f t="shared" si="16"/>
        <v>0</v>
      </c>
      <c r="W19" s="7">
        <f t="shared" si="17"/>
        <v>0</v>
      </c>
      <c r="X19" s="9">
        <f t="shared" si="18"/>
        <v>0</v>
      </c>
      <c r="Y19" s="10">
        <f t="shared" si="19"/>
        <v>0</v>
      </c>
      <c r="Z19" s="1">
        <f t="shared" si="20"/>
        <v>0</v>
      </c>
      <c r="AA19" s="8">
        <f t="shared" si="21"/>
        <v>0</v>
      </c>
    </row>
    <row r="20" spans="1:27" s="2" customFormat="1">
      <c r="A20" s="321"/>
      <c r="B20" s="240" t="str">
        <f>'RFQ response'!C15</f>
        <v>C_ET_08_V</v>
      </c>
      <c r="C20" s="237" t="str">
        <f>'RFQ response'!E15</f>
        <v>Supply voltage ripple</v>
      </c>
      <c r="D20" s="74" t="str">
        <f>'RFQ response'!D15</f>
        <v>REQ-0945101</v>
      </c>
      <c r="E20" s="238" t="str">
        <f>'RFQ response'!L15</f>
        <v>OK</v>
      </c>
      <c r="F20" s="75"/>
      <c r="G20" s="74"/>
      <c r="H20" s="74"/>
      <c r="I20" s="95"/>
      <c r="J20" s="75"/>
      <c r="K20" s="74"/>
      <c r="L20" s="74"/>
      <c r="M20" s="173"/>
      <c r="N20" s="239"/>
      <c r="O20" s="239"/>
      <c r="P20"/>
      <c r="Q20" s="9">
        <f t="shared" si="11"/>
        <v>0</v>
      </c>
      <c r="R20" s="10">
        <f t="shared" si="12"/>
        <v>0</v>
      </c>
      <c r="S20" s="10">
        <f t="shared" si="13"/>
        <v>0</v>
      </c>
      <c r="T20" s="1">
        <f t="shared" si="14"/>
        <v>0</v>
      </c>
      <c r="U20" s="1">
        <f t="shared" si="15"/>
        <v>0</v>
      </c>
      <c r="V20" s="1">
        <f t="shared" si="16"/>
        <v>0</v>
      </c>
      <c r="W20" s="7">
        <f t="shared" si="17"/>
        <v>0</v>
      </c>
      <c r="X20" s="9">
        <f t="shared" si="18"/>
        <v>0</v>
      </c>
      <c r="Y20" s="10">
        <f t="shared" si="19"/>
        <v>0</v>
      </c>
      <c r="Z20" s="1">
        <f t="shared" si="20"/>
        <v>0</v>
      </c>
      <c r="AA20" s="8">
        <f t="shared" si="21"/>
        <v>0</v>
      </c>
    </row>
    <row r="21" spans="1:27" s="2" customFormat="1">
      <c r="A21" s="321"/>
      <c r="B21" s="240" t="str">
        <f>'RFQ response'!C16</f>
        <v>C_ET_09_V</v>
      </c>
      <c r="C21" s="237" t="str">
        <f>'RFQ response'!E16</f>
        <v>Resistance to the “Volt Control” voltage pulse</v>
      </c>
      <c r="D21" s="74" t="str">
        <f>'RFQ response'!D16</f>
        <v>REQ-0945102</v>
      </c>
      <c r="E21" s="238" t="str">
        <f>'RFQ response'!L16</f>
        <v>OK</v>
      </c>
      <c r="F21" s="75"/>
      <c r="G21" s="74"/>
      <c r="H21" s="74"/>
      <c r="I21" s="95"/>
      <c r="J21" s="75"/>
      <c r="K21" s="74"/>
      <c r="L21" s="74"/>
      <c r="M21" s="173"/>
      <c r="N21" s="239"/>
      <c r="O21" s="239"/>
      <c r="P21"/>
      <c r="Q21" s="9">
        <f t="shared" si="11"/>
        <v>0</v>
      </c>
      <c r="R21" s="10">
        <f t="shared" si="12"/>
        <v>0</v>
      </c>
      <c r="S21" s="10">
        <f t="shared" si="13"/>
        <v>0</v>
      </c>
      <c r="T21" s="1">
        <f t="shared" si="14"/>
        <v>0</v>
      </c>
      <c r="U21" s="1">
        <f t="shared" si="15"/>
        <v>0</v>
      </c>
      <c r="V21" s="1">
        <f t="shared" si="16"/>
        <v>0</v>
      </c>
      <c r="W21" s="7">
        <f t="shared" si="17"/>
        <v>0</v>
      </c>
      <c r="X21" s="9">
        <f t="shared" si="18"/>
        <v>0</v>
      </c>
      <c r="Y21" s="10">
        <f t="shared" si="19"/>
        <v>0</v>
      </c>
      <c r="Z21" s="1">
        <f t="shared" si="20"/>
        <v>0</v>
      </c>
      <c r="AA21" s="8">
        <f t="shared" si="21"/>
        <v>0</v>
      </c>
    </row>
    <row r="22" spans="1:27" s="2" customFormat="1">
      <c r="A22" s="321"/>
      <c r="B22" s="240" t="str">
        <f>'RFQ response'!C17</f>
        <v>C_ET_10_V</v>
      </c>
      <c r="C22" s="237" t="str">
        <f>'RFQ response'!E17</f>
        <v>Ignition off draw (IOD)</v>
      </c>
      <c r="D22" s="74" t="str">
        <f>'RFQ response'!D17</f>
        <v>REQ-0945103</v>
      </c>
      <c r="E22" s="238" t="str">
        <f>'RFQ response'!L17</f>
        <v>OK</v>
      </c>
      <c r="F22" s="75"/>
      <c r="G22" s="74"/>
      <c r="H22" s="74"/>
      <c r="I22" s="95"/>
      <c r="J22" s="75"/>
      <c r="K22" s="74"/>
      <c r="L22" s="74"/>
      <c r="M22" s="173"/>
      <c r="N22" s="239"/>
      <c r="O22" s="239"/>
      <c r="P22"/>
      <c r="Q22" s="9">
        <f t="shared" si="11"/>
        <v>0</v>
      </c>
      <c r="R22" s="10">
        <f t="shared" si="12"/>
        <v>0</v>
      </c>
      <c r="S22" s="10">
        <f t="shared" si="13"/>
        <v>0</v>
      </c>
      <c r="T22" s="1">
        <f t="shared" si="14"/>
        <v>0</v>
      </c>
      <c r="U22" s="1">
        <f t="shared" si="15"/>
        <v>0</v>
      </c>
      <c r="V22" s="1">
        <f t="shared" si="16"/>
        <v>0</v>
      </c>
      <c r="W22" s="7">
        <f t="shared" si="17"/>
        <v>0</v>
      </c>
      <c r="X22" s="9">
        <f t="shared" si="18"/>
        <v>0</v>
      </c>
      <c r="Y22" s="10">
        <f t="shared" si="19"/>
        <v>0</v>
      </c>
      <c r="Z22" s="1">
        <f t="shared" si="20"/>
        <v>0</v>
      </c>
      <c r="AA22" s="8">
        <f t="shared" si="21"/>
        <v>0</v>
      </c>
    </row>
    <row r="23" spans="1:27" s="2" customFormat="1">
      <c r="A23" s="321"/>
      <c r="B23" s="240" t="str">
        <f>'RFQ response'!C18</f>
        <v>C_ET_11_V</v>
      </c>
      <c r="C23" s="237" t="str">
        <f>'RFQ response'!E18</f>
        <v>Immunity to potential difference between power supply</v>
      </c>
      <c r="D23" s="74" t="str">
        <f>'RFQ response'!D18</f>
        <v xml:space="preserve"> -</v>
      </c>
      <c r="E23" s="238" t="str">
        <f>'RFQ response'!L18</f>
        <v>NA</v>
      </c>
      <c r="F23" s="75"/>
      <c r="G23" s="74"/>
      <c r="H23" s="74"/>
      <c r="I23" s="95"/>
      <c r="J23" s="75"/>
      <c r="K23" s="74"/>
      <c r="L23" s="74"/>
      <c r="M23" s="173"/>
      <c r="N23" s="239"/>
      <c r="O23" s="239"/>
      <c r="P23"/>
      <c r="Q23" s="9">
        <f t="shared" si="11"/>
        <v>0</v>
      </c>
      <c r="R23" s="10">
        <f t="shared" si="12"/>
        <v>0</v>
      </c>
      <c r="S23" s="10">
        <f t="shared" si="13"/>
        <v>0</v>
      </c>
      <c r="T23" s="1">
        <f t="shared" si="14"/>
        <v>0</v>
      </c>
      <c r="U23" s="1">
        <f t="shared" si="15"/>
        <v>0</v>
      </c>
      <c r="V23" s="1">
        <f t="shared" si="16"/>
        <v>0</v>
      </c>
      <c r="W23" s="7">
        <f t="shared" si="17"/>
        <v>0</v>
      </c>
      <c r="X23" s="9">
        <f t="shared" si="18"/>
        <v>0</v>
      </c>
      <c r="Y23" s="10">
        <f t="shared" si="19"/>
        <v>0</v>
      </c>
      <c r="Z23" s="1">
        <f t="shared" si="20"/>
        <v>0</v>
      </c>
      <c r="AA23" s="8">
        <f t="shared" si="21"/>
        <v>0</v>
      </c>
    </row>
    <row r="24" spans="1:27" s="2" customFormat="1">
      <c r="A24" s="321"/>
      <c r="B24" s="240" t="str">
        <f>'RFQ response'!C19</f>
        <v>C_ET_12_V</v>
      </c>
      <c r="C24" s="237" t="str">
        <f>'RFQ response'!E19</f>
        <v>Immunity to ground and supply voltage short circuit</v>
      </c>
      <c r="D24" s="74" t="str">
        <f>'RFQ response'!D19</f>
        <v>REQ-0945105</v>
      </c>
      <c r="E24" s="238" t="str">
        <f>'RFQ response'!L19</f>
        <v>OK</v>
      </c>
      <c r="F24" s="75"/>
      <c r="G24" s="74"/>
      <c r="H24" s="74"/>
      <c r="I24" s="95"/>
      <c r="J24" s="75"/>
      <c r="K24" s="74"/>
      <c r="L24" s="74"/>
      <c r="M24" s="173"/>
      <c r="N24" s="239"/>
      <c r="O24" s="239"/>
      <c r="P24"/>
      <c r="Q24" s="9">
        <f t="shared" si="11"/>
        <v>0</v>
      </c>
      <c r="R24" s="10">
        <f t="shared" si="12"/>
        <v>0</v>
      </c>
      <c r="S24" s="10">
        <f t="shared" si="13"/>
        <v>0</v>
      </c>
      <c r="T24" s="1">
        <f t="shared" si="14"/>
        <v>0</v>
      </c>
      <c r="U24" s="1">
        <f t="shared" si="15"/>
        <v>0</v>
      </c>
      <c r="V24" s="1">
        <f t="shared" si="16"/>
        <v>0</v>
      </c>
      <c r="W24" s="7">
        <f t="shared" si="17"/>
        <v>0</v>
      </c>
      <c r="X24" s="9">
        <f t="shared" si="18"/>
        <v>0</v>
      </c>
      <c r="Y24" s="10">
        <f t="shared" si="19"/>
        <v>0</v>
      </c>
      <c r="Z24" s="1">
        <f t="shared" si="20"/>
        <v>0</v>
      </c>
      <c r="AA24" s="8">
        <f t="shared" si="21"/>
        <v>0</v>
      </c>
    </row>
    <row r="25" spans="1:27" s="2" customFormat="1">
      <c r="A25" s="321"/>
      <c r="B25" s="240" t="str">
        <f>'RFQ response'!C20</f>
        <v>C_TE_01_V</v>
      </c>
      <c r="C25" s="237" t="str">
        <f>'RFQ response'!E20</f>
        <v>Conducted transient emission</v>
      </c>
      <c r="D25" s="74" t="str">
        <f>'RFQ response'!D20</f>
        <v xml:space="preserve"> -</v>
      </c>
      <c r="E25" s="238" t="str">
        <f>'RFQ response'!L20</f>
        <v>NA</v>
      </c>
      <c r="F25" s="75"/>
      <c r="G25" s="74"/>
      <c r="H25" s="74"/>
      <c r="I25" s="95"/>
      <c r="J25" s="75"/>
      <c r="K25" s="74"/>
      <c r="L25" s="74"/>
      <c r="M25" s="173"/>
      <c r="N25" s="239"/>
      <c r="O25" s="239"/>
      <c r="P25"/>
      <c r="Q25" s="9">
        <f t="shared" si="11"/>
        <v>0</v>
      </c>
      <c r="R25" s="10">
        <f t="shared" si="12"/>
        <v>0</v>
      </c>
      <c r="S25" s="10">
        <f t="shared" si="13"/>
        <v>0</v>
      </c>
      <c r="T25" s="1">
        <f t="shared" si="14"/>
        <v>0</v>
      </c>
      <c r="U25" s="1">
        <f t="shared" si="15"/>
        <v>0</v>
      </c>
      <c r="V25" s="1">
        <f t="shared" si="16"/>
        <v>0</v>
      </c>
      <c r="W25" s="7">
        <f t="shared" si="17"/>
        <v>0</v>
      </c>
      <c r="X25" s="9">
        <f t="shared" si="18"/>
        <v>0</v>
      </c>
      <c r="Y25" s="10">
        <f t="shared" si="19"/>
        <v>0</v>
      </c>
      <c r="Z25" s="1">
        <f t="shared" si="20"/>
        <v>0</v>
      </c>
      <c r="AA25" s="8">
        <f t="shared" si="21"/>
        <v>0</v>
      </c>
    </row>
    <row r="26" spans="1:27" s="2" customFormat="1">
      <c r="A26" s="321"/>
      <c r="B26" s="240" t="str">
        <f>'RFQ response'!C21</f>
        <v>C_TI_01_V</v>
      </c>
      <c r="C26" s="237" t="str">
        <f>'RFQ response'!E21</f>
        <v xml:space="preserve">Transient pulses - Pulses 1 and 2a </v>
      </c>
      <c r="D26" s="74" t="str">
        <f>'RFQ response'!D21</f>
        <v>REQ-0945106</v>
      </c>
      <c r="E26" s="238" t="str">
        <f>'RFQ response'!L21</f>
        <v>OK</v>
      </c>
      <c r="F26" s="75"/>
      <c r="G26" s="74"/>
      <c r="H26" s="74"/>
      <c r="I26" s="95"/>
      <c r="J26" s="75"/>
      <c r="K26" s="74"/>
      <c r="L26" s="74"/>
      <c r="M26" s="173"/>
      <c r="N26" s="239"/>
      <c r="O26" s="239"/>
      <c r="P26"/>
      <c r="Q26" s="9">
        <f t="shared" si="11"/>
        <v>0</v>
      </c>
      <c r="R26" s="10">
        <f t="shared" si="12"/>
        <v>0</v>
      </c>
      <c r="S26" s="10">
        <f t="shared" si="13"/>
        <v>0</v>
      </c>
      <c r="T26" s="1">
        <f t="shared" si="14"/>
        <v>0</v>
      </c>
      <c r="U26" s="1">
        <f t="shared" si="15"/>
        <v>0</v>
      </c>
      <c r="V26" s="1">
        <f t="shared" si="16"/>
        <v>0</v>
      </c>
      <c r="W26" s="7">
        <f t="shared" si="17"/>
        <v>0</v>
      </c>
      <c r="X26" s="9">
        <f t="shared" si="18"/>
        <v>0</v>
      </c>
      <c r="Y26" s="10">
        <f t="shared" si="19"/>
        <v>0</v>
      </c>
      <c r="Z26" s="1">
        <f t="shared" si="20"/>
        <v>0</v>
      </c>
      <c r="AA26" s="8">
        <f t="shared" si="21"/>
        <v>0</v>
      </c>
    </row>
    <row r="27" spans="1:27" s="2" customFormat="1">
      <c r="A27" s="321"/>
      <c r="B27" s="240" t="str">
        <f>'RFQ response'!C22</f>
        <v>C_TI_02_V</v>
      </c>
      <c r="C27" s="237" t="str">
        <f>'RFQ response'!E22</f>
        <v xml:space="preserve">Transient pulses - Pulses 3a and 3b </v>
      </c>
      <c r="D27" s="74" t="str">
        <f>'RFQ response'!D22</f>
        <v>REQ-0945107</v>
      </c>
      <c r="E27" s="238" t="str">
        <f>'RFQ response'!L22</f>
        <v>OK</v>
      </c>
      <c r="F27" s="75"/>
      <c r="G27" s="74"/>
      <c r="H27" s="74"/>
      <c r="I27" s="95"/>
      <c r="J27" s="75"/>
      <c r="K27" s="74"/>
      <c r="L27" s="74"/>
      <c r="M27" s="173"/>
      <c r="N27" s="239"/>
      <c r="O27" s="239"/>
      <c r="P27"/>
      <c r="Q27" s="9">
        <f t="shared" si="11"/>
        <v>0</v>
      </c>
      <c r="R27" s="10">
        <f t="shared" si="12"/>
        <v>0</v>
      </c>
      <c r="S27" s="10">
        <f t="shared" si="13"/>
        <v>0</v>
      </c>
      <c r="T27" s="1">
        <f t="shared" si="14"/>
        <v>0</v>
      </c>
      <c r="U27" s="1">
        <f t="shared" si="15"/>
        <v>0</v>
      </c>
      <c r="V27" s="1">
        <f t="shared" si="16"/>
        <v>0</v>
      </c>
      <c r="W27" s="7">
        <f t="shared" si="17"/>
        <v>0</v>
      </c>
      <c r="X27" s="9">
        <f t="shared" si="18"/>
        <v>0</v>
      </c>
      <c r="Y27" s="10">
        <f t="shared" si="19"/>
        <v>0</v>
      </c>
      <c r="Z27" s="1">
        <f t="shared" si="20"/>
        <v>0</v>
      </c>
      <c r="AA27" s="8">
        <f t="shared" si="21"/>
        <v>0</v>
      </c>
    </row>
    <row r="28" spans="1:27" s="2" customFormat="1">
      <c r="A28" s="321"/>
      <c r="B28" s="240" t="str">
        <f>'RFQ response'!C23</f>
        <v>C_TI_03_V</v>
      </c>
      <c r="C28" s="237" t="str">
        <f>'RFQ response'!E23</f>
        <v>Engine cold and warm cranking – Pulse 4 bis</v>
      </c>
      <c r="D28" s="74" t="str">
        <f>'RFQ response'!D23</f>
        <v>REQ-0945108</v>
      </c>
      <c r="E28" s="238" t="str">
        <f>'RFQ response'!L23</f>
        <v>OK</v>
      </c>
      <c r="F28" s="75"/>
      <c r="G28" s="74"/>
      <c r="H28" s="74"/>
      <c r="I28" s="95"/>
      <c r="J28" s="75"/>
      <c r="K28" s="74"/>
      <c r="L28" s="74"/>
      <c r="M28" s="173"/>
      <c r="N28" s="239"/>
      <c r="O28" s="239"/>
      <c r="P28"/>
      <c r="Q28" s="9">
        <f t="shared" si="11"/>
        <v>0</v>
      </c>
      <c r="R28" s="10">
        <f t="shared" si="12"/>
        <v>0</v>
      </c>
      <c r="S28" s="10">
        <f t="shared" si="13"/>
        <v>0</v>
      </c>
      <c r="T28" s="1">
        <f t="shared" si="14"/>
        <v>0</v>
      </c>
      <c r="U28" s="1">
        <f t="shared" si="15"/>
        <v>0</v>
      </c>
      <c r="V28" s="1">
        <f t="shared" si="16"/>
        <v>0</v>
      </c>
      <c r="W28" s="7">
        <f t="shared" si="17"/>
        <v>0</v>
      </c>
      <c r="X28" s="9">
        <f t="shared" si="18"/>
        <v>0</v>
      </c>
      <c r="Y28" s="10">
        <f t="shared" si="19"/>
        <v>0</v>
      </c>
      <c r="Z28" s="1">
        <f t="shared" si="20"/>
        <v>0</v>
      </c>
      <c r="AA28" s="8">
        <f t="shared" si="21"/>
        <v>0</v>
      </c>
    </row>
    <row r="29" spans="1:27" s="2" customFormat="1">
      <c r="A29" s="321"/>
      <c r="B29" s="240" t="str">
        <f>'RFQ response'!C24</f>
        <v>C_TI_04_V</v>
      </c>
      <c r="C29" s="237" t="str">
        <f>'RFQ response'!E24</f>
        <v xml:space="preserve">Resistance to load dump </v>
      </c>
      <c r="D29" s="74" t="str">
        <f>'RFQ response'!D24</f>
        <v>REQ-0945109</v>
      </c>
      <c r="E29" s="238" t="str">
        <f>'RFQ response'!L24</f>
        <v>OK</v>
      </c>
      <c r="F29" s="75"/>
      <c r="G29" s="74"/>
      <c r="H29" s="74"/>
      <c r="I29" s="95"/>
      <c r="J29" s="75"/>
      <c r="K29" s="74"/>
      <c r="L29" s="74"/>
      <c r="M29" s="173"/>
      <c r="N29" s="239"/>
      <c r="O29" s="239"/>
      <c r="P29"/>
      <c r="Q29" s="9">
        <f t="shared" si="11"/>
        <v>0</v>
      </c>
      <c r="R29" s="10">
        <f t="shared" si="12"/>
        <v>0</v>
      </c>
      <c r="S29" s="10">
        <f t="shared" si="13"/>
        <v>0</v>
      </c>
      <c r="T29" s="1">
        <f t="shared" si="14"/>
        <v>0</v>
      </c>
      <c r="U29" s="1">
        <f t="shared" si="15"/>
        <v>0</v>
      </c>
      <c r="V29" s="1">
        <f t="shared" si="16"/>
        <v>0</v>
      </c>
      <c r="W29" s="7">
        <f t="shared" si="17"/>
        <v>0</v>
      </c>
      <c r="X29" s="9">
        <f t="shared" si="18"/>
        <v>0</v>
      </c>
      <c r="Y29" s="10">
        <f t="shared" si="19"/>
        <v>0</v>
      </c>
      <c r="Z29" s="1">
        <f t="shared" si="20"/>
        <v>0</v>
      </c>
      <c r="AA29" s="8">
        <f t="shared" si="21"/>
        <v>0</v>
      </c>
    </row>
    <row r="30" spans="1:27" s="2" customFormat="1">
      <c r="A30" s="321"/>
      <c r="B30" s="240" t="str">
        <f>'RFQ response'!C25</f>
        <v>C_TI_05_V</v>
      </c>
      <c r="C30" s="237" t="str">
        <f>'RFQ response'!E25</f>
        <v xml:space="preserve">Immunity to transients on signal lines – CCC method </v>
      </c>
      <c r="D30" s="74" t="str">
        <f>'RFQ response'!D25</f>
        <v>REQ-0945110</v>
      </c>
      <c r="E30" s="238" t="str">
        <f>'RFQ response'!L25</f>
        <v>OK</v>
      </c>
      <c r="F30" s="75"/>
      <c r="G30" s="74"/>
      <c r="H30" s="74"/>
      <c r="I30" s="95"/>
      <c r="J30" s="75"/>
      <c r="K30" s="74"/>
      <c r="L30" s="74"/>
      <c r="M30" s="173"/>
      <c r="N30" s="239"/>
      <c r="O30" s="239"/>
      <c r="P30"/>
      <c r="Q30" s="9">
        <f t="shared" si="11"/>
        <v>0</v>
      </c>
      <c r="R30" s="10">
        <f t="shared" si="12"/>
        <v>0</v>
      </c>
      <c r="S30" s="10">
        <f t="shared" si="13"/>
        <v>0</v>
      </c>
      <c r="T30" s="1">
        <f t="shared" si="14"/>
        <v>0</v>
      </c>
      <c r="U30" s="1">
        <f t="shared" si="15"/>
        <v>0</v>
      </c>
      <c r="V30" s="1">
        <f t="shared" si="16"/>
        <v>0</v>
      </c>
      <c r="W30" s="7">
        <f t="shared" si="17"/>
        <v>0</v>
      </c>
      <c r="X30" s="9">
        <f t="shared" si="18"/>
        <v>0</v>
      </c>
      <c r="Y30" s="10">
        <f t="shared" si="19"/>
        <v>0</v>
      </c>
      <c r="Z30" s="1">
        <f t="shared" si="20"/>
        <v>0</v>
      </c>
      <c r="AA30" s="8">
        <f t="shared" si="21"/>
        <v>0</v>
      </c>
    </row>
    <row r="31" spans="1:27" s="2" customFormat="1" ht="22.5">
      <c r="A31" s="321"/>
      <c r="B31" s="240" t="str">
        <f>'RFQ response'!C26</f>
        <v>C_TI_06_V</v>
      </c>
      <c r="C31" s="237" t="str">
        <f>'RFQ response'!E26</f>
        <v>Transient pulses – Immunity of input / outputs connected to inductive and / or locally grounded load - Pulses A2-1 and A2-2</v>
      </c>
      <c r="D31" s="74" t="str">
        <f>'RFQ response'!D26</f>
        <v>REQ-0945111</v>
      </c>
      <c r="E31" s="238" t="str">
        <f>'RFQ response'!L26</f>
        <v>NA</v>
      </c>
      <c r="F31" s="75"/>
      <c r="G31" s="74"/>
      <c r="H31" s="74"/>
      <c r="I31" s="95"/>
      <c r="J31" s="75"/>
      <c r="K31" s="74"/>
      <c r="L31" s="74"/>
      <c r="M31" s="173"/>
      <c r="N31" s="239"/>
      <c r="O31" s="239"/>
      <c r="P31"/>
      <c r="Q31" s="9">
        <f t="shared" si="11"/>
        <v>0</v>
      </c>
      <c r="R31" s="10">
        <f t="shared" si="12"/>
        <v>0</v>
      </c>
      <c r="S31" s="10">
        <f t="shared" si="13"/>
        <v>0</v>
      </c>
      <c r="T31" s="1">
        <f t="shared" si="14"/>
        <v>0</v>
      </c>
      <c r="U31" s="1">
        <f t="shared" si="15"/>
        <v>0</v>
      </c>
      <c r="V31" s="1">
        <f t="shared" si="16"/>
        <v>0</v>
      </c>
      <c r="W31" s="7">
        <f t="shared" si="17"/>
        <v>0</v>
      </c>
      <c r="X31" s="9">
        <f t="shared" si="18"/>
        <v>0</v>
      </c>
      <c r="Y31" s="10">
        <f t="shared" si="19"/>
        <v>0</v>
      </c>
      <c r="Z31" s="1">
        <f t="shared" si="20"/>
        <v>0</v>
      </c>
      <c r="AA31" s="8">
        <f t="shared" si="21"/>
        <v>0</v>
      </c>
    </row>
    <row r="32" spans="1:27" s="2" customFormat="1">
      <c r="A32" s="321"/>
      <c r="B32" s="240" t="str">
        <f>'RFQ response'!C27</f>
        <v>C_TI_07_V</v>
      </c>
      <c r="C32" s="237" t="str">
        <f>'RFQ response'!E27</f>
        <v>Transient pulses – Immunity to the transients with wire to wire coupling</v>
      </c>
      <c r="D32" s="74" t="str">
        <f>'RFQ response'!D27</f>
        <v>REQ-0945112</v>
      </c>
      <c r="E32" s="238" t="str">
        <f>'RFQ response'!L27</f>
        <v>OK</v>
      </c>
      <c r="F32" s="75"/>
      <c r="G32" s="74"/>
      <c r="H32" s="74"/>
      <c r="I32" s="95"/>
      <c r="J32" s="75"/>
      <c r="K32" s="74"/>
      <c r="L32" s="74"/>
      <c r="M32" s="173"/>
      <c r="N32" s="239"/>
      <c r="O32" s="239"/>
      <c r="P32"/>
      <c r="Q32" s="9">
        <f t="shared" si="11"/>
        <v>0</v>
      </c>
      <c r="R32" s="10">
        <f t="shared" si="12"/>
        <v>0</v>
      </c>
      <c r="S32" s="10">
        <f t="shared" si="13"/>
        <v>0</v>
      </c>
      <c r="T32" s="1">
        <f t="shared" si="14"/>
        <v>0</v>
      </c>
      <c r="U32" s="1">
        <f t="shared" si="15"/>
        <v>0</v>
      </c>
      <c r="V32" s="1">
        <f t="shared" si="16"/>
        <v>0</v>
      </c>
      <c r="W32" s="7">
        <f t="shared" si="17"/>
        <v>0</v>
      </c>
      <c r="X32" s="9">
        <f t="shared" si="18"/>
        <v>0</v>
      </c>
      <c r="Y32" s="10">
        <f t="shared" si="19"/>
        <v>0</v>
      </c>
      <c r="Z32" s="1">
        <f t="shared" si="20"/>
        <v>0</v>
      </c>
      <c r="AA32" s="8">
        <f t="shared" si="21"/>
        <v>0</v>
      </c>
    </row>
    <row r="33" spans="1:27" s="2" customFormat="1">
      <c r="A33" s="321"/>
      <c r="B33" s="240" t="str">
        <f>'RFQ response'!C28</f>
        <v>C_TI_01_R</v>
      </c>
      <c r="C33" s="237" t="str">
        <f>'RFQ response'!E28</f>
        <v>Immunity to the transients on the signal line</v>
      </c>
      <c r="D33" s="74" t="str">
        <f>'RFQ response'!D28</f>
        <v xml:space="preserve"> -</v>
      </c>
      <c r="E33" s="238" t="str">
        <f>'RFQ response'!L28</f>
        <v>NA</v>
      </c>
      <c r="F33" s="75"/>
      <c r="G33" s="74"/>
      <c r="H33" s="74"/>
      <c r="I33" s="95"/>
      <c r="J33" s="75"/>
      <c r="K33" s="74"/>
      <c r="L33" s="74"/>
      <c r="M33" s="173"/>
      <c r="N33" s="239"/>
      <c r="O33" s="239"/>
      <c r="P33"/>
      <c r="Q33" s="9">
        <f t="shared" ref="Q33:Q40" si="22">IF(K33="On going",1,0)</f>
        <v>0</v>
      </c>
      <c r="R33" s="10">
        <f t="shared" ref="R33:R40" si="23">IF(K33="NA",1,0)</f>
        <v>0</v>
      </c>
      <c r="S33" s="10">
        <f t="shared" ref="S33:S40" si="24">IF(K33="Deviation",1,0)</f>
        <v>0</v>
      </c>
      <c r="T33" s="1">
        <f t="shared" ref="T33:T40" si="25">IF(K33="In analysis",1,0)</f>
        <v>0</v>
      </c>
      <c r="U33" s="1">
        <f t="shared" ref="U33:U40" si="26">IF(K33="NOK minor",1,0)</f>
        <v>0</v>
      </c>
      <c r="V33" s="1">
        <f t="shared" ref="V33:V40" si="27">IF(K33="NOK major",1,0)</f>
        <v>0</v>
      </c>
      <c r="W33" s="7">
        <f t="shared" ref="W33:W40" si="28">IF(K33="OK",1,0)</f>
        <v>0</v>
      </c>
      <c r="X33" s="9">
        <f t="shared" ref="X33:X40" si="29">IF($J33="On going",1,0)</f>
        <v>0</v>
      </c>
      <c r="Y33" s="10">
        <f t="shared" ref="Y33:Y40" si="30">IF($J33="NA",1,0)</f>
        <v>0</v>
      </c>
      <c r="Z33" s="1">
        <f t="shared" ref="Z33:Z40" si="31">IF($J33="NOK",1,0)</f>
        <v>0</v>
      </c>
      <c r="AA33" s="8">
        <f t="shared" ref="AA33:AA40" si="32">IF($J33="OK",1,0)</f>
        <v>0</v>
      </c>
    </row>
    <row r="34" spans="1:27" s="2" customFormat="1">
      <c r="A34" s="321"/>
      <c r="B34" s="240" t="str">
        <f>'RFQ response'!C29</f>
        <v>C_TE_01_R</v>
      </c>
      <c r="C34" s="237" t="str">
        <f>'RFQ response'!E29</f>
        <v>Conducted Transient Emission</v>
      </c>
      <c r="D34" s="74" t="str">
        <f>'RFQ response'!D29</f>
        <v xml:space="preserve"> -</v>
      </c>
      <c r="E34" s="238" t="str">
        <f>'RFQ response'!L29</f>
        <v>NA</v>
      </c>
      <c r="F34" s="75"/>
      <c r="G34" s="74"/>
      <c r="H34" s="74"/>
      <c r="I34" s="95"/>
      <c r="J34" s="75"/>
      <c r="K34" s="74"/>
      <c r="L34" s="74"/>
      <c r="M34" s="173"/>
      <c r="N34" s="239"/>
      <c r="O34" s="239"/>
      <c r="P34"/>
      <c r="Q34" s="9">
        <f t="shared" si="22"/>
        <v>0</v>
      </c>
      <c r="R34" s="10">
        <f t="shared" si="23"/>
        <v>0</v>
      </c>
      <c r="S34" s="10">
        <f t="shared" si="24"/>
        <v>0</v>
      </c>
      <c r="T34" s="1">
        <f t="shared" si="25"/>
        <v>0</v>
      </c>
      <c r="U34" s="1">
        <f t="shared" si="26"/>
        <v>0</v>
      </c>
      <c r="V34" s="1">
        <f t="shared" si="27"/>
        <v>0</v>
      </c>
      <c r="W34" s="7">
        <f t="shared" si="28"/>
        <v>0</v>
      </c>
      <c r="X34" s="9">
        <f t="shared" si="29"/>
        <v>0</v>
      </c>
      <c r="Y34" s="10">
        <f t="shared" si="30"/>
        <v>0</v>
      </c>
      <c r="Z34" s="1">
        <f t="shared" si="31"/>
        <v>0</v>
      </c>
      <c r="AA34" s="8">
        <f t="shared" si="32"/>
        <v>0</v>
      </c>
    </row>
    <row r="35" spans="1:27" s="2" customFormat="1">
      <c r="A35" s="321"/>
      <c r="B35" s="240" t="str">
        <f>'RFQ response'!C30</f>
        <v>C_CI_01_V</v>
      </c>
      <c r="C35" s="237" t="str">
        <f>'RFQ response'!E30</f>
        <v>Bulk current injection (BCI)</v>
      </c>
      <c r="D35" s="74" t="str">
        <f>'RFQ response'!D30</f>
        <v>REQ-0945113</v>
      </c>
      <c r="E35" s="238" t="str">
        <f>'RFQ response'!L30</f>
        <v>OK</v>
      </c>
      <c r="F35" s="75"/>
      <c r="G35" s="74"/>
      <c r="H35" s="74"/>
      <c r="I35" s="95"/>
      <c r="J35" s="75"/>
      <c r="K35" s="74"/>
      <c r="L35" s="74"/>
      <c r="M35" s="173"/>
      <c r="N35" s="239"/>
      <c r="O35" s="239"/>
      <c r="P35"/>
      <c r="Q35" s="9">
        <f t="shared" si="22"/>
        <v>0</v>
      </c>
      <c r="R35" s="10">
        <f t="shared" si="23"/>
        <v>0</v>
      </c>
      <c r="S35" s="10">
        <f t="shared" si="24"/>
        <v>0</v>
      </c>
      <c r="T35" s="1">
        <f t="shared" si="25"/>
        <v>0</v>
      </c>
      <c r="U35" s="1">
        <f t="shared" si="26"/>
        <v>0</v>
      </c>
      <c r="V35" s="1">
        <f t="shared" si="27"/>
        <v>0</v>
      </c>
      <c r="W35" s="7">
        <f t="shared" si="28"/>
        <v>0</v>
      </c>
      <c r="X35" s="9">
        <f t="shared" si="29"/>
        <v>0</v>
      </c>
      <c r="Y35" s="10">
        <f t="shared" si="30"/>
        <v>0</v>
      </c>
      <c r="Z35" s="1">
        <f t="shared" si="31"/>
        <v>0</v>
      </c>
      <c r="AA35" s="8">
        <f t="shared" si="32"/>
        <v>0</v>
      </c>
    </row>
    <row r="36" spans="1:27" s="2" customFormat="1">
      <c r="A36" s="321"/>
      <c r="B36" s="240" t="str">
        <f>'RFQ response'!C31</f>
        <v>C_RI_01_V</v>
      </c>
      <c r="C36" s="237" t="str">
        <f>'RFQ response'!E31</f>
        <v>Immunity to external sources – ALSE (Absorber Line Shielded Enclosure)</v>
      </c>
      <c r="D36" s="74" t="str">
        <f>'RFQ response'!D31</f>
        <v>REQ-0945114</v>
      </c>
      <c r="E36" s="238" t="str">
        <f>'RFQ response'!L31</f>
        <v>OK</v>
      </c>
      <c r="F36" s="75"/>
      <c r="G36" s="74"/>
      <c r="H36" s="74"/>
      <c r="I36" s="95"/>
      <c r="J36" s="75"/>
      <c r="K36" s="74"/>
      <c r="L36" s="74"/>
      <c r="M36" s="173"/>
      <c r="N36" s="239"/>
      <c r="O36" s="239"/>
      <c r="P36"/>
      <c r="Q36" s="9">
        <f t="shared" si="22"/>
        <v>0</v>
      </c>
      <c r="R36" s="10">
        <f t="shared" si="23"/>
        <v>0</v>
      </c>
      <c r="S36" s="10">
        <f t="shared" si="24"/>
        <v>0</v>
      </c>
      <c r="T36" s="1">
        <f t="shared" si="25"/>
        <v>0</v>
      </c>
      <c r="U36" s="1">
        <f t="shared" si="26"/>
        <v>0</v>
      </c>
      <c r="V36" s="1">
        <f t="shared" si="27"/>
        <v>0</v>
      </c>
      <c r="W36" s="7">
        <f t="shared" si="28"/>
        <v>0</v>
      </c>
      <c r="X36" s="9">
        <f t="shared" si="29"/>
        <v>0</v>
      </c>
      <c r="Y36" s="10">
        <f t="shared" si="30"/>
        <v>0</v>
      </c>
      <c r="Z36" s="1">
        <f t="shared" si="31"/>
        <v>0</v>
      </c>
      <c r="AA36" s="8">
        <f t="shared" si="32"/>
        <v>0</v>
      </c>
    </row>
    <row r="37" spans="1:27" s="2" customFormat="1">
      <c r="A37" s="321"/>
      <c r="B37" s="240" t="str">
        <f>'RFQ response'!C32</f>
        <v>C_RI_02_V</v>
      </c>
      <c r="C37" s="237" t="str">
        <f>'RFQ response'!E32</f>
        <v>Immunity to external sources – Reverberation chamber</v>
      </c>
      <c r="D37" s="74" t="str">
        <f>'RFQ response'!D32</f>
        <v>REQ-0945115</v>
      </c>
      <c r="E37" s="238" t="str">
        <f>'RFQ response'!L32</f>
        <v>OK</v>
      </c>
      <c r="F37" s="75"/>
      <c r="G37" s="74"/>
      <c r="H37" s="74"/>
      <c r="I37" s="95"/>
      <c r="J37" s="75"/>
      <c r="K37" s="74"/>
      <c r="L37" s="74"/>
      <c r="M37" s="173"/>
      <c r="N37" s="239"/>
      <c r="O37" s="239"/>
      <c r="P37"/>
      <c r="Q37" s="9">
        <f t="shared" si="22"/>
        <v>0</v>
      </c>
      <c r="R37" s="10">
        <f t="shared" si="23"/>
        <v>0</v>
      </c>
      <c r="S37" s="10">
        <f t="shared" si="24"/>
        <v>0</v>
      </c>
      <c r="T37" s="1">
        <f t="shared" si="25"/>
        <v>0</v>
      </c>
      <c r="U37" s="1">
        <f t="shared" si="26"/>
        <v>0</v>
      </c>
      <c r="V37" s="1">
        <f t="shared" si="27"/>
        <v>0</v>
      </c>
      <c r="W37" s="7">
        <f t="shared" si="28"/>
        <v>0</v>
      </c>
      <c r="X37" s="9">
        <f t="shared" si="29"/>
        <v>0</v>
      </c>
      <c r="Y37" s="10">
        <f t="shared" si="30"/>
        <v>0</v>
      </c>
      <c r="Z37" s="1">
        <f t="shared" si="31"/>
        <v>0</v>
      </c>
      <c r="AA37" s="8">
        <f t="shared" si="32"/>
        <v>0</v>
      </c>
    </row>
    <row r="38" spans="1:27" s="2" customFormat="1">
      <c r="A38" s="321"/>
      <c r="B38" s="240" t="str">
        <f>'RFQ response'!C33</f>
        <v>C_RI_03_V</v>
      </c>
      <c r="C38" s="237" t="str">
        <f>'RFQ response'!E33</f>
        <v>Immunity to portable transmitters</v>
      </c>
      <c r="D38" s="74" t="str">
        <f>'RFQ response'!D33</f>
        <v>REQ-0945116</v>
      </c>
      <c r="E38" s="238" t="str">
        <f>'RFQ response'!L33</f>
        <v>OK</v>
      </c>
      <c r="F38" s="75"/>
      <c r="G38" s="74"/>
      <c r="H38" s="74"/>
      <c r="I38" s="95"/>
      <c r="J38" s="75"/>
      <c r="K38" s="74"/>
      <c r="L38" s="74"/>
      <c r="M38" s="173"/>
      <c r="N38" s="239"/>
      <c r="O38" s="239"/>
      <c r="P38"/>
      <c r="Q38" s="9">
        <f t="shared" si="22"/>
        <v>0</v>
      </c>
      <c r="R38" s="10">
        <f t="shared" si="23"/>
        <v>0</v>
      </c>
      <c r="S38" s="10">
        <f t="shared" si="24"/>
        <v>0</v>
      </c>
      <c r="T38" s="1">
        <f t="shared" si="25"/>
        <v>0</v>
      </c>
      <c r="U38" s="1">
        <f t="shared" si="26"/>
        <v>0</v>
      </c>
      <c r="V38" s="1">
        <f t="shared" si="27"/>
        <v>0</v>
      </c>
      <c r="W38" s="7">
        <f t="shared" si="28"/>
        <v>0</v>
      </c>
      <c r="X38" s="9">
        <f t="shared" si="29"/>
        <v>0</v>
      </c>
      <c r="Y38" s="10">
        <f t="shared" si="30"/>
        <v>0</v>
      </c>
      <c r="Z38" s="1">
        <f t="shared" si="31"/>
        <v>0</v>
      </c>
      <c r="AA38" s="8">
        <f t="shared" si="32"/>
        <v>0</v>
      </c>
    </row>
    <row r="39" spans="1:27" s="2" customFormat="1">
      <c r="A39" s="321"/>
      <c r="B39" s="240" t="str">
        <f>'RFQ response'!C34</f>
        <v>C_RI_04_V</v>
      </c>
      <c r="C39" s="237" t="str">
        <f>'RFQ response'!E34</f>
        <v xml:space="preserve">Immunity to magnetic field </v>
      </c>
      <c r="D39" s="74" t="str">
        <f>'RFQ response'!D34</f>
        <v>REQ-0945117</v>
      </c>
      <c r="E39" s="238" t="str">
        <f>'RFQ response'!L34</f>
        <v>OK</v>
      </c>
      <c r="F39" s="75"/>
      <c r="G39" s="74"/>
      <c r="H39" s="74"/>
      <c r="I39" s="95"/>
      <c r="J39" s="75"/>
      <c r="K39" s="74"/>
      <c r="L39" s="74"/>
      <c r="M39" s="173"/>
      <c r="N39" s="239"/>
      <c r="O39" s="239"/>
      <c r="P39"/>
      <c r="Q39" s="9">
        <f t="shared" si="22"/>
        <v>0</v>
      </c>
      <c r="R39" s="10">
        <f t="shared" si="23"/>
        <v>0</v>
      </c>
      <c r="S39" s="10">
        <f t="shared" si="24"/>
        <v>0</v>
      </c>
      <c r="T39" s="1">
        <f t="shared" si="25"/>
        <v>0</v>
      </c>
      <c r="U39" s="1">
        <f t="shared" si="26"/>
        <v>0</v>
      </c>
      <c r="V39" s="1">
        <f t="shared" si="27"/>
        <v>0</v>
      </c>
      <c r="W39" s="7">
        <f t="shared" si="28"/>
        <v>0</v>
      </c>
      <c r="X39" s="9">
        <f t="shared" si="29"/>
        <v>0</v>
      </c>
      <c r="Y39" s="10">
        <f t="shared" si="30"/>
        <v>0</v>
      </c>
      <c r="Z39" s="1">
        <f t="shared" si="31"/>
        <v>0</v>
      </c>
      <c r="AA39" s="8">
        <f t="shared" si="32"/>
        <v>0</v>
      </c>
    </row>
    <row r="40" spans="1:27" s="2" customFormat="1">
      <c r="A40" s="321"/>
      <c r="B40" s="240" t="str">
        <f>'RFQ response'!C35</f>
        <v>C_RI_05_R</v>
      </c>
      <c r="C40" s="237" t="str">
        <f>'RFQ response'!E35</f>
        <v>Immunity to electromagnetic radiation</v>
      </c>
      <c r="D40" s="74" t="str">
        <f>'RFQ response'!D35</f>
        <v xml:space="preserve"> -</v>
      </c>
      <c r="E40" s="238" t="str">
        <f>'RFQ response'!L35</f>
        <v>NA</v>
      </c>
      <c r="F40" s="75"/>
      <c r="G40" s="74"/>
      <c r="H40" s="74"/>
      <c r="I40" s="95"/>
      <c r="J40" s="75"/>
      <c r="K40" s="74"/>
      <c r="L40" s="74"/>
      <c r="M40" s="173"/>
      <c r="N40" s="239"/>
      <c r="O40" s="239"/>
      <c r="P40"/>
      <c r="Q40" s="9">
        <f t="shared" si="22"/>
        <v>0</v>
      </c>
      <c r="R40" s="10">
        <f t="shared" si="23"/>
        <v>0</v>
      </c>
      <c r="S40" s="10">
        <f t="shared" si="24"/>
        <v>0</v>
      </c>
      <c r="T40" s="1">
        <f t="shared" si="25"/>
        <v>0</v>
      </c>
      <c r="U40" s="1">
        <f t="shared" si="26"/>
        <v>0</v>
      </c>
      <c r="V40" s="1">
        <f t="shared" si="27"/>
        <v>0</v>
      </c>
      <c r="W40" s="7">
        <f t="shared" si="28"/>
        <v>0</v>
      </c>
      <c r="X40" s="9">
        <f t="shared" si="29"/>
        <v>0</v>
      </c>
      <c r="Y40" s="10">
        <f t="shared" si="30"/>
        <v>0</v>
      </c>
      <c r="Z40" s="1">
        <f t="shared" si="31"/>
        <v>0</v>
      </c>
      <c r="AA40" s="8">
        <f t="shared" si="32"/>
        <v>0</v>
      </c>
    </row>
    <row r="41" spans="1:27" s="2" customFormat="1">
      <c r="A41" s="321"/>
      <c r="B41" s="240" t="str">
        <f>'RFQ response'!C36</f>
        <v>C_CE_01_V</v>
      </c>
      <c r="C41" s="237" t="str">
        <f>'RFQ response'!E36</f>
        <v>RF conducted emission on power supply inputs – AN voltage measurement</v>
      </c>
      <c r="D41" s="74" t="str">
        <f>'RFQ response'!D36</f>
        <v>REQ-0945121</v>
      </c>
      <c r="E41" s="238" t="str">
        <f>'RFQ response'!L36</f>
        <v>OK</v>
      </c>
      <c r="F41" s="75"/>
      <c r="G41" s="74"/>
      <c r="H41" s="74"/>
      <c r="I41" s="95"/>
      <c r="J41" s="75"/>
      <c r="K41" s="74"/>
      <c r="L41" s="74"/>
      <c r="M41" s="173"/>
      <c r="N41" s="239"/>
      <c r="O41" s="239"/>
      <c r="P41"/>
      <c r="Q41" s="9">
        <f t="shared" ref="Q41:Q44" si="33">IF(K41="On going",1,0)</f>
        <v>0</v>
      </c>
      <c r="R41" s="10">
        <f t="shared" ref="R41:R44" si="34">IF(K41="NA",1,0)</f>
        <v>0</v>
      </c>
      <c r="S41" s="10">
        <f t="shared" ref="S41:S44" si="35">IF(K41="Deviation",1,0)</f>
        <v>0</v>
      </c>
      <c r="T41" s="1">
        <f t="shared" ref="T41:T44" si="36">IF(K41="In analysis",1,0)</f>
        <v>0</v>
      </c>
      <c r="U41" s="1">
        <f t="shared" ref="U41:U44" si="37">IF(K41="NOK minor",1,0)</f>
        <v>0</v>
      </c>
      <c r="V41" s="1">
        <f t="shared" ref="V41:V44" si="38">IF(K41="NOK major",1,0)</f>
        <v>0</v>
      </c>
      <c r="W41" s="7">
        <f t="shared" ref="W41:W44" si="39">IF(K41="OK",1,0)</f>
        <v>0</v>
      </c>
      <c r="X41" s="9">
        <f t="shared" ref="X41:X44" si="40">IF($J41="On going",1,0)</f>
        <v>0</v>
      </c>
      <c r="Y41" s="10">
        <f t="shared" ref="Y41:Y44" si="41">IF($J41="NA",1,0)</f>
        <v>0</v>
      </c>
      <c r="Z41" s="1">
        <f t="shared" ref="Z41:Z44" si="42">IF($J41="NOK",1,0)</f>
        <v>0</v>
      </c>
      <c r="AA41" s="8">
        <f t="shared" ref="AA41:AA44" si="43">IF($J41="OK",1,0)</f>
        <v>0</v>
      </c>
    </row>
    <row r="42" spans="1:27" s="2" customFormat="1">
      <c r="A42" s="321"/>
      <c r="B42" s="240" t="str">
        <f>'RFQ response'!C37</f>
        <v>C_CE_02_V</v>
      </c>
      <c r="C42" s="237" t="str">
        <f>'RFQ response'!E37</f>
        <v>RF conducted emission on wiring – Current probe measurement</v>
      </c>
      <c r="D42" s="74" t="str">
        <f>'RFQ response'!D37</f>
        <v>REQ-0945122</v>
      </c>
      <c r="E42" s="238" t="str">
        <f>'RFQ response'!L37</f>
        <v>OK</v>
      </c>
      <c r="F42" s="75"/>
      <c r="G42" s="74"/>
      <c r="H42" s="74"/>
      <c r="I42" s="95"/>
      <c r="J42" s="75"/>
      <c r="K42" s="74"/>
      <c r="L42" s="74"/>
      <c r="M42" s="173"/>
      <c r="N42" s="239"/>
      <c r="O42" s="239"/>
      <c r="P42"/>
      <c r="Q42" s="9">
        <f t="shared" si="33"/>
        <v>0</v>
      </c>
      <c r="R42" s="10">
        <f t="shared" si="34"/>
        <v>0</v>
      </c>
      <c r="S42" s="10">
        <f t="shared" si="35"/>
        <v>0</v>
      </c>
      <c r="T42" s="1">
        <f t="shared" si="36"/>
        <v>0</v>
      </c>
      <c r="U42" s="1">
        <f t="shared" si="37"/>
        <v>0</v>
      </c>
      <c r="V42" s="1">
        <f t="shared" si="38"/>
        <v>0</v>
      </c>
      <c r="W42" s="7">
        <f t="shared" si="39"/>
        <v>0</v>
      </c>
      <c r="X42" s="9">
        <f t="shared" si="40"/>
        <v>0</v>
      </c>
      <c r="Y42" s="10">
        <f t="shared" si="41"/>
        <v>0</v>
      </c>
      <c r="Z42" s="1">
        <f t="shared" si="42"/>
        <v>0</v>
      </c>
      <c r="AA42" s="8">
        <f t="shared" si="43"/>
        <v>0</v>
      </c>
    </row>
    <row r="43" spans="1:27" s="2" customFormat="1">
      <c r="A43" s="321"/>
      <c r="B43" s="240" t="str">
        <f>'RFQ response'!C38</f>
        <v>C_RE_01_V</v>
      </c>
      <c r="C43" s="237" t="str">
        <f>'RFQ response'!E38</f>
        <v>Electric field radiated emission – ALSE (Absorber Line Shielded Enclosure)</v>
      </c>
      <c r="D43" s="74" t="str">
        <f>'RFQ response'!D38</f>
        <v>REQ-0945123</v>
      </c>
      <c r="E43" s="238" t="str">
        <f>'RFQ response'!L38</f>
        <v>OK</v>
      </c>
      <c r="F43" s="75"/>
      <c r="G43" s="74"/>
      <c r="H43" s="74"/>
      <c r="I43" s="95"/>
      <c r="J43" s="75"/>
      <c r="K43" s="74"/>
      <c r="L43" s="74"/>
      <c r="M43" s="173"/>
      <c r="N43" s="239"/>
      <c r="O43" s="239"/>
      <c r="P43"/>
      <c r="Q43" s="9">
        <f t="shared" si="33"/>
        <v>0</v>
      </c>
      <c r="R43" s="10">
        <f t="shared" si="34"/>
        <v>0</v>
      </c>
      <c r="S43" s="10">
        <f t="shared" si="35"/>
        <v>0</v>
      </c>
      <c r="T43" s="1">
        <f t="shared" si="36"/>
        <v>0</v>
      </c>
      <c r="U43" s="1">
        <f t="shared" si="37"/>
        <v>0</v>
      </c>
      <c r="V43" s="1">
        <f t="shared" si="38"/>
        <v>0</v>
      </c>
      <c r="W43" s="7">
        <f t="shared" si="39"/>
        <v>0</v>
      </c>
      <c r="X43" s="9">
        <f t="shared" si="40"/>
        <v>0</v>
      </c>
      <c r="Y43" s="10">
        <f t="shared" si="41"/>
        <v>0</v>
      </c>
      <c r="Z43" s="1">
        <f t="shared" si="42"/>
        <v>0</v>
      </c>
      <c r="AA43" s="8">
        <f t="shared" si="43"/>
        <v>0</v>
      </c>
    </row>
    <row r="44" spans="1:27" s="2" customFormat="1">
      <c r="A44" s="321"/>
      <c r="B44" s="240" t="str">
        <f>'RFQ response'!C39</f>
        <v>C_RE_02_V</v>
      </c>
      <c r="C44" s="237" t="str">
        <f>'RFQ response'!E39</f>
        <v xml:space="preserve">Keyless entry - Magnetic field </v>
      </c>
      <c r="D44" s="74" t="str">
        <f>'RFQ response'!D39</f>
        <v>REQ-0945124</v>
      </c>
      <c r="E44" s="238" t="str">
        <f>'RFQ response'!L39</f>
        <v>OK</v>
      </c>
      <c r="F44" s="75"/>
      <c r="G44" s="74"/>
      <c r="H44" s="74"/>
      <c r="I44" s="95"/>
      <c r="J44" s="75"/>
      <c r="K44" s="74"/>
      <c r="L44" s="74"/>
      <c r="M44" s="173"/>
      <c r="N44" s="239"/>
      <c r="O44" s="239"/>
      <c r="P44"/>
      <c r="Q44" s="9">
        <f t="shared" si="33"/>
        <v>0</v>
      </c>
      <c r="R44" s="10">
        <f t="shared" si="34"/>
        <v>0</v>
      </c>
      <c r="S44" s="10">
        <f t="shared" si="35"/>
        <v>0</v>
      </c>
      <c r="T44" s="1">
        <f t="shared" si="36"/>
        <v>0</v>
      </c>
      <c r="U44" s="1">
        <f t="shared" si="37"/>
        <v>0</v>
      </c>
      <c r="V44" s="1">
        <f t="shared" si="38"/>
        <v>0</v>
      </c>
      <c r="W44" s="7">
        <f t="shared" si="39"/>
        <v>0</v>
      </c>
      <c r="X44" s="9">
        <f t="shared" si="40"/>
        <v>0</v>
      </c>
      <c r="Y44" s="10">
        <f t="shared" si="41"/>
        <v>0</v>
      </c>
      <c r="Z44" s="1">
        <f t="shared" si="42"/>
        <v>0</v>
      </c>
      <c r="AA44" s="8">
        <f t="shared" si="43"/>
        <v>0</v>
      </c>
    </row>
    <row r="45" spans="1:27" s="2" customFormat="1">
      <c r="A45" s="321"/>
      <c r="B45" s="240" t="str">
        <f>'RFQ response'!C40</f>
        <v>C_RE_03_R</v>
      </c>
      <c r="C45" s="237" t="str">
        <f>'RFQ response'!E40</f>
        <v>Broadband radiated emission</v>
      </c>
      <c r="D45" s="74" t="str">
        <f>'RFQ response'!D40</f>
        <v xml:space="preserve"> -</v>
      </c>
      <c r="E45" s="238" t="str">
        <f>'RFQ response'!L40</f>
        <v>NA</v>
      </c>
      <c r="F45" s="75"/>
      <c r="G45" s="74"/>
      <c r="H45" s="74"/>
      <c r="I45" s="95"/>
      <c r="J45" s="75"/>
      <c r="K45" s="74"/>
      <c r="L45" s="74"/>
      <c r="M45" s="173"/>
      <c r="N45" s="239"/>
      <c r="O45" s="239"/>
      <c r="P45"/>
      <c r="Q45" s="9">
        <f t="shared" ref="Q45:Q46" si="44">IF(K45="On going",1,0)</f>
        <v>0</v>
      </c>
      <c r="R45" s="10">
        <f t="shared" ref="R45:R46" si="45">IF(K45="NA",1,0)</f>
        <v>0</v>
      </c>
      <c r="S45" s="10">
        <f t="shared" ref="S45:S46" si="46">IF(K45="Deviation",1,0)</f>
        <v>0</v>
      </c>
      <c r="T45" s="1">
        <f t="shared" ref="T45:T46" si="47">IF(K45="In analysis",1,0)</f>
        <v>0</v>
      </c>
      <c r="U45" s="1">
        <f t="shared" ref="U45:U46" si="48">IF(K45="NOK minor",1,0)</f>
        <v>0</v>
      </c>
      <c r="V45" s="1">
        <f t="shared" ref="V45:V46" si="49">IF(K45="NOK major",1,0)</f>
        <v>0</v>
      </c>
      <c r="W45" s="7">
        <f t="shared" ref="W45:W46" si="50">IF(K45="OK",1,0)</f>
        <v>0</v>
      </c>
      <c r="X45" s="9">
        <f t="shared" ref="X45:X99" si="51">IF($J45="On going",1,0)</f>
        <v>0</v>
      </c>
      <c r="Y45" s="10">
        <f t="shared" ref="Y45:Y99" si="52">IF($J45="NA",1,0)</f>
        <v>0</v>
      </c>
      <c r="Z45" s="1">
        <f t="shared" ref="Z45:Z99" si="53">IF($J45="NOK",1,0)</f>
        <v>0</v>
      </c>
      <c r="AA45" s="8">
        <f t="shared" ref="AA45:AA99" si="54">IF($J45="OK",1,0)</f>
        <v>0</v>
      </c>
    </row>
    <row r="46" spans="1:27" s="2" customFormat="1">
      <c r="A46" s="321"/>
      <c r="B46" s="240" t="str">
        <f>'RFQ response'!C41</f>
        <v>C_RE_04_R</v>
      </c>
      <c r="C46" s="237" t="str">
        <f>'RFQ response'!E41</f>
        <v>Narrowband radiated emission</v>
      </c>
      <c r="D46" s="74" t="str">
        <f>'RFQ response'!D41</f>
        <v xml:space="preserve"> -</v>
      </c>
      <c r="E46" s="238" t="str">
        <f>'RFQ response'!L41</f>
        <v>NA</v>
      </c>
      <c r="F46" s="75"/>
      <c r="G46" s="74"/>
      <c r="H46" s="74"/>
      <c r="I46" s="95"/>
      <c r="J46" s="75"/>
      <c r="K46" s="74"/>
      <c r="L46" s="74"/>
      <c r="M46" s="173"/>
      <c r="N46" s="239"/>
      <c r="O46" s="239"/>
      <c r="P46"/>
      <c r="Q46" s="9">
        <f t="shared" si="44"/>
        <v>0</v>
      </c>
      <c r="R46" s="10">
        <f t="shared" si="45"/>
        <v>0</v>
      </c>
      <c r="S46" s="10">
        <f t="shared" si="46"/>
        <v>0</v>
      </c>
      <c r="T46" s="1">
        <f t="shared" si="47"/>
        <v>0</v>
      </c>
      <c r="U46" s="1">
        <f t="shared" si="48"/>
        <v>0</v>
      </c>
      <c r="V46" s="1">
        <f t="shared" si="49"/>
        <v>0</v>
      </c>
      <c r="W46" s="7">
        <f t="shared" si="50"/>
        <v>0</v>
      </c>
      <c r="X46" s="9">
        <f t="shared" si="51"/>
        <v>0</v>
      </c>
      <c r="Y46" s="10">
        <f t="shared" si="52"/>
        <v>0</v>
      </c>
      <c r="Z46" s="1">
        <f t="shared" si="53"/>
        <v>0</v>
      </c>
      <c r="AA46" s="8">
        <f t="shared" si="54"/>
        <v>0</v>
      </c>
    </row>
    <row r="47" spans="1:27" s="2" customFormat="1">
      <c r="A47" s="321"/>
      <c r="B47" s="240" t="str">
        <f>'RFQ response'!C42</f>
        <v>C_ESD_01_V</v>
      </c>
      <c r="C47" s="237" t="str">
        <f>'RFQ response'!E42</f>
        <v xml:space="preserve">Component not connected - Handling </v>
      </c>
      <c r="D47" s="74" t="str">
        <f>'RFQ response'!D42</f>
        <v>REQ-0945125</v>
      </c>
      <c r="E47" s="238" t="str">
        <f>'RFQ response'!L42</f>
        <v>OK</v>
      </c>
      <c r="F47" s="75"/>
      <c r="G47" s="74"/>
      <c r="H47" s="74"/>
      <c r="I47" s="95"/>
      <c r="J47" s="75"/>
      <c r="K47" s="74"/>
      <c r="L47" s="74"/>
      <c r="M47" s="173"/>
      <c r="N47" s="239"/>
      <c r="O47" s="239"/>
      <c r="P47"/>
      <c r="Q47" s="9">
        <f t="shared" ref="Q47" si="55">IF(K47="On going",1,0)</f>
        <v>0</v>
      </c>
      <c r="R47" s="10">
        <f t="shared" ref="R47" si="56">IF(K47="NA",1,0)</f>
        <v>0</v>
      </c>
      <c r="S47" s="10">
        <f t="shared" ref="S47" si="57">IF(K47="Deviation",1,0)</f>
        <v>0</v>
      </c>
      <c r="T47" s="1">
        <f t="shared" ref="T47" si="58">IF(K47="In analysis",1,0)</f>
        <v>0</v>
      </c>
      <c r="U47" s="1">
        <f t="shared" ref="U47" si="59">IF(K47="NOK minor",1,0)</f>
        <v>0</v>
      </c>
      <c r="V47" s="1">
        <f t="shared" ref="V47" si="60">IF(K47="NOK major",1,0)</f>
        <v>0</v>
      </c>
      <c r="W47" s="7">
        <f t="shared" ref="W47" si="61">IF(K47="OK",1,0)</f>
        <v>0</v>
      </c>
      <c r="X47" s="9">
        <f t="shared" si="51"/>
        <v>0</v>
      </c>
      <c r="Y47" s="10">
        <f t="shared" si="52"/>
        <v>0</v>
      </c>
      <c r="Z47" s="1">
        <f t="shared" si="53"/>
        <v>0</v>
      </c>
      <c r="AA47" s="8">
        <f t="shared" si="54"/>
        <v>0</v>
      </c>
    </row>
    <row r="48" spans="1:27" s="2" customFormat="1">
      <c r="A48" s="321"/>
      <c r="B48" s="240" t="str">
        <f>'RFQ response'!C43</f>
        <v>C_ESD_02_V</v>
      </c>
      <c r="C48" s="237" t="str">
        <f>'RFQ response'!E43</f>
        <v xml:space="preserve">Operating </v>
      </c>
      <c r="D48" s="74" t="str">
        <f>'RFQ response'!D43</f>
        <v>REQ-0945126</v>
      </c>
      <c r="E48" s="238" t="str">
        <f>'RFQ response'!L43</f>
        <v>OK</v>
      </c>
      <c r="F48" s="75"/>
      <c r="G48" s="74"/>
      <c r="H48" s="74"/>
      <c r="I48" s="95"/>
      <c r="J48" s="75"/>
      <c r="K48" s="74"/>
      <c r="L48" s="74"/>
      <c r="M48" s="173"/>
      <c r="N48" s="239"/>
      <c r="O48" s="239"/>
      <c r="P48"/>
      <c r="Q48" s="9">
        <f t="shared" ref="Q48" si="62">IF(K48="On going",1,0)</f>
        <v>0</v>
      </c>
      <c r="R48" s="10">
        <f t="shared" ref="R48" si="63">IF(K48="NA",1,0)</f>
        <v>0</v>
      </c>
      <c r="S48" s="10">
        <f t="shared" ref="S48" si="64">IF(K48="Deviation",1,0)</f>
        <v>0</v>
      </c>
      <c r="T48" s="1">
        <f t="shared" ref="T48" si="65">IF(K48="In analysis",1,0)</f>
        <v>0</v>
      </c>
      <c r="U48" s="1">
        <f t="shared" ref="U48" si="66">IF(K48="NOK minor",1,0)</f>
        <v>0</v>
      </c>
      <c r="V48" s="1">
        <f t="shared" ref="V48" si="67">IF(K48="NOK major",1,0)</f>
        <v>0</v>
      </c>
      <c r="W48" s="7">
        <f t="shared" ref="W48" si="68">IF(K48="OK",1,0)</f>
        <v>0</v>
      </c>
      <c r="X48" s="9">
        <f t="shared" si="51"/>
        <v>0</v>
      </c>
      <c r="Y48" s="10">
        <f t="shared" si="52"/>
        <v>0</v>
      </c>
      <c r="Z48" s="1">
        <f t="shared" si="53"/>
        <v>0</v>
      </c>
      <c r="AA48" s="8">
        <f t="shared" si="54"/>
        <v>0</v>
      </c>
    </row>
    <row r="49" spans="1:27" s="2" customFormat="1">
      <c r="A49" s="321"/>
      <c r="B49" s="240" t="str">
        <f>'RFQ response'!C44</f>
        <v>SET1</v>
      </c>
      <c r="C49" s="237" t="str">
        <f>'RFQ response'!E44</f>
        <v>Electrical consumptions measurement</v>
      </c>
      <c r="D49" s="74" t="str">
        <f>'RFQ response'!D44</f>
        <v>REQ-0994080</v>
      </c>
      <c r="E49" s="238" t="str">
        <f>'RFQ response'!L44</f>
        <v>OK</v>
      </c>
      <c r="F49" s="75"/>
      <c r="G49" s="74"/>
      <c r="H49" s="74"/>
      <c r="I49" s="95"/>
      <c r="J49" s="75"/>
      <c r="K49" s="74"/>
      <c r="L49" s="74"/>
      <c r="M49" s="173"/>
      <c r="N49" s="239"/>
      <c r="O49" s="239"/>
      <c r="P49"/>
      <c r="Q49" s="9"/>
      <c r="R49" s="10"/>
      <c r="S49" s="10"/>
      <c r="T49" s="1"/>
      <c r="U49" s="1"/>
      <c r="V49" s="1"/>
      <c r="W49" s="7"/>
      <c r="X49" s="9"/>
      <c r="Y49" s="10"/>
      <c r="Z49" s="1"/>
      <c r="AA49" s="8"/>
    </row>
    <row r="50" spans="1:27" s="2" customFormat="1" ht="15.75" customHeight="1">
      <c r="A50" s="321"/>
      <c r="B50" s="801" t="s">
        <v>551</v>
      </c>
      <c r="C50" s="801"/>
      <c r="D50" s="801"/>
      <c r="E50" s="801"/>
      <c r="F50" s="801"/>
      <c r="G50" s="801"/>
      <c r="H50" s="801"/>
      <c r="I50" s="801"/>
      <c r="J50" s="801"/>
      <c r="K50" s="801"/>
      <c r="L50" s="801"/>
      <c r="M50" s="801"/>
      <c r="N50" s="801"/>
      <c r="O50" s="802"/>
      <c r="P50"/>
      <c r="Q50" s="9">
        <f>IF(K50="On going",1,0)</f>
        <v>0</v>
      </c>
      <c r="R50" s="10">
        <f>IF(K50="NA",1,0)</f>
        <v>0</v>
      </c>
      <c r="S50" s="10">
        <f>IF(K50="Deviation",1,0)</f>
        <v>0</v>
      </c>
      <c r="T50" s="1">
        <f>IF(K50="In analysis",1,0)</f>
        <v>0</v>
      </c>
      <c r="U50" s="1">
        <f>IF(K50="NOK minor",1,0)</f>
        <v>0</v>
      </c>
      <c r="V50" s="1">
        <f>IF(K50="NOK major",1,0)</f>
        <v>0</v>
      </c>
      <c r="W50" s="7">
        <f>IF(K50="OK",1,0)</f>
        <v>0</v>
      </c>
      <c r="X50" s="9">
        <f>IF($J50="On going",1,0)</f>
        <v>0</v>
      </c>
      <c r="Y50" s="10">
        <f>IF($J50="NA",1,0)</f>
        <v>0</v>
      </c>
      <c r="Z50" s="1">
        <f>IF($J50="NOK",1,0)</f>
        <v>0</v>
      </c>
      <c r="AA50" s="8">
        <f>IF($J50="OK",1,0)</f>
        <v>0</v>
      </c>
    </row>
    <row r="51" spans="1:27" s="2" customFormat="1">
      <c r="A51" s="321"/>
      <c r="B51" s="240" t="str">
        <f>'RFQ response'!C46</f>
        <v>-</v>
      </c>
      <c r="C51" s="237" t="str">
        <f>'RFQ response'!E46</f>
        <v>Connectors tests</v>
      </c>
      <c r="D51" s="74" t="str">
        <f>'RFQ response'!D46</f>
        <v xml:space="preserve">REQ-0994082 </v>
      </c>
      <c r="E51" s="238" t="str">
        <f>'RFQ response'!L46</f>
        <v>OK</v>
      </c>
      <c r="F51" s="75"/>
      <c r="G51" s="74"/>
      <c r="H51" s="74"/>
      <c r="I51" s="95"/>
      <c r="J51" s="75"/>
      <c r="K51" s="74"/>
      <c r="L51" s="74"/>
      <c r="M51" s="173"/>
      <c r="N51" s="239"/>
      <c r="O51" s="239"/>
      <c r="P51"/>
      <c r="Q51" s="9">
        <f t="shared" ref="Q51:Q99" si="69">IF(K51="On going",1,0)</f>
        <v>0</v>
      </c>
      <c r="R51" s="10">
        <f t="shared" ref="R51:R99" si="70">IF(K51="NA",1,0)</f>
        <v>0</v>
      </c>
      <c r="S51" s="10">
        <f t="shared" ref="S51:S99" si="71">IF(K51="Deviation",1,0)</f>
        <v>0</v>
      </c>
      <c r="T51" s="1">
        <f t="shared" ref="T51:T99" si="72">IF(K51="In analysis",1,0)</f>
        <v>0</v>
      </c>
      <c r="U51" s="1">
        <f t="shared" ref="U51:U99" si="73">IF(K51="NOK minor",1,0)</f>
        <v>0</v>
      </c>
      <c r="V51" s="1">
        <f t="shared" ref="V51:V99" si="74">IF(K51="NOK major",1,0)</f>
        <v>0</v>
      </c>
      <c r="W51" s="7">
        <f t="shared" ref="W51:W99" si="75">IF(K51="OK",1,0)</f>
        <v>0</v>
      </c>
      <c r="X51" s="9">
        <f t="shared" si="51"/>
        <v>0</v>
      </c>
      <c r="Y51" s="10">
        <f t="shared" si="52"/>
        <v>0</v>
      </c>
      <c r="Z51" s="1">
        <f t="shared" si="53"/>
        <v>0</v>
      </c>
      <c r="AA51" s="8">
        <f t="shared" si="54"/>
        <v>0</v>
      </c>
    </row>
    <row r="52" spans="1:27" s="2" customFormat="1" ht="22.5" customHeight="1">
      <c r="A52" s="321"/>
      <c r="B52" s="803" t="s">
        <v>450</v>
      </c>
      <c r="C52" s="803"/>
      <c r="D52" s="803"/>
      <c r="E52" s="803"/>
      <c r="F52" s="803"/>
      <c r="G52" s="803"/>
      <c r="H52" s="803"/>
      <c r="I52" s="803"/>
      <c r="J52" s="803"/>
      <c r="K52" s="803"/>
      <c r="L52" s="803"/>
      <c r="M52" s="803"/>
      <c r="N52" s="803"/>
      <c r="O52" s="804"/>
      <c r="P52"/>
      <c r="Q52" s="9">
        <f t="shared" si="69"/>
        <v>0</v>
      </c>
      <c r="R52" s="10">
        <f t="shared" si="70"/>
        <v>0</v>
      </c>
      <c r="S52" s="10">
        <f t="shared" si="71"/>
        <v>0</v>
      </c>
      <c r="T52" s="1">
        <f t="shared" si="72"/>
        <v>0</v>
      </c>
      <c r="U52" s="1">
        <f t="shared" si="73"/>
        <v>0</v>
      </c>
      <c r="V52" s="1">
        <f t="shared" si="74"/>
        <v>0</v>
      </c>
      <c r="W52" s="7">
        <f t="shared" si="75"/>
        <v>0</v>
      </c>
      <c r="X52" s="9">
        <f t="shared" si="51"/>
        <v>0</v>
      </c>
      <c r="Y52" s="10">
        <f t="shared" si="52"/>
        <v>0</v>
      </c>
      <c r="Z52" s="1">
        <f t="shared" si="53"/>
        <v>0</v>
      </c>
      <c r="AA52" s="8">
        <f t="shared" si="54"/>
        <v>0</v>
      </c>
    </row>
    <row r="53" spans="1:27" s="2" customFormat="1">
      <c r="A53" s="321"/>
      <c r="B53" s="240" t="str">
        <f>'RFQ response'!C48</f>
        <v xml:space="preserve"> -</v>
      </c>
      <c r="C53" s="237" t="str">
        <f>'RFQ response'!E48</f>
        <v>Requirements on connectors &amp; wiring harness</v>
      </c>
      <c r="D53" s="74" t="str">
        <f>'RFQ response'!D48</f>
        <v>REQ-0945120</v>
      </c>
      <c r="E53" s="238" t="str">
        <f>'RFQ response'!L48</f>
        <v>NA</v>
      </c>
      <c r="F53" s="75"/>
      <c r="G53" s="74"/>
      <c r="H53" s="74"/>
      <c r="I53" s="95"/>
      <c r="J53" s="75"/>
      <c r="K53" s="74"/>
      <c r="L53" s="74"/>
      <c r="M53" s="173"/>
      <c r="N53" s="239"/>
      <c r="O53" s="239"/>
      <c r="P53"/>
      <c r="Q53" s="9">
        <f t="shared" si="69"/>
        <v>0</v>
      </c>
      <c r="R53" s="10">
        <f t="shared" si="70"/>
        <v>0</v>
      </c>
      <c r="S53" s="10">
        <f t="shared" si="71"/>
        <v>0</v>
      </c>
      <c r="T53" s="1">
        <f t="shared" si="72"/>
        <v>0</v>
      </c>
      <c r="U53" s="1">
        <f t="shared" si="73"/>
        <v>0</v>
      </c>
      <c r="V53" s="1">
        <f t="shared" si="74"/>
        <v>0</v>
      </c>
      <c r="W53" s="7">
        <f t="shared" si="75"/>
        <v>0</v>
      </c>
      <c r="X53" s="9">
        <f t="shared" si="51"/>
        <v>0</v>
      </c>
      <c r="Y53" s="10">
        <f t="shared" si="52"/>
        <v>0</v>
      </c>
      <c r="Z53" s="1">
        <f t="shared" si="53"/>
        <v>0</v>
      </c>
      <c r="AA53" s="8">
        <f t="shared" si="54"/>
        <v>0</v>
      </c>
    </row>
    <row r="54" spans="1:27" s="2" customFormat="1">
      <c r="A54" s="321"/>
      <c r="B54" s="240" t="str">
        <f>'RFQ response'!C49</f>
        <v xml:space="preserve"> -</v>
      </c>
      <c r="C54" s="237" t="str">
        <f>'RFQ response'!E49</f>
        <v>Device restraint performance</v>
      </c>
      <c r="D54" s="74" t="str">
        <f>'RFQ response'!D49</f>
        <v>REQ-0945142</v>
      </c>
      <c r="E54" s="238" t="str">
        <f>'RFQ response'!L49</f>
        <v>NA</v>
      </c>
      <c r="F54" s="75"/>
      <c r="G54" s="74"/>
      <c r="H54" s="74"/>
      <c r="I54" s="95"/>
      <c r="J54" s="75"/>
      <c r="K54" s="74"/>
      <c r="L54" s="74"/>
      <c r="M54" s="173"/>
      <c r="N54" s="239"/>
      <c r="O54" s="239"/>
      <c r="P54"/>
      <c r="Q54" s="9">
        <f t="shared" si="69"/>
        <v>0</v>
      </c>
      <c r="R54" s="10">
        <f t="shared" si="70"/>
        <v>0</v>
      </c>
      <c r="S54" s="10">
        <f t="shared" si="71"/>
        <v>0</v>
      </c>
      <c r="T54" s="1">
        <f t="shared" si="72"/>
        <v>0</v>
      </c>
      <c r="U54" s="1">
        <f t="shared" si="73"/>
        <v>0</v>
      </c>
      <c r="V54" s="1">
        <f t="shared" si="74"/>
        <v>0</v>
      </c>
      <c r="W54" s="7">
        <f t="shared" si="75"/>
        <v>0</v>
      </c>
      <c r="X54" s="9">
        <f t="shared" si="51"/>
        <v>0</v>
      </c>
      <c r="Y54" s="10">
        <f t="shared" si="52"/>
        <v>0</v>
      </c>
      <c r="Z54" s="1">
        <f t="shared" si="53"/>
        <v>0</v>
      </c>
      <c r="AA54" s="8">
        <f t="shared" si="54"/>
        <v>0</v>
      </c>
    </row>
    <row r="55" spans="1:27" s="2" customFormat="1">
      <c r="A55" s="321"/>
      <c r="B55" s="240" t="str">
        <f>'RFQ response'!C50</f>
        <v xml:space="preserve"> -</v>
      </c>
      <c r="C55" s="237" t="str">
        <f>'RFQ response'!E50</f>
        <v>Terminals mechanical resistance</v>
      </c>
      <c r="D55" s="74" t="str">
        <f>'RFQ response'!D50</f>
        <v>REQ-0945143</v>
      </c>
      <c r="E55" s="238" t="str">
        <f>'RFQ response'!L50</f>
        <v>NA</v>
      </c>
      <c r="F55" s="75"/>
      <c r="G55" s="74"/>
      <c r="H55" s="74"/>
      <c r="I55" s="95"/>
      <c r="J55" s="75"/>
      <c r="K55" s="74"/>
      <c r="L55" s="74"/>
      <c r="M55" s="173"/>
      <c r="N55" s="239"/>
      <c r="O55" s="239"/>
      <c r="P55"/>
      <c r="Q55" s="9">
        <f t="shared" si="69"/>
        <v>0</v>
      </c>
      <c r="R55" s="10">
        <f t="shared" si="70"/>
        <v>0</v>
      </c>
      <c r="S55" s="10">
        <f t="shared" si="71"/>
        <v>0</v>
      </c>
      <c r="T55" s="1">
        <f t="shared" si="72"/>
        <v>0</v>
      </c>
      <c r="U55" s="1">
        <f t="shared" si="73"/>
        <v>0</v>
      </c>
      <c r="V55" s="1">
        <f t="shared" si="74"/>
        <v>0</v>
      </c>
      <c r="W55" s="7">
        <f t="shared" si="75"/>
        <v>0</v>
      </c>
      <c r="X55" s="9">
        <f t="shared" si="51"/>
        <v>0</v>
      </c>
      <c r="Y55" s="10">
        <f t="shared" si="52"/>
        <v>0</v>
      </c>
      <c r="Z55" s="1">
        <f t="shared" si="53"/>
        <v>0</v>
      </c>
      <c r="AA55" s="8">
        <f t="shared" si="54"/>
        <v>0</v>
      </c>
    </row>
    <row r="56" spans="1:27" s="2" customFormat="1">
      <c r="A56" s="321"/>
      <c r="B56" s="240" t="str">
        <f>'RFQ response'!C51</f>
        <v xml:space="preserve"> -</v>
      </c>
      <c r="C56" s="237" t="str">
        <f>'RFQ response'!E51</f>
        <v>Mechanical vibration</v>
      </c>
      <c r="D56" s="74" t="str">
        <f>'RFQ response'!D51</f>
        <v>REQ-0945144</v>
      </c>
      <c r="E56" s="238" t="str">
        <f>'RFQ response'!L51</f>
        <v>NA</v>
      </c>
      <c r="F56" s="75"/>
      <c r="G56" s="74"/>
      <c r="H56" s="74"/>
      <c r="I56" s="95"/>
      <c r="J56" s="75"/>
      <c r="K56" s="74"/>
      <c r="L56" s="74"/>
      <c r="M56" s="173"/>
      <c r="N56" s="239"/>
      <c r="O56" s="239"/>
      <c r="P56"/>
      <c r="Q56" s="9">
        <f t="shared" si="69"/>
        <v>0</v>
      </c>
      <c r="R56" s="10">
        <f t="shared" si="70"/>
        <v>0</v>
      </c>
      <c r="S56" s="10">
        <f t="shared" si="71"/>
        <v>0</v>
      </c>
      <c r="T56" s="1">
        <f t="shared" si="72"/>
        <v>0</v>
      </c>
      <c r="U56" s="1">
        <f t="shared" si="73"/>
        <v>0</v>
      </c>
      <c r="V56" s="1">
        <f t="shared" si="74"/>
        <v>0</v>
      </c>
      <c r="W56" s="7">
        <f t="shared" si="75"/>
        <v>0</v>
      </c>
      <c r="X56" s="9">
        <f t="shared" si="51"/>
        <v>0</v>
      </c>
      <c r="Y56" s="10">
        <f t="shared" si="52"/>
        <v>0</v>
      </c>
      <c r="Z56" s="1">
        <f t="shared" si="53"/>
        <v>0</v>
      </c>
      <c r="AA56" s="8">
        <f t="shared" si="54"/>
        <v>0</v>
      </c>
    </row>
    <row r="57" spans="1:27" s="2" customFormat="1">
      <c r="A57" s="321"/>
      <c r="B57" s="240" t="str">
        <f>'RFQ response'!C52</f>
        <v xml:space="preserve"> -</v>
      </c>
      <c r="C57" s="237" t="str">
        <f>'RFQ response'!E52</f>
        <v>Mechanical shock</v>
      </c>
      <c r="D57" s="74" t="str">
        <f>'RFQ response'!D52</f>
        <v>REQ-0945149</v>
      </c>
      <c r="E57" s="238" t="str">
        <f>'RFQ response'!L52</f>
        <v>NA</v>
      </c>
      <c r="F57" s="75"/>
      <c r="G57" s="74"/>
      <c r="H57" s="74"/>
      <c r="I57" s="95"/>
      <c r="J57" s="75"/>
      <c r="K57" s="74"/>
      <c r="L57" s="74"/>
      <c r="M57" s="173"/>
      <c r="N57" s="239"/>
      <c r="O57" s="239"/>
      <c r="P57"/>
      <c r="Q57" s="9">
        <f t="shared" si="69"/>
        <v>0</v>
      </c>
      <c r="R57" s="10">
        <f t="shared" si="70"/>
        <v>0</v>
      </c>
      <c r="S57" s="10">
        <f t="shared" si="71"/>
        <v>0</v>
      </c>
      <c r="T57" s="1">
        <f t="shared" si="72"/>
        <v>0</v>
      </c>
      <c r="U57" s="1">
        <f t="shared" si="73"/>
        <v>0</v>
      </c>
      <c r="V57" s="1">
        <f t="shared" si="74"/>
        <v>0</v>
      </c>
      <c r="W57" s="7">
        <f t="shared" si="75"/>
        <v>0</v>
      </c>
      <c r="X57" s="9">
        <f t="shared" si="51"/>
        <v>0</v>
      </c>
      <c r="Y57" s="10">
        <f t="shared" si="52"/>
        <v>0</v>
      </c>
      <c r="Z57" s="1">
        <f t="shared" si="53"/>
        <v>0</v>
      </c>
      <c r="AA57" s="8">
        <f t="shared" si="54"/>
        <v>0</v>
      </c>
    </row>
    <row r="58" spans="1:27" s="2" customFormat="1">
      <c r="A58" s="321"/>
      <c r="B58" s="240" t="str">
        <f>'RFQ response'!C53</f>
        <v xml:space="preserve"> -</v>
      </c>
      <c r="C58" s="546" t="str">
        <f>'RFQ response'!E53</f>
        <v>Mechanical shock endurance</v>
      </c>
      <c r="D58" s="547" t="str">
        <f>'RFQ response'!D53</f>
        <v xml:space="preserve"> -</v>
      </c>
      <c r="E58" s="548" t="str">
        <f>'RFQ response'!L53</f>
        <v>NA</v>
      </c>
      <c r="F58" s="504"/>
      <c r="G58" s="502"/>
      <c r="H58" s="502"/>
      <c r="I58" s="505"/>
      <c r="J58" s="504"/>
      <c r="K58" s="502"/>
      <c r="L58" s="502"/>
      <c r="M58" s="506"/>
      <c r="N58" s="507"/>
      <c r="O58" s="507"/>
      <c r="P58"/>
      <c r="Q58" s="9">
        <f t="shared" si="69"/>
        <v>0</v>
      </c>
      <c r="R58" s="10">
        <f t="shared" si="70"/>
        <v>0</v>
      </c>
      <c r="S58" s="10">
        <f t="shared" si="71"/>
        <v>0</v>
      </c>
      <c r="T58" s="1">
        <f t="shared" si="72"/>
        <v>0</v>
      </c>
      <c r="U58" s="1">
        <f t="shared" si="73"/>
        <v>0</v>
      </c>
      <c r="V58" s="1">
        <f t="shared" si="74"/>
        <v>0</v>
      </c>
      <c r="W58" s="7">
        <f t="shared" si="75"/>
        <v>0</v>
      </c>
      <c r="X58" s="9">
        <f t="shared" si="51"/>
        <v>0</v>
      </c>
      <c r="Y58" s="10">
        <f t="shared" si="52"/>
        <v>0</v>
      </c>
      <c r="Z58" s="1">
        <f t="shared" si="53"/>
        <v>0</v>
      </c>
      <c r="AA58" s="8">
        <f t="shared" si="54"/>
        <v>0</v>
      </c>
    </row>
    <row r="59" spans="1:27" s="2" customFormat="1">
      <c r="A59" s="321"/>
      <c r="B59" s="240" t="str">
        <f>'RFQ response'!C54</f>
        <v xml:space="preserve"> -</v>
      </c>
      <c r="C59" s="237" t="str">
        <f>'RFQ response'!E54</f>
        <v>Handling drop</v>
      </c>
      <c r="D59" s="74" t="str">
        <f>'RFQ response'!D54</f>
        <v>REQ-0945119</v>
      </c>
      <c r="E59" s="238" t="str">
        <f>'RFQ response'!L54</f>
        <v>NA</v>
      </c>
      <c r="F59" s="75"/>
      <c r="G59" s="74"/>
      <c r="H59" s="74"/>
      <c r="I59" s="95"/>
      <c r="J59" s="75"/>
      <c r="K59" s="74"/>
      <c r="L59" s="74"/>
      <c r="M59" s="173"/>
      <c r="N59" s="239"/>
      <c r="O59" s="239"/>
      <c r="P59"/>
      <c r="Q59" s="9">
        <f t="shared" si="69"/>
        <v>0</v>
      </c>
      <c r="R59" s="10">
        <f t="shared" si="70"/>
        <v>0</v>
      </c>
      <c r="S59" s="10">
        <f t="shared" si="71"/>
        <v>0</v>
      </c>
      <c r="T59" s="1">
        <f t="shared" si="72"/>
        <v>0</v>
      </c>
      <c r="U59" s="1">
        <f t="shared" si="73"/>
        <v>0</v>
      </c>
      <c r="V59" s="1">
        <f t="shared" si="74"/>
        <v>0</v>
      </c>
      <c r="W59" s="7">
        <f t="shared" si="75"/>
        <v>0</v>
      </c>
      <c r="X59" s="9">
        <f t="shared" si="51"/>
        <v>0</v>
      </c>
      <c r="Y59" s="10">
        <f t="shared" si="52"/>
        <v>0</v>
      </c>
      <c r="Z59" s="1">
        <f t="shared" si="53"/>
        <v>0</v>
      </c>
      <c r="AA59" s="8">
        <f t="shared" si="54"/>
        <v>0</v>
      </c>
    </row>
    <row r="60" spans="1:27" s="2" customFormat="1">
      <c r="A60" s="321"/>
      <c r="B60" s="240" t="str">
        <f>'RFQ response'!C55</f>
        <v>MEAE</v>
      </c>
      <c r="C60" s="237" t="str">
        <f>'RFQ response'!E55</f>
        <v>Mechanical (hydraulic) and electrical activation endurance</v>
      </c>
      <c r="D60" s="74" t="str">
        <f>'RFQ response'!D55</f>
        <v>REQ-0945118</v>
      </c>
      <c r="E60" s="238" t="str">
        <f>'RFQ response'!L55</f>
        <v>NA</v>
      </c>
      <c r="F60" s="75"/>
      <c r="G60" s="74"/>
      <c r="H60" s="74"/>
      <c r="I60" s="95"/>
      <c r="J60" s="75"/>
      <c r="K60" s="74"/>
      <c r="L60" s="74"/>
      <c r="M60" s="173"/>
      <c r="N60" s="239"/>
      <c r="O60" s="239"/>
      <c r="P60"/>
      <c r="Q60" s="9">
        <f t="shared" si="69"/>
        <v>0</v>
      </c>
      <c r="R60" s="10">
        <f t="shared" si="70"/>
        <v>0</v>
      </c>
      <c r="S60" s="10">
        <f t="shared" si="71"/>
        <v>0</v>
      </c>
      <c r="T60" s="1">
        <f t="shared" si="72"/>
        <v>0</v>
      </c>
      <c r="U60" s="1">
        <f t="shared" si="73"/>
        <v>0</v>
      </c>
      <c r="V60" s="1">
        <f t="shared" si="74"/>
        <v>0</v>
      </c>
      <c r="W60" s="7">
        <f t="shared" si="75"/>
        <v>0</v>
      </c>
      <c r="X60" s="9">
        <f t="shared" si="51"/>
        <v>0</v>
      </c>
      <c r="Y60" s="10">
        <f t="shared" si="52"/>
        <v>0</v>
      </c>
      <c r="Z60" s="1">
        <f t="shared" si="53"/>
        <v>0</v>
      </c>
      <c r="AA60" s="8">
        <f t="shared" si="54"/>
        <v>0</v>
      </c>
    </row>
    <row r="61" spans="1:27" s="2" customFormat="1">
      <c r="A61" s="321"/>
      <c r="B61" s="240" t="str">
        <f>'RFQ response'!C56</f>
        <v xml:space="preserve"> -</v>
      </c>
      <c r="C61" s="546" t="str">
        <f>'RFQ response'!E56</f>
        <v>Gravel bombardment</v>
      </c>
      <c r="D61" s="547" t="str">
        <f>'RFQ response'!D56</f>
        <v xml:space="preserve"> -</v>
      </c>
      <c r="E61" s="548" t="str">
        <f>'RFQ response'!L56</f>
        <v>NA</v>
      </c>
      <c r="F61" s="504"/>
      <c r="G61" s="502"/>
      <c r="H61" s="502"/>
      <c r="I61" s="505"/>
      <c r="J61" s="504"/>
      <c r="K61" s="502"/>
      <c r="L61" s="502"/>
      <c r="M61" s="506"/>
      <c r="N61" s="507"/>
      <c r="O61" s="507"/>
      <c r="P61"/>
      <c r="Q61" s="9">
        <f t="shared" si="69"/>
        <v>0</v>
      </c>
      <c r="R61" s="10">
        <f t="shared" si="70"/>
        <v>0</v>
      </c>
      <c r="S61" s="10">
        <f t="shared" si="71"/>
        <v>0</v>
      </c>
      <c r="T61" s="1">
        <f t="shared" si="72"/>
        <v>0</v>
      </c>
      <c r="U61" s="1">
        <f t="shared" si="73"/>
        <v>0</v>
      </c>
      <c r="V61" s="1">
        <f t="shared" si="74"/>
        <v>0</v>
      </c>
      <c r="W61" s="7">
        <f t="shared" si="75"/>
        <v>0</v>
      </c>
      <c r="X61" s="9">
        <f t="shared" si="51"/>
        <v>0</v>
      </c>
      <c r="Y61" s="10">
        <f t="shared" si="52"/>
        <v>0</v>
      </c>
      <c r="Z61" s="1">
        <f t="shared" si="53"/>
        <v>0</v>
      </c>
      <c r="AA61" s="8">
        <f t="shared" si="54"/>
        <v>0</v>
      </c>
    </row>
    <row r="62" spans="1:27" s="2" customFormat="1">
      <c r="A62" s="321"/>
      <c r="B62" s="240" t="str">
        <f>'RFQ response'!C57</f>
        <v>SMT1.1</v>
      </c>
      <c r="C62" s="237" t="str">
        <f>'RFQ response'!E57</f>
        <v>Pull Test (200N)</v>
      </c>
      <c r="D62" s="74" t="str">
        <f>'RFQ response'!D57</f>
        <v>REQ-0945079</v>
      </c>
      <c r="E62" s="238" t="str">
        <f>'RFQ response'!L57</f>
        <v>NA</v>
      </c>
      <c r="F62" s="75"/>
      <c r="G62" s="74"/>
      <c r="H62" s="74"/>
      <c r="I62" s="95"/>
      <c r="J62" s="75"/>
      <c r="K62" s="74"/>
      <c r="L62" s="74"/>
      <c r="M62" s="173"/>
      <c r="N62" s="239"/>
      <c r="O62" s="239"/>
      <c r="P62"/>
      <c r="Q62" s="9">
        <f t="shared" si="69"/>
        <v>0</v>
      </c>
      <c r="R62" s="10">
        <f t="shared" si="70"/>
        <v>0</v>
      </c>
      <c r="S62" s="10">
        <f t="shared" si="71"/>
        <v>0</v>
      </c>
      <c r="T62" s="1">
        <f t="shared" si="72"/>
        <v>0</v>
      </c>
      <c r="U62" s="1">
        <f t="shared" si="73"/>
        <v>0</v>
      </c>
      <c r="V62" s="1">
        <f t="shared" si="74"/>
        <v>0</v>
      </c>
      <c r="W62" s="7">
        <f t="shared" si="75"/>
        <v>0</v>
      </c>
      <c r="X62" s="9">
        <f t="shared" si="51"/>
        <v>0</v>
      </c>
      <c r="Y62" s="10">
        <f t="shared" si="52"/>
        <v>0</v>
      </c>
      <c r="Z62" s="1">
        <f t="shared" si="53"/>
        <v>0</v>
      </c>
      <c r="AA62" s="8">
        <f t="shared" si="54"/>
        <v>0</v>
      </c>
    </row>
    <row r="63" spans="1:27" s="2" customFormat="1">
      <c r="A63" s="321"/>
      <c r="B63" s="240" t="str">
        <f>'RFQ response'!C58</f>
        <v>SMT1.2</v>
      </c>
      <c r="C63" s="237" t="str">
        <f>'RFQ response'!E58</f>
        <v>Pull Test (400N)</v>
      </c>
      <c r="D63" s="74" t="str">
        <f>'RFQ response'!D58</f>
        <v>REQ-0945090</v>
      </c>
      <c r="E63" s="238" t="str">
        <f>'RFQ response'!L58</f>
        <v>NA</v>
      </c>
      <c r="F63" s="75"/>
      <c r="G63" s="74"/>
      <c r="H63" s="74"/>
      <c r="I63" s="95"/>
      <c r="J63" s="75"/>
      <c r="K63" s="74"/>
      <c r="L63" s="74"/>
      <c r="M63" s="173"/>
      <c r="N63" s="239"/>
      <c r="O63" s="239"/>
      <c r="P63"/>
      <c r="Q63" s="9">
        <f t="shared" si="69"/>
        <v>0</v>
      </c>
      <c r="R63" s="10">
        <f t="shared" si="70"/>
        <v>0</v>
      </c>
      <c r="S63" s="10">
        <f t="shared" si="71"/>
        <v>0</v>
      </c>
      <c r="T63" s="1">
        <f t="shared" si="72"/>
        <v>0</v>
      </c>
      <c r="U63" s="1">
        <f t="shared" si="73"/>
        <v>0</v>
      </c>
      <c r="V63" s="1">
        <f t="shared" si="74"/>
        <v>0</v>
      </c>
      <c r="W63" s="7">
        <f t="shared" si="75"/>
        <v>0</v>
      </c>
      <c r="X63" s="9">
        <f t="shared" si="51"/>
        <v>0</v>
      </c>
      <c r="Y63" s="10">
        <f t="shared" si="52"/>
        <v>0</v>
      </c>
      <c r="Z63" s="1">
        <f t="shared" si="53"/>
        <v>0</v>
      </c>
      <c r="AA63" s="8">
        <f t="shared" si="54"/>
        <v>0</v>
      </c>
    </row>
    <row r="64" spans="1:27" s="2" customFormat="1">
      <c r="A64" s="321"/>
      <c r="B64" s="240" t="str">
        <f>'RFQ response'!C59</f>
        <v>SMT2.2</v>
      </c>
      <c r="C64" s="237" t="str">
        <f>'RFQ response'!E59</f>
        <v>Folding, unfolding and adjustment noise</v>
      </c>
      <c r="D64" s="74" t="str">
        <f>'RFQ response'!D59</f>
        <v>REQ-0945146</v>
      </c>
      <c r="E64" s="238" t="str">
        <f>'RFQ response'!L59</f>
        <v>NA</v>
      </c>
      <c r="F64" s="75"/>
      <c r="G64" s="74"/>
      <c r="H64" s="74"/>
      <c r="I64" s="95"/>
      <c r="J64" s="75"/>
      <c r="K64" s="74"/>
      <c r="L64" s="74"/>
      <c r="M64" s="173"/>
      <c r="N64" s="239"/>
      <c r="O64" s="239"/>
      <c r="P64"/>
      <c r="Q64" s="9">
        <f t="shared" si="69"/>
        <v>0</v>
      </c>
      <c r="R64" s="10">
        <f t="shared" si="70"/>
        <v>0</v>
      </c>
      <c r="S64" s="10">
        <f t="shared" si="71"/>
        <v>0</v>
      </c>
      <c r="T64" s="1">
        <f t="shared" si="72"/>
        <v>0</v>
      </c>
      <c r="U64" s="1">
        <f t="shared" si="73"/>
        <v>0</v>
      </c>
      <c r="V64" s="1">
        <f t="shared" si="74"/>
        <v>0</v>
      </c>
      <c r="W64" s="7">
        <f t="shared" si="75"/>
        <v>0</v>
      </c>
      <c r="X64" s="9">
        <f t="shared" si="51"/>
        <v>0</v>
      </c>
      <c r="Y64" s="10">
        <f t="shared" si="52"/>
        <v>0</v>
      </c>
      <c r="Z64" s="1">
        <f t="shared" si="53"/>
        <v>0</v>
      </c>
      <c r="AA64" s="8">
        <f t="shared" si="54"/>
        <v>0</v>
      </c>
    </row>
    <row r="65" spans="1:27" s="2" customFormat="1">
      <c r="A65" s="321"/>
      <c r="B65" s="240" t="str">
        <f>'RFQ response'!C60</f>
        <v>SMT2.3</v>
      </c>
      <c r="C65" s="237" t="str">
        <f>'RFQ response'!E60</f>
        <v>Electronic noise</v>
      </c>
      <c r="D65" s="74" t="str">
        <f>'RFQ response'!D60</f>
        <v>REQ-0945147</v>
      </c>
      <c r="E65" s="238" t="str">
        <f>'RFQ response'!L60</f>
        <v>OK</v>
      </c>
      <c r="F65" s="75"/>
      <c r="G65" s="74"/>
      <c r="H65" s="74"/>
      <c r="I65" s="95"/>
      <c r="J65" s="75"/>
      <c r="K65" s="74"/>
      <c r="L65" s="74"/>
      <c r="M65" s="173"/>
      <c r="N65" s="239"/>
      <c r="O65" s="239"/>
      <c r="P65"/>
      <c r="Q65" s="9">
        <f t="shared" si="69"/>
        <v>0</v>
      </c>
      <c r="R65" s="10">
        <f t="shared" si="70"/>
        <v>0</v>
      </c>
      <c r="S65" s="10">
        <f t="shared" si="71"/>
        <v>0</v>
      </c>
      <c r="T65" s="1">
        <f t="shared" si="72"/>
        <v>0</v>
      </c>
      <c r="U65" s="1">
        <f t="shared" si="73"/>
        <v>0</v>
      </c>
      <c r="V65" s="1">
        <f t="shared" si="74"/>
        <v>0</v>
      </c>
      <c r="W65" s="7">
        <f t="shared" si="75"/>
        <v>0</v>
      </c>
      <c r="X65" s="9">
        <f t="shared" si="51"/>
        <v>0</v>
      </c>
      <c r="Y65" s="10">
        <f t="shared" si="52"/>
        <v>0</v>
      </c>
      <c r="Z65" s="1">
        <f t="shared" si="53"/>
        <v>0</v>
      </c>
      <c r="AA65" s="8">
        <f t="shared" si="54"/>
        <v>0</v>
      </c>
    </row>
    <row r="66" spans="1:27" s="2" customFormat="1">
      <c r="A66" s="321"/>
      <c r="B66" s="240" t="str">
        <f>'RFQ response'!C61</f>
        <v>SMT3</v>
      </c>
      <c r="C66" s="237" t="str">
        <f>'RFQ response'!E61</f>
        <v>Unwanted noise – Vibratory organic test</v>
      </c>
      <c r="D66" s="74" t="str">
        <f>'RFQ response'!D61</f>
        <v>REQ-0945148</v>
      </c>
      <c r="E66" s="238" t="str">
        <f>'RFQ response'!L61</f>
        <v>NA</v>
      </c>
      <c r="F66" s="75"/>
      <c r="G66" s="74"/>
      <c r="H66" s="74"/>
      <c r="I66" s="95"/>
      <c r="J66" s="75"/>
      <c r="K66" s="74"/>
      <c r="L66" s="74"/>
      <c r="M66" s="173"/>
      <c r="N66" s="239"/>
      <c r="O66" s="239"/>
      <c r="P66"/>
      <c r="Q66" s="9">
        <f t="shared" si="69"/>
        <v>0</v>
      </c>
      <c r="R66" s="10">
        <f t="shared" si="70"/>
        <v>0</v>
      </c>
      <c r="S66" s="10">
        <f t="shared" si="71"/>
        <v>0</v>
      </c>
      <c r="T66" s="1">
        <f t="shared" si="72"/>
        <v>0</v>
      </c>
      <c r="U66" s="1">
        <f t="shared" si="73"/>
        <v>0</v>
      </c>
      <c r="V66" s="1">
        <f t="shared" si="74"/>
        <v>0</v>
      </c>
      <c r="W66" s="7">
        <f t="shared" si="75"/>
        <v>0</v>
      </c>
      <c r="X66" s="9">
        <f t="shared" si="51"/>
        <v>0</v>
      </c>
      <c r="Y66" s="10">
        <f t="shared" si="52"/>
        <v>0</v>
      </c>
      <c r="Z66" s="1">
        <f t="shared" si="53"/>
        <v>0</v>
      </c>
      <c r="AA66" s="8">
        <f t="shared" si="54"/>
        <v>0</v>
      </c>
    </row>
    <row r="67" spans="1:27" s="2" customFormat="1" ht="15" customHeight="1">
      <c r="A67" s="321"/>
      <c r="B67" s="240" t="str">
        <f>'RFQ response'!C62</f>
        <v>SMT5</v>
      </c>
      <c r="C67" s="237" t="str">
        <f>'RFQ response'!E62</f>
        <v>Endurance test of folding/unfolding of the combiner</v>
      </c>
      <c r="D67" s="74" t="str">
        <f>'RFQ response'!D62</f>
        <v>REQ-0945151</v>
      </c>
      <c r="E67" s="238" t="str">
        <f>'RFQ response'!L62</f>
        <v>NA</v>
      </c>
      <c r="F67" s="75"/>
      <c r="G67" s="74"/>
      <c r="H67" s="74"/>
      <c r="I67" s="95"/>
      <c r="J67" s="75"/>
      <c r="K67" s="74"/>
      <c r="L67" s="74"/>
      <c r="M67" s="173"/>
      <c r="N67" s="239"/>
      <c r="O67" s="239"/>
      <c r="P67"/>
      <c r="Q67" s="9">
        <f t="shared" si="69"/>
        <v>0</v>
      </c>
      <c r="R67" s="10">
        <f t="shared" si="70"/>
        <v>0</v>
      </c>
      <c r="S67" s="10">
        <f t="shared" si="71"/>
        <v>0</v>
      </c>
      <c r="T67" s="1">
        <f t="shared" si="72"/>
        <v>0</v>
      </c>
      <c r="U67" s="1">
        <f t="shared" si="73"/>
        <v>0</v>
      </c>
      <c r="V67" s="1">
        <f t="shared" si="74"/>
        <v>0</v>
      </c>
      <c r="W67" s="7">
        <f t="shared" si="75"/>
        <v>0</v>
      </c>
      <c r="X67" s="9">
        <f t="shared" si="51"/>
        <v>0</v>
      </c>
      <c r="Y67" s="10">
        <f t="shared" si="52"/>
        <v>0</v>
      </c>
      <c r="Z67" s="1">
        <f t="shared" si="53"/>
        <v>0</v>
      </c>
      <c r="AA67" s="8">
        <f t="shared" si="54"/>
        <v>0</v>
      </c>
    </row>
    <row r="68" spans="1:27" s="2" customFormat="1" ht="15" customHeight="1">
      <c r="A68" s="321"/>
      <c r="B68" s="240" t="str">
        <f>'RFQ response'!C63</f>
        <v>SMT6.1</v>
      </c>
      <c r="C68" s="237" t="str">
        <f>'RFQ response'!E63</f>
        <v>Capacitive detection test without gloves</v>
      </c>
      <c r="D68" s="74" t="str">
        <f>'RFQ response'!D63</f>
        <v>REQ-0945152</v>
      </c>
      <c r="E68" s="238" t="str">
        <f>'RFQ response'!L63</f>
        <v>OK</v>
      </c>
      <c r="F68" s="75"/>
      <c r="G68" s="74"/>
      <c r="H68" s="74"/>
      <c r="I68" s="95"/>
      <c r="J68" s="75"/>
      <c r="K68" s="74"/>
      <c r="L68" s="74"/>
      <c r="M68" s="173"/>
      <c r="N68" s="239"/>
      <c r="O68" s="239"/>
      <c r="P68"/>
      <c r="Q68" s="9"/>
      <c r="R68" s="10"/>
      <c r="S68" s="10"/>
      <c r="T68" s="1"/>
      <c r="U68" s="1"/>
      <c r="V68" s="1"/>
      <c r="W68" s="7"/>
      <c r="X68" s="9"/>
      <c r="Y68" s="10"/>
      <c r="Z68" s="1"/>
      <c r="AA68" s="8"/>
    </row>
    <row r="69" spans="1:27" s="2" customFormat="1" ht="15" customHeight="1">
      <c r="A69" s="321"/>
      <c r="B69" s="240" t="str">
        <f>'RFQ response'!C64</f>
        <v>SMT6.2</v>
      </c>
      <c r="C69" s="237" t="str">
        <f>'RFQ response'!E64</f>
        <v>Capacitive detection test with thin gloves</v>
      </c>
      <c r="D69" s="74" t="str">
        <f>'RFQ response'!D64</f>
        <v>REQ-0945153</v>
      </c>
      <c r="E69" s="238" t="str">
        <f>'RFQ response'!L64</f>
        <v>OK</v>
      </c>
      <c r="F69" s="75"/>
      <c r="G69" s="74"/>
      <c r="H69" s="74"/>
      <c r="I69" s="95"/>
      <c r="J69" s="75"/>
      <c r="K69" s="74"/>
      <c r="L69" s="74"/>
      <c r="M69" s="173"/>
      <c r="N69" s="239"/>
      <c r="O69" s="239"/>
      <c r="P69"/>
      <c r="Q69" s="9"/>
      <c r="R69" s="10"/>
      <c r="S69" s="10"/>
      <c r="T69" s="1"/>
      <c r="U69" s="1"/>
      <c r="V69" s="1"/>
      <c r="W69" s="7"/>
      <c r="X69" s="9"/>
      <c r="Y69" s="10"/>
      <c r="Z69" s="1"/>
      <c r="AA69" s="8"/>
    </row>
    <row r="70" spans="1:27" s="2" customFormat="1" ht="15" customHeight="1">
      <c r="A70" s="321"/>
      <c r="B70" s="240" t="str">
        <f>'RFQ response'!C65</f>
        <v>SMT7</v>
      </c>
      <c r="C70" s="237" t="str">
        <f>'RFQ response'!E65</f>
        <v>Edge cover lens hardness test (falling ball)</v>
      </c>
      <c r="D70" s="74" t="str">
        <f>'RFQ response'!D65</f>
        <v>REQ-0945154</v>
      </c>
      <c r="E70" s="238" t="str">
        <f>'RFQ response'!L65</f>
        <v>NA</v>
      </c>
      <c r="F70" s="75"/>
      <c r="G70" s="74"/>
      <c r="H70" s="74"/>
      <c r="I70" s="95"/>
      <c r="J70" s="75"/>
      <c r="K70" s="74"/>
      <c r="L70" s="74"/>
      <c r="M70" s="173"/>
      <c r="N70" s="239"/>
      <c r="O70" s="239"/>
      <c r="P70"/>
      <c r="Q70" s="9"/>
      <c r="R70" s="10"/>
      <c r="S70" s="10"/>
      <c r="T70" s="1"/>
      <c r="U70" s="1"/>
      <c r="V70" s="1"/>
      <c r="W70" s="7"/>
      <c r="X70" s="9"/>
      <c r="Y70" s="10"/>
      <c r="Z70" s="1"/>
      <c r="AA70" s="8"/>
    </row>
    <row r="71" spans="1:27" s="2" customFormat="1" ht="15" customHeight="1">
      <c r="A71" s="321"/>
      <c r="B71" s="240" t="str">
        <f>'RFQ response'!C66</f>
        <v>SMT8.1</v>
      </c>
      <c r="C71" s="237" t="str">
        <f>'RFQ response'!E66</f>
        <v>Indentation</v>
      </c>
      <c r="D71" s="74" t="str">
        <f>'RFQ response'!D66</f>
        <v>REQ-0945091</v>
      </c>
      <c r="E71" s="238" t="str">
        <f>'RFQ response'!L66</f>
        <v>NA</v>
      </c>
      <c r="F71" s="75"/>
      <c r="G71" s="74"/>
      <c r="H71" s="74"/>
      <c r="I71" s="95"/>
      <c r="J71" s="75"/>
      <c r="K71" s="74"/>
      <c r="L71" s="74"/>
      <c r="M71" s="173"/>
      <c r="N71" s="239"/>
      <c r="O71" s="239"/>
      <c r="P71"/>
      <c r="Q71" s="9"/>
      <c r="R71" s="10"/>
      <c r="S71" s="10"/>
      <c r="T71" s="1"/>
      <c r="U71" s="1"/>
      <c r="V71" s="1"/>
      <c r="W71" s="7"/>
      <c r="X71" s="9"/>
      <c r="Y71" s="10"/>
      <c r="Z71" s="1"/>
      <c r="AA71" s="8"/>
    </row>
    <row r="72" spans="1:27" s="2" customFormat="1" ht="33.75">
      <c r="A72" s="321"/>
      <c r="B72" s="240" t="str">
        <f>'RFQ response'!C67</f>
        <v>SMT8.2</v>
      </c>
      <c r="C72" s="237" t="str">
        <f>'RFQ response'!E67</f>
        <v>Rigidity of the frontage</v>
      </c>
      <c r="D72" s="74" t="str">
        <f>'RFQ response'!D67</f>
        <v>REQ-0945162
REQ-0945180
REQ-0945181</v>
      </c>
      <c r="E72" s="238" t="str">
        <f>'RFQ response'!L67</f>
        <v>NA</v>
      </c>
      <c r="F72" s="75"/>
      <c r="G72" s="74"/>
      <c r="H72" s="74"/>
      <c r="I72" s="95"/>
      <c r="J72" s="75"/>
      <c r="K72" s="74"/>
      <c r="L72" s="74"/>
      <c r="M72" s="173"/>
      <c r="N72" s="239"/>
      <c r="O72" s="239"/>
      <c r="P72"/>
      <c r="Q72" s="9"/>
      <c r="R72" s="10"/>
      <c r="S72" s="10"/>
      <c r="T72" s="1"/>
      <c r="U72" s="1"/>
      <c r="V72" s="1"/>
      <c r="W72" s="7"/>
      <c r="X72" s="9"/>
      <c r="Y72" s="10"/>
      <c r="Z72" s="1"/>
      <c r="AA72" s="8"/>
    </row>
    <row r="73" spans="1:27" s="2" customFormat="1" ht="15" customHeight="1">
      <c r="A73" s="321"/>
      <c r="B73" s="240" t="str">
        <f>'RFQ response'!C68</f>
        <v>SMT8.4</v>
      </c>
      <c r="C73" s="237" t="str">
        <f>'RFQ response'!E68</f>
        <v>Exceptional effort on the floating display</v>
      </c>
      <c r="D73" s="74" t="str">
        <f>'RFQ response'!D68</f>
        <v>REQ-0945184</v>
      </c>
      <c r="E73" s="238" t="str">
        <f>'RFQ response'!L68</f>
        <v>NA</v>
      </c>
      <c r="F73" s="75"/>
      <c r="G73" s="74"/>
      <c r="H73" s="74"/>
      <c r="I73" s="95"/>
      <c r="J73" s="75"/>
      <c r="K73" s="74"/>
      <c r="L73" s="74"/>
      <c r="M73" s="173"/>
      <c r="N73" s="239"/>
      <c r="O73" s="239"/>
      <c r="P73"/>
      <c r="Q73" s="9"/>
      <c r="R73" s="10"/>
      <c r="S73" s="10"/>
      <c r="T73" s="1"/>
      <c r="U73" s="1"/>
      <c r="V73" s="1"/>
      <c r="W73" s="7"/>
      <c r="X73" s="9"/>
      <c r="Y73" s="10"/>
      <c r="Z73" s="1"/>
      <c r="AA73" s="8"/>
    </row>
    <row r="74" spans="1:27" s="2" customFormat="1" ht="22.5">
      <c r="A74" s="321"/>
      <c r="B74" s="240" t="str">
        <f>'RFQ response'!C69</f>
        <v>SMT8.5</v>
      </c>
      <c r="C74" s="237" t="str">
        <f>'RFQ response'!E69</f>
        <v>Rigidity of the finger rest</v>
      </c>
      <c r="D74" s="74" t="str">
        <f>'RFQ response'!D69</f>
        <v>REQ-0945185
REQ-0945186</v>
      </c>
      <c r="E74" s="238" t="str">
        <f>'RFQ response'!L69</f>
        <v>NA</v>
      </c>
      <c r="F74" s="75"/>
      <c r="G74" s="74"/>
      <c r="H74" s="74"/>
      <c r="I74" s="95"/>
      <c r="J74" s="75"/>
      <c r="K74" s="74"/>
      <c r="L74" s="74"/>
      <c r="M74" s="173"/>
      <c r="N74" s="239"/>
      <c r="O74" s="239"/>
      <c r="P74"/>
      <c r="Q74" s="9"/>
      <c r="R74" s="10"/>
      <c r="S74" s="10"/>
      <c r="T74" s="1"/>
      <c r="U74" s="1"/>
      <c r="V74" s="1"/>
      <c r="W74" s="7"/>
      <c r="X74" s="9"/>
      <c r="Y74" s="10"/>
      <c r="Z74" s="1"/>
      <c r="AA74" s="8"/>
    </row>
    <row r="75" spans="1:27" s="2" customFormat="1">
      <c r="A75" s="321"/>
      <c r="B75" s="240" t="str">
        <f>'RFQ response'!C70</f>
        <v>SMT9</v>
      </c>
      <c r="C75" s="237" t="str">
        <f>'RFQ response'!E70</f>
        <v>Coatings performance tests for display cover lenses</v>
      </c>
      <c r="D75" s="74" t="str">
        <f>'RFQ response'!D70</f>
        <v>REQ-0945179</v>
      </c>
      <c r="E75" s="238" t="str">
        <f>'RFQ response'!L70</f>
        <v>NA</v>
      </c>
      <c r="F75" s="75"/>
      <c r="G75" s="74"/>
      <c r="H75" s="74"/>
      <c r="I75" s="95"/>
      <c r="J75" s="75"/>
      <c r="K75" s="74"/>
      <c r="L75" s="74"/>
      <c r="M75" s="173"/>
      <c r="N75" s="239"/>
      <c r="O75" s="239"/>
      <c r="P75"/>
      <c r="Q75" s="9"/>
      <c r="R75" s="10"/>
      <c r="S75" s="10"/>
      <c r="T75" s="1"/>
      <c r="U75" s="1"/>
      <c r="V75" s="1"/>
      <c r="W75" s="7"/>
      <c r="X75" s="9"/>
      <c r="Y75" s="10"/>
      <c r="Z75" s="1"/>
      <c r="AA75" s="8"/>
    </row>
    <row r="76" spans="1:27" s="2" customFormat="1" ht="15" customHeight="1">
      <c r="A76" s="321"/>
      <c r="B76" s="805" t="s">
        <v>458</v>
      </c>
      <c r="C76" s="805"/>
      <c r="D76" s="805"/>
      <c r="E76" s="805"/>
      <c r="F76" s="805"/>
      <c r="G76" s="805"/>
      <c r="H76" s="805"/>
      <c r="I76" s="805"/>
      <c r="J76" s="805"/>
      <c r="K76" s="805"/>
      <c r="L76" s="805"/>
      <c r="M76" s="805"/>
      <c r="N76" s="805"/>
      <c r="O76" s="806"/>
      <c r="P76"/>
      <c r="Q76" s="9">
        <f t="shared" si="69"/>
        <v>0</v>
      </c>
      <c r="R76" s="10">
        <f t="shared" si="70"/>
        <v>0</v>
      </c>
      <c r="S76" s="10">
        <f t="shared" si="71"/>
        <v>0</v>
      </c>
      <c r="T76" s="1">
        <f t="shared" si="72"/>
        <v>0</v>
      </c>
      <c r="U76" s="1">
        <f t="shared" si="73"/>
        <v>0</v>
      </c>
      <c r="V76" s="1">
        <f t="shared" si="74"/>
        <v>0</v>
      </c>
      <c r="W76" s="7">
        <f t="shared" si="75"/>
        <v>0</v>
      </c>
      <c r="X76" s="9">
        <f t="shared" si="51"/>
        <v>0</v>
      </c>
      <c r="Y76" s="10">
        <f t="shared" si="52"/>
        <v>0</v>
      </c>
      <c r="Z76" s="1">
        <f t="shared" si="53"/>
        <v>0</v>
      </c>
      <c r="AA76" s="8">
        <f t="shared" si="54"/>
        <v>0</v>
      </c>
    </row>
    <row r="77" spans="1:27" s="2" customFormat="1">
      <c r="A77" s="321"/>
      <c r="B77" s="240" t="str">
        <f>'RFQ response'!C72</f>
        <v>SSTE</v>
      </c>
      <c r="C77" s="237" t="str">
        <f>'RFQ response'!E72</f>
        <v>Shipping / Storage Temperature Exposure</v>
      </c>
      <c r="D77" s="74" t="str">
        <f>'RFQ response'!D72</f>
        <v>REQ-0945155</v>
      </c>
      <c r="E77" s="238" t="str">
        <f>'RFQ response'!L72</f>
        <v>OK</v>
      </c>
      <c r="F77" s="75"/>
      <c r="G77" s="74"/>
      <c r="H77" s="74"/>
      <c r="I77" s="95"/>
      <c r="J77" s="75"/>
      <c r="K77" s="74"/>
      <c r="L77" s="74"/>
      <c r="M77" s="173"/>
      <c r="N77" s="239"/>
      <c r="O77" s="239"/>
      <c r="P77"/>
      <c r="Q77" s="9">
        <f t="shared" si="69"/>
        <v>0</v>
      </c>
      <c r="R77" s="10">
        <f t="shared" si="70"/>
        <v>0</v>
      </c>
      <c r="S77" s="10">
        <f t="shared" si="71"/>
        <v>0</v>
      </c>
      <c r="T77" s="1">
        <f t="shared" si="72"/>
        <v>0</v>
      </c>
      <c r="U77" s="1">
        <f t="shared" si="73"/>
        <v>0</v>
      </c>
      <c r="V77" s="1">
        <f t="shared" si="74"/>
        <v>0</v>
      </c>
      <c r="W77" s="7">
        <f t="shared" si="75"/>
        <v>0</v>
      </c>
      <c r="X77" s="9">
        <f t="shared" si="51"/>
        <v>0</v>
      </c>
      <c r="Y77" s="10">
        <f t="shared" si="52"/>
        <v>0</v>
      </c>
      <c r="Z77" s="1">
        <f t="shared" si="53"/>
        <v>0</v>
      </c>
      <c r="AA77" s="8">
        <f t="shared" si="54"/>
        <v>0</v>
      </c>
    </row>
    <row r="78" spans="1:27" s="2" customFormat="1">
      <c r="A78" s="321"/>
      <c r="B78" s="240" t="str">
        <f>'RFQ response'!C73</f>
        <v>LTOE</v>
      </c>
      <c r="C78" s="237" t="str">
        <f>'RFQ response'!E73</f>
        <v>Low Temperature Operating Endurance</v>
      </c>
      <c r="D78" s="74" t="str">
        <f>'RFQ response'!D73</f>
        <v>REQ-0945156</v>
      </c>
      <c r="E78" s="238" t="str">
        <f>'RFQ response'!L73</f>
        <v>OK</v>
      </c>
      <c r="F78" s="75"/>
      <c r="G78" s="74"/>
      <c r="H78" s="74"/>
      <c r="I78" s="95"/>
      <c r="J78" s="75"/>
      <c r="K78" s="74"/>
      <c r="L78" s="74"/>
      <c r="M78" s="173"/>
      <c r="N78" s="239"/>
      <c r="O78" s="239"/>
      <c r="P78"/>
      <c r="Q78" s="9">
        <f t="shared" si="69"/>
        <v>0</v>
      </c>
      <c r="R78" s="10">
        <f t="shared" si="70"/>
        <v>0</v>
      </c>
      <c r="S78" s="10">
        <f t="shared" si="71"/>
        <v>0</v>
      </c>
      <c r="T78" s="1">
        <f t="shared" si="72"/>
        <v>0</v>
      </c>
      <c r="U78" s="1">
        <f t="shared" si="73"/>
        <v>0</v>
      </c>
      <c r="V78" s="1">
        <f t="shared" si="74"/>
        <v>0</v>
      </c>
      <c r="W78" s="7">
        <f t="shared" si="75"/>
        <v>0</v>
      </c>
      <c r="X78" s="9">
        <f t="shared" si="51"/>
        <v>0</v>
      </c>
      <c r="Y78" s="10">
        <f t="shared" si="52"/>
        <v>0</v>
      </c>
      <c r="Z78" s="1">
        <f t="shared" si="53"/>
        <v>0</v>
      </c>
      <c r="AA78" s="8">
        <f t="shared" si="54"/>
        <v>0</v>
      </c>
    </row>
    <row r="79" spans="1:27" s="2" customFormat="1">
      <c r="A79" s="321"/>
      <c r="B79" s="240" t="str">
        <f>'RFQ response'!C74</f>
        <v>-</v>
      </c>
      <c r="C79" s="237" t="str">
        <f>'RFQ response'!E74</f>
        <v>Temperature Step</v>
      </c>
      <c r="D79" s="74" t="str">
        <f>'RFQ response'!D74</f>
        <v>REQ-0945157</v>
      </c>
      <c r="E79" s="238" t="str">
        <f>'RFQ response'!L74</f>
        <v>OK</v>
      </c>
      <c r="F79" s="75"/>
      <c r="G79" s="74"/>
      <c r="H79" s="74"/>
      <c r="I79" s="95"/>
      <c r="J79" s="75"/>
      <c r="K79" s="74"/>
      <c r="L79" s="74"/>
      <c r="M79" s="173"/>
      <c r="N79" s="239"/>
      <c r="O79" s="239"/>
      <c r="P79"/>
      <c r="Q79" s="9">
        <f t="shared" si="69"/>
        <v>0</v>
      </c>
      <c r="R79" s="10">
        <f t="shared" si="70"/>
        <v>0</v>
      </c>
      <c r="S79" s="10">
        <f t="shared" si="71"/>
        <v>0</v>
      </c>
      <c r="T79" s="1">
        <f t="shared" si="72"/>
        <v>0</v>
      </c>
      <c r="U79" s="1">
        <f t="shared" si="73"/>
        <v>0</v>
      </c>
      <c r="V79" s="1">
        <f t="shared" si="74"/>
        <v>0</v>
      </c>
      <c r="W79" s="7">
        <f t="shared" si="75"/>
        <v>0</v>
      </c>
      <c r="X79" s="9">
        <f t="shared" si="51"/>
        <v>0</v>
      </c>
      <c r="Y79" s="10">
        <f t="shared" si="52"/>
        <v>0</v>
      </c>
      <c r="Z79" s="1">
        <f t="shared" si="53"/>
        <v>0</v>
      </c>
      <c r="AA79" s="8">
        <f t="shared" si="54"/>
        <v>0</v>
      </c>
    </row>
    <row r="80" spans="1:27" s="2" customFormat="1">
      <c r="A80" s="321"/>
      <c r="B80" s="240" t="str">
        <f>'RFQ response'!C75</f>
        <v>HTOE</v>
      </c>
      <c r="C80" s="237" t="str">
        <f>'RFQ response'!E75</f>
        <v>High Temperature Operating Endurance</v>
      </c>
      <c r="D80" s="74" t="str">
        <f>'RFQ response'!D75</f>
        <v>REQ-0945158</v>
      </c>
      <c r="E80" s="238" t="str">
        <f>'RFQ response'!L75</f>
        <v>OK</v>
      </c>
      <c r="F80" s="75"/>
      <c r="G80" s="74"/>
      <c r="H80" s="74"/>
      <c r="I80" s="95"/>
      <c r="J80" s="75"/>
      <c r="K80" s="74"/>
      <c r="L80" s="74"/>
      <c r="M80" s="173"/>
      <c r="N80" s="239"/>
      <c r="O80" s="239"/>
      <c r="P80"/>
      <c r="Q80" s="9">
        <f t="shared" si="69"/>
        <v>0</v>
      </c>
      <c r="R80" s="10">
        <f t="shared" si="70"/>
        <v>0</v>
      </c>
      <c r="S80" s="10">
        <f t="shared" si="71"/>
        <v>0</v>
      </c>
      <c r="T80" s="1">
        <f t="shared" si="72"/>
        <v>0</v>
      </c>
      <c r="U80" s="1">
        <f t="shared" si="73"/>
        <v>0</v>
      </c>
      <c r="V80" s="1">
        <f t="shared" si="74"/>
        <v>0</v>
      </c>
      <c r="W80" s="7">
        <f t="shared" si="75"/>
        <v>0</v>
      </c>
      <c r="X80" s="9">
        <f t="shared" si="51"/>
        <v>0</v>
      </c>
      <c r="Y80" s="10">
        <f t="shared" si="52"/>
        <v>0</v>
      </c>
      <c r="Z80" s="1">
        <f t="shared" si="53"/>
        <v>0</v>
      </c>
      <c r="AA80" s="8">
        <f t="shared" si="54"/>
        <v>0</v>
      </c>
    </row>
    <row r="81" spans="1:27" s="2" customFormat="1">
      <c r="A81" s="321"/>
      <c r="B81" s="240" t="str">
        <f>'RFQ response'!C76</f>
        <v>PTCE</v>
      </c>
      <c r="C81" s="237" t="str">
        <f>'RFQ response'!E76</f>
        <v>Power Thermal Cycle Endurance</v>
      </c>
      <c r="D81" s="74" t="str">
        <f>'RFQ response'!D76</f>
        <v>REQ-0945163</v>
      </c>
      <c r="E81" s="238" t="str">
        <f>'RFQ response'!L76</f>
        <v>OK</v>
      </c>
      <c r="F81" s="75"/>
      <c r="G81" s="74"/>
      <c r="H81" s="74"/>
      <c r="I81" s="95"/>
      <c r="J81" s="75"/>
      <c r="K81" s="74"/>
      <c r="L81" s="74"/>
      <c r="M81" s="173"/>
      <c r="N81" s="239"/>
      <c r="O81" s="239"/>
      <c r="P81"/>
      <c r="Q81" s="9">
        <f t="shared" si="69"/>
        <v>0</v>
      </c>
      <c r="R81" s="10">
        <f t="shared" si="70"/>
        <v>0</v>
      </c>
      <c r="S81" s="10">
        <f t="shared" si="71"/>
        <v>0</v>
      </c>
      <c r="T81" s="1">
        <f t="shared" si="72"/>
        <v>0</v>
      </c>
      <c r="U81" s="1">
        <f t="shared" si="73"/>
        <v>0</v>
      </c>
      <c r="V81" s="1">
        <f t="shared" si="74"/>
        <v>0</v>
      </c>
      <c r="W81" s="7">
        <f t="shared" si="75"/>
        <v>0</v>
      </c>
      <c r="X81" s="9">
        <f t="shared" si="51"/>
        <v>0</v>
      </c>
      <c r="Y81" s="10">
        <f t="shared" si="52"/>
        <v>0</v>
      </c>
      <c r="Z81" s="1">
        <f t="shared" si="53"/>
        <v>0</v>
      </c>
      <c r="AA81" s="8">
        <f t="shared" si="54"/>
        <v>0</v>
      </c>
    </row>
    <row r="82" spans="1:27" s="2" customFormat="1">
      <c r="A82" s="321"/>
      <c r="B82" s="240" t="str">
        <f>'RFQ response'!C77</f>
        <v>TS</v>
      </c>
      <c r="C82" s="237" t="str">
        <f>'RFQ response'!E77</f>
        <v>Thermal Shock</v>
      </c>
      <c r="D82" s="74" t="str">
        <f>'RFQ response'!D77</f>
        <v>REQ-0945159</v>
      </c>
      <c r="E82" s="238" t="str">
        <f>'RFQ response'!L77</f>
        <v>OK</v>
      </c>
      <c r="F82" s="75"/>
      <c r="G82" s="74"/>
      <c r="H82" s="74"/>
      <c r="I82" s="95"/>
      <c r="J82" s="75"/>
      <c r="K82" s="74"/>
      <c r="L82" s="74"/>
      <c r="M82" s="173"/>
      <c r="N82" s="239"/>
      <c r="O82" s="239"/>
      <c r="P82"/>
      <c r="Q82" s="9">
        <f t="shared" si="69"/>
        <v>0</v>
      </c>
      <c r="R82" s="10">
        <f t="shared" si="70"/>
        <v>0</v>
      </c>
      <c r="S82" s="10">
        <f t="shared" si="71"/>
        <v>0</v>
      </c>
      <c r="T82" s="1">
        <f t="shared" si="72"/>
        <v>0</v>
      </c>
      <c r="U82" s="1">
        <f t="shared" si="73"/>
        <v>0</v>
      </c>
      <c r="V82" s="1">
        <f t="shared" si="74"/>
        <v>0</v>
      </c>
      <c r="W82" s="7">
        <f t="shared" si="75"/>
        <v>0</v>
      </c>
      <c r="X82" s="9">
        <f t="shared" si="51"/>
        <v>0</v>
      </c>
      <c r="Y82" s="10">
        <f t="shared" si="52"/>
        <v>0</v>
      </c>
      <c r="Z82" s="1">
        <f t="shared" si="53"/>
        <v>0</v>
      </c>
      <c r="AA82" s="8">
        <f t="shared" si="54"/>
        <v>0</v>
      </c>
    </row>
    <row r="83" spans="1:27" s="2" customFormat="1">
      <c r="A83" s="321"/>
      <c r="B83" s="240" t="str">
        <f>'RFQ response'!C78</f>
        <v>THC</v>
      </c>
      <c r="C83" s="237" t="str">
        <f>'RFQ response'!E78</f>
        <v>Thermal Humidity Cycle</v>
      </c>
      <c r="D83" s="74" t="str">
        <f>'RFQ response'!D78</f>
        <v>REQ-0945160</v>
      </c>
      <c r="E83" s="238" t="str">
        <f>'RFQ response'!L78</f>
        <v>NA</v>
      </c>
      <c r="F83" s="75"/>
      <c r="G83" s="74"/>
      <c r="H83" s="74"/>
      <c r="I83" s="95"/>
      <c r="J83" s="75"/>
      <c r="K83" s="74"/>
      <c r="L83" s="74"/>
      <c r="M83" s="173"/>
      <c r="N83" s="239"/>
      <c r="O83" s="239"/>
      <c r="P83"/>
      <c r="Q83" s="9">
        <f t="shared" si="69"/>
        <v>0</v>
      </c>
      <c r="R83" s="10">
        <f t="shared" si="70"/>
        <v>0</v>
      </c>
      <c r="S83" s="10">
        <f t="shared" si="71"/>
        <v>0</v>
      </c>
      <c r="T83" s="1">
        <f t="shared" si="72"/>
        <v>0</v>
      </c>
      <c r="U83" s="1">
        <f t="shared" si="73"/>
        <v>0</v>
      </c>
      <c r="V83" s="1">
        <f t="shared" si="74"/>
        <v>0</v>
      </c>
      <c r="W83" s="7">
        <f t="shared" si="75"/>
        <v>0</v>
      </c>
      <c r="X83" s="9">
        <f t="shared" si="51"/>
        <v>0</v>
      </c>
      <c r="Y83" s="10">
        <f t="shared" si="52"/>
        <v>0</v>
      </c>
      <c r="Z83" s="1">
        <f t="shared" si="53"/>
        <v>0</v>
      </c>
      <c r="AA83" s="8">
        <f t="shared" si="54"/>
        <v>0</v>
      </c>
    </row>
    <row r="84" spans="1:27" s="2" customFormat="1">
      <c r="A84" s="321"/>
      <c r="B84" s="240" t="str">
        <f>'RFQ response'!C79</f>
        <v>HTHE</v>
      </c>
      <c r="C84" s="237" t="str">
        <f>'RFQ response'!E79</f>
        <v>High Temperature &amp; High Humidity Endurance</v>
      </c>
      <c r="D84" s="74" t="str">
        <f>'RFQ response'!D79</f>
        <v>REQ-0945161</v>
      </c>
      <c r="E84" s="238" t="str">
        <f>'RFQ response'!L79</f>
        <v>NA</v>
      </c>
      <c r="F84" s="75"/>
      <c r="G84" s="74"/>
      <c r="H84" s="74"/>
      <c r="I84" s="95"/>
      <c r="J84" s="75"/>
      <c r="K84" s="74"/>
      <c r="L84" s="74"/>
      <c r="M84" s="173"/>
      <c r="N84" s="239"/>
      <c r="O84" s="239"/>
      <c r="P84"/>
      <c r="Q84" s="9">
        <f t="shared" si="69"/>
        <v>0</v>
      </c>
      <c r="R84" s="10">
        <f t="shared" si="70"/>
        <v>0</v>
      </c>
      <c r="S84" s="10">
        <f t="shared" si="71"/>
        <v>0</v>
      </c>
      <c r="T84" s="1">
        <f t="shared" si="72"/>
        <v>0</v>
      </c>
      <c r="U84" s="1">
        <f t="shared" si="73"/>
        <v>0</v>
      </c>
      <c r="V84" s="1">
        <f t="shared" si="74"/>
        <v>0</v>
      </c>
      <c r="W84" s="7">
        <f t="shared" si="75"/>
        <v>0</v>
      </c>
      <c r="X84" s="9">
        <f t="shared" si="51"/>
        <v>0</v>
      </c>
      <c r="Y84" s="10">
        <f t="shared" si="52"/>
        <v>0</v>
      </c>
      <c r="Z84" s="1">
        <f t="shared" si="53"/>
        <v>0</v>
      </c>
      <c r="AA84" s="8">
        <f t="shared" si="54"/>
        <v>0</v>
      </c>
    </row>
    <row r="85" spans="1:27" s="2" customFormat="1">
      <c r="A85" s="321"/>
      <c r="B85" s="240" t="str">
        <f>'RFQ response'!C80</f>
        <v>CL06</v>
      </c>
      <c r="C85" s="237" t="str">
        <f>'RFQ response'!E80</f>
        <v>Self-heating measurement</v>
      </c>
      <c r="D85" s="74" t="str">
        <f>'RFQ response'!D80</f>
        <v>REQ-0945127</v>
      </c>
      <c r="E85" s="238" t="str">
        <f>'RFQ response'!L80</f>
        <v>OK</v>
      </c>
      <c r="F85" s="75"/>
      <c r="G85" s="74"/>
      <c r="H85" s="74"/>
      <c r="I85" s="95"/>
      <c r="J85" s="75"/>
      <c r="K85" s="74"/>
      <c r="L85" s="74"/>
      <c r="M85" s="173"/>
      <c r="N85" s="239"/>
      <c r="O85" s="239"/>
      <c r="P85"/>
      <c r="Q85" s="9">
        <f t="shared" si="69"/>
        <v>0</v>
      </c>
      <c r="R85" s="10">
        <f t="shared" si="70"/>
        <v>0</v>
      </c>
      <c r="S85" s="10">
        <f t="shared" si="71"/>
        <v>0</v>
      </c>
      <c r="T85" s="1">
        <f t="shared" si="72"/>
        <v>0</v>
      </c>
      <c r="U85" s="1">
        <f t="shared" si="73"/>
        <v>0</v>
      </c>
      <c r="V85" s="1">
        <f t="shared" si="74"/>
        <v>0</v>
      </c>
      <c r="W85" s="7">
        <f t="shared" si="75"/>
        <v>0</v>
      </c>
      <c r="X85" s="9">
        <f t="shared" si="51"/>
        <v>0</v>
      </c>
      <c r="Y85" s="10">
        <f t="shared" si="52"/>
        <v>0</v>
      </c>
      <c r="Z85" s="1">
        <f t="shared" si="53"/>
        <v>0</v>
      </c>
      <c r="AA85" s="8">
        <f t="shared" si="54"/>
        <v>0</v>
      </c>
    </row>
    <row r="86" spans="1:27" s="2" customFormat="1">
      <c r="A86" s="321"/>
      <c r="B86" s="240" t="str">
        <f>'RFQ response'!C81</f>
        <v>SCT1</v>
      </c>
      <c r="C86" s="237" t="str">
        <f>'RFQ response'!E81</f>
        <v>Resistance test of the displays to the ultraviolet rays</v>
      </c>
      <c r="D86" s="74" t="str">
        <f>'RFQ response'!D81</f>
        <v>REQ-0945164</v>
      </c>
      <c r="E86" s="238" t="str">
        <f>'RFQ response'!L81</f>
        <v>NA</v>
      </c>
      <c r="F86" s="75"/>
      <c r="G86" s="74"/>
      <c r="H86" s="74"/>
      <c r="I86" s="95"/>
      <c r="J86" s="75"/>
      <c r="K86" s="74"/>
      <c r="L86" s="74"/>
      <c r="M86" s="173"/>
      <c r="N86" s="239"/>
      <c r="O86" s="239"/>
      <c r="P86"/>
      <c r="Q86" s="9">
        <f t="shared" si="69"/>
        <v>0</v>
      </c>
      <c r="R86" s="10">
        <f t="shared" si="70"/>
        <v>0</v>
      </c>
      <c r="S86" s="10">
        <f t="shared" si="71"/>
        <v>0</v>
      </c>
      <c r="T86" s="1">
        <f t="shared" si="72"/>
        <v>0</v>
      </c>
      <c r="U86" s="1">
        <f t="shared" si="73"/>
        <v>0</v>
      </c>
      <c r="V86" s="1">
        <f t="shared" si="74"/>
        <v>0</v>
      </c>
      <c r="W86" s="7">
        <f t="shared" si="75"/>
        <v>0</v>
      </c>
      <c r="X86" s="9">
        <f t="shared" si="51"/>
        <v>0</v>
      </c>
      <c r="Y86" s="10">
        <f t="shared" si="52"/>
        <v>0</v>
      </c>
      <c r="Z86" s="1">
        <f t="shared" si="53"/>
        <v>0</v>
      </c>
      <c r="AA86" s="8">
        <f t="shared" si="54"/>
        <v>0</v>
      </c>
    </row>
    <row r="87" spans="1:27" s="2" customFormat="1">
      <c r="A87" s="321"/>
      <c r="B87" s="240" t="str">
        <f>'RFQ response'!C82</f>
        <v>SCT2</v>
      </c>
      <c r="C87" s="237" t="str">
        <f>'RFQ response'!E82</f>
        <v>Resistance test of the displays to corrosive liquids</v>
      </c>
      <c r="D87" s="74" t="str">
        <f>'RFQ response'!D82</f>
        <v>REQ-0945165</v>
      </c>
      <c r="E87" s="238" t="str">
        <f>'RFQ response'!L82</f>
        <v>NA</v>
      </c>
      <c r="F87" s="75"/>
      <c r="G87" s="74"/>
      <c r="H87" s="74"/>
      <c r="I87" s="95"/>
      <c r="J87" s="75"/>
      <c r="K87" s="74"/>
      <c r="L87" s="74"/>
      <c r="M87" s="173"/>
      <c r="N87" s="239"/>
      <c r="O87" s="239"/>
      <c r="P87"/>
      <c r="Q87" s="9">
        <f t="shared" si="69"/>
        <v>0</v>
      </c>
      <c r="R87" s="10">
        <f t="shared" si="70"/>
        <v>0</v>
      </c>
      <c r="S87" s="10">
        <f t="shared" si="71"/>
        <v>0</v>
      </c>
      <c r="T87" s="1">
        <f t="shared" si="72"/>
        <v>0</v>
      </c>
      <c r="U87" s="1">
        <f t="shared" si="73"/>
        <v>0</v>
      </c>
      <c r="V87" s="1">
        <f t="shared" si="74"/>
        <v>0</v>
      </c>
      <c r="W87" s="7">
        <f t="shared" si="75"/>
        <v>0</v>
      </c>
      <c r="X87" s="9">
        <f t="shared" si="51"/>
        <v>0</v>
      </c>
      <c r="Y87" s="10">
        <f t="shared" si="52"/>
        <v>0</v>
      </c>
      <c r="Z87" s="1">
        <f t="shared" si="53"/>
        <v>0</v>
      </c>
      <c r="AA87" s="8">
        <f t="shared" si="54"/>
        <v>0</v>
      </c>
    </row>
    <row r="88" spans="1:27" s="2" customFormat="1">
      <c r="A88" s="321"/>
      <c r="B88" s="240" t="str">
        <f>'RFQ response'!C83</f>
        <v>SCT3</v>
      </c>
      <c r="C88" s="237" t="str">
        <f>'RFQ response'!E83</f>
        <v>Sun resistance</v>
      </c>
      <c r="D88" s="74" t="str">
        <f>'RFQ response'!D83</f>
        <v>REQ-0945166</v>
      </c>
      <c r="E88" s="238" t="str">
        <f>'RFQ response'!L83</f>
        <v>NA</v>
      </c>
      <c r="F88" s="75"/>
      <c r="G88" s="74"/>
      <c r="H88" s="74"/>
      <c r="I88" s="95"/>
      <c r="J88" s="75"/>
      <c r="K88" s="74"/>
      <c r="L88" s="74"/>
      <c r="M88" s="173"/>
      <c r="N88" s="239"/>
      <c r="O88" s="239"/>
      <c r="P88"/>
      <c r="Q88" s="9">
        <f t="shared" si="69"/>
        <v>0</v>
      </c>
      <c r="R88" s="10">
        <f t="shared" si="70"/>
        <v>0</v>
      </c>
      <c r="S88" s="10">
        <f t="shared" si="71"/>
        <v>0</v>
      </c>
      <c r="T88" s="1">
        <f t="shared" si="72"/>
        <v>0</v>
      </c>
      <c r="U88" s="1">
        <f t="shared" si="73"/>
        <v>0</v>
      </c>
      <c r="V88" s="1">
        <f t="shared" si="74"/>
        <v>0</v>
      </c>
      <c r="W88" s="7">
        <f t="shared" si="75"/>
        <v>0</v>
      </c>
      <c r="X88" s="9">
        <f t="shared" si="51"/>
        <v>0</v>
      </c>
      <c r="Y88" s="10">
        <f t="shared" si="52"/>
        <v>0</v>
      </c>
      <c r="Z88" s="1">
        <f t="shared" si="53"/>
        <v>0</v>
      </c>
      <c r="AA88" s="8">
        <f t="shared" si="54"/>
        <v>0</v>
      </c>
    </row>
    <row r="89" spans="1:27" s="2" customFormat="1">
      <c r="A89" s="321"/>
      <c r="B89" s="240" t="str">
        <f>'RFQ response'!C84</f>
        <v>SCT4</v>
      </c>
      <c r="C89" s="237" t="str">
        <f>'RFQ response'!E84</f>
        <v>Resistance to pullout of glued parts</v>
      </c>
      <c r="D89" s="74" t="str">
        <f>'RFQ response'!D84</f>
        <v>REQ-0945167</v>
      </c>
      <c r="E89" s="238" t="str">
        <f>'RFQ response'!L84</f>
        <v>NA</v>
      </c>
      <c r="F89" s="75"/>
      <c r="G89" s="74"/>
      <c r="H89" s="74"/>
      <c r="I89" s="95"/>
      <c r="J89" s="75"/>
      <c r="K89" s="74"/>
      <c r="L89" s="74"/>
      <c r="M89" s="173"/>
      <c r="N89" s="239"/>
      <c r="O89" s="239"/>
      <c r="P89"/>
      <c r="Q89" s="9">
        <f t="shared" si="69"/>
        <v>0</v>
      </c>
      <c r="R89" s="10">
        <f t="shared" si="70"/>
        <v>0</v>
      </c>
      <c r="S89" s="10">
        <f t="shared" si="71"/>
        <v>0</v>
      </c>
      <c r="T89" s="1">
        <f t="shared" si="72"/>
        <v>0</v>
      </c>
      <c r="U89" s="1">
        <f t="shared" si="73"/>
        <v>0</v>
      </c>
      <c r="V89" s="1">
        <f t="shared" si="74"/>
        <v>0</v>
      </c>
      <c r="W89" s="7">
        <f t="shared" si="75"/>
        <v>0</v>
      </c>
      <c r="X89" s="9">
        <f t="shared" si="51"/>
        <v>0</v>
      </c>
      <c r="Y89" s="10">
        <f t="shared" si="52"/>
        <v>0</v>
      </c>
      <c r="Z89" s="1">
        <f t="shared" si="53"/>
        <v>0</v>
      </c>
      <c r="AA89" s="8">
        <f t="shared" si="54"/>
        <v>0</v>
      </c>
    </row>
    <row r="90" spans="1:27" s="2" customFormat="1">
      <c r="A90" s="321"/>
      <c r="B90" s="240" t="str">
        <f>'RFQ response'!C85</f>
        <v>SCT5</v>
      </c>
      <c r="C90" s="237" t="str">
        <f>'RFQ response'!E85</f>
        <v>Fingerprint affinity and cleanability test on displays</v>
      </c>
      <c r="D90" s="74" t="str">
        <f>'RFQ response'!D85</f>
        <v>REQ-0945168</v>
      </c>
      <c r="E90" s="238" t="str">
        <f>'RFQ response'!L85</f>
        <v>NA</v>
      </c>
      <c r="F90" s="75"/>
      <c r="G90" s="74"/>
      <c r="H90" s="74"/>
      <c r="I90" s="95"/>
      <c r="J90" s="75"/>
      <c r="K90" s="74"/>
      <c r="L90" s="74"/>
      <c r="M90" s="173"/>
      <c r="N90" s="239"/>
      <c r="O90" s="239"/>
      <c r="P90"/>
      <c r="Q90" s="9">
        <f t="shared" si="69"/>
        <v>0</v>
      </c>
      <c r="R90" s="10">
        <f t="shared" si="70"/>
        <v>0</v>
      </c>
      <c r="S90" s="10">
        <f t="shared" si="71"/>
        <v>0</v>
      </c>
      <c r="T90" s="1">
        <f t="shared" si="72"/>
        <v>0</v>
      </c>
      <c r="U90" s="1">
        <f t="shared" si="73"/>
        <v>0</v>
      </c>
      <c r="V90" s="1">
        <f t="shared" si="74"/>
        <v>0</v>
      </c>
      <c r="W90" s="7">
        <f t="shared" si="75"/>
        <v>0</v>
      </c>
      <c r="X90" s="9">
        <f t="shared" si="51"/>
        <v>0</v>
      </c>
      <c r="Y90" s="10">
        <f t="shared" si="52"/>
        <v>0</v>
      </c>
      <c r="Z90" s="1">
        <f t="shared" si="53"/>
        <v>0</v>
      </c>
      <c r="AA90" s="8">
        <f t="shared" si="54"/>
        <v>0</v>
      </c>
    </row>
    <row r="91" spans="1:27" s="2" customFormat="1" ht="28.5" customHeight="1">
      <c r="A91" s="321"/>
      <c r="B91" s="240" t="str">
        <f>'RFQ response'!C86</f>
        <v>SCT6.1</v>
      </c>
      <c r="C91" s="237" t="str">
        <f>'RFQ response'!E86</f>
        <v>Resistance to climatic ageing (not exposed to direct sun)</v>
      </c>
      <c r="D91" s="74" t="str">
        <f>'RFQ response'!D86</f>
        <v>REQ-0945169</v>
      </c>
      <c r="E91" s="238" t="str">
        <f>'RFQ response'!L86</f>
        <v>NA</v>
      </c>
      <c r="F91" s="75"/>
      <c r="G91" s="74"/>
      <c r="H91" s="74"/>
      <c r="I91" s="95"/>
      <c r="J91" s="75"/>
      <c r="K91" s="74"/>
      <c r="L91" s="74"/>
      <c r="M91" s="173"/>
      <c r="N91" s="239"/>
      <c r="O91" s="239"/>
      <c r="P91"/>
      <c r="Q91" s="9">
        <f t="shared" si="69"/>
        <v>0</v>
      </c>
      <c r="R91" s="10">
        <f t="shared" si="70"/>
        <v>0</v>
      </c>
      <c r="S91" s="10">
        <f t="shared" si="71"/>
        <v>0</v>
      </c>
      <c r="T91" s="1">
        <f t="shared" si="72"/>
        <v>0</v>
      </c>
      <c r="U91" s="1">
        <f t="shared" si="73"/>
        <v>0</v>
      </c>
      <c r="V91" s="1">
        <f t="shared" si="74"/>
        <v>0</v>
      </c>
      <c r="W91" s="7">
        <f t="shared" si="75"/>
        <v>0</v>
      </c>
      <c r="X91" s="9">
        <f t="shared" si="51"/>
        <v>0</v>
      </c>
      <c r="Y91" s="10">
        <f t="shared" si="52"/>
        <v>0</v>
      </c>
      <c r="Z91" s="1">
        <f t="shared" si="53"/>
        <v>0</v>
      </c>
      <c r="AA91" s="8">
        <f t="shared" si="54"/>
        <v>0</v>
      </c>
    </row>
    <row r="92" spans="1:27" s="2" customFormat="1">
      <c r="A92" s="321"/>
      <c r="B92" s="240" t="str">
        <f>'RFQ response'!C87</f>
        <v>SCT6.2</v>
      </c>
      <c r="C92" s="237" t="str">
        <f>'RFQ response'!E87</f>
        <v>Resistance to climatic ageing (exposed to direct sun)</v>
      </c>
      <c r="D92" s="74" t="str">
        <f>'RFQ response'!D87</f>
        <v>REQ-0945170</v>
      </c>
      <c r="E92" s="238" t="str">
        <f>'RFQ response'!L87</f>
        <v>NA</v>
      </c>
      <c r="F92" s="75"/>
      <c r="G92" s="74"/>
      <c r="H92" s="74"/>
      <c r="I92" s="95"/>
      <c r="J92" s="75"/>
      <c r="K92" s="74"/>
      <c r="L92" s="74"/>
      <c r="M92" s="173"/>
      <c r="N92" s="239"/>
      <c r="O92" s="239"/>
      <c r="P92"/>
      <c r="Q92" s="9">
        <f t="shared" si="69"/>
        <v>0</v>
      </c>
      <c r="R92" s="10">
        <f t="shared" si="70"/>
        <v>0</v>
      </c>
      <c r="S92" s="10">
        <f t="shared" si="71"/>
        <v>0</v>
      </c>
      <c r="T92" s="1">
        <f t="shared" si="72"/>
        <v>0</v>
      </c>
      <c r="U92" s="1">
        <f t="shared" si="73"/>
        <v>0</v>
      </c>
      <c r="V92" s="1">
        <f t="shared" si="74"/>
        <v>0</v>
      </c>
      <c r="W92" s="7">
        <f t="shared" si="75"/>
        <v>0</v>
      </c>
      <c r="X92" s="9">
        <f t="shared" si="51"/>
        <v>0</v>
      </c>
      <c r="Y92" s="10">
        <f t="shared" si="52"/>
        <v>0</v>
      </c>
      <c r="Z92" s="1">
        <f t="shared" si="53"/>
        <v>0</v>
      </c>
      <c r="AA92" s="8">
        <f t="shared" si="54"/>
        <v>0</v>
      </c>
    </row>
    <row r="93" spans="1:27" s="2" customFormat="1">
      <c r="A93" s="321"/>
      <c r="B93" s="240" t="str">
        <f>'RFQ response'!C88</f>
        <v>SCT7</v>
      </c>
      <c r="C93" s="237" t="str">
        <f>'RFQ response'!E88</f>
        <v>Surface temperature test of the tactile displays</v>
      </c>
      <c r="D93" s="74" t="str">
        <f>'RFQ response'!D88</f>
        <v>REQ-0994059</v>
      </c>
      <c r="E93" s="238" t="str">
        <f>'RFQ response'!L88</f>
        <v>OK</v>
      </c>
      <c r="F93" s="75"/>
      <c r="G93" s="74"/>
      <c r="H93" s="74"/>
      <c r="I93" s="95"/>
      <c r="J93" s="75"/>
      <c r="K93" s="74"/>
      <c r="L93" s="74"/>
      <c r="M93" s="173"/>
      <c r="N93" s="239"/>
      <c r="O93" s="239"/>
      <c r="P93"/>
      <c r="Q93" s="9"/>
      <c r="R93" s="10"/>
      <c r="S93" s="10"/>
      <c r="T93" s="1"/>
      <c r="U93" s="1"/>
      <c r="V93" s="1"/>
      <c r="W93" s="7"/>
      <c r="X93" s="9"/>
      <c r="Y93" s="10"/>
      <c r="Z93" s="1"/>
      <c r="AA93" s="8"/>
    </row>
    <row r="94" spans="1:27" s="2" customFormat="1" ht="15" customHeight="1">
      <c r="A94" s="321"/>
      <c r="B94" s="807" t="s">
        <v>453</v>
      </c>
      <c r="C94" s="808"/>
      <c r="D94" s="808"/>
      <c r="E94" s="808"/>
      <c r="F94" s="808"/>
      <c r="G94" s="808"/>
      <c r="H94" s="808"/>
      <c r="I94" s="808"/>
      <c r="J94" s="808"/>
      <c r="K94" s="808"/>
      <c r="L94" s="808"/>
      <c r="M94" s="808"/>
      <c r="N94" s="808"/>
      <c r="O94" s="809"/>
      <c r="P94"/>
      <c r="Q94" s="9">
        <f t="shared" si="69"/>
        <v>0</v>
      </c>
      <c r="R94" s="10">
        <f t="shared" si="70"/>
        <v>0</v>
      </c>
      <c r="S94" s="10">
        <f t="shared" si="71"/>
        <v>0</v>
      </c>
      <c r="T94" s="1">
        <f t="shared" si="72"/>
        <v>0</v>
      </c>
      <c r="U94" s="1">
        <f t="shared" si="73"/>
        <v>0</v>
      </c>
      <c r="V94" s="1">
        <f t="shared" si="74"/>
        <v>0</v>
      </c>
      <c r="W94" s="7">
        <f t="shared" si="75"/>
        <v>0</v>
      </c>
      <c r="X94" s="9">
        <f t="shared" si="51"/>
        <v>0</v>
      </c>
      <c r="Y94" s="10">
        <f t="shared" si="52"/>
        <v>0</v>
      </c>
      <c r="Z94" s="1">
        <f t="shared" si="53"/>
        <v>0</v>
      </c>
      <c r="AA94" s="8">
        <f t="shared" si="54"/>
        <v>0</v>
      </c>
    </row>
    <row r="95" spans="1:27" ht="45">
      <c r="A95" s="321"/>
      <c r="B95" s="240" t="str">
        <f>'RFQ response'!C90</f>
        <v xml:space="preserve"> -</v>
      </c>
      <c r="C95" s="237" t="str">
        <f>'RFQ response'!E90</f>
        <v>Dust intrusion</v>
      </c>
      <c r="D95" s="74" t="str">
        <f>'RFQ response'!D90</f>
        <v>REQ-0945171
REQ-0945172
REQ-0945173
REQ-0945174</v>
      </c>
      <c r="E95" s="238" t="str">
        <f>'RFQ response'!L90</f>
        <v>NA</v>
      </c>
      <c r="F95" s="75"/>
      <c r="G95" s="74"/>
      <c r="H95" s="74"/>
      <c r="I95" s="95"/>
      <c r="J95" s="75"/>
      <c r="K95" s="74"/>
      <c r="L95" s="74"/>
      <c r="M95" s="173"/>
      <c r="N95" s="239"/>
      <c r="O95" s="239"/>
      <c r="Q95" s="9">
        <f t="shared" si="69"/>
        <v>0</v>
      </c>
      <c r="R95" s="10">
        <f t="shared" si="70"/>
        <v>0</v>
      </c>
      <c r="S95" s="10">
        <f t="shared" si="71"/>
        <v>0</v>
      </c>
      <c r="T95" s="1">
        <f t="shared" si="72"/>
        <v>0</v>
      </c>
      <c r="U95" s="1">
        <f t="shared" si="73"/>
        <v>0</v>
      </c>
      <c r="V95" s="1">
        <f t="shared" si="74"/>
        <v>0</v>
      </c>
      <c r="W95" s="7">
        <f t="shared" si="75"/>
        <v>0</v>
      </c>
      <c r="X95" s="9">
        <f t="shared" si="51"/>
        <v>0</v>
      </c>
      <c r="Y95" s="10">
        <f t="shared" si="52"/>
        <v>0</v>
      </c>
      <c r="Z95" s="1">
        <f t="shared" si="53"/>
        <v>0</v>
      </c>
      <c r="AA95" s="8">
        <f t="shared" si="54"/>
        <v>0</v>
      </c>
    </row>
    <row r="96" spans="1:27">
      <c r="A96" s="321"/>
      <c r="B96" s="240" t="str">
        <f>'RFQ response'!C91</f>
        <v xml:space="preserve"> -</v>
      </c>
      <c r="C96" s="546" t="str">
        <f>'RFQ response'!E91</f>
        <v>Mud resistance</v>
      </c>
      <c r="D96" s="547" t="str">
        <f>'RFQ response'!D91</f>
        <v xml:space="preserve"> -</v>
      </c>
      <c r="E96" s="548" t="str">
        <f>'RFQ response'!L91</f>
        <v>NA</v>
      </c>
      <c r="F96" s="504"/>
      <c r="G96" s="502"/>
      <c r="H96" s="502"/>
      <c r="I96" s="505"/>
      <c r="J96" s="504"/>
      <c r="K96" s="502"/>
      <c r="L96" s="502"/>
      <c r="M96" s="506"/>
      <c r="N96" s="507"/>
      <c r="O96" s="507"/>
      <c r="Q96" s="9">
        <f t="shared" si="69"/>
        <v>0</v>
      </c>
      <c r="R96" s="10">
        <f t="shared" si="70"/>
        <v>0</v>
      </c>
      <c r="S96" s="10">
        <f t="shared" si="71"/>
        <v>0</v>
      </c>
      <c r="T96" s="1">
        <f t="shared" si="72"/>
        <v>0</v>
      </c>
      <c r="U96" s="1">
        <f t="shared" si="73"/>
        <v>0</v>
      </c>
      <c r="V96" s="1">
        <f t="shared" si="74"/>
        <v>0</v>
      </c>
      <c r="W96" s="7">
        <f t="shared" si="75"/>
        <v>0</v>
      </c>
      <c r="X96" s="9">
        <f t="shared" si="51"/>
        <v>0</v>
      </c>
      <c r="Y96" s="10">
        <f t="shared" si="52"/>
        <v>0</v>
      </c>
      <c r="Z96" s="1">
        <f t="shared" si="53"/>
        <v>0</v>
      </c>
      <c r="AA96" s="8">
        <f t="shared" si="54"/>
        <v>0</v>
      </c>
    </row>
    <row r="97" spans="1:27" ht="45">
      <c r="A97" s="321"/>
      <c r="B97" s="240" t="str">
        <f>'RFQ response'!C92</f>
        <v xml:space="preserve"> -</v>
      </c>
      <c r="C97" s="237" t="str">
        <f>'RFQ response'!E92</f>
        <v>Water or steam intrusion</v>
      </c>
      <c r="D97" s="74" t="str">
        <f>'RFQ response'!D92</f>
        <v>REQ-0945175
REQ-0945176
REQ-0945086
REQ-0945083</v>
      </c>
      <c r="E97" s="238" t="str">
        <f>'RFQ response'!L92</f>
        <v>NA</v>
      </c>
      <c r="F97" s="75"/>
      <c r="G97" s="74"/>
      <c r="H97" s="74"/>
      <c r="I97" s="95"/>
      <c r="J97" s="75"/>
      <c r="K97" s="74"/>
      <c r="L97" s="74"/>
      <c r="M97" s="173"/>
      <c r="N97" s="239"/>
      <c r="O97" s="239"/>
      <c r="Q97" s="9">
        <f t="shared" si="69"/>
        <v>0</v>
      </c>
      <c r="R97" s="10">
        <f t="shared" si="70"/>
        <v>0</v>
      </c>
      <c r="S97" s="10">
        <f t="shared" si="71"/>
        <v>0</v>
      </c>
      <c r="T97" s="1">
        <f t="shared" si="72"/>
        <v>0</v>
      </c>
      <c r="U97" s="1">
        <f t="shared" si="73"/>
        <v>0</v>
      </c>
      <c r="V97" s="1">
        <f t="shared" si="74"/>
        <v>0</v>
      </c>
      <c r="W97" s="7">
        <f t="shared" si="75"/>
        <v>0</v>
      </c>
      <c r="X97" s="9">
        <f t="shared" si="51"/>
        <v>0</v>
      </c>
      <c r="Y97" s="10">
        <f t="shared" si="52"/>
        <v>0</v>
      </c>
      <c r="Z97" s="1">
        <f t="shared" si="53"/>
        <v>0</v>
      </c>
      <c r="AA97" s="8">
        <f t="shared" si="54"/>
        <v>0</v>
      </c>
    </row>
    <row r="98" spans="1:27">
      <c r="A98" s="321"/>
      <c r="B98" s="240" t="str">
        <f>'RFQ response'!C93</f>
        <v xml:space="preserve"> -</v>
      </c>
      <c r="C98" s="546" t="str">
        <f>'RFQ response'!E93</f>
        <v>Iced salt water immersion/splash</v>
      </c>
      <c r="D98" s="547" t="str">
        <f>'RFQ response'!D93</f>
        <v xml:space="preserve"> -</v>
      </c>
      <c r="E98" s="548" t="str">
        <f>'RFQ response'!L93</f>
        <v>NA</v>
      </c>
      <c r="F98" s="504"/>
      <c r="G98" s="502"/>
      <c r="H98" s="502"/>
      <c r="I98" s="505"/>
      <c r="J98" s="504"/>
      <c r="K98" s="502"/>
      <c r="L98" s="502"/>
      <c r="M98" s="506"/>
      <c r="N98" s="507"/>
      <c r="O98" s="507"/>
      <c r="Q98" s="9">
        <f t="shared" si="69"/>
        <v>0</v>
      </c>
      <c r="R98" s="10">
        <f t="shared" si="70"/>
        <v>0</v>
      </c>
      <c r="S98" s="10">
        <f t="shared" si="71"/>
        <v>0</v>
      </c>
      <c r="T98" s="1">
        <f t="shared" si="72"/>
        <v>0</v>
      </c>
      <c r="U98" s="1">
        <f t="shared" si="73"/>
        <v>0</v>
      </c>
      <c r="V98" s="1">
        <f t="shared" si="74"/>
        <v>0</v>
      </c>
      <c r="W98" s="7">
        <f t="shared" si="75"/>
        <v>0</v>
      </c>
      <c r="X98" s="9">
        <f t="shared" si="51"/>
        <v>0</v>
      </c>
      <c r="Y98" s="10">
        <f t="shared" si="52"/>
        <v>0</v>
      </c>
      <c r="Z98" s="1">
        <f t="shared" si="53"/>
        <v>0</v>
      </c>
      <c r="AA98" s="8">
        <f t="shared" si="54"/>
        <v>0</v>
      </c>
    </row>
    <row r="99" spans="1:27" s="2" customFormat="1" ht="15" customHeight="1">
      <c r="A99" s="321"/>
      <c r="B99" s="793" t="s">
        <v>455</v>
      </c>
      <c r="C99" s="793"/>
      <c r="D99" s="793"/>
      <c r="E99" s="793"/>
      <c r="F99" s="793"/>
      <c r="G99" s="793"/>
      <c r="H99" s="793"/>
      <c r="I99" s="793"/>
      <c r="J99" s="793"/>
      <c r="K99" s="793"/>
      <c r="L99" s="793"/>
      <c r="M99" s="793"/>
      <c r="N99" s="793"/>
      <c r="O99" s="794"/>
      <c r="P99"/>
      <c r="Q99" s="9">
        <f t="shared" si="69"/>
        <v>0</v>
      </c>
      <c r="R99" s="10">
        <f t="shared" si="70"/>
        <v>0</v>
      </c>
      <c r="S99" s="10">
        <f t="shared" si="71"/>
        <v>0</v>
      </c>
      <c r="T99" s="1">
        <f t="shared" si="72"/>
        <v>0</v>
      </c>
      <c r="U99" s="1">
        <f t="shared" si="73"/>
        <v>0</v>
      </c>
      <c r="V99" s="1">
        <f t="shared" si="74"/>
        <v>0</v>
      </c>
      <c r="W99" s="7">
        <f t="shared" si="75"/>
        <v>0</v>
      </c>
      <c r="X99" s="9">
        <f t="shared" si="51"/>
        <v>0</v>
      </c>
      <c r="Y99" s="10">
        <f t="shared" si="52"/>
        <v>0</v>
      </c>
      <c r="Z99" s="1">
        <f t="shared" si="53"/>
        <v>0</v>
      </c>
      <c r="AA99" s="8">
        <f t="shared" si="54"/>
        <v>0</v>
      </c>
    </row>
    <row r="100" spans="1:27">
      <c r="A100" s="321"/>
      <c r="B100" s="240" t="str">
        <f>'RFQ response'!C95</f>
        <v xml:space="preserve"> -</v>
      </c>
      <c r="C100" s="237" t="str">
        <f>'RFQ response'!E95</f>
        <v>Material housing corrosion</v>
      </c>
      <c r="D100" s="74" t="str">
        <f>'RFQ response'!D95</f>
        <v>-</v>
      </c>
      <c r="E100" s="238" t="str">
        <f>'RFQ response'!L95</f>
        <v>NA</v>
      </c>
      <c r="F100" s="75"/>
      <c r="G100" s="74"/>
      <c r="H100" s="74"/>
      <c r="I100" s="95"/>
      <c r="J100" s="75"/>
      <c r="K100" s="74"/>
      <c r="L100" s="74"/>
      <c r="M100" s="173"/>
      <c r="N100" s="239"/>
      <c r="O100" s="239"/>
      <c r="Q100" s="9">
        <f t="shared" ref="Q100:Q105" si="76">IF(K100="On going",1,0)</f>
        <v>0</v>
      </c>
      <c r="R100" s="10">
        <f t="shared" ref="R100:R105" si="77">IF(K100="NA",1,0)</f>
        <v>0</v>
      </c>
      <c r="S100" s="10">
        <f t="shared" ref="S100:S105" si="78">IF(K100="Deviation",1,0)</f>
        <v>0</v>
      </c>
      <c r="T100" s="1">
        <f t="shared" ref="T100:T105" si="79">IF(K100="In analysis",1,0)</f>
        <v>0</v>
      </c>
      <c r="U100" s="1">
        <f t="shared" ref="U100:U105" si="80">IF(K100="NOK minor",1,0)</f>
        <v>0</v>
      </c>
      <c r="V100" s="1">
        <f t="shared" ref="V100:V105" si="81">IF(K100="NOK major",1,0)</f>
        <v>0</v>
      </c>
      <c r="W100" s="7">
        <f t="shared" ref="W100:W105" si="82">IF(K100="OK",1,0)</f>
        <v>0</v>
      </c>
      <c r="X100" s="9">
        <f t="shared" ref="X100:X105" si="83">IF($J100="On going",1,0)</f>
        <v>0</v>
      </c>
      <c r="Y100" s="10">
        <f t="shared" ref="Y100:Y105" si="84">IF($J100="NA",1,0)</f>
        <v>0</v>
      </c>
      <c r="Z100" s="1">
        <f t="shared" ref="Z100:Z105" si="85">IF($J100="NOK",1,0)</f>
        <v>0</v>
      </c>
      <c r="AA100" s="8">
        <f t="shared" ref="AA100:AA105" si="86">IF($J100="OK",1,0)</f>
        <v>0</v>
      </c>
    </row>
    <row r="101" spans="1:27">
      <c r="A101" s="321"/>
      <c r="B101" s="240" t="str">
        <f>'RFQ response'!C96</f>
        <v xml:space="preserve"> -</v>
      </c>
      <c r="C101" s="237" t="str">
        <f>'RFQ response'!E96</f>
        <v>Salt fog</v>
      </c>
      <c r="D101" s="74" t="str">
        <f>'RFQ response'!D96</f>
        <v>REQ-0945076</v>
      </c>
      <c r="E101" s="238" t="str">
        <f>'RFQ response'!L96</f>
        <v>NA</v>
      </c>
      <c r="F101" s="75"/>
      <c r="G101" s="74"/>
      <c r="H101" s="74"/>
      <c r="I101" s="95"/>
      <c r="J101" s="75"/>
      <c r="K101" s="74"/>
      <c r="L101" s="74"/>
      <c r="M101" s="173"/>
      <c r="N101" s="239"/>
      <c r="O101" s="239"/>
      <c r="Q101" s="9">
        <f t="shared" si="76"/>
        <v>0</v>
      </c>
      <c r="R101" s="10">
        <f t="shared" si="77"/>
        <v>0</v>
      </c>
      <c r="S101" s="10">
        <f t="shared" si="78"/>
        <v>0</v>
      </c>
      <c r="T101" s="1">
        <f t="shared" si="79"/>
        <v>0</v>
      </c>
      <c r="U101" s="1">
        <f t="shared" si="80"/>
        <v>0</v>
      </c>
      <c r="V101" s="1">
        <f t="shared" si="81"/>
        <v>0</v>
      </c>
      <c r="W101" s="7">
        <f t="shared" si="82"/>
        <v>0</v>
      </c>
      <c r="X101" s="9">
        <f t="shared" si="83"/>
        <v>0</v>
      </c>
      <c r="Y101" s="10">
        <f t="shared" si="84"/>
        <v>0</v>
      </c>
      <c r="Z101" s="1">
        <f t="shared" si="85"/>
        <v>0</v>
      </c>
      <c r="AA101" s="8">
        <f t="shared" si="86"/>
        <v>0</v>
      </c>
    </row>
    <row r="102" spans="1:27">
      <c r="A102" s="321"/>
      <c r="B102" s="240" t="str">
        <f>'RFQ response'!C97</f>
        <v xml:space="preserve"> -</v>
      </c>
      <c r="C102" s="546" t="str">
        <f>'RFQ response'!E97</f>
        <v>Mixed flowing gas</v>
      </c>
      <c r="D102" s="547" t="str">
        <f>'RFQ response'!D97</f>
        <v xml:space="preserve"> -</v>
      </c>
      <c r="E102" s="548" t="str">
        <f>'RFQ response'!L97</f>
        <v>NA</v>
      </c>
      <c r="F102" s="504"/>
      <c r="G102" s="502"/>
      <c r="H102" s="502"/>
      <c r="I102" s="505"/>
      <c r="J102" s="504"/>
      <c r="K102" s="502"/>
      <c r="L102" s="502"/>
      <c r="M102" s="506"/>
      <c r="N102" s="507"/>
      <c r="O102" s="507"/>
      <c r="Q102" s="9">
        <f t="shared" si="76"/>
        <v>0</v>
      </c>
      <c r="R102" s="10">
        <f t="shared" si="77"/>
        <v>0</v>
      </c>
      <c r="S102" s="10">
        <f t="shared" si="78"/>
        <v>0</v>
      </c>
      <c r="T102" s="1">
        <f t="shared" si="79"/>
        <v>0</v>
      </c>
      <c r="U102" s="1">
        <f t="shared" si="80"/>
        <v>0</v>
      </c>
      <c r="V102" s="1">
        <f t="shared" si="81"/>
        <v>0</v>
      </c>
      <c r="W102" s="7">
        <f t="shared" si="82"/>
        <v>0</v>
      </c>
      <c r="X102" s="9">
        <f t="shared" si="83"/>
        <v>0</v>
      </c>
      <c r="Y102" s="10">
        <f t="shared" si="84"/>
        <v>0</v>
      </c>
      <c r="Z102" s="1">
        <f t="shared" si="85"/>
        <v>0</v>
      </c>
      <c r="AA102" s="8">
        <f t="shared" si="86"/>
        <v>0</v>
      </c>
    </row>
    <row r="103" spans="1:27">
      <c r="A103" s="321"/>
      <c r="B103" s="240" t="str">
        <f>'RFQ response'!C98</f>
        <v xml:space="preserve"> -</v>
      </c>
      <c r="C103" s="237" t="str">
        <f>'RFQ response'!E98</f>
        <v>Chemical exposure</v>
      </c>
      <c r="D103" s="74" t="str">
        <f>'RFQ response'!D98</f>
        <v>REQ-0945077</v>
      </c>
      <c r="E103" s="238" t="str">
        <f>'RFQ response'!L98</f>
        <v>NA</v>
      </c>
      <c r="F103" s="75"/>
      <c r="G103" s="74"/>
      <c r="H103" s="74"/>
      <c r="I103" s="95"/>
      <c r="J103" s="75"/>
      <c r="K103" s="74"/>
      <c r="L103" s="74"/>
      <c r="M103" s="173"/>
      <c r="N103" s="239"/>
      <c r="O103" s="239"/>
      <c r="Q103" s="9">
        <f t="shared" si="76"/>
        <v>0</v>
      </c>
      <c r="R103" s="10">
        <f t="shared" si="77"/>
        <v>0</v>
      </c>
      <c r="S103" s="10">
        <f t="shared" si="78"/>
        <v>0</v>
      </c>
      <c r="T103" s="1">
        <f t="shared" si="79"/>
        <v>0</v>
      </c>
      <c r="U103" s="1">
        <f t="shared" si="80"/>
        <v>0</v>
      </c>
      <c r="V103" s="1">
        <f t="shared" si="81"/>
        <v>0</v>
      </c>
      <c r="W103" s="7">
        <f t="shared" si="82"/>
        <v>0</v>
      </c>
      <c r="X103" s="9">
        <f t="shared" si="83"/>
        <v>0</v>
      </c>
      <c r="Y103" s="10">
        <f t="shared" si="84"/>
        <v>0</v>
      </c>
      <c r="Z103" s="1">
        <f t="shared" si="85"/>
        <v>0</v>
      </c>
      <c r="AA103" s="8">
        <f t="shared" si="86"/>
        <v>0</v>
      </c>
    </row>
    <row r="104" spans="1:27" s="2" customFormat="1" ht="15" customHeight="1">
      <c r="A104" s="321"/>
      <c r="B104" s="795" t="s">
        <v>457</v>
      </c>
      <c r="C104" s="795"/>
      <c r="D104" s="795"/>
      <c r="E104" s="795"/>
      <c r="F104" s="795"/>
      <c r="G104" s="795"/>
      <c r="H104" s="795"/>
      <c r="I104" s="795"/>
      <c r="J104" s="795"/>
      <c r="K104" s="795"/>
      <c r="L104" s="795"/>
      <c r="M104" s="795"/>
      <c r="N104" s="795"/>
      <c r="O104" s="796"/>
      <c r="P104"/>
      <c r="Q104" s="9">
        <f t="shared" si="76"/>
        <v>0</v>
      </c>
      <c r="R104" s="10">
        <f t="shared" si="77"/>
        <v>0</v>
      </c>
      <c r="S104" s="10">
        <f t="shared" si="78"/>
        <v>0</v>
      </c>
      <c r="T104" s="1">
        <f t="shared" si="79"/>
        <v>0</v>
      </c>
      <c r="U104" s="1">
        <f t="shared" si="80"/>
        <v>0</v>
      </c>
      <c r="V104" s="1">
        <f t="shared" si="81"/>
        <v>0</v>
      </c>
      <c r="W104" s="7">
        <f t="shared" si="82"/>
        <v>0</v>
      </c>
      <c r="X104" s="9">
        <f t="shared" si="83"/>
        <v>0</v>
      </c>
      <c r="Y104" s="10">
        <f t="shared" si="84"/>
        <v>0</v>
      </c>
      <c r="Z104" s="1">
        <f t="shared" si="85"/>
        <v>0</v>
      </c>
      <c r="AA104" s="8">
        <f t="shared" si="86"/>
        <v>0</v>
      </c>
    </row>
    <row r="105" spans="1:27">
      <c r="A105" s="321"/>
      <c r="B105" s="240" t="str">
        <f>'RFQ response'!C100</f>
        <v>TTF</v>
      </c>
      <c r="C105" s="237" t="str">
        <f>'RFQ response'!E100</f>
        <v xml:space="preserve">Test-To-Failure </v>
      </c>
      <c r="D105" s="74" t="str">
        <f>'RFQ response'!D100</f>
        <v>-</v>
      </c>
      <c r="E105" s="238" t="str">
        <f>'RFQ response'!L100</f>
        <v>NA</v>
      </c>
      <c r="F105" s="75"/>
      <c r="G105" s="74"/>
      <c r="H105" s="74"/>
      <c r="I105" s="95"/>
      <c r="J105" s="75"/>
      <c r="K105" s="74"/>
      <c r="L105" s="74"/>
      <c r="M105" s="173"/>
      <c r="N105" s="239"/>
      <c r="O105" s="239"/>
      <c r="Q105" s="9">
        <f t="shared" si="76"/>
        <v>0</v>
      </c>
      <c r="R105" s="10">
        <f t="shared" si="77"/>
        <v>0</v>
      </c>
      <c r="S105" s="10">
        <f t="shared" si="78"/>
        <v>0</v>
      </c>
      <c r="T105" s="1">
        <f t="shared" si="79"/>
        <v>0</v>
      </c>
      <c r="U105" s="1">
        <f t="shared" si="80"/>
        <v>0</v>
      </c>
      <c r="V105" s="1">
        <f t="shared" si="81"/>
        <v>0</v>
      </c>
      <c r="W105" s="7">
        <f t="shared" si="82"/>
        <v>0</v>
      </c>
      <c r="X105" s="9">
        <f t="shared" si="83"/>
        <v>0</v>
      </c>
      <c r="Y105" s="10">
        <f t="shared" si="84"/>
        <v>0</v>
      </c>
      <c r="Z105" s="1">
        <f t="shared" si="85"/>
        <v>0</v>
      </c>
      <c r="AA105" s="8">
        <f t="shared" si="86"/>
        <v>0</v>
      </c>
    </row>
  </sheetData>
  <autoFilter ref="A10:Y105" xr:uid="{00000000-0009-0000-0000-000003000000}">
    <filterColumn colId="0" showButton="0"/>
    <filterColumn colId="2" showButton="0"/>
    <filterColumn colId="3" showButton="0"/>
    <filterColumn colId="4" showButton="0"/>
    <filterColumn colId="5" showButton="0"/>
  </autoFilter>
  <mergeCells count="15">
    <mergeCell ref="B99:O99"/>
    <mergeCell ref="B104:O104"/>
    <mergeCell ref="Q10:W10"/>
    <mergeCell ref="X10:AA10"/>
    <mergeCell ref="B50:O50"/>
    <mergeCell ref="B52:O52"/>
    <mergeCell ref="B76:O76"/>
    <mergeCell ref="B94:O94"/>
    <mergeCell ref="A4:B11"/>
    <mergeCell ref="B12:O12"/>
    <mergeCell ref="B1:B2"/>
    <mergeCell ref="G1:G2"/>
    <mergeCell ref="L1:L2"/>
    <mergeCell ref="N1:N2"/>
    <mergeCell ref="O1:O2"/>
  </mergeCells>
  <conditionalFormatting sqref="K95:K98 K105 K100:K103 K51 K13:K49 K77:K93 K53:K75">
    <cfRule type="expression" dxfId="81" priority="9">
      <formula>$K13="Deviation"</formula>
    </cfRule>
    <cfRule type="expression" dxfId="80" priority="10" stopIfTrue="1">
      <formula>$K13="OK"</formula>
    </cfRule>
    <cfRule type="expression" dxfId="79" priority="11" stopIfTrue="1">
      <formula>$K13="NOK major"</formula>
    </cfRule>
    <cfRule type="expression" dxfId="78" priority="12" stopIfTrue="1">
      <formula>$K13="NOK minor"</formula>
    </cfRule>
    <cfRule type="expression" dxfId="77" priority="13" stopIfTrue="1">
      <formula>$K13="In analysis"</formula>
    </cfRule>
    <cfRule type="expression" dxfId="76" priority="14" stopIfTrue="1">
      <formula>$K13="On going"</formula>
    </cfRule>
    <cfRule type="expression" dxfId="75" priority="15" stopIfTrue="1">
      <formula>$K13="NA"</formula>
    </cfRule>
  </conditionalFormatting>
  <conditionalFormatting sqref="B94">
    <cfRule type="cellIs" dxfId="74" priority="8" operator="equal">
      <formula>"NA"</formula>
    </cfRule>
  </conditionalFormatting>
  <dataValidations count="2">
    <dataValidation type="list" allowBlank="1" showInputMessage="1" showErrorMessage="1" sqref="K51 K95:K98 K13:K49 K105 K100:K103 K77:K93 K53:K75" xr:uid="{E4E1D1DA-FFB2-4B5E-AB64-965A899F0F0D}">
      <formula1>$C$4:$C$10</formula1>
    </dataValidation>
    <dataValidation type="list" allowBlank="1" showInputMessage="1" showErrorMessage="1" sqref="J51 J95:J98 J13:J49 J105 J100:J103 J77:J93 J53:J75" xr:uid="{FE55218B-D9DB-4891-A1B6-E991440833ED}">
      <formula1>"OK,NOK,NA,On going,"</formula1>
    </dataValidation>
  </dataValidations>
  <hyperlinks>
    <hyperlink ref="M89" r:id="rId1" display="https://docinfogroupe.psa-peugeot-citroen.com/ead/doc/ref.20408_18_01223/v.vc/fiche" xr:uid="{15436166-4F5B-45FF-8744-AE4D04505893}"/>
  </hyperlinks>
  <pageMargins left="0.7" right="0.7" top="0.75" bottom="0.75" header="0.3" footer="0.3"/>
  <pageSetup paperSize="9" scale="51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AC471"/>
  <sheetViews>
    <sheetView topLeftCell="A25" workbookViewId="0">
      <selection activeCell="G10" sqref="G10"/>
    </sheetView>
  </sheetViews>
  <sheetFormatPr baseColWidth="10" defaultColWidth="9.140625" defaultRowHeight="11.25"/>
  <cols>
    <col min="1" max="1" width="3.7109375" style="330" customWidth="1"/>
    <col min="2" max="2" width="2.7109375" style="330" customWidth="1"/>
    <col min="3" max="3" width="9.140625" style="331"/>
    <col min="4" max="4" width="6.140625" style="330" customWidth="1"/>
    <col min="5" max="5" width="6.42578125" style="330" customWidth="1"/>
    <col min="6" max="6" width="3.5703125" style="330" customWidth="1"/>
    <col min="7" max="7" width="9.140625" style="330"/>
    <col min="8" max="8" width="3.7109375" style="330" customWidth="1"/>
    <col min="9" max="9" width="5.28515625" style="330" customWidth="1"/>
    <col min="10" max="11" width="12.140625" style="330" customWidth="1"/>
    <col min="12" max="12" width="3.7109375" style="330" customWidth="1"/>
    <col min="13" max="13" width="4.28515625" style="330" customWidth="1"/>
    <col min="14" max="14" width="10.7109375" style="330" customWidth="1"/>
    <col min="15" max="15" width="13.7109375" style="330" customWidth="1"/>
    <col min="16" max="16" width="4.42578125" style="331" customWidth="1"/>
    <col min="17" max="17" width="9.85546875" style="330" customWidth="1"/>
    <col min="18" max="19" width="2.28515625" style="330" customWidth="1"/>
    <col min="20" max="20" width="8.28515625" style="330" customWidth="1"/>
    <col min="21" max="21" width="4.85546875" style="330" customWidth="1"/>
    <col min="22" max="16384" width="9.140625" style="330"/>
  </cols>
  <sheetData>
    <row r="1" spans="2:26" ht="12" thickBot="1"/>
    <row r="2" spans="2:26" ht="18" customHeight="1">
      <c r="B2" s="332"/>
      <c r="C2" s="333"/>
      <c r="D2" s="334"/>
      <c r="E2" s="871" t="s">
        <v>298</v>
      </c>
      <c r="F2" s="872"/>
      <c r="G2" s="872"/>
      <c r="H2" s="872"/>
      <c r="I2" s="872"/>
      <c r="J2" s="872"/>
      <c r="K2" s="872"/>
      <c r="L2" s="872"/>
      <c r="M2" s="872"/>
      <c r="N2" s="873"/>
      <c r="O2" s="335"/>
      <c r="P2" s="336"/>
      <c r="Q2" s="337"/>
      <c r="R2" s="337"/>
      <c r="S2" s="337"/>
      <c r="T2" s="337"/>
      <c r="U2" s="337"/>
      <c r="V2" s="337"/>
      <c r="W2" s="337"/>
      <c r="X2" s="338"/>
    </row>
    <row r="3" spans="2:26" ht="30.75" customHeight="1">
      <c r="B3" s="339"/>
      <c r="C3" s="340"/>
      <c r="D3" s="341"/>
      <c r="E3" s="874"/>
      <c r="F3" s="875"/>
      <c r="G3" s="875"/>
      <c r="H3" s="875"/>
      <c r="I3" s="875"/>
      <c r="J3" s="875"/>
      <c r="K3" s="875"/>
      <c r="L3" s="875"/>
      <c r="M3" s="875"/>
      <c r="N3" s="876"/>
      <c r="P3" s="342"/>
      <c r="R3" s="343"/>
      <c r="S3" s="343"/>
      <c r="T3" s="343"/>
      <c r="U3" s="343"/>
      <c r="X3" s="344"/>
    </row>
    <row r="4" spans="2:26">
      <c r="B4" s="345"/>
      <c r="C4" s="346"/>
      <c r="D4" s="347"/>
      <c r="E4" s="348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50"/>
      <c r="Q4" s="349"/>
      <c r="R4" s="349"/>
      <c r="S4" s="349"/>
      <c r="T4" s="877"/>
      <c r="U4" s="877"/>
      <c r="V4" s="877"/>
      <c r="W4" s="877"/>
      <c r="X4" s="878"/>
    </row>
    <row r="5" spans="2:26">
      <c r="B5" s="339"/>
      <c r="D5" s="351"/>
      <c r="E5" s="352"/>
      <c r="F5" s="343"/>
      <c r="G5" s="343"/>
      <c r="H5" s="343"/>
      <c r="I5" s="343"/>
      <c r="J5" s="343"/>
      <c r="K5" s="343"/>
      <c r="L5" s="343"/>
      <c r="M5" s="343"/>
      <c r="N5" s="343"/>
      <c r="O5" s="343"/>
      <c r="P5" s="353"/>
      <c r="Q5" s="343"/>
      <c r="R5" s="343"/>
      <c r="S5" s="343"/>
      <c r="T5" s="879"/>
      <c r="U5" s="879"/>
      <c r="V5" s="879"/>
      <c r="W5" s="879"/>
      <c r="X5" s="880"/>
    </row>
    <row r="6" spans="2:26">
      <c r="B6" s="345"/>
      <c r="C6" s="346"/>
      <c r="D6" s="347"/>
      <c r="E6" s="354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50"/>
      <c r="Q6" s="349"/>
      <c r="R6" s="349"/>
      <c r="S6" s="349"/>
      <c r="T6" s="881"/>
      <c r="U6" s="882"/>
      <c r="V6" s="882"/>
      <c r="W6" s="882"/>
      <c r="X6" s="883"/>
    </row>
    <row r="7" spans="2:26" ht="15">
      <c r="B7" s="339"/>
      <c r="D7" s="355"/>
      <c r="E7" s="884"/>
      <c r="F7" s="885"/>
      <c r="G7" s="885"/>
      <c r="H7" s="885"/>
      <c r="I7" s="885"/>
      <c r="J7" s="885"/>
      <c r="K7" s="885"/>
      <c r="L7" s="885"/>
      <c r="M7" s="885"/>
      <c r="N7" s="888"/>
      <c r="O7" s="889"/>
      <c r="P7" s="889"/>
      <c r="Q7" s="889"/>
      <c r="T7" s="881"/>
      <c r="U7" s="882"/>
      <c r="V7" s="882"/>
      <c r="W7" s="882"/>
      <c r="X7" s="883"/>
      <c r="Z7"/>
    </row>
    <row r="8" spans="2:26" ht="13.9" customHeight="1" thickBot="1">
      <c r="B8" s="356"/>
      <c r="C8" s="867"/>
      <c r="D8" s="868"/>
      <c r="E8" s="886"/>
      <c r="F8" s="887"/>
      <c r="G8" s="887"/>
      <c r="H8" s="887"/>
      <c r="I8" s="887"/>
      <c r="J8" s="887"/>
      <c r="K8" s="887"/>
      <c r="L8" s="887"/>
      <c r="M8" s="887"/>
      <c r="N8" s="890"/>
      <c r="O8" s="890"/>
      <c r="P8" s="890"/>
      <c r="Q8" s="890"/>
      <c r="R8" s="357"/>
      <c r="S8" s="357"/>
      <c r="T8" s="869"/>
      <c r="U8" s="867"/>
      <c r="V8" s="867"/>
      <c r="W8" s="867"/>
      <c r="X8" s="870"/>
    </row>
    <row r="9" spans="2:26" ht="6" customHeight="1">
      <c r="B9" s="332"/>
      <c r="C9" s="358"/>
      <c r="D9" s="335"/>
      <c r="E9" s="335"/>
      <c r="F9" s="335"/>
      <c r="G9" s="335"/>
      <c r="H9" s="335"/>
      <c r="I9" s="335"/>
      <c r="J9" s="335"/>
      <c r="K9" s="335"/>
      <c r="L9" s="335"/>
      <c r="M9" s="335"/>
      <c r="N9" s="335"/>
      <c r="O9" s="335"/>
      <c r="P9" s="358"/>
      <c r="Q9" s="335"/>
      <c r="R9" s="335"/>
      <c r="S9" s="335"/>
      <c r="T9" s="335"/>
      <c r="U9" s="335"/>
      <c r="V9" s="337"/>
      <c r="W9" s="337"/>
      <c r="X9" s="338"/>
    </row>
    <row r="10" spans="2:26" ht="15">
      <c r="B10" s="339"/>
      <c r="C10" s="359"/>
      <c r="D10"/>
      <c r="E10" s="360"/>
      <c r="F10" s="360"/>
      <c r="G10" s="360"/>
      <c r="H10" s="360"/>
      <c r="I10" s="360"/>
      <c r="J10" s="360"/>
      <c r="K10" s="860"/>
      <c r="L10" s="860"/>
      <c r="M10" s="860"/>
      <c r="N10" s="860"/>
      <c r="O10" s="360"/>
      <c r="P10" s="359"/>
      <c r="Q10" s="360"/>
      <c r="R10" s="360"/>
      <c r="S10" s="360"/>
      <c r="T10" s="360"/>
      <c r="U10" s="360"/>
      <c r="X10" s="344"/>
    </row>
    <row r="11" spans="2:26">
      <c r="B11" s="339"/>
      <c r="C11" s="359"/>
      <c r="D11" s="360"/>
      <c r="E11" s="360"/>
      <c r="F11" s="360"/>
      <c r="G11" s="360"/>
      <c r="H11" s="360"/>
      <c r="I11" s="360"/>
      <c r="J11" s="360"/>
      <c r="K11" s="859"/>
      <c r="L11" s="859"/>
      <c r="M11" s="859"/>
      <c r="N11" s="859"/>
      <c r="O11" s="360"/>
      <c r="P11" s="359"/>
      <c r="Q11" s="360"/>
      <c r="R11" s="360"/>
      <c r="S11" s="360"/>
      <c r="T11" s="360"/>
      <c r="U11" s="360"/>
      <c r="X11" s="344"/>
    </row>
    <row r="12" spans="2:26">
      <c r="B12" s="339"/>
      <c r="C12" s="359"/>
      <c r="D12" s="360"/>
      <c r="E12" s="360"/>
      <c r="F12" s="859"/>
      <c r="G12" s="859"/>
      <c r="H12" s="859"/>
      <c r="I12" s="360"/>
      <c r="J12" s="360"/>
      <c r="K12" s="859"/>
      <c r="L12" s="859"/>
      <c r="M12" s="859"/>
      <c r="N12" s="859"/>
      <c r="O12" s="360"/>
      <c r="P12" s="359"/>
      <c r="Q12" s="360"/>
      <c r="R12" s="360"/>
      <c r="S12" s="360"/>
      <c r="T12" s="360"/>
      <c r="U12" s="360"/>
      <c r="X12" s="344"/>
    </row>
    <row r="13" spans="2:26" ht="15">
      <c r="B13" s="339"/>
      <c r="C13" s="359"/>
      <c r="D13" s="360"/>
      <c r="E13" s="360"/>
      <c r="F13" s="360"/>
      <c r="G13" s="360"/>
      <c r="H13" s="360"/>
      <c r="I13" s="360"/>
      <c r="J13" s="360"/>
      <c r="K13"/>
      <c r="L13" s="360"/>
      <c r="M13" s="360"/>
      <c r="N13" s="360"/>
      <c r="O13" s="360"/>
      <c r="P13" s="359"/>
      <c r="Q13" s="360"/>
      <c r="R13" s="360"/>
      <c r="S13" s="360"/>
      <c r="T13" s="360"/>
      <c r="U13" s="360"/>
      <c r="X13" s="344"/>
    </row>
    <row r="14" spans="2:26">
      <c r="B14" s="339"/>
      <c r="C14" s="359"/>
      <c r="D14" s="860"/>
      <c r="E14" s="860"/>
      <c r="F14" s="860"/>
      <c r="G14" s="860"/>
      <c r="H14" s="361"/>
      <c r="I14" s="360"/>
      <c r="J14" s="860"/>
      <c r="K14" s="860"/>
      <c r="L14" s="360"/>
      <c r="M14" s="360"/>
      <c r="N14" s="860"/>
      <c r="O14" s="860"/>
      <c r="P14" s="359"/>
      <c r="Q14" s="360"/>
      <c r="R14" s="860"/>
      <c r="S14" s="860"/>
      <c r="T14" s="361"/>
      <c r="U14" s="360"/>
      <c r="X14" s="344"/>
    </row>
    <row r="15" spans="2:26">
      <c r="B15" s="339"/>
      <c r="C15" s="359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59"/>
      <c r="Q15" s="360"/>
      <c r="R15" s="360"/>
      <c r="S15" s="360"/>
      <c r="T15" s="360"/>
      <c r="U15" s="360"/>
      <c r="X15" s="344"/>
    </row>
    <row r="16" spans="2:26" ht="12.75" customHeight="1">
      <c r="B16" s="339"/>
      <c r="C16" s="359"/>
      <c r="D16" s="859"/>
      <c r="E16" s="859"/>
      <c r="F16" s="859"/>
      <c r="G16" s="859"/>
      <c r="H16" s="362"/>
      <c r="I16" s="359"/>
      <c r="J16" s="865"/>
      <c r="K16" s="865"/>
      <c r="L16" s="360"/>
      <c r="M16" s="359"/>
      <c r="N16" s="859"/>
      <c r="O16" s="859"/>
      <c r="P16" s="359"/>
      <c r="Q16" s="359"/>
      <c r="R16" s="866"/>
      <c r="S16" s="866"/>
      <c r="T16" s="363"/>
      <c r="U16" s="360"/>
      <c r="X16" s="344"/>
    </row>
    <row r="17" spans="2:24">
      <c r="B17" s="339"/>
      <c r="C17" s="359"/>
      <c r="D17" s="859"/>
      <c r="E17" s="859"/>
      <c r="F17" s="859"/>
      <c r="G17" s="859"/>
      <c r="H17" s="362"/>
      <c r="I17" s="359"/>
      <c r="J17" s="865"/>
      <c r="K17" s="865"/>
      <c r="L17" s="360"/>
      <c r="M17" s="360"/>
      <c r="N17" s="362"/>
      <c r="O17" s="362"/>
      <c r="P17" s="359"/>
      <c r="Q17" s="359"/>
      <c r="R17" s="866"/>
      <c r="S17" s="866"/>
      <c r="T17" s="363"/>
      <c r="U17" s="360"/>
      <c r="X17" s="344"/>
    </row>
    <row r="18" spans="2:24">
      <c r="B18" s="339"/>
      <c r="C18" s="359"/>
      <c r="D18" s="360"/>
      <c r="E18" s="360"/>
      <c r="F18" s="360"/>
      <c r="G18" s="360"/>
      <c r="H18" s="360"/>
      <c r="I18" s="359"/>
      <c r="J18" s="360"/>
      <c r="K18" s="360"/>
      <c r="L18" s="360"/>
      <c r="M18" s="360"/>
      <c r="N18" s="360"/>
      <c r="O18" s="360"/>
      <c r="P18" s="359"/>
      <c r="Q18" s="359"/>
      <c r="R18" s="360"/>
      <c r="S18" s="360"/>
      <c r="T18" s="360"/>
      <c r="U18" s="360"/>
      <c r="X18" s="344"/>
    </row>
    <row r="19" spans="2:24">
      <c r="B19" s="339"/>
      <c r="C19" s="359"/>
      <c r="D19" s="360"/>
      <c r="E19" s="360"/>
      <c r="F19" s="360"/>
      <c r="G19" s="360"/>
      <c r="H19" s="360"/>
      <c r="I19" s="359"/>
      <c r="J19" s="360"/>
      <c r="K19" s="360"/>
      <c r="L19" s="360"/>
      <c r="M19" s="360"/>
      <c r="N19" s="360"/>
      <c r="O19" s="360"/>
      <c r="P19" s="359"/>
      <c r="Q19" s="364"/>
      <c r="R19" s="360"/>
      <c r="S19" s="360"/>
      <c r="T19" s="360"/>
      <c r="U19" s="360"/>
      <c r="X19" s="344"/>
    </row>
    <row r="20" spans="2:24">
      <c r="B20" s="339"/>
      <c r="C20" s="359"/>
      <c r="D20" s="859"/>
      <c r="E20" s="859"/>
      <c r="F20" s="859"/>
      <c r="G20" s="859"/>
      <c r="H20" s="362"/>
      <c r="I20" s="359"/>
      <c r="J20" s="859"/>
      <c r="K20" s="859"/>
      <c r="L20" s="360"/>
      <c r="M20" s="360"/>
      <c r="N20" s="859"/>
      <c r="O20" s="859"/>
      <c r="P20" s="359"/>
      <c r="Q20" s="359"/>
      <c r="R20" s="859"/>
      <c r="S20" s="859"/>
      <c r="T20" s="362"/>
      <c r="U20" s="360"/>
      <c r="X20" s="344"/>
    </row>
    <row r="21" spans="2:24">
      <c r="B21" s="339"/>
      <c r="C21" s="359"/>
      <c r="D21" s="859"/>
      <c r="E21" s="859"/>
      <c r="F21" s="859"/>
      <c r="G21" s="859"/>
      <c r="H21" s="362"/>
      <c r="I21" s="359"/>
      <c r="J21" s="859"/>
      <c r="K21" s="859"/>
      <c r="L21" s="360"/>
      <c r="M21" s="360"/>
      <c r="N21" s="859"/>
      <c r="O21" s="859"/>
      <c r="P21" s="359"/>
      <c r="Q21" s="360"/>
      <c r="R21" s="859"/>
      <c r="S21" s="859"/>
      <c r="T21" s="360"/>
      <c r="U21" s="360"/>
      <c r="X21" s="344"/>
    </row>
    <row r="22" spans="2:24">
      <c r="B22" s="339"/>
      <c r="C22" s="359"/>
      <c r="D22" s="360"/>
      <c r="E22" s="360"/>
      <c r="F22" s="360"/>
      <c r="G22" s="360"/>
      <c r="H22" s="360"/>
      <c r="I22" s="359"/>
      <c r="J22" s="360"/>
      <c r="K22" s="360"/>
      <c r="L22" s="360"/>
      <c r="M22" s="359"/>
      <c r="N22" s="360"/>
      <c r="O22" s="360"/>
      <c r="P22" s="359"/>
      <c r="Q22" s="360"/>
      <c r="R22" s="360"/>
      <c r="S22" s="360"/>
      <c r="T22" s="360"/>
      <c r="U22" s="360"/>
      <c r="X22" s="344"/>
    </row>
    <row r="23" spans="2:24">
      <c r="B23" s="339"/>
      <c r="C23" s="365"/>
      <c r="D23" s="360"/>
      <c r="E23" s="360"/>
      <c r="F23" s="360"/>
      <c r="G23" s="360"/>
      <c r="H23" s="360"/>
      <c r="I23" s="359"/>
      <c r="J23" s="360"/>
      <c r="K23" s="360"/>
      <c r="L23" s="360"/>
      <c r="M23" s="359"/>
      <c r="N23" s="360"/>
      <c r="O23" s="360"/>
      <c r="P23" s="359"/>
      <c r="Q23" s="359"/>
      <c r="R23" s="360"/>
      <c r="S23" s="360"/>
      <c r="T23" s="360"/>
      <c r="U23" s="360"/>
      <c r="X23" s="344"/>
    </row>
    <row r="24" spans="2:24">
      <c r="B24" s="339"/>
      <c r="C24" s="359"/>
      <c r="D24" s="859"/>
      <c r="E24" s="859"/>
      <c r="F24" s="859"/>
      <c r="G24" s="859"/>
      <c r="H24" s="362"/>
      <c r="I24" s="359"/>
      <c r="J24" s="859"/>
      <c r="K24" s="859"/>
      <c r="L24" s="360"/>
      <c r="M24" s="359"/>
      <c r="N24" s="859"/>
      <c r="O24" s="859"/>
      <c r="P24" s="359"/>
      <c r="Q24" s="359"/>
      <c r="R24" s="859"/>
      <c r="S24" s="859"/>
      <c r="T24" s="362"/>
      <c r="U24" s="360"/>
      <c r="X24" s="344"/>
    </row>
    <row r="25" spans="2:24">
      <c r="B25" s="339"/>
      <c r="C25" s="359"/>
      <c r="D25" s="859"/>
      <c r="E25" s="859"/>
      <c r="F25" s="859"/>
      <c r="G25" s="859"/>
      <c r="H25" s="362"/>
      <c r="I25" s="359"/>
      <c r="J25" s="859"/>
      <c r="K25" s="859"/>
      <c r="L25" s="360"/>
      <c r="M25" s="359"/>
      <c r="N25" s="859"/>
      <c r="O25" s="859"/>
      <c r="P25" s="360"/>
      <c r="Q25" s="366"/>
      <c r="R25" s="859"/>
      <c r="S25" s="859"/>
      <c r="T25" s="360"/>
      <c r="U25" s="360"/>
      <c r="X25" s="344"/>
    </row>
    <row r="26" spans="2:24">
      <c r="B26" s="339"/>
      <c r="C26" s="365"/>
      <c r="D26" s="360"/>
      <c r="E26" s="360"/>
      <c r="F26" s="360"/>
      <c r="G26" s="364"/>
      <c r="H26" s="360"/>
      <c r="I26" s="359"/>
      <c r="J26" s="360"/>
      <c r="K26" s="360"/>
      <c r="L26" s="360"/>
      <c r="M26" s="359"/>
      <c r="N26" s="360"/>
      <c r="O26" s="360"/>
      <c r="P26" s="367"/>
      <c r="Q26" s="368"/>
      <c r="R26" s="369"/>
      <c r="S26" s="369"/>
      <c r="T26" s="360"/>
      <c r="U26" s="360"/>
      <c r="X26" s="344"/>
    </row>
    <row r="27" spans="2:24">
      <c r="B27" s="339"/>
      <c r="C27" s="368"/>
      <c r="D27" s="362"/>
      <c r="E27" s="360"/>
      <c r="F27" s="360"/>
      <c r="G27" s="362"/>
      <c r="H27" s="360"/>
      <c r="I27" s="359"/>
      <c r="J27" s="360"/>
      <c r="K27" s="360"/>
      <c r="L27" s="360"/>
      <c r="M27" s="359"/>
      <c r="N27" s="360"/>
      <c r="O27" s="360"/>
      <c r="P27" s="367"/>
      <c r="Q27" s="359"/>
      <c r="R27" s="859"/>
      <c r="S27" s="859"/>
      <c r="T27" s="360"/>
      <c r="U27" s="360"/>
      <c r="X27" s="344"/>
    </row>
    <row r="28" spans="2:24" ht="11.25" customHeight="1">
      <c r="B28" s="339"/>
      <c r="C28" s="359"/>
      <c r="D28" s="859"/>
      <c r="E28" s="859"/>
      <c r="F28" s="859"/>
      <c r="G28" s="859"/>
      <c r="H28" s="360"/>
      <c r="I28" s="359"/>
      <c r="J28" s="859"/>
      <c r="K28" s="859"/>
      <c r="L28" s="360"/>
      <c r="M28" s="359"/>
      <c r="N28" s="859"/>
      <c r="O28" s="859"/>
      <c r="P28" s="360"/>
      <c r="Q28" s="359"/>
      <c r="R28" s="362"/>
      <c r="S28" s="362"/>
      <c r="T28" s="366"/>
      <c r="U28" s="360"/>
      <c r="X28" s="344"/>
    </row>
    <row r="29" spans="2:24">
      <c r="B29" s="339"/>
      <c r="C29" s="359"/>
      <c r="D29" s="859"/>
      <c r="E29" s="859"/>
      <c r="F29" s="859"/>
      <c r="G29" s="859"/>
      <c r="H29" s="360"/>
      <c r="I29" s="359"/>
      <c r="J29" s="859"/>
      <c r="K29" s="859"/>
      <c r="L29" s="360"/>
      <c r="M29" s="359"/>
      <c r="N29" s="859"/>
      <c r="O29" s="859"/>
      <c r="P29" s="360"/>
      <c r="Q29" s="359"/>
      <c r="R29" s="859"/>
      <c r="S29" s="859"/>
      <c r="T29" s="360"/>
      <c r="U29" s="360"/>
      <c r="X29" s="344"/>
    </row>
    <row r="30" spans="2:24">
      <c r="B30" s="339"/>
      <c r="C30" s="359"/>
      <c r="D30" s="360"/>
      <c r="E30" s="360"/>
      <c r="F30" s="360"/>
      <c r="G30" s="360"/>
      <c r="H30" s="360"/>
      <c r="I30" s="359"/>
      <c r="J30" s="370"/>
      <c r="K30" s="360"/>
      <c r="L30" s="360"/>
      <c r="M30" s="359"/>
      <c r="N30" s="360"/>
      <c r="O30" s="360"/>
      <c r="P30" s="360"/>
      <c r="Q30" s="360"/>
      <c r="R30" s="859"/>
      <c r="S30" s="859"/>
      <c r="T30" s="360"/>
      <c r="U30" s="360"/>
      <c r="X30" s="344"/>
    </row>
    <row r="31" spans="2:24">
      <c r="B31" s="339"/>
      <c r="C31" s="359"/>
      <c r="D31" s="360"/>
      <c r="E31" s="360"/>
      <c r="F31" s="360"/>
      <c r="G31" s="360"/>
      <c r="H31" s="360"/>
      <c r="I31" s="359"/>
      <c r="J31" s="360"/>
      <c r="K31" s="360"/>
      <c r="L31" s="360"/>
      <c r="M31" s="359"/>
      <c r="N31" s="360"/>
      <c r="O31" s="360"/>
      <c r="P31" s="360"/>
      <c r="Q31" s="359"/>
      <c r="R31" s="859"/>
      <c r="S31" s="859"/>
      <c r="T31" s="366"/>
      <c r="U31" s="360"/>
      <c r="X31" s="344"/>
    </row>
    <row r="32" spans="2:24" ht="11.25" customHeight="1">
      <c r="B32" s="339"/>
      <c r="C32" s="359"/>
      <c r="D32" s="859"/>
      <c r="E32" s="859"/>
      <c r="F32" s="859"/>
      <c r="G32" s="859"/>
      <c r="H32" s="362"/>
      <c r="I32" s="359"/>
      <c r="J32" s="859"/>
      <c r="K32" s="859"/>
      <c r="L32" s="360"/>
      <c r="M32" s="359"/>
      <c r="N32" s="859"/>
      <c r="O32" s="859"/>
      <c r="P32" s="360"/>
      <c r="Q32" s="366"/>
      <c r="R32" s="864"/>
      <c r="S32" s="864"/>
      <c r="T32" s="366"/>
      <c r="U32" s="360"/>
      <c r="X32" s="344"/>
    </row>
    <row r="33" spans="2:29" ht="11.25" customHeight="1">
      <c r="B33" s="339"/>
      <c r="C33" s="359"/>
      <c r="D33" s="859"/>
      <c r="E33" s="859"/>
      <c r="F33" s="859"/>
      <c r="G33" s="859"/>
      <c r="H33" s="362"/>
      <c r="I33" s="359"/>
      <c r="J33" s="859"/>
      <c r="K33" s="859"/>
      <c r="L33" s="360"/>
      <c r="M33" s="359"/>
      <c r="N33" s="859"/>
      <c r="O33" s="859"/>
      <c r="P33" s="360"/>
      <c r="Q33" s="360"/>
      <c r="R33" s="361"/>
      <c r="S33" s="361"/>
      <c r="T33" s="360"/>
      <c r="U33" s="360"/>
      <c r="X33" s="344"/>
    </row>
    <row r="34" spans="2:29" ht="15">
      <c r="B34" s="339"/>
      <c r="C34" s="359"/>
      <c r="D34"/>
      <c r="E34" s="360"/>
      <c r="F34" s="360"/>
      <c r="G34" s="360"/>
      <c r="H34" s="360"/>
      <c r="I34" s="359"/>
      <c r="J34" s="859"/>
      <c r="K34" s="859"/>
      <c r="L34" s="360"/>
      <c r="M34" s="360"/>
      <c r="N34" s="370"/>
      <c r="O34" s="360"/>
      <c r="P34" s="360"/>
      <c r="Q34" s="359"/>
      <c r="R34" s="859"/>
      <c r="S34" s="859"/>
      <c r="T34" s="360"/>
      <c r="U34" s="360"/>
      <c r="X34" s="344"/>
      <c r="AC34"/>
    </row>
    <row r="35" spans="2:29" ht="15">
      <c r="B35" s="339"/>
      <c r="C35"/>
      <c r="D35"/>
      <c r="E35" s="360"/>
      <c r="F35" s="360"/>
      <c r="G35" s="360"/>
      <c r="H35" s="360"/>
      <c r="I35" s="359"/>
      <c r="L35" s="360"/>
      <c r="M35" s="360"/>
      <c r="N35" s="360"/>
      <c r="O35" s="360"/>
      <c r="P35" s="359"/>
      <c r="Q35" s="366"/>
      <c r="R35" s="859"/>
      <c r="S35" s="859"/>
      <c r="T35" s="361"/>
      <c r="U35" s="360"/>
      <c r="X35" s="344"/>
    </row>
    <row r="36" spans="2:29">
      <c r="B36" s="339"/>
      <c r="C36" s="359"/>
      <c r="D36" s="859"/>
      <c r="E36" s="859"/>
      <c r="F36" s="859"/>
      <c r="G36" s="859"/>
      <c r="H36" s="360"/>
      <c r="I36" s="359"/>
      <c r="J36" s="859"/>
      <c r="K36" s="859"/>
      <c r="L36" s="360"/>
      <c r="M36" s="360"/>
      <c r="N36" s="859"/>
      <c r="O36" s="859"/>
      <c r="P36" s="359"/>
      <c r="Q36" s="366"/>
      <c r="R36" s="369"/>
      <c r="S36" s="369"/>
      <c r="T36" s="361"/>
      <c r="U36" s="360"/>
      <c r="X36" s="344"/>
    </row>
    <row r="37" spans="2:29">
      <c r="B37" s="339"/>
      <c r="C37" s="359"/>
      <c r="D37" s="859"/>
      <c r="E37" s="859"/>
      <c r="F37" s="859"/>
      <c r="G37" s="859"/>
      <c r="H37" s="360"/>
      <c r="I37" s="359"/>
      <c r="J37" s="863"/>
      <c r="K37" s="863"/>
      <c r="L37" s="360"/>
      <c r="M37" s="360"/>
      <c r="N37" s="859"/>
      <c r="O37" s="859"/>
      <c r="P37" s="359"/>
      <c r="Q37" s="360"/>
      <c r="R37" s="360"/>
      <c r="S37" s="360"/>
      <c r="T37" s="361"/>
      <c r="U37" s="360"/>
      <c r="X37" s="344"/>
    </row>
    <row r="38" spans="2:29" ht="15">
      <c r="B38" s="339"/>
      <c r="C38" s="359"/>
      <c r="D38" s="860"/>
      <c r="E38" s="860"/>
      <c r="F38" s="860"/>
      <c r="G38" s="860"/>
      <c r="H38" s="362"/>
      <c r="I38" s="359"/>
      <c r="J38" s="371"/>
      <c r="K38" s="360"/>
      <c r="L38" s="360"/>
      <c r="M38" s="360"/>
      <c r="N38" s="362"/>
      <c r="O38" s="362"/>
      <c r="P38" s="359"/>
      <c r="Q38" s="359"/>
      <c r="R38" s="859"/>
      <c r="S38" s="859"/>
      <c r="T38" s="360"/>
      <c r="U38" s="360"/>
      <c r="X38" s="344"/>
      <c r="AB38"/>
    </row>
    <row r="39" spans="2:29" ht="15">
      <c r="B39" s="339"/>
      <c r="C39" s="359"/>
      <c r="D39" s="362"/>
      <c r="E39" s="362"/>
      <c r="F39" s="362"/>
      <c r="G39" s="362"/>
      <c r="H39" s="362"/>
      <c r="I39" s="359"/>
      <c r="J39" s="360"/>
      <c r="K39" s="360"/>
      <c r="L39" s="360"/>
      <c r="M39" s="360"/>
      <c r="N39" s="859"/>
      <c r="O39" s="859"/>
      <c r="P39" s="359"/>
      <c r="Q39" s="366"/>
      <c r="R39" s="859"/>
      <c r="S39" s="859"/>
      <c r="T39" s="360"/>
      <c r="U39" s="360"/>
      <c r="X39" s="344"/>
      <c r="AC39"/>
    </row>
    <row r="40" spans="2:29">
      <c r="B40" s="339"/>
      <c r="C40" s="359"/>
      <c r="D40" s="859"/>
      <c r="E40" s="859"/>
      <c r="F40" s="859"/>
      <c r="G40" s="859"/>
      <c r="H40" s="360"/>
      <c r="I40" s="359"/>
      <c r="J40" s="859"/>
      <c r="K40" s="859"/>
      <c r="L40" s="360"/>
      <c r="M40" s="360"/>
      <c r="N40" s="362"/>
      <c r="O40" s="362"/>
      <c r="P40" s="359"/>
      <c r="Q40" s="368"/>
      <c r="R40" s="369"/>
      <c r="S40" s="369"/>
      <c r="T40" s="360"/>
      <c r="U40" s="360"/>
      <c r="X40" s="344"/>
    </row>
    <row r="41" spans="2:29">
      <c r="B41" s="339"/>
      <c r="C41" s="359"/>
      <c r="D41" s="859"/>
      <c r="E41" s="859"/>
      <c r="F41" s="859"/>
      <c r="G41" s="859"/>
      <c r="H41" s="360"/>
      <c r="I41" s="359"/>
      <c r="J41" s="859"/>
      <c r="K41" s="859"/>
      <c r="L41" s="360"/>
      <c r="M41" s="360"/>
      <c r="N41" s="859"/>
      <c r="O41" s="859"/>
      <c r="P41" s="359"/>
      <c r="Q41" s="360"/>
      <c r="R41" s="859"/>
      <c r="S41" s="859"/>
      <c r="T41" s="360"/>
      <c r="U41" s="360"/>
      <c r="X41" s="344"/>
    </row>
    <row r="42" spans="2:29" ht="11.25" customHeight="1">
      <c r="B42" s="339"/>
      <c r="C42" s="359"/>
      <c r="D42" s="860"/>
      <c r="E42" s="860"/>
      <c r="F42" s="860"/>
      <c r="G42" s="860"/>
      <c r="H42" s="362"/>
      <c r="I42" s="359"/>
      <c r="J42" s="860"/>
      <c r="K42" s="860"/>
      <c r="L42" s="360"/>
      <c r="M42" s="360"/>
      <c r="N42" s="859"/>
      <c r="O42" s="859"/>
      <c r="P42" s="359"/>
      <c r="Q42" s="360"/>
      <c r="R42" s="361"/>
      <c r="S42" s="361"/>
      <c r="T42" s="361"/>
      <c r="U42" s="360"/>
      <c r="X42" s="344"/>
    </row>
    <row r="43" spans="2:29" ht="11.25" customHeight="1">
      <c r="B43" s="339"/>
      <c r="C43" s="359"/>
      <c r="D43" s="860"/>
      <c r="E43" s="860"/>
      <c r="F43" s="860"/>
      <c r="G43" s="860"/>
      <c r="H43" s="362"/>
      <c r="I43" s="359"/>
      <c r="J43" s="860"/>
      <c r="K43" s="860"/>
      <c r="L43" s="360"/>
      <c r="M43" s="360"/>
      <c r="N43" s="360"/>
      <c r="O43" s="360"/>
      <c r="P43" s="359"/>
      <c r="Q43" s="359"/>
      <c r="R43" s="859"/>
      <c r="S43" s="859"/>
      <c r="T43" s="361"/>
      <c r="U43" s="360"/>
      <c r="X43" s="344"/>
    </row>
    <row r="44" spans="2:29" ht="11.25" customHeight="1">
      <c r="B44" s="339"/>
      <c r="C44" s="359"/>
      <c r="D44" s="362"/>
      <c r="E44" s="362"/>
      <c r="F44" s="362"/>
      <c r="G44" s="362"/>
      <c r="H44" s="362"/>
      <c r="I44" s="359"/>
      <c r="J44" s="363"/>
      <c r="K44" s="363"/>
      <c r="L44" s="360"/>
      <c r="M44" s="360"/>
      <c r="N44" s="360"/>
      <c r="O44" s="360"/>
      <c r="P44" s="359"/>
      <c r="Q44" s="366"/>
      <c r="R44" s="859"/>
      <c r="S44" s="859"/>
      <c r="T44" s="360"/>
      <c r="U44" s="360"/>
      <c r="X44" s="344"/>
    </row>
    <row r="45" spans="2:29" ht="12.75" customHeight="1">
      <c r="B45" s="339"/>
      <c r="C45" s="359"/>
      <c r="D45" s="859"/>
      <c r="E45" s="859"/>
      <c r="F45" s="859"/>
      <c r="G45" s="859"/>
      <c r="H45" s="360"/>
      <c r="I45" s="359"/>
      <c r="J45" s="859"/>
      <c r="K45" s="859"/>
      <c r="L45" s="360"/>
      <c r="M45" s="360"/>
      <c r="N45" s="859"/>
      <c r="O45" s="859"/>
      <c r="P45" s="359"/>
      <c r="Q45" s="366"/>
      <c r="R45" s="369"/>
      <c r="S45" s="369"/>
      <c r="T45" s="369"/>
      <c r="U45" s="360"/>
      <c r="X45" s="344"/>
    </row>
    <row r="46" spans="2:29" ht="11.25" customHeight="1">
      <c r="B46" s="339"/>
      <c r="C46" s="359"/>
      <c r="D46" s="859"/>
      <c r="E46" s="859"/>
      <c r="F46" s="859"/>
      <c r="G46" s="859"/>
      <c r="H46" s="360"/>
      <c r="I46" s="359"/>
      <c r="J46" s="859"/>
      <c r="K46" s="859"/>
      <c r="L46" s="360"/>
      <c r="M46" s="360"/>
      <c r="N46" s="859"/>
      <c r="O46" s="859"/>
      <c r="P46" s="359"/>
      <c r="Q46" s="360"/>
      <c r="R46" s="360"/>
      <c r="S46" s="360"/>
      <c r="T46" s="369"/>
      <c r="U46" s="360"/>
      <c r="X46" s="344"/>
    </row>
    <row r="47" spans="2:29">
      <c r="B47" s="339"/>
      <c r="C47" s="359"/>
      <c r="D47" s="360"/>
      <c r="E47" s="360"/>
      <c r="F47" s="360"/>
      <c r="G47" s="360"/>
      <c r="H47" s="362"/>
      <c r="I47" s="360"/>
      <c r="J47" s="372"/>
      <c r="K47" s="372"/>
      <c r="L47" s="360"/>
      <c r="M47" s="360"/>
      <c r="N47" s="362"/>
      <c r="O47" s="362"/>
      <c r="P47" s="359"/>
      <c r="Q47" s="360"/>
      <c r="R47" s="859"/>
      <c r="S47" s="859"/>
      <c r="T47" s="360"/>
      <c r="U47" s="360"/>
      <c r="X47" s="344"/>
    </row>
    <row r="48" spans="2:29">
      <c r="B48" s="339"/>
      <c r="C48" s="359"/>
      <c r="D48" s="360"/>
      <c r="E48" s="360"/>
      <c r="F48" s="360"/>
      <c r="G48" s="360"/>
      <c r="H48" s="360"/>
      <c r="I48" s="360"/>
      <c r="J48" s="362"/>
      <c r="K48" s="362"/>
      <c r="L48" s="360"/>
      <c r="M48" s="360"/>
      <c r="N48" s="859"/>
      <c r="O48" s="859"/>
      <c r="P48" s="359"/>
      <c r="Q48" s="360"/>
      <c r="R48" s="859"/>
      <c r="S48" s="859"/>
      <c r="T48" s="362"/>
      <c r="U48" s="360"/>
      <c r="X48" s="344"/>
    </row>
    <row r="49" spans="2:28" ht="15">
      <c r="B49" s="339"/>
      <c r="C49" s="359"/>
      <c r="D49" s="859"/>
      <c r="E49" s="859"/>
      <c r="F49" s="859"/>
      <c r="G49" s="859"/>
      <c r="H49" s="362"/>
      <c r="I49" s="359"/>
      <c r="J49" s="859"/>
      <c r="K49" s="859"/>
      <c r="L49" s="360"/>
      <c r="M49" s="360"/>
      <c r="N49" s="362"/>
      <c r="O49" s="362"/>
      <c r="P49" s="359"/>
      <c r="Q49" s="366"/>
      <c r="R49" s="362"/>
      <c r="S49" s="362"/>
      <c r="T49" s="361"/>
      <c r="U49" s="360"/>
      <c r="X49" s="344"/>
      <c r="AB49"/>
    </row>
    <row r="50" spans="2:28">
      <c r="B50" s="339"/>
      <c r="C50" s="359"/>
      <c r="D50" s="859"/>
      <c r="E50" s="859"/>
      <c r="F50" s="859"/>
      <c r="G50" s="859"/>
      <c r="H50" s="362"/>
      <c r="I50" s="359"/>
      <c r="J50" s="859"/>
      <c r="K50" s="859"/>
      <c r="L50" s="360"/>
      <c r="M50" s="360"/>
      <c r="N50" s="859"/>
      <c r="O50" s="859"/>
      <c r="P50" s="359"/>
      <c r="Q50" s="360"/>
      <c r="R50" s="859"/>
      <c r="S50" s="859"/>
      <c r="T50" s="362"/>
      <c r="U50" s="360"/>
      <c r="X50" s="344"/>
    </row>
    <row r="51" spans="2:28">
      <c r="B51" s="339"/>
      <c r="C51" s="359"/>
      <c r="D51" s="360"/>
      <c r="E51" s="360"/>
      <c r="F51" s="360"/>
      <c r="G51" s="360"/>
      <c r="H51" s="360"/>
      <c r="I51" s="359"/>
      <c r="J51" s="360"/>
      <c r="K51" s="360"/>
      <c r="L51" s="360"/>
      <c r="M51" s="360"/>
      <c r="N51" s="859"/>
      <c r="O51" s="859"/>
      <c r="P51" s="359"/>
      <c r="Q51" s="360"/>
      <c r="R51" s="361"/>
      <c r="S51" s="361"/>
      <c r="T51" s="369"/>
      <c r="U51" s="360"/>
      <c r="X51" s="344"/>
    </row>
    <row r="52" spans="2:28">
      <c r="B52" s="339"/>
      <c r="C52" s="368"/>
      <c r="D52" s="360"/>
      <c r="E52" s="360"/>
      <c r="F52" s="360"/>
      <c r="G52" s="360"/>
      <c r="H52" s="362"/>
      <c r="I52" s="359"/>
      <c r="J52" s="360"/>
      <c r="K52" s="360"/>
      <c r="L52" s="360"/>
      <c r="M52" s="360"/>
      <c r="N52" s="360"/>
      <c r="O52" s="360"/>
      <c r="P52" s="359"/>
      <c r="Q52" s="359"/>
      <c r="R52" s="859"/>
      <c r="S52" s="859"/>
      <c r="T52" s="369"/>
      <c r="U52" s="360"/>
      <c r="X52" s="344"/>
    </row>
    <row r="53" spans="2:28">
      <c r="B53" s="339"/>
      <c r="C53" s="368"/>
      <c r="D53" s="360"/>
      <c r="E53" s="360"/>
      <c r="F53" s="360"/>
      <c r="G53" s="360"/>
      <c r="H53" s="362"/>
      <c r="I53" s="359"/>
      <c r="J53" s="859"/>
      <c r="K53" s="859"/>
      <c r="L53" s="360"/>
      <c r="M53" s="360"/>
      <c r="N53" s="360"/>
      <c r="O53" s="360"/>
      <c r="P53" s="359"/>
      <c r="Q53" s="366"/>
      <c r="R53" s="859"/>
      <c r="S53" s="859"/>
      <c r="T53" s="360"/>
      <c r="U53" s="360"/>
      <c r="X53" s="344"/>
    </row>
    <row r="54" spans="2:28">
      <c r="B54" s="339"/>
      <c r="C54" s="368"/>
      <c r="D54" s="360"/>
      <c r="E54" s="360"/>
      <c r="F54" s="360"/>
      <c r="G54" s="360"/>
      <c r="H54" s="367"/>
      <c r="I54" s="359"/>
      <c r="J54" s="859"/>
      <c r="K54" s="859"/>
      <c r="L54" s="360"/>
      <c r="M54" s="360"/>
      <c r="N54" s="859"/>
      <c r="O54" s="859"/>
      <c r="P54" s="359"/>
      <c r="Q54" s="360"/>
      <c r="R54" s="373"/>
      <c r="S54" s="373"/>
      <c r="T54" s="360"/>
      <c r="U54" s="360"/>
      <c r="X54" s="344"/>
    </row>
    <row r="55" spans="2:28">
      <c r="B55" s="339"/>
      <c r="C55" s="368"/>
      <c r="D55" s="360"/>
      <c r="E55" s="360"/>
      <c r="F55" s="360"/>
      <c r="G55" s="361"/>
      <c r="H55" s="367"/>
      <c r="I55" s="359"/>
      <c r="J55" s="360"/>
      <c r="K55" s="360"/>
      <c r="L55" s="360"/>
      <c r="M55" s="360"/>
      <c r="N55" s="859"/>
      <c r="O55" s="859"/>
      <c r="P55" s="359"/>
      <c r="Q55" s="360"/>
      <c r="R55" s="364"/>
      <c r="S55" s="364"/>
      <c r="T55" s="369"/>
      <c r="U55" s="360"/>
      <c r="X55" s="344"/>
    </row>
    <row r="56" spans="2:28">
      <c r="B56" s="339"/>
      <c r="C56" s="368"/>
      <c r="D56" s="360"/>
      <c r="E56" s="360"/>
      <c r="F56" s="360"/>
      <c r="G56" s="360"/>
      <c r="H56" s="362"/>
      <c r="I56" s="359"/>
      <c r="J56" s="360"/>
      <c r="K56" s="360"/>
      <c r="L56" s="360"/>
      <c r="M56" s="374"/>
      <c r="N56" s="375"/>
      <c r="O56" s="375"/>
      <c r="P56" s="359"/>
      <c r="Q56" s="359"/>
      <c r="R56" s="859"/>
      <c r="S56" s="859"/>
      <c r="T56" s="369"/>
      <c r="U56" s="376"/>
      <c r="X56" s="344"/>
    </row>
    <row r="57" spans="2:28">
      <c r="B57" s="339"/>
      <c r="C57" s="359"/>
      <c r="D57" s="859"/>
      <c r="E57" s="859"/>
      <c r="F57" s="859"/>
      <c r="G57" s="859"/>
      <c r="H57" s="362"/>
      <c r="I57" s="359"/>
      <c r="J57" s="859"/>
      <c r="K57" s="859"/>
      <c r="L57" s="360"/>
      <c r="M57" s="360"/>
      <c r="N57" s="859"/>
      <c r="O57" s="859"/>
      <c r="P57" s="359"/>
      <c r="Q57" s="366"/>
      <c r="R57" s="362"/>
      <c r="S57" s="362"/>
      <c r="T57" s="376"/>
      <c r="U57" s="376"/>
      <c r="X57" s="344"/>
    </row>
    <row r="58" spans="2:28">
      <c r="B58" s="339"/>
      <c r="C58" s="359"/>
      <c r="D58" s="859"/>
      <c r="E58" s="859"/>
      <c r="F58" s="859"/>
      <c r="G58" s="859"/>
      <c r="H58" s="362"/>
      <c r="I58" s="359"/>
      <c r="J58" s="859"/>
      <c r="K58" s="859"/>
      <c r="L58" s="360"/>
      <c r="M58" s="360"/>
      <c r="N58" s="362"/>
      <c r="O58" s="362"/>
      <c r="P58" s="359"/>
      <c r="Q58" s="360"/>
      <c r="R58" s="361"/>
      <c r="S58" s="361"/>
      <c r="T58" s="361"/>
      <c r="U58" s="376"/>
      <c r="X58" s="344"/>
    </row>
    <row r="59" spans="2:28" ht="12.75" customHeight="1">
      <c r="B59" s="339"/>
      <c r="C59" s="365"/>
      <c r="D59" s="361"/>
      <c r="E59" s="360"/>
      <c r="F59" s="360"/>
      <c r="G59" s="361"/>
      <c r="H59" s="362"/>
      <c r="I59" s="360"/>
      <c r="J59" s="370"/>
      <c r="K59" s="372"/>
      <c r="L59" s="360"/>
      <c r="M59" s="360"/>
      <c r="N59" s="859"/>
      <c r="O59" s="859"/>
      <c r="P59" s="359"/>
      <c r="Q59" s="360"/>
      <c r="R59" s="860"/>
      <c r="S59" s="860"/>
      <c r="T59" s="369"/>
      <c r="U59" s="376"/>
      <c r="X59" s="344"/>
    </row>
    <row r="60" spans="2:28" ht="12.75" customHeight="1">
      <c r="B60" s="339"/>
      <c r="C60" s="359"/>
      <c r="D60" s="360"/>
      <c r="E60" s="360"/>
      <c r="F60" s="360"/>
      <c r="G60" s="360"/>
      <c r="H60" s="362"/>
      <c r="I60" s="360"/>
      <c r="J60" s="362"/>
      <c r="K60" s="362"/>
      <c r="L60" s="360"/>
      <c r="M60" s="360"/>
      <c r="N60" s="859"/>
      <c r="O60" s="859"/>
      <c r="P60" s="359"/>
      <c r="Q60" s="360"/>
      <c r="R60" s="361"/>
      <c r="S60" s="361"/>
      <c r="T60" s="369"/>
      <c r="U60" s="376"/>
      <c r="X60" s="344"/>
    </row>
    <row r="61" spans="2:28" ht="12" thickBot="1">
      <c r="B61" s="356"/>
      <c r="C61" s="377"/>
      <c r="D61" s="862"/>
      <c r="E61" s="862"/>
      <c r="F61" s="862"/>
      <c r="G61" s="862"/>
      <c r="H61" s="378"/>
      <c r="I61" s="377"/>
      <c r="J61" s="862"/>
      <c r="K61" s="862"/>
      <c r="L61" s="379"/>
      <c r="M61" s="379"/>
      <c r="N61" s="379"/>
      <c r="O61" s="379"/>
      <c r="P61" s="377"/>
      <c r="Q61" s="377"/>
      <c r="R61" s="862"/>
      <c r="S61" s="862"/>
      <c r="T61" s="380"/>
      <c r="U61" s="380"/>
      <c r="V61" s="357"/>
      <c r="W61" s="357"/>
      <c r="X61" s="381"/>
    </row>
    <row r="62" spans="2:28">
      <c r="B62" s="337"/>
      <c r="C62" s="358"/>
      <c r="D62" s="861"/>
      <c r="E62" s="861"/>
      <c r="F62" s="861"/>
      <c r="G62" s="861"/>
      <c r="H62" s="382"/>
      <c r="I62" s="358"/>
      <c r="J62" s="861"/>
      <c r="K62" s="861"/>
      <c r="L62" s="335"/>
      <c r="M62" s="335"/>
      <c r="N62" s="335"/>
      <c r="O62" s="335"/>
      <c r="P62" s="358"/>
      <c r="Q62" s="383"/>
      <c r="R62" s="861"/>
      <c r="S62" s="861"/>
      <c r="T62" s="384"/>
      <c r="U62" s="385"/>
    </row>
    <row r="63" spans="2:28" ht="12.75" customHeight="1">
      <c r="C63" s="362"/>
      <c r="D63" s="362"/>
      <c r="E63" s="360"/>
      <c r="F63" s="360"/>
      <c r="G63" s="360"/>
      <c r="H63" s="362"/>
      <c r="I63" s="359"/>
      <c r="J63" s="360"/>
      <c r="K63" s="360"/>
      <c r="L63" s="360"/>
      <c r="M63" s="360"/>
      <c r="N63" s="859"/>
      <c r="O63" s="859"/>
      <c r="P63" s="359"/>
      <c r="Q63" s="362"/>
      <c r="R63" s="360"/>
      <c r="S63" s="360"/>
      <c r="T63" s="369"/>
      <c r="U63" s="376"/>
    </row>
    <row r="64" spans="2:28" ht="12.75" customHeight="1">
      <c r="C64" s="359"/>
      <c r="D64" s="360"/>
      <c r="E64" s="360"/>
      <c r="F64" s="360"/>
      <c r="G64" s="360"/>
      <c r="H64" s="362"/>
      <c r="I64" s="359"/>
      <c r="J64" s="360"/>
      <c r="K64" s="360"/>
      <c r="L64" s="360"/>
      <c r="M64" s="360"/>
      <c r="N64" s="859"/>
      <c r="O64" s="859"/>
      <c r="P64" s="359"/>
      <c r="Q64" s="360"/>
      <c r="R64" s="860"/>
      <c r="S64" s="860"/>
      <c r="T64" s="369"/>
      <c r="U64" s="376"/>
    </row>
    <row r="65" spans="3:21">
      <c r="C65" s="359"/>
      <c r="D65" s="859"/>
      <c r="E65" s="859"/>
      <c r="F65" s="859"/>
      <c r="G65" s="859"/>
      <c r="H65" s="367"/>
      <c r="I65" s="359"/>
      <c r="J65" s="859"/>
      <c r="K65" s="859"/>
      <c r="L65" s="360"/>
      <c r="M65" s="360"/>
      <c r="N65" s="360"/>
      <c r="O65" s="360"/>
      <c r="P65" s="359"/>
      <c r="Q65" s="360"/>
      <c r="R65" s="361"/>
      <c r="S65" s="361"/>
      <c r="T65" s="360"/>
      <c r="U65" s="360"/>
    </row>
    <row r="66" spans="3:21">
      <c r="C66" s="359"/>
      <c r="D66" s="859"/>
      <c r="E66" s="859"/>
      <c r="F66" s="859"/>
      <c r="G66" s="859"/>
      <c r="H66" s="367"/>
      <c r="I66" s="359"/>
      <c r="J66" s="859"/>
      <c r="K66" s="859"/>
      <c r="L66" s="360"/>
      <c r="M66" s="360"/>
      <c r="N66" s="362"/>
      <c r="O66" s="362"/>
      <c r="P66" s="359"/>
      <c r="Q66" s="359"/>
      <c r="R66" s="859"/>
      <c r="S66" s="859"/>
      <c r="T66" s="361"/>
      <c r="U66" s="360"/>
    </row>
    <row r="67" spans="3:21">
      <c r="C67" s="359"/>
      <c r="D67" s="360"/>
      <c r="E67" s="360"/>
      <c r="F67" s="360"/>
      <c r="G67" s="360"/>
      <c r="H67" s="362"/>
      <c r="I67" s="359"/>
      <c r="J67" s="360"/>
      <c r="K67" s="360"/>
      <c r="L67" s="360"/>
      <c r="M67" s="360"/>
      <c r="N67" s="362"/>
      <c r="O67" s="362"/>
      <c r="P67" s="359"/>
      <c r="Q67" s="366"/>
      <c r="R67" s="859"/>
      <c r="S67" s="859"/>
      <c r="T67" s="369"/>
      <c r="U67" s="360"/>
    </row>
    <row r="68" spans="3:21" ht="12.75" customHeight="1">
      <c r="C68" s="359"/>
      <c r="D68" s="360"/>
      <c r="E68" s="360"/>
      <c r="F68" s="360"/>
      <c r="G68" s="360"/>
      <c r="H68" s="362"/>
      <c r="I68" s="359"/>
      <c r="J68" s="360"/>
      <c r="K68" s="360"/>
      <c r="L68" s="360"/>
      <c r="M68" s="374"/>
      <c r="N68" s="375"/>
      <c r="O68" s="375"/>
      <c r="P68"/>
      <c r="Q68" s="360"/>
      <c r="R68" s="361"/>
      <c r="S68" s="361"/>
      <c r="T68" s="369"/>
      <c r="U68" s="360"/>
    </row>
    <row r="69" spans="3:21" ht="12.75" customHeight="1">
      <c r="C69" s="359"/>
      <c r="D69" s="859"/>
      <c r="E69" s="859"/>
      <c r="F69" s="859"/>
      <c r="G69" s="859"/>
      <c r="H69" s="362"/>
      <c r="I69" s="359"/>
      <c r="J69" s="859"/>
      <c r="K69" s="859"/>
      <c r="L69" s="360"/>
      <c r="M69" s="360"/>
      <c r="N69" s="362"/>
      <c r="O69" s="362"/>
      <c r="P69" s="359"/>
      <c r="Q69" s="360"/>
      <c r="R69" s="860"/>
      <c r="S69" s="860"/>
      <c r="T69" s="360"/>
      <c r="U69" s="360"/>
    </row>
    <row r="70" spans="3:21" ht="12.75" customHeight="1">
      <c r="C70" s="359"/>
      <c r="D70" s="859"/>
      <c r="E70" s="859"/>
      <c r="F70" s="859"/>
      <c r="G70" s="859"/>
      <c r="H70" s="362"/>
      <c r="I70" s="359"/>
      <c r="J70" s="362"/>
      <c r="K70" s="362"/>
      <c r="L70" s="360"/>
      <c r="M70" s="360"/>
      <c r="N70" s="362"/>
      <c r="O70" s="362"/>
      <c r="P70" s="359"/>
      <c r="Q70" s="360"/>
      <c r="R70" s="361"/>
      <c r="S70" s="361"/>
      <c r="T70" s="361"/>
      <c r="U70" s="360"/>
    </row>
    <row r="71" spans="3:21" ht="12.75" customHeight="1">
      <c r="C71" s="359"/>
      <c r="D71" s="360"/>
      <c r="E71" s="360"/>
      <c r="F71" s="360"/>
      <c r="G71" s="360"/>
      <c r="H71" s="362"/>
      <c r="I71" s="360"/>
      <c r="J71" s="362"/>
      <c r="K71" s="362"/>
      <c r="L71" s="360"/>
      <c r="M71" s="360"/>
      <c r="N71" s="362"/>
      <c r="O71" s="362"/>
      <c r="P71" s="359"/>
      <c r="Q71" s="359"/>
      <c r="R71" s="859"/>
      <c r="S71" s="859"/>
      <c r="T71" s="369"/>
      <c r="U71" s="360"/>
    </row>
    <row r="72" spans="3:21" ht="12.75" customHeight="1">
      <c r="C72" s="359"/>
      <c r="D72" s="360"/>
      <c r="E72" s="360"/>
      <c r="F72" s="360"/>
      <c r="G72" s="360"/>
      <c r="H72" s="362"/>
      <c r="I72" s="360"/>
      <c r="J72" s="360"/>
      <c r="K72" s="360"/>
      <c r="L72" s="360"/>
      <c r="M72" s="360"/>
      <c r="N72" s="362"/>
      <c r="O72" s="362"/>
      <c r="P72" s="359"/>
      <c r="Q72" s="366"/>
      <c r="R72" s="859"/>
      <c r="S72" s="859"/>
      <c r="T72" s="369"/>
      <c r="U72" s="360"/>
    </row>
    <row r="73" spans="3:21">
      <c r="C73" s="359"/>
      <c r="D73" s="859"/>
      <c r="E73" s="859"/>
      <c r="F73" s="859"/>
      <c r="G73" s="859"/>
      <c r="H73" s="362"/>
      <c r="I73" s="360"/>
      <c r="J73" s="360"/>
      <c r="K73" s="360"/>
      <c r="L73" s="360"/>
      <c r="M73" s="360"/>
      <c r="N73" s="360"/>
      <c r="O73" s="360"/>
      <c r="P73" s="359"/>
      <c r="Q73" s="360"/>
      <c r="R73" s="371"/>
      <c r="S73" s="361"/>
      <c r="T73" s="360"/>
      <c r="U73" s="360"/>
    </row>
    <row r="74" spans="3:21">
      <c r="C74" s="359"/>
      <c r="D74" s="859"/>
      <c r="E74" s="859"/>
      <c r="F74" s="859"/>
      <c r="G74" s="859"/>
      <c r="H74" s="362"/>
      <c r="I74" s="360"/>
      <c r="J74" s="360"/>
      <c r="K74" s="360"/>
      <c r="L74" s="360"/>
      <c r="M74" s="360"/>
      <c r="N74" s="360"/>
      <c r="O74" s="360"/>
      <c r="P74" s="359"/>
      <c r="Q74" s="360"/>
      <c r="R74" s="361"/>
      <c r="S74" s="361"/>
      <c r="T74" s="361"/>
      <c r="U74" s="360"/>
    </row>
    <row r="75" spans="3:21">
      <c r="C75" s="359"/>
      <c r="D75" s="370"/>
      <c r="E75" s="362"/>
      <c r="F75" s="362"/>
      <c r="G75" s="362"/>
      <c r="H75" s="362"/>
      <c r="I75" s="360"/>
      <c r="J75" s="360"/>
      <c r="K75" s="360"/>
      <c r="L75" s="360"/>
      <c r="M75" s="360"/>
      <c r="N75" s="362"/>
      <c r="O75" s="362"/>
      <c r="P75" s="359"/>
      <c r="Q75" s="359"/>
      <c r="R75" s="362"/>
      <c r="S75" s="362"/>
      <c r="T75" s="369"/>
      <c r="U75" s="360"/>
    </row>
    <row r="76" spans="3:21">
      <c r="C76" s="359"/>
      <c r="D76" s="360"/>
      <c r="E76" s="360"/>
      <c r="F76" s="368"/>
      <c r="G76" s="360"/>
      <c r="H76" s="360"/>
      <c r="I76" s="360"/>
      <c r="J76" s="360"/>
      <c r="K76" s="360"/>
      <c r="L76" s="360"/>
      <c r="M76" s="360"/>
      <c r="N76" s="859"/>
      <c r="O76" s="859"/>
      <c r="P76" s="359"/>
      <c r="Q76" s="366"/>
      <c r="R76" s="362"/>
      <c r="S76" s="362"/>
      <c r="T76" s="369"/>
      <c r="U76" s="360"/>
    </row>
    <row r="77" spans="3:21" ht="11.25" customHeight="1">
      <c r="C77" s="359"/>
      <c r="D77" s="360"/>
      <c r="E77" s="360"/>
      <c r="F77" s="366"/>
      <c r="G77" s="360"/>
      <c r="H77" s="360"/>
      <c r="I77" s="360"/>
      <c r="J77" s="360"/>
      <c r="K77" s="360"/>
      <c r="L77" s="366"/>
      <c r="M77" s="360"/>
      <c r="N77" s="859"/>
      <c r="O77" s="859"/>
      <c r="P77" s="359"/>
      <c r="Q77" s="360"/>
      <c r="R77" s="360"/>
      <c r="S77" s="360"/>
      <c r="T77" s="360"/>
      <c r="U77" s="360"/>
    </row>
    <row r="78" spans="3:21">
      <c r="D78" s="386"/>
      <c r="E78" s="360"/>
      <c r="F78" s="366"/>
      <c r="G78" s="360"/>
      <c r="H78" s="360"/>
      <c r="I78" s="360"/>
      <c r="J78" s="366"/>
      <c r="K78" s="360"/>
      <c r="L78" s="366"/>
      <c r="M78" s="366"/>
      <c r="N78" s="360"/>
      <c r="O78" s="360"/>
      <c r="P78" s="359"/>
      <c r="Q78" s="360"/>
      <c r="R78" s="361"/>
      <c r="S78" s="361"/>
      <c r="T78" s="361"/>
      <c r="U78" s="360"/>
    </row>
    <row r="79" spans="3:21">
      <c r="D79" s="360"/>
      <c r="E79" s="360"/>
      <c r="F79" s="360"/>
      <c r="G79" s="360"/>
      <c r="H79" s="360"/>
      <c r="I79" s="360"/>
      <c r="J79" s="366"/>
      <c r="K79" s="360"/>
      <c r="L79" s="360"/>
      <c r="M79" s="360"/>
      <c r="N79" s="360"/>
      <c r="O79" s="360"/>
      <c r="P79" s="359"/>
      <c r="Q79" s="360"/>
      <c r="R79" s="369"/>
      <c r="S79" s="369"/>
      <c r="T79" s="369"/>
      <c r="U79" s="360"/>
    </row>
    <row r="80" spans="3:21">
      <c r="D80" s="386"/>
      <c r="E80" s="360"/>
      <c r="F80" s="360"/>
      <c r="G80" s="360"/>
      <c r="H80" s="360"/>
      <c r="I80" s="360"/>
      <c r="J80" s="366"/>
      <c r="K80" s="360"/>
      <c r="L80" s="360"/>
      <c r="M80" s="360"/>
      <c r="N80" s="360"/>
      <c r="O80" s="360"/>
      <c r="P80" s="359"/>
      <c r="Q80" s="360"/>
      <c r="R80" s="369"/>
      <c r="S80" s="369"/>
      <c r="T80" s="369"/>
      <c r="U80" s="360"/>
    </row>
    <row r="81" spans="4:19">
      <c r="D81" s="360"/>
      <c r="E81" s="360"/>
      <c r="F81" s="360"/>
      <c r="G81" s="360"/>
      <c r="H81" s="360"/>
      <c r="I81" s="360"/>
      <c r="J81" s="360"/>
      <c r="K81" s="360"/>
      <c r="L81" s="360"/>
      <c r="M81" s="360"/>
      <c r="N81" s="360"/>
      <c r="O81" s="360"/>
      <c r="P81" s="359"/>
      <c r="Q81" s="360"/>
      <c r="R81" s="360"/>
      <c r="S81" s="360"/>
    </row>
    <row r="82" spans="4:19"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359"/>
      <c r="Q82" s="360"/>
      <c r="R82" s="360"/>
      <c r="S82" s="360"/>
    </row>
    <row r="83" spans="4:19">
      <c r="D83" s="360"/>
      <c r="E83" s="360"/>
      <c r="F83" s="360"/>
      <c r="G83" s="360"/>
      <c r="H83" s="360"/>
      <c r="I83" s="360"/>
      <c r="J83" s="360"/>
      <c r="K83" s="360"/>
      <c r="L83" s="360"/>
      <c r="M83" s="360"/>
      <c r="N83" s="360"/>
      <c r="O83" s="360"/>
      <c r="P83" s="359"/>
      <c r="Q83" s="360"/>
      <c r="R83" s="360"/>
      <c r="S83" s="360"/>
    </row>
    <row r="84" spans="4:19">
      <c r="D84" s="360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359"/>
      <c r="Q84" s="360"/>
      <c r="R84" s="360"/>
      <c r="S84" s="360"/>
    </row>
    <row r="85" spans="4:19">
      <c r="D85" s="360"/>
      <c r="E85" s="360"/>
      <c r="F85" s="360"/>
      <c r="G85" s="360"/>
      <c r="H85" s="360"/>
      <c r="I85" s="360"/>
      <c r="J85" s="360"/>
      <c r="K85" s="360"/>
      <c r="L85" s="360"/>
      <c r="M85" s="360"/>
      <c r="N85" s="360"/>
      <c r="O85" s="360"/>
      <c r="P85" s="359"/>
      <c r="Q85" s="360"/>
      <c r="R85" s="360"/>
      <c r="S85" s="360"/>
    </row>
    <row r="86" spans="4:19">
      <c r="D86" s="360"/>
      <c r="E86" s="360"/>
      <c r="F86" s="360"/>
      <c r="G86" s="360"/>
      <c r="H86" s="360"/>
      <c r="I86" s="360"/>
      <c r="J86" s="360"/>
      <c r="K86" s="360"/>
      <c r="L86" s="360"/>
      <c r="M86" s="360"/>
      <c r="N86" s="360"/>
      <c r="O86" s="360"/>
      <c r="P86" s="359"/>
      <c r="Q86" s="360"/>
      <c r="R86" s="360"/>
      <c r="S86" s="360"/>
    </row>
    <row r="87" spans="4:19">
      <c r="D87" s="360"/>
      <c r="E87" s="360"/>
      <c r="F87" s="360"/>
      <c r="G87" s="360"/>
      <c r="H87" s="360"/>
      <c r="I87" s="360"/>
      <c r="J87" s="360"/>
      <c r="K87" s="360"/>
      <c r="L87" s="360"/>
      <c r="M87" s="360"/>
      <c r="N87" s="360"/>
      <c r="O87" s="360"/>
      <c r="P87" s="359"/>
      <c r="Q87" s="360"/>
      <c r="R87" s="360"/>
      <c r="S87" s="360"/>
    </row>
    <row r="88" spans="4:19"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59"/>
      <c r="Q88" s="360"/>
      <c r="R88" s="360"/>
      <c r="S88" s="360"/>
    </row>
    <row r="89" spans="4:19">
      <c r="D89" s="360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359"/>
      <c r="Q89" s="360"/>
      <c r="R89" s="360"/>
      <c r="S89" s="360"/>
    </row>
    <row r="90" spans="4:19">
      <c r="D90" s="360"/>
      <c r="E90" s="360"/>
      <c r="F90" s="360"/>
      <c r="G90" s="360"/>
      <c r="H90" s="360"/>
      <c r="I90" s="360"/>
      <c r="J90" s="360"/>
      <c r="K90" s="360"/>
      <c r="L90" s="360"/>
      <c r="M90" s="360"/>
      <c r="N90" s="360"/>
      <c r="O90" s="360"/>
      <c r="P90" s="359"/>
      <c r="Q90" s="360"/>
      <c r="R90" s="360"/>
      <c r="S90" s="360"/>
    </row>
    <row r="91" spans="4:19">
      <c r="D91" s="360"/>
      <c r="E91" s="360"/>
      <c r="F91" s="360"/>
      <c r="G91" s="360"/>
      <c r="H91" s="360"/>
      <c r="I91" s="360"/>
      <c r="J91" s="360"/>
      <c r="K91" s="360"/>
      <c r="L91" s="360"/>
      <c r="M91" s="360"/>
      <c r="N91" s="360"/>
      <c r="O91" s="360"/>
      <c r="P91" s="359"/>
      <c r="Q91" s="360"/>
      <c r="R91" s="360"/>
      <c r="S91" s="360"/>
    </row>
    <row r="92" spans="4:19">
      <c r="D92" s="360"/>
      <c r="E92" s="360"/>
      <c r="F92" s="360"/>
      <c r="G92" s="360"/>
      <c r="H92" s="360"/>
      <c r="I92" s="360"/>
      <c r="J92" s="360"/>
      <c r="K92" s="360"/>
      <c r="L92" s="360"/>
      <c r="M92" s="360"/>
      <c r="N92" s="360"/>
      <c r="O92" s="360"/>
      <c r="P92" s="359"/>
      <c r="Q92" s="360"/>
      <c r="R92" s="360"/>
      <c r="S92" s="360"/>
    </row>
    <row r="93" spans="4:19">
      <c r="D93" s="360"/>
      <c r="E93" s="360"/>
      <c r="F93" s="360"/>
      <c r="G93" s="360"/>
      <c r="H93" s="360"/>
      <c r="I93" s="360"/>
      <c r="J93" s="360"/>
      <c r="K93" s="360"/>
      <c r="L93" s="360"/>
      <c r="M93" s="360"/>
      <c r="N93" s="360"/>
      <c r="O93" s="360"/>
      <c r="P93" s="359"/>
      <c r="Q93" s="360"/>
      <c r="R93" s="360"/>
      <c r="S93" s="360"/>
    </row>
    <row r="94" spans="4:19">
      <c r="D94" s="360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359"/>
      <c r="Q94" s="360"/>
      <c r="R94" s="360"/>
      <c r="S94" s="360"/>
    </row>
    <row r="95" spans="4:19">
      <c r="D95" s="360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359"/>
      <c r="Q95" s="360"/>
      <c r="R95" s="360"/>
      <c r="S95" s="360"/>
    </row>
    <row r="96" spans="4:19">
      <c r="D96" s="360"/>
      <c r="E96" s="360"/>
      <c r="F96" s="360"/>
      <c r="G96" s="360"/>
      <c r="H96" s="360"/>
      <c r="I96" s="360"/>
      <c r="J96" s="360"/>
      <c r="K96" s="360"/>
      <c r="L96" s="360"/>
      <c r="M96" s="360"/>
      <c r="N96" s="360"/>
      <c r="O96" s="360"/>
      <c r="P96" s="359"/>
      <c r="Q96" s="360"/>
      <c r="R96" s="360"/>
      <c r="S96" s="360"/>
    </row>
    <row r="97" spans="4:19">
      <c r="D97" s="360"/>
      <c r="E97" s="360"/>
      <c r="F97" s="360"/>
      <c r="G97" s="360"/>
      <c r="H97" s="360"/>
      <c r="I97" s="360"/>
      <c r="J97" s="360"/>
      <c r="K97" s="360"/>
      <c r="L97" s="360"/>
      <c r="M97" s="360"/>
      <c r="N97" s="360"/>
      <c r="O97" s="360"/>
      <c r="P97" s="359"/>
      <c r="Q97" s="360"/>
      <c r="R97" s="360"/>
      <c r="S97" s="360"/>
    </row>
    <row r="98" spans="4:19">
      <c r="D98" s="360"/>
      <c r="E98" s="360"/>
      <c r="F98" s="360"/>
      <c r="G98" s="360"/>
      <c r="H98" s="360"/>
      <c r="I98" s="360"/>
      <c r="J98" s="360"/>
      <c r="K98" s="360"/>
      <c r="L98" s="360"/>
      <c r="M98" s="360"/>
      <c r="N98" s="360"/>
      <c r="O98" s="360"/>
      <c r="P98" s="359"/>
      <c r="Q98" s="360"/>
      <c r="R98" s="360"/>
      <c r="S98" s="360"/>
    </row>
    <row r="99" spans="4:19"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59"/>
      <c r="Q99" s="360"/>
      <c r="R99" s="360"/>
      <c r="S99" s="360"/>
    </row>
    <row r="100" spans="4:19"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59"/>
      <c r="Q100" s="360"/>
      <c r="R100" s="360"/>
      <c r="S100" s="360"/>
    </row>
    <row r="101" spans="4:19">
      <c r="D101" s="360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359"/>
      <c r="Q101" s="360"/>
      <c r="R101" s="360"/>
      <c r="S101" s="360"/>
    </row>
    <row r="102" spans="4:19">
      <c r="D102" s="360"/>
      <c r="E102" s="360"/>
      <c r="F102" s="360"/>
      <c r="G102" s="360"/>
      <c r="H102" s="360"/>
      <c r="I102" s="360"/>
      <c r="J102" s="360"/>
      <c r="K102" s="360"/>
      <c r="L102" s="360"/>
      <c r="M102" s="360"/>
      <c r="N102" s="360"/>
      <c r="O102" s="360"/>
      <c r="P102" s="359"/>
      <c r="Q102" s="360"/>
      <c r="R102" s="360"/>
      <c r="S102" s="360"/>
    </row>
    <row r="103" spans="4:19">
      <c r="D103" s="360"/>
      <c r="E103" s="360"/>
      <c r="F103" s="360"/>
      <c r="G103" s="360"/>
      <c r="H103" s="360"/>
      <c r="I103" s="360"/>
      <c r="J103" s="360"/>
      <c r="K103" s="360"/>
      <c r="L103" s="360"/>
      <c r="M103" s="360"/>
      <c r="N103" s="360"/>
      <c r="O103" s="360"/>
      <c r="P103" s="359"/>
      <c r="Q103" s="360"/>
      <c r="R103" s="360"/>
      <c r="S103" s="360"/>
    </row>
    <row r="104" spans="4:19">
      <c r="D104" s="360"/>
      <c r="E104" s="360"/>
      <c r="F104" s="360"/>
      <c r="G104" s="360"/>
      <c r="H104" s="360"/>
      <c r="I104" s="360"/>
      <c r="J104" s="360"/>
      <c r="K104" s="360"/>
      <c r="L104" s="360"/>
      <c r="M104" s="360"/>
      <c r="N104" s="360"/>
      <c r="O104" s="360"/>
      <c r="P104" s="359"/>
      <c r="Q104" s="360"/>
      <c r="R104" s="360"/>
      <c r="S104" s="360"/>
    </row>
    <row r="105" spans="4:19">
      <c r="D105" s="360"/>
      <c r="E105" s="360"/>
      <c r="F105" s="360"/>
      <c r="G105" s="360"/>
      <c r="H105" s="360"/>
      <c r="I105" s="360"/>
      <c r="J105" s="360"/>
      <c r="K105" s="360"/>
      <c r="L105" s="360"/>
      <c r="M105" s="360"/>
      <c r="N105" s="360"/>
      <c r="O105" s="360"/>
      <c r="P105" s="359"/>
      <c r="Q105" s="360"/>
      <c r="R105" s="360"/>
      <c r="S105" s="360"/>
    </row>
    <row r="106" spans="4:19">
      <c r="D106" s="360"/>
      <c r="E106" s="360"/>
      <c r="F106" s="360"/>
      <c r="G106" s="360"/>
      <c r="H106" s="360"/>
      <c r="I106" s="360"/>
      <c r="J106" s="360"/>
      <c r="K106" s="360"/>
      <c r="L106" s="360"/>
      <c r="M106" s="360"/>
      <c r="N106" s="360"/>
      <c r="O106" s="360"/>
      <c r="P106" s="359"/>
      <c r="Q106" s="360"/>
      <c r="R106" s="360"/>
      <c r="S106" s="360"/>
    </row>
    <row r="107" spans="4:19">
      <c r="D107" s="360"/>
      <c r="E107" s="360"/>
      <c r="F107" s="360"/>
      <c r="G107" s="360"/>
      <c r="H107" s="360"/>
      <c r="I107" s="360"/>
      <c r="J107" s="360"/>
      <c r="K107" s="360"/>
      <c r="L107" s="360"/>
      <c r="M107" s="360"/>
      <c r="N107" s="360"/>
      <c r="O107" s="360"/>
      <c r="P107" s="359"/>
      <c r="Q107" s="360"/>
      <c r="R107" s="360"/>
      <c r="S107" s="360"/>
    </row>
    <row r="108" spans="4:19"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59"/>
      <c r="Q108" s="360"/>
      <c r="R108" s="360"/>
      <c r="S108" s="360"/>
    </row>
    <row r="109" spans="4:19">
      <c r="D109" s="360"/>
      <c r="E109" s="360"/>
      <c r="F109" s="360"/>
      <c r="G109" s="360"/>
      <c r="H109" s="360"/>
      <c r="I109" s="360"/>
      <c r="J109" s="360"/>
      <c r="K109" s="360"/>
      <c r="L109" s="360"/>
      <c r="M109" s="360"/>
      <c r="N109" s="360"/>
      <c r="O109" s="360"/>
      <c r="P109" s="359"/>
      <c r="Q109" s="360"/>
      <c r="R109" s="360"/>
      <c r="S109" s="360"/>
    </row>
    <row r="110" spans="4:19">
      <c r="D110" s="360"/>
      <c r="E110" s="360"/>
      <c r="F110" s="360"/>
      <c r="G110" s="360"/>
      <c r="H110" s="360"/>
      <c r="I110" s="360"/>
      <c r="J110" s="360"/>
      <c r="K110" s="360"/>
      <c r="L110" s="360"/>
      <c r="M110" s="360"/>
      <c r="N110" s="360"/>
      <c r="O110" s="360"/>
      <c r="P110" s="359"/>
      <c r="Q110" s="360"/>
      <c r="R110" s="360"/>
      <c r="S110" s="360"/>
    </row>
    <row r="111" spans="4:19">
      <c r="D111" s="360"/>
      <c r="E111" s="360"/>
      <c r="F111" s="360"/>
      <c r="G111" s="360"/>
      <c r="H111" s="360"/>
      <c r="I111" s="360"/>
      <c r="J111" s="360"/>
      <c r="K111" s="360"/>
      <c r="L111" s="360"/>
      <c r="M111" s="360"/>
      <c r="N111" s="360"/>
      <c r="O111" s="360"/>
      <c r="P111" s="359"/>
      <c r="Q111" s="360"/>
      <c r="R111" s="360"/>
      <c r="S111" s="360"/>
    </row>
    <row r="112" spans="4:19">
      <c r="D112" s="360"/>
      <c r="E112" s="360"/>
      <c r="F112" s="360"/>
      <c r="G112" s="360"/>
      <c r="H112" s="360"/>
      <c r="I112" s="360"/>
      <c r="J112" s="360"/>
      <c r="K112" s="360"/>
      <c r="L112" s="360"/>
      <c r="M112" s="360"/>
      <c r="N112" s="360"/>
      <c r="O112" s="360"/>
      <c r="P112" s="359"/>
      <c r="Q112" s="360"/>
      <c r="R112" s="360"/>
      <c r="S112" s="360"/>
    </row>
    <row r="113" spans="4:19">
      <c r="D113" s="360"/>
      <c r="E113" s="360"/>
      <c r="F113" s="360"/>
      <c r="G113" s="360"/>
      <c r="H113" s="360"/>
      <c r="I113" s="360"/>
      <c r="J113" s="360"/>
      <c r="K113" s="360"/>
      <c r="L113" s="360"/>
      <c r="M113" s="360"/>
      <c r="N113" s="360"/>
      <c r="O113" s="360"/>
      <c r="P113" s="359"/>
      <c r="Q113" s="360"/>
      <c r="R113" s="360"/>
      <c r="S113" s="360"/>
    </row>
    <row r="114" spans="4:19">
      <c r="D114" s="360"/>
      <c r="E114" s="360"/>
      <c r="F114" s="360"/>
      <c r="G114" s="360"/>
      <c r="H114" s="360"/>
      <c r="I114" s="360"/>
      <c r="J114" s="360"/>
      <c r="K114" s="360"/>
      <c r="L114" s="360"/>
      <c r="M114" s="360"/>
      <c r="N114" s="360"/>
      <c r="O114" s="360"/>
      <c r="P114" s="359"/>
      <c r="Q114" s="360"/>
      <c r="R114" s="360"/>
      <c r="S114" s="360"/>
    </row>
    <row r="115" spans="4:19">
      <c r="D115" s="360"/>
      <c r="E115" s="360"/>
      <c r="F115" s="360"/>
      <c r="G115" s="360"/>
      <c r="H115" s="360"/>
      <c r="I115" s="360"/>
      <c r="J115" s="360"/>
      <c r="K115" s="360"/>
      <c r="L115" s="360"/>
      <c r="M115" s="360"/>
      <c r="N115" s="360"/>
      <c r="O115" s="360"/>
      <c r="P115" s="359"/>
      <c r="Q115" s="360"/>
      <c r="R115" s="360"/>
      <c r="S115" s="360"/>
    </row>
    <row r="116" spans="4:19">
      <c r="D116" s="360"/>
      <c r="E116" s="360"/>
      <c r="F116" s="360"/>
      <c r="G116" s="360"/>
      <c r="H116" s="360"/>
      <c r="I116" s="360"/>
      <c r="J116" s="360"/>
      <c r="K116" s="360"/>
      <c r="L116" s="360"/>
      <c r="M116" s="360"/>
      <c r="N116" s="360"/>
      <c r="O116" s="360"/>
      <c r="P116" s="359"/>
      <c r="Q116" s="360"/>
      <c r="R116" s="360"/>
      <c r="S116" s="360"/>
    </row>
    <row r="117" spans="4:19">
      <c r="D117" s="360"/>
      <c r="E117" s="360"/>
      <c r="F117" s="360"/>
      <c r="G117" s="360"/>
      <c r="H117" s="360"/>
      <c r="I117" s="360"/>
      <c r="J117" s="360"/>
      <c r="K117" s="360"/>
      <c r="L117" s="360"/>
      <c r="M117" s="360"/>
      <c r="N117" s="360"/>
      <c r="O117" s="360"/>
      <c r="P117" s="359"/>
      <c r="Q117" s="360"/>
      <c r="R117" s="360"/>
      <c r="S117" s="360"/>
    </row>
    <row r="118" spans="4:19">
      <c r="D118" s="360"/>
      <c r="E118" s="360"/>
      <c r="F118" s="360"/>
      <c r="G118" s="360"/>
      <c r="H118" s="360"/>
      <c r="I118" s="360"/>
      <c r="J118" s="360"/>
      <c r="K118" s="360"/>
      <c r="L118" s="360"/>
      <c r="M118" s="360"/>
      <c r="N118" s="360"/>
      <c r="O118" s="360"/>
      <c r="P118" s="359"/>
      <c r="Q118" s="360"/>
      <c r="R118" s="360"/>
      <c r="S118" s="360"/>
    </row>
    <row r="119" spans="4:19">
      <c r="D119" s="360"/>
      <c r="E119" s="360"/>
      <c r="F119" s="360"/>
      <c r="G119" s="360"/>
      <c r="H119" s="360"/>
      <c r="I119" s="360"/>
      <c r="J119" s="360"/>
      <c r="K119" s="360"/>
      <c r="L119" s="360"/>
      <c r="M119" s="360"/>
      <c r="N119" s="360"/>
      <c r="O119" s="360"/>
      <c r="P119" s="359"/>
      <c r="Q119" s="360"/>
      <c r="R119" s="360"/>
      <c r="S119" s="360"/>
    </row>
    <row r="120" spans="4:19">
      <c r="D120" s="360"/>
      <c r="E120" s="360"/>
      <c r="F120" s="360"/>
      <c r="G120" s="360"/>
      <c r="H120" s="360"/>
      <c r="I120" s="360"/>
      <c r="J120" s="360"/>
      <c r="K120" s="360"/>
      <c r="L120" s="360"/>
      <c r="M120" s="360"/>
      <c r="N120" s="360"/>
      <c r="O120" s="360"/>
      <c r="P120" s="359"/>
      <c r="Q120" s="360"/>
      <c r="R120" s="360"/>
      <c r="S120" s="360"/>
    </row>
    <row r="121" spans="4:19">
      <c r="D121" s="360"/>
      <c r="E121" s="360"/>
      <c r="F121" s="360"/>
      <c r="G121" s="360"/>
      <c r="H121" s="360"/>
      <c r="I121" s="360"/>
      <c r="J121" s="360"/>
      <c r="K121" s="360"/>
      <c r="L121" s="360"/>
      <c r="M121" s="360"/>
      <c r="N121" s="360"/>
      <c r="O121" s="360"/>
      <c r="P121" s="359"/>
      <c r="Q121" s="360"/>
      <c r="R121" s="360"/>
      <c r="S121" s="360"/>
    </row>
    <row r="122" spans="4:19">
      <c r="D122" s="360"/>
      <c r="E122" s="360"/>
      <c r="F122" s="360"/>
      <c r="G122" s="360"/>
      <c r="H122" s="360"/>
      <c r="I122" s="360"/>
      <c r="J122" s="360"/>
      <c r="K122" s="360"/>
      <c r="L122" s="360"/>
      <c r="M122" s="360"/>
      <c r="N122" s="360"/>
      <c r="O122" s="360"/>
      <c r="P122" s="359"/>
      <c r="Q122" s="360"/>
      <c r="R122" s="360"/>
      <c r="S122" s="360"/>
    </row>
    <row r="123" spans="4:19">
      <c r="D123" s="360"/>
      <c r="E123" s="360"/>
      <c r="F123" s="360"/>
      <c r="G123" s="360"/>
      <c r="H123" s="360"/>
      <c r="I123" s="360"/>
      <c r="J123" s="360"/>
      <c r="K123" s="360"/>
      <c r="L123" s="360"/>
      <c r="M123" s="360"/>
      <c r="N123" s="360"/>
      <c r="O123" s="360"/>
      <c r="P123" s="359"/>
      <c r="Q123" s="360"/>
      <c r="R123" s="360"/>
      <c r="S123" s="360"/>
    </row>
    <row r="124" spans="4:19">
      <c r="D124" s="360"/>
      <c r="E124" s="360"/>
      <c r="F124" s="360"/>
      <c r="G124" s="360"/>
      <c r="H124" s="360"/>
      <c r="I124" s="360"/>
      <c r="J124" s="360"/>
      <c r="K124" s="360"/>
      <c r="L124" s="360"/>
      <c r="M124" s="360"/>
      <c r="N124" s="360"/>
      <c r="O124" s="360"/>
      <c r="P124" s="359"/>
      <c r="Q124" s="360"/>
      <c r="R124" s="360"/>
      <c r="S124" s="360"/>
    </row>
    <row r="125" spans="4:19">
      <c r="D125" s="360"/>
      <c r="E125" s="360"/>
      <c r="F125" s="360"/>
      <c r="G125" s="360"/>
      <c r="H125" s="360"/>
      <c r="I125" s="360"/>
      <c r="J125" s="360"/>
      <c r="K125" s="360"/>
      <c r="L125" s="360"/>
      <c r="M125" s="360"/>
      <c r="N125" s="360"/>
      <c r="O125" s="360"/>
      <c r="P125" s="359"/>
      <c r="Q125" s="360"/>
      <c r="R125" s="360"/>
      <c r="S125" s="360"/>
    </row>
    <row r="126" spans="4:19">
      <c r="D126" s="360"/>
      <c r="E126" s="360"/>
      <c r="F126" s="360"/>
      <c r="G126" s="360"/>
      <c r="H126" s="360"/>
      <c r="I126" s="360"/>
      <c r="J126" s="360"/>
      <c r="K126" s="360"/>
      <c r="L126" s="360"/>
      <c r="M126" s="360"/>
      <c r="N126" s="360"/>
      <c r="O126" s="360"/>
      <c r="P126" s="359"/>
      <c r="Q126" s="360"/>
      <c r="R126" s="360"/>
      <c r="S126" s="360"/>
    </row>
    <row r="127" spans="4:19">
      <c r="D127" s="360"/>
      <c r="E127" s="360"/>
      <c r="F127" s="360"/>
      <c r="G127" s="360"/>
      <c r="H127" s="360"/>
      <c r="I127" s="360"/>
      <c r="J127" s="360"/>
      <c r="K127" s="360"/>
      <c r="L127" s="360"/>
      <c r="M127" s="360"/>
      <c r="N127" s="360"/>
      <c r="O127" s="360"/>
      <c r="P127" s="359"/>
      <c r="Q127" s="360"/>
      <c r="R127" s="360"/>
      <c r="S127" s="360"/>
    </row>
    <row r="128" spans="4:19">
      <c r="D128" s="360"/>
      <c r="E128" s="360"/>
      <c r="F128" s="360"/>
      <c r="G128" s="360"/>
      <c r="H128" s="360"/>
      <c r="I128" s="360"/>
      <c r="J128" s="360"/>
      <c r="K128" s="360"/>
      <c r="L128" s="360"/>
      <c r="M128" s="360"/>
      <c r="N128" s="360"/>
      <c r="O128" s="360"/>
      <c r="P128" s="359"/>
      <c r="Q128" s="360"/>
      <c r="R128" s="360"/>
      <c r="S128" s="360"/>
    </row>
    <row r="129" spans="4:19">
      <c r="D129" s="360"/>
      <c r="E129" s="360"/>
      <c r="F129" s="360"/>
      <c r="G129" s="360"/>
      <c r="H129" s="360"/>
      <c r="I129" s="360"/>
      <c r="J129" s="360"/>
      <c r="K129" s="360"/>
      <c r="L129" s="360"/>
      <c r="M129" s="360"/>
      <c r="N129" s="360"/>
      <c r="O129" s="360"/>
      <c r="P129" s="359"/>
      <c r="Q129" s="360"/>
      <c r="R129" s="360"/>
      <c r="S129" s="360"/>
    </row>
    <row r="130" spans="4:19">
      <c r="D130" s="360"/>
      <c r="E130" s="360"/>
      <c r="F130" s="360"/>
      <c r="G130" s="360"/>
      <c r="H130" s="360"/>
      <c r="I130" s="360"/>
      <c r="J130" s="360"/>
      <c r="K130" s="360"/>
      <c r="L130" s="360"/>
      <c r="M130" s="360"/>
      <c r="N130" s="360"/>
      <c r="O130" s="360"/>
      <c r="P130" s="359"/>
      <c r="Q130" s="360"/>
      <c r="R130" s="360"/>
      <c r="S130" s="360"/>
    </row>
    <row r="131" spans="4:19">
      <c r="D131" s="360"/>
      <c r="E131" s="360"/>
      <c r="F131" s="360"/>
      <c r="G131" s="360"/>
      <c r="H131" s="360"/>
      <c r="I131" s="360"/>
      <c r="J131" s="360"/>
      <c r="K131" s="360"/>
      <c r="L131" s="360"/>
      <c r="M131" s="360"/>
      <c r="N131" s="360"/>
      <c r="O131" s="360"/>
      <c r="P131" s="359"/>
      <c r="Q131" s="360"/>
      <c r="R131" s="360"/>
      <c r="S131" s="360"/>
    </row>
    <row r="132" spans="4:19">
      <c r="D132" s="360"/>
      <c r="E132" s="360"/>
      <c r="F132" s="360"/>
      <c r="G132" s="360"/>
      <c r="H132" s="360"/>
      <c r="I132" s="360"/>
      <c r="J132" s="360"/>
      <c r="K132" s="360"/>
      <c r="L132" s="360"/>
      <c r="M132" s="360"/>
      <c r="N132" s="360"/>
      <c r="O132" s="360"/>
      <c r="P132" s="359"/>
      <c r="Q132" s="360"/>
      <c r="R132" s="360"/>
      <c r="S132" s="360"/>
    </row>
    <row r="133" spans="4:19">
      <c r="D133" s="360"/>
      <c r="E133" s="360"/>
      <c r="F133" s="360"/>
      <c r="G133" s="360"/>
      <c r="H133" s="360"/>
      <c r="I133" s="360"/>
      <c r="J133" s="360"/>
      <c r="K133" s="360"/>
      <c r="L133" s="360"/>
      <c r="M133" s="360"/>
      <c r="N133" s="360"/>
      <c r="O133" s="360"/>
      <c r="P133" s="359"/>
      <c r="Q133" s="360"/>
      <c r="R133" s="360"/>
      <c r="S133" s="360"/>
    </row>
    <row r="134" spans="4:19">
      <c r="D134" s="360"/>
      <c r="E134" s="360"/>
      <c r="F134" s="360"/>
      <c r="G134" s="360"/>
      <c r="H134" s="360"/>
      <c r="I134" s="360"/>
      <c r="J134" s="360"/>
      <c r="K134" s="360"/>
      <c r="L134" s="360"/>
      <c r="M134" s="360"/>
      <c r="N134" s="360"/>
      <c r="O134" s="360"/>
      <c r="P134" s="359"/>
      <c r="Q134" s="360"/>
      <c r="R134" s="360"/>
      <c r="S134" s="360"/>
    </row>
    <row r="135" spans="4:19">
      <c r="D135" s="360"/>
      <c r="E135" s="360"/>
      <c r="F135" s="360"/>
      <c r="G135" s="360"/>
      <c r="H135" s="360"/>
      <c r="I135" s="360"/>
      <c r="J135" s="360"/>
      <c r="K135" s="360"/>
      <c r="L135" s="360"/>
      <c r="M135" s="360"/>
      <c r="N135" s="360"/>
      <c r="O135" s="360"/>
      <c r="P135" s="359"/>
      <c r="Q135" s="360"/>
      <c r="R135" s="360"/>
      <c r="S135" s="360"/>
    </row>
    <row r="136" spans="4:19">
      <c r="D136" s="360"/>
      <c r="E136" s="360"/>
      <c r="F136" s="360"/>
      <c r="G136" s="360"/>
      <c r="H136" s="360"/>
      <c r="I136" s="360"/>
      <c r="J136" s="360"/>
      <c r="K136" s="360"/>
      <c r="L136" s="360"/>
      <c r="M136" s="360"/>
      <c r="N136" s="360"/>
      <c r="O136" s="360"/>
      <c r="P136" s="359"/>
      <c r="Q136" s="360"/>
      <c r="R136" s="360"/>
      <c r="S136" s="360"/>
    </row>
    <row r="137" spans="4:19">
      <c r="D137" s="360"/>
      <c r="E137" s="360"/>
      <c r="F137" s="360"/>
      <c r="G137" s="360"/>
      <c r="H137" s="360"/>
      <c r="I137" s="360"/>
      <c r="J137" s="360"/>
      <c r="K137" s="360"/>
      <c r="L137" s="360"/>
      <c r="M137" s="360"/>
      <c r="N137" s="360"/>
      <c r="O137" s="360"/>
      <c r="P137" s="359"/>
      <c r="Q137" s="360"/>
      <c r="R137" s="360"/>
      <c r="S137" s="360"/>
    </row>
    <row r="138" spans="4:19">
      <c r="D138" s="360"/>
      <c r="E138" s="360"/>
      <c r="F138" s="360"/>
      <c r="G138" s="360"/>
      <c r="H138" s="360"/>
      <c r="I138" s="360"/>
      <c r="J138" s="360"/>
      <c r="K138" s="360"/>
      <c r="L138" s="360"/>
      <c r="M138" s="360"/>
      <c r="N138" s="360"/>
      <c r="O138" s="360"/>
      <c r="P138" s="359"/>
      <c r="Q138" s="360"/>
      <c r="R138" s="360"/>
      <c r="S138" s="360"/>
    </row>
    <row r="139" spans="4:19">
      <c r="D139" s="360"/>
      <c r="E139" s="360"/>
      <c r="F139" s="360"/>
      <c r="G139" s="360"/>
      <c r="H139" s="360"/>
      <c r="I139" s="360"/>
      <c r="J139" s="360"/>
      <c r="K139" s="360"/>
      <c r="L139" s="360"/>
      <c r="M139" s="360"/>
      <c r="N139" s="360"/>
      <c r="O139" s="360"/>
      <c r="P139" s="359"/>
      <c r="Q139" s="360"/>
      <c r="R139" s="360"/>
      <c r="S139" s="360"/>
    </row>
    <row r="140" spans="4:19">
      <c r="D140" s="360"/>
      <c r="E140" s="360"/>
      <c r="F140" s="360"/>
      <c r="G140" s="360"/>
      <c r="H140" s="360"/>
      <c r="I140" s="360"/>
      <c r="J140" s="360"/>
      <c r="K140" s="360"/>
      <c r="L140" s="360"/>
      <c r="M140" s="360"/>
      <c r="N140" s="360"/>
      <c r="O140" s="360"/>
      <c r="P140" s="359"/>
      <c r="Q140" s="360"/>
      <c r="R140" s="360"/>
      <c r="S140" s="360"/>
    </row>
    <row r="141" spans="4:19">
      <c r="D141" s="360"/>
      <c r="E141" s="360"/>
      <c r="F141" s="360"/>
      <c r="G141" s="360"/>
      <c r="H141" s="360"/>
      <c r="I141" s="360"/>
      <c r="J141" s="360"/>
      <c r="K141" s="360"/>
      <c r="L141" s="360"/>
      <c r="M141" s="360"/>
      <c r="N141" s="360"/>
      <c r="O141" s="360"/>
      <c r="P141" s="359"/>
      <c r="Q141" s="360"/>
      <c r="R141" s="360"/>
      <c r="S141" s="360"/>
    </row>
    <row r="142" spans="4:19">
      <c r="D142" s="360"/>
      <c r="E142" s="360"/>
      <c r="F142" s="360"/>
      <c r="G142" s="360"/>
      <c r="H142" s="360"/>
      <c r="I142" s="360"/>
      <c r="J142" s="360"/>
      <c r="K142" s="360"/>
      <c r="L142" s="360"/>
      <c r="M142" s="360"/>
      <c r="N142" s="360"/>
      <c r="O142" s="360"/>
      <c r="P142" s="359"/>
      <c r="Q142" s="360"/>
      <c r="R142" s="360"/>
      <c r="S142" s="360"/>
    </row>
    <row r="143" spans="4:19">
      <c r="D143" s="360"/>
      <c r="E143" s="360"/>
      <c r="F143" s="360"/>
      <c r="G143" s="360"/>
      <c r="H143" s="360"/>
      <c r="I143" s="360"/>
      <c r="J143" s="360"/>
      <c r="K143" s="360"/>
      <c r="L143" s="360"/>
      <c r="M143" s="360"/>
      <c r="N143" s="360"/>
      <c r="O143" s="360"/>
      <c r="P143" s="359"/>
      <c r="Q143" s="360"/>
      <c r="R143" s="360"/>
      <c r="S143" s="360"/>
    </row>
    <row r="144" spans="4:19">
      <c r="D144" s="360"/>
      <c r="E144" s="360"/>
      <c r="F144" s="360"/>
      <c r="G144" s="360"/>
      <c r="H144" s="360"/>
      <c r="I144" s="360"/>
      <c r="J144" s="360"/>
      <c r="K144" s="360"/>
      <c r="L144" s="360"/>
      <c r="M144" s="360"/>
      <c r="N144" s="360"/>
      <c r="O144" s="360"/>
      <c r="P144" s="359"/>
      <c r="Q144" s="360"/>
      <c r="R144" s="360"/>
      <c r="S144" s="360"/>
    </row>
    <row r="145" spans="4:19">
      <c r="D145" s="360"/>
      <c r="E145" s="360"/>
      <c r="F145" s="360"/>
      <c r="G145" s="360"/>
      <c r="H145" s="360"/>
      <c r="I145" s="360"/>
      <c r="J145" s="360"/>
      <c r="K145" s="360"/>
      <c r="L145" s="360"/>
      <c r="M145" s="360"/>
      <c r="N145" s="360"/>
      <c r="O145" s="360"/>
      <c r="P145" s="359"/>
      <c r="Q145" s="360"/>
      <c r="R145" s="360"/>
      <c r="S145" s="360"/>
    </row>
    <row r="146" spans="4:19">
      <c r="D146" s="360"/>
      <c r="E146" s="360"/>
      <c r="F146" s="360"/>
      <c r="G146" s="360"/>
      <c r="H146" s="360"/>
      <c r="I146" s="360"/>
      <c r="J146" s="360"/>
      <c r="K146" s="360"/>
      <c r="L146" s="360"/>
      <c r="M146" s="360"/>
      <c r="N146" s="360"/>
      <c r="O146" s="360"/>
      <c r="P146" s="359"/>
      <c r="Q146" s="360"/>
      <c r="R146" s="360"/>
      <c r="S146" s="360"/>
    </row>
    <row r="147" spans="4:19">
      <c r="D147" s="360"/>
      <c r="E147" s="360"/>
      <c r="F147" s="360"/>
      <c r="G147" s="360"/>
      <c r="H147" s="360"/>
      <c r="I147" s="360"/>
      <c r="J147" s="360"/>
      <c r="K147" s="360"/>
      <c r="L147" s="360"/>
      <c r="M147" s="360"/>
      <c r="N147" s="360"/>
      <c r="O147" s="360"/>
      <c r="P147" s="359"/>
      <c r="Q147" s="360"/>
      <c r="R147" s="360"/>
      <c r="S147" s="360"/>
    </row>
    <row r="148" spans="4:19">
      <c r="D148" s="360"/>
      <c r="E148" s="360"/>
      <c r="F148" s="360"/>
      <c r="G148" s="360"/>
      <c r="H148" s="360"/>
      <c r="I148" s="360"/>
      <c r="J148" s="360"/>
      <c r="K148" s="360"/>
      <c r="L148" s="360"/>
      <c r="M148" s="360"/>
      <c r="N148" s="360"/>
      <c r="O148" s="360"/>
      <c r="P148" s="359"/>
      <c r="Q148" s="360"/>
      <c r="R148" s="360"/>
      <c r="S148" s="360"/>
    </row>
    <row r="149" spans="4:19">
      <c r="D149" s="360"/>
      <c r="E149" s="360"/>
      <c r="F149" s="360"/>
      <c r="G149" s="360"/>
      <c r="H149" s="360"/>
      <c r="I149" s="360"/>
      <c r="J149" s="360"/>
      <c r="K149" s="360"/>
      <c r="L149" s="360"/>
      <c r="M149" s="360"/>
      <c r="N149" s="360"/>
      <c r="O149" s="360"/>
      <c r="P149" s="359"/>
      <c r="Q149" s="360"/>
      <c r="R149" s="360"/>
      <c r="S149" s="360"/>
    </row>
    <row r="150" spans="4:19">
      <c r="D150" s="360"/>
      <c r="E150" s="360"/>
      <c r="F150" s="360"/>
      <c r="G150" s="360"/>
      <c r="H150" s="360"/>
      <c r="I150" s="360"/>
      <c r="J150" s="360"/>
      <c r="K150" s="360"/>
      <c r="L150" s="360"/>
      <c r="M150" s="360"/>
      <c r="N150" s="360"/>
      <c r="O150" s="360"/>
      <c r="P150" s="359"/>
      <c r="Q150" s="360"/>
      <c r="R150" s="360"/>
      <c r="S150" s="360"/>
    </row>
    <row r="151" spans="4:19">
      <c r="D151" s="360"/>
      <c r="E151" s="360"/>
      <c r="F151" s="360"/>
      <c r="G151" s="360"/>
      <c r="H151" s="360"/>
      <c r="I151" s="360"/>
      <c r="J151" s="360"/>
      <c r="K151" s="360"/>
      <c r="L151" s="360"/>
      <c r="M151" s="360"/>
      <c r="N151" s="360"/>
      <c r="O151" s="360"/>
      <c r="P151" s="359"/>
      <c r="Q151" s="360"/>
      <c r="R151" s="360"/>
      <c r="S151" s="360"/>
    </row>
    <row r="152" spans="4:19">
      <c r="D152" s="360"/>
      <c r="E152" s="360"/>
      <c r="F152" s="360"/>
      <c r="G152" s="360"/>
      <c r="H152" s="360"/>
      <c r="I152" s="360"/>
      <c r="J152" s="360"/>
      <c r="K152" s="360"/>
      <c r="L152" s="360"/>
      <c r="M152" s="360"/>
      <c r="N152" s="360"/>
      <c r="O152" s="360"/>
      <c r="P152" s="359"/>
      <c r="Q152" s="360"/>
      <c r="R152" s="360"/>
      <c r="S152" s="360"/>
    </row>
    <row r="153" spans="4:19">
      <c r="D153" s="360"/>
      <c r="E153" s="360"/>
      <c r="F153" s="360"/>
      <c r="G153" s="360"/>
      <c r="H153" s="360"/>
      <c r="I153" s="360"/>
      <c r="J153" s="360"/>
      <c r="K153" s="360"/>
      <c r="L153" s="360"/>
      <c r="M153" s="360"/>
      <c r="N153" s="360"/>
      <c r="O153" s="360"/>
      <c r="P153" s="359"/>
      <c r="Q153" s="360"/>
      <c r="R153" s="360"/>
      <c r="S153" s="360"/>
    </row>
    <row r="154" spans="4:19">
      <c r="D154" s="360"/>
      <c r="E154" s="360"/>
      <c r="F154" s="360"/>
      <c r="G154" s="360"/>
      <c r="H154" s="360"/>
      <c r="I154" s="360"/>
      <c r="J154" s="360"/>
      <c r="K154" s="360"/>
      <c r="L154" s="360"/>
      <c r="M154" s="360"/>
      <c r="N154" s="360"/>
      <c r="O154" s="360"/>
      <c r="P154" s="359"/>
      <c r="Q154" s="360"/>
      <c r="R154" s="360"/>
      <c r="S154" s="360"/>
    </row>
    <row r="155" spans="4:19">
      <c r="D155" s="360"/>
      <c r="E155" s="360"/>
      <c r="F155" s="360"/>
      <c r="G155" s="360"/>
      <c r="H155" s="360"/>
      <c r="I155" s="360"/>
      <c r="J155" s="360"/>
      <c r="K155" s="360"/>
      <c r="L155" s="360"/>
      <c r="M155" s="360"/>
      <c r="N155" s="360"/>
      <c r="O155" s="360"/>
      <c r="P155" s="359"/>
      <c r="Q155" s="360"/>
      <c r="R155" s="360"/>
      <c r="S155" s="360"/>
    </row>
    <row r="156" spans="4:19">
      <c r="D156" s="360"/>
      <c r="E156" s="360"/>
      <c r="F156" s="360"/>
      <c r="G156" s="360"/>
      <c r="H156" s="360"/>
      <c r="I156" s="360"/>
      <c r="J156" s="360"/>
      <c r="K156" s="360"/>
      <c r="L156" s="360"/>
      <c r="M156" s="360"/>
      <c r="N156" s="360"/>
      <c r="O156" s="360"/>
      <c r="P156" s="359"/>
      <c r="Q156" s="360"/>
      <c r="R156" s="360"/>
      <c r="S156" s="360"/>
    </row>
    <row r="157" spans="4:19">
      <c r="D157" s="360"/>
      <c r="E157" s="360"/>
      <c r="F157" s="360"/>
      <c r="G157" s="360"/>
      <c r="H157" s="360"/>
      <c r="I157" s="360"/>
      <c r="J157" s="360"/>
      <c r="K157" s="360"/>
      <c r="L157" s="360"/>
      <c r="M157" s="360"/>
      <c r="N157" s="360"/>
      <c r="O157" s="360"/>
      <c r="P157" s="359"/>
      <c r="Q157" s="360"/>
      <c r="R157" s="360"/>
      <c r="S157" s="360"/>
    </row>
    <row r="158" spans="4:19">
      <c r="D158" s="360"/>
      <c r="E158" s="360"/>
      <c r="F158" s="360"/>
      <c r="G158" s="360"/>
      <c r="H158" s="360"/>
      <c r="I158" s="360"/>
      <c r="J158" s="360"/>
      <c r="K158" s="360"/>
      <c r="L158" s="360"/>
      <c r="M158" s="360"/>
      <c r="N158" s="360"/>
      <c r="O158" s="360"/>
      <c r="P158" s="359"/>
      <c r="Q158" s="360"/>
      <c r="R158" s="360"/>
      <c r="S158" s="360"/>
    </row>
    <row r="159" spans="4:19">
      <c r="D159" s="360"/>
      <c r="E159" s="360"/>
      <c r="F159" s="360"/>
      <c r="G159" s="360"/>
      <c r="H159" s="360"/>
      <c r="I159" s="360"/>
      <c r="J159" s="360"/>
      <c r="K159" s="360"/>
      <c r="L159" s="360"/>
      <c r="M159" s="360"/>
      <c r="N159" s="360"/>
      <c r="O159" s="360"/>
      <c r="P159" s="359"/>
      <c r="Q159" s="360"/>
      <c r="R159" s="360"/>
      <c r="S159" s="360"/>
    </row>
    <row r="160" spans="4:19">
      <c r="D160" s="360"/>
      <c r="E160" s="360"/>
      <c r="F160" s="360"/>
      <c r="G160" s="360"/>
      <c r="H160" s="360"/>
      <c r="I160" s="360"/>
      <c r="J160" s="360"/>
      <c r="K160" s="360"/>
      <c r="L160" s="360"/>
      <c r="M160" s="360"/>
      <c r="N160" s="360"/>
      <c r="O160" s="360"/>
      <c r="P160" s="359"/>
      <c r="Q160" s="360"/>
      <c r="R160" s="360"/>
      <c r="S160" s="360"/>
    </row>
    <row r="161" spans="4:19">
      <c r="D161" s="360"/>
      <c r="E161" s="360"/>
      <c r="F161" s="360"/>
      <c r="G161" s="360"/>
      <c r="H161" s="360"/>
      <c r="I161" s="360"/>
      <c r="J161" s="360"/>
      <c r="K161" s="360"/>
      <c r="L161" s="360"/>
      <c r="M161" s="360"/>
      <c r="N161" s="360"/>
      <c r="O161" s="360"/>
      <c r="P161" s="359"/>
      <c r="Q161" s="360"/>
      <c r="R161" s="360"/>
      <c r="S161" s="360"/>
    </row>
    <row r="162" spans="4:19">
      <c r="D162" s="360"/>
      <c r="E162" s="360"/>
      <c r="F162" s="360"/>
      <c r="G162" s="360"/>
      <c r="H162" s="360"/>
      <c r="I162" s="360"/>
      <c r="J162" s="360"/>
      <c r="K162" s="360"/>
      <c r="L162" s="360"/>
      <c r="M162" s="360"/>
      <c r="N162" s="360"/>
      <c r="O162" s="360"/>
      <c r="P162" s="359"/>
      <c r="Q162" s="360"/>
      <c r="R162" s="360"/>
      <c r="S162" s="360"/>
    </row>
    <row r="163" spans="4:19">
      <c r="D163" s="360"/>
      <c r="E163" s="360"/>
      <c r="F163" s="360"/>
      <c r="G163" s="360"/>
      <c r="H163" s="360"/>
      <c r="I163" s="360"/>
      <c r="J163" s="360"/>
      <c r="K163" s="360"/>
      <c r="L163" s="360"/>
      <c r="M163" s="360"/>
      <c r="N163" s="360"/>
      <c r="O163" s="360"/>
      <c r="P163" s="359"/>
      <c r="Q163" s="360"/>
      <c r="R163" s="360"/>
      <c r="S163" s="360"/>
    </row>
    <row r="164" spans="4:19">
      <c r="D164" s="360"/>
      <c r="E164" s="360"/>
      <c r="F164" s="360"/>
      <c r="G164" s="360"/>
      <c r="H164" s="360"/>
      <c r="I164" s="360"/>
      <c r="J164" s="360"/>
      <c r="K164" s="360"/>
      <c r="L164" s="360"/>
      <c r="M164" s="360"/>
      <c r="N164" s="360"/>
      <c r="O164" s="360"/>
      <c r="P164" s="359"/>
      <c r="Q164" s="360"/>
      <c r="R164" s="360"/>
      <c r="S164" s="360"/>
    </row>
    <row r="165" spans="4:19">
      <c r="D165" s="360"/>
      <c r="E165" s="360"/>
      <c r="F165" s="360"/>
      <c r="G165" s="360"/>
      <c r="H165" s="360"/>
      <c r="I165" s="360"/>
      <c r="J165" s="360"/>
      <c r="K165" s="360"/>
      <c r="L165" s="360"/>
      <c r="M165" s="360"/>
      <c r="N165" s="360"/>
      <c r="O165" s="360"/>
      <c r="P165" s="359"/>
      <c r="Q165" s="360"/>
      <c r="R165" s="360"/>
      <c r="S165" s="360"/>
    </row>
    <row r="166" spans="4:19">
      <c r="D166" s="360"/>
      <c r="E166" s="360"/>
      <c r="F166" s="360"/>
      <c r="G166" s="360"/>
      <c r="H166" s="360"/>
      <c r="I166" s="360"/>
      <c r="J166" s="360"/>
      <c r="K166" s="360"/>
      <c r="L166" s="360"/>
      <c r="M166" s="360"/>
      <c r="N166" s="360"/>
      <c r="O166" s="360"/>
      <c r="P166" s="359"/>
      <c r="Q166" s="360"/>
      <c r="R166" s="360"/>
      <c r="S166" s="360"/>
    </row>
    <row r="167" spans="4:19">
      <c r="D167" s="360"/>
      <c r="E167" s="360"/>
      <c r="F167" s="360"/>
      <c r="G167" s="360"/>
      <c r="H167" s="360"/>
      <c r="I167" s="360"/>
      <c r="J167" s="360"/>
      <c r="K167" s="360"/>
      <c r="L167" s="360"/>
      <c r="M167" s="360"/>
      <c r="N167" s="360"/>
      <c r="O167" s="360"/>
      <c r="P167" s="359"/>
      <c r="Q167" s="360"/>
      <c r="R167" s="360"/>
      <c r="S167" s="360"/>
    </row>
    <row r="168" spans="4:19">
      <c r="D168" s="360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359"/>
      <c r="Q168" s="360"/>
      <c r="R168" s="360"/>
      <c r="S168" s="360"/>
    </row>
    <row r="169" spans="4:19">
      <c r="D169" s="360"/>
      <c r="E169" s="360"/>
      <c r="F169" s="360"/>
      <c r="G169" s="360"/>
      <c r="H169" s="360"/>
      <c r="I169" s="360"/>
      <c r="J169" s="360"/>
      <c r="K169" s="360"/>
      <c r="L169" s="360"/>
      <c r="M169" s="360"/>
      <c r="N169" s="360"/>
      <c r="O169" s="360"/>
      <c r="P169" s="359"/>
      <c r="Q169" s="360"/>
      <c r="R169" s="360"/>
      <c r="S169" s="360"/>
    </row>
    <row r="170" spans="4:19">
      <c r="D170" s="360"/>
      <c r="E170" s="360"/>
      <c r="F170" s="360"/>
      <c r="G170" s="360"/>
      <c r="H170" s="360"/>
      <c r="I170" s="360"/>
      <c r="J170" s="360"/>
      <c r="K170" s="360"/>
      <c r="L170" s="360"/>
      <c r="M170" s="360"/>
      <c r="N170" s="360"/>
      <c r="O170" s="360"/>
      <c r="P170" s="359"/>
      <c r="Q170" s="360"/>
      <c r="R170" s="360"/>
      <c r="S170" s="360"/>
    </row>
    <row r="171" spans="4:19">
      <c r="D171" s="360"/>
      <c r="E171" s="360"/>
      <c r="F171" s="360"/>
      <c r="G171" s="360"/>
      <c r="H171" s="360"/>
      <c r="I171" s="360"/>
      <c r="J171" s="360"/>
      <c r="K171" s="360"/>
      <c r="L171" s="360"/>
      <c r="M171" s="360"/>
      <c r="N171" s="360"/>
      <c r="O171" s="360"/>
      <c r="P171" s="359"/>
      <c r="Q171" s="360"/>
      <c r="R171" s="360"/>
      <c r="S171" s="360"/>
    </row>
    <row r="172" spans="4:19">
      <c r="D172" s="360"/>
      <c r="E172" s="360"/>
      <c r="F172" s="360"/>
      <c r="G172" s="360"/>
      <c r="H172" s="360"/>
      <c r="I172" s="360"/>
      <c r="J172" s="360"/>
      <c r="K172" s="360"/>
      <c r="L172" s="360"/>
      <c r="M172" s="360"/>
      <c r="N172" s="360"/>
      <c r="O172" s="360"/>
      <c r="P172" s="359"/>
      <c r="Q172" s="360"/>
      <c r="R172" s="360"/>
      <c r="S172" s="360"/>
    </row>
    <row r="173" spans="4:19">
      <c r="D173" s="360"/>
      <c r="E173" s="360"/>
      <c r="F173" s="360"/>
      <c r="G173" s="360"/>
      <c r="H173" s="360"/>
      <c r="I173" s="360"/>
      <c r="J173" s="360"/>
      <c r="K173" s="360"/>
      <c r="L173" s="360"/>
      <c r="M173" s="360"/>
      <c r="N173" s="360"/>
      <c r="O173" s="360"/>
      <c r="P173" s="359"/>
      <c r="Q173" s="360"/>
      <c r="R173" s="360"/>
      <c r="S173" s="360"/>
    </row>
    <row r="174" spans="4:19">
      <c r="D174" s="360"/>
      <c r="E174" s="360"/>
      <c r="F174" s="360"/>
      <c r="G174" s="360"/>
      <c r="H174" s="360"/>
      <c r="I174" s="360"/>
      <c r="J174" s="360"/>
      <c r="K174" s="360"/>
      <c r="L174" s="360"/>
      <c r="M174" s="360"/>
      <c r="N174" s="360"/>
      <c r="O174" s="360"/>
      <c r="P174" s="359"/>
      <c r="Q174" s="360"/>
      <c r="R174" s="360"/>
      <c r="S174" s="360"/>
    </row>
    <row r="175" spans="4:19">
      <c r="D175" s="360"/>
      <c r="E175" s="360"/>
      <c r="F175" s="360"/>
      <c r="G175" s="360"/>
      <c r="H175" s="360"/>
      <c r="I175" s="360"/>
      <c r="J175" s="360"/>
      <c r="K175" s="360"/>
      <c r="L175" s="360"/>
      <c r="M175" s="360"/>
      <c r="N175" s="360"/>
      <c r="O175" s="360"/>
      <c r="P175" s="359"/>
      <c r="Q175" s="360"/>
      <c r="R175" s="360"/>
      <c r="S175" s="360"/>
    </row>
    <row r="176" spans="4:19">
      <c r="D176" s="360"/>
      <c r="E176" s="360"/>
      <c r="F176" s="360"/>
      <c r="G176" s="360"/>
      <c r="H176" s="360"/>
      <c r="I176" s="360"/>
      <c r="J176" s="360"/>
      <c r="K176" s="360"/>
      <c r="L176" s="360"/>
      <c r="M176" s="360"/>
      <c r="N176" s="360"/>
      <c r="O176" s="360"/>
      <c r="P176" s="359"/>
      <c r="Q176" s="360"/>
      <c r="R176" s="360"/>
      <c r="S176" s="360"/>
    </row>
    <row r="177" spans="4:19">
      <c r="D177" s="360"/>
      <c r="E177" s="360"/>
      <c r="F177" s="360"/>
      <c r="G177" s="360"/>
      <c r="H177" s="360"/>
      <c r="I177" s="360"/>
      <c r="J177" s="360"/>
      <c r="K177" s="360"/>
      <c r="L177" s="360"/>
      <c r="M177" s="360"/>
      <c r="N177" s="360"/>
      <c r="O177" s="360"/>
      <c r="P177" s="359"/>
      <c r="Q177" s="360"/>
      <c r="R177" s="360"/>
      <c r="S177" s="360"/>
    </row>
    <row r="178" spans="4:19">
      <c r="D178" s="360"/>
      <c r="E178" s="360"/>
      <c r="F178" s="360"/>
      <c r="G178" s="360"/>
      <c r="H178" s="360"/>
      <c r="I178" s="360"/>
      <c r="J178" s="360"/>
      <c r="K178" s="360"/>
      <c r="L178" s="360"/>
      <c r="M178" s="360"/>
      <c r="N178" s="360"/>
      <c r="O178" s="360"/>
      <c r="P178" s="359"/>
      <c r="Q178" s="360"/>
      <c r="R178" s="360"/>
      <c r="S178" s="360"/>
    </row>
    <row r="179" spans="4:19">
      <c r="D179" s="360"/>
      <c r="E179" s="360"/>
      <c r="F179" s="360"/>
      <c r="G179" s="360"/>
      <c r="H179" s="360"/>
      <c r="I179" s="360"/>
      <c r="J179" s="360"/>
      <c r="K179" s="360"/>
      <c r="L179" s="360"/>
      <c r="M179" s="360"/>
      <c r="N179" s="360"/>
      <c r="O179" s="360"/>
      <c r="P179" s="359"/>
      <c r="Q179" s="360"/>
      <c r="R179" s="360"/>
      <c r="S179" s="360"/>
    </row>
    <row r="180" spans="4:19">
      <c r="D180" s="360"/>
      <c r="E180" s="360"/>
      <c r="F180" s="360"/>
      <c r="G180" s="360"/>
      <c r="H180" s="360"/>
      <c r="I180" s="360"/>
      <c r="J180" s="360"/>
      <c r="K180" s="360"/>
      <c r="L180" s="360"/>
      <c r="M180" s="360"/>
      <c r="N180" s="360"/>
      <c r="O180" s="360"/>
      <c r="P180" s="359"/>
      <c r="Q180" s="360"/>
      <c r="R180" s="360"/>
      <c r="S180" s="360"/>
    </row>
    <row r="181" spans="4:19">
      <c r="D181" s="360"/>
      <c r="E181" s="360"/>
      <c r="F181" s="360"/>
      <c r="G181" s="360"/>
      <c r="H181" s="360"/>
      <c r="I181" s="360"/>
      <c r="J181" s="360"/>
      <c r="K181" s="360"/>
      <c r="L181" s="360"/>
      <c r="M181" s="360"/>
      <c r="N181" s="360"/>
      <c r="O181" s="360"/>
      <c r="P181" s="359"/>
      <c r="Q181" s="360"/>
      <c r="R181" s="360"/>
      <c r="S181" s="360"/>
    </row>
    <row r="182" spans="4:19">
      <c r="D182" s="360"/>
      <c r="E182" s="360"/>
      <c r="F182" s="360"/>
      <c r="G182" s="360"/>
      <c r="H182" s="360"/>
      <c r="I182" s="360"/>
      <c r="J182" s="360"/>
      <c r="K182" s="360"/>
      <c r="L182" s="360"/>
      <c r="M182" s="360"/>
      <c r="N182" s="360"/>
      <c r="O182" s="360"/>
      <c r="P182" s="359"/>
      <c r="Q182" s="360"/>
      <c r="R182" s="360"/>
      <c r="S182" s="360"/>
    </row>
    <row r="183" spans="4:19">
      <c r="D183" s="360"/>
      <c r="E183" s="360"/>
      <c r="F183" s="360"/>
      <c r="G183" s="360"/>
      <c r="H183" s="360"/>
      <c r="I183" s="360"/>
      <c r="J183" s="360"/>
      <c r="K183" s="360"/>
      <c r="L183" s="360"/>
      <c r="M183" s="360"/>
      <c r="N183" s="360"/>
      <c r="O183" s="360"/>
      <c r="P183" s="359"/>
      <c r="Q183" s="360"/>
      <c r="R183" s="360"/>
      <c r="S183" s="360"/>
    </row>
    <row r="184" spans="4:19">
      <c r="D184" s="360"/>
      <c r="E184" s="360"/>
      <c r="F184" s="360"/>
      <c r="G184" s="360"/>
      <c r="H184" s="360"/>
      <c r="I184" s="360"/>
      <c r="J184" s="360"/>
      <c r="K184" s="360"/>
      <c r="L184" s="360"/>
      <c r="M184" s="360"/>
      <c r="N184" s="360"/>
      <c r="O184" s="360"/>
      <c r="P184" s="359"/>
      <c r="Q184" s="360"/>
      <c r="R184" s="360"/>
      <c r="S184" s="360"/>
    </row>
    <row r="185" spans="4:19">
      <c r="D185" s="360"/>
      <c r="E185" s="360"/>
      <c r="F185" s="360"/>
      <c r="G185" s="360"/>
      <c r="H185" s="360"/>
      <c r="I185" s="360"/>
      <c r="J185" s="360"/>
      <c r="K185" s="360"/>
      <c r="L185" s="360"/>
      <c r="M185" s="360"/>
      <c r="N185" s="360"/>
      <c r="O185" s="360"/>
      <c r="P185" s="359"/>
      <c r="Q185" s="360"/>
      <c r="R185" s="360"/>
      <c r="S185" s="360"/>
    </row>
    <row r="186" spans="4:19">
      <c r="D186" s="360"/>
      <c r="E186" s="360"/>
      <c r="F186" s="360"/>
      <c r="G186" s="360"/>
      <c r="H186" s="360"/>
      <c r="I186" s="360"/>
      <c r="J186" s="360"/>
      <c r="K186" s="360"/>
      <c r="L186" s="360"/>
      <c r="M186" s="360"/>
      <c r="N186" s="360"/>
      <c r="O186" s="360"/>
      <c r="P186" s="359"/>
      <c r="Q186" s="360"/>
      <c r="R186" s="360"/>
      <c r="S186" s="360"/>
    </row>
    <row r="187" spans="4:19">
      <c r="D187" s="360"/>
      <c r="E187" s="360"/>
      <c r="F187" s="360"/>
      <c r="G187" s="360"/>
      <c r="H187" s="360"/>
      <c r="I187" s="360"/>
      <c r="J187" s="360"/>
      <c r="K187" s="360"/>
      <c r="L187" s="360"/>
      <c r="M187" s="360"/>
      <c r="N187" s="360"/>
      <c r="O187" s="360"/>
      <c r="P187" s="359"/>
      <c r="Q187" s="360"/>
      <c r="R187" s="360"/>
      <c r="S187" s="360"/>
    </row>
    <row r="188" spans="4:19"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59"/>
      <c r="Q188" s="360"/>
      <c r="R188" s="360"/>
      <c r="S188" s="360"/>
    </row>
    <row r="189" spans="4:19">
      <c r="D189" s="360"/>
      <c r="E189" s="360"/>
      <c r="F189" s="360"/>
      <c r="G189" s="360"/>
      <c r="H189" s="360"/>
      <c r="I189" s="360"/>
      <c r="J189" s="360"/>
      <c r="K189" s="360"/>
      <c r="L189" s="360"/>
      <c r="M189" s="360"/>
      <c r="N189" s="360"/>
      <c r="O189" s="360"/>
      <c r="P189" s="359"/>
      <c r="Q189" s="360"/>
      <c r="R189" s="360"/>
      <c r="S189" s="360"/>
    </row>
    <row r="190" spans="4:19">
      <c r="D190" s="360"/>
      <c r="E190" s="360"/>
      <c r="F190" s="360"/>
      <c r="G190" s="360"/>
      <c r="H190" s="360"/>
      <c r="I190" s="360"/>
      <c r="J190" s="360"/>
      <c r="K190" s="360"/>
      <c r="L190" s="360"/>
      <c r="M190" s="360"/>
      <c r="N190" s="360"/>
      <c r="O190" s="360"/>
      <c r="P190" s="359"/>
      <c r="Q190" s="360"/>
      <c r="R190" s="360"/>
      <c r="S190" s="360"/>
    </row>
    <row r="191" spans="4:19">
      <c r="D191" s="360"/>
      <c r="E191" s="360"/>
      <c r="F191" s="360"/>
      <c r="G191" s="360"/>
      <c r="H191" s="360"/>
      <c r="I191" s="360"/>
      <c r="J191" s="360"/>
      <c r="K191" s="360"/>
      <c r="L191" s="360"/>
      <c r="M191" s="360"/>
      <c r="N191" s="360"/>
      <c r="O191" s="360"/>
      <c r="P191" s="359"/>
      <c r="Q191" s="360"/>
      <c r="R191" s="360"/>
      <c r="S191" s="360"/>
    </row>
    <row r="192" spans="4:19">
      <c r="D192" s="360"/>
      <c r="E192" s="360"/>
      <c r="F192" s="360"/>
      <c r="G192" s="360"/>
      <c r="H192" s="360"/>
      <c r="I192" s="360"/>
      <c r="J192" s="360"/>
      <c r="K192" s="360"/>
      <c r="L192" s="360"/>
      <c r="M192" s="360"/>
      <c r="N192" s="360"/>
      <c r="O192" s="360"/>
      <c r="P192" s="359"/>
      <c r="Q192" s="360"/>
      <c r="R192" s="360"/>
      <c r="S192" s="360"/>
    </row>
    <row r="193" spans="4:19">
      <c r="D193" s="360"/>
      <c r="E193" s="360"/>
      <c r="F193" s="360"/>
      <c r="G193" s="360"/>
      <c r="H193" s="360"/>
      <c r="I193" s="360"/>
      <c r="J193" s="360"/>
      <c r="K193" s="360"/>
      <c r="L193" s="360"/>
      <c r="M193" s="360"/>
      <c r="N193" s="360"/>
      <c r="O193" s="360"/>
      <c r="P193" s="359"/>
      <c r="Q193" s="360"/>
      <c r="R193" s="360"/>
      <c r="S193" s="360"/>
    </row>
    <row r="194" spans="4:19">
      <c r="D194" s="360"/>
      <c r="E194" s="360"/>
      <c r="F194" s="360"/>
      <c r="G194" s="360"/>
      <c r="H194" s="360"/>
      <c r="I194" s="360"/>
      <c r="J194" s="360"/>
      <c r="K194" s="360"/>
      <c r="L194" s="360"/>
      <c r="M194" s="360"/>
      <c r="N194" s="360"/>
      <c r="O194" s="360"/>
      <c r="P194" s="359"/>
      <c r="Q194" s="360"/>
      <c r="R194" s="360"/>
      <c r="S194" s="360"/>
    </row>
    <row r="195" spans="4:19">
      <c r="D195" s="360"/>
      <c r="E195" s="360"/>
      <c r="F195" s="360"/>
      <c r="G195" s="360"/>
      <c r="H195" s="360"/>
      <c r="I195" s="360"/>
      <c r="J195" s="360"/>
      <c r="K195" s="360"/>
      <c r="L195" s="360"/>
      <c r="M195" s="360"/>
      <c r="N195" s="360"/>
      <c r="O195" s="360"/>
      <c r="P195" s="359"/>
      <c r="Q195" s="360"/>
      <c r="R195" s="360"/>
      <c r="S195" s="360"/>
    </row>
    <row r="196" spans="4:19">
      <c r="D196" s="360"/>
      <c r="E196" s="360"/>
      <c r="F196" s="360"/>
      <c r="G196" s="360"/>
      <c r="H196" s="360"/>
      <c r="I196" s="360"/>
      <c r="J196" s="360"/>
      <c r="K196" s="360"/>
      <c r="L196" s="360"/>
      <c r="M196" s="360"/>
      <c r="N196" s="360"/>
      <c r="O196" s="360"/>
      <c r="P196" s="359"/>
      <c r="Q196" s="360"/>
      <c r="R196" s="360"/>
      <c r="S196" s="360"/>
    </row>
    <row r="197" spans="4:19">
      <c r="D197" s="360"/>
      <c r="E197" s="360"/>
      <c r="F197" s="360"/>
      <c r="G197" s="360"/>
      <c r="H197" s="360"/>
      <c r="I197" s="360"/>
      <c r="J197" s="360"/>
      <c r="K197" s="360"/>
      <c r="L197" s="360"/>
      <c r="M197" s="360"/>
      <c r="N197" s="360"/>
      <c r="O197" s="360"/>
      <c r="P197" s="359"/>
      <c r="Q197" s="360"/>
      <c r="R197" s="360"/>
      <c r="S197" s="360"/>
    </row>
    <row r="198" spans="4:19">
      <c r="D198" s="360"/>
      <c r="E198" s="360"/>
      <c r="F198" s="360"/>
      <c r="G198" s="360"/>
      <c r="H198" s="360"/>
      <c r="I198" s="360"/>
      <c r="J198" s="360"/>
      <c r="K198" s="360"/>
      <c r="L198" s="360"/>
      <c r="M198" s="360"/>
      <c r="N198" s="360"/>
      <c r="O198" s="360"/>
      <c r="P198" s="359"/>
      <c r="Q198" s="360"/>
      <c r="R198" s="360"/>
      <c r="S198" s="360"/>
    </row>
    <row r="199" spans="4:19">
      <c r="D199" s="360"/>
      <c r="E199" s="360"/>
      <c r="F199" s="360"/>
      <c r="G199" s="360"/>
      <c r="H199" s="360"/>
      <c r="I199" s="360"/>
      <c r="J199" s="360"/>
      <c r="K199" s="360"/>
      <c r="L199" s="360"/>
      <c r="M199" s="360"/>
      <c r="N199" s="360"/>
      <c r="O199" s="360"/>
      <c r="P199" s="359"/>
      <c r="Q199" s="360"/>
      <c r="R199" s="360"/>
      <c r="S199" s="360"/>
    </row>
    <row r="200" spans="4:19">
      <c r="D200" s="360"/>
      <c r="E200" s="360"/>
      <c r="F200" s="360"/>
      <c r="G200" s="360"/>
      <c r="H200" s="360"/>
      <c r="I200" s="360"/>
      <c r="J200" s="360"/>
      <c r="K200" s="360"/>
      <c r="L200" s="360"/>
      <c r="M200" s="360"/>
      <c r="N200" s="360"/>
      <c r="O200" s="360"/>
      <c r="P200" s="359"/>
      <c r="Q200" s="360"/>
      <c r="R200" s="360"/>
      <c r="S200" s="360"/>
    </row>
    <row r="201" spans="4:19">
      <c r="D201" s="360"/>
      <c r="E201" s="360"/>
      <c r="F201" s="360"/>
      <c r="G201" s="360"/>
      <c r="H201" s="360"/>
      <c r="I201" s="360"/>
      <c r="J201" s="360"/>
      <c r="K201" s="360"/>
      <c r="L201" s="360"/>
      <c r="M201" s="360"/>
      <c r="N201" s="360"/>
      <c r="O201" s="360"/>
      <c r="P201" s="359"/>
      <c r="Q201" s="360"/>
      <c r="R201" s="360"/>
      <c r="S201" s="360"/>
    </row>
    <row r="202" spans="4:19">
      <c r="D202" s="360"/>
      <c r="E202" s="360"/>
      <c r="F202" s="360"/>
      <c r="G202" s="360"/>
      <c r="H202" s="360"/>
      <c r="I202" s="360"/>
      <c r="J202" s="360"/>
      <c r="K202" s="360"/>
      <c r="L202" s="360"/>
      <c r="M202" s="360"/>
      <c r="N202" s="360"/>
      <c r="O202" s="360"/>
      <c r="P202" s="359"/>
      <c r="Q202" s="360"/>
      <c r="R202" s="360"/>
      <c r="S202" s="360"/>
    </row>
    <row r="203" spans="4:19">
      <c r="D203" s="360"/>
      <c r="E203" s="360"/>
      <c r="F203" s="360"/>
      <c r="G203" s="360"/>
      <c r="H203" s="360"/>
      <c r="I203" s="360"/>
      <c r="J203" s="360"/>
      <c r="K203" s="360"/>
      <c r="L203" s="360"/>
      <c r="M203" s="360"/>
      <c r="N203" s="360"/>
      <c r="O203" s="360"/>
      <c r="P203" s="359"/>
      <c r="Q203" s="360"/>
      <c r="R203" s="360"/>
      <c r="S203" s="360"/>
    </row>
    <row r="204" spans="4:19">
      <c r="D204" s="360"/>
      <c r="E204" s="360"/>
      <c r="F204" s="360"/>
      <c r="G204" s="360"/>
      <c r="H204" s="360"/>
      <c r="I204" s="360"/>
      <c r="J204" s="360"/>
      <c r="K204" s="360"/>
      <c r="L204" s="360"/>
      <c r="M204" s="360"/>
      <c r="N204" s="360"/>
      <c r="O204" s="360"/>
      <c r="P204" s="359"/>
      <c r="Q204" s="360"/>
      <c r="R204" s="360"/>
      <c r="S204" s="360"/>
    </row>
    <row r="205" spans="4:19">
      <c r="D205" s="360"/>
      <c r="E205" s="360"/>
      <c r="F205" s="360"/>
      <c r="G205" s="360"/>
      <c r="H205" s="360"/>
      <c r="I205" s="360"/>
      <c r="J205" s="360"/>
      <c r="K205" s="360"/>
      <c r="L205" s="360"/>
      <c r="M205" s="360"/>
      <c r="N205" s="360"/>
      <c r="O205" s="360"/>
      <c r="P205" s="359"/>
      <c r="Q205" s="360"/>
      <c r="R205" s="360"/>
      <c r="S205" s="360"/>
    </row>
    <row r="206" spans="4:19">
      <c r="D206" s="360"/>
      <c r="E206" s="360"/>
      <c r="F206" s="360"/>
      <c r="G206" s="360"/>
      <c r="H206" s="360"/>
      <c r="I206" s="360"/>
      <c r="J206" s="360"/>
      <c r="K206" s="360"/>
      <c r="L206" s="360"/>
      <c r="M206" s="360"/>
      <c r="N206" s="360"/>
      <c r="O206" s="360"/>
      <c r="P206" s="359"/>
      <c r="Q206" s="360"/>
      <c r="R206" s="360"/>
      <c r="S206" s="360"/>
    </row>
    <row r="207" spans="4:19">
      <c r="D207" s="360"/>
      <c r="E207" s="360"/>
      <c r="F207" s="360"/>
      <c r="G207" s="360"/>
      <c r="H207" s="360"/>
      <c r="I207" s="360"/>
      <c r="J207" s="360"/>
      <c r="K207" s="360"/>
      <c r="L207" s="360"/>
      <c r="M207" s="360"/>
      <c r="N207" s="360"/>
      <c r="O207" s="360"/>
      <c r="P207" s="359"/>
      <c r="Q207" s="360"/>
      <c r="R207" s="360"/>
      <c r="S207" s="360"/>
    </row>
    <row r="208" spans="4:19">
      <c r="D208" s="360"/>
      <c r="E208" s="360"/>
      <c r="F208" s="360"/>
      <c r="G208" s="360"/>
      <c r="H208" s="360"/>
      <c r="I208" s="360"/>
      <c r="J208" s="360"/>
      <c r="K208" s="360"/>
      <c r="L208" s="360"/>
      <c r="M208" s="360"/>
      <c r="N208" s="360"/>
      <c r="O208" s="360"/>
      <c r="P208" s="359"/>
      <c r="Q208" s="360"/>
      <c r="R208" s="360"/>
      <c r="S208" s="360"/>
    </row>
    <row r="209" spans="4:19">
      <c r="D209" s="360"/>
      <c r="E209" s="360"/>
      <c r="F209" s="360"/>
      <c r="G209" s="360"/>
      <c r="H209" s="360"/>
      <c r="I209" s="360"/>
      <c r="J209" s="360"/>
      <c r="K209" s="360"/>
      <c r="L209" s="360"/>
      <c r="M209" s="360"/>
      <c r="N209" s="360"/>
      <c r="O209" s="360"/>
      <c r="P209" s="359"/>
      <c r="Q209" s="360"/>
      <c r="R209" s="360"/>
      <c r="S209" s="360"/>
    </row>
    <row r="210" spans="4:19">
      <c r="D210" s="360"/>
      <c r="E210" s="360"/>
      <c r="F210" s="360"/>
      <c r="G210" s="360"/>
      <c r="H210" s="360"/>
      <c r="I210" s="360"/>
      <c r="J210" s="360"/>
      <c r="K210" s="360"/>
      <c r="L210" s="360"/>
      <c r="M210" s="360"/>
      <c r="N210" s="360"/>
      <c r="O210" s="360"/>
      <c r="P210" s="359"/>
      <c r="Q210" s="360"/>
      <c r="R210" s="360"/>
      <c r="S210" s="360"/>
    </row>
    <row r="211" spans="4:19">
      <c r="D211" s="360"/>
      <c r="E211" s="360"/>
      <c r="F211" s="360"/>
      <c r="G211" s="360"/>
      <c r="H211" s="360"/>
      <c r="I211" s="360"/>
      <c r="J211" s="360"/>
      <c r="K211" s="360"/>
      <c r="L211" s="360"/>
      <c r="M211" s="360"/>
      <c r="N211" s="360"/>
      <c r="O211" s="360"/>
      <c r="P211" s="359"/>
      <c r="Q211" s="360"/>
      <c r="R211" s="360"/>
      <c r="S211" s="360"/>
    </row>
    <row r="212" spans="4:19">
      <c r="D212" s="360"/>
      <c r="E212" s="360"/>
      <c r="F212" s="360"/>
      <c r="G212" s="360"/>
      <c r="H212" s="360"/>
      <c r="I212" s="360"/>
      <c r="J212" s="360"/>
      <c r="K212" s="360"/>
      <c r="L212" s="360"/>
      <c r="M212" s="360"/>
      <c r="N212" s="360"/>
      <c r="O212" s="360"/>
      <c r="P212" s="359"/>
      <c r="Q212" s="360"/>
      <c r="R212" s="360"/>
      <c r="S212" s="360"/>
    </row>
    <row r="213" spans="4:19">
      <c r="D213" s="360"/>
      <c r="E213" s="360"/>
      <c r="F213" s="360"/>
      <c r="G213" s="360"/>
      <c r="H213" s="360"/>
      <c r="I213" s="360"/>
      <c r="J213" s="360"/>
      <c r="K213" s="360"/>
      <c r="L213" s="360"/>
      <c r="M213" s="360"/>
      <c r="N213" s="360"/>
      <c r="O213" s="360"/>
      <c r="P213" s="359"/>
      <c r="Q213" s="360"/>
      <c r="R213" s="360"/>
      <c r="S213" s="360"/>
    </row>
    <row r="214" spans="4:19">
      <c r="D214" s="360"/>
      <c r="E214" s="360"/>
      <c r="F214" s="360"/>
      <c r="G214" s="360"/>
      <c r="H214" s="360"/>
      <c r="I214" s="360"/>
      <c r="J214" s="360"/>
      <c r="K214" s="360"/>
      <c r="L214" s="360"/>
      <c r="M214" s="360"/>
      <c r="N214" s="360"/>
      <c r="O214" s="360"/>
      <c r="P214" s="359"/>
      <c r="Q214" s="360"/>
      <c r="R214" s="360"/>
      <c r="S214" s="360"/>
    </row>
    <row r="215" spans="4:19">
      <c r="D215" s="360"/>
      <c r="E215" s="360"/>
      <c r="F215" s="360"/>
      <c r="G215" s="360"/>
      <c r="H215" s="360"/>
      <c r="I215" s="360"/>
      <c r="J215" s="360"/>
      <c r="K215" s="360"/>
      <c r="L215" s="360"/>
      <c r="M215" s="360"/>
      <c r="N215" s="360"/>
      <c r="O215" s="360"/>
      <c r="P215" s="359"/>
      <c r="Q215" s="360"/>
      <c r="R215" s="360"/>
      <c r="S215" s="360"/>
    </row>
    <row r="216" spans="4:19">
      <c r="D216" s="360"/>
      <c r="E216" s="360"/>
      <c r="F216" s="360"/>
      <c r="G216" s="360"/>
      <c r="H216" s="360"/>
      <c r="I216" s="360"/>
      <c r="J216" s="360"/>
      <c r="K216" s="360"/>
      <c r="L216" s="360"/>
      <c r="M216" s="360"/>
      <c r="N216" s="360"/>
      <c r="O216" s="360"/>
      <c r="P216" s="359"/>
      <c r="Q216" s="360"/>
      <c r="R216" s="360"/>
      <c r="S216" s="360"/>
    </row>
    <row r="217" spans="4:19">
      <c r="D217" s="360"/>
      <c r="E217" s="360"/>
      <c r="F217" s="360"/>
      <c r="G217" s="360"/>
      <c r="H217" s="360"/>
      <c r="I217" s="360"/>
      <c r="J217" s="360"/>
      <c r="K217" s="360"/>
      <c r="L217" s="360"/>
      <c r="M217" s="360"/>
      <c r="N217" s="360"/>
      <c r="O217" s="360"/>
      <c r="P217" s="359"/>
      <c r="Q217" s="360"/>
      <c r="R217" s="360"/>
      <c r="S217" s="360"/>
    </row>
    <row r="218" spans="4:19">
      <c r="D218" s="360"/>
      <c r="E218" s="360"/>
      <c r="F218" s="360"/>
      <c r="G218" s="360"/>
      <c r="H218" s="360"/>
      <c r="I218" s="360"/>
      <c r="J218" s="360"/>
      <c r="K218" s="360"/>
      <c r="L218" s="360"/>
      <c r="M218" s="360"/>
      <c r="N218" s="360"/>
      <c r="O218" s="360"/>
      <c r="P218" s="359"/>
      <c r="Q218" s="360"/>
      <c r="R218" s="360"/>
      <c r="S218" s="360"/>
    </row>
    <row r="219" spans="4:19">
      <c r="D219" s="360"/>
      <c r="E219" s="360"/>
      <c r="F219" s="360"/>
      <c r="G219" s="360"/>
      <c r="H219" s="360"/>
      <c r="I219" s="360"/>
      <c r="J219" s="360"/>
      <c r="K219" s="360"/>
      <c r="L219" s="360"/>
      <c r="M219" s="360"/>
      <c r="N219" s="360"/>
      <c r="O219" s="360"/>
      <c r="P219" s="359"/>
      <c r="Q219" s="360"/>
      <c r="R219" s="360"/>
      <c r="S219" s="360"/>
    </row>
    <row r="220" spans="4:19">
      <c r="D220" s="360"/>
      <c r="E220" s="360"/>
      <c r="F220" s="360"/>
      <c r="G220" s="360"/>
      <c r="H220" s="360"/>
      <c r="I220" s="360"/>
      <c r="J220" s="360"/>
      <c r="K220" s="360"/>
      <c r="L220" s="360"/>
      <c r="M220" s="360"/>
      <c r="N220" s="360"/>
      <c r="O220" s="360"/>
      <c r="P220" s="359"/>
      <c r="Q220" s="360"/>
      <c r="R220" s="360"/>
      <c r="S220" s="360"/>
    </row>
    <row r="221" spans="4:19">
      <c r="D221" s="360"/>
      <c r="E221" s="360"/>
      <c r="F221" s="360"/>
      <c r="G221" s="360"/>
      <c r="H221" s="360"/>
      <c r="I221" s="360"/>
      <c r="J221" s="360"/>
      <c r="K221" s="360"/>
      <c r="L221" s="360"/>
      <c r="M221" s="360"/>
      <c r="N221" s="360"/>
      <c r="O221" s="360"/>
      <c r="P221" s="359"/>
      <c r="Q221" s="360"/>
      <c r="R221" s="360"/>
      <c r="S221" s="360"/>
    </row>
    <row r="222" spans="4:19">
      <c r="D222" s="360"/>
      <c r="E222" s="360"/>
      <c r="F222" s="360"/>
      <c r="G222" s="360"/>
      <c r="H222" s="360"/>
      <c r="I222" s="360"/>
      <c r="J222" s="360"/>
      <c r="K222" s="360"/>
      <c r="L222" s="360"/>
      <c r="M222" s="360"/>
      <c r="N222" s="360"/>
      <c r="O222" s="360"/>
      <c r="P222" s="359"/>
      <c r="Q222" s="360"/>
      <c r="R222" s="360"/>
      <c r="S222" s="360"/>
    </row>
    <row r="223" spans="4:19">
      <c r="D223" s="360"/>
      <c r="E223" s="360"/>
      <c r="F223" s="360"/>
      <c r="G223" s="360"/>
      <c r="H223" s="360"/>
      <c r="I223" s="360"/>
      <c r="J223" s="360"/>
      <c r="K223" s="360"/>
      <c r="L223" s="360"/>
      <c r="M223" s="360"/>
      <c r="N223" s="360"/>
      <c r="O223" s="360"/>
      <c r="P223" s="359"/>
      <c r="Q223" s="360"/>
      <c r="R223" s="360"/>
      <c r="S223" s="360"/>
    </row>
    <row r="224" spans="4:19">
      <c r="D224" s="360"/>
      <c r="E224" s="360"/>
      <c r="F224" s="360"/>
      <c r="G224" s="360"/>
      <c r="H224" s="360"/>
      <c r="I224" s="360"/>
      <c r="J224" s="360"/>
      <c r="K224" s="360"/>
      <c r="L224" s="360"/>
      <c r="M224" s="360"/>
      <c r="N224" s="360"/>
      <c r="O224" s="360"/>
      <c r="P224" s="359"/>
      <c r="Q224" s="360"/>
      <c r="R224" s="360"/>
      <c r="S224" s="360"/>
    </row>
    <row r="225" spans="4:19">
      <c r="D225" s="360"/>
      <c r="E225" s="360"/>
      <c r="F225" s="360"/>
      <c r="G225" s="360"/>
      <c r="H225" s="360"/>
      <c r="I225" s="360"/>
      <c r="J225" s="360"/>
      <c r="K225" s="360"/>
      <c r="L225" s="360"/>
      <c r="M225" s="360"/>
      <c r="N225" s="360"/>
      <c r="O225" s="360"/>
      <c r="P225" s="359"/>
      <c r="Q225" s="360"/>
      <c r="R225" s="360"/>
      <c r="S225" s="360"/>
    </row>
    <row r="226" spans="4:19">
      <c r="D226" s="360"/>
      <c r="E226" s="360"/>
      <c r="F226" s="360"/>
      <c r="G226" s="360"/>
      <c r="H226" s="360"/>
      <c r="I226" s="360"/>
      <c r="J226" s="360"/>
      <c r="K226" s="360"/>
      <c r="L226" s="360"/>
      <c r="M226" s="360"/>
      <c r="N226" s="360"/>
      <c r="O226" s="360"/>
      <c r="P226" s="359"/>
      <c r="Q226" s="360"/>
      <c r="R226" s="360"/>
      <c r="S226" s="360"/>
    </row>
    <row r="227" spans="4:19">
      <c r="D227" s="360"/>
      <c r="E227" s="360"/>
      <c r="F227" s="360"/>
      <c r="G227" s="360"/>
      <c r="H227" s="360"/>
      <c r="I227" s="360"/>
      <c r="J227" s="360"/>
      <c r="K227" s="360"/>
      <c r="L227" s="360"/>
      <c r="M227" s="360"/>
      <c r="N227" s="360"/>
      <c r="O227" s="360"/>
      <c r="P227" s="359"/>
      <c r="Q227" s="360"/>
      <c r="R227" s="360"/>
      <c r="S227" s="360"/>
    </row>
    <row r="228" spans="4:19">
      <c r="D228" s="360"/>
      <c r="E228" s="360"/>
      <c r="F228" s="360"/>
      <c r="G228" s="360"/>
      <c r="H228" s="360"/>
      <c r="I228" s="360"/>
      <c r="J228" s="360"/>
      <c r="K228" s="360"/>
      <c r="L228" s="360"/>
      <c r="M228" s="360"/>
      <c r="N228" s="360"/>
      <c r="O228" s="360"/>
      <c r="P228" s="359"/>
      <c r="Q228" s="360"/>
      <c r="R228" s="360"/>
      <c r="S228" s="360"/>
    </row>
    <row r="229" spans="4:19">
      <c r="D229" s="360"/>
      <c r="E229" s="360"/>
      <c r="F229" s="360"/>
      <c r="G229" s="360"/>
      <c r="H229" s="360"/>
      <c r="I229" s="360"/>
      <c r="J229" s="360"/>
      <c r="K229" s="360"/>
      <c r="L229" s="360"/>
      <c r="M229" s="360"/>
      <c r="N229" s="360"/>
      <c r="O229" s="360"/>
      <c r="P229" s="359"/>
      <c r="Q229" s="360"/>
      <c r="R229" s="360"/>
      <c r="S229" s="360"/>
    </row>
    <row r="230" spans="4:19">
      <c r="D230" s="360"/>
      <c r="E230" s="360"/>
      <c r="F230" s="360"/>
      <c r="G230" s="360"/>
      <c r="H230" s="360"/>
      <c r="I230" s="360"/>
      <c r="J230" s="360"/>
      <c r="K230" s="360"/>
      <c r="L230" s="360"/>
      <c r="M230" s="360"/>
      <c r="N230" s="360"/>
      <c r="O230" s="360"/>
      <c r="P230" s="359"/>
      <c r="Q230" s="360"/>
      <c r="R230" s="360"/>
      <c r="S230" s="360"/>
    </row>
    <row r="231" spans="4:19">
      <c r="D231" s="360"/>
      <c r="E231" s="360"/>
      <c r="F231" s="360"/>
      <c r="G231" s="360"/>
      <c r="H231" s="360"/>
      <c r="I231" s="360"/>
      <c r="J231" s="360"/>
      <c r="K231" s="360"/>
      <c r="L231" s="360"/>
      <c r="M231" s="360"/>
      <c r="N231" s="360"/>
      <c r="O231" s="360"/>
      <c r="P231" s="359"/>
      <c r="Q231" s="360"/>
      <c r="R231" s="360"/>
      <c r="S231" s="360"/>
    </row>
    <row r="232" spans="4:19">
      <c r="D232" s="360"/>
      <c r="E232" s="360"/>
      <c r="F232" s="360"/>
      <c r="G232" s="360"/>
      <c r="H232" s="360"/>
      <c r="I232" s="360"/>
      <c r="J232" s="360"/>
      <c r="K232" s="360"/>
      <c r="L232" s="360"/>
      <c r="M232" s="360"/>
      <c r="N232" s="360"/>
      <c r="O232" s="360"/>
      <c r="P232" s="359"/>
      <c r="Q232" s="360"/>
      <c r="R232" s="360"/>
      <c r="S232" s="360"/>
    </row>
    <row r="233" spans="4:19">
      <c r="D233" s="360"/>
      <c r="E233" s="360"/>
      <c r="F233" s="360"/>
      <c r="G233" s="360"/>
      <c r="H233" s="360"/>
      <c r="I233" s="360"/>
      <c r="J233" s="360"/>
      <c r="K233" s="360"/>
      <c r="L233" s="360"/>
      <c r="M233" s="360"/>
      <c r="N233" s="360"/>
      <c r="O233" s="360"/>
      <c r="P233" s="359"/>
      <c r="Q233" s="360"/>
      <c r="R233" s="360"/>
      <c r="S233" s="360"/>
    </row>
    <row r="234" spans="4:19">
      <c r="D234" s="360"/>
      <c r="E234" s="360"/>
      <c r="F234" s="360"/>
      <c r="G234" s="360"/>
      <c r="H234" s="360"/>
      <c r="I234" s="360"/>
      <c r="J234" s="360"/>
      <c r="K234" s="360"/>
      <c r="L234" s="360"/>
      <c r="M234" s="360"/>
      <c r="N234" s="360"/>
      <c r="O234" s="360"/>
      <c r="P234" s="359"/>
      <c r="Q234" s="360"/>
      <c r="R234" s="360"/>
      <c r="S234" s="360"/>
    </row>
    <row r="235" spans="4:19">
      <c r="D235" s="360"/>
      <c r="E235" s="360"/>
      <c r="F235" s="360"/>
      <c r="G235" s="360"/>
      <c r="H235" s="360"/>
      <c r="I235" s="360"/>
      <c r="J235" s="360"/>
      <c r="K235" s="360"/>
      <c r="L235" s="360"/>
      <c r="M235" s="360"/>
      <c r="N235" s="360"/>
      <c r="O235" s="360"/>
      <c r="P235" s="359"/>
      <c r="Q235" s="360"/>
      <c r="R235" s="360"/>
      <c r="S235" s="360"/>
    </row>
    <row r="236" spans="4:19">
      <c r="D236" s="360"/>
      <c r="E236" s="360"/>
      <c r="F236" s="360"/>
      <c r="G236" s="360"/>
      <c r="H236" s="360"/>
      <c r="I236" s="360"/>
      <c r="J236" s="360"/>
      <c r="K236" s="360"/>
      <c r="L236" s="360"/>
      <c r="M236" s="360"/>
      <c r="N236" s="360"/>
      <c r="O236" s="360"/>
      <c r="P236" s="359"/>
      <c r="Q236" s="360"/>
      <c r="R236" s="360"/>
      <c r="S236" s="360"/>
    </row>
    <row r="237" spans="4:19">
      <c r="D237" s="360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359"/>
      <c r="Q237" s="360"/>
      <c r="R237" s="360"/>
      <c r="S237" s="360"/>
    </row>
    <row r="238" spans="4:19">
      <c r="D238" s="360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359"/>
      <c r="Q238" s="360"/>
      <c r="R238" s="360"/>
      <c r="S238" s="360"/>
    </row>
    <row r="239" spans="4:19">
      <c r="D239" s="360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359"/>
      <c r="Q239" s="360"/>
      <c r="R239" s="360"/>
      <c r="S239" s="360"/>
    </row>
    <row r="240" spans="4:19">
      <c r="D240" s="360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359"/>
      <c r="Q240" s="360"/>
      <c r="R240" s="360"/>
      <c r="S240" s="360"/>
    </row>
    <row r="241" spans="4:19">
      <c r="D241" s="360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359"/>
      <c r="Q241" s="360"/>
      <c r="R241" s="360"/>
      <c r="S241" s="360"/>
    </row>
    <row r="242" spans="4:19">
      <c r="D242" s="360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359"/>
      <c r="Q242" s="360"/>
      <c r="R242" s="360"/>
      <c r="S242" s="360"/>
    </row>
    <row r="243" spans="4:19">
      <c r="D243" s="360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359"/>
      <c r="Q243" s="360"/>
      <c r="R243" s="360"/>
      <c r="S243" s="360"/>
    </row>
    <row r="244" spans="4:19">
      <c r="D244" s="360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359"/>
      <c r="Q244" s="360"/>
      <c r="R244" s="360"/>
      <c r="S244" s="360"/>
    </row>
    <row r="245" spans="4:19">
      <c r="D245" s="360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359"/>
      <c r="Q245" s="360"/>
      <c r="R245" s="360"/>
      <c r="S245" s="360"/>
    </row>
    <row r="246" spans="4:19">
      <c r="D246" s="360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359"/>
      <c r="Q246" s="360"/>
      <c r="R246" s="360"/>
      <c r="S246" s="360"/>
    </row>
    <row r="247" spans="4:19">
      <c r="D247" s="360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359"/>
      <c r="Q247" s="360"/>
      <c r="R247" s="360"/>
      <c r="S247" s="360"/>
    </row>
    <row r="248" spans="4:19">
      <c r="D248" s="360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359"/>
      <c r="Q248" s="360"/>
      <c r="R248" s="360"/>
      <c r="S248" s="360"/>
    </row>
    <row r="249" spans="4:19">
      <c r="D249" s="360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359"/>
      <c r="Q249" s="360"/>
      <c r="R249" s="360"/>
      <c r="S249" s="360"/>
    </row>
    <row r="250" spans="4:19">
      <c r="D250" s="360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359"/>
      <c r="Q250" s="360"/>
      <c r="R250" s="360"/>
      <c r="S250" s="360"/>
    </row>
    <row r="251" spans="4:19">
      <c r="D251" s="360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359"/>
      <c r="Q251" s="360"/>
      <c r="R251" s="360"/>
      <c r="S251" s="360"/>
    </row>
    <row r="252" spans="4:19">
      <c r="D252" s="360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359"/>
      <c r="Q252" s="360"/>
      <c r="R252" s="360"/>
      <c r="S252" s="360"/>
    </row>
    <row r="253" spans="4:19">
      <c r="D253" s="360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359"/>
      <c r="Q253" s="360"/>
      <c r="R253" s="360"/>
      <c r="S253" s="360"/>
    </row>
    <row r="254" spans="4:19">
      <c r="D254" s="360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359"/>
      <c r="Q254" s="360"/>
      <c r="R254" s="360"/>
      <c r="S254" s="360"/>
    </row>
    <row r="255" spans="4:19">
      <c r="D255" s="360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359"/>
      <c r="Q255" s="360"/>
      <c r="R255" s="360"/>
      <c r="S255" s="360"/>
    </row>
    <row r="256" spans="4:19">
      <c r="D256" s="360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359"/>
      <c r="Q256" s="360"/>
      <c r="R256" s="360"/>
      <c r="S256" s="360"/>
    </row>
    <row r="257" spans="4:19">
      <c r="D257" s="360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359"/>
      <c r="Q257" s="360"/>
      <c r="R257" s="360"/>
      <c r="S257" s="360"/>
    </row>
    <row r="258" spans="4:19">
      <c r="D258" s="360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359"/>
      <c r="Q258" s="360"/>
      <c r="R258" s="360"/>
      <c r="S258" s="360"/>
    </row>
    <row r="259" spans="4:19">
      <c r="D259" s="360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359"/>
      <c r="Q259" s="360"/>
      <c r="R259" s="360"/>
      <c r="S259" s="360"/>
    </row>
    <row r="260" spans="4:19">
      <c r="D260" s="360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359"/>
      <c r="Q260" s="360"/>
      <c r="R260" s="360"/>
      <c r="S260" s="360"/>
    </row>
    <row r="261" spans="4:19">
      <c r="D261" s="360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359"/>
      <c r="Q261" s="360"/>
      <c r="R261" s="360"/>
      <c r="S261" s="360"/>
    </row>
    <row r="262" spans="4:19">
      <c r="D262" s="360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359"/>
      <c r="Q262" s="360"/>
      <c r="R262" s="360"/>
      <c r="S262" s="360"/>
    </row>
    <row r="263" spans="4:19">
      <c r="D263" s="360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359"/>
      <c r="Q263" s="360"/>
      <c r="R263" s="360"/>
      <c r="S263" s="360"/>
    </row>
    <row r="264" spans="4:19">
      <c r="D264" s="360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359"/>
      <c r="Q264" s="360"/>
      <c r="R264" s="360"/>
      <c r="S264" s="360"/>
    </row>
    <row r="265" spans="4:19">
      <c r="D265" s="360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359"/>
      <c r="Q265" s="360"/>
      <c r="R265" s="360"/>
      <c r="S265" s="360"/>
    </row>
    <row r="266" spans="4:19">
      <c r="D266" s="360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359"/>
      <c r="Q266" s="360"/>
      <c r="R266" s="360"/>
      <c r="S266" s="360"/>
    </row>
    <row r="267" spans="4:19">
      <c r="D267" s="360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359"/>
      <c r="Q267" s="360"/>
      <c r="R267" s="360"/>
      <c r="S267" s="360"/>
    </row>
    <row r="268" spans="4:19">
      <c r="D268" s="360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359"/>
      <c r="Q268" s="360"/>
      <c r="R268" s="360"/>
      <c r="S268" s="360"/>
    </row>
    <row r="269" spans="4:19">
      <c r="D269" s="360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359"/>
      <c r="Q269" s="360"/>
      <c r="R269" s="360"/>
      <c r="S269" s="360"/>
    </row>
    <row r="270" spans="4:19">
      <c r="D270" s="360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359"/>
      <c r="Q270" s="360"/>
      <c r="R270" s="360"/>
      <c r="S270" s="360"/>
    </row>
    <row r="271" spans="4:19">
      <c r="D271" s="360"/>
      <c r="E271" s="360"/>
      <c r="F271" s="360"/>
      <c r="G271" s="360"/>
      <c r="H271" s="360"/>
      <c r="I271" s="360"/>
      <c r="J271" s="360"/>
      <c r="K271" s="360"/>
      <c r="L271" s="360"/>
      <c r="M271" s="360"/>
      <c r="N271" s="360"/>
      <c r="O271" s="360"/>
      <c r="P271" s="359"/>
      <c r="Q271" s="360"/>
      <c r="R271" s="360"/>
      <c r="S271" s="360"/>
    </row>
    <row r="272" spans="4:19">
      <c r="D272" s="360"/>
      <c r="E272" s="360"/>
      <c r="F272" s="360"/>
      <c r="G272" s="360"/>
      <c r="H272" s="360"/>
      <c r="I272" s="360"/>
      <c r="J272" s="360"/>
      <c r="K272" s="360"/>
      <c r="L272" s="360"/>
      <c r="M272" s="360"/>
      <c r="N272" s="360"/>
      <c r="O272" s="360"/>
      <c r="P272" s="359"/>
      <c r="Q272" s="360"/>
      <c r="R272" s="360"/>
      <c r="S272" s="360"/>
    </row>
    <row r="273" spans="4:19">
      <c r="D273" s="360"/>
      <c r="E273" s="360"/>
      <c r="F273" s="360"/>
      <c r="G273" s="360"/>
      <c r="H273" s="360"/>
      <c r="I273" s="360"/>
      <c r="J273" s="360"/>
      <c r="K273" s="360"/>
      <c r="L273" s="360"/>
      <c r="M273" s="360"/>
      <c r="N273" s="360"/>
      <c r="O273" s="360"/>
      <c r="P273" s="359"/>
      <c r="Q273" s="360"/>
      <c r="R273" s="360"/>
      <c r="S273" s="360"/>
    </row>
    <row r="274" spans="4:19">
      <c r="D274" s="360"/>
      <c r="E274" s="360"/>
      <c r="F274" s="360"/>
      <c r="G274" s="360"/>
      <c r="H274" s="360"/>
      <c r="I274" s="360"/>
      <c r="J274" s="360"/>
      <c r="K274" s="360"/>
      <c r="L274" s="360"/>
      <c r="M274" s="360"/>
      <c r="N274" s="360"/>
      <c r="O274" s="360"/>
      <c r="P274" s="359"/>
      <c r="Q274" s="360"/>
      <c r="R274" s="360"/>
      <c r="S274" s="360"/>
    </row>
    <row r="275" spans="4:19">
      <c r="D275" s="360"/>
      <c r="E275" s="360"/>
      <c r="F275" s="360"/>
      <c r="G275" s="360"/>
      <c r="H275" s="360"/>
      <c r="I275" s="360"/>
      <c r="J275" s="360"/>
      <c r="K275" s="360"/>
      <c r="L275" s="360"/>
      <c r="M275" s="360"/>
      <c r="N275" s="360"/>
      <c r="O275" s="360"/>
      <c r="P275" s="359"/>
      <c r="Q275" s="360"/>
      <c r="R275" s="360"/>
      <c r="S275" s="360"/>
    </row>
    <row r="276" spans="4:19">
      <c r="D276" s="360"/>
      <c r="E276" s="360"/>
      <c r="F276" s="360"/>
      <c r="G276" s="360"/>
      <c r="H276" s="360"/>
      <c r="I276" s="360"/>
      <c r="J276" s="360"/>
      <c r="K276" s="360"/>
      <c r="L276" s="360"/>
      <c r="M276" s="360"/>
      <c r="N276" s="360"/>
      <c r="O276" s="360"/>
      <c r="P276" s="359"/>
      <c r="Q276" s="360"/>
      <c r="R276" s="360"/>
      <c r="S276" s="360"/>
    </row>
    <row r="277" spans="4:19">
      <c r="D277" s="360"/>
      <c r="E277" s="360"/>
      <c r="F277" s="360"/>
      <c r="G277" s="360"/>
      <c r="H277" s="360"/>
      <c r="I277" s="360"/>
      <c r="J277" s="360"/>
      <c r="K277" s="360"/>
      <c r="L277" s="360"/>
      <c r="M277" s="360"/>
      <c r="N277" s="360"/>
      <c r="O277" s="360"/>
      <c r="P277" s="359"/>
      <c r="Q277" s="360"/>
      <c r="R277" s="360"/>
      <c r="S277" s="360"/>
    </row>
    <row r="278" spans="4:19">
      <c r="D278" s="360"/>
      <c r="E278" s="360"/>
      <c r="F278" s="360"/>
      <c r="G278" s="360"/>
      <c r="H278" s="360"/>
      <c r="I278" s="360"/>
      <c r="J278" s="360"/>
      <c r="K278" s="360"/>
      <c r="L278" s="360"/>
      <c r="M278" s="360"/>
      <c r="N278" s="360"/>
      <c r="O278" s="360"/>
      <c r="P278" s="359"/>
      <c r="Q278" s="360"/>
      <c r="R278" s="360"/>
      <c r="S278" s="360"/>
    </row>
    <row r="279" spans="4:19">
      <c r="D279" s="360"/>
      <c r="E279" s="360"/>
      <c r="F279" s="360"/>
      <c r="G279" s="360"/>
      <c r="H279" s="360"/>
      <c r="I279" s="360"/>
      <c r="J279" s="360"/>
      <c r="K279" s="360"/>
      <c r="L279" s="360"/>
      <c r="M279" s="360"/>
      <c r="N279" s="360"/>
      <c r="O279" s="360"/>
      <c r="P279" s="359"/>
      <c r="Q279" s="360"/>
      <c r="R279" s="360"/>
      <c r="S279" s="360"/>
    </row>
    <row r="280" spans="4:19">
      <c r="D280" s="360"/>
      <c r="E280" s="360"/>
      <c r="F280" s="360"/>
      <c r="G280" s="360"/>
      <c r="H280" s="360"/>
      <c r="I280" s="360"/>
      <c r="J280" s="360"/>
      <c r="K280" s="360"/>
      <c r="L280" s="360"/>
      <c r="M280" s="360"/>
      <c r="N280" s="360"/>
      <c r="O280" s="360"/>
      <c r="P280" s="359"/>
      <c r="Q280" s="360"/>
      <c r="R280" s="360"/>
      <c r="S280" s="360"/>
    </row>
    <row r="281" spans="4:19">
      <c r="D281" s="360"/>
      <c r="E281" s="360"/>
      <c r="F281" s="360"/>
      <c r="G281" s="360"/>
      <c r="H281" s="360"/>
      <c r="I281" s="360"/>
      <c r="J281" s="360"/>
      <c r="K281" s="360"/>
      <c r="L281" s="360"/>
      <c r="M281" s="360"/>
      <c r="N281" s="360"/>
      <c r="O281" s="360"/>
      <c r="P281" s="359"/>
      <c r="Q281" s="360"/>
      <c r="R281" s="360"/>
      <c r="S281" s="360"/>
    </row>
    <row r="282" spans="4:19">
      <c r="D282" s="360"/>
      <c r="E282" s="360"/>
      <c r="F282" s="360"/>
      <c r="G282" s="360"/>
      <c r="H282" s="360"/>
      <c r="I282" s="360"/>
      <c r="J282" s="360"/>
      <c r="K282" s="360"/>
      <c r="L282" s="360"/>
      <c r="M282" s="360"/>
      <c r="N282" s="360"/>
      <c r="O282" s="360"/>
      <c r="P282" s="359"/>
      <c r="Q282" s="360"/>
      <c r="R282" s="360"/>
      <c r="S282" s="360"/>
    </row>
    <row r="283" spans="4:19">
      <c r="D283" s="360"/>
      <c r="E283" s="360"/>
      <c r="F283" s="360"/>
      <c r="G283" s="360"/>
      <c r="H283" s="360"/>
      <c r="I283" s="360"/>
      <c r="J283" s="360"/>
      <c r="K283" s="360"/>
      <c r="L283" s="360"/>
      <c r="M283" s="360"/>
      <c r="N283" s="360"/>
      <c r="O283" s="360"/>
      <c r="P283" s="359"/>
      <c r="Q283" s="360"/>
      <c r="R283" s="360"/>
      <c r="S283" s="360"/>
    </row>
    <row r="284" spans="4:19">
      <c r="D284" s="360"/>
      <c r="E284" s="360"/>
      <c r="F284" s="360"/>
      <c r="G284" s="360"/>
      <c r="H284" s="360"/>
      <c r="I284" s="360"/>
      <c r="J284" s="360"/>
      <c r="K284" s="360"/>
      <c r="L284" s="360"/>
      <c r="M284" s="360"/>
      <c r="N284" s="360"/>
      <c r="O284" s="360"/>
      <c r="P284" s="359"/>
      <c r="Q284" s="360"/>
      <c r="R284" s="360"/>
      <c r="S284" s="360"/>
    </row>
    <row r="285" spans="4:19">
      <c r="D285" s="360"/>
      <c r="E285" s="360"/>
      <c r="F285" s="360"/>
      <c r="G285" s="360"/>
      <c r="H285" s="360"/>
      <c r="I285" s="360"/>
      <c r="J285" s="360"/>
      <c r="K285" s="360"/>
      <c r="L285" s="360"/>
      <c r="M285" s="360"/>
      <c r="N285" s="360"/>
      <c r="O285" s="360"/>
      <c r="P285" s="359"/>
      <c r="Q285" s="360"/>
      <c r="R285" s="360"/>
      <c r="S285" s="360"/>
    </row>
    <row r="286" spans="4:19">
      <c r="D286" s="360"/>
      <c r="E286" s="360"/>
      <c r="F286" s="360"/>
      <c r="G286" s="360"/>
      <c r="H286" s="360"/>
      <c r="I286" s="360"/>
      <c r="J286" s="360"/>
      <c r="K286" s="360"/>
      <c r="L286" s="360"/>
      <c r="M286" s="360"/>
      <c r="N286" s="360"/>
      <c r="O286" s="360"/>
      <c r="P286" s="359"/>
      <c r="Q286" s="360"/>
      <c r="R286" s="360"/>
      <c r="S286" s="360"/>
    </row>
    <row r="287" spans="4:19">
      <c r="D287" s="360"/>
      <c r="E287" s="360"/>
      <c r="F287" s="360"/>
      <c r="G287" s="360"/>
      <c r="H287" s="360"/>
      <c r="I287" s="360"/>
      <c r="J287" s="360"/>
      <c r="K287" s="360"/>
      <c r="L287" s="360"/>
      <c r="M287" s="360"/>
      <c r="N287" s="360"/>
      <c r="O287" s="360"/>
      <c r="P287" s="359"/>
      <c r="Q287" s="360"/>
      <c r="R287" s="360"/>
      <c r="S287" s="360"/>
    </row>
    <row r="288" spans="4:19">
      <c r="D288" s="360"/>
      <c r="E288" s="360"/>
      <c r="F288" s="360"/>
      <c r="G288" s="360"/>
      <c r="H288" s="360"/>
      <c r="I288" s="360"/>
      <c r="J288" s="360"/>
      <c r="K288" s="360"/>
      <c r="L288" s="360"/>
      <c r="M288" s="360"/>
      <c r="N288" s="360"/>
      <c r="O288" s="360"/>
      <c r="P288" s="359"/>
      <c r="Q288" s="360"/>
      <c r="R288" s="360"/>
      <c r="S288" s="360"/>
    </row>
    <row r="289" spans="4:19">
      <c r="D289" s="360"/>
      <c r="E289" s="360"/>
      <c r="F289" s="360"/>
      <c r="G289" s="360"/>
      <c r="H289" s="360"/>
      <c r="I289" s="360"/>
      <c r="J289" s="360"/>
      <c r="K289" s="360"/>
      <c r="L289" s="360"/>
      <c r="M289" s="360"/>
      <c r="N289" s="360"/>
      <c r="O289" s="360"/>
      <c r="P289" s="359"/>
      <c r="Q289" s="360"/>
      <c r="R289" s="360"/>
      <c r="S289" s="360"/>
    </row>
    <row r="290" spans="4:19">
      <c r="D290" s="360"/>
      <c r="E290" s="360"/>
      <c r="F290" s="360"/>
      <c r="G290" s="360"/>
      <c r="H290" s="360"/>
      <c r="I290" s="360"/>
      <c r="J290" s="360"/>
      <c r="K290" s="360"/>
      <c r="L290" s="360"/>
      <c r="M290" s="360"/>
      <c r="N290" s="360"/>
      <c r="O290" s="360"/>
      <c r="P290" s="359"/>
      <c r="Q290" s="360"/>
      <c r="R290" s="360"/>
      <c r="S290" s="360"/>
    </row>
    <row r="291" spans="4:19">
      <c r="D291" s="360"/>
      <c r="E291" s="360"/>
      <c r="F291" s="360"/>
      <c r="G291" s="360"/>
      <c r="H291" s="360"/>
      <c r="I291" s="360"/>
      <c r="J291" s="360"/>
      <c r="K291" s="360"/>
      <c r="L291" s="360"/>
      <c r="M291" s="360"/>
      <c r="N291" s="360"/>
      <c r="O291" s="360"/>
      <c r="P291" s="359"/>
      <c r="Q291" s="360"/>
      <c r="R291" s="360"/>
      <c r="S291" s="360"/>
    </row>
    <row r="292" spans="4:19">
      <c r="D292" s="360"/>
      <c r="E292" s="360"/>
      <c r="F292" s="360"/>
      <c r="G292" s="360"/>
      <c r="H292" s="360"/>
      <c r="I292" s="360"/>
      <c r="J292" s="360"/>
      <c r="K292" s="360"/>
      <c r="L292" s="360"/>
      <c r="M292" s="360"/>
      <c r="N292" s="360"/>
      <c r="O292" s="360"/>
      <c r="P292" s="359"/>
      <c r="Q292" s="360"/>
      <c r="R292" s="360"/>
      <c r="S292" s="360"/>
    </row>
    <row r="293" spans="4:19">
      <c r="D293" s="360"/>
      <c r="E293" s="360"/>
      <c r="F293" s="360"/>
      <c r="G293" s="360"/>
      <c r="H293" s="360"/>
      <c r="I293" s="360"/>
      <c r="J293" s="360"/>
      <c r="K293" s="360"/>
      <c r="L293" s="360"/>
      <c r="M293" s="360"/>
      <c r="N293" s="360"/>
      <c r="O293" s="360"/>
      <c r="P293" s="359"/>
      <c r="Q293" s="360"/>
      <c r="R293" s="360"/>
      <c r="S293" s="360"/>
    </row>
    <row r="294" spans="4:19">
      <c r="D294" s="360"/>
      <c r="E294" s="360"/>
      <c r="F294" s="360"/>
      <c r="G294" s="360"/>
      <c r="H294" s="360"/>
      <c r="I294" s="360"/>
      <c r="J294" s="360"/>
      <c r="K294" s="360"/>
      <c r="L294" s="360"/>
      <c r="M294" s="360"/>
      <c r="N294" s="360"/>
      <c r="O294" s="360"/>
      <c r="P294" s="359"/>
      <c r="Q294" s="360"/>
      <c r="R294" s="360"/>
      <c r="S294" s="360"/>
    </row>
    <row r="295" spans="4:19">
      <c r="D295" s="360"/>
      <c r="E295" s="360"/>
      <c r="F295" s="360"/>
      <c r="G295" s="360"/>
      <c r="H295" s="360"/>
      <c r="I295" s="360"/>
      <c r="J295" s="360"/>
      <c r="K295" s="360"/>
      <c r="L295" s="360"/>
      <c r="M295" s="360"/>
      <c r="N295" s="360"/>
      <c r="O295" s="360"/>
      <c r="P295" s="359"/>
      <c r="Q295" s="360"/>
      <c r="R295" s="360"/>
      <c r="S295" s="360"/>
    </row>
    <row r="296" spans="4:19">
      <c r="D296" s="360"/>
      <c r="E296" s="360"/>
      <c r="F296" s="360"/>
      <c r="G296" s="360"/>
      <c r="H296" s="360"/>
      <c r="I296" s="360"/>
      <c r="J296" s="360"/>
      <c r="K296" s="360"/>
      <c r="L296" s="360"/>
      <c r="M296" s="360"/>
      <c r="N296" s="360"/>
      <c r="O296" s="360"/>
      <c r="P296" s="359"/>
      <c r="Q296" s="360"/>
      <c r="R296" s="360"/>
      <c r="S296" s="360"/>
    </row>
    <row r="297" spans="4:19">
      <c r="D297" s="360"/>
      <c r="E297" s="360"/>
      <c r="F297" s="360"/>
      <c r="G297" s="360"/>
      <c r="H297" s="360"/>
      <c r="I297" s="360"/>
      <c r="J297" s="360"/>
      <c r="K297" s="360"/>
      <c r="L297" s="360"/>
      <c r="M297" s="360"/>
      <c r="N297" s="360"/>
      <c r="O297" s="360"/>
      <c r="P297" s="359"/>
      <c r="Q297" s="360"/>
      <c r="R297" s="360"/>
      <c r="S297" s="360"/>
    </row>
    <row r="298" spans="4:19"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59"/>
      <c r="Q298" s="360"/>
      <c r="R298" s="360"/>
      <c r="S298" s="360"/>
    </row>
    <row r="299" spans="4:19">
      <c r="D299" s="360"/>
      <c r="E299" s="360"/>
      <c r="F299" s="360"/>
      <c r="G299" s="360"/>
      <c r="H299" s="360"/>
      <c r="I299" s="360"/>
      <c r="J299" s="360"/>
      <c r="K299" s="360"/>
      <c r="L299" s="360"/>
      <c r="M299" s="360"/>
      <c r="N299" s="360"/>
      <c r="O299" s="360"/>
      <c r="P299" s="359"/>
      <c r="Q299" s="360"/>
      <c r="R299" s="360"/>
      <c r="S299" s="360"/>
    </row>
    <row r="300" spans="4:19">
      <c r="D300" s="360"/>
      <c r="E300" s="360"/>
      <c r="F300" s="360"/>
      <c r="G300" s="360"/>
      <c r="H300" s="360"/>
      <c r="I300" s="360"/>
      <c r="J300" s="360"/>
      <c r="K300" s="360"/>
      <c r="L300" s="360"/>
      <c r="M300" s="360"/>
      <c r="N300" s="360"/>
      <c r="O300" s="360"/>
      <c r="P300" s="359"/>
      <c r="Q300" s="360"/>
      <c r="R300" s="360"/>
      <c r="S300" s="360"/>
    </row>
    <row r="301" spans="4:19">
      <c r="D301" s="360"/>
      <c r="E301" s="360"/>
      <c r="F301" s="360"/>
      <c r="G301" s="360"/>
      <c r="H301" s="360"/>
      <c r="I301" s="360"/>
      <c r="J301" s="360"/>
      <c r="K301" s="360"/>
      <c r="L301" s="360"/>
      <c r="M301" s="360"/>
      <c r="N301" s="360"/>
      <c r="O301" s="360"/>
      <c r="P301" s="359"/>
      <c r="Q301" s="360"/>
      <c r="R301" s="360"/>
      <c r="S301" s="360"/>
    </row>
    <row r="302" spans="4:19">
      <c r="D302" s="360"/>
      <c r="E302" s="360"/>
      <c r="F302" s="360"/>
      <c r="G302" s="360"/>
      <c r="H302" s="360"/>
      <c r="I302" s="360"/>
      <c r="J302" s="360"/>
      <c r="K302" s="360"/>
      <c r="L302" s="360"/>
      <c r="M302" s="360"/>
      <c r="N302" s="360"/>
      <c r="O302" s="360"/>
      <c r="P302" s="359"/>
      <c r="Q302" s="360"/>
      <c r="R302" s="360"/>
      <c r="S302" s="360"/>
    </row>
    <row r="303" spans="4:19">
      <c r="D303" s="360"/>
      <c r="E303" s="360"/>
      <c r="F303" s="360"/>
      <c r="G303" s="360"/>
      <c r="H303" s="360"/>
      <c r="I303" s="360"/>
      <c r="J303" s="360"/>
      <c r="K303" s="360"/>
      <c r="L303" s="360"/>
      <c r="M303" s="360"/>
      <c r="N303" s="360"/>
      <c r="O303" s="360"/>
      <c r="P303" s="359"/>
      <c r="Q303" s="360"/>
      <c r="R303" s="360"/>
      <c r="S303" s="360"/>
    </row>
    <row r="304" spans="4:19">
      <c r="D304" s="360"/>
      <c r="E304" s="360"/>
      <c r="F304" s="360"/>
      <c r="G304" s="360"/>
      <c r="H304" s="360"/>
      <c r="I304" s="360"/>
      <c r="J304" s="360"/>
      <c r="K304" s="360"/>
      <c r="L304" s="360"/>
      <c r="M304" s="360"/>
      <c r="N304" s="360"/>
      <c r="O304" s="360"/>
      <c r="P304" s="359"/>
      <c r="Q304" s="360"/>
      <c r="R304" s="360"/>
      <c r="S304" s="360"/>
    </row>
    <row r="305" spans="4:19">
      <c r="D305" s="360"/>
      <c r="E305" s="360"/>
      <c r="F305" s="360"/>
      <c r="G305" s="360"/>
      <c r="H305" s="360"/>
      <c r="I305" s="360"/>
      <c r="J305" s="360"/>
      <c r="K305" s="360"/>
      <c r="L305" s="360"/>
      <c r="M305" s="360"/>
      <c r="N305" s="360"/>
      <c r="O305" s="360"/>
      <c r="P305" s="359"/>
      <c r="Q305" s="360"/>
      <c r="R305" s="360"/>
      <c r="S305" s="360"/>
    </row>
    <row r="306" spans="4:19">
      <c r="D306" s="360"/>
      <c r="E306" s="360"/>
      <c r="F306" s="360"/>
      <c r="G306" s="360"/>
      <c r="H306" s="360"/>
      <c r="I306" s="360"/>
      <c r="J306" s="360"/>
      <c r="K306" s="360"/>
      <c r="L306" s="360"/>
      <c r="M306" s="360"/>
      <c r="N306" s="360"/>
      <c r="O306" s="360"/>
      <c r="P306" s="359"/>
      <c r="Q306" s="360"/>
      <c r="R306" s="360"/>
      <c r="S306" s="360"/>
    </row>
    <row r="307" spans="4:19">
      <c r="D307" s="360"/>
      <c r="E307" s="360"/>
      <c r="F307" s="360"/>
      <c r="G307" s="360"/>
      <c r="H307" s="360"/>
      <c r="I307" s="360"/>
      <c r="J307" s="360"/>
      <c r="K307" s="360"/>
      <c r="L307" s="360"/>
      <c r="M307" s="360"/>
      <c r="N307" s="360"/>
      <c r="O307" s="360"/>
      <c r="P307" s="359"/>
      <c r="Q307" s="360"/>
      <c r="R307" s="360"/>
      <c r="S307" s="360"/>
    </row>
    <row r="308" spans="4:19">
      <c r="D308" s="360"/>
      <c r="E308" s="360"/>
      <c r="F308" s="360"/>
      <c r="G308" s="360"/>
      <c r="H308" s="360"/>
      <c r="I308" s="360"/>
      <c r="J308" s="360"/>
      <c r="K308" s="360"/>
      <c r="L308" s="360"/>
      <c r="M308" s="360"/>
      <c r="N308" s="360"/>
      <c r="O308" s="360"/>
      <c r="P308" s="359"/>
      <c r="Q308" s="360"/>
      <c r="R308" s="360"/>
      <c r="S308" s="360"/>
    </row>
    <row r="309" spans="4:19">
      <c r="D309" s="360"/>
      <c r="E309" s="360"/>
      <c r="F309" s="360"/>
      <c r="G309" s="360"/>
      <c r="H309" s="360"/>
      <c r="I309" s="360"/>
      <c r="J309" s="360"/>
      <c r="K309" s="360"/>
      <c r="L309" s="360"/>
      <c r="M309" s="360"/>
      <c r="N309" s="360"/>
      <c r="O309" s="360"/>
      <c r="P309" s="359"/>
      <c r="Q309" s="360"/>
      <c r="R309" s="360"/>
      <c r="S309" s="360"/>
    </row>
    <row r="310" spans="4:19">
      <c r="D310" s="360"/>
      <c r="E310" s="360"/>
      <c r="F310" s="360"/>
      <c r="G310" s="360"/>
      <c r="H310" s="360"/>
      <c r="I310" s="360"/>
      <c r="J310" s="360"/>
      <c r="K310" s="360"/>
      <c r="L310" s="360"/>
      <c r="M310" s="360"/>
      <c r="N310" s="360"/>
      <c r="O310" s="360"/>
      <c r="P310" s="359"/>
      <c r="Q310" s="360"/>
      <c r="R310" s="360"/>
      <c r="S310" s="360"/>
    </row>
    <row r="311" spans="4:19">
      <c r="D311" s="360"/>
      <c r="E311" s="360"/>
      <c r="F311" s="360"/>
      <c r="G311" s="360"/>
      <c r="H311" s="360"/>
      <c r="I311" s="360"/>
      <c r="J311" s="360"/>
      <c r="K311" s="360"/>
      <c r="L311" s="360"/>
      <c r="M311" s="360"/>
      <c r="N311" s="360"/>
      <c r="O311" s="360"/>
      <c r="P311" s="359"/>
      <c r="Q311" s="360"/>
      <c r="R311" s="360"/>
      <c r="S311" s="360"/>
    </row>
    <row r="312" spans="4:19">
      <c r="D312" s="360"/>
      <c r="E312" s="360"/>
      <c r="F312" s="360"/>
      <c r="G312" s="360"/>
      <c r="H312" s="360"/>
      <c r="I312" s="360"/>
      <c r="J312" s="360"/>
      <c r="K312" s="360"/>
      <c r="L312" s="360"/>
      <c r="M312" s="360"/>
      <c r="N312" s="360"/>
      <c r="O312" s="360"/>
      <c r="P312" s="359"/>
      <c r="Q312" s="360"/>
      <c r="R312" s="360"/>
      <c r="S312" s="360"/>
    </row>
    <row r="313" spans="4:19">
      <c r="D313" s="360"/>
      <c r="E313" s="360"/>
      <c r="F313" s="360"/>
      <c r="G313" s="360"/>
      <c r="H313" s="360"/>
      <c r="I313" s="360"/>
      <c r="J313" s="360"/>
      <c r="K313" s="360"/>
      <c r="L313" s="360"/>
      <c r="M313" s="360"/>
      <c r="N313" s="360"/>
      <c r="O313" s="360"/>
      <c r="P313" s="359"/>
      <c r="Q313" s="360"/>
      <c r="R313" s="360"/>
      <c r="S313" s="360"/>
    </row>
    <row r="314" spans="4:19">
      <c r="D314" s="360"/>
      <c r="E314" s="360"/>
      <c r="F314" s="360"/>
      <c r="G314" s="360"/>
      <c r="H314" s="360"/>
      <c r="I314" s="360"/>
      <c r="J314" s="360"/>
      <c r="K314" s="360"/>
      <c r="L314" s="360"/>
      <c r="M314" s="360"/>
      <c r="N314" s="360"/>
      <c r="O314" s="360"/>
      <c r="P314" s="359"/>
      <c r="Q314" s="360"/>
      <c r="R314" s="360"/>
      <c r="S314" s="360"/>
    </row>
    <row r="315" spans="4:19">
      <c r="D315" s="360"/>
      <c r="E315" s="360"/>
      <c r="F315" s="360"/>
      <c r="G315" s="360"/>
      <c r="H315" s="360"/>
      <c r="I315" s="360"/>
      <c r="J315" s="360"/>
      <c r="K315" s="360"/>
      <c r="L315" s="360"/>
      <c r="M315" s="360"/>
      <c r="N315" s="360"/>
      <c r="O315" s="360"/>
      <c r="P315" s="359"/>
      <c r="Q315" s="360"/>
      <c r="R315" s="360"/>
      <c r="S315" s="360"/>
    </row>
    <row r="316" spans="4:19">
      <c r="D316" s="360"/>
      <c r="E316" s="360"/>
      <c r="F316" s="360"/>
      <c r="G316" s="360"/>
      <c r="H316" s="360"/>
      <c r="I316" s="360"/>
      <c r="J316" s="360"/>
      <c r="K316" s="360"/>
      <c r="L316" s="360"/>
      <c r="M316" s="360"/>
      <c r="N316" s="360"/>
      <c r="O316" s="360"/>
      <c r="P316" s="359"/>
      <c r="Q316" s="360"/>
      <c r="R316" s="360"/>
      <c r="S316" s="360"/>
    </row>
    <row r="317" spans="4:19">
      <c r="D317" s="360"/>
      <c r="E317" s="360"/>
      <c r="F317" s="360"/>
      <c r="G317" s="360"/>
      <c r="H317" s="360"/>
      <c r="I317" s="360"/>
      <c r="J317" s="360"/>
      <c r="K317" s="360"/>
      <c r="L317" s="360"/>
      <c r="M317" s="360"/>
      <c r="N317" s="360"/>
      <c r="O317" s="360"/>
      <c r="P317" s="359"/>
      <c r="Q317" s="360"/>
      <c r="R317" s="360"/>
      <c r="S317" s="360"/>
    </row>
    <row r="318" spans="4:19">
      <c r="D318" s="360"/>
      <c r="E318" s="360"/>
      <c r="F318" s="360"/>
      <c r="G318" s="360"/>
      <c r="H318" s="360"/>
      <c r="I318" s="360"/>
      <c r="J318" s="360"/>
      <c r="K318" s="360"/>
      <c r="L318" s="360"/>
      <c r="M318" s="360"/>
      <c r="N318" s="360"/>
      <c r="O318" s="360"/>
      <c r="P318" s="359"/>
      <c r="Q318" s="360"/>
      <c r="R318" s="360"/>
      <c r="S318" s="360"/>
    </row>
    <row r="319" spans="4:19">
      <c r="D319" s="360"/>
      <c r="E319" s="360"/>
      <c r="F319" s="360"/>
      <c r="G319" s="360"/>
      <c r="H319" s="360"/>
      <c r="I319" s="360"/>
      <c r="J319" s="360"/>
      <c r="K319" s="360"/>
      <c r="L319" s="360"/>
      <c r="M319" s="360"/>
      <c r="N319" s="360"/>
      <c r="O319" s="360"/>
      <c r="P319" s="359"/>
      <c r="Q319" s="360"/>
      <c r="R319" s="360"/>
      <c r="S319" s="360"/>
    </row>
    <row r="320" spans="4:19"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59"/>
      <c r="Q320" s="360"/>
      <c r="R320" s="360"/>
      <c r="S320" s="360"/>
    </row>
    <row r="321" spans="4:19">
      <c r="D321" s="360"/>
      <c r="E321" s="360"/>
      <c r="F321" s="360"/>
      <c r="G321" s="360"/>
      <c r="H321" s="360"/>
      <c r="I321" s="360"/>
      <c r="J321" s="360"/>
      <c r="K321" s="360"/>
      <c r="L321" s="360"/>
      <c r="M321" s="360"/>
      <c r="N321" s="360"/>
      <c r="O321" s="360"/>
      <c r="P321" s="359"/>
      <c r="Q321" s="360"/>
      <c r="R321" s="360"/>
      <c r="S321" s="360"/>
    </row>
    <row r="322" spans="4:19">
      <c r="D322" s="360"/>
      <c r="E322" s="360"/>
      <c r="F322" s="360"/>
      <c r="G322" s="360"/>
      <c r="H322" s="360"/>
      <c r="I322" s="360"/>
      <c r="J322" s="360"/>
      <c r="K322" s="360"/>
      <c r="L322" s="360"/>
      <c r="M322" s="360"/>
      <c r="N322" s="360"/>
      <c r="O322" s="360"/>
      <c r="P322" s="359"/>
      <c r="Q322" s="360"/>
      <c r="R322" s="360"/>
      <c r="S322" s="360"/>
    </row>
    <row r="323" spans="4:19">
      <c r="D323" s="360"/>
      <c r="E323" s="360"/>
      <c r="F323" s="360"/>
      <c r="G323" s="360"/>
      <c r="H323" s="360"/>
      <c r="I323" s="360"/>
      <c r="J323" s="360"/>
      <c r="K323" s="360"/>
      <c r="L323" s="360"/>
      <c r="M323" s="360"/>
      <c r="N323" s="360"/>
      <c r="O323" s="360"/>
      <c r="P323" s="359"/>
      <c r="Q323" s="360"/>
      <c r="R323" s="360"/>
      <c r="S323" s="360"/>
    </row>
    <row r="324" spans="4:19"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59"/>
      <c r="Q324" s="360"/>
      <c r="R324" s="360"/>
      <c r="S324" s="360"/>
    </row>
    <row r="325" spans="4:19"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59"/>
      <c r="Q325" s="360"/>
      <c r="R325" s="360"/>
      <c r="S325" s="360"/>
    </row>
    <row r="326" spans="4:19"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59"/>
      <c r="Q326" s="360"/>
      <c r="R326" s="360"/>
      <c r="S326" s="360"/>
    </row>
    <row r="327" spans="4:19"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59"/>
      <c r="Q327" s="360"/>
      <c r="R327" s="360"/>
      <c r="S327" s="360"/>
    </row>
    <row r="328" spans="4:19"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59"/>
      <c r="Q328" s="360"/>
      <c r="R328" s="360"/>
      <c r="S328" s="360"/>
    </row>
    <row r="329" spans="4:19"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59"/>
      <c r="Q329" s="360"/>
      <c r="R329" s="360"/>
      <c r="S329" s="360"/>
    </row>
    <row r="330" spans="4:19"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59"/>
      <c r="Q330" s="360"/>
      <c r="R330" s="360"/>
      <c r="S330" s="360"/>
    </row>
    <row r="331" spans="4:19"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59"/>
      <c r="Q331" s="360"/>
      <c r="R331" s="360"/>
      <c r="S331" s="360"/>
    </row>
    <row r="332" spans="4:19"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59"/>
      <c r="Q332" s="360"/>
      <c r="R332" s="360"/>
      <c r="S332" s="360"/>
    </row>
    <row r="333" spans="4:19"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59"/>
      <c r="Q333" s="360"/>
      <c r="R333" s="360"/>
      <c r="S333" s="360"/>
    </row>
    <row r="334" spans="4:19"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59"/>
      <c r="Q334" s="360"/>
      <c r="R334" s="360"/>
      <c r="S334" s="360"/>
    </row>
    <row r="335" spans="4:19"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59"/>
      <c r="Q335" s="360"/>
      <c r="R335" s="360"/>
      <c r="S335" s="360"/>
    </row>
    <row r="336" spans="4:19"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59"/>
      <c r="Q336" s="360"/>
      <c r="R336" s="360"/>
      <c r="S336" s="360"/>
    </row>
    <row r="337" spans="4:19"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59"/>
      <c r="Q337" s="360"/>
      <c r="R337" s="360"/>
      <c r="S337" s="360"/>
    </row>
    <row r="338" spans="4:19"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59"/>
      <c r="Q338" s="360"/>
      <c r="R338" s="360"/>
      <c r="S338" s="360"/>
    </row>
    <row r="339" spans="4:19"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59"/>
      <c r="Q339" s="360"/>
      <c r="R339" s="360"/>
      <c r="S339" s="360"/>
    </row>
    <row r="340" spans="4:19"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59"/>
      <c r="Q340" s="360"/>
      <c r="R340" s="360"/>
      <c r="S340" s="360"/>
    </row>
    <row r="341" spans="4:19"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59"/>
      <c r="Q341" s="360"/>
      <c r="R341" s="360"/>
      <c r="S341" s="360"/>
    </row>
    <row r="342" spans="4:19"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59"/>
      <c r="Q342" s="360"/>
      <c r="R342" s="360"/>
      <c r="S342" s="360"/>
    </row>
    <row r="343" spans="4:19"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59"/>
      <c r="Q343" s="360"/>
      <c r="R343" s="360"/>
      <c r="S343" s="360"/>
    </row>
    <row r="344" spans="4:19"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59"/>
      <c r="Q344" s="360"/>
      <c r="R344" s="360"/>
      <c r="S344" s="360"/>
    </row>
    <row r="345" spans="4:19"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59"/>
      <c r="Q345" s="360"/>
      <c r="R345" s="360"/>
      <c r="S345" s="360"/>
    </row>
    <row r="346" spans="4:19"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59"/>
      <c r="Q346" s="360"/>
      <c r="R346" s="360"/>
      <c r="S346" s="360"/>
    </row>
    <row r="347" spans="4:19"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59"/>
      <c r="Q347" s="360"/>
      <c r="R347" s="360"/>
      <c r="S347" s="360"/>
    </row>
    <row r="348" spans="4:19"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59"/>
      <c r="Q348" s="360"/>
      <c r="R348" s="360"/>
      <c r="S348" s="360"/>
    </row>
    <row r="349" spans="4:19"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59"/>
      <c r="Q349" s="360"/>
      <c r="R349" s="360"/>
      <c r="S349" s="360"/>
    </row>
    <row r="350" spans="4:19"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59"/>
      <c r="Q350" s="360"/>
      <c r="R350" s="360"/>
      <c r="S350" s="360"/>
    </row>
    <row r="351" spans="4:19"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59"/>
      <c r="Q351" s="360"/>
      <c r="R351" s="360"/>
      <c r="S351" s="360"/>
    </row>
    <row r="352" spans="4:19"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59"/>
      <c r="Q352" s="360"/>
      <c r="R352" s="360"/>
      <c r="S352" s="360"/>
    </row>
    <row r="353" spans="4:19"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59"/>
      <c r="Q353" s="360"/>
      <c r="R353" s="360"/>
      <c r="S353" s="360"/>
    </row>
    <row r="354" spans="4:19"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59"/>
      <c r="Q354" s="360"/>
      <c r="R354" s="360"/>
      <c r="S354" s="360"/>
    </row>
    <row r="355" spans="4:19"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59"/>
      <c r="Q355" s="360"/>
      <c r="R355" s="360"/>
      <c r="S355" s="360"/>
    </row>
    <row r="356" spans="4:19"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59"/>
      <c r="Q356" s="360"/>
      <c r="R356" s="360"/>
      <c r="S356" s="360"/>
    </row>
    <row r="357" spans="4:19"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59"/>
      <c r="Q357" s="360"/>
      <c r="R357" s="360"/>
      <c r="S357" s="360"/>
    </row>
    <row r="358" spans="4:19"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59"/>
      <c r="Q358" s="360"/>
      <c r="R358" s="360"/>
      <c r="S358" s="360"/>
    </row>
    <row r="359" spans="4:19"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59"/>
      <c r="Q359" s="360"/>
      <c r="R359" s="360"/>
      <c r="S359" s="360"/>
    </row>
    <row r="360" spans="4:19"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59"/>
      <c r="Q360" s="360"/>
      <c r="R360" s="360"/>
      <c r="S360" s="360"/>
    </row>
    <row r="361" spans="4:19"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59"/>
      <c r="Q361" s="360"/>
      <c r="R361" s="360"/>
      <c r="S361" s="360"/>
    </row>
    <row r="362" spans="4:19"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59"/>
      <c r="Q362" s="360"/>
      <c r="R362" s="360"/>
      <c r="S362" s="360"/>
    </row>
    <row r="363" spans="4:19"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59"/>
      <c r="Q363" s="360"/>
      <c r="R363" s="360"/>
      <c r="S363" s="360"/>
    </row>
    <row r="364" spans="4:19"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59"/>
      <c r="Q364" s="360"/>
      <c r="R364" s="360"/>
      <c r="S364" s="360"/>
    </row>
    <row r="365" spans="4:19"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59"/>
      <c r="Q365" s="360"/>
      <c r="R365" s="360"/>
      <c r="S365" s="360"/>
    </row>
    <row r="366" spans="4:19"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59"/>
      <c r="Q366" s="360"/>
      <c r="R366" s="360"/>
      <c r="S366" s="360"/>
    </row>
    <row r="367" spans="4:19"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59"/>
      <c r="Q367" s="360"/>
      <c r="R367" s="360"/>
      <c r="S367" s="360"/>
    </row>
    <row r="368" spans="4:19"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59"/>
      <c r="Q368" s="360"/>
      <c r="R368" s="360"/>
      <c r="S368" s="360"/>
    </row>
    <row r="369" spans="4:19"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59"/>
      <c r="Q369" s="360"/>
      <c r="R369" s="360"/>
      <c r="S369" s="360"/>
    </row>
    <row r="370" spans="4:19"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59"/>
      <c r="Q370" s="360"/>
      <c r="R370" s="360"/>
      <c r="S370" s="360"/>
    </row>
    <row r="371" spans="4:19"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59"/>
      <c r="Q371" s="360"/>
      <c r="R371" s="360"/>
      <c r="S371" s="360"/>
    </row>
    <row r="372" spans="4:19"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59"/>
      <c r="Q372" s="360"/>
      <c r="R372" s="360"/>
      <c r="S372" s="360"/>
    </row>
    <row r="373" spans="4:19"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59"/>
      <c r="Q373" s="360"/>
      <c r="R373" s="360"/>
      <c r="S373" s="360"/>
    </row>
    <row r="374" spans="4:19"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59"/>
      <c r="Q374" s="360"/>
      <c r="R374" s="360"/>
      <c r="S374" s="360"/>
    </row>
    <row r="375" spans="4:19"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59"/>
      <c r="Q375" s="360"/>
      <c r="R375" s="360"/>
      <c r="S375" s="360"/>
    </row>
    <row r="376" spans="4:19"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59"/>
      <c r="Q376" s="360"/>
      <c r="R376" s="360"/>
      <c r="S376" s="360"/>
    </row>
    <row r="377" spans="4:19"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59"/>
      <c r="Q377" s="360"/>
      <c r="R377" s="360"/>
      <c r="S377" s="360"/>
    </row>
    <row r="378" spans="4:19"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59"/>
      <c r="Q378" s="360"/>
      <c r="R378" s="360"/>
      <c r="S378" s="360"/>
    </row>
    <row r="379" spans="4:19"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59"/>
      <c r="Q379" s="360"/>
      <c r="R379" s="360"/>
      <c r="S379" s="360"/>
    </row>
    <row r="380" spans="4:19"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59"/>
      <c r="Q380" s="360"/>
      <c r="R380" s="360"/>
      <c r="S380" s="360"/>
    </row>
    <row r="381" spans="4:19"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59"/>
      <c r="Q381" s="360"/>
      <c r="R381" s="360"/>
      <c r="S381" s="360"/>
    </row>
    <row r="382" spans="4:19"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59"/>
      <c r="Q382" s="360"/>
      <c r="R382" s="360"/>
      <c r="S382" s="360"/>
    </row>
    <row r="383" spans="4:19"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59"/>
      <c r="Q383" s="360"/>
      <c r="R383" s="360"/>
      <c r="S383" s="360"/>
    </row>
    <row r="384" spans="4:19"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59"/>
      <c r="Q384" s="360"/>
      <c r="R384" s="360"/>
      <c r="S384" s="360"/>
    </row>
    <row r="385" spans="4:19"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59"/>
      <c r="Q385" s="360"/>
      <c r="R385" s="360"/>
      <c r="S385" s="360"/>
    </row>
    <row r="386" spans="4:19"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59"/>
      <c r="Q386" s="360"/>
      <c r="R386" s="360"/>
      <c r="S386" s="360"/>
    </row>
    <row r="387" spans="4:19"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59"/>
      <c r="Q387" s="360"/>
      <c r="R387" s="360"/>
      <c r="S387" s="360"/>
    </row>
    <row r="388" spans="4:19"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59"/>
      <c r="Q388" s="360"/>
      <c r="R388" s="360"/>
      <c r="S388" s="360"/>
    </row>
    <row r="389" spans="4:19"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59"/>
      <c r="Q389" s="360"/>
      <c r="R389" s="360"/>
      <c r="S389" s="360"/>
    </row>
    <row r="390" spans="4:19"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59"/>
      <c r="Q390" s="360"/>
      <c r="R390" s="360"/>
      <c r="S390" s="360"/>
    </row>
    <row r="391" spans="4:19"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59"/>
      <c r="Q391" s="360"/>
      <c r="R391" s="360"/>
      <c r="S391" s="360"/>
    </row>
    <row r="392" spans="4:19"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59"/>
      <c r="Q392" s="360"/>
      <c r="R392" s="360"/>
      <c r="S392" s="360"/>
    </row>
    <row r="393" spans="4:19"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59"/>
      <c r="Q393" s="360"/>
      <c r="R393" s="360"/>
      <c r="S393" s="360"/>
    </row>
    <row r="394" spans="4:19"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59"/>
      <c r="Q394" s="360"/>
      <c r="R394" s="360"/>
      <c r="S394" s="360"/>
    </row>
    <row r="395" spans="4:19"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59"/>
      <c r="Q395" s="360"/>
      <c r="R395" s="360"/>
      <c r="S395" s="360"/>
    </row>
    <row r="396" spans="4:19"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59"/>
      <c r="Q396" s="360"/>
      <c r="R396" s="360"/>
      <c r="S396" s="360"/>
    </row>
    <row r="397" spans="4:19"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59"/>
      <c r="Q397" s="360"/>
      <c r="R397" s="360"/>
      <c r="S397" s="360"/>
    </row>
    <row r="398" spans="4:19">
      <c r="D398" s="360"/>
      <c r="E398" s="360"/>
      <c r="F398" s="360"/>
      <c r="G398" s="360"/>
      <c r="H398" s="360"/>
      <c r="I398" s="360"/>
      <c r="J398" s="360"/>
      <c r="K398" s="360"/>
      <c r="L398" s="360"/>
      <c r="M398" s="360"/>
      <c r="N398" s="360"/>
      <c r="O398" s="360"/>
      <c r="P398" s="359"/>
      <c r="Q398" s="360"/>
      <c r="R398" s="360"/>
      <c r="S398" s="360"/>
    </row>
    <row r="399" spans="4:19">
      <c r="D399" s="360"/>
      <c r="E399" s="360"/>
      <c r="F399" s="360"/>
      <c r="G399" s="360"/>
      <c r="H399" s="360"/>
      <c r="I399" s="360"/>
      <c r="J399" s="360"/>
      <c r="K399" s="360"/>
      <c r="L399" s="360"/>
      <c r="M399" s="360"/>
      <c r="N399" s="360"/>
      <c r="O399" s="360"/>
      <c r="P399" s="359"/>
      <c r="Q399" s="360"/>
      <c r="R399" s="360"/>
      <c r="S399" s="360"/>
    </row>
    <row r="400" spans="4:19">
      <c r="D400" s="360"/>
      <c r="E400" s="360"/>
      <c r="F400" s="360"/>
      <c r="G400" s="360"/>
      <c r="H400" s="360"/>
      <c r="I400" s="360"/>
      <c r="J400" s="360"/>
      <c r="K400" s="360"/>
      <c r="L400" s="360"/>
      <c r="M400" s="360"/>
      <c r="N400" s="360"/>
      <c r="O400" s="360"/>
      <c r="P400" s="359"/>
      <c r="Q400" s="360"/>
      <c r="R400" s="360"/>
      <c r="S400" s="360"/>
    </row>
    <row r="401" spans="4:19">
      <c r="D401" s="360"/>
      <c r="E401" s="360"/>
      <c r="F401" s="360"/>
      <c r="G401" s="360"/>
      <c r="H401" s="360"/>
      <c r="I401" s="360"/>
      <c r="J401" s="360"/>
      <c r="K401" s="360"/>
      <c r="L401" s="360"/>
      <c r="M401" s="360"/>
      <c r="N401" s="360"/>
      <c r="O401" s="360"/>
      <c r="P401" s="359"/>
      <c r="Q401" s="360"/>
      <c r="R401" s="360"/>
      <c r="S401" s="360"/>
    </row>
    <row r="402" spans="4:19">
      <c r="D402" s="360"/>
      <c r="E402" s="360"/>
      <c r="F402" s="360"/>
      <c r="G402" s="360"/>
      <c r="H402" s="360"/>
      <c r="I402" s="360"/>
      <c r="J402" s="360"/>
      <c r="K402" s="360"/>
      <c r="L402" s="360"/>
      <c r="M402" s="360"/>
      <c r="N402" s="360"/>
      <c r="O402" s="360"/>
      <c r="P402" s="359"/>
      <c r="Q402" s="360"/>
      <c r="R402" s="360"/>
      <c r="S402" s="360"/>
    </row>
    <row r="403" spans="4:19">
      <c r="D403" s="360"/>
      <c r="E403" s="360"/>
      <c r="F403" s="360"/>
      <c r="G403" s="360"/>
      <c r="H403" s="360"/>
      <c r="I403" s="360"/>
      <c r="J403" s="360"/>
      <c r="K403" s="360"/>
      <c r="L403" s="360"/>
      <c r="M403" s="360"/>
      <c r="N403" s="360"/>
      <c r="O403" s="360"/>
      <c r="P403" s="359"/>
      <c r="Q403" s="360"/>
      <c r="R403" s="360"/>
      <c r="S403" s="360"/>
    </row>
    <row r="404" spans="4:19">
      <c r="D404" s="360"/>
      <c r="E404" s="360"/>
      <c r="F404" s="360"/>
      <c r="G404" s="360"/>
      <c r="H404" s="360"/>
      <c r="I404" s="360"/>
      <c r="J404" s="360"/>
      <c r="K404" s="360"/>
      <c r="L404" s="360"/>
      <c r="M404" s="360"/>
      <c r="N404" s="360"/>
      <c r="O404" s="360"/>
      <c r="P404" s="359"/>
      <c r="Q404" s="360"/>
      <c r="R404" s="360"/>
      <c r="S404" s="360"/>
    </row>
    <row r="405" spans="4:19">
      <c r="D405" s="360"/>
      <c r="E405" s="360"/>
      <c r="F405" s="360"/>
      <c r="G405" s="360"/>
      <c r="H405" s="360"/>
      <c r="I405" s="360"/>
      <c r="J405" s="360"/>
      <c r="K405" s="360"/>
      <c r="L405" s="360"/>
      <c r="M405" s="360"/>
      <c r="N405" s="360"/>
      <c r="O405" s="360"/>
      <c r="P405" s="359"/>
      <c r="Q405" s="360"/>
      <c r="R405" s="360"/>
      <c r="S405" s="360"/>
    </row>
    <row r="406" spans="4:19">
      <c r="D406" s="360"/>
      <c r="E406" s="360"/>
      <c r="F406" s="360"/>
      <c r="G406" s="360"/>
      <c r="H406" s="360"/>
      <c r="I406" s="360"/>
      <c r="J406" s="360"/>
      <c r="K406" s="360"/>
      <c r="L406" s="360"/>
      <c r="M406" s="360"/>
      <c r="N406" s="360"/>
      <c r="O406" s="360"/>
      <c r="P406" s="359"/>
      <c r="Q406" s="360"/>
      <c r="R406" s="360"/>
      <c r="S406" s="360"/>
    </row>
    <row r="407" spans="4:19">
      <c r="D407" s="360"/>
      <c r="E407" s="360"/>
      <c r="F407" s="360"/>
      <c r="G407" s="360"/>
      <c r="H407" s="360"/>
      <c r="I407" s="360"/>
      <c r="J407" s="360"/>
      <c r="K407" s="360"/>
      <c r="L407" s="360"/>
      <c r="M407" s="360"/>
      <c r="N407" s="360"/>
      <c r="O407" s="360"/>
      <c r="P407" s="359"/>
      <c r="Q407" s="360"/>
      <c r="R407" s="360"/>
      <c r="S407" s="360"/>
    </row>
    <row r="408" spans="4:19">
      <c r="D408" s="360"/>
      <c r="E408" s="360"/>
      <c r="F408" s="360"/>
      <c r="G408" s="360"/>
      <c r="H408" s="360"/>
      <c r="I408" s="360"/>
      <c r="J408" s="360"/>
      <c r="K408" s="360"/>
      <c r="L408" s="360"/>
      <c r="M408" s="360"/>
      <c r="N408" s="360"/>
      <c r="O408" s="360"/>
      <c r="P408" s="359"/>
      <c r="Q408" s="360"/>
      <c r="R408" s="360"/>
      <c r="S408" s="360"/>
    </row>
    <row r="409" spans="4:19">
      <c r="D409" s="360"/>
      <c r="E409" s="360"/>
      <c r="F409" s="360"/>
      <c r="G409" s="360"/>
      <c r="H409" s="360"/>
      <c r="I409" s="360"/>
      <c r="J409" s="360"/>
      <c r="K409" s="360"/>
      <c r="L409" s="360"/>
      <c r="M409" s="360"/>
      <c r="N409" s="360"/>
      <c r="O409" s="360"/>
      <c r="P409" s="359"/>
      <c r="Q409" s="360"/>
      <c r="R409" s="360"/>
      <c r="S409" s="360"/>
    </row>
    <row r="410" spans="4:19">
      <c r="D410" s="360"/>
      <c r="E410" s="360"/>
      <c r="F410" s="360"/>
      <c r="G410" s="360"/>
      <c r="H410" s="360"/>
      <c r="I410" s="360"/>
      <c r="J410" s="360"/>
      <c r="K410" s="360"/>
      <c r="L410" s="360"/>
      <c r="M410" s="360"/>
      <c r="N410" s="360"/>
      <c r="O410" s="360"/>
      <c r="P410" s="359"/>
      <c r="Q410" s="360"/>
      <c r="R410" s="360"/>
      <c r="S410" s="360"/>
    </row>
    <row r="411" spans="4:19">
      <c r="D411" s="360"/>
      <c r="E411" s="360"/>
      <c r="F411" s="360"/>
      <c r="G411" s="360"/>
      <c r="H411" s="360"/>
      <c r="I411" s="360"/>
      <c r="J411" s="360"/>
      <c r="K411" s="360"/>
      <c r="L411" s="360"/>
      <c r="M411" s="360"/>
      <c r="N411" s="360"/>
      <c r="O411" s="360"/>
      <c r="P411" s="359"/>
      <c r="Q411" s="360"/>
      <c r="R411" s="360"/>
      <c r="S411" s="360"/>
    </row>
    <row r="412" spans="4:19">
      <c r="D412" s="360"/>
      <c r="E412" s="360"/>
      <c r="F412" s="360"/>
      <c r="G412" s="360"/>
      <c r="H412" s="360"/>
      <c r="I412" s="360"/>
      <c r="J412" s="360"/>
      <c r="K412" s="360"/>
      <c r="L412" s="360"/>
      <c r="M412" s="360"/>
      <c r="N412" s="360"/>
      <c r="O412" s="360"/>
      <c r="P412" s="359"/>
      <c r="Q412" s="360"/>
      <c r="R412" s="360"/>
      <c r="S412" s="360"/>
    </row>
    <row r="413" spans="4:19">
      <c r="D413" s="360"/>
      <c r="E413" s="360"/>
      <c r="F413" s="360"/>
      <c r="G413" s="360"/>
      <c r="H413" s="360"/>
      <c r="I413" s="360"/>
      <c r="J413" s="360"/>
      <c r="K413" s="360"/>
      <c r="L413" s="360"/>
      <c r="M413" s="360"/>
      <c r="N413" s="360"/>
      <c r="O413" s="360"/>
      <c r="P413" s="359"/>
      <c r="Q413" s="360"/>
      <c r="R413" s="360"/>
      <c r="S413" s="360"/>
    </row>
    <row r="414" spans="4:19">
      <c r="D414" s="360"/>
      <c r="E414" s="360"/>
      <c r="F414" s="360"/>
      <c r="G414" s="360"/>
      <c r="H414" s="360"/>
      <c r="I414" s="360"/>
      <c r="J414" s="360"/>
      <c r="K414" s="360"/>
      <c r="L414" s="360"/>
      <c r="M414" s="360"/>
      <c r="N414" s="360"/>
      <c r="O414" s="360"/>
      <c r="P414" s="359"/>
      <c r="Q414" s="360"/>
      <c r="R414" s="360"/>
      <c r="S414" s="360"/>
    </row>
    <row r="415" spans="4:19">
      <c r="D415" s="360"/>
      <c r="E415" s="360"/>
      <c r="F415" s="360"/>
      <c r="G415" s="360"/>
      <c r="H415" s="360"/>
      <c r="I415" s="360"/>
      <c r="J415" s="360"/>
      <c r="K415" s="360"/>
      <c r="L415" s="360"/>
      <c r="M415" s="360"/>
      <c r="N415" s="360"/>
      <c r="O415" s="360"/>
      <c r="P415" s="359"/>
      <c r="Q415" s="360"/>
      <c r="R415" s="360"/>
      <c r="S415" s="360"/>
    </row>
    <row r="416" spans="4:19">
      <c r="D416" s="360"/>
      <c r="E416" s="360"/>
      <c r="F416" s="360"/>
      <c r="G416" s="360"/>
      <c r="H416" s="360"/>
      <c r="I416" s="360"/>
      <c r="J416" s="360"/>
      <c r="K416" s="360"/>
      <c r="L416" s="360"/>
      <c r="M416" s="360"/>
      <c r="N416" s="360"/>
      <c r="O416" s="360"/>
      <c r="P416" s="359"/>
      <c r="Q416" s="360"/>
      <c r="R416" s="360"/>
      <c r="S416" s="360"/>
    </row>
    <row r="417" spans="4:19">
      <c r="D417" s="360"/>
      <c r="E417" s="360"/>
      <c r="F417" s="360"/>
      <c r="G417" s="360"/>
      <c r="H417" s="360"/>
      <c r="I417" s="360"/>
      <c r="J417" s="360"/>
      <c r="K417" s="360"/>
      <c r="L417" s="360"/>
      <c r="M417" s="360"/>
      <c r="N417" s="360"/>
      <c r="O417" s="360"/>
      <c r="P417" s="359"/>
      <c r="Q417" s="360"/>
      <c r="R417" s="360"/>
      <c r="S417" s="360"/>
    </row>
    <row r="418" spans="4:19">
      <c r="D418" s="360"/>
      <c r="E418" s="360"/>
      <c r="F418" s="360"/>
      <c r="G418" s="360"/>
      <c r="H418" s="360"/>
      <c r="I418" s="360"/>
      <c r="J418" s="360"/>
      <c r="K418" s="360"/>
      <c r="L418" s="360"/>
      <c r="M418" s="360"/>
      <c r="N418" s="360"/>
      <c r="O418" s="360"/>
      <c r="P418" s="359"/>
      <c r="Q418" s="360"/>
      <c r="R418" s="360"/>
      <c r="S418" s="360"/>
    </row>
    <row r="419" spans="4:19">
      <c r="D419" s="360"/>
      <c r="E419" s="360"/>
      <c r="F419" s="360"/>
      <c r="G419" s="360"/>
      <c r="H419" s="360"/>
      <c r="I419" s="360"/>
      <c r="J419" s="360"/>
      <c r="K419" s="360"/>
      <c r="L419" s="360"/>
      <c r="M419" s="360"/>
      <c r="N419" s="360"/>
      <c r="O419" s="360"/>
      <c r="P419" s="359"/>
      <c r="Q419" s="360"/>
      <c r="R419" s="360"/>
      <c r="S419" s="360"/>
    </row>
    <row r="420" spans="4:19">
      <c r="D420" s="360"/>
      <c r="E420" s="360"/>
      <c r="F420" s="360"/>
      <c r="G420" s="360"/>
      <c r="H420" s="360"/>
      <c r="I420" s="360"/>
      <c r="J420" s="360"/>
      <c r="K420" s="360"/>
      <c r="L420" s="360"/>
      <c r="M420" s="360"/>
      <c r="N420" s="360"/>
      <c r="O420" s="360"/>
      <c r="P420" s="359"/>
      <c r="Q420" s="360"/>
      <c r="R420" s="360"/>
      <c r="S420" s="360"/>
    </row>
    <row r="421" spans="4:19">
      <c r="D421" s="360"/>
      <c r="E421" s="360"/>
      <c r="F421" s="360"/>
      <c r="G421" s="360"/>
      <c r="H421" s="360"/>
      <c r="I421" s="360"/>
      <c r="J421" s="360"/>
      <c r="K421" s="360"/>
      <c r="L421" s="360"/>
      <c r="M421" s="360"/>
      <c r="N421" s="360"/>
      <c r="O421" s="360"/>
      <c r="P421" s="359"/>
      <c r="Q421" s="360"/>
      <c r="R421" s="360"/>
      <c r="S421" s="360"/>
    </row>
    <row r="422" spans="4:19">
      <c r="D422" s="360"/>
      <c r="E422" s="360"/>
      <c r="F422" s="360"/>
      <c r="G422" s="360"/>
      <c r="H422" s="360"/>
      <c r="I422" s="360"/>
      <c r="J422" s="360"/>
      <c r="K422" s="360"/>
      <c r="L422" s="360"/>
      <c r="M422" s="360"/>
      <c r="N422" s="360"/>
      <c r="O422" s="360"/>
      <c r="P422" s="359"/>
      <c r="Q422" s="360"/>
      <c r="R422" s="360"/>
      <c r="S422" s="360"/>
    </row>
    <row r="423" spans="4:19">
      <c r="D423" s="360"/>
      <c r="E423" s="360"/>
      <c r="F423" s="360"/>
      <c r="G423" s="360"/>
      <c r="H423" s="360"/>
      <c r="I423" s="360"/>
      <c r="J423" s="360"/>
      <c r="K423" s="360"/>
      <c r="L423" s="360"/>
      <c r="M423" s="360"/>
      <c r="N423" s="360"/>
      <c r="O423" s="360"/>
      <c r="P423" s="359"/>
      <c r="Q423" s="360"/>
      <c r="R423" s="360"/>
      <c r="S423" s="360"/>
    </row>
    <row r="424" spans="4:19">
      <c r="D424" s="360"/>
      <c r="E424" s="360"/>
      <c r="F424" s="360"/>
      <c r="G424" s="360"/>
      <c r="H424" s="360"/>
      <c r="I424" s="360"/>
      <c r="J424" s="360"/>
      <c r="K424" s="360"/>
      <c r="L424" s="360"/>
      <c r="M424" s="360"/>
      <c r="N424" s="360"/>
      <c r="O424" s="360"/>
      <c r="P424" s="359"/>
      <c r="Q424" s="360"/>
      <c r="R424" s="360"/>
      <c r="S424" s="360"/>
    </row>
    <row r="425" spans="4:19">
      <c r="D425" s="360"/>
      <c r="E425" s="360"/>
      <c r="F425" s="360"/>
      <c r="G425" s="360"/>
      <c r="H425" s="360"/>
      <c r="I425" s="360"/>
      <c r="J425" s="360"/>
      <c r="K425" s="360"/>
      <c r="L425" s="360"/>
      <c r="M425" s="360"/>
      <c r="N425" s="360"/>
      <c r="O425" s="360"/>
      <c r="P425" s="359"/>
      <c r="Q425" s="360"/>
      <c r="R425" s="360"/>
      <c r="S425" s="360"/>
    </row>
    <row r="426" spans="4:19">
      <c r="D426" s="360"/>
      <c r="E426" s="360"/>
      <c r="F426" s="360"/>
      <c r="G426" s="360"/>
      <c r="H426" s="360"/>
      <c r="I426" s="360"/>
      <c r="J426" s="360"/>
      <c r="K426" s="360"/>
      <c r="L426" s="360"/>
      <c r="M426" s="360"/>
      <c r="N426" s="360"/>
      <c r="O426" s="360"/>
      <c r="P426" s="359"/>
      <c r="Q426" s="360"/>
      <c r="R426" s="360"/>
      <c r="S426" s="360"/>
    </row>
    <row r="427" spans="4:19">
      <c r="D427" s="360"/>
      <c r="E427" s="360"/>
      <c r="F427" s="360"/>
      <c r="G427" s="360"/>
      <c r="H427" s="360"/>
      <c r="I427" s="360"/>
      <c r="J427" s="360"/>
      <c r="K427" s="360"/>
      <c r="L427" s="360"/>
      <c r="M427" s="360"/>
      <c r="N427" s="360"/>
      <c r="O427" s="360"/>
      <c r="P427" s="359"/>
      <c r="Q427" s="360"/>
      <c r="R427" s="360"/>
      <c r="S427" s="360"/>
    </row>
    <row r="428" spans="4:19">
      <c r="D428" s="360"/>
      <c r="E428" s="360"/>
      <c r="F428" s="360"/>
      <c r="G428" s="360"/>
      <c r="H428" s="360"/>
      <c r="I428" s="360"/>
      <c r="J428" s="360"/>
      <c r="K428" s="360"/>
      <c r="L428" s="360"/>
      <c r="M428" s="360"/>
      <c r="N428" s="360"/>
      <c r="O428" s="360"/>
      <c r="P428" s="359"/>
      <c r="Q428" s="360"/>
      <c r="R428" s="360"/>
      <c r="S428" s="360"/>
    </row>
    <row r="429" spans="4:19">
      <c r="D429" s="360"/>
      <c r="E429" s="360"/>
      <c r="F429" s="360"/>
      <c r="G429" s="360"/>
      <c r="H429" s="360"/>
      <c r="I429" s="360"/>
      <c r="J429" s="360"/>
      <c r="K429" s="360"/>
      <c r="L429" s="360"/>
      <c r="M429" s="360"/>
      <c r="N429" s="360"/>
      <c r="O429" s="360"/>
      <c r="P429" s="359"/>
      <c r="Q429" s="360"/>
      <c r="R429" s="360"/>
      <c r="S429" s="360"/>
    </row>
    <row r="430" spans="4:19">
      <c r="D430" s="360"/>
      <c r="E430" s="360"/>
      <c r="F430" s="360"/>
      <c r="G430" s="360"/>
      <c r="H430" s="360"/>
      <c r="I430" s="360"/>
      <c r="J430" s="360"/>
      <c r="K430" s="360"/>
      <c r="L430" s="360"/>
      <c r="M430" s="360"/>
      <c r="N430" s="360"/>
      <c r="O430" s="360"/>
      <c r="P430" s="359"/>
      <c r="Q430" s="360"/>
      <c r="R430" s="360"/>
      <c r="S430" s="360"/>
    </row>
    <row r="431" spans="4:19">
      <c r="D431" s="360"/>
      <c r="E431" s="360"/>
      <c r="F431" s="360"/>
      <c r="G431" s="360"/>
      <c r="H431" s="360"/>
      <c r="I431" s="360"/>
      <c r="J431" s="360"/>
      <c r="K431" s="360"/>
      <c r="L431" s="360"/>
      <c r="M431" s="360"/>
      <c r="N431" s="360"/>
      <c r="O431" s="360"/>
      <c r="P431" s="359"/>
      <c r="Q431" s="360"/>
      <c r="R431" s="360"/>
      <c r="S431" s="360"/>
    </row>
    <row r="432" spans="4:19">
      <c r="D432" s="360"/>
      <c r="E432" s="360"/>
      <c r="F432" s="360"/>
      <c r="G432" s="360"/>
      <c r="H432" s="360"/>
      <c r="I432" s="360"/>
      <c r="J432" s="360"/>
      <c r="K432" s="360"/>
      <c r="L432" s="360"/>
      <c r="M432" s="360"/>
      <c r="N432" s="360"/>
      <c r="O432" s="360"/>
      <c r="P432" s="359"/>
      <c r="Q432" s="360"/>
      <c r="R432" s="360"/>
      <c r="S432" s="360"/>
    </row>
    <row r="433" spans="4:19">
      <c r="D433" s="360"/>
      <c r="E433" s="360"/>
      <c r="F433" s="360"/>
      <c r="G433" s="360"/>
      <c r="H433" s="360"/>
      <c r="I433" s="360"/>
      <c r="J433" s="360"/>
      <c r="K433" s="360"/>
      <c r="L433" s="360"/>
      <c r="M433" s="360"/>
      <c r="N433" s="360"/>
      <c r="O433" s="360"/>
      <c r="P433" s="359"/>
      <c r="Q433" s="360"/>
      <c r="R433" s="360"/>
      <c r="S433" s="360"/>
    </row>
    <row r="434" spans="4:19">
      <c r="D434" s="360"/>
      <c r="E434" s="360"/>
      <c r="F434" s="360"/>
      <c r="G434" s="360"/>
      <c r="H434" s="360"/>
      <c r="I434" s="360"/>
      <c r="J434" s="360"/>
      <c r="K434" s="360"/>
      <c r="L434" s="360"/>
      <c r="M434" s="360"/>
      <c r="N434" s="360"/>
      <c r="O434" s="360"/>
      <c r="P434" s="359"/>
      <c r="Q434" s="360"/>
      <c r="R434" s="360"/>
      <c r="S434" s="360"/>
    </row>
    <row r="435" spans="4:19">
      <c r="D435" s="360"/>
      <c r="E435" s="360"/>
      <c r="F435" s="360"/>
      <c r="G435" s="360"/>
      <c r="H435" s="360"/>
      <c r="I435" s="360"/>
      <c r="J435" s="360"/>
      <c r="K435" s="360"/>
      <c r="L435" s="360"/>
      <c r="M435" s="360"/>
      <c r="N435" s="360"/>
      <c r="O435" s="360"/>
      <c r="P435" s="359"/>
      <c r="Q435" s="360"/>
      <c r="R435" s="360"/>
      <c r="S435" s="360"/>
    </row>
    <row r="436" spans="4:19">
      <c r="D436" s="360"/>
      <c r="E436" s="360"/>
      <c r="F436" s="360"/>
      <c r="G436" s="360"/>
      <c r="H436" s="360"/>
      <c r="I436" s="360"/>
      <c r="J436" s="360"/>
      <c r="K436" s="360"/>
      <c r="L436" s="360"/>
      <c r="M436" s="360"/>
      <c r="N436" s="360"/>
      <c r="O436" s="360"/>
      <c r="P436" s="359"/>
      <c r="Q436" s="360"/>
      <c r="R436" s="360"/>
      <c r="S436" s="360"/>
    </row>
    <row r="437" spans="4:19">
      <c r="D437" s="360"/>
      <c r="E437" s="360"/>
      <c r="F437" s="360"/>
      <c r="G437" s="360"/>
      <c r="H437" s="360"/>
      <c r="I437" s="360"/>
      <c r="J437" s="360"/>
      <c r="K437" s="360"/>
      <c r="L437" s="360"/>
      <c r="M437" s="360"/>
      <c r="N437" s="360"/>
      <c r="O437" s="360"/>
      <c r="P437" s="359"/>
      <c r="Q437" s="360"/>
      <c r="R437" s="360"/>
      <c r="S437" s="360"/>
    </row>
    <row r="438" spans="4:19">
      <c r="D438" s="360"/>
      <c r="E438" s="360"/>
      <c r="F438" s="360"/>
      <c r="G438" s="360"/>
      <c r="H438" s="360"/>
      <c r="I438" s="360"/>
      <c r="J438" s="360"/>
      <c r="K438" s="360"/>
      <c r="L438" s="360"/>
      <c r="M438" s="360"/>
      <c r="N438" s="360"/>
      <c r="O438" s="360"/>
      <c r="P438" s="359"/>
      <c r="Q438" s="360"/>
      <c r="R438" s="360"/>
      <c r="S438" s="360"/>
    </row>
    <row r="439" spans="4:19">
      <c r="D439" s="360"/>
      <c r="E439" s="360"/>
      <c r="F439" s="360"/>
      <c r="G439" s="360"/>
      <c r="H439" s="360"/>
      <c r="I439" s="360"/>
      <c r="J439" s="360"/>
      <c r="K439" s="360"/>
      <c r="L439" s="360"/>
      <c r="M439" s="360"/>
      <c r="N439" s="360"/>
      <c r="O439" s="360"/>
      <c r="P439" s="359"/>
      <c r="Q439" s="360"/>
      <c r="R439" s="360"/>
      <c r="S439" s="360"/>
    </row>
    <row r="440" spans="4:19">
      <c r="D440" s="360"/>
      <c r="E440" s="360"/>
      <c r="F440" s="360"/>
      <c r="G440" s="360"/>
      <c r="H440" s="360"/>
      <c r="I440" s="360"/>
      <c r="J440" s="360"/>
      <c r="K440" s="360"/>
      <c r="L440" s="360"/>
      <c r="M440" s="360"/>
      <c r="N440" s="360"/>
      <c r="O440" s="360"/>
      <c r="P440" s="359"/>
      <c r="Q440" s="360"/>
      <c r="R440" s="360"/>
      <c r="S440" s="360"/>
    </row>
    <row r="441" spans="4:19">
      <c r="D441" s="360"/>
      <c r="E441" s="360"/>
      <c r="F441" s="360"/>
      <c r="G441" s="360"/>
      <c r="H441" s="360"/>
      <c r="I441" s="360"/>
      <c r="J441" s="360"/>
      <c r="K441" s="360"/>
      <c r="L441" s="360"/>
      <c r="M441" s="360"/>
      <c r="N441" s="360"/>
      <c r="O441" s="360"/>
      <c r="P441" s="359"/>
      <c r="Q441" s="360"/>
      <c r="R441" s="360"/>
      <c r="S441" s="360"/>
    </row>
    <row r="442" spans="4:19">
      <c r="D442" s="360"/>
      <c r="E442" s="360"/>
      <c r="F442" s="360"/>
      <c r="G442" s="360"/>
      <c r="H442" s="360"/>
      <c r="I442" s="360"/>
      <c r="J442" s="360"/>
      <c r="K442" s="360"/>
      <c r="L442" s="360"/>
      <c r="M442" s="360"/>
      <c r="N442" s="360"/>
      <c r="O442" s="360"/>
      <c r="P442" s="359"/>
      <c r="Q442" s="360"/>
      <c r="R442" s="360"/>
      <c r="S442" s="360"/>
    </row>
    <row r="443" spans="4:19">
      <c r="D443" s="360"/>
      <c r="E443" s="360"/>
      <c r="F443" s="360"/>
      <c r="G443" s="360"/>
      <c r="H443" s="360"/>
      <c r="I443" s="360"/>
      <c r="J443" s="360"/>
      <c r="K443" s="360"/>
      <c r="L443" s="360"/>
      <c r="M443" s="360"/>
      <c r="N443" s="360"/>
      <c r="O443" s="360"/>
      <c r="P443" s="359"/>
      <c r="Q443" s="360"/>
      <c r="R443" s="360"/>
      <c r="S443" s="360"/>
    </row>
    <row r="444" spans="4:19">
      <c r="D444" s="360"/>
      <c r="E444" s="360"/>
      <c r="F444" s="360"/>
      <c r="G444" s="360"/>
      <c r="H444" s="360"/>
      <c r="I444" s="360"/>
      <c r="J444" s="360"/>
      <c r="K444" s="360"/>
      <c r="L444" s="360"/>
      <c r="M444" s="360"/>
      <c r="N444" s="360"/>
      <c r="O444" s="360"/>
      <c r="P444" s="359"/>
      <c r="Q444" s="360"/>
      <c r="R444" s="360"/>
      <c r="S444" s="360"/>
    </row>
    <row r="445" spans="4:19">
      <c r="D445" s="360"/>
      <c r="E445" s="360"/>
      <c r="F445" s="360"/>
      <c r="G445" s="360"/>
      <c r="H445" s="360"/>
      <c r="I445" s="360"/>
      <c r="J445" s="360"/>
      <c r="K445" s="360"/>
      <c r="L445" s="360"/>
      <c r="M445" s="360"/>
      <c r="N445" s="360"/>
      <c r="O445" s="360"/>
      <c r="P445" s="359"/>
      <c r="Q445" s="360"/>
      <c r="R445" s="360"/>
      <c r="S445" s="360"/>
    </row>
    <row r="446" spans="4:19">
      <c r="D446" s="360"/>
      <c r="E446" s="360"/>
      <c r="F446" s="360"/>
      <c r="G446" s="360"/>
      <c r="H446" s="360"/>
      <c r="I446" s="360"/>
      <c r="J446" s="360"/>
      <c r="K446" s="360"/>
      <c r="L446" s="360"/>
      <c r="M446" s="360"/>
      <c r="N446" s="360"/>
      <c r="O446" s="360"/>
      <c r="P446" s="359"/>
      <c r="Q446" s="360"/>
      <c r="R446" s="360"/>
      <c r="S446" s="360"/>
    </row>
    <row r="447" spans="4:19">
      <c r="D447" s="360"/>
      <c r="E447" s="360"/>
      <c r="F447" s="360"/>
      <c r="G447" s="360"/>
      <c r="H447" s="360"/>
      <c r="I447" s="360"/>
      <c r="J447" s="360"/>
      <c r="K447" s="360"/>
      <c r="L447" s="360"/>
      <c r="M447" s="360"/>
      <c r="N447" s="360"/>
      <c r="O447" s="360"/>
      <c r="P447" s="359"/>
      <c r="Q447" s="360"/>
      <c r="R447" s="360"/>
      <c r="S447" s="360"/>
    </row>
    <row r="448" spans="4:19">
      <c r="D448" s="360"/>
      <c r="E448" s="360"/>
      <c r="F448" s="360"/>
      <c r="G448" s="360"/>
      <c r="H448" s="360"/>
      <c r="I448" s="360"/>
      <c r="J448" s="360"/>
      <c r="K448" s="360"/>
      <c r="L448" s="360"/>
      <c r="M448" s="360"/>
      <c r="N448" s="360"/>
      <c r="O448" s="360"/>
      <c r="P448" s="359"/>
      <c r="Q448" s="360"/>
      <c r="R448" s="360"/>
      <c r="S448" s="360"/>
    </row>
    <row r="449" spans="4:19">
      <c r="D449" s="360"/>
      <c r="E449" s="360"/>
      <c r="F449" s="360"/>
      <c r="G449" s="360"/>
      <c r="H449" s="360"/>
      <c r="I449" s="360"/>
      <c r="J449" s="360"/>
      <c r="K449" s="360"/>
      <c r="L449" s="360"/>
      <c r="M449" s="360"/>
      <c r="N449" s="360"/>
      <c r="O449" s="360"/>
      <c r="P449" s="359"/>
      <c r="Q449" s="360"/>
      <c r="R449" s="360"/>
      <c r="S449" s="360"/>
    </row>
    <row r="450" spans="4:19">
      <c r="D450" s="360"/>
      <c r="E450" s="360"/>
      <c r="F450" s="360"/>
      <c r="G450" s="360"/>
      <c r="H450" s="360"/>
      <c r="I450" s="360"/>
      <c r="J450" s="360"/>
      <c r="K450" s="360"/>
      <c r="L450" s="360"/>
      <c r="M450" s="360"/>
      <c r="N450" s="360"/>
      <c r="O450" s="360"/>
      <c r="P450" s="359"/>
      <c r="Q450" s="360"/>
      <c r="R450" s="360"/>
      <c r="S450" s="360"/>
    </row>
    <row r="451" spans="4:19">
      <c r="D451" s="360"/>
      <c r="E451" s="360"/>
      <c r="F451" s="360"/>
      <c r="G451" s="360"/>
      <c r="H451" s="360"/>
      <c r="I451" s="360"/>
      <c r="J451" s="360"/>
      <c r="K451" s="360"/>
      <c r="L451" s="360"/>
      <c r="M451" s="360"/>
      <c r="N451" s="360"/>
      <c r="O451" s="360"/>
      <c r="P451" s="359"/>
      <c r="Q451" s="360"/>
      <c r="R451" s="360"/>
      <c r="S451" s="360"/>
    </row>
    <row r="452" spans="4:19">
      <c r="D452" s="360"/>
      <c r="E452" s="360"/>
      <c r="F452" s="360"/>
      <c r="G452" s="360"/>
      <c r="H452" s="360"/>
      <c r="I452" s="360"/>
      <c r="J452" s="360"/>
      <c r="K452" s="360"/>
      <c r="L452" s="360"/>
      <c r="M452" s="360"/>
      <c r="N452" s="360"/>
      <c r="O452" s="360"/>
      <c r="P452" s="359"/>
      <c r="Q452" s="360"/>
      <c r="R452" s="360"/>
      <c r="S452" s="360"/>
    </row>
    <row r="453" spans="4:19">
      <c r="D453" s="360"/>
      <c r="E453" s="360"/>
      <c r="F453" s="360"/>
      <c r="G453" s="360"/>
      <c r="H453" s="360"/>
      <c r="I453" s="360"/>
      <c r="J453" s="360"/>
      <c r="K453" s="360"/>
      <c r="L453" s="360"/>
      <c r="M453" s="360"/>
      <c r="N453" s="360"/>
      <c r="O453" s="360"/>
      <c r="P453" s="359"/>
      <c r="Q453" s="360"/>
      <c r="R453" s="360"/>
      <c r="S453" s="360"/>
    </row>
    <row r="454" spans="4:19">
      <c r="D454" s="360"/>
      <c r="E454" s="360"/>
      <c r="F454" s="360"/>
      <c r="G454" s="360"/>
      <c r="H454" s="360"/>
      <c r="I454" s="360"/>
      <c r="J454" s="360"/>
      <c r="K454" s="360"/>
      <c r="L454" s="360"/>
      <c r="M454" s="360"/>
      <c r="N454" s="360"/>
      <c r="O454" s="360"/>
      <c r="P454" s="359"/>
      <c r="Q454" s="360"/>
      <c r="R454" s="360"/>
      <c r="S454" s="360"/>
    </row>
    <row r="455" spans="4:19">
      <c r="D455" s="360"/>
      <c r="E455" s="360"/>
      <c r="F455" s="360"/>
      <c r="G455" s="360"/>
      <c r="H455" s="360"/>
      <c r="I455" s="360"/>
      <c r="J455" s="360"/>
      <c r="K455" s="360"/>
      <c r="L455" s="360"/>
      <c r="M455" s="360"/>
      <c r="N455" s="360"/>
      <c r="O455" s="360"/>
      <c r="P455" s="359"/>
      <c r="Q455" s="360"/>
      <c r="R455" s="360"/>
      <c r="S455" s="360"/>
    </row>
    <row r="456" spans="4:19">
      <c r="D456" s="360"/>
      <c r="E456" s="360"/>
      <c r="F456" s="360"/>
      <c r="G456" s="360"/>
      <c r="H456" s="360"/>
      <c r="I456" s="360"/>
      <c r="J456" s="360"/>
      <c r="K456" s="360"/>
      <c r="L456" s="360"/>
      <c r="M456" s="360"/>
      <c r="N456" s="360"/>
      <c r="O456" s="360"/>
      <c r="P456" s="359"/>
      <c r="Q456" s="360"/>
      <c r="R456" s="360"/>
      <c r="S456" s="360"/>
    </row>
    <row r="457" spans="4:19">
      <c r="D457" s="360"/>
      <c r="E457" s="360"/>
      <c r="F457" s="360"/>
      <c r="G457" s="360"/>
      <c r="H457" s="360"/>
      <c r="I457" s="360"/>
      <c r="J457" s="360"/>
      <c r="K457" s="360"/>
      <c r="L457" s="360"/>
      <c r="M457" s="360"/>
      <c r="N457" s="360"/>
      <c r="O457" s="360"/>
      <c r="P457" s="359"/>
      <c r="Q457" s="360"/>
      <c r="R457" s="360"/>
      <c r="S457" s="360"/>
    </row>
    <row r="458" spans="4:19">
      <c r="D458" s="360"/>
      <c r="E458" s="360"/>
      <c r="F458" s="360"/>
      <c r="G458" s="360"/>
      <c r="H458" s="360"/>
      <c r="I458" s="360"/>
      <c r="J458" s="360"/>
      <c r="K458" s="360"/>
      <c r="L458" s="360"/>
      <c r="M458" s="360"/>
      <c r="N458" s="360"/>
      <c r="O458" s="360"/>
      <c r="P458" s="359"/>
      <c r="Q458" s="360"/>
      <c r="R458" s="360"/>
      <c r="S458" s="360"/>
    </row>
    <row r="459" spans="4:19">
      <c r="D459" s="360"/>
      <c r="E459" s="360"/>
      <c r="F459" s="360"/>
      <c r="G459" s="360"/>
      <c r="H459" s="360"/>
      <c r="I459" s="360"/>
      <c r="J459" s="360"/>
      <c r="K459" s="360"/>
      <c r="L459" s="360"/>
      <c r="M459" s="360"/>
      <c r="N459" s="360"/>
      <c r="O459" s="360"/>
      <c r="P459" s="359"/>
      <c r="Q459" s="360"/>
      <c r="R459" s="360"/>
      <c r="S459" s="360"/>
    </row>
    <row r="460" spans="4:19">
      <c r="D460" s="360"/>
      <c r="E460" s="360"/>
      <c r="F460" s="360"/>
      <c r="G460" s="360"/>
      <c r="H460" s="360"/>
      <c r="I460" s="360"/>
      <c r="J460" s="360"/>
      <c r="K460" s="360"/>
      <c r="L460" s="360"/>
      <c r="M460" s="360"/>
      <c r="N460" s="360"/>
      <c r="O460" s="360"/>
      <c r="P460" s="359"/>
      <c r="Q460" s="360"/>
      <c r="R460" s="360"/>
      <c r="S460" s="360"/>
    </row>
    <row r="461" spans="4:19">
      <c r="D461" s="360"/>
      <c r="E461" s="360"/>
      <c r="F461" s="360"/>
      <c r="G461" s="360"/>
      <c r="H461" s="360"/>
      <c r="I461" s="360"/>
      <c r="J461" s="360"/>
      <c r="K461" s="360"/>
      <c r="L461" s="360"/>
      <c r="M461" s="360"/>
      <c r="N461" s="360"/>
      <c r="O461" s="360"/>
      <c r="P461" s="359"/>
      <c r="Q461" s="360"/>
      <c r="R461" s="360"/>
      <c r="S461" s="360"/>
    </row>
    <row r="462" spans="4:19">
      <c r="D462" s="360"/>
      <c r="E462" s="360"/>
      <c r="F462" s="360"/>
      <c r="G462" s="360"/>
      <c r="H462" s="360"/>
      <c r="I462" s="360"/>
      <c r="J462" s="360"/>
      <c r="K462" s="360"/>
      <c r="L462" s="360"/>
      <c r="M462" s="360"/>
      <c r="N462" s="360"/>
      <c r="O462" s="360"/>
      <c r="P462" s="359"/>
      <c r="Q462" s="360"/>
      <c r="R462" s="360"/>
      <c r="S462" s="360"/>
    </row>
    <row r="463" spans="4:19">
      <c r="D463" s="360"/>
      <c r="E463" s="360"/>
      <c r="F463" s="360"/>
      <c r="G463" s="360"/>
      <c r="H463" s="360"/>
      <c r="I463" s="360"/>
      <c r="J463" s="360"/>
      <c r="K463" s="360"/>
      <c r="L463" s="360"/>
      <c r="M463" s="360"/>
      <c r="N463" s="360"/>
      <c r="O463" s="360"/>
      <c r="P463" s="359"/>
      <c r="Q463" s="360"/>
      <c r="R463" s="360"/>
      <c r="S463" s="360"/>
    </row>
    <row r="464" spans="4:19">
      <c r="D464" s="360"/>
      <c r="E464" s="360"/>
      <c r="F464" s="360"/>
      <c r="G464" s="360"/>
      <c r="H464" s="360"/>
      <c r="I464" s="360"/>
      <c r="J464" s="360"/>
      <c r="K464" s="360"/>
      <c r="L464" s="360"/>
      <c r="M464" s="360"/>
      <c r="N464" s="360"/>
      <c r="O464" s="360"/>
      <c r="P464" s="359"/>
      <c r="Q464" s="360"/>
      <c r="R464" s="360"/>
      <c r="S464" s="360"/>
    </row>
    <row r="465" spans="4:19">
      <c r="D465" s="360"/>
      <c r="E465" s="360"/>
      <c r="F465" s="360"/>
      <c r="G465" s="360"/>
      <c r="H465" s="360"/>
      <c r="I465" s="360"/>
      <c r="J465" s="360"/>
      <c r="K465" s="360"/>
      <c r="L465" s="360"/>
      <c r="M465" s="360"/>
      <c r="N465" s="360"/>
      <c r="O465" s="360"/>
      <c r="P465" s="359"/>
      <c r="Q465" s="360"/>
      <c r="R465" s="360"/>
      <c r="S465" s="360"/>
    </row>
    <row r="466" spans="4:19">
      <c r="D466" s="360"/>
      <c r="E466" s="360"/>
      <c r="F466" s="360"/>
      <c r="G466" s="360"/>
      <c r="H466" s="360"/>
      <c r="I466" s="360"/>
      <c r="J466" s="360"/>
      <c r="K466" s="360"/>
      <c r="L466" s="360"/>
      <c r="M466" s="360"/>
      <c r="N466" s="360"/>
      <c r="O466" s="360"/>
      <c r="P466" s="359"/>
      <c r="Q466" s="360"/>
      <c r="R466" s="360"/>
      <c r="S466" s="360"/>
    </row>
    <row r="467" spans="4:19">
      <c r="D467" s="360"/>
      <c r="E467" s="360"/>
      <c r="F467" s="360"/>
      <c r="G467" s="360"/>
      <c r="H467" s="360"/>
      <c r="I467" s="360"/>
      <c r="J467" s="360"/>
      <c r="K467" s="360"/>
      <c r="L467" s="360"/>
      <c r="M467" s="360"/>
      <c r="N467" s="360"/>
      <c r="O467" s="360"/>
      <c r="P467" s="359"/>
      <c r="Q467" s="360"/>
      <c r="R467" s="360"/>
      <c r="S467" s="360"/>
    </row>
    <row r="468" spans="4:19">
      <c r="D468" s="360"/>
      <c r="E468" s="360"/>
      <c r="F468" s="360"/>
      <c r="G468" s="360"/>
      <c r="H468" s="360"/>
      <c r="I468" s="360"/>
      <c r="J468" s="360"/>
      <c r="K468" s="360"/>
      <c r="L468" s="360"/>
      <c r="M468" s="360"/>
      <c r="N468" s="360"/>
      <c r="O468" s="360"/>
      <c r="P468" s="359"/>
      <c r="Q468" s="360"/>
      <c r="R468" s="360"/>
      <c r="S468" s="360"/>
    </row>
    <row r="469" spans="4:19">
      <c r="D469" s="360"/>
      <c r="E469" s="360"/>
      <c r="F469" s="360"/>
      <c r="G469" s="360"/>
      <c r="H469" s="360"/>
      <c r="I469" s="360"/>
      <c r="J469" s="360"/>
      <c r="K469" s="360"/>
      <c r="L469" s="360"/>
      <c r="M469" s="360"/>
      <c r="N469" s="360"/>
      <c r="O469" s="360"/>
      <c r="P469" s="359"/>
      <c r="Q469" s="360"/>
      <c r="R469" s="360"/>
      <c r="S469" s="360"/>
    </row>
    <row r="470" spans="4:19">
      <c r="D470" s="360"/>
      <c r="E470" s="360"/>
      <c r="F470" s="360"/>
      <c r="G470" s="360"/>
      <c r="H470" s="360"/>
      <c r="I470" s="360"/>
      <c r="J470" s="360"/>
      <c r="K470" s="360"/>
      <c r="L470" s="360"/>
      <c r="M470" s="360"/>
      <c r="N470" s="360"/>
      <c r="O470" s="360"/>
      <c r="P470" s="359"/>
      <c r="Q470" s="360"/>
      <c r="R470" s="360"/>
      <c r="S470" s="360"/>
    </row>
    <row r="471" spans="4:19">
      <c r="D471" s="360"/>
      <c r="E471" s="360"/>
      <c r="F471" s="360"/>
      <c r="G471" s="360"/>
      <c r="H471" s="360"/>
      <c r="I471" s="360"/>
      <c r="J471" s="360"/>
      <c r="K471" s="360"/>
      <c r="L471" s="360"/>
      <c r="M471" s="360"/>
      <c r="N471" s="360"/>
      <c r="O471" s="360"/>
      <c r="P471" s="359"/>
      <c r="Q471" s="360"/>
      <c r="R471" s="360"/>
      <c r="S471" s="360"/>
    </row>
  </sheetData>
  <mergeCells count="139">
    <mergeCell ref="C8:D8"/>
    <mergeCell ref="T8:X8"/>
    <mergeCell ref="K10:N10"/>
    <mergeCell ref="K11:N11"/>
    <mergeCell ref="F12:H12"/>
    <mergeCell ref="K12:N12"/>
    <mergeCell ref="E2:N3"/>
    <mergeCell ref="T4:X4"/>
    <mergeCell ref="T5:X5"/>
    <mergeCell ref="T6:X6"/>
    <mergeCell ref="E7:M8"/>
    <mergeCell ref="N7:Q8"/>
    <mergeCell ref="T7:X7"/>
    <mergeCell ref="D17:G17"/>
    <mergeCell ref="J17:K17"/>
    <mergeCell ref="R17:S17"/>
    <mergeCell ref="D20:G20"/>
    <mergeCell ref="J20:K20"/>
    <mergeCell ref="N20:O20"/>
    <mergeCell ref="R20:S20"/>
    <mergeCell ref="D14:G14"/>
    <mergeCell ref="J14:K14"/>
    <mergeCell ref="N14:O14"/>
    <mergeCell ref="R14:S14"/>
    <mergeCell ref="D16:G16"/>
    <mergeCell ref="J16:K16"/>
    <mergeCell ref="N16:O16"/>
    <mergeCell ref="R16:S16"/>
    <mergeCell ref="D25:G25"/>
    <mergeCell ref="J25:K25"/>
    <mergeCell ref="N25:O25"/>
    <mergeCell ref="R25:S25"/>
    <mergeCell ref="R27:S27"/>
    <mergeCell ref="D28:G28"/>
    <mergeCell ref="J28:K28"/>
    <mergeCell ref="N28:O28"/>
    <mergeCell ref="D21:G21"/>
    <mergeCell ref="J21:K21"/>
    <mergeCell ref="N21:O21"/>
    <mergeCell ref="R21:S21"/>
    <mergeCell ref="D24:G24"/>
    <mergeCell ref="J24:K24"/>
    <mergeCell ref="N24:O24"/>
    <mergeCell ref="R24:S24"/>
    <mergeCell ref="D32:G32"/>
    <mergeCell ref="J32:K32"/>
    <mergeCell ref="N32:O32"/>
    <mergeCell ref="R32:S32"/>
    <mergeCell ref="D33:G33"/>
    <mergeCell ref="J33:K33"/>
    <mergeCell ref="N33:O33"/>
    <mergeCell ref="D29:G29"/>
    <mergeCell ref="J29:K29"/>
    <mergeCell ref="N29:O29"/>
    <mergeCell ref="R29:S29"/>
    <mergeCell ref="R30:S30"/>
    <mergeCell ref="R31:S31"/>
    <mergeCell ref="D37:G37"/>
    <mergeCell ref="J37:K37"/>
    <mergeCell ref="N37:O37"/>
    <mergeCell ref="D38:G38"/>
    <mergeCell ref="R38:S38"/>
    <mergeCell ref="N39:O39"/>
    <mergeCell ref="R39:S39"/>
    <mergeCell ref="J34:K34"/>
    <mergeCell ref="R34:S34"/>
    <mergeCell ref="R35:S35"/>
    <mergeCell ref="D36:G36"/>
    <mergeCell ref="J36:K36"/>
    <mergeCell ref="N36:O36"/>
    <mergeCell ref="D42:G42"/>
    <mergeCell ref="J42:K42"/>
    <mergeCell ref="N42:O42"/>
    <mergeCell ref="D43:G43"/>
    <mergeCell ref="J43:K43"/>
    <mergeCell ref="R43:S43"/>
    <mergeCell ref="D40:G40"/>
    <mergeCell ref="J40:K40"/>
    <mergeCell ref="D41:G41"/>
    <mergeCell ref="J41:K41"/>
    <mergeCell ref="N41:O41"/>
    <mergeCell ref="R41:S41"/>
    <mergeCell ref="D49:G49"/>
    <mergeCell ref="J49:K49"/>
    <mergeCell ref="D50:G50"/>
    <mergeCell ref="J50:K50"/>
    <mergeCell ref="N50:O50"/>
    <mergeCell ref="R50:S50"/>
    <mergeCell ref="R44:S44"/>
    <mergeCell ref="D45:G45"/>
    <mergeCell ref="J45:K45"/>
    <mergeCell ref="N45:O45"/>
    <mergeCell ref="D46:G46"/>
    <mergeCell ref="J46:K46"/>
    <mergeCell ref="N46:O46"/>
    <mergeCell ref="N51:O51"/>
    <mergeCell ref="R52:S52"/>
    <mergeCell ref="J53:K53"/>
    <mergeCell ref="R53:S53"/>
    <mergeCell ref="J54:K54"/>
    <mergeCell ref="N54:O54"/>
    <mergeCell ref="R47:S47"/>
    <mergeCell ref="N48:O48"/>
    <mergeCell ref="R48:S48"/>
    <mergeCell ref="N59:O59"/>
    <mergeCell ref="R59:S59"/>
    <mergeCell ref="N60:O60"/>
    <mergeCell ref="D61:G61"/>
    <mergeCell ref="J61:K61"/>
    <mergeCell ref="R61:S61"/>
    <mergeCell ref="N55:O55"/>
    <mergeCell ref="R56:S56"/>
    <mergeCell ref="D57:G57"/>
    <mergeCell ref="J57:K57"/>
    <mergeCell ref="N57:O57"/>
    <mergeCell ref="D58:G58"/>
    <mergeCell ref="J58:K58"/>
    <mergeCell ref="D65:G65"/>
    <mergeCell ref="J65:K65"/>
    <mergeCell ref="D66:G66"/>
    <mergeCell ref="J66:K66"/>
    <mergeCell ref="R66:S66"/>
    <mergeCell ref="R67:S67"/>
    <mergeCell ref="D62:G62"/>
    <mergeCell ref="J62:K62"/>
    <mergeCell ref="R62:S62"/>
    <mergeCell ref="N63:O63"/>
    <mergeCell ref="N64:O64"/>
    <mergeCell ref="R64:S64"/>
    <mergeCell ref="D73:G73"/>
    <mergeCell ref="D74:G74"/>
    <mergeCell ref="N76:O76"/>
    <mergeCell ref="N77:O77"/>
    <mergeCell ref="D69:G69"/>
    <mergeCell ref="J69:K69"/>
    <mergeCell ref="R69:S69"/>
    <mergeCell ref="D70:G70"/>
    <mergeCell ref="R71:S71"/>
    <mergeCell ref="R72:S72"/>
  </mergeCells>
  <pageMargins left="0.7" right="0.7" top="0.75" bottom="0.75" header="0.3" footer="0.3"/>
  <pageSetup paperSize="0" orientation="portrait" horizontalDpi="0" verticalDpi="0" copie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F120-D7BE-40A8-8E5B-88B1D96D491A}">
  <sheetPr codeName="Feuil23">
    <tabColor rgb="FFFFC000"/>
  </sheetPr>
  <dimension ref="A1:AA105"/>
  <sheetViews>
    <sheetView zoomScaleNormal="100" zoomScaleSheetLayoutView="100" workbookViewId="0">
      <pane xSplit="1" ySplit="2" topLeftCell="B44" activePane="bottomRight" state="frozen"/>
      <selection pane="topRight" activeCell="B1" sqref="B1"/>
      <selection pane="bottomLeft" activeCell="A3" sqref="A3"/>
      <selection pane="bottomRight" activeCell="A67" sqref="A67:XFD67"/>
    </sheetView>
  </sheetViews>
  <sheetFormatPr baseColWidth="10" defaultRowHeight="15"/>
  <cols>
    <col min="2" max="2" width="16.5703125" style="141" customWidth="1"/>
    <col min="3" max="3" width="58.42578125" bestFit="1" customWidth="1"/>
    <col min="4" max="4" width="23.140625" style="320" customWidth="1"/>
    <col min="5" max="5" width="13.85546875" customWidth="1"/>
    <col min="6" max="6" width="12.140625" style="103" customWidth="1"/>
    <col min="8" max="9" width="12.140625" style="103" customWidth="1"/>
    <col min="12" max="12" width="60.140625" customWidth="1"/>
    <col min="13" max="13" width="50.140625" customWidth="1"/>
    <col min="14" max="14" width="14.140625" customWidth="1"/>
    <col min="15" max="15" width="46.28515625" customWidth="1"/>
    <col min="17" max="26" width="11.42578125" hidden="1" customWidth="1"/>
    <col min="27" max="27" width="10.42578125" hidden="1" customWidth="1"/>
  </cols>
  <sheetData>
    <row r="1" spans="1:27" ht="35.25" customHeight="1" thickBot="1">
      <c r="A1" s="210" t="s">
        <v>289</v>
      </c>
      <c r="B1" s="790" t="s">
        <v>290</v>
      </c>
      <c r="C1" s="210" t="s">
        <v>291</v>
      </c>
      <c r="D1" s="517" t="s">
        <v>250</v>
      </c>
      <c r="E1" s="517" t="s">
        <v>241</v>
      </c>
      <c r="F1" s="517" t="s">
        <v>204</v>
      </c>
      <c r="G1" s="790" t="s">
        <v>208</v>
      </c>
      <c r="H1" s="517" t="s">
        <v>242</v>
      </c>
      <c r="I1" s="517" t="s">
        <v>292</v>
      </c>
      <c r="J1" s="180" t="s">
        <v>293</v>
      </c>
      <c r="K1" s="180" t="s">
        <v>243</v>
      </c>
      <c r="L1" s="790" t="s">
        <v>294</v>
      </c>
      <c r="M1" s="517" t="s">
        <v>205</v>
      </c>
      <c r="N1" s="790" t="s">
        <v>244</v>
      </c>
      <c r="O1" s="790" t="s">
        <v>212</v>
      </c>
    </row>
    <row r="2" spans="1:27" ht="15.75" thickBot="1">
      <c r="A2" s="181" t="s">
        <v>203</v>
      </c>
      <c r="B2" s="791"/>
      <c r="C2" s="211"/>
      <c r="D2" s="518"/>
      <c r="E2" s="518"/>
      <c r="F2" s="518"/>
      <c r="G2" s="791"/>
      <c r="H2" s="518"/>
      <c r="I2" s="518"/>
      <c r="J2" s="518" t="s">
        <v>206</v>
      </c>
      <c r="K2" s="518" t="s">
        <v>207</v>
      </c>
      <c r="L2" s="791"/>
      <c r="M2" s="518"/>
      <c r="N2" s="791"/>
      <c r="O2" s="792"/>
    </row>
    <row r="3" spans="1:27" ht="47.25" thickBot="1">
      <c r="A3" s="45" t="s">
        <v>202</v>
      </c>
      <c r="B3" s="207"/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176"/>
    </row>
    <row r="4" spans="1:27">
      <c r="A4" s="810" t="s">
        <v>201</v>
      </c>
      <c r="B4" s="811"/>
      <c r="C4" s="519" t="s">
        <v>57</v>
      </c>
      <c r="D4" s="214"/>
      <c r="E4" s="214"/>
      <c r="F4" s="214"/>
      <c r="G4" s="214"/>
      <c r="H4" s="214"/>
      <c r="I4" s="215"/>
      <c r="J4" s="66">
        <f>SUM(AA50:AA98)</f>
        <v>0</v>
      </c>
      <c r="K4" s="67">
        <f>SUM(W12:W105)</f>
        <v>1</v>
      </c>
      <c r="L4" s="79"/>
      <c r="M4" s="520"/>
      <c r="N4" s="216"/>
      <c r="O4" s="177"/>
    </row>
    <row r="5" spans="1:27">
      <c r="A5" s="812"/>
      <c r="B5" s="813"/>
      <c r="C5" s="521" t="s">
        <v>296</v>
      </c>
      <c r="D5" s="522"/>
      <c r="E5" s="522"/>
      <c r="F5" s="522"/>
      <c r="G5" s="522"/>
      <c r="H5" s="522"/>
      <c r="I5" s="522"/>
      <c r="J5" s="30">
        <f>SUM(Z50:Z105)</f>
        <v>0</v>
      </c>
      <c r="K5" s="31">
        <f>SUM(V12:V105)</f>
        <v>1</v>
      </c>
      <c r="L5" s="217"/>
      <c r="M5" s="523"/>
      <c r="N5" s="218"/>
      <c r="O5" s="177"/>
    </row>
    <row r="6" spans="1:27">
      <c r="A6" s="812"/>
      <c r="B6" s="813"/>
      <c r="C6" s="524" t="s">
        <v>209</v>
      </c>
      <c r="D6" s="525"/>
      <c r="E6" s="525"/>
      <c r="F6" s="525"/>
      <c r="G6" s="525"/>
      <c r="H6" s="525"/>
      <c r="I6" s="525"/>
      <c r="J6" s="322" t="s">
        <v>59</v>
      </c>
      <c r="K6" s="33">
        <f>SUM(U12:U105)</f>
        <v>1</v>
      </c>
      <c r="L6" s="219"/>
      <c r="M6" s="526"/>
      <c r="N6" s="220"/>
      <c r="O6" s="177"/>
    </row>
    <row r="7" spans="1:27">
      <c r="A7" s="812"/>
      <c r="B7" s="813"/>
      <c r="C7" s="527" t="s">
        <v>210</v>
      </c>
      <c r="D7" s="528"/>
      <c r="E7" s="528"/>
      <c r="F7" s="528"/>
      <c r="G7" s="528"/>
      <c r="H7" s="528"/>
      <c r="I7" s="528"/>
      <c r="J7" s="322" t="s">
        <v>59</v>
      </c>
      <c r="K7" s="35">
        <f>SUM(T12:T105)</f>
        <v>1</v>
      </c>
      <c r="L7" s="221"/>
      <c r="M7" s="529"/>
      <c r="N7" s="222"/>
      <c r="O7" s="177"/>
    </row>
    <row r="8" spans="1:27">
      <c r="A8" s="812"/>
      <c r="B8" s="813"/>
      <c r="C8" s="228" t="s">
        <v>297</v>
      </c>
      <c r="D8" s="229"/>
      <c r="E8" s="229"/>
      <c r="F8" s="229"/>
      <c r="G8" s="229"/>
      <c r="H8" s="229"/>
      <c r="I8" s="229"/>
      <c r="J8" s="322" t="s">
        <v>59</v>
      </c>
      <c r="K8" s="230">
        <f>SUM(S12:S105)</f>
        <v>1</v>
      </c>
      <c r="L8" s="231"/>
      <c r="M8" s="232"/>
      <c r="N8" s="233"/>
      <c r="O8" s="177"/>
    </row>
    <row r="9" spans="1:27" ht="15.75" thickBot="1">
      <c r="A9" s="812"/>
      <c r="B9" s="813"/>
      <c r="C9" s="530" t="s">
        <v>59</v>
      </c>
      <c r="D9" s="531"/>
      <c r="E9" s="531"/>
      <c r="F9" s="531"/>
      <c r="G9" s="531"/>
      <c r="H9" s="531"/>
      <c r="I9" s="531"/>
      <c r="J9" s="36">
        <f>SUM(Y50:Y98)</f>
        <v>0</v>
      </c>
      <c r="K9" s="37">
        <f>SUM(R12:R105)</f>
        <v>1</v>
      </c>
      <c r="L9" s="223"/>
      <c r="M9" s="532"/>
      <c r="N9" s="224"/>
      <c r="O9" s="177"/>
    </row>
    <row r="10" spans="1:27" ht="15.75" thickBot="1">
      <c r="A10" s="812"/>
      <c r="B10" s="813"/>
      <c r="C10" s="212" t="s">
        <v>211</v>
      </c>
      <c r="D10" s="213"/>
      <c r="E10" s="213"/>
      <c r="F10" s="213"/>
      <c r="G10" s="213"/>
      <c r="H10" s="213"/>
      <c r="I10" s="213"/>
      <c r="J10" s="38">
        <f>SUM(X50:X98)</f>
        <v>0</v>
      </c>
      <c r="K10" s="39">
        <f>SUM(Q12:Q105)</f>
        <v>1</v>
      </c>
      <c r="L10" s="225"/>
      <c r="M10" s="226"/>
      <c r="N10" s="227"/>
      <c r="O10" s="177"/>
      <c r="Q10" s="797" t="s">
        <v>214</v>
      </c>
      <c r="R10" s="798"/>
      <c r="S10" s="798"/>
      <c r="T10" s="798"/>
      <c r="U10" s="798"/>
      <c r="V10" s="798"/>
      <c r="W10" s="799"/>
      <c r="X10" s="797" t="s">
        <v>206</v>
      </c>
      <c r="Y10" s="798"/>
      <c r="Z10" s="798"/>
      <c r="AA10" s="800"/>
    </row>
    <row r="11" spans="1:27">
      <c r="A11" s="812"/>
      <c r="B11" s="813"/>
      <c r="C11" s="236" t="s">
        <v>66</v>
      </c>
      <c r="D11" s="209"/>
      <c r="E11" s="209"/>
      <c r="F11" s="209"/>
      <c r="G11" s="209"/>
      <c r="H11" s="209"/>
      <c r="I11" s="209"/>
      <c r="J11" s="174">
        <f>SUM(J4:J10)</f>
        <v>0</v>
      </c>
      <c r="K11" s="175">
        <f>SUM(K4:K10)</f>
        <v>7</v>
      </c>
      <c r="L11" s="241"/>
      <c r="M11" s="242"/>
      <c r="N11" s="243"/>
      <c r="O11" s="177"/>
      <c r="Q11" s="3" t="s">
        <v>211</v>
      </c>
      <c r="R11" s="4" t="s">
        <v>59</v>
      </c>
      <c r="S11" s="4" t="s">
        <v>297</v>
      </c>
      <c r="T11" s="4" t="s">
        <v>210</v>
      </c>
      <c r="U11" s="4" t="s">
        <v>213</v>
      </c>
      <c r="V11" s="4" t="s">
        <v>296</v>
      </c>
      <c r="W11" s="5" t="s">
        <v>62</v>
      </c>
      <c r="X11" s="3" t="s">
        <v>211</v>
      </c>
      <c r="Y11" s="4" t="s">
        <v>59</v>
      </c>
      <c r="Z11" s="4" t="s">
        <v>63</v>
      </c>
      <c r="AA11" s="6" t="s">
        <v>62</v>
      </c>
    </row>
    <row r="12" spans="1:27" s="2" customFormat="1" ht="15.75" customHeight="1">
      <c r="A12" s="321"/>
      <c r="B12" s="814" t="s">
        <v>449</v>
      </c>
      <c r="C12" s="814"/>
      <c r="D12" s="814"/>
      <c r="E12" s="814"/>
      <c r="F12" s="814"/>
      <c r="G12" s="814"/>
      <c r="H12" s="814"/>
      <c r="I12" s="814"/>
      <c r="J12" s="814"/>
      <c r="K12" s="814"/>
      <c r="L12" s="814"/>
      <c r="M12" s="814"/>
      <c r="N12" s="814"/>
      <c r="O12" s="815"/>
      <c r="P12"/>
      <c r="Q12" s="9">
        <f>IF(K12="On going",1,0)</f>
        <v>0</v>
      </c>
      <c r="R12" s="10">
        <f>IF(K12="NA",1,0)</f>
        <v>0</v>
      </c>
      <c r="S12" s="10">
        <f>IF(K12="Deviation",1,0)</f>
        <v>0</v>
      </c>
      <c r="T12" s="1">
        <f>IF(K12="In analysis",1,0)</f>
        <v>0</v>
      </c>
      <c r="U12" s="1">
        <f>IF(K12="NOK minor",1,0)</f>
        <v>0</v>
      </c>
      <c r="V12" s="1">
        <f>IF(K12="NOK major",1,0)</f>
        <v>0</v>
      </c>
      <c r="W12" s="7">
        <f>IF(K12="OK",1,0)</f>
        <v>0</v>
      </c>
      <c r="X12" s="9">
        <f>IF($J12="On going",1,0)</f>
        <v>0</v>
      </c>
      <c r="Y12" s="10">
        <f>IF($J12="NA",1,0)</f>
        <v>0</v>
      </c>
      <c r="Z12" s="1">
        <f>IF($J12="NOK",1,0)</f>
        <v>0</v>
      </c>
      <c r="AA12" s="8">
        <f>IF($J12="OK",1,0)</f>
        <v>0</v>
      </c>
    </row>
    <row r="13" spans="1:27" s="2" customFormat="1">
      <c r="A13" s="321"/>
      <c r="B13" s="240" t="str">
        <f>'RFQ response'!C8</f>
        <v>C_ET_01_V</v>
      </c>
      <c r="C13" s="237" t="str">
        <f>'RFQ response'!E8</f>
        <v>Resistance to usual power supply voltages</v>
      </c>
      <c r="D13" s="74" t="str">
        <f>'RFQ response'!D8</f>
        <v>REQ-0945093</v>
      </c>
      <c r="E13" s="238" t="str">
        <f>'RFQ response'!M8</f>
        <v>OK</v>
      </c>
      <c r="F13" s="75"/>
      <c r="G13" s="74"/>
      <c r="H13" s="74"/>
      <c r="I13" s="95"/>
      <c r="J13" s="75" t="s">
        <v>57</v>
      </c>
      <c r="K13" s="74" t="s">
        <v>57</v>
      </c>
      <c r="L13" s="74"/>
      <c r="M13" s="173"/>
      <c r="N13" s="239"/>
      <c r="O13" s="239"/>
      <c r="P13"/>
      <c r="Q13" s="9">
        <f t="shared" ref="Q13:Q16" si="0">IF(K13="On going",1,0)</f>
        <v>0</v>
      </c>
      <c r="R13" s="10">
        <f t="shared" ref="R13:R16" si="1">IF(K13="NA",1,0)</f>
        <v>0</v>
      </c>
      <c r="S13" s="10">
        <f t="shared" ref="S13:S16" si="2">IF(K13="Deviation",1,0)</f>
        <v>0</v>
      </c>
      <c r="T13" s="1">
        <f t="shared" ref="T13:T16" si="3">IF(K13="In analysis",1,0)</f>
        <v>0</v>
      </c>
      <c r="U13" s="1">
        <f t="shared" ref="U13:U16" si="4">IF(K13="NOK minor",1,0)</f>
        <v>0</v>
      </c>
      <c r="V13" s="1">
        <f t="shared" ref="V13:V16" si="5">IF(K13="NOK major",1,0)</f>
        <v>0</v>
      </c>
      <c r="W13" s="7">
        <f t="shared" ref="W13:W16" si="6">IF(K13="OK",1,0)</f>
        <v>1</v>
      </c>
      <c r="X13" s="9">
        <f t="shared" ref="X13:X16" si="7">IF($J13="On going",1,0)</f>
        <v>0</v>
      </c>
      <c r="Y13" s="10">
        <f t="shared" ref="Y13:Y16" si="8">IF($J13="NA",1,0)</f>
        <v>0</v>
      </c>
      <c r="Z13" s="1">
        <f t="shared" ref="Z13:Z16" si="9">IF($J13="NOK",1,0)</f>
        <v>0</v>
      </c>
      <c r="AA13" s="8">
        <f t="shared" ref="AA13:AA16" si="10">IF($J13="OK",1,0)</f>
        <v>1</v>
      </c>
    </row>
    <row r="14" spans="1:27" s="2" customFormat="1">
      <c r="A14" s="321"/>
      <c r="B14" s="240" t="str">
        <f>'RFQ response'!C9</f>
        <v>C_ET_02_V</v>
      </c>
      <c r="C14" s="237" t="str">
        <f>'RFQ response'!E9</f>
        <v xml:space="preserve">Resistance to exceptional supply voltage </v>
      </c>
      <c r="D14" s="74" t="str">
        <f>'RFQ response'!D9</f>
        <v>REQ-0945094</v>
      </c>
      <c r="E14" s="238" t="str">
        <f>'RFQ response'!M9</f>
        <v>OK</v>
      </c>
      <c r="F14" s="75"/>
      <c r="G14" s="74"/>
      <c r="H14" s="74"/>
      <c r="I14" s="95"/>
      <c r="J14" s="75" t="s">
        <v>63</v>
      </c>
      <c r="K14" s="74" t="s">
        <v>296</v>
      </c>
      <c r="L14" s="74"/>
      <c r="M14" s="173"/>
      <c r="N14" s="239"/>
      <c r="O14" s="239"/>
      <c r="P14"/>
      <c r="Q14" s="9">
        <f t="shared" si="0"/>
        <v>0</v>
      </c>
      <c r="R14" s="10">
        <f t="shared" si="1"/>
        <v>0</v>
      </c>
      <c r="S14" s="10">
        <f t="shared" si="2"/>
        <v>0</v>
      </c>
      <c r="T14" s="1">
        <f t="shared" si="3"/>
        <v>0</v>
      </c>
      <c r="U14" s="1">
        <f t="shared" si="4"/>
        <v>0</v>
      </c>
      <c r="V14" s="1">
        <f t="shared" si="5"/>
        <v>1</v>
      </c>
      <c r="W14" s="7">
        <f t="shared" si="6"/>
        <v>0</v>
      </c>
      <c r="X14" s="9">
        <f t="shared" si="7"/>
        <v>0</v>
      </c>
      <c r="Y14" s="10">
        <f t="shared" si="8"/>
        <v>0</v>
      </c>
      <c r="Z14" s="1">
        <f t="shared" si="9"/>
        <v>1</v>
      </c>
      <c r="AA14" s="8">
        <f t="shared" si="10"/>
        <v>0</v>
      </c>
    </row>
    <row r="15" spans="1:27" s="2" customFormat="1" ht="22.5">
      <c r="A15" s="321"/>
      <c r="B15" s="240" t="str">
        <f>'RFQ response'!C10</f>
        <v>C_ET_03_V</v>
      </c>
      <c r="C15" s="237" t="str">
        <f>'RFQ response'!E10</f>
        <v>Resistance to unusual power supply voltages (U=24V)
Resistance to unusual power supply voltages (U=-14V)</v>
      </c>
      <c r="D15" s="74" t="str">
        <f>'RFQ response'!D10</f>
        <v>REQ-0945095
REQ-0945096</v>
      </c>
      <c r="E15" s="238" t="str">
        <f>'RFQ response'!M10</f>
        <v>OK</v>
      </c>
      <c r="F15" s="75"/>
      <c r="G15" s="74"/>
      <c r="H15" s="74"/>
      <c r="I15" s="95"/>
      <c r="J15" s="75" t="s">
        <v>59</v>
      </c>
      <c r="K15" s="74" t="s">
        <v>297</v>
      </c>
      <c r="L15" s="74"/>
      <c r="M15" s="173"/>
      <c r="N15" s="239"/>
      <c r="O15" s="239"/>
      <c r="P15"/>
      <c r="Q15" s="9">
        <f t="shared" si="0"/>
        <v>0</v>
      </c>
      <c r="R15" s="10">
        <f t="shared" si="1"/>
        <v>0</v>
      </c>
      <c r="S15" s="10">
        <f t="shared" si="2"/>
        <v>1</v>
      </c>
      <c r="T15" s="1">
        <f t="shared" si="3"/>
        <v>0</v>
      </c>
      <c r="U15" s="1">
        <f t="shared" si="4"/>
        <v>0</v>
      </c>
      <c r="V15" s="1">
        <f t="shared" si="5"/>
        <v>0</v>
      </c>
      <c r="W15" s="7">
        <f t="shared" si="6"/>
        <v>0</v>
      </c>
      <c r="X15" s="9">
        <f t="shared" si="7"/>
        <v>0</v>
      </c>
      <c r="Y15" s="10">
        <f t="shared" si="8"/>
        <v>1</v>
      </c>
      <c r="Z15" s="1">
        <f t="shared" si="9"/>
        <v>0</v>
      </c>
      <c r="AA15" s="8">
        <f t="shared" si="10"/>
        <v>0</v>
      </c>
    </row>
    <row r="16" spans="1:27" s="2" customFormat="1">
      <c r="A16" s="321"/>
      <c r="B16" s="240" t="str">
        <f>'RFQ response'!C11</f>
        <v>C_ET_04_V</v>
      </c>
      <c r="C16" s="237" t="str">
        <f>'RFQ response'!E11</f>
        <v xml:space="preserve">Resistance to slow decrease and increase of supply voltage </v>
      </c>
      <c r="D16" s="74" t="str">
        <f>'RFQ response'!D11</f>
        <v>REQ-0945097</v>
      </c>
      <c r="E16" s="238" t="str">
        <f>'RFQ response'!M11</f>
        <v>OK</v>
      </c>
      <c r="F16" s="75"/>
      <c r="G16" s="74"/>
      <c r="H16" s="74"/>
      <c r="I16" s="95"/>
      <c r="J16" s="75" t="s">
        <v>211</v>
      </c>
      <c r="K16" s="74" t="s">
        <v>209</v>
      </c>
      <c r="L16" s="74"/>
      <c r="M16" s="173"/>
      <c r="N16" s="239"/>
      <c r="O16" s="239"/>
      <c r="P16"/>
      <c r="Q16" s="9">
        <f t="shared" si="0"/>
        <v>0</v>
      </c>
      <c r="R16" s="10">
        <f t="shared" si="1"/>
        <v>0</v>
      </c>
      <c r="S16" s="10">
        <f t="shared" si="2"/>
        <v>0</v>
      </c>
      <c r="T16" s="1">
        <f t="shared" si="3"/>
        <v>0</v>
      </c>
      <c r="U16" s="1">
        <f t="shared" si="4"/>
        <v>1</v>
      </c>
      <c r="V16" s="1">
        <f t="shared" si="5"/>
        <v>0</v>
      </c>
      <c r="W16" s="7">
        <f t="shared" si="6"/>
        <v>0</v>
      </c>
      <c r="X16" s="9">
        <f t="shared" si="7"/>
        <v>1</v>
      </c>
      <c r="Y16" s="10">
        <f t="shared" si="8"/>
        <v>0</v>
      </c>
      <c r="Z16" s="1">
        <f t="shared" si="9"/>
        <v>0</v>
      </c>
      <c r="AA16" s="8">
        <f t="shared" si="10"/>
        <v>0</v>
      </c>
    </row>
    <row r="17" spans="1:27" s="2" customFormat="1">
      <c r="A17" s="321"/>
      <c r="B17" s="240" t="str">
        <f>'RFQ response'!C12</f>
        <v>C_ET_05_V</v>
      </c>
      <c r="C17" s="237" t="str">
        <f>'RFQ response'!E12</f>
        <v>Reset behavior at voltage drop</v>
      </c>
      <c r="D17" s="74" t="str">
        <f>'RFQ response'!D12</f>
        <v>REQ-0945098</v>
      </c>
      <c r="E17" s="238" t="str">
        <f>'RFQ response'!M12</f>
        <v>OK</v>
      </c>
      <c r="F17" s="75"/>
      <c r="G17" s="74"/>
      <c r="H17" s="74"/>
      <c r="I17" s="95"/>
      <c r="J17" s="75"/>
      <c r="K17" s="74" t="s">
        <v>210</v>
      </c>
      <c r="L17" s="74"/>
      <c r="M17" s="173"/>
      <c r="N17" s="239"/>
      <c r="O17" s="239"/>
      <c r="P17"/>
      <c r="Q17" s="9">
        <f t="shared" ref="Q17:Q32" si="11">IF(K17="On going",1,0)</f>
        <v>0</v>
      </c>
      <c r="R17" s="10">
        <f t="shared" ref="R17:R32" si="12">IF(K17="NA",1,0)</f>
        <v>0</v>
      </c>
      <c r="S17" s="10">
        <f t="shared" ref="S17:S32" si="13">IF(K17="Deviation",1,0)</f>
        <v>0</v>
      </c>
      <c r="T17" s="1">
        <f t="shared" ref="T17:T32" si="14">IF(K17="In analysis",1,0)</f>
        <v>1</v>
      </c>
      <c r="U17" s="1">
        <f t="shared" ref="U17:U32" si="15">IF(K17="NOK minor",1,0)</f>
        <v>0</v>
      </c>
      <c r="V17" s="1">
        <f t="shared" ref="V17:V32" si="16">IF(K17="NOK major",1,0)</f>
        <v>0</v>
      </c>
      <c r="W17" s="7">
        <f t="shared" ref="W17:W32" si="17">IF(K17="OK",1,0)</f>
        <v>0</v>
      </c>
      <c r="X17" s="9">
        <f t="shared" ref="X17:X32" si="18">IF($J17="On going",1,0)</f>
        <v>0</v>
      </c>
      <c r="Y17" s="10">
        <f t="shared" ref="Y17:Y32" si="19">IF($J17="NA",1,0)</f>
        <v>0</v>
      </c>
      <c r="Z17" s="1">
        <f t="shared" ref="Z17:Z32" si="20">IF($J17="NOK",1,0)</f>
        <v>0</v>
      </c>
      <c r="AA17" s="8">
        <f t="shared" ref="AA17:AA32" si="21">IF($J17="OK",1,0)</f>
        <v>0</v>
      </c>
    </row>
    <row r="18" spans="1:27" s="2" customFormat="1">
      <c r="A18" s="321"/>
      <c r="B18" s="240" t="str">
        <f>'RFQ response'!C13</f>
        <v>C_ET_06_V</v>
      </c>
      <c r="C18" s="237" t="str">
        <f>'RFQ response'!E13</f>
        <v>Supply voltage drop out</v>
      </c>
      <c r="D18" s="74" t="str">
        <f>'RFQ response'!D13</f>
        <v>REQ-0945099</v>
      </c>
      <c r="E18" s="238" t="str">
        <f>'RFQ response'!M13</f>
        <v>OK</v>
      </c>
      <c r="F18" s="75"/>
      <c r="G18" s="74"/>
      <c r="H18" s="74"/>
      <c r="I18" s="95"/>
      <c r="J18" s="75"/>
      <c r="K18" s="74" t="s">
        <v>59</v>
      </c>
      <c r="L18" s="74"/>
      <c r="M18" s="173"/>
      <c r="N18" s="239"/>
      <c r="O18" s="239"/>
      <c r="P18"/>
      <c r="Q18" s="9">
        <f t="shared" si="11"/>
        <v>0</v>
      </c>
      <c r="R18" s="10">
        <f t="shared" si="12"/>
        <v>1</v>
      </c>
      <c r="S18" s="10">
        <f t="shared" si="13"/>
        <v>0</v>
      </c>
      <c r="T18" s="1">
        <f t="shared" si="14"/>
        <v>0</v>
      </c>
      <c r="U18" s="1">
        <f t="shared" si="15"/>
        <v>0</v>
      </c>
      <c r="V18" s="1">
        <f t="shared" si="16"/>
        <v>0</v>
      </c>
      <c r="W18" s="7">
        <f t="shared" si="17"/>
        <v>0</v>
      </c>
      <c r="X18" s="9">
        <f t="shared" si="18"/>
        <v>0</v>
      </c>
      <c r="Y18" s="10">
        <f t="shared" si="19"/>
        <v>0</v>
      </c>
      <c r="Z18" s="1">
        <f t="shared" si="20"/>
        <v>0</v>
      </c>
      <c r="AA18" s="8">
        <f t="shared" si="21"/>
        <v>0</v>
      </c>
    </row>
    <row r="19" spans="1:27" s="2" customFormat="1">
      <c r="A19" s="321"/>
      <c r="B19" s="240" t="str">
        <f>'RFQ response'!C14</f>
        <v>C_ET_07_V</v>
      </c>
      <c r="C19" s="237" t="str">
        <f>'RFQ response'!E14</f>
        <v>Supply voltage dips</v>
      </c>
      <c r="D19" s="74" t="str">
        <f>'RFQ response'!D14</f>
        <v>REQ-0945100</v>
      </c>
      <c r="E19" s="238" t="str">
        <f>'RFQ response'!M14</f>
        <v>OK</v>
      </c>
      <c r="F19" s="75"/>
      <c r="G19" s="74"/>
      <c r="H19" s="74"/>
      <c r="I19" s="95"/>
      <c r="J19" s="75"/>
      <c r="K19" s="74" t="s">
        <v>211</v>
      </c>
      <c r="L19" s="74"/>
      <c r="M19" s="173"/>
      <c r="N19" s="239"/>
      <c r="O19" s="239"/>
      <c r="P19"/>
      <c r="Q19" s="9">
        <f t="shared" si="11"/>
        <v>1</v>
      </c>
      <c r="R19" s="10">
        <f t="shared" si="12"/>
        <v>0</v>
      </c>
      <c r="S19" s="10">
        <f t="shared" si="13"/>
        <v>0</v>
      </c>
      <c r="T19" s="1">
        <f t="shared" si="14"/>
        <v>0</v>
      </c>
      <c r="U19" s="1">
        <f t="shared" si="15"/>
        <v>0</v>
      </c>
      <c r="V19" s="1">
        <f t="shared" si="16"/>
        <v>0</v>
      </c>
      <c r="W19" s="7">
        <f t="shared" si="17"/>
        <v>0</v>
      </c>
      <c r="X19" s="9">
        <f t="shared" si="18"/>
        <v>0</v>
      </c>
      <c r="Y19" s="10">
        <f t="shared" si="19"/>
        <v>0</v>
      </c>
      <c r="Z19" s="1">
        <f t="shared" si="20"/>
        <v>0</v>
      </c>
      <c r="AA19" s="8">
        <f t="shared" si="21"/>
        <v>0</v>
      </c>
    </row>
    <row r="20" spans="1:27" s="2" customFormat="1">
      <c r="A20" s="321"/>
      <c r="B20" s="240" t="str">
        <f>'RFQ response'!C15</f>
        <v>C_ET_08_V</v>
      </c>
      <c r="C20" s="237" t="str">
        <f>'RFQ response'!E15</f>
        <v>Supply voltage ripple</v>
      </c>
      <c r="D20" s="74" t="str">
        <f>'RFQ response'!D15</f>
        <v>REQ-0945101</v>
      </c>
      <c r="E20" s="238" t="str">
        <f>'RFQ response'!M15</f>
        <v>OK</v>
      </c>
      <c r="F20" s="75"/>
      <c r="G20" s="74"/>
      <c r="H20" s="74"/>
      <c r="I20" s="95"/>
      <c r="J20" s="75"/>
      <c r="K20" s="74"/>
      <c r="L20" s="74"/>
      <c r="M20" s="173"/>
      <c r="N20" s="239"/>
      <c r="O20" s="239"/>
      <c r="P20"/>
      <c r="Q20" s="9">
        <f t="shared" si="11"/>
        <v>0</v>
      </c>
      <c r="R20" s="10">
        <f t="shared" si="12"/>
        <v>0</v>
      </c>
      <c r="S20" s="10">
        <f t="shared" si="13"/>
        <v>0</v>
      </c>
      <c r="T20" s="1">
        <f t="shared" si="14"/>
        <v>0</v>
      </c>
      <c r="U20" s="1">
        <f t="shared" si="15"/>
        <v>0</v>
      </c>
      <c r="V20" s="1">
        <f t="shared" si="16"/>
        <v>0</v>
      </c>
      <c r="W20" s="7">
        <f t="shared" si="17"/>
        <v>0</v>
      </c>
      <c r="X20" s="9">
        <f t="shared" si="18"/>
        <v>0</v>
      </c>
      <c r="Y20" s="10">
        <f t="shared" si="19"/>
        <v>0</v>
      </c>
      <c r="Z20" s="1">
        <f t="shared" si="20"/>
        <v>0</v>
      </c>
      <c r="AA20" s="8">
        <f t="shared" si="21"/>
        <v>0</v>
      </c>
    </row>
    <row r="21" spans="1:27" s="2" customFormat="1">
      <c r="A21" s="321"/>
      <c r="B21" s="240" t="str">
        <f>'RFQ response'!C16</f>
        <v>C_ET_09_V</v>
      </c>
      <c r="C21" s="237" t="str">
        <f>'RFQ response'!E16</f>
        <v>Resistance to the “Volt Control” voltage pulse</v>
      </c>
      <c r="D21" s="74" t="str">
        <f>'RFQ response'!D16</f>
        <v>REQ-0945102</v>
      </c>
      <c r="E21" s="238" t="str">
        <f>'RFQ response'!M16</f>
        <v>OK</v>
      </c>
      <c r="F21" s="75"/>
      <c r="G21" s="74"/>
      <c r="H21" s="74"/>
      <c r="I21" s="95"/>
      <c r="J21" s="75"/>
      <c r="K21" s="74"/>
      <c r="L21" s="74"/>
      <c r="M21" s="173"/>
      <c r="N21" s="239"/>
      <c r="O21" s="239"/>
      <c r="P21"/>
      <c r="Q21" s="9">
        <f t="shared" si="11"/>
        <v>0</v>
      </c>
      <c r="R21" s="10">
        <f t="shared" si="12"/>
        <v>0</v>
      </c>
      <c r="S21" s="10">
        <f t="shared" si="13"/>
        <v>0</v>
      </c>
      <c r="T21" s="1">
        <f t="shared" si="14"/>
        <v>0</v>
      </c>
      <c r="U21" s="1">
        <f t="shared" si="15"/>
        <v>0</v>
      </c>
      <c r="V21" s="1">
        <f t="shared" si="16"/>
        <v>0</v>
      </c>
      <c r="W21" s="7">
        <f t="shared" si="17"/>
        <v>0</v>
      </c>
      <c r="X21" s="9">
        <f t="shared" si="18"/>
        <v>0</v>
      </c>
      <c r="Y21" s="10">
        <f t="shared" si="19"/>
        <v>0</v>
      </c>
      <c r="Z21" s="1">
        <f t="shared" si="20"/>
        <v>0</v>
      </c>
      <c r="AA21" s="8">
        <f t="shared" si="21"/>
        <v>0</v>
      </c>
    </row>
    <row r="22" spans="1:27" s="2" customFormat="1">
      <c r="A22" s="321"/>
      <c r="B22" s="240" t="str">
        <f>'RFQ response'!C17</f>
        <v>C_ET_10_V</v>
      </c>
      <c r="C22" s="237" t="str">
        <f>'RFQ response'!E17</f>
        <v>Ignition off draw (IOD)</v>
      </c>
      <c r="D22" s="74" t="str">
        <f>'RFQ response'!D17</f>
        <v>REQ-0945103</v>
      </c>
      <c r="E22" s="238" t="str">
        <f>'RFQ response'!M17</f>
        <v>OK</v>
      </c>
      <c r="F22" s="75"/>
      <c r="G22" s="74"/>
      <c r="H22" s="74"/>
      <c r="I22" s="95"/>
      <c r="J22" s="75"/>
      <c r="K22" s="74"/>
      <c r="L22" s="74"/>
      <c r="M22" s="173"/>
      <c r="N22" s="239"/>
      <c r="O22" s="239"/>
      <c r="P22"/>
      <c r="Q22" s="9">
        <f t="shared" si="11"/>
        <v>0</v>
      </c>
      <c r="R22" s="10">
        <f t="shared" si="12"/>
        <v>0</v>
      </c>
      <c r="S22" s="10">
        <f t="shared" si="13"/>
        <v>0</v>
      </c>
      <c r="T22" s="1">
        <f t="shared" si="14"/>
        <v>0</v>
      </c>
      <c r="U22" s="1">
        <f t="shared" si="15"/>
        <v>0</v>
      </c>
      <c r="V22" s="1">
        <f t="shared" si="16"/>
        <v>0</v>
      </c>
      <c r="W22" s="7">
        <f t="shared" si="17"/>
        <v>0</v>
      </c>
      <c r="X22" s="9">
        <f t="shared" si="18"/>
        <v>0</v>
      </c>
      <c r="Y22" s="10">
        <f t="shared" si="19"/>
        <v>0</v>
      </c>
      <c r="Z22" s="1">
        <f t="shared" si="20"/>
        <v>0</v>
      </c>
      <c r="AA22" s="8">
        <f t="shared" si="21"/>
        <v>0</v>
      </c>
    </row>
    <row r="23" spans="1:27" s="2" customFormat="1">
      <c r="A23" s="321"/>
      <c r="B23" s="240" t="str">
        <f>'RFQ response'!C18</f>
        <v>C_ET_11_V</v>
      </c>
      <c r="C23" s="237" t="str">
        <f>'RFQ response'!E18</f>
        <v>Immunity to potential difference between power supply</v>
      </c>
      <c r="D23" s="74" t="str">
        <f>'RFQ response'!D18</f>
        <v xml:space="preserve"> -</v>
      </c>
      <c r="E23" s="238" t="str">
        <f>'RFQ response'!M18</f>
        <v>NA</v>
      </c>
      <c r="F23" s="75"/>
      <c r="G23" s="74"/>
      <c r="H23" s="74"/>
      <c r="I23" s="95"/>
      <c r="J23" s="75"/>
      <c r="K23" s="74"/>
      <c r="L23" s="74"/>
      <c r="M23" s="173"/>
      <c r="N23" s="239"/>
      <c r="O23" s="239"/>
      <c r="P23"/>
      <c r="Q23" s="9">
        <f t="shared" si="11"/>
        <v>0</v>
      </c>
      <c r="R23" s="10">
        <f t="shared" si="12"/>
        <v>0</v>
      </c>
      <c r="S23" s="10">
        <f t="shared" si="13"/>
        <v>0</v>
      </c>
      <c r="T23" s="1">
        <f t="shared" si="14"/>
        <v>0</v>
      </c>
      <c r="U23" s="1">
        <f t="shared" si="15"/>
        <v>0</v>
      </c>
      <c r="V23" s="1">
        <f t="shared" si="16"/>
        <v>0</v>
      </c>
      <c r="W23" s="7">
        <f t="shared" si="17"/>
        <v>0</v>
      </c>
      <c r="X23" s="9">
        <f t="shared" si="18"/>
        <v>0</v>
      </c>
      <c r="Y23" s="10">
        <f t="shared" si="19"/>
        <v>0</v>
      </c>
      <c r="Z23" s="1">
        <f t="shared" si="20"/>
        <v>0</v>
      </c>
      <c r="AA23" s="8">
        <f t="shared" si="21"/>
        <v>0</v>
      </c>
    </row>
    <row r="24" spans="1:27" s="2" customFormat="1">
      <c r="A24" s="321"/>
      <c r="B24" s="240" t="str">
        <f>'RFQ response'!C19</f>
        <v>C_ET_12_V</v>
      </c>
      <c r="C24" s="237" t="str">
        <f>'RFQ response'!E19</f>
        <v>Immunity to ground and supply voltage short circuit</v>
      </c>
      <c r="D24" s="74" t="str">
        <f>'RFQ response'!D19</f>
        <v>REQ-0945105</v>
      </c>
      <c r="E24" s="238" t="str">
        <f>'RFQ response'!M19</f>
        <v>OK</v>
      </c>
      <c r="F24" s="75"/>
      <c r="G24" s="74"/>
      <c r="H24" s="74"/>
      <c r="I24" s="95"/>
      <c r="J24" s="75"/>
      <c r="K24" s="74"/>
      <c r="L24" s="74"/>
      <c r="M24" s="173"/>
      <c r="N24" s="239"/>
      <c r="O24" s="239"/>
      <c r="P24"/>
      <c r="Q24" s="9">
        <f t="shared" si="11"/>
        <v>0</v>
      </c>
      <c r="R24" s="10">
        <f t="shared" si="12"/>
        <v>0</v>
      </c>
      <c r="S24" s="10">
        <f t="shared" si="13"/>
        <v>0</v>
      </c>
      <c r="T24" s="1">
        <f t="shared" si="14"/>
        <v>0</v>
      </c>
      <c r="U24" s="1">
        <f t="shared" si="15"/>
        <v>0</v>
      </c>
      <c r="V24" s="1">
        <f t="shared" si="16"/>
        <v>0</v>
      </c>
      <c r="W24" s="7">
        <f t="shared" si="17"/>
        <v>0</v>
      </c>
      <c r="X24" s="9">
        <f t="shared" si="18"/>
        <v>0</v>
      </c>
      <c r="Y24" s="10">
        <f t="shared" si="19"/>
        <v>0</v>
      </c>
      <c r="Z24" s="1">
        <f t="shared" si="20"/>
        <v>0</v>
      </c>
      <c r="AA24" s="8">
        <f t="shared" si="21"/>
        <v>0</v>
      </c>
    </row>
    <row r="25" spans="1:27" s="2" customFormat="1">
      <c r="A25" s="321"/>
      <c r="B25" s="240" t="str">
        <f>'RFQ response'!C20</f>
        <v>C_TE_01_V</v>
      </c>
      <c r="C25" s="237" t="str">
        <f>'RFQ response'!E20</f>
        <v>Conducted transient emission</v>
      </c>
      <c r="D25" s="74" t="str">
        <f>'RFQ response'!D20</f>
        <v xml:space="preserve"> -</v>
      </c>
      <c r="E25" s="238" t="str">
        <f>'RFQ response'!M20</f>
        <v>NA</v>
      </c>
      <c r="F25" s="75"/>
      <c r="G25" s="74"/>
      <c r="H25" s="74"/>
      <c r="I25" s="95"/>
      <c r="J25" s="75"/>
      <c r="K25" s="74"/>
      <c r="L25" s="74"/>
      <c r="M25" s="173"/>
      <c r="N25" s="239"/>
      <c r="O25" s="239"/>
      <c r="P25"/>
      <c r="Q25" s="9">
        <f t="shared" si="11"/>
        <v>0</v>
      </c>
      <c r="R25" s="10">
        <f t="shared" si="12"/>
        <v>0</v>
      </c>
      <c r="S25" s="10">
        <f t="shared" si="13"/>
        <v>0</v>
      </c>
      <c r="T25" s="1">
        <f t="shared" si="14"/>
        <v>0</v>
      </c>
      <c r="U25" s="1">
        <f t="shared" si="15"/>
        <v>0</v>
      </c>
      <c r="V25" s="1">
        <f t="shared" si="16"/>
        <v>0</v>
      </c>
      <c r="W25" s="7">
        <f t="shared" si="17"/>
        <v>0</v>
      </c>
      <c r="X25" s="9">
        <f t="shared" si="18"/>
        <v>0</v>
      </c>
      <c r="Y25" s="10">
        <f t="shared" si="19"/>
        <v>0</v>
      </c>
      <c r="Z25" s="1">
        <f t="shared" si="20"/>
        <v>0</v>
      </c>
      <c r="AA25" s="8">
        <f t="shared" si="21"/>
        <v>0</v>
      </c>
    </row>
    <row r="26" spans="1:27" s="2" customFormat="1">
      <c r="A26" s="321"/>
      <c r="B26" s="240" t="str">
        <f>'RFQ response'!C21</f>
        <v>C_TI_01_V</v>
      </c>
      <c r="C26" s="237" t="str">
        <f>'RFQ response'!E21</f>
        <v xml:space="preserve">Transient pulses - Pulses 1 and 2a </v>
      </c>
      <c r="D26" s="74" t="str">
        <f>'RFQ response'!D21</f>
        <v>REQ-0945106</v>
      </c>
      <c r="E26" s="238" t="str">
        <f>'RFQ response'!M21</f>
        <v>OK</v>
      </c>
      <c r="F26" s="75"/>
      <c r="G26" s="74"/>
      <c r="H26" s="74"/>
      <c r="I26" s="95"/>
      <c r="J26" s="75"/>
      <c r="K26" s="74"/>
      <c r="L26" s="74"/>
      <c r="M26" s="173"/>
      <c r="N26" s="239"/>
      <c r="O26" s="239"/>
      <c r="P26"/>
      <c r="Q26" s="9">
        <f t="shared" si="11"/>
        <v>0</v>
      </c>
      <c r="R26" s="10">
        <f t="shared" si="12"/>
        <v>0</v>
      </c>
      <c r="S26" s="10">
        <f t="shared" si="13"/>
        <v>0</v>
      </c>
      <c r="T26" s="1">
        <f t="shared" si="14"/>
        <v>0</v>
      </c>
      <c r="U26" s="1">
        <f t="shared" si="15"/>
        <v>0</v>
      </c>
      <c r="V26" s="1">
        <f t="shared" si="16"/>
        <v>0</v>
      </c>
      <c r="W26" s="7">
        <f t="shared" si="17"/>
        <v>0</v>
      </c>
      <c r="X26" s="9">
        <f t="shared" si="18"/>
        <v>0</v>
      </c>
      <c r="Y26" s="10">
        <f t="shared" si="19"/>
        <v>0</v>
      </c>
      <c r="Z26" s="1">
        <f t="shared" si="20"/>
        <v>0</v>
      </c>
      <c r="AA26" s="8">
        <f t="shared" si="21"/>
        <v>0</v>
      </c>
    </row>
    <row r="27" spans="1:27" s="2" customFormat="1">
      <c r="A27" s="321"/>
      <c r="B27" s="240" t="str">
        <f>'RFQ response'!C22</f>
        <v>C_TI_02_V</v>
      </c>
      <c r="C27" s="237" t="str">
        <f>'RFQ response'!E22</f>
        <v xml:space="preserve">Transient pulses - Pulses 3a and 3b </v>
      </c>
      <c r="D27" s="74" t="str">
        <f>'RFQ response'!D22</f>
        <v>REQ-0945107</v>
      </c>
      <c r="E27" s="238" t="str">
        <f>'RFQ response'!M22</f>
        <v>OK</v>
      </c>
      <c r="F27" s="75"/>
      <c r="G27" s="74"/>
      <c r="H27" s="74"/>
      <c r="I27" s="95"/>
      <c r="J27" s="75"/>
      <c r="K27" s="74"/>
      <c r="L27" s="74"/>
      <c r="M27" s="173"/>
      <c r="N27" s="239"/>
      <c r="O27" s="239"/>
      <c r="P27"/>
      <c r="Q27" s="9">
        <f t="shared" si="11"/>
        <v>0</v>
      </c>
      <c r="R27" s="10">
        <f t="shared" si="12"/>
        <v>0</v>
      </c>
      <c r="S27" s="10">
        <f t="shared" si="13"/>
        <v>0</v>
      </c>
      <c r="T27" s="1">
        <f t="shared" si="14"/>
        <v>0</v>
      </c>
      <c r="U27" s="1">
        <f t="shared" si="15"/>
        <v>0</v>
      </c>
      <c r="V27" s="1">
        <f t="shared" si="16"/>
        <v>0</v>
      </c>
      <c r="W27" s="7">
        <f t="shared" si="17"/>
        <v>0</v>
      </c>
      <c r="X27" s="9">
        <f t="shared" si="18"/>
        <v>0</v>
      </c>
      <c r="Y27" s="10">
        <f t="shared" si="19"/>
        <v>0</v>
      </c>
      <c r="Z27" s="1">
        <f t="shared" si="20"/>
        <v>0</v>
      </c>
      <c r="AA27" s="8">
        <f t="shared" si="21"/>
        <v>0</v>
      </c>
    </row>
    <row r="28" spans="1:27" s="2" customFormat="1">
      <c r="A28" s="321"/>
      <c r="B28" s="240" t="str">
        <f>'RFQ response'!C23</f>
        <v>C_TI_03_V</v>
      </c>
      <c r="C28" s="237" t="str">
        <f>'RFQ response'!E23</f>
        <v>Engine cold and warm cranking – Pulse 4 bis</v>
      </c>
      <c r="D28" s="74" t="str">
        <f>'RFQ response'!D23</f>
        <v>REQ-0945108</v>
      </c>
      <c r="E28" s="238" t="str">
        <f>'RFQ response'!M23</f>
        <v>OK</v>
      </c>
      <c r="F28" s="75"/>
      <c r="G28" s="74"/>
      <c r="H28" s="74"/>
      <c r="I28" s="95"/>
      <c r="J28" s="75"/>
      <c r="K28" s="74"/>
      <c r="L28" s="74"/>
      <c r="M28" s="173"/>
      <c r="N28" s="239"/>
      <c r="O28" s="239"/>
      <c r="P28"/>
      <c r="Q28" s="9">
        <f t="shared" si="11"/>
        <v>0</v>
      </c>
      <c r="R28" s="10">
        <f t="shared" si="12"/>
        <v>0</v>
      </c>
      <c r="S28" s="10">
        <f t="shared" si="13"/>
        <v>0</v>
      </c>
      <c r="T28" s="1">
        <f t="shared" si="14"/>
        <v>0</v>
      </c>
      <c r="U28" s="1">
        <f t="shared" si="15"/>
        <v>0</v>
      </c>
      <c r="V28" s="1">
        <f t="shared" si="16"/>
        <v>0</v>
      </c>
      <c r="W28" s="7">
        <f t="shared" si="17"/>
        <v>0</v>
      </c>
      <c r="X28" s="9">
        <f t="shared" si="18"/>
        <v>0</v>
      </c>
      <c r="Y28" s="10">
        <f t="shared" si="19"/>
        <v>0</v>
      </c>
      <c r="Z28" s="1">
        <f t="shared" si="20"/>
        <v>0</v>
      </c>
      <c r="AA28" s="8">
        <f t="shared" si="21"/>
        <v>0</v>
      </c>
    </row>
    <row r="29" spans="1:27" s="2" customFormat="1">
      <c r="A29" s="321"/>
      <c r="B29" s="240" t="str">
        <f>'RFQ response'!C24</f>
        <v>C_TI_04_V</v>
      </c>
      <c r="C29" s="237" t="str">
        <f>'RFQ response'!E24</f>
        <v xml:space="preserve">Resistance to load dump </v>
      </c>
      <c r="D29" s="74" t="str">
        <f>'RFQ response'!D24</f>
        <v>REQ-0945109</v>
      </c>
      <c r="E29" s="238" t="str">
        <f>'RFQ response'!M24</f>
        <v>OK</v>
      </c>
      <c r="F29" s="75"/>
      <c r="G29" s="74"/>
      <c r="H29" s="74"/>
      <c r="I29" s="95"/>
      <c r="J29" s="75"/>
      <c r="K29" s="74"/>
      <c r="L29" s="74"/>
      <c r="M29" s="173"/>
      <c r="N29" s="239"/>
      <c r="O29" s="239"/>
      <c r="P29"/>
      <c r="Q29" s="9">
        <f t="shared" si="11"/>
        <v>0</v>
      </c>
      <c r="R29" s="10">
        <f t="shared" si="12"/>
        <v>0</v>
      </c>
      <c r="S29" s="10">
        <f t="shared" si="13"/>
        <v>0</v>
      </c>
      <c r="T29" s="1">
        <f t="shared" si="14"/>
        <v>0</v>
      </c>
      <c r="U29" s="1">
        <f t="shared" si="15"/>
        <v>0</v>
      </c>
      <c r="V29" s="1">
        <f t="shared" si="16"/>
        <v>0</v>
      </c>
      <c r="W29" s="7">
        <f t="shared" si="17"/>
        <v>0</v>
      </c>
      <c r="X29" s="9">
        <f t="shared" si="18"/>
        <v>0</v>
      </c>
      <c r="Y29" s="10">
        <f t="shared" si="19"/>
        <v>0</v>
      </c>
      <c r="Z29" s="1">
        <f t="shared" si="20"/>
        <v>0</v>
      </c>
      <c r="AA29" s="8">
        <f t="shared" si="21"/>
        <v>0</v>
      </c>
    </row>
    <row r="30" spans="1:27" s="2" customFormat="1">
      <c r="A30" s="321"/>
      <c r="B30" s="240" t="str">
        <f>'RFQ response'!C25</f>
        <v>C_TI_05_V</v>
      </c>
      <c r="C30" s="237" t="str">
        <f>'RFQ response'!E25</f>
        <v xml:space="preserve">Immunity to transients on signal lines – CCC method </v>
      </c>
      <c r="D30" s="74" t="str">
        <f>'RFQ response'!D25</f>
        <v>REQ-0945110</v>
      </c>
      <c r="E30" s="238" t="str">
        <f>'RFQ response'!M25</f>
        <v>OK</v>
      </c>
      <c r="F30" s="75"/>
      <c r="G30" s="74"/>
      <c r="H30" s="74"/>
      <c r="I30" s="95"/>
      <c r="J30" s="75"/>
      <c r="K30" s="74"/>
      <c r="L30" s="74"/>
      <c r="M30" s="173"/>
      <c r="N30" s="239"/>
      <c r="O30" s="239"/>
      <c r="P30"/>
      <c r="Q30" s="9">
        <f t="shared" si="11"/>
        <v>0</v>
      </c>
      <c r="R30" s="10">
        <f t="shared" si="12"/>
        <v>0</v>
      </c>
      <c r="S30" s="10">
        <f t="shared" si="13"/>
        <v>0</v>
      </c>
      <c r="T30" s="1">
        <f t="shared" si="14"/>
        <v>0</v>
      </c>
      <c r="U30" s="1">
        <f t="shared" si="15"/>
        <v>0</v>
      </c>
      <c r="V30" s="1">
        <f t="shared" si="16"/>
        <v>0</v>
      </c>
      <c r="W30" s="7">
        <f t="shared" si="17"/>
        <v>0</v>
      </c>
      <c r="X30" s="9">
        <f t="shared" si="18"/>
        <v>0</v>
      </c>
      <c r="Y30" s="10">
        <f t="shared" si="19"/>
        <v>0</v>
      </c>
      <c r="Z30" s="1">
        <f t="shared" si="20"/>
        <v>0</v>
      </c>
      <c r="AA30" s="8">
        <f t="shared" si="21"/>
        <v>0</v>
      </c>
    </row>
    <row r="31" spans="1:27" s="2" customFormat="1" ht="22.5">
      <c r="A31" s="321"/>
      <c r="B31" s="240" t="str">
        <f>'RFQ response'!C26</f>
        <v>C_TI_06_V</v>
      </c>
      <c r="C31" s="237" t="str">
        <f>'RFQ response'!E26</f>
        <v>Transient pulses – Immunity of input / outputs connected to inductive and / or locally grounded load - Pulses A2-1 and A2-2</v>
      </c>
      <c r="D31" s="74" t="str">
        <f>'RFQ response'!D26</f>
        <v>REQ-0945111</v>
      </c>
      <c r="E31" s="238" t="str">
        <f>'RFQ response'!M26</f>
        <v>NA</v>
      </c>
      <c r="F31" s="75"/>
      <c r="G31" s="74"/>
      <c r="H31" s="74"/>
      <c r="I31" s="95"/>
      <c r="J31" s="75"/>
      <c r="K31" s="74"/>
      <c r="L31" s="74"/>
      <c r="M31" s="173"/>
      <c r="N31" s="239"/>
      <c r="O31" s="239"/>
      <c r="P31"/>
      <c r="Q31" s="9">
        <f t="shared" si="11"/>
        <v>0</v>
      </c>
      <c r="R31" s="10">
        <f t="shared" si="12"/>
        <v>0</v>
      </c>
      <c r="S31" s="10">
        <f t="shared" si="13"/>
        <v>0</v>
      </c>
      <c r="T31" s="1">
        <f t="shared" si="14"/>
        <v>0</v>
      </c>
      <c r="U31" s="1">
        <f t="shared" si="15"/>
        <v>0</v>
      </c>
      <c r="V31" s="1">
        <f t="shared" si="16"/>
        <v>0</v>
      </c>
      <c r="W31" s="7">
        <f t="shared" si="17"/>
        <v>0</v>
      </c>
      <c r="X31" s="9">
        <f t="shared" si="18"/>
        <v>0</v>
      </c>
      <c r="Y31" s="10">
        <f t="shared" si="19"/>
        <v>0</v>
      </c>
      <c r="Z31" s="1">
        <f t="shared" si="20"/>
        <v>0</v>
      </c>
      <c r="AA31" s="8">
        <f t="shared" si="21"/>
        <v>0</v>
      </c>
    </row>
    <row r="32" spans="1:27" s="2" customFormat="1">
      <c r="A32" s="321"/>
      <c r="B32" s="240" t="str">
        <f>'RFQ response'!C27</f>
        <v>C_TI_07_V</v>
      </c>
      <c r="C32" s="237" t="str">
        <f>'RFQ response'!E27</f>
        <v>Transient pulses – Immunity to the transients with wire to wire coupling</v>
      </c>
      <c r="D32" s="74" t="str">
        <f>'RFQ response'!D27</f>
        <v>REQ-0945112</v>
      </c>
      <c r="E32" s="238" t="str">
        <f>'RFQ response'!M27</f>
        <v>OK</v>
      </c>
      <c r="F32" s="75"/>
      <c r="G32" s="74"/>
      <c r="H32" s="74"/>
      <c r="I32" s="95"/>
      <c r="J32" s="75"/>
      <c r="K32" s="74"/>
      <c r="L32" s="74"/>
      <c r="M32" s="173"/>
      <c r="N32" s="239"/>
      <c r="O32" s="239"/>
      <c r="P32"/>
      <c r="Q32" s="9">
        <f t="shared" si="11"/>
        <v>0</v>
      </c>
      <c r="R32" s="10">
        <f t="shared" si="12"/>
        <v>0</v>
      </c>
      <c r="S32" s="10">
        <f t="shared" si="13"/>
        <v>0</v>
      </c>
      <c r="T32" s="1">
        <f t="shared" si="14"/>
        <v>0</v>
      </c>
      <c r="U32" s="1">
        <f t="shared" si="15"/>
        <v>0</v>
      </c>
      <c r="V32" s="1">
        <f t="shared" si="16"/>
        <v>0</v>
      </c>
      <c r="W32" s="7">
        <f t="shared" si="17"/>
        <v>0</v>
      </c>
      <c r="X32" s="9">
        <f t="shared" si="18"/>
        <v>0</v>
      </c>
      <c r="Y32" s="10">
        <f t="shared" si="19"/>
        <v>0</v>
      </c>
      <c r="Z32" s="1">
        <f t="shared" si="20"/>
        <v>0</v>
      </c>
      <c r="AA32" s="8">
        <f t="shared" si="21"/>
        <v>0</v>
      </c>
    </row>
    <row r="33" spans="1:27" s="2" customFormat="1">
      <c r="A33" s="321"/>
      <c r="B33" s="240" t="str">
        <f>'RFQ response'!C28</f>
        <v>C_TI_01_R</v>
      </c>
      <c r="C33" s="237" t="str">
        <f>'RFQ response'!E28</f>
        <v>Immunity to the transients on the signal line</v>
      </c>
      <c r="D33" s="74" t="str">
        <f>'RFQ response'!D28</f>
        <v xml:space="preserve"> -</v>
      </c>
      <c r="E33" s="238" t="str">
        <f>'RFQ response'!M28</f>
        <v>NA</v>
      </c>
      <c r="F33" s="75"/>
      <c r="G33" s="74"/>
      <c r="H33" s="74"/>
      <c r="I33" s="95"/>
      <c r="J33" s="75"/>
      <c r="K33" s="74"/>
      <c r="L33" s="74"/>
      <c r="M33" s="173"/>
      <c r="N33" s="239"/>
      <c r="O33" s="239"/>
      <c r="P33"/>
      <c r="Q33" s="9">
        <f t="shared" ref="Q33:Q40" si="22">IF(K33="On going",1,0)</f>
        <v>0</v>
      </c>
      <c r="R33" s="10">
        <f t="shared" ref="R33:R40" si="23">IF(K33="NA",1,0)</f>
        <v>0</v>
      </c>
      <c r="S33" s="10">
        <f t="shared" ref="S33:S40" si="24">IF(K33="Deviation",1,0)</f>
        <v>0</v>
      </c>
      <c r="T33" s="1">
        <f t="shared" ref="T33:T40" si="25">IF(K33="In analysis",1,0)</f>
        <v>0</v>
      </c>
      <c r="U33" s="1">
        <f t="shared" ref="U33:U40" si="26">IF(K33="NOK minor",1,0)</f>
        <v>0</v>
      </c>
      <c r="V33" s="1">
        <f t="shared" ref="V33:V40" si="27">IF(K33="NOK major",1,0)</f>
        <v>0</v>
      </c>
      <c r="W33" s="7">
        <f t="shared" ref="W33:W40" si="28">IF(K33="OK",1,0)</f>
        <v>0</v>
      </c>
      <c r="X33" s="9">
        <f t="shared" ref="X33:X40" si="29">IF($J33="On going",1,0)</f>
        <v>0</v>
      </c>
      <c r="Y33" s="10">
        <f t="shared" ref="Y33:Y40" si="30">IF($J33="NA",1,0)</f>
        <v>0</v>
      </c>
      <c r="Z33" s="1">
        <f t="shared" ref="Z33:Z40" si="31">IF($J33="NOK",1,0)</f>
        <v>0</v>
      </c>
      <c r="AA33" s="8">
        <f t="shared" ref="AA33:AA40" si="32">IF($J33="OK",1,0)</f>
        <v>0</v>
      </c>
    </row>
    <row r="34" spans="1:27" s="2" customFormat="1">
      <c r="A34" s="321"/>
      <c r="B34" s="240" t="str">
        <f>'RFQ response'!C29</f>
        <v>C_TE_01_R</v>
      </c>
      <c r="C34" s="237" t="str">
        <f>'RFQ response'!E29</f>
        <v>Conducted Transient Emission</v>
      </c>
      <c r="D34" s="74" t="str">
        <f>'RFQ response'!D29</f>
        <v xml:space="preserve"> -</v>
      </c>
      <c r="E34" s="238" t="str">
        <f>'RFQ response'!M29</f>
        <v>NA</v>
      </c>
      <c r="F34" s="75"/>
      <c r="G34" s="74"/>
      <c r="H34" s="74"/>
      <c r="I34" s="95"/>
      <c r="J34" s="75"/>
      <c r="K34" s="74"/>
      <c r="L34" s="74"/>
      <c r="M34" s="173"/>
      <c r="N34" s="239"/>
      <c r="O34" s="239"/>
      <c r="P34"/>
      <c r="Q34" s="9">
        <f t="shared" si="22"/>
        <v>0</v>
      </c>
      <c r="R34" s="10">
        <f t="shared" si="23"/>
        <v>0</v>
      </c>
      <c r="S34" s="10">
        <f t="shared" si="24"/>
        <v>0</v>
      </c>
      <c r="T34" s="1">
        <f t="shared" si="25"/>
        <v>0</v>
      </c>
      <c r="U34" s="1">
        <f t="shared" si="26"/>
        <v>0</v>
      </c>
      <c r="V34" s="1">
        <f t="shared" si="27"/>
        <v>0</v>
      </c>
      <c r="W34" s="7">
        <f t="shared" si="28"/>
        <v>0</v>
      </c>
      <c r="X34" s="9">
        <f t="shared" si="29"/>
        <v>0</v>
      </c>
      <c r="Y34" s="10">
        <f t="shared" si="30"/>
        <v>0</v>
      </c>
      <c r="Z34" s="1">
        <f t="shared" si="31"/>
        <v>0</v>
      </c>
      <c r="AA34" s="8">
        <f t="shared" si="32"/>
        <v>0</v>
      </c>
    </row>
    <row r="35" spans="1:27" s="2" customFormat="1">
      <c r="A35" s="321"/>
      <c r="B35" s="240" t="str">
        <f>'RFQ response'!C30</f>
        <v>C_CI_01_V</v>
      </c>
      <c r="C35" s="237" t="str">
        <f>'RFQ response'!E30</f>
        <v>Bulk current injection (BCI)</v>
      </c>
      <c r="D35" s="74" t="str">
        <f>'RFQ response'!D30</f>
        <v>REQ-0945113</v>
      </c>
      <c r="E35" s="238" t="str">
        <f>'RFQ response'!M30</f>
        <v>OK</v>
      </c>
      <c r="F35" s="75"/>
      <c r="G35" s="74"/>
      <c r="H35" s="74"/>
      <c r="I35" s="95"/>
      <c r="J35" s="75"/>
      <c r="K35" s="74"/>
      <c r="L35" s="74"/>
      <c r="M35" s="173"/>
      <c r="N35" s="239"/>
      <c r="O35" s="239"/>
      <c r="P35"/>
      <c r="Q35" s="9">
        <f t="shared" si="22"/>
        <v>0</v>
      </c>
      <c r="R35" s="10">
        <f t="shared" si="23"/>
        <v>0</v>
      </c>
      <c r="S35" s="10">
        <f t="shared" si="24"/>
        <v>0</v>
      </c>
      <c r="T35" s="1">
        <f t="shared" si="25"/>
        <v>0</v>
      </c>
      <c r="U35" s="1">
        <f t="shared" si="26"/>
        <v>0</v>
      </c>
      <c r="V35" s="1">
        <f t="shared" si="27"/>
        <v>0</v>
      </c>
      <c r="W35" s="7">
        <f t="shared" si="28"/>
        <v>0</v>
      </c>
      <c r="X35" s="9">
        <f t="shared" si="29"/>
        <v>0</v>
      </c>
      <c r="Y35" s="10">
        <f t="shared" si="30"/>
        <v>0</v>
      </c>
      <c r="Z35" s="1">
        <f t="shared" si="31"/>
        <v>0</v>
      </c>
      <c r="AA35" s="8">
        <f t="shared" si="32"/>
        <v>0</v>
      </c>
    </row>
    <row r="36" spans="1:27" s="2" customFormat="1">
      <c r="A36" s="321"/>
      <c r="B36" s="240" t="str">
        <f>'RFQ response'!C31</f>
        <v>C_RI_01_V</v>
      </c>
      <c r="C36" s="237" t="str">
        <f>'RFQ response'!E31</f>
        <v>Immunity to external sources – ALSE (Absorber Line Shielded Enclosure)</v>
      </c>
      <c r="D36" s="74" t="str">
        <f>'RFQ response'!D31</f>
        <v>REQ-0945114</v>
      </c>
      <c r="E36" s="238" t="str">
        <f>'RFQ response'!M31</f>
        <v>OK</v>
      </c>
      <c r="F36" s="75"/>
      <c r="G36" s="74"/>
      <c r="H36" s="74"/>
      <c r="I36" s="95"/>
      <c r="J36" s="75"/>
      <c r="K36" s="74"/>
      <c r="L36" s="74"/>
      <c r="M36" s="173"/>
      <c r="N36" s="239"/>
      <c r="O36" s="239"/>
      <c r="P36"/>
      <c r="Q36" s="9">
        <f t="shared" si="22"/>
        <v>0</v>
      </c>
      <c r="R36" s="10">
        <f t="shared" si="23"/>
        <v>0</v>
      </c>
      <c r="S36" s="10">
        <f t="shared" si="24"/>
        <v>0</v>
      </c>
      <c r="T36" s="1">
        <f t="shared" si="25"/>
        <v>0</v>
      </c>
      <c r="U36" s="1">
        <f t="shared" si="26"/>
        <v>0</v>
      </c>
      <c r="V36" s="1">
        <f t="shared" si="27"/>
        <v>0</v>
      </c>
      <c r="W36" s="7">
        <f t="shared" si="28"/>
        <v>0</v>
      </c>
      <c r="X36" s="9">
        <f t="shared" si="29"/>
        <v>0</v>
      </c>
      <c r="Y36" s="10">
        <f t="shared" si="30"/>
        <v>0</v>
      </c>
      <c r="Z36" s="1">
        <f t="shared" si="31"/>
        <v>0</v>
      </c>
      <c r="AA36" s="8">
        <f t="shared" si="32"/>
        <v>0</v>
      </c>
    </row>
    <row r="37" spans="1:27" s="2" customFormat="1">
      <c r="A37" s="321"/>
      <c r="B37" s="240" t="str">
        <f>'RFQ response'!C32</f>
        <v>C_RI_02_V</v>
      </c>
      <c r="C37" s="237" t="str">
        <f>'RFQ response'!E32</f>
        <v>Immunity to external sources – Reverberation chamber</v>
      </c>
      <c r="D37" s="74" t="str">
        <f>'RFQ response'!D32</f>
        <v>REQ-0945115</v>
      </c>
      <c r="E37" s="238" t="str">
        <f>'RFQ response'!M32</f>
        <v>OK</v>
      </c>
      <c r="F37" s="75"/>
      <c r="G37" s="74"/>
      <c r="H37" s="74"/>
      <c r="I37" s="95"/>
      <c r="J37" s="75"/>
      <c r="K37" s="74"/>
      <c r="L37" s="74"/>
      <c r="M37" s="173"/>
      <c r="N37" s="239"/>
      <c r="O37" s="239"/>
      <c r="P37"/>
      <c r="Q37" s="9">
        <f t="shared" si="22"/>
        <v>0</v>
      </c>
      <c r="R37" s="10">
        <f t="shared" si="23"/>
        <v>0</v>
      </c>
      <c r="S37" s="10">
        <f t="shared" si="24"/>
        <v>0</v>
      </c>
      <c r="T37" s="1">
        <f t="shared" si="25"/>
        <v>0</v>
      </c>
      <c r="U37" s="1">
        <f t="shared" si="26"/>
        <v>0</v>
      </c>
      <c r="V37" s="1">
        <f t="shared" si="27"/>
        <v>0</v>
      </c>
      <c r="W37" s="7">
        <f t="shared" si="28"/>
        <v>0</v>
      </c>
      <c r="X37" s="9">
        <f t="shared" si="29"/>
        <v>0</v>
      </c>
      <c r="Y37" s="10">
        <f t="shared" si="30"/>
        <v>0</v>
      </c>
      <c r="Z37" s="1">
        <f t="shared" si="31"/>
        <v>0</v>
      </c>
      <c r="AA37" s="8">
        <f t="shared" si="32"/>
        <v>0</v>
      </c>
    </row>
    <row r="38" spans="1:27" s="2" customFormat="1">
      <c r="A38" s="321"/>
      <c r="B38" s="240" t="str">
        <f>'RFQ response'!C33</f>
        <v>C_RI_03_V</v>
      </c>
      <c r="C38" s="237" t="str">
        <f>'RFQ response'!E33</f>
        <v>Immunity to portable transmitters</v>
      </c>
      <c r="D38" s="74" t="str">
        <f>'RFQ response'!D33</f>
        <v>REQ-0945116</v>
      </c>
      <c r="E38" s="238" t="str">
        <f>'RFQ response'!M33</f>
        <v>OK</v>
      </c>
      <c r="F38" s="75"/>
      <c r="G38" s="74"/>
      <c r="H38" s="74"/>
      <c r="I38" s="95"/>
      <c r="J38" s="75"/>
      <c r="K38" s="74"/>
      <c r="L38" s="74"/>
      <c r="M38" s="173"/>
      <c r="N38" s="239"/>
      <c r="O38" s="239"/>
      <c r="P38"/>
      <c r="Q38" s="9">
        <f t="shared" si="22"/>
        <v>0</v>
      </c>
      <c r="R38" s="10">
        <f t="shared" si="23"/>
        <v>0</v>
      </c>
      <c r="S38" s="10">
        <f t="shared" si="24"/>
        <v>0</v>
      </c>
      <c r="T38" s="1">
        <f t="shared" si="25"/>
        <v>0</v>
      </c>
      <c r="U38" s="1">
        <f t="shared" si="26"/>
        <v>0</v>
      </c>
      <c r="V38" s="1">
        <f t="shared" si="27"/>
        <v>0</v>
      </c>
      <c r="W38" s="7">
        <f t="shared" si="28"/>
        <v>0</v>
      </c>
      <c r="X38" s="9">
        <f t="shared" si="29"/>
        <v>0</v>
      </c>
      <c r="Y38" s="10">
        <f t="shared" si="30"/>
        <v>0</v>
      </c>
      <c r="Z38" s="1">
        <f t="shared" si="31"/>
        <v>0</v>
      </c>
      <c r="AA38" s="8">
        <f t="shared" si="32"/>
        <v>0</v>
      </c>
    </row>
    <row r="39" spans="1:27" s="2" customFormat="1">
      <c r="A39" s="321"/>
      <c r="B39" s="240" t="str">
        <f>'RFQ response'!C34</f>
        <v>C_RI_04_V</v>
      </c>
      <c r="C39" s="237" t="str">
        <f>'RFQ response'!E34</f>
        <v xml:space="preserve">Immunity to magnetic field </v>
      </c>
      <c r="D39" s="74" t="str">
        <f>'RFQ response'!D34</f>
        <v>REQ-0945117</v>
      </c>
      <c r="E39" s="238" t="str">
        <f>'RFQ response'!M34</f>
        <v>OK</v>
      </c>
      <c r="F39" s="75"/>
      <c r="G39" s="74"/>
      <c r="H39" s="74"/>
      <c r="I39" s="95"/>
      <c r="J39" s="75"/>
      <c r="K39" s="74"/>
      <c r="L39" s="74"/>
      <c r="M39" s="173"/>
      <c r="N39" s="239"/>
      <c r="O39" s="239"/>
      <c r="P39"/>
      <c r="Q39" s="9">
        <f t="shared" si="22"/>
        <v>0</v>
      </c>
      <c r="R39" s="10">
        <f t="shared" si="23"/>
        <v>0</v>
      </c>
      <c r="S39" s="10">
        <f t="shared" si="24"/>
        <v>0</v>
      </c>
      <c r="T39" s="1">
        <f t="shared" si="25"/>
        <v>0</v>
      </c>
      <c r="U39" s="1">
        <f t="shared" si="26"/>
        <v>0</v>
      </c>
      <c r="V39" s="1">
        <f t="shared" si="27"/>
        <v>0</v>
      </c>
      <c r="W39" s="7">
        <f t="shared" si="28"/>
        <v>0</v>
      </c>
      <c r="X39" s="9">
        <f t="shared" si="29"/>
        <v>0</v>
      </c>
      <c r="Y39" s="10">
        <f t="shared" si="30"/>
        <v>0</v>
      </c>
      <c r="Z39" s="1">
        <f t="shared" si="31"/>
        <v>0</v>
      </c>
      <c r="AA39" s="8">
        <f t="shared" si="32"/>
        <v>0</v>
      </c>
    </row>
    <row r="40" spans="1:27" s="2" customFormat="1">
      <c r="A40" s="321"/>
      <c r="B40" s="240" t="str">
        <f>'RFQ response'!C35</f>
        <v>C_RI_05_R</v>
      </c>
      <c r="C40" s="237" t="str">
        <f>'RFQ response'!E35</f>
        <v>Immunity to electromagnetic radiation</v>
      </c>
      <c r="D40" s="74" t="str">
        <f>'RFQ response'!D35</f>
        <v xml:space="preserve"> -</v>
      </c>
      <c r="E40" s="238" t="str">
        <f>'RFQ response'!M35</f>
        <v>NA</v>
      </c>
      <c r="F40" s="75"/>
      <c r="G40" s="74"/>
      <c r="H40" s="74"/>
      <c r="I40" s="95"/>
      <c r="J40" s="75"/>
      <c r="K40" s="74"/>
      <c r="L40" s="74"/>
      <c r="M40" s="173"/>
      <c r="N40" s="239"/>
      <c r="O40" s="239"/>
      <c r="P40"/>
      <c r="Q40" s="9">
        <f t="shared" si="22"/>
        <v>0</v>
      </c>
      <c r="R40" s="10">
        <f t="shared" si="23"/>
        <v>0</v>
      </c>
      <c r="S40" s="10">
        <f t="shared" si="24"/>
        <v>0</v>
      </c>
      <c r="T40" s="1">
        <f t="shared" si="25"/>
        <v>0</v>
      </c>
      <c r="U40" s="1">
        <f t="shared" si="26"/>
        <v>0</v>
      </c>
      <c r="V40" s="1">
        <f t="shared" si="27"/>
        <v>0</v>
      </c>
      <c r="W40" s="7">
        <f t="shared" si="28"/>
        <v>0</v>
      </c>
      <c r="X40" s="9">
        <f t="shared" si="29"/>
        <v>0</v>
      </c>
      <c r="Y40" s="10">
        <f t="shared" si="30"/>
        <v>0</v>
      </c>
      <c r="Z40" s="1">
        <f t="shared" si="31"/>
        <v>0</v>
      </c>
      <c r="AA40" s="8">
        <f t="shared" si="32"/>
        <v>0</v>
      </c>
    </row>
    <row r="41" spans="1:27" s="2" customFormat="1">
      <c r="A41" s="321"/>
      <c r="B41" s="240" t="str">
        <f>'RFQ response'!C36</f>
        <v>C_CE_01_V</v>
      </c>
      <c r="C41" s="237" t="str">
        <f>'RFQ response'!E36</f>
        <v>RF conducted emission on power supply inputs – AN voltage measurement</v>
      </c>
      <c r="D41" s="74" t="str">
        <f>'RFQ response'!D36</f>
        <v>REQ-0945121</v>
      </c>
      <c r="E41" s="238" t="str">
        <f>'RFQ response'!M36</f>
        <v>OK</v>
      </c>
      <c r="F41" s="75"/>
      <c r="G41" s="74"/>
      <c r="H41" s="74"/>
      <c r="I41" s="95"/>
      <c r="J41" s="75"/>
      <c r="K41" s="74"/>
      <c r="L41" s="74"/>
      <c r="M41" s="173"/>
      <c r="N41" s="239"/>
      <c r="O41" s="239"/>
      <c r="P41"/>
      <c r="Q41" s="9">
        <f t="shared" ref="Q41:Q44" si="33">IF(K41="On going",1,0)</f>
        <v>0</v>
      </c>
      <c r="R41" s="10">
        <f t="shared" ref="R41:R44" si="34">IF(K41="NA",1,0)</f>
        <v>0</v>
      </c>
      <c r="S41" s="10">
        <f t="shared" ref="S41:S44" si="35">IF(K41="Deviation",1,0)</f>
        <v>0</v>
      </c>
      <c r="T41" s="1">
        <f t="shared" ref="T41:T44" si="36">IF(K41="In analysis",1,0)</f>
        <v>0</v>
      </c>
      <c r="U41" s="1">
        <f t="shared" ref="U41:U44" si="37">IF(K41="NOK minor",1,0)</f>
        <v>0</v>
      </c>
      <c r="V41" s="1">
        <f t="shared" ref="V41:V44" si="38">IF(K41="NOK major",1,0)</f>
        <v>0</v>
      </c>
      <c r="W41" s="7">
        <f t="shared" ref="W41:W44" si="39">IF(K41="OK",1,0)</f>
        <v>0</v>
      </c>
      <c r="X41" s="9">
        <f t="shared" ref="X41:X44" si="40">IF($J41="On going",1,0)</f>
        <v>0</v>
      </c>
      <c r="Y41" s="10">
        <f t="shared" ref="Y41:Y44" si="41">IF($J41="NA",1,0)</f>
        <v>0</v>
      </c>
      <c r="Z41" s="1">
        <f t="shared" ref="Z41:Z44" si="42">IF($J41="NOK",1,0)</f>
        <v>0</v>
      </c>
      <c r="AA41" s="8">
        <f t="shared" ref="AA41:AA44" si="43">IF($J41="OK",1,0)</f>
        <v>0</v>
      </c>
    </row>
    <row r="42" spans="1:27" s="2" customFormat="1">
      <c r="A42" s="321"/>
      <c r="B42" s="240" t="str">
        <f>'RFQ response'!C37</f>
        <v>C_CE_02_V</v>
      </c>
      <c r="C42" s="237" t="str">
        <f>'RFQ response'!E37</f>
        <v>RF conducted emission on wiring – Current probe measurement</v>
      </c>
      <c r="D42" s="74" t="str">
        <f>'RFQ response'!D37</f>
        <v>REQ-0945122</v>
      </c>
      <c r="E42" s="238" t="str">
        <f>'RFQ response'!M37</f>
        <v>OK</v>
      </c>
      <c r="F42" s="75"/>
      <c r="G42" s="74"/>
      <c r="H42" s="74"/>
      <c r="I42" s="95"/>
      <c r="J42" s="75"/>
      <c r="K42" s="74"/>
      <c r="L42" s="74"/>
      <c r="M42" s="173"/>
      <c r="N42" s="239"/>
      <c r="O42" s="239"/>
      <c r="P42"/>
      <c r="Q42" s="9">
        <f t="shared" si="33"/>
        <v>0</v>
      </c>
      <c r="R42" s="10">
        <f t="shared" si="34"/>
        <v>0</v>
      </c>
      <c r="S42" s="10">
        <f t="shared" si="35"/>
        <v>0</v>
      </c>
      <c r="T42" s="1">
        <f t="shared" si="36"/>
        <v>0</v>
      </c>
      <c r="U42" s="1">
        <f t="shared" si="37"/>
        <v>0</v>
      </c>
      <c r="V42" s="1">
        <f t="shared" si="38"/>
        <v>0</v>
      </c>
      <c r="W42" s="7">
        <f t="shared" si="39"/>
        <v>0</v>
      </c>
      <c r="X42" s="9">
        <f t="shared" si="40"/>
        <v>0</v>
      </c>
      <c r="Y42" s="10">
        <f t="shared" si="41"/>
        <v>0</v>
      </c>
      <c r="Z42" s="1">
        <f t="shared" si="42"/>
        <v>0</v>
      </c>
      <c r="AA42" s="8">
        <f t="shared" si="43"/>
        <v>0</v>
      </c>
    </row>
    <row r="43" spans="1:27" s="2" customFormat="1">
      <c r="A43" s="321"/>
      <c r="B43" s="240" t="str">
        <f>'RFQ response'!C38</f>
        <v>C_RE_01_V</v>
      </c>
      <c r="C43" s="237" t="str">
        <f>'RFQ response'!E38</f>
        <v>Electric field radiated emission – ALSE (Absorber Line Shielded Enclosure)</v>
      </c>
      <c r="D43" s="74" t="str">
        <f>'RFQ response'!D38</f>
        <v>REQ-0945123</v>
      </c>
      <c r="E43" s="238" t="str">
        <f>'RFQ response'!M38</f>
        <v>OK</v>
      </c>
      <c r="F43" s="75"/>
      <c r="G43" s="74"/>
      <c r="H43" s="74"/>
      <c r="I43" s="95"/>
      <c r="J43" s="75"/>
      <c r="K43" s="74"/>
      <c r="L43" s="74"/>
      <c r="M43" s="173"/>
      <c r="N43" s="239"/>
      <c r="O43" s="239"/>
      <c r="P43"/>
      <c r="Q43" s="9">
        <f t="shared" si="33"/>
        <v>0</v>
      </c>
      <c r="R43" s="10">
        <f t="shared" si="34"/>
        <v>0</v>
      </c>
      <c r="S43" s="10">
        <f t="shared" si="35"/>
        <v>0</v>
      </c>
      <c r="T43" s="1">
        <f t="shared" si="36"/>
        <v>0</v>
      </c>
      <c r="U43" s="1">
        <f t="shared" si="37"/>
        <v>0</v>
      </c>
      <c r="V43" s="1">
        <f t="shared" si="38"/>
        <v>0</v>
      </c>
      <c r="W43" s="7">
        <f t="shared" si="39"/>
        <v>0</v>
      </c>
      <c r="X43" s="9">
        <f t="shared" si="40"/>
        <v>0</v>
      </c>
      <c r="Y43" s="10">
        <f t="shared" si="41"/>
        <v>0</v>
      </c>
      <c r="Z43" s="1">
        <f t="shared" si="42"/>
        <v>0</v>
      </c>
      <c r="AA43" s="8">
        <f t="shared" si="43"/>
        <v>0</v>
      </c>
    </row>
    <row r="44" spans="1:27" s="2" customFormat="1">
      <c r="A44" s="321"/>
      <c r="B44" s="240" t="str">
        <f>'RFQ response'!C39</f>
        <v>C_RE_02_V</v>
      </c>
      <c r="C44" s="237" t="str">
        <f>'RFQ response'!E39</f>
        <v xml:space="preserve">Keyless entry - Magnetic field </v>
      </c>
      <c r="D44" s="74" t="str">
        <f>'RFQ response'!D39</f>
        <v>REQ-0945124</v>
      </c>
      <c r="E44" s="238" t="str">
        <f>'RFQ response'!M39</f>
        <v>OK</v>
      </c>
      <c r="F44" s="75"/>
      <c r="G44" s="74"/>
      <c r="H44" s="74"/>
      <c r="I44" s="95"/>
      <c r="J44" s="75"/>
      <c r="K44" s="74"/>
      <c r="L44" s="74"/>
      <c r="M44" s="173"/>
      <c r="N44" s="239"/>
      <c r="O44" s="239"/>
      <c r="P44"/>
      <c r="Q44" s="9">
        <f t="shared" si="33"/>
        <v>0</v>
      </c>
      <c r="R44" s="10">
        <f t="shared" si="34"/>
        <v>0</v>
      </c>
      <c r="S44" s="10">
        <f t="shared" si="35"/>
        <v>0</v>
      </c>
      <c r="T44" s="1">
        <f t="shared" si="36"/>
        <v>0</v>
      </c>
      <c r="U44" s="1">
        <f t="shared" si="37"/>
        <v>0</v>
      </c>
      <c r="V44" s="1">
        <f t="shared" si="38"/>
        <v>0</v>
      </c>
      <c r="W44" s="7">
        <f t="shared" si="39"/>
        <v>0</v>
      </c>
      <c r="X44" s="9">
        <f t="shared" si="40"/>
        <v>0</v>
      </c>
      <c r="Y44" s="10">
        <f t="shared" si="41"/>
        <v>0</v>
      </c>
      <c r="Z44" s="1">
        <f t="shared" si="42"/>
        <v>0</v>
      </c>
      <c r="AA44" s="8">
        <f t="shared" si="43"/>
        <v>0</v>
      </c>
    </row>
    <row r="45" spans="1:27" s="2" customFormat="1">
      <c r="A45" s="321"/>
      <c r="B45" s="240" t="str">
        <f>'RFQ response'!C40</f>
        <v>C_RE_03_R</v>
      </c>
      <c r="C45" s="237" t="str">
        <f>'RFQ response'!E40</f>
        <v>Broadband radiated emission</v>
      </c>
      <c r="D45" s="74" t="str">
        <f>'RFQ response'!D40</f>
        <v xml:space="preserve"> -</v>
      </c>
      <c r="E45" s="238" t="str">
        <f>'RFQ response'!M40</f>
        <v>NA</v>
      </c>
      <c r="F45" s="75"/>
      <c r="G45" s="74"/>
      <c r="H45" s="74"/>
      <c r="I45" s="95"/>
      <c r="J45" s="75"/>
      <c r="K45" s="74"/>
      <c r="L45" s="74"/>
      <c r="M45" s="173"/>
      <c r="N45" s="239"/>
      <c r="O45" s="239"/>
      <c r="P45"/>
      <c r="Q45" s="9">
        <f t="shared" ref="Q45:Q46" si="44">IF(K45="On going",1,0)</f>
        <v>0</v>
      </c>
      <c r="R45" s="10">
        <f t="shared" ref="R45:R46" si="45">IF(K45="NA",1,0)</f>
        <v>0</v>
      </c>
      <c r="S45" s="10">
        <f t="shared" ref="S45:S46" si="46">IF(K45="Deviation",1,0)</f>
        <v>0</v>
      </c>
      <c r="T45" s="1">
        <f t="shared" ref="T45:T46" si="47">IF(K45="In analysis",1,0)</f>
        <v>0</v>
      </c>
      <c r="U45" s="1">
        <f t="shared" ref="U45:U46" si="48">IF(K45="NOK minor",1,0)</f>
        <v>0</v>
      </c>
      <c r="V45" s="1">
        <f t="shared" ref="V45:V46" si="49">IF(K45="NOK major",1,0)</f>
        <v>0</v>
      </c>
      <c r="W45" s="7">
        <f t="shared" ref="W45:W46" si="50">IF(K45="OK",1,0)</f>
        <v>0</v>
      </c>
      <c r="X45" s="9">
        <f t="shared" ref="X45:X99" si="51">IF($J45="On going",1,0)</f>
        <v>0</v>
      </c>
      <c r="Y45" s="10">
        <f t="shared" ref="Y45:Y99" si="52">IF($J45="NA",1,0)</f>
        <v>0</v>
      </c>
      <c r="Z45" s="1">
        <f t="shared" ref="Z45:Z99" si="53">IF($J45="NOK",1,0)</f>
        <v>0</v>
      </c>
      <c r="AA45" s="8">
        <f t="shared" ref="AA45:AA99" si="54">IF($J45="OK",1,0)</f>
        <v>0</v>
      </c>
    </row>
    <row r="46" spans="1:27" s="2" customFormat="1">
      <c r="A46" s="321"/>
      <c r="B46" s="240" t="str">
        <f>'RFQ response'!C41</f>
        <v>C_RE_04_R</v>
      </c>
      <c r="C46" s="237" t="str">
        <f>'RFQ response'!E41</f>
        <v>Narrowband radiated emission</v>
      </c>
      <c r="D46" s="74" t="str">
        <f>'RFQ response'!D41</f>
        <v xml:space="preserve"> -</v>
      </c>
      <c r="E46" s="238" t="str">
        <f>'RFQ response'!M41</f>
        <v>NA</v>
      </c>
      <c r="F46" s="75"/>
      <c r="G46" s="74"/>
      <c r="H46" s="74"/>
      <c r="I46" s="95"/>
      <c r="J46" s="75"/>
      <c r="K46" s="74"/>
      <c r="L46" s="74"/>
      <c r="M46" s="173"/>
      <c r="N46" s="239"/>
      <c r="O46" s="239"/>
      <c r="P46"/>
      <c r="Q46" s="9">
        <f t="shared" si="44"/>
        <v>0</v>
      </c>
      <c r="R46" s="10">
        <f t="shared" si="45"/>
        <v>0</v>
      </c>
      <c r="S46" s="10">
        <f t="shared" si="46"/>
        <v>0</v>
      </c>
      <c r="T46" s="1">
        <f t="shared" si="47"/>
        <v>0</v>
      </c>
      <c r="U46" s="1">
        <f t="shared" si="48"/>
        <v>0</v>
      </c>
      <c r="V46" s="1">
        <f t="shared" si="49"/>
        <v>0</v>
      </c>
      <c r="W46" s="7">
        <f t="shared" si="50"/>
        <v>0</v>
      </c>
      <c r="X46" s="9">
        <f t="shared" si="51"/>
        <v>0</v>
      </c>
      <c r="Y46" s="10">
        <f t="shared" si="52"/>
        <v>0</v>
      </c>
      <c r="Z46" s="1">
        <f t="shared" si="53"/>
        <v>0</v>
      </c>
      <c r="AA46" s="8">
        <f t="shared" si="54"/>
        <v>0</v>
      </c>
    </row>
    <row r="47" spans="1:27" s="2" customFormat="1">
      <c r="A47" s="321"/>
      <c r="B47" s="240" t="str">
        <f>'RFQ response'!C42</f>
        <v>C_ESD_01_V</v>
      </c>
      <c r="C47" s="237" t="str">
        <f>'RFQ response'!E42</f>
        <v xml:space="preserve">Component not connected - Handling </v>
      </c>
      <c r="D47" s="74" t="str">
        <f>'RFQ response'!D42</f>
        <v>REQ-0945125</v>
      </c>
      <c r="E47" s="238" t="str">
        <f>'RFQ response'!M42</f>
        <v>OK</v>
      </c>
      <c r="F47" s="75"/>
      <c r="G47" s="74"/>
      <c r="H47" s="74"/>
      <c r="I47" s="95"/>
      <c r="J47" s="75"/>
      <c r="K47" s="74"/>
      <c r="L47" s="74"/>
      <c r="M47" s="173"/>
      <c r="N47" s="239"/>
      <c r="O47" s="239"/>
      <c r="P47"/>
      <c r="Q47" s="9">
        <f t="shared" ref="Q47" si="55">IF(K47="On going",1,0)</f>
        <v>0</v>
      </c>
      <c r="R47" s="10">
        <f t="shared" ref="R47" si="56">IF(K47="NA",1,0)</f>
        <v>0</v>
      </c>
      <c r="S47" s="10">
        <f t="shared" ref="S47" si="57">IF(K47="Deviation",1,0)</f>
        <v>0</v>
      </c>
      <c r="T47" s="1">
        <f t="shared" ref="T47" si="58">IF(K47="In analysis",1,0)</f>
        <v>0</v>
      </c>
      <c r="U47" s="1">
        <f t="shared" ref="U47" si="59">IF(K47="NOK minor",1,0)</f>
        <v>0</v>
      </c>
      <c r="V47" s="1">
        <f t="shared" ref="V47" si="60">IF(K47="NOK major",1,0)</f>
        <v>0</v>
      </c>
      <c r="W47" s="7">
        <f t="shared" ref="W47" si="61">IF(K47="OK",1,0)</f>
        <v>0</v>
      </c>
      <c r="X47" s="9">
        <f t="shared" si="51"/>
        <v>0</v>
      </c>
      <c r="Y47" s="10">
        <f t="shared" si="52"/>
        <v>0</v>
      </c>
      <c r="Z47" s="1">
        <f t="shared" si="53"/>
        <v>0</v>
      </c>
      <c r="AA47" s="8">
        <f t="shared" si="54"/>
        <v>0</v>
      </c>
    </row>
    <row r="48" spans="1:27" s="2" customFormat="1">
      <c r="A48" s="321"/>
      <c r="B48" s="240" t="str">
        <f>'RFQ response'!C43</f>
        <v>C_ESD_02_V</v>
      </c>
      <c r="C48" s="237" t="str">
        <f>'RFQ response'!E43</f>
        <v xml:space="preserve">Operating </v>
      </c>
      <c r="D48" s="74" t="str">
        <f>'RFQ response'!D43</f>
        <v>REQ-0945126</v>
      </c>
      <c r="E48" s="238" t="str">
        <f>'RFQ response'!M43</f>
        <v>OK</v>
      </c>
      <c r="F48" s="75"/>
      <c r="G48" s="74"/>
      <c r="H48" s="74"/>
      <c r="I48" s="95"/>
      <c r="J48" s="75"/>
      <c r="K48" s="74"/>
      <c r="L48" s="74"/>
      <c r="M48" s="173"/>
      <c r="N48" s="239"/>
      <c r="O48" s="239"/>
      <c r="P48"/>
      <c r="Q48" s="9">
        <f t="shared" ref="Q48" si="62">IF(K48="On going",1,0)</f>
        <v>0</v>
      </c>
      <c r="R48" s="10">
        <f t="shared" ref="R48" si="63">IF(K48="NA",1,0)</f>
        <v>0</v>
      </c>
      <c r="S48" s="10">
        <f t="shared" ref="S48" si="64">IF(K48="Deviation",1,0)</f>
        <v>0</v>
      </c>
      <c r="T48" s="1">
        <f t="shared" ref="T48" si="65">IF(K48="In analysis",1,0)</f>
        <v>0</v>
      </c>
      <c r="U48" s="1">
        <f t="shared" ref="U48" si="66">IF(K48="NOK minor",1,0)</f>
        <v>0</v>
      </c>
      <c r="V48" s="1">
        <f t="shared" ref="V48" si="67">IF(K48="NOK major",1,0)</f>
        <v>0</v>
      </c>
      <c r="W48" s="7">
        <f t="shared" ref="W48" si="68">IF(K48="OK",1,0)</f>
        <v>0</v>
      </c>
      <c r="X48" s="9">
        <f t="shared" si="51"/>
        <v>0</v>
      </c>
      <c r="Y48" s="10">
        <f t="shared" si="52"/>
        <v>0</v>
      </c>
      <c r="Z48" s="1">
        <f t="shared" si="53"/>
        <v>0</v>
      </c>
      <c r="AA48" s="8">
        <f t="shared" si="54"/>
        <v>0</v>
      </c>
    </row>
    <row r="49" spans="1:27" s="2" customFormat="1">
      <c r="A49" s="321"/>
      <c r="B49" s="240" t="str">
        <f>'RFQ response'!C44</f>
        <v>SET1</v>
      </c>
      <c r="C49" s="237" t="str">
        <f>'RFQ response'!E44</f>
        <v>Electrical consumptions measurement</v>
      </c>
      <c r="D49" s="74" t="str">
        <f>'RFQ response'!D44</f>
        <v>REQ-0994080</v>
      </c>
      <c r="E49" s="238" t="str">
        <f>'RFQ response'!M44</f>
        <v>OK</v>
      </c>
      <c r="F49" s="75"/>
      <c r="G49" s="74"/>
      <c r="H49" s="74"/>
      <c r="I49" s="95"/>
      <c r="J49" s="75"/>
      <c r="K49" s="74"/>
      <c r="L49" s="74"/>
      <c r="M49" s="173"/>
      <c r="N49" s="239"/>
      <c r="O49" s="239"/>
      <c r="P49"/>
      <c r="Q49" s="9"/>
      <c r="R49" s="10"/>
      <c r="S49" s="10"/>
      <c r="T49" s="1"/>
      <c r="U49" s="1"/>
      <c r="V49" s="1"/>
      <c r="W49" s="7"/>
      <c r="X49" s="9"/>
      <c r="Y49" s="10"/>
      <c r="Z49" s="1"/>
      <c r="AA49" s="8"/>
    </row>
    <row r="50" spans="1:27" s="2" customFormat="1" ht="15.75" customHeight="1">
      <c r="A50" s="321"/>
      <c r="B50" s="801" t="s">
        <v>551</v>
      </c>
      <c r="C50" s="801"/>
      <c r="D50" s="801"/>
      <c r="E50" s="801"/>
      <c r="F50" s="801"/>
      <c r="G50" s="801"/>
      <c r="H50" s="801"/>
      <c r="I50" s="801"/>
      <c r="J50" s="801"/>
      <c r="K50" s="801"/>
      <c r="L50" s="801"/>
      <c r="M50" s="801"/>
      <c r="N50" s="801"/>
      <c r="O50" s="802"/>
      <c r="P50"/>
      <c r="Q50" s="9">
        <f>IF(K50="On going",1,0)</f>
        <v>0</v>
      </c>
      <c r="R50" s="10">
        <f>IF(K50="NA",1,0)</f>
        <v>0</v>
      </c>
      <c r="S50" s="10">
        <f>IF(K50="Deviation",1,0)</f>
        <v>0</v>
      </c>
      <c r="T50" s="1">
        <f>IF(K50="In analysis",1,0)</f>
        <v>0</v>
      </c>
      <c r="U50" s="1">
        <f>IF(K50="NOK minor",1,0)</f>
        <v>0</v>
      </c>
      <c r="V50" s="1">
        <f>IF(K50="NOK major",1,0)</f>
        <v>0</v>
      </c>
      <c r="W50" s="7">
        <f>IF(K50="OK",1,0)</f>
        <v>0</v>
      </c>
      <c r="X50" s="9">
        <f>IF($J50="On going",1,0)</f>
        <v>0</v>
      </c>
      <c r="Y50" s="10">
        <f>IF($J50="NA",1,0)</f>
        <v>0</v>
      </c>
      <c r="Z50" s="1">
        <f>IF($J50="NOK",1,0)</f>
        <v>0</v>
      </c>
      <c r="AA50" s="8">
        <f>IF($J50="OK",1,0)</f>
        <v>0</v>
      </c>
    </row>
    <row r="51" spans="1:27" s="2" customFormat="1">
      <c r="A51" s="321"/>
      <c r="B51" s="240" t="str">
        <f>'RFQ response'!C46</f>
        <v>-</v>
      </c>
      <c r="C51" s="237" t="str">
        <f>'RFQ response'!E46</f>
        <v>Connectors tests</v>
      </c>
      <c r="D51" s="74" t="str">
        <f>'RFQ response'!D46</f>
        <v xml:space="preserve">REQ-0994082 </v>
      </c>
      <c r="E51" s="238" t="str">
        <f>'RFQ response'!M46</f>
        <v>OK</v>
      </c>
      <c r="F51" s="75"/>
      <c r="G51" s="74"/>
      <c r="H51" s="74"/>
      <c r="I51" s="95"/>
      <c r="J51" s="75"/>
      <c r="K51" s="74"/>
      <c r="L51" s="74"/>
      <c r="M51" s="173"/>
      <c r="N51" s="239"/>
      <c r="O51" s="239"/>
      <c r="P51"/>
      <c r="Q51" s="9">
        <f t="shared" ref="Q51:Q99" si="69">IF(K51="On going",1,0)</f>
        <v>0</v>
      </c>
      <c r="R51" s="10">
        <f t="shared" ref="R51:R99" si="70">IF(K51="NA",1,0)</f>
        <v>0</v>
      </c>
      <c r="S51" s="10">
        <f t="shared" ref="S51:S99" si="71">IF(K51="Deviation",1,0)</f>
        <v>0</v>
      </c>
      <c r="T51" s="1">
        <f t="shared" ref="T51:T99" si="72">IF(K51="In analysis",1,0)</f>
        <v>0</v>
      </c>
      <c r="U51" s="1">
        <f t="shared" ref="U51:U99" si="73">IF(K51="NOK minor",1,0)</f>
        <v>0</v>
      </c>
      <c r="V51" s="1">
        <f t="shared" ref="V51:V99" si="74">IF(K51="NOK major",1,0)</f>
        <v>0</v>
      </c>
      <c r="W51" s="7">
        <f t="shared" ref="W51:W99" si="75">IF(K51="OK",1,0)</f>
        <v>0</v>
      </c>
      <c r="X51" s="9">
        <f t="shared" si="51"/>
        <v>0</v>
      </c>
      <c r="Y51" s="10">
        <f t="shared" si="52"/>
        <v>0</v>
      </c>
      <c r="Z51" s="1">
        <f t="shared" si="53"/>
        <v>0</v>
      </c>
      <c r="AA51" s="8">
        <f t="shared" si="54"/>
        <v>0</v>
      </c>
    </row>
    <row r="52" spans="1:27" s="2" customFormat="1" ht="22.5" customHeight="1">
      <c r="A52" s="321"/>
      <c r="B52" s="803" t="s">
        <v>450</v>
      </c>
      <c r="C52" s="803"/>
      <c r="D52" s="803"/>
      <c r="E52" s="803"/>
      <c r="F52" s="803"/>
      <c r="G52" s="803"/>
      <c r="H52" s="803"/>
      <c r="I52" s="803"/>
      <c r="J52" s="803"/>
      <c r="K52" s="803"/>
      <c r="L52" s="803"/>
      <c r="M52" s="803"/>
      <c r="N52" s="803"/>
      <c r="O52" s="804"/>
      <c r="P52"/>
      <c r="Q52" s="9">
        <f t="shared" si="69"/>
        <v>0</v>
      </c>
      <c r="R52" s="10">
        <f t="shared" si="70"/>
        <v>0</v>
      </c>
      <c r="S52" s="10">
        <f t="shared" si="71"/>
        <v>0</v>
      </c>
      <c r="T52" s="1">
        <f t="shared" si="72"/>
        <v>0</v>
      </c>
      <c r="U52" s="1">
        <f t="shared" si="73"/>
        <v>0</v>
      </c>
      <c r="V52" s="1">
        <f t="shared" si="74"/>
        <v>0</v>
      </c>
      <c r="W52" s="7">
        <f t="shared" si="75"/>
        <v>0</v>
      </c>
      <c r="X52" s="9">
        <f t="shared" si="51"/>
        <v>0</v>
      </c>
      <c r="Y52" s="10">
        <f t="shared" si="52"/>
        <v>0</v>
      </c>
      <c r="Z52" s="1">
        <f t="shared" si="53"/>
        <v>0</v>
      </c>
      <c r="AA52" s="8">
        <f t="shared" si="54"/>
        <v>0</v>
      </c>
    </row>
    <row r="53" spans="1:27" s="2" customFormat="1">
      <c r="A53" s="321"/>
      <c r="B53" s="240" t="str">
        <f>'RFQ response'!C48</f>
        <v xml:space="preserve"> -</v>
      </c>
      <c r="C53" s="237" t="str">
        <f>'RFQ response'!E48</f>
        <v>Requirements on connectors &amp; wiring harness</v>
      </c>
      <c r="D53" s="74" t="str">
        <f>'RFQ response'!D48</f>
        <v>REQ-0945120</v>
      </c>
      <c r="E53" s="238" t="str">
        <f>'RFQ response'!M48</f>
        <v>OK</v>
      </c>
      <c r="F53" s="75"/>
      <c r="G53" s="74"/>
      <c r="H53" s="74"/>
      <c r="I53" s="95"/>
      <c r="J53" s="75"/>
      <c r="K53" s="74"/>
      <c r="L53" s="74"/>
      <c r="M53" s="173"/>
      <c r="N53" s="239"/>
      <c r="O53" s="239"/>
      <c r="P53"/>
      <c r="Q53" s="9">
        <f t="shared" si="69"/>
        <v>0</v>
      </c>
      <c r="R53" s="10">
        <f t="shared" si="70"/>
        <v>0</v>
      </c>
      <c r="S53" s="10">
        <f t="shared" si="71"/>
        <v>0</v>
      </c>
      <c r="T53" s="1">
        <f t="shared" si="72"/>
        <v>0</v>
      </c>
      <c r="U53" s="1">
        <f t="shared" si="73"/>
        <v>0</v>
      </c>
      <c r="V53" s="1">
        <f t="shared" si="74"/>
        <v>0</v>
      </c>
      <c r="W53" s="7">
        <f t="shared" si="75"/>
        <v>0</v>
      </c>
      <c r="X53" s="9">
        <f t="shared" si="51"/>
        <v>0</v>
      </c>
      <c r="Y53" s="10">
        <f t="shared" si="52"/>
        <v>0</v>
      </c>
      <c r="Z53" s="1">
        <f t="shared" si="53"/>
        <v>0</v>
      </c>
      <c r="AA53" s="8">
        <f t="shared" si="54"/>
        <v>0</v>
      </c>
    </row>
    <row r="54" spans="1:27" s="2" customFormat="1">
      <c r="A54" s="321"/>
      <c r="B54" s="240" t="str">
        <f>'RFQ response'!C49</f>
        <v xml:space="preserve"> -</v>
      </c>
      <c r="C54" s="237" t="str">
        <f>'RFQ response'!E49</f>
        <v>Device restraint performance</v>
      </c>
      <c r="D54" s="74" t="str">
        <f>'RFQ response'!D49</f>
        <v>REQ-0945142</v>
      </c>
      <c r="E54" s="238" t="str">
        <f>'RFQ response'!M49</f>
        <v>OK</v>
      </c>
      <c r="F54" s="75"/>
      <c r="G54" s="74"/>
      <c r="H54" s="74"/>
      <c r="I54" s="95"/>
      <c r="J54" s="75"/>
      <c r="K54" s="74"/>
      <c r="L54" s="74"/>
      <c r="M54" s="173"/>
      <c r="N54" s="239"/>
      <c r="O54" s="239"/>
      <c r="P54"/>
      <c r="Q54" s="9">
        <f t="shared" si="69"/>
        <v>0</v>
      </c>
      <c r="R54" s="10">
        <f t="shared" si="70"/>
        <v>0</v>
      </c>
      <c r="S54" s="10">
        <f t="shared" si="71"/>
        <v>0</v>
      </c>
      <c r="T54" s="1">
        <f t="shared" si="72"/>
        <v>0</v>
      </c>
      <c r="U54" s="1">
        <f t="shared" si="73"/>
        <v>0</v>
      </c>
      <c r="V54" s="1">
        <f t="shared" si="74"/>
        <v>0</v>
      </c>
      <c r="W54" s="7">
        <f t="shared" si="75"/>
        <v>0</v>
      </c>
      <c r="X54" s="9">
        <f t="shared" si="51"/>
        <v>0</v>
      </c>
      <c r="Y54" s="10">
        <f t="shared" si="52"/>
        <v>0</v>
      </c>
      <c r="Z54" s="1">
        <f t="shared" si="53"/>
        <v>0</v>
      </c>
      <c r="AA54" s="8">
        <f t="shared" si="54"/>
        <v>0</v>
      </c>
    </row>
    <row r="55" spans="1:27" s="2" customFormat="1">
      <c r="A55" s="321"/>
      <c r="B55" s="240" t="str">
        <f>'RFQ response'!C50</f>
        <v xml:space="preserve"> -</v>
      </c>
      <c r="C55" s="237" t="str">
        <f>'RFQ response'!E50</f>
        <v>Terminals mechanical resistance</v>
      </c>
      <c r="D55" s="74" t="str">
        <f>'RFQ response'!D50</f>
        <v>REQ-0945143</v>
      </c>
      <c r="E55" s="238" t="str">
        <f>'RFQ response'!M50</f>
        <v>OK</v>
      </c>
      <c r="F55" s="75"/>
      <c r="G55" s="74"/>
      <c r="H55" s="74"/>
      <c r="I55" s="95"/>
      <c r="J55" s="75"/>
      <c r="K55" s="74"/>
      <c r="L55" s="74"/>
      <c r="M55" s="173"/>
      <c r="N55" s="239"/>
      <c r="O55" s="239"/>
      <c r="P55"/>
      <c r="Q55" s="9">
        <f t="shared" si="69"/>
        <v>0</v>
      </c>
      <c r="R55" s="10">
        <f t="shared" si="70"/>
        <v>0</v>
      </c>
      <c r="S55" s="10">
        <f t="shared" si="71"/>
        <v>0</v>
      </c>
      <c r="T55" s="1">
        <f t="shared" si="72"/>
        <v>0</v>
      </c>
      <c r="U55" s="1">
        <f t="shared" si="73"/>
        <v>0</v>
      </c>
      <c r="V55" s="1">
        <f t="shared" si="74"/>
        <v>0</v>
      </c>
      <c r="W55" s="7">
        <f t="shared" si="75"/>
        <v>0</v>
      </c>
      <c r="X55" s="9">
        <f t="shared" si="51"/>
        <v>0</v>
      </c>
      <c r="Y55" s="10">
        <f t="shared" si="52"/>
        <v>0</v>
      </c>
      <c r="Z55" s="1">
        <f t="shared" si="53"/>
        <v>0</v>
      </c>
      <c r="AA55" s="8">
        <f t="shared" si="54"/>
        <v>0</v>
      </c>
    </row>
    <row r="56" spans="1:27" s="2" customFormat="1">
      <c r="A56" s="321"/>
      <c r="B56" s="240" t="str">
        <f>'RFQ response'!C51</f>
        <v xml:space="preserve"> -</v>
      </c>
      <c r="C56" s="237" t="str">
        <f>'RFQ response'!E51</f>
        <v>Mechanical vibration</v>
      </c>
      <c r="D56" s="74" t="str">
        <f>'RFQ response'!D51</f>
        <v>REQ-0945144</v>
      </c>
      <c r="E56" s="238" t="str">
        <f>'RFQ response'!M51</f>
        <v>OK</v>
      </c>
      <c r="F56" s="75"/>
      <c r="G56" s="74"/>
      <c r="H56" s="74"/>
      <c r="I56" s="95"/>
      <c r="J56" s="75"/>
      <c r="K56" s="74"/>
      <c r="L56" s="74"/>
      <c r="M56" s="173"/>
      <c r="N56" s="239"/>
      <c r="O56" s="239"/>
      <c r="P56"/>
      <c r="Q56" s="9">
        <f t="shared" si="69"/>
        <v>0</v>
      </c>
      <c r="R56" s="10">
        <f t="shared" si="70"/>
        <v>0</v>
      </c>
      <c r="S56" s="10">
        <f t="shared" si="71"/>
        <v>0</v>
      </c>
      <c r="T56" s="1">
        <f t="shared" si="72"/>
        <v>0</v>
      </c>
      <c r="U56" s="1">
        <f t="shared" si="73"/>
        <v>0</v>
      </c>
      <c r="V56" s="1">
        <f t="shared" si="74"/>
        <v>0</v>
      </c>
      <c r="W56" s="7">
        <f t="shared" si="75"/>
        <v>0</v>
      </c>
      <c r="X56" s="9">
        <f t="shared" si="51"/>
        <v>0</v>
      </c>
      <c r="Y56" s="10">
        <f t="shared" si="52"/>
        <v>0</v>
      </c>
      <c r="Z56" s="1">
        <f t="shared" si="53"/>
        <v>0</v>
      </c>
      <c r="AA56" s="8">
        <f t="shared" si="54"/>
        <v>0</v>
      </c>
    </row>
    <row r="57" spans="1:27" s="2" customFormat="1">
      <c r="A57" s="321"/>
      <c r="B57" s="240" t="str">
        <f>'RFQ response'!C52</f>
        <v xml:space="preserve"> -</v>
      </c>
      <c r="C57" s="237" t="str">
        <f>'RFQ response'!E52</f>
        <v>Mechanical shock</v>
      </c>
      <c r="D57" s="74" t="str">
        <f>'RFQ response'!D52</f>
        <v>REQ-0945149</v>
      </c>
      <c r="E57" s="238" t="str">
        <f>'RFQ response'!M52</f>
        <v>OK</v>
      </c>
      <c r="F57" s="75"/>
      <c r="G57" s="74"/>
      <c r="H57" s="74"/>
      <c r="I57" s="95"/>
      <c r="J57" s="75"/>
      <c r="K57" s="74"/>
      <c r="L57" s="74"/>
      <c r="M57" s="173"/>
      <c r="N57" s="239"/>
      <c r="O57" s="239"/>
      <c r="P57"/>
      <c r="Q57" s="9">
        <f t="shared" si="69"/>
        <v>0</v>
      </c>
      <c r="R57" s="10">
        <f t="shared" si="70"/>
        <v>0</v>
      </c>
      <c r="S57" s="10">
        <f t="shared" si="71"/>
        <v>0</v>
      </c>
      <c r="T57" s="1">
        <f t="shared" si="72"/>
        <v>0</v>
      </c>
      <c r="U57" s="1">
        <f t="shared" si="73"/>
        <v>0</v>
      </c>
      <c r="V57" s="1">
        <f t="shared" si="74"/>
        <v>0</v>
      </c>
      <c r="W57" s="7">
        <f t="shared" si="75"/>
        <v>0</v>
      </c>
      <c r="X57" s="9">
        <f t="shared" si="51"/>
        <v>0</v>
      </c>
      <c r="Y57" s="10">
        <f t="shared" si="52"/>
        <v>0</v>
      </c>
      <c r="Z57" s="1">
        <f t="shared" si="53"/>
        <v>0</v>
      </c>
      <c r="AA57" s="8">
        <f t="shared" si="54"/>
        <v>0</v>
      </c>
    </row>
    <row r="58" spans="1:27" s="2" customFormat="1">
      <c r="A58" s="321"/>
      <c r="B58" s="240" t="str">
        <f>'RFQ response'!C53</f>
        <v xml:space="preserve"> -</v>
      </c>
      <c r="C58" s="546" t="str">
        <f>'RFQ response'!E53</f>
        <v>Mechanical shock endurance</v>
      </c>
      <c r="D58" s="547" t="str">
        <f>'RFQ response'!D53</f>
        <v xml:space="preserve"> -</v>
      </c>
      <c r="E58" s="548" t="str">
        <f>'RFQ response'!M53</f>
        <v>NA</v>
      </c>
      <c r="F58" s="504"/>
      <c r="G58" s="502"/>
      <c r="H58" s="502"/>
      <c r="I58" s="505"/>
      <c r="J58" s="504"/>
      <c r="K58" s="502"/>
      <c r="L58" s="502"/>
      <c r="M58" s="506"/>
      <c r="N58" s="507"/>
      <c r="O58" s="507"/>
      <c r="P58"/>
      <c r="Q58" s="9">
        <f t="shared" si="69"/>
        <v>0</v>
      </c>
      <c r="R58" s="10">
        <f t="shared" si="70"/>
        <v>0</v>
      </c>
      <c r="S58" s="10">
        <f t="shared" si="71"/>
        <v>0</v>
      </c>
      <c r="T58" s="1">
        <f t="shared" si="72"/>
        <v>0</v>
      </c>
      <c r="U58" s="1">
        <f t="shared" si="73"/>
        <v>0</v>
      </c>
      <c r="V58" s="1">
        <f t="shared" si="74"/>
        <v>0</v>
      </c>
      <c r="W58" s="7">
        <f t="shared" si="75"/>
        <v>0</v>
      </c>
      <c r="X58" s="9">
        <f t="shared" si="51"/>
        <v>0</v>
      </c>
      <c r="Y58" s="10">
        <f t="shared" si="52"/>
        <v>0</v>
      </c>
      <c r="Z58" s="1">
        <f t="shared" si="53"/>
        <v>0</v>
      </c>
      <c r="AA58" s="8">
        <f t="shared" si="54"/>
        <v>0</v>
      </c>
    </row>
    <row r="59" spans="1:27" s="2" customFormat="1">
      <c r="A59" s="321"/>
      <c r="B59" s="240" t="str">
        <f>'RFQ response'!C54</f>
        <v xml:space="preserve"> -</v>
      </c>
      <c r="C59" s="237" t="str">
        <f>'RFQ response'!E54</f>
        <v>Handling drop</v>
      </c>
      <c r="D59" s="74" t="str">
        <f>'RFQ response'!D54</f>
        <v>REQ-0945119</v>
      </c>
      <c r="E59" s="238" t="str">
        <f>'RFQ response'!M54</f>
        <v>OK</v>
      </c>
      <c r="F59" s="75"/>
      <c r="G59" s="74"/>
      <c r="H59" s="74"/>
      <c r="I59" s="95"/>
      <c r="J59" s="75"/>
      <c r="K59" s="74"/>
      <c r="L59" s="74"/>
      <c r="M59" s="173"/>
      <c r="N59" s="239"/>
      <c r="O59" s="239"/>
      <c r="P59"/>
      <c r="Q59" s="9">
        <f t="shared" si="69"/>
        <v>0</v>
      </c>
      <c r="R59" s="10">
        <f t="shared" si="70"/>
        <v>0</v>
      </c>
      <c r="S59" s="10">
        <f t="shared" si="71"/>
        <v>0</v>
      </c>
      <c r="T59" s="1">
        <f t="shared" si="72"/>
        <v>0</v>
      </c>
      <c r="U59" s="1">
        <f t="shared" si="73"/>
        <v>0</v>
      </c>
      <c r="V59" s="1">
        <f t="shared" si="74"/>
        <v>0</v>
      </c>
      <c r="W59" s="7">
        <f t="shared" si="75"/>
        <v>0</v>
      </c>
      <c r="X59" s="9">
        <f t="shared" si="51"/>
        <v>0</v>
      </c>
      <c r="Y59" s="10">
        <f t="shared" si="52"/>
        <v>0</v>
      </c>
      <c r="Z59" s="1">
        <f t="shared" si="53"/>
        <v>0</v>
      </c>
      <c r="AA59" s="8">
        <f t="shared" si="54"/>
        <v>0</v>
      </c>
    </row>
    <row r="60" spans="1:27" s="2" customFormat="1">
      <c r="A60" s="321"/>
      <c r="B60" s="240" t="str">
        <f>'RFQ response'!C55</f>
        <v>MEAE</v>
      </c>
      <c r="C60" s="237" t="str">
        <f>'RFQ response'!E55</f>
        <v>Mechanical (hydraulic) and electrical activation endurance</v>
      </c>
      <c r="D60" s="74" t="str">
        <f>'RFQ response'!D55</f>
        <v>REQ-0945118</v>
      </c>
      <c r="E60" s="238" t="str">
        <f>'RFQ response'!M55</f>
        <v>OK</v>
      </c>
      <c r="F60" s="75"/>
      <c r="G60" s="74"/>
      <c r="H60" s="74"/>
      <c r="I60" s="95"/>
      <c r="J60" s="75"/>
      <c r="K60" s="74"/>
      <c r="L60" s="74"/>
      <c r="M60" s="173"/>
      <c r="N60" s="239"/>
      <c r="O60" s="239"/>
      <c r="P60"/>
      <c r="Q60" s="9">
        <f t="shared" si="69"/>
        <v>0</v>
      </c>
      <c r="R60" s="10">
        <f t="shared" si="70"/>
        <v>0</v>
      </c>
      <c r="S60" s="10">
        <f t="shared" si="71"/>
        <v>0</v>
      </c>
      <c r="T60" s="1">
        <f t="shared" si="72"/>
        <v>0</v>
      </c>
      <c r="U60" s="1">
        <f t="shared" si="73"/>
        <v>0</v>
      </c>
      <c r="V60" s="1">
        <f t="shared" si="74"/>
        <v>0</v>
      </c>
      <c r="W60" s="7">
        <f t="shared" si="75"/>
        <v>0</v>
      </c>
      <c r="X60" s="9">
        <f t="shared" si="51"/>
        <v>0</v>
      </c>
      <c r="Y60" s="10">
        <f t="shared" si="52"/>
        <v>0</v>
      </c>
      <c r="Z60" s="1">
        <f t="shared" si="53"/>
        <v>0</v>
      </c>
      <c r="AA60" s="8">
        <f t="shared" si="54"/>
        <v>0</v>
      </c>
    </row>
    <row r="61" spans="1:27" s="2" customFormat="1">
      <c r="A61" s="321"/>
      <c r="B61" s="240" t="str">
        <f>'RFQ response'!C56</f>
        <v xml:space="preserve"> -</v>
      </c>
      <c r="C61" s="546" t="str">
        <f>'RFQ response'!E56</f>
        <v>Gravel bombardment</v>
      </c>
      <c r="D61" s="547" t="str">
        <f>'RFQ response'!D56</f>
        <v xml:space="preserve"> -</v>
      </c>
      <c r="E61" s="548" t="str">
        <f>'RFQ response'!M56</f>
        <v>NA</v>
      </c>
      <c r="F61" s="504"/>
      <c r="G61" s="502"/>
      <c r="H61" s="502"/>
      <c r="I61" s="505"/>
      <c r="J61" s="504"/>
      <c r="K61" s="502"/>
      <c r="L61" s="502"/>
      <c r="M61" s="506"/>
      <c r="N61" s="507"/>
      <c r="O61" s="507"/>
      <c r="P61"/>
      <c r="Q61" s="9">
        <f t="shared" si="69"/>
        <v>0</v>
      </c>
      <c r="R61" s="10">
        <f t="shared" si="70"/>
        <v>0</v>
      </c>
      <c r="S61" s="10">
        <f t="shared" si="71"/>
        <v>0</v>
      </c>
      <c r="T61" s="1">
        <f t="shared" si="72"/>
        <v>0</v>
      </c>
      <c r="U61" s="1">
        <f t="shared" si="73"/>
        <v>0</v>
      </c>
      <c r="V61" s="1">
        <f t="shared" si="74"/>
        <v>0</v>
      </c>
      <c r="W61" s="7">
        <f t="shared" si="75"/>
        <v>0</v>
      </c>
      <c r="X61" s="9">
        <f t="shared" si="51"/>
        <v>0</v>
      </c>
      <c r="Y61" s="10">
        <f t="shared" si="52"/>
        <v>0</v>
      </c>
      <c r="Z61" s="1">
        <f t="shared" si="53"/>
        <v>0</v>
      </c>
      <c r="AA61" s="8">
        <f t="shared" si="54"/>
        <v>0</v>
      </c>
    </row>
    <row r="62" spans="1:27" s="2" customFormat="1">
      <c r="A62" s="321"/>
      <c r="B62" s="240" t="str">
        <f>'RFQ response'!C57</f>
        <v>SMT1.1</v>
      </c>
      <c r="C62" s="237" t="str">
        <f>'RFQ response'!E57</f>
        <v>Pull Test (200N)</v>
      </c>
      <c r="D62" s="74" t="str">
        <f>'RFQ response'!D57</f>
        <v>REQ-0945079</v>
      </c>
      <c r="E62" s="238" t="str">
        <f>'RFQ response'!M57</f>
        <v>OK</v>
      </c>
      <c r="F62" s="75"/>
      <c r="G62" s="74"/>
      <c r="H62" s="74"/>
      <c r="I62" s="95"/>
      <c r="J62" s="75"/>
      <c r="K62" s="74"/>
      <c r="L62" s="74"/>
      <c r="M62" s="173"/>
      <c r="N62" s="239"/>
      <c r="O62" s="239"/>
      <c r="P62"/>
      <c r="Q62" s="9">
        <f t="shared" si="69"/>
        <v>0</v>
      </c>
      <c r="R62" s="10">
        <f t="shared" si="70"/>
        <v>0</v>
      </c>
      <c r="S62" s="10">
        <f t="shared" si="71"/>
        <v>0</v>
      </c>
      <c r="T62" s="1">
        <f t="shared" si="72"/>
        <v>0</v>
      </c>
      <c r="U62" s="1">
        <f t="shared" si="73"/>
        <v>0</v>
      </c>
      <c r="V62" s="1">
        <f t="shared" si="74"/>
        <v>0</v>
      </c>
      <c r="W62" s="7">
        <f t="shared" si="75"/>
        <v>0</v>
      </c>
      <c r="X62" s="9">
        <f t="shared" si="51"/>
        <v>0</v>
      </c>
      <c r="Y62" s="10">
        <f t="shared" si="52"/>
        <v>0</v>
      </c>
      <c r="Z62" s="1">
        <f t="shared" si="53"/>
        <v>0</v>
      </c>
      <c r="AA62" s="8">
        <f t="shared" si="54"/>
        <v>0</v>
      </c>
    </row>
    <row r="63" spans="1:27" s="2" customFormat="1">
      <c r="A63" s="321"/>
      <c r="B63" s="240" t="str">
        <f>'RFQ response'!C58</f>
        <v>SMT1.2</v>
      </c>
      <c r="C63" s="237" t="str">
        <f>'RFQ response'!E58</f>
        <v>Pull Test (400N)</v>
      </c>
      <c r="D63" s="74" t="str">
        <f>'RFQ response'!D58</f>
        <v>REQ-0945090</v>
      </c>
      <c r="E63" s="238" t="str">
        <f>'RFQ response'!M58</f>
        <v>OK</v>
      </c>
      <c r="F63" s="75"/>
      <c r="G63" s="74"/>
      <c r="H63" s="74"/>
      <c r="I63" s="95"/>
      <c r="J63" s="75"/>
      <c r="K63" s="74"/>
      <c r="L63" s="74"/>
      <c r="M63" s="173"/>
      <c r="N63" s="239"/>
      <c r="O63" s="239"/>
      <c r="P63"/>
      <c r="Q63" s="9">
        <f t="shared" si="69"/>
        <v>0</v>
      </c>
      <c r="R63" s="10">
        <f t="shared" si="70"/>
        <v>0</v>
      </c>
      <c r="S63" s="10">
        <f t="shared" si="71"/>
        <v>0</v>
      </c>
      <c r="T63" s="1">
        <f t="shared" si="72"/>
        <v>0</v>
      </c>
      <c r="U63" s="1">
        <f t="shared" si="73"/>
        <v>0</v>
      </c>
      <c r="V63" s="1">
        <f t="shared" si="74"/>
        <v>0</v>
      </c>
      <c r="W63" s="7">
        <f t="shared" si="75"/>
        <v>0</v>
      </c>
      <c r="X63" s="9">
        <f t="shared" si="51"/>
        <v>0</v>
      </c>
      <c r="Y63" s="10">
        <f t="shared" si="52"/>
        <v>0</v>
      </c>
      <c r="Z63" s="1">
        <f t="shared" si="53"/>
        <v>0</v>
      </c>
      <c r="AA63" s="8">
        <f t="shared" si="54"/>
        <v>0</v>
      </c>
    </row>
    <row r="64" spans="1:27" s="2" customFormat="1">
      <c r="A64" s="321"/>
      <c r="B64" s="240" t="str">
        <f>'RFQ response'!C59</f>
        <v>SMT2.2</v>
      </c>
      <c r="C64" s="237" t="str">
        <f>'RFQ response'!E59</f>
        <v>Folding, unfolding and adjustment noise</v>
      </c>
      <c r="D64" s="74" t="str">
        <f>'RFQ response'!D59</f>
        <v>REQ-0945146</v>
      </c>
      <c r="E64" s="238" t="str">
        <f>'RFQ response'!M59</f>
        <v>NA</v>
      </c>
      <c r="F64" s="75"/>
      <c r="G64" s="74"/>
      <c r="H64" s="74"/>
      <c r="I64" s="95"/>
      <c r="J64" s="75"/>
      <c r="K64" s="74"/>
      <c r="L64" s="74"/>
      <c r="M64" s="173"/>
      <c r="N64" s="239"/>
      <c r="O64" s="239"/>
      <c r="P64"/>
      <c r="Q64" s="9">
        <f t="shared" si="69"/>
        <v>0</v>
      </c>
      <c r="R64" s="10">
        <f t="shared" si="70"/>
        <v>0</v>
      </c>
      <c r="S64" s="10">
        <f t="shared" si="71"/>
        <v>0</v>
      </c>
      <c r="T64" s="1">
        <f t="shared" si="72"/>
        <v>0</v>
      </c>
      <c r="U64" s="1">
        <f t="shared" si="73"/>
        <v>0</v>
      </c>
      <c r="V64" s="1">
        <f t="shared" si="74"/>
        <v>0</v>
      </c>
      <c r="W64" s="7">
        <f t="shared" si="75"/>
        <v>0</v>
      </c>
      <c r="X64" s="9">
        <f t="shared" si="51"/>
        <v>0</v>
      </c>
      <c r="Y64" s="10">
        <f t="shared" si="52"/>
        <v>0</v>
      </c>
      <c r="Z64" s="1">
        <f t="shared" si="53"/>
        <v>0</v>
      </c>
      <c r="AA64" s="8">
        <f t="shared" si="54"/>
        <v>0</v>
      </c>
    </row>
    <row r="65" spans="1:27" s="2" customFormat="1">
      <c r="A65" s="321"/>
      <c r="B65" s="240" t="str">
        <f>'RFQ response'!C60</f>
        <v>SMT2.3</v>
      </c>
      <c r="C65" s="237" t="str">
        <f>'RFQ response'!E60</f>
        <v>Electronic noise</v>
      </c>
      <c r="D65" s="74" t="str">
        <f>'RFQ response'!D60</f>
        <v>REQ-0945147</v>
      </c>
      <c r="E65" s="238" t="str">
        <f>'RFQ response'!M60</f>
        <v>OK</v>
      </c>
      <c r="F65" s="75"/>
      <c r="G65" s="74"/>
      <c r="H65" s="74"/>
      <c r="I65" s="95"/>
      <c r="J65" s="75"/>
      <c r="K65" s="74"/>
      <c r="L65" s="74"/>
      <c r="M65" s="173"/>
      <c r="N65" s="239"/>
      <c r="O65" s="239"/>
      <c r="P65"/>
      <c r="Q65" s="9">
        <f t="shared" si="69"/>
        <v>0</v>
      </c>
      <c r="R65" s="10">
        <f t="shared" si="70"/>
        <v>0</v>
      </c>
      <c r="S65" s="10">
        <f t="shared" si="71"/>
        <v>0</v>
      </c>
      <c r="T65" s="1">
        <f t="shared" si="72"/>
        <v>0</v>
      </c>
      <c r="U65" s="1">
        <f t="shared" si="73"/>
        <v>0</v>
      </c>
      <c r="V65" s="1">
        <f t="shared" si="74"/>
        <v>0</v>
      </c>
      <c r="W65" s="7">
        <f t="shared" si="75"/>
        <v>0</v>
      </c>
      <c r="X65" s="9">
        <f t="shared" si="51"/>
        <v>0</v>
      </c>
      <c r="Y65" s="10">
        <f t="shared" si="52"/>
        <v>0</v>
      </c>
      <c r="Z65" s="1">
        <f t="shared" si="53"/>
        <v>0</v>
      </c>
      <c r="AA65" s="8">
        <f t="shared" si="54"/>
        <v>0</v>
      </c>
    </row>
    <row r="66" spans="1:27" s="2" customFormat="1">
      <c r="A66" s="321"/>
      <c r="B66" s="240" t="str">
        <f>'RFQ response'!C61</f>
        <v>SMT3</v>
      </c>
      <c r="C66" s="237" t="str">
        <f>'RFQ response'!E61</f>
        <v>Unwanted noise – Vibratory organic test</v>
      </c>
      <c r="D66" s="74" t="str">
        <f>'RFQ response'!D61</f>
        <v>REQ-0945148</v>
      </c>
      <c r="E66" s="238" t="str">
        <f>'RFQ response'!M61</f>
        <v>OK</v>
      </c>
      <c r="F66" s="75"/>
      <c r="G66" s="74"/>
      <c r="H66" s="74"/>
      <c r="I66" s="95"/>
      <c r="J66" s="75"/>
      <c r="K66" s="74"/>
      <c r="L66" s="74"/>
      <c r="M66" s="173"/>
      <c r="N66" s="239"/>
      <c r="O66" s="239"/>
      <c r="P66"/>
      <c r="Q66" s="9">
        <f t="shared" si="69"/>
        <v>0</v>
      </c>
      <c r="R66" s="10">
        <f t="shared" si="70"/>
        <v>0</v>
      </c>
      <c r="S66" s="10">
        <f t="shared" si="71"/>
        <v>0</v>
      </c>
      <c r="T66" s="1">
        <f t="shared" si="72"/>
        <v>0</v>
      </c>
      <c r="U66" s="1">
        <f t="shared" si="73"/>
        <v>0</v>
      </c>
      <c r="V66" s="1">
        <f t="shared" si="74"/>
        <v>0</v>
      </c>
      <c r="W66" s="7">
        <f t="shared" si="75"/>
        <v>0</v>
      </c>
      <c r="X66" s="9">
        <f t="shared" si="51"/>
        <v>0</v>
      </c>
      <c r="Y66" s="10">
        <f t="shared" si="52"/>
        <v>0</v>
      </c>
      <c r="Z66" s="1">
        <f t="shared" si="53"/>
        <v>0</v>
      </c>
      <c r="AA66" s="8">
        <f t="shared" si="54"/>
        <v>0</v>
      </c>
    </row>
    <row r="67" spans="1:27" s="2" customFormat="1" ht="15" customHeight="1">
      <c r="A67" s="321"/>
      <c r="B67" s="240" t="str">
        <f>'RFQ response'!C62</f>
        <v>SMT5</v>
      </c>
      <c r="C67" s="237" t="str">
        <f>'RFQ response'!E62</f>
        <v>Endurance test of folding/unfolding of the combiner</v>
      </c>
      <c r="D67" s="74" t="str">
        <f>'RFQ response'!D62</f>
        <v>REQ-0945151</v>
      </c>
      <c r="E67" s="238" t="str">
        <f>'RFQ response'!M62</f>
        <v>NA</v>
      </c>
      <c r="F67" s="75"/>
      <c r="G67" s="74"/>
      <c r="H67" s="74"/>
      <c r="I67" s="95"/>
      <c r="J67" s="75"/>
      <c r="K67" s="74"/>
      <c r="L67" s="74"/>
      <c r="M67" s="173"/>
      <c r="N67" s="239"/>
      <c r="O67" s="239"/>
      <c r="P67"/>
      <c r="Q67" s="9">
        <f t="shared" si="69"/>
        <v>0</v>
      </c>
      <c r="R67" s="10">
        <f t="shared" si="70"/>
        <v>0</v>
      </c>
      <c r="S67" s="10">
        <f t="shared" si="71"/>
        <v>0</v>
      </c>
      <c r="T67" s="1">
        <f t="shared" si="72"/>
        <v>0</v>
      </c>
      <c r="U67" s="1">
        <f t="shared" si="73"/>
        <v>0</v>
      </c>
      <c r="V67" s="1">
        <f t="shared" si="74"/>
        <v>0</v>
      </c>
      <c r="W67" s="7">
        <f t="shared" si="75"/>
        <v>0</v>
      </c>
      <c r="X67" s="9">
        <f t="shared" si="51"/>
        <v>0</v>
      </c>
      <c r="Y67" s="10">
        <f t="shared" si="52"/>
        <v>0</v>
      </c>
      <c r="Z67" s="1">
        <f t="shared" si="53"/>
        <v>0</v>
      </c>
      <c r="AA67" s="8">
        <f t="shared" si="54"/>
        <v>0</v>
      </c>
    </row>
    <row r="68" spans="1:27" s="2" customFormat="1" ht="15" customHeight="1">
      <c r="A68" s="321"/>
      <c r="B68" s="240" t="str">
        <f>'RFQ response'!C63</f>
        <v>SMT6.1</v>
      </c>
      <c r="C68" s="237" t="str">
        <f>'RFQ response'!E63</f>
        <v>Capacitive detection test without gloves</v>
      </c>
      <c r="D68" s="74" t="str">
        <f>'RFQ response'!D63</f>
        <v>REQ-0945152</v>
      </c>
      <c r="E68" s="238" t="str">
        <f>'RFQ response'!M63</f>
        <v>OK</v>
      </c>
      <c r="F68" s="75"/>
      <c r="G68" s="74"/>
      <c r="H68" s="74"/>
      <c r="I68" s="95"/>
      <c r="J68" s="75"/>
      <c r="K68" s="74"/>
      <c r="L68" s="74"/>
      <c r="M68" s="173"/>
      <c r="N68" s="239"/>
      <c r="O68" s="239"/>
      <c r="P68"/>
      <c r="Q68" s="9"/>
      <c r="R68" s="10"/>
      <c r="S68" s="10"/>
      <c r="T68" s="1"/>
      <c r="U68" s="1"/>
      <c r="V68" s="1"/>
      <c r="W68" s="7"/>
      <c r="X68" s="9"/>
      <c r="Y68" s="10"/>
      <c r="Z68" s="1"/>
      <c r="AA68" s="8"/>
    </row>
    <row r="69" spans="1:27" s="2" customFormat="1" ht="15" customHeight="1">
      <c r="A69" s="321"/>
      <c r="B69" s="240" t="str">
        <f>'RFQ response'!C64</f>
        <v>SMT6.2</v>
      </c>
      <c r="C69" s="237" t="str">
        <f>'RFQ response'!E64</f>
        <v>Capacitive detection test with thin gloves</v>
      </c>
      <c r="D69" s="74" t="str">
        <f>'RFQ response'!D64</f>
        <v>REQ-0945153</v>
      </c>
      <c r="E69" s="238" t="str">
        <f>'RFQ response'!M64</f>
        <v>OK</v>
      </c>
      <c r="F69" s="75"/>
      <c r="G69" s="74"/>
      <c r="H69" s="74"/>
      <c r="I69" s="95"/>
      <c r="J69" s="75"/>
      <c r="K69" s="74"/>
      <c r="L69" s="74"/>
      <c r="M69" s="173"/>
      <c r="N69" s="239"/>
      <c r="O69" s="239"/>
      <c r="P69"/>
      <c r="Q69" s="9"/>
      <c r="R69" s="10"/>
      <c r="S69" s="10"/>
      <c r="T69" s="1"/>
      <c r="U69" s="1"/>
      <c r="V69" s="1"/>
      <c r="W69" s="7"/>
      <c r="X69" s="9"/>
      <c r="Y69" s="10"/>
      <c r="Z69" s="1"/>
      <c r="AA69" s="8"/>
    </row>
    <row r="70" spans="1:27" s="2" customFormat="1" ht="15" customHeight="1">
      <c r="A70" s="321"/>
      <c r="B70" s="240" t="str">
        <f>'RFQ response'!C65</f>
        <v>SMT7</v>
      </c>
      <c r="C70" s="237" t="str">
        <f>'RFQ response'!E65</f>
        <v>Edge cover lens hardness test (falling ball)</v>
      </c>
      <c r="D70" s="74" t="str">
        <f>'RFQ response'!D65</f>
        <v>REQ-0945154</v>
      </c>
      <c r="E70" s="238" t="str">
        <f>'RFQ response'!M65</f>
        <v>OK</v>
      </c>
      <c r="F70" s="75"/>
      <c r="G70" s="74"/>
      <c r="H70" s="74"/>
      <c r="I70" s="95"/>
      <c r="J70" s="75"/>
      <c r="K70" s="74"/>
      <c r="L70" s="74"/>
      <c r="M70" s="173"/>
      <c r="N70" s="239"/>
      <c r="O70" s="239"/>
      <c r="P70"/>
      <c r="Q70" s="9"/>
      <c r="R70" s="10"/>
      <c r="S70" s="10"/>
      <c r="T70" s="1"/>
      <c r="U70" s="1"/>
      <c r="V70" s="1"/>
      <c r="W70" s="7"/>
      <c r="X70" s="9"/>
      <c r="Y70" s="10"/>
      <c r="Z70" s="1"/>
      <c r="AA70" s="8"/>
    </row>
    <row r="71" spans="1:27" s="2" customFormat="1" ht="15" customHeight="1">
      <c r="A71" s="321"/>
      <c r="B71" s="240" t="str">
        <f>'RFQ response'!C66</f>
        <v>SMT8.1</v>
      </c>
      <c r="C71" s="237" t="str">
        <f>'RFQ response'!E66</f>
        <v>Indentation</v>
      </c>
      <c r="D71" s="74" t="str">
        <f>'RFQ response'!D66</f>
        <v>REQ-0945091</v>
      </c>
      <c r="E71" s="238" t="str">
        <f>'RFQ response'!M66</f>
        <v>OK</v>
      </c>
      <c r="F71" s="75"/>
      <c r="G71" s="74"/>
      <c r="H71" s="74"/>
      <c r="I71" s="95"/>
      <c r="J71" s="75"/>
      <c r="K71" s="74"/>
      <c r="L71" s="74"/>
      <c r="M71" s="173"/>
      <c r="N71" s="239"/>
      <c r="O71" s="239"/>
      <c r="P71"/>
      <c r="Q71" s="9"/>
      <c r="R71" s="10"/>
      <c r="S71" s="10"/>
      <c r="T71" s="1"/>
      <c r="U71" s="1"/>
      <c r="V71" s="1"/>
      <c r="W71" s="7"/>
      <c r="X71" s="9"/>
      <c r="Y71" s="10"/>
      <c r="Z71" s="1"/>
      <c r="AA71" s="8"/>
    </row>
    <row r="72" spans="1:27" s="2" customFormat="1" ht="33.75">
      <c r="A72" s="321"/>
      <c r="B72" s="240" t="str">
        <f>'RFQ response'!C67</f>
        <v>SMT8.2</v>
      </c>
      <c r="C72" s="237" t="str">
        <f>'RFQ response'!E67</f>
        <v>Rigidity of the frontage</v>
      </c>
      <c r="D72" s="74" t="str">
        <f>'RFQ response'!D67</f>
        <v>REQ-0945162
REQ-0945180
REQ-0945181</v>
      </c>
      <c r="E72" s="238" t="str">
        <f>'RFQ response'!M67</f>
        <v>OK</v>
      </c>
      <c r="F72" s="75"/>
      <c r="G72" s="74"/>
      <c r="H72" s="74"/>
      <c r="I72" s="95"/>
      <c r="J72" s="75"/>
      <c r="K72" s="74"/>
      <c r="L72" s="74"/>
      <c r="M72" s="173"/>
      <c r="N72" s="239"/>
      <c r="O72" s="239"/>
      <c r="P72"/>
      <c r="Q72" s="9"/>
      <c r="R72" s="10"/>
      <c r="S72" s="10"/>
      <c r="T72" s="1"/>
      <c r="U72" s="1"/>
      <c r="V72" s="1"/>
      <c r="W72" s="7"/>
      <c r="X72" s="9"/>
      <c r="Y72" s="10"/>
      <c r="Z72" s="1"/>
      <c r="AA72" s="8"/>
    </row>
    <row r="73" spans="1:27" s="2" customFormat="1" ht="15" customHeight="1">
      <c r="A73" s="321"/>
      <c r="B73" s="240" t="str">
        <f>'RFQ response'!C68</f>
        <v>SMT8.4</v>
      </c>
      <c r="C73" s="237" t="str">
        <f>'RFQ response'!E68</f>
        <v>Exceptional effort on the floating display</v>
      </c>
      <c r="D73" s="74" t="str">
        <f>'RFQ response'!D68</f>
        <v>REQ-0945184</v>
      </c>
      <c r="E73" s="238" t="str">
        <f>'RFQ response'!M68</f>
        <v>OK</v>
      </c>
      <c r="F73" s="75"/>
      <c r="G73" s="74"/>
      <c r="H73" s="74"/>
      <c r="I73" s="95"/>
      <c r="J73" s="75"/>
      <c r="K73" s="74"/>
      <c r="L73" s="74"/>
      <c r="M73" s="173"/>
      <c r="N73" s="239"/>
      <c r="O73" s="239"/>
      <c r="P73"/>
      <c r="Q73" s="9"/>
      <c r="R73" s="10"/>
      <c r="S73" s="10"/>
      <c r="T73" s="1"/>
      <c r="U73" s="1"/>
      <c r="V73" s="1"/>
      <c r="W73" s="7"/>
      <c r="X73" s="9"/>
      <c r="Y73" s="10"/>
      <c r="Z73" s="1"/>
      <c r="AA73" s="8"/>
    </row>
    <row r="74" spans="1:27" s="2" customFormat="1" ht="22.5">
      <c r="A74" s="321"/>
      <c r="B74" s="240" t="str">
        <f>'RFQ response'!C69</f>
        <v>SMT8.5</v>
      </c>
      <c r="C74" s="237" t="str">
        <f>'RFQ response'!E69</f>
        <v>Rigidity of the finger rest</v>
      </c>
      <c r="D74" s="74" t="str">
        <f>'RFQ response'!D69</f>
        <v>REQ-0945185
REQ-0945186</v>
      </c>
      <c r="E74" s="238" t="str">
        <f>'RFQ response'!M69</f>
        <v>NA</v>
      </c>
      <c r="F74" s="75"/>
      <c r="G74" s="74"/>
      <c r="H74" s="74"/>
      <c r="I74" s="95"/>
      <c r="J74" s="75"/>
      <c r="K74" s="74"/>
      <c r="L74" s="74"/>
      <c r="M74" s="173"/>
      <c r="N74" s="239"/>
      <c r="O74" s="239"/>
      <c r="P74"/>
      <c r="Q74" s="9"/>
      <c r="R74" s="10"/>
      <c r="S74" s="10"/>
      <c r="T74" s="1"/>
      <c r="U74" s="1"/>
      <c r="V74" s="1"/>
      <c r="W74" s="7"/>
      <c r="X74" s="9"/>
      <c r="Y74" s="10"/>
      <c r="Z74" s="1"/>
      <c r="AA74" s="8"/>
    </row>
    <row r="75" spans="1:27" s="2" customFormat="1">
      <c r="A75" s="321"/>
      <c r="B75" s="240" t="str">
        <f>'RFQ response'!C70</f>
        <v>SMT9</v>
      </c>
      <c r="C75" s="237" t="str">
        <f>'RFQ response'!E70</f>
        <v>Coatings performance tests for display cover lenses</v>
      </c>
      <c r="D75" s="74" t="str">
        <f>'RFQ response'!D70</f>
        <v>REQ-0945179</v>
      </c>
      <c r="E75" s="238" t="str">
        <f>'RFQ response'!M70</f>
        <v>OK</v>
      </c>
      <c r="F75" s="75"/>
      <c r="G75" s="74"/>
      <c r="H75" s="74"/>
      <c r="I75" s="95"/>
      <c r="J75" s="75"/>
      <c r="K75" s="74"/>
      <c r="L75" s="74"/>
      <c r="M75" s="173"/>
      <c r="N75" s="239"/>
      <c r="O75" s="239"/>
      <c r="P75"/>
      <c r="Q75" s="9"/>
      <c r="R75" s="10"/>
      <c r="S75" s="10"/>
      <c r="T75" s="1"/>
      <c r="U75" s="1"/>
      <c r="V75" s="1"/>
      <c r="W75" s="7"/>
      <c r="X75" s="9"/>
      <c r="Y75" s="10"/>
      <c r="Z75" s="1"/>
      <c r="AA75" s="8"/>
    </row>
    <row r="76" spans="1:27" s="2" customFormat="1" ht="15" customHeight="1">
      <c r="A76" s="321"/>
      <c r="B76" s="805" t="s">
        <v>458</v>
      </c>
      <c r="C76" s="805"/>
      <c r="D76" s="805"/>
      <c r="E76" s="805"/>
      <c r="F76" s="805"/>
      <c r="G76" s="805"/>
      <c r="H76" s="805"/>
      <c r="I76" s="805"/>
      <c r="J76" s="805"/>
      <c r="K76" s="805"/>
      <c r="L76" s="805"/>
      <c r="M76" s="805"/>
      <c r="N76" s="805"/>
      <c r="O76" s="806"/>
      <c r="P76"/>
      <c r="Q76" s="9">
        <f t="shared" si="69"/>
        <v>0</v>
      </c>
      <c r="R76" s="10">
        <f t="shared" si="70"/>
        <v>0</v>
      </c>
      <c r="S76" s="10">
        <f t="shared" si="71"/>
        <v>0</v>
      </c>
      <c r="T76" s="1">
        <f t="shared" si="72"/>
        <v>0</v>
      </c>
      <c r="U76" s="1">
        <f t="shared" si="73"/>
        <v>0</v>
      </c>
      <c r="V76" s="1">
        <f t="shared" si="74"/>
        <v>0</v>
      </c>
      <c r="W76" s="7">
        <f t="shared" si="75"/>
        <v>0</v>
      </c>
      <c r="X76" s="9">
        <f t="shared" si="51"/>
        <v>0</v>
      </c>
      <c r="Y76" s="10">
        <f t="shared" si="52"/>
        <v>0</v>
      </c>
      <c r="Z76" s="1">
        <f t="shared" si="53"/>
        <v>0</v>
      </c>
      <c r="AA76" s="8">
        <f t="shared" si="54"/>
        <v>0</v>
      </c>
    </row>
    <row r="77" spans="1:27" s="2" customFormat="1">
      <c r="A77" s="321"/>
      <c r="B77" s="240" t="str">
        <f>'RFQ response'!C72</f>
        <v>SSTE</v>
      </c>
      <c r="C77" s="237" t="str">
        <f>'RFQ response'!E72</f>
        <v>Shipping / Storage Temperature Exposure</v>
      </c>
      <c r="D77" s="74" t="str">
        <f>'RFQ response'!D72</f>
        <v>REQ-0945155</v>
      </c>
      <c r="E77" s="238" t="str">
        <f>'RFQ response'!M72</f>
        <v>OK</v>
      </c>
      <c r="F77" s="75"/>
      <c r="G77" s="74"/>
      <c r="H77" s="74"/>
      <c r="I77" s="95"/>
      <c r="J77" s="75"/>
      <c r="K77" s="74"/>
      <c r="L77" s="74"/>
      <c r="M77" s="173"/>
      <c r="N77" s="239"/>
      <c r="O77" s="239"/>
      <c r="P77"/>
      <c r="Q77" s="9">
        <f t="shared" si="69"/>
        <v>0</v>
      </c>
      <c r="R77" s="10">
        <f t="shared" si="70"/>
        <v>0</v>
      </c>
      <c r="S77" s="10">
        <f t="shared" si="71"/>
        <v>0</v>
      </c>
      <c r="T77" s="1">
        <f t="shared" si="72"/>
        <v>0</v>
      </c>
      <c r="U77" s="1">
        <f t="shared" si="73"/>
        <v>0</v>
      </c>
      <c r="V77" s="1">
        <f t="shared" si="74"/>
        <v>0</v>
      </c>
      <c r="W77" s="7">
        <f t="shared" si="75"/>
        <v>0</v>
      </c>
      <c r="X77" s="9">
        <f t="shared" si="51"/>
        <v>0</v>
      </c>
      <c r="Y77" s="10">
        <f t="shared" si="52"/>
        <v>0</v>
      </c>
      <c r="Z77" s="1">
        <f t="shared" si="53"/>
        <v>0</v>
      </c>
      <c r="AA77" s="8">
        <f t="shared" si="54"/>
        <v>0</v>
      </c>
    </row>
    <row r="78" spans="1:27" s="2" customFormat="1">
      <c r="A78" s="321"/>
      <c r="B78" s="240" t="str">
        <f>'RFQ response'!C73</f>
        <v>LTOE</v>
      </c>
      <c r="C78" s="237" t="str">
        <f>'RFQ response'!E73</f>
        <v>Low Temperature Operating Endurance</v>
      </c>
      <c r="D78" s="74" t="str">
        <f>'RFQ response'!D73</f>
        <v>REQ-0945156</v>
      </c>
      <c r="E78" s="238" t="str">
        <f>'RFQ response'!M73</f>
        <v>OK</v>
      </c>
      <c r="F78" s="75"/>
      <c r="G78" s="74"/>
      <c r="H78" s="74"/>
      <c r="I78" s="95"/>
      <c r="J78" s="75"/>
      <c r="K78" s="74"/>
      <c r="L78" s="74"/>
      <c r="M78" s="173"/>
      <c r="N78" s="239"/>
      <c r="O78" s="239"/>
      <c r="P78"/>
      <c r="Q78" s="9">
        <f t="shared" si="69"/>
        <v>0</v>
      </c>
      <c r="R78" s="10">
        <f t="shared" si="70"/>
        <v>0</v>
      </c>
      <c r="S78" s="10">
        <f t="shared" si="71"/>
        <v>0</v>
      </c>
      <c r="T78" s="1">
        <f t="shared" si="72"/>
        <v>0</v>
      </c>
      <c r="U78" s="1">
        <f t="shared" si="73"/>
        <v>0</v>
      </c>
      <c r="V78" s="1">
        <f t="shared" si="74"/>
        <v>0</v>
      </c>
      <c r="W78" s="7">
        <f t="shared" si="75"/>
        <v>0</v>
      </c>
      <c r="X78" s="9">
        <f t="shared" si="51"/>
        <v>0</v>
      </c>
      <c r="Y78" s="10">
        <f t="shared" si="52"/>
        <v>0</v>
      </c>
      <c r="Z78" s="1">
        <f t="shared" si="53"/>
        <v>0</v>
      </c>
      <c r="AA78" s="8">
        <f t="shared" si="54"/>
        <v>0</v>
      </c>
    </row>
    <row r="79" spans="1:27" s="2" customFormat="1">
      <c r="A79" s="321"/>
      <c r="B79" s="240" t="str">
        <f>'RFQ response'!C74</f>
        <v>-</v>
      </c>
      <c r="C79" s="237" t="str">
        <f>'RFQ response'!E74</f>
        <v>Temperature Step</v>
      </c>
      <c r="D79" s="74" t="str">
        <f>'RFQ response'!D74</f>
        <v>REQ-0945157</v>
      </c>
      <c r="E79" s="238" t="str">
        <f>'RFQ response'!M74</f>
        <v>OK</v>
      </c>
      <c r="F79" s="75"/>
      <c r="G79" s="74"/>
      <c r="H79" s="74"/>
      <c r="I79" s="95"/>
      <c r="J79" s="75"/>
      <c r="K79" s="74"/>
      <c r="L79" s="74"/>
      <c r="M79" s="173"/>
      <c r="N79" s="239"/>
      <c r="O79" s="239"/>
      <c r="P79"/>
      <c r="Q79" s="9">
        <f t="shared" si="69"/>
        <v>0</v>
      </c>
      <c r="R79" s="10">
        <f t="shared" si="70"/>
        <v>0</v>
      </c>
      <c r="S79" s="10">
        <f t="shared" si="71"/>
        <v>0</v>
      </c>
      <c r="T79" s="1">
        <f t="shared" si="72"/>
        <v>0</v>
      </c>
      <c r="U79" s="1">
        <f t="shared" si="73"/>
        <v>0</v>
      </c>
      <c r="V79" s="1">
        <f t="shared" si="74"/>
        <v>0</v>
      </c>
      <c r="W79" s="7">
        <f t="shared" si="75"/>
        <v>0</v>
      </c>
      <c r="X79" s="9">
        <f t="shared" si="51"/>
        <v>0</v>
      </c>
      <c r="Y79" s="10">
        <f t="shared" si="52"/>
        <v>0</v>
      </c>
      <c r="Z79" s="1">
        <f t="shared" si="53"/>
        <v>0</v>
      </c>
      <c r="AA79" s="8">
        <f t="shared" si="54"/>
        <v>0</v>
      </c>
    </row>
    <row r="80" spans="1:27" s="2" customFormat="1">
      <c r="A80" s="321"/>
      <c r="B80" s="240" t="str">
        <f>'RFQ response'!C75</f>
        <v>HTOE</v>
      </c>
      <c r="C80" s="237" t="str">
        <f>'RFQ response'!E75</f>
        <v>High Temperature Operating Endurance</v>
      </c>
      <c r="D80" s="74" t="str">
        <f>'RFQ response'!D75</f>
        <v>REQ-0945158</v>
      </c>
      <c r="E80" s="238" t="str">
        <f>'RFQ response'!M75</f>
        <v>OK</v>
      </c>
      <c r="F80" s="75"/>
      <c r="G80" s="74"/>
      <c r="H80" s="74"/>
      <c r="I80" s="95"/>
      <c r="J80" s="75"/>
      <c r="K80" s="74"/>
      <c r="L80" s="74"/>
      <c r="M80" s="173"/>
      <c r="N80" s="239"/>
      <c r="O80" s="239"/>
      <c r="P80"/>
      <c r="Q80" s="9">
        <f t="shared" si="69"/>
        <v>0</v>
      </c>
      <c r="R80" s="10">
        <f t="shared" si="70"/>
        <v>0</v>
      </c>
      <c r="S80" s="10">
        <f t="shared" si="71"/>
        <v>0</v>
      </c>
      <c r="T80" s="1">
        <f t="shared" si="72"/>
        <v>0</v>
      </c>
      <c r="U80" s="1">
        <f t="shared" si="73"/>
        <v>0</v>
      </c>
      <c r="V80" s="1">
        <f t="shared" si="74"/>
        <v>0</v>
      </c>
      <c r="W80" s="7">
        <f t="shared" si="75"/>
        <v>0</v>
      </c>
      <c r="X80" s="9">
        <f t="shared" si="51"/>
        <v>0</v>
      </c>
      <c r="Y80" s="10">
        <f t="shared" si="52"/>
        <v>0</v>
      </c>
      <c r="Z80" s="1">
        <f t="shared" si="53"/>
        <v>0</v>
      </c>
      <c r="AA80" s="8">
        <f t="shared" si="54"/>
        <v>0</v>
      </c>
    </row>
    <row r="81" spans="1:27" s="2" customFormat="1">
      <c r="A81" s="321"/>
      <c r="B81" s="240" t="str">
        <f>'RFQ response'!C76</f>
        <v>PTCE</v>
      </c>
      <c r="C81" s="237" t="str">
        <f>'RFQ response'!E76</f>
        <v>Power Thermal Cycle Endurance</v>
      </c>
      <c r="D81" s="74" t="str">
        <f>'RFQ response'!D76</f>
        <v>REQ-0945163</v>
      </c>
      <c r="E81" s="238" t="str">
        <f>'RFQ response'!M76</f>
        <v>OK</v>
      </c>
      <c r="F81" s="75"/>
      <c r="G81" s="74"/>
      <c r="H81" s="74"/>
      <c r="I81" s="95"/>
      <c r="J81" s="75"/>
      <c r="K81" s="74"/>
      <c r="L81" s="74"/>
      <c r="M81" s="173"/>
      <c r="N81" s="239"/>
      <c r="O81" s="239"/>
      <c r="P81"/>
      <c r="Q81" s="9">
        <f t="shared" si="69"/>
        <v>0</v>
      </c>
      <c r="R81" s="10">
        <f t="shared" si="70"/>
        <v>0</v>
      </c>
      <c r="S81" s="10">
        <f t="shared" si="71"/>
        <v>0</v>
      </c>
      <c r="T81" s="1">
        <f t="shared" si="72"/>
        <v>0</v>
      </c>
      <c r="U81" s="1">
        <f t="shared" si="73"/>
        <v>0</v>
      </c>
      <c r="V81" s="1">
        <f t="shared" si="74"/>
        <v>0</v>
      </c>
      <c r="W81" s="7">
        <f t="shared" si="75"/>
        <v>0</v>
      </c>
      <c r="X81" s="9">
        <f t="shared" si="51"/>
        <v>0</v>
      </c>
      <c r="Y81" s="10">
        <f t="shared" si="52"/>
        <v>0</v>
      </c>
      <c r="Z81" s="1">
        <f t="shared" si="53"/>
        <v>0</v>
      </c>
      <c r="AA81" s="8">
        <f t="shared" si="54"/>
        <v>0</v>
      </c>
    </row>
    <row r="82" spans="1:27" s="2" customFormat="1">
      <c r="A82" s="321"/>
      <c r="B82" s="240" t="str">
        <f>'RFQ response'!C77</f>
        <v>TS</v>
      </c>
      <c r="C82" s="237" t="str">
        <f>'RFQ response'!E77</f>
        <v>Thermal Shock</v>
      </c>
      <c r="D82" s="74" t="str">
        <f>'RFQ response'!D77</f>
        <v>REQ-0945159</v>
      </c>
      <c r="E82" s="238" t="str">
        <f>'RFQ response'!M77</f>
        <v>OK</v>
      </c>
      <c r="F82" s="75"/>
      <c r="G82" s="74"/>
      <c r="H82" s="74"/>
      <c r="I82" s="95"/>
      <c r="J82" s="75"/>
      <c r="K82" s="74"/>
      <c r="L82" s="74"/>
      <c r="M82" s="173"/>
      <c r="N82" s="239"/>
      <c r="O82" s="239"/>
      <c r="P82"/>
      <c r="Q82" s="9">
        <f t="shared" si="69"/>
        <v>0</v>
      </c>
      <c r="R82" s="10">
        <f t="shared" si="70"/>
        <v>0</v>
      </c>
      <c r="S82" s="10">
        <f t="shared" si="71"/>
        <v>0</v>
      </c>
      <c r="T82" s="1">
        <f t="shared" si="72"/>
        <v>0</v>
      </c>
      <c r="U82" s="1">
        <f t="shared" si="73"/>
        <v>0</v>
      </c>
      <c r="V82" s="1">
        <f t="shared" si="74"/>
        <v>0</v>
      </c>
      <c r="W82" s="7">
        <f t="shared" si="75"/>
        <v>0</v>
      </c>
      <c r="X82" s="9">
        <f t="shared" si="51"/>
        <v>0</v>
      </c>
      <c r="Y82" s="10">
        <f t="shared" si="52"/>
        <v>0</v>
      </c>
      <c r="Z82" s="1">
        <f t="shared" si="53"/>
        <v>0</v>
      </c>
      <c r="AA82" s="8">
        <f t="shared" si="54"/>
        <v>0</v>
      </c>
    </row>
    <row r="83" spans="1:27" s="2" customFormat="1">
      <c r="A83" s="321"/>
      <c r="B83" s="240" t="str">
        <f>'RFQ response'!C78</f>
        <v>THC</v>
      </c>
      <c r="C83" s="237" t="str">
        <f>'RFQ response'!E78</f>
        <v>Thermal Humidity Cycle</v>
      </c>
      <c r="D83" s="74" t="str">
        <f>'RFQ response'!D78</f>
        <v>REQ-0945160</v>
      </c>
      <c r="E83" s="238" t="str">
        <f>'RFQ response'!M78</f>
        <v>OK</v>
      </c>
      <c r="F83" s="75"/>
      <c r="G83" s="74"/>
      <c r="H83" s="74"/>
      <c r="I83" s="95"/>
      <c r="J83" s="75"/>
      <c r="K83" s="74"/>
      <c r="L83" s="74"/>
      <c r="M83" s="173"/>
      <c r="N83" s="239"/>
      <c r="O83" s="239"/>
      <c r="P83"/>
      <c r="Q83" s="9">
        <f t="shared" si="69"/>
        <v>0</v>
      </c>
      <c r="R83" s="10">
        <f t="shared" si="70"/>
        <v>0</v>
      </c>
      <c r="S83" s="10">
        <f t="shared" si="71"/>
        <v>0</v>
      </c>
      <c r="T83" s="1">
        <f t="shared" si="72"/>
        <v>0</v>
      </c>
      <c r="U83" s="1">
        <f t="shared" si="73"/>
        <v>0</v>
      </c>
      <c r="V83" s="1">
        <f t="shared" si="74"/>
        <v>0</v>
      </c>
      <c r="W83" s="7">
        <f t="shared" si="75"/>
        <v>0</v>
      </c>
      <c r="X83" s="9">
        <f t="shared" si="51"/>
        <v>0</v>
      </c>
      <c r="Y83" s="10">
        <f t="shared" si="52"/>
        <v>0</v>
      </c>
      <c r="Z83" s="1">
        <f t="shared" si="53"/>
        <v>0</v>
      </c>
      <c r="AA83" s="8">
        <f t="shared" si="54"/>
        <v>0</v>
      </c>
    </row>
    <row r="84" spans="1:27" s="2" customFormat="1">
      <c r="A84" s="321"/>
      <c r="B84" s="240" t="str">
        <f>'RFQ response'!C79</f>
        <v>HTHE</v>
      </c>
      <c r="C84" s="237" t="str">
        <f>'RFQ response'!E79</f>
        <v>High Temperature &amp; High Humidity Endurance</v>
      </c>
      <c r="D84" s="74" t="str">
        <f>'RFQ response'!D79</f>
        <v>REQ-0945161</v>
      </c>
      <c r="E84" s="238" t="str">
        <f>'RFQ response'!M79</f>
        <v>OK</v>
      </c>
      <c r="F84" s="75"/>
      <c r="G84" s="74"/>
      <c r="H84" s="74"/>
      <c r="I84" s="95"/>
      <c r="J84" s="75"/>
      <c r="K84" s="74"/>
      <c r="L84" s="74"/>
      <c r="M84" s="173"/>
      <c r="N84" s="239"/>
      <c r="O84" s="239"/>
      <c r="P84"/>
      <c r="Q84" s="9">
        <f t="shared" si="69"/>
        <v>0</v>
      </c>
      <c r="R84" s="10">
        <f t="shared" si="70"/>
        <v>0</v>
      </c>
      <c r="S84" s="10">
        <f t="shared" si="71"/>
        <v>0</v>
      </c>
      <c r="T84" s="1">
        <f t="shared" si="72"/>
        <v>0</v>
      </c>
      <c r="U84" s="1">
        <f t="shared" si="73"/>
        <v>0</v>
      </c>
      <c r="V84" s="1">
        <f t="shared" si="74"/>
        <v>0</v>
      </c>
      <c r="W84" s="7">
        <f t="shared" si="75"/>
        <v>0</v>
      </c>
      <c r="X84" s="9">
        <f t="shared" si="51"/>
        <v>0</v>
      </c>
      <c r="Y84" s="10">
        <f t="shared" si="52"/>
        <v>0</v>
      </c>
      <c r="Z84" s="1">
        <f t="shared" si="53"/>
        <v>0</v>
      </c>
      <c r="AA84" s="8">
        <f t="shared" si="54"/>
        <v>0</v>
      </c>
    </row>
    <row r="85" spans="1:27" s="2" customFormat="1">
      <c r="A85" s="321"/>
      <c r="B85" s="240" t="str">
        <f>'RFQ response'!C80</f>
        <v>CL06</v>
      </c>
      <c r="C85" s="237" t="str">
        <f>'RFQ response'!E80</f>
        <v>Self-heating measurement</v>
      </c>
      <c r="D85" s="74" t="str">
        <f>'RFQ response'!D80</f>
        <v>REQ-0945127</v>
      </c>
      <c r="E85" s="238" t="str">
        <f>'RFQ response'!M80</f>
        <v>OK</v>
      </c>
      <c r="F85" s="75"/>
      <c r="G85" s="74"/>
      <c r="H85" s="74"/>
      <c r="I85" s="95"/>
      <c r="J85" s="75"/>
      <c r="K85" s="74"/>
      <c r="L85" s="74"/>
      <c r="M85" s="173"/>
      <c r="N85" s="239"/>
      <c r="O85" s="239"/>
      <c r="P85"/>
      <c r="Q85" s="9">
        <f t="shared" si="69"/>
        <v>0</v>
      </c>
      <c r="R85" s="10">
        <f t="shared" si="70"/>
        <v>0</v>
      </c>
      <c r="S85" s="10">
        <f t="shared" si="71"/>
        <v>0</v>
      </c>
      <c r="T85" s="1">
        <f t="shared" si="72"/>
        <v>0</v>
      </c>
      <c r="U85" s="1">
        <f t="shared" si="73"/>
        <v>0</v>
      </c>
      <c r="V85" s="1">
        <f t="shared" si="74"/>
        <v>0</v>
      </c>
      <c r="W85" s="7">
        <f t="shared" si="75"/>
        <v>0</v>
      </c>
      <c r="X85" s="9">
        <f t="shared" si="51"/>
        <v>0</v>
      </c>
      <c r="Y85" s="10">
        <f t="shared" si="52"/>
        <v>0</v>
      </c>
      <c r="Z85" s="1">
        <f t="shared" si="53"/>
        <v>0</v>
      </c>
      <c r="AA85" s="8">
        <f t="shared" si="54"/>
        <v>0</v>
      </c>
    </row>
    <row r="86" spans="1:27" s="2" customFormat="1">
      <c r="A86" s="321"/>
      <c r="B86" s="240" t="str">
        <f>'RFQ response'!C81</f>
        <v>SCT1</v>
      </c>
      <c r="C86" s="237" t="str">
        <f>'RFQ response'!E81</f>
        <v>Resistance test of the displays to the ultraviolet rays</v>
      </c>
      <c r="D86" s="74" t="str">
        <f>'RFQ response'!D81</f>
        <v>REQ-0945164</v>
      </c>
      <c r="E86" s="238" t="str">
        <f>'RFQ response'!M81</f>
        <v>OK</v>
      </c>
      <c r="F86" s="75"/>
      <c r="G86" s="74"/>
      <c r="H86" s="74"/>
      <c r="I86" s="95"/>
      <c r="J86" s="75"/>
      <c r="K86" s="74"/>
      <c r="L86" s="74"/>
      <c r="M86" s="173"/>
      <c r="N86" s="239"/>
      <c r="O86" s="239"/>
      <c r="P86"/>
      <c r="Q86" s="9">
        <f t="shared" si="69"/>
        <v>0</v>
      </c>
      <c r="R86" s="10">
        <f t="shared" si="70"/>
        <v>0</v>
      </c>
      <c r="S86" s="10">
        <f t="shared" si="71"/>
        <v>0</v>
      </c>
      <c r="T86" s="1">
        <f t="shared" si="72"/>
        <v>0</v>
      </c>
      <c r="U86" s="1">
        <f t="shared" si="73"/>
        <v>0</v>
      </c>
      <c r="V86" s="1">
        <f t="shared" si="74"/>
        <v>0</v>
      </c>
      <c r="W86" s="7">
        <f t="shared" si="75"/>
        <v>0</v>
      </c>
      <c r="X86" s="9">
        <f t="shared" si="51"/>
        <v>0</v>
      </c>
      <c r="Y86" s="10">
        <f t="shared" si="52"/>
        <v>0</v>
      </c>
      <c r="Z86" s="1">
        <f t="shared" si="53"/>
        <v>0</v>
      </c>
      <c r="AA86" s="8">
        <f t="shared" si="54"/>
        <v>0</v>
      </c>
    </row>
    <row r="87" spans="1:27" s="2" customFormat="1">
      <c r="A87" s="321"/>
      <c r="B87" s="240" t="str">
        <f>'RFQ response'!C82</f>
        <v>SCT2</v>
      </c>
      <c r="C87" s="237" t="str">
        <f>'RFQ response'!E82</f>
        <v>Resistance test of the displays to corrosive liquids</v>
      </c>
      <c r="D87" s="74" t="str">
        <f>'RFQ response'!D82</f>
        <v>REQ-0945165</v>
      </c>
      <c r="E87" s="238" t="str">
        <f>'RFQ response'!M82</f>
        <v>OK</v>
      </c>
      <c r="F87" s="75"/>
      <c r="G87" s="74"/>
      <c r="H87" s="74"/>
      <c r="I87" s="95"/>
      <c r="J87" s="75"/>
      <c r="K87" s="74"/>
      <c r="L87" s="74"/>
      <c r="M87" s="173"/>
      <c r="N87" s="239"/>
      <c r="O87" s="239"/>
      <c r="P87"/>
      <c r="Q87" s="9">
        <f t="shared" si="69"/>
        <v>0</v>
      </c>
      <c r="R87" s="10">
        <f t="shared" si="70"/>
        <v>0</v>
      </c>
      <c r="S87" s="10">
        <f t="shared" si="71"/>
        <v>0</v>
      </c>
      <c r="T87" s="1">
        <f t="shared" si="72"/>
        <v>0</v>
      </c>
      <c r="U87" s="1">
        <f t="shared" si="73"/>
        <v>0</v>
      </c>
      <c r="V87" s="1">
        <f t="shared" si="74"/>
        <v>0</v>
      </c>
      <c r="W87" s="7">
        <f t="shared" si="75"/>
        <v>0</v>
      </c>
      <c r="X87" s="9">
        <f t="shared" si="51"/>
        <v>0</v>
      </c>
      <c r="Y87" s="10">
        <f t="shared" si="52"/>
        <v>0</v>
      </c>
      <c r="Z87" s="1">
        <f t="shared" si="53"/>
        <v>0</v>
      </c>
      <c r="AA87" s="8">
        <f t="shared" si="54"/>
        <v>0</v>
      </c>
    </row>
    <row r="88" spans="1:27" s="2" customFormat="1">
      <c r="A88" s="321"/>
      <c r="B88" s="240" t="str">
        <f>'RFQ response'!C83</f>
        <v>SCT3</v>
      </c>
      <c r="C88" s="237" t="str">
        <f>'RFQ response'!E83</f>
        <v>Sun resistance</v>
      </c>
      <c r="D88" s="74" t="str">
        <f>'RFQ response'!D83</f>
        <v>REQ-0945166</v>
      </c>
      <c r="E88" s="238" t="str">
        <f>'RFQ response'!M83</f>
        <v>OK</v>
      </c>
      <c r="F88" s="75"/>
      <c r="G88" s="74"/>
      <c r="H88" s="74"/>
      <c r="I88" s="95"/>
      <c r="J88" s="75"/>
      <c r="K88" s="74"/>
      <c r="L88" s="74"/>
      <c r="M88" s="173"/>
      <c r="N88" s="239"/>
      <c r="O88" s="239"/>
      <c r="P88"/>
      <c r="Q88" s="9">
        <f t="shared" si="69"/>
        <v>0</v>
      </c>
      <c r="R88" s="10">
        <f t="shared" si="70"/>
        <v>0</v>
      </c>
      <c r="S88" s="10">
        <f t="shared" si="71"/>
        <v>0</v>
      </c>
      <c r="T88" s="1">
        <f t="shared" si="72"/>
        <v>0</v>
      </c>
      <c r="U88" s="1">
        <f t="shared" si="73"/>
        <v>0</v>
      </c>
      <c r="V88" s="1">
        <f t="shared" si="74"/>
        <v>0</v>
      </c>
      <c r="W88" s="7">
        <f t="shared" si="75"/>
        <v>0</v>
      </c>
      <c r="X88" s="9">
        <f t="shared" si="51"/>
        <v>0</v>
      </c>
      <c r="Y88" s="10">
        <f t="shared" si="52"/>
        <v>0</v>
      </c>
      <c r="Z88" s="1">
        <f t="shared" si="53"/>
        <v>0</v>
      </c>
      <c r="AA88" s="8">
        <f t="shared" si="54"/>
        <v>0</v>
      </c>
    </row>
    <row r="89" spans="1:27" s="2" customFormat="1">
      <c r="A89" s="321"/>
      <c r="B89" s="240" t="str">
        <f>'RFQ response'!C84</f>
        <v>SCT4</v>
      </c>
      <c r="C89" s="237" t="str">
        <f>'RFQ response'!E84</f>
        <v>Resistance to pullout of glued parts</v>
      </c>
      <c r="D89" s="74" t="str">
        <f>'RFQ response'!D84</f>
        <v>REQ-0945167</v>
      </c>
      <c r="E89" s="238" t="str">
        <f>'RFQ response'!M84</f>
        <v>OK</v>
      </c>
      <c r="F89" s="75"/>
      <c r="G89" s="74"/>
      <c r="H89" s="74"/>
      <c r="I89" s="95"/>
      <c r="J89" s="75"/>
      <c r="K89" s="74"/>
      <c r="L89" s="74"/>
      <c r="M89" s="173"/>
      <c r="N89" s="239"/>
      <c r="O89" s="239"/>
      <c r="P89"/>
      <c r="Q89" s="9">
        <f t="shared" si="69"/>
        <v>0</v>
      </c>
      <c r="R89" s="10">
        <f t="shared" si="70"/>
        <v>0</v>
      </c>
      <c r="S89" s="10">
        <f t="shared" si="71"/>
        <v>0</v>
      </c>
      <c r="T89" s="1">
        <f t="shared" si="72"/>
        <v>0</v>
      </c>
      <c r="U89" s="1">
        <f t="shared" si="73"/>
        <v>0</v>
      </c>
      <c r="V89" s="1">
        <f t="shared" si="74"/>
        <v>0</v>
      </c>
      <c r="W89" s="7">
        <f t="shared" si="75"/>
        <v>0</v>
      </c>
      <c r="X89" s="9">
        <f t="shared" si="51"/>
        <v>0</v>
      </c>
      <c r="Y89" s="10">
        <f t="shared" si="52"/>
        <v>0</v>
      </c>
      <c r="Z89" s="1">
        <f t="shared" si="53"/>
        <v>0</v>
      </c>
      <c r="AA89" s="8">
        <f t="shared" si="54"/>
        <v>0</v>
      </c>
    </row>
    <row r="90" spans="1:27" s="2" customFormat="1">
      <c r="A90" s="321"/>
      <c r="B90" s="240" t="str">
        <f>'RFQ response'!C85</f>
        <v>SCT5</v>
      </c>
      <c r="C90" s="237" t="str">
        <f>'RFQ response'!E85</f>
        <v>Fingerprint affinity and cleanability test on displays</v>
      </c>
      <c r="D90" s="74" t="str">
        <f>'RFQ response'!D85</f>
        <v>REQ-0945168</v>
      </c>
      <c r="E90" s="238" t="str">
        <f>'RFQ response'!M85</f>
        <v>OK</v>
      </c>
      <c r="F90" s="75"/>
      <c r="G90" s="74"/>
      <c r="H90" s="74"/>
      <c r="I90" s="95"/>
      <c r="J90" s="75"/>
      <c r="K90" s="74"/>
      <c r="L90" s="74"/>
      <c r="M90" s="173"/>
      <c r="N90" s="239"/>
      <c r="O90" s="239"/>
      <c r="P90"/>
      <c r="Q90" s="9">
        <f t="shared" si="69"/>
        <v>0</v>
      </c>
      <c r="R90" s="10">
        <f t="shared" si="70"/>
        <v>0</v>
      </c>
      <c r="S90" s="10">
        <f t="shared" si="71"/>
        <v>0</v>
      </c>
      <c r="T90" s="1">
        <f t="shared" si="72"/>
        <v>0</v>
      </c>
      <c r="U90" s="1">
        <f t="shared" si="73"/>
        <v>0</v>
      </c>
      <c r="V90" s="1">
        <f t="shared" si="74"/>
        <v>0</v>
      </c>
      <c r="W90" s="7">
        <f t="shared" si="75"/>
        <v>0</v>
      </c>
      <c r="X90" s="9">
        <f t="shared" si="51"/>
        <v>0</v>
      </c>
      <c r="Y90" s="10">
        <f t="shared" si="52"/>
        <v>0</v>
      </c>
      <c r="Z90" s="1">
        <f t="shared" si="53"/>
        <v>0</v>
      </c>
      <c r="AA90" s="8">
        <f t="shared" si="54"/>
        <v>0</v>
      </c>
    </row>
    <row r="91" spans="1:27" s="2" customFormat="1" ht="28.5" customHeight="1">
      <c r="A91" s="321"/>
      <c r="B91" s="240" t="str">
        <f>'RFQ response'!C86</f>
        <v>SCT6.1</v>
      </c>
      <c r="C91" s="237" t="str">
        <f>'RFQ response'!E86</f>
        <v>Resistance to climatic ageing (not exposed to direct sun)</v>
      </c>
      <c r="D91" s="74" t="str">
        <f>'RFQ response'!D86</f>
        <v>REQ-0945169</v>
      </c>
      <c r="E91" s="238" t="str">
        <f>'RFQ response'!M86</f>
        <v>NA</v>
      </c>
      <c r="F91" s="75"/>
      <c r="G91" s="74"/>
      <c r="H91" s="74"/>
      <c r="I91" s="95"/>
      <c r="J91" s="75"/>
      <c r="K91" s="74"/>
      <c r="L91" s="74"/>
      <c r="M91" s="173"/>
      <c r="N91" s="239"/>
      <c r="O91" s="239"/>
      <c r="P91"/>
      <c r="Q91" s="9">
        <f t="shared" si="69"/>
        <v>0</v>
      </c>
      <c r="R91" s="10">
        <f t="shared" si="70"/>
        <v>0</v>
      </c>
      <c r="S91" s="10">
        <f t="shared" si="71"/>
        <v>0</v>
      </c>
      <c r="T91" s="1">
        <f t="shared" si="72"/>
        <v>0</v>
      </c>
      <c r="U91" s="1">
        <f t="shared" si="73"/>
        <v>0</v>
      </c>
      <c r="V91" s="1">
        <f t="shared" si="74"/>
        <v>0</v>
      </c>
      <c r="W91" s="7">
        <f t="shared" si="75"/>
        <v>0</v>
      </c>
      <c r="X91" s="9">
        <f t="shared" si="51"/>
        <v>0</v>
      </c>
      <c r="Y91" s="10">
        <f t="shared" si="52"/>
        <v>0</v>
      </c>
      <c r="Z91" s="1">
        <f t="shared" si="53"/>
        <v>0</v>
      </c>
      <c r="AA91" s="8">
        <f t="shared" si="54"/>
        <v>0</v>
      </c>
    </row>
    <row r="92" spans="1:27" s="2" customFormat="1">
      <c r="A92" s="321"/>
      <c r="B92" s="240" t="str">
        <f>'RFQ response'!C87</f>
        <v>SCT6.2</v>
      </c>
      <c r="C92" s="237" t="str">
        <f>'RFQ response'!E87</f>
        <v>Resistance to climatic ageing (exposed to direct sun)</v>
      </c>
      <c r="D92" s="74" t="str">
        <f>'RFQ response'!D87</f>
        <v>REQ-0945170</v>
      </c>
      <c r="E92" s="238" t="str">
        <f>'RFQ response'!M87</f>
        <v>OK</v>
      </c>
      <c r="F92" s="75"/>
      <c r="G92" s="74"/>
      <c r="H92" s="74"/>
      <c r="I92" s="95"/>
      <c r="J92" s="75"/>
      <c r="K92" s="74"/>
      <c r="L92" s="74"/>
      <c r="M92" s="173"/>
      <c r="N92" s="239"/>
      <c r="O92" s="239"/>
      <c r="P92"/>
      <c r="Q92" s="9">
        <f t="shared" si="69"/>
        <v>0</v>
      </c>
      <c r="R92" s="10">
        <f t="shared" si="70"/>
        <v>0</v>
      </c>
      <c r="S92" s="10">
        <f t="shared" si="71"/>
        <v>0</v>
      </c>
      <c r="T92" s="1">
        <f t="shared" si="72"/>
        <v>0</v>
      </c>
      <c r="U92" s="1">
        <f t="shared" si="73"/>
        <v>0</v>
      </c>
      <c r="V92" s="1">
        <f t="shared" si="74"/>
        <v>0</v>
      </c>
      <c r="W92" s="7">
        <f t="shared" si="75"/>
        <v>0</v>
      </c>
      <c r="X92" s="9">
        <f t="shared" si="51"/>
        <v>0</v>
      </c>
      <c r="Y92" s="10">
        <f t="shared" si="52"/>
        <v>0</v>
      </c>
      <c r="Z92" s="1">
        <f t="shared" si="53"/>
        <v>0</v>
      </c>
      <c r="AA92" s="8">
        <f t="shared" si="54"/>
        <v>0</v>
      </c>
    </row>
    <row r="93" spans="1:27" s="2" customFormat="1">
      <c r="A93" s="321"/>
      <c r="B93" s="240" t="str">
        <f>'RFQ response'!C88</f>
        <v>SCT7</v>
      </c>
      <c r="C93" s="237" t="str">
        <f>'RFQ response'!E88</f>
        <v>Surface temperature test of the tactile displays</v>
      </c>
      <c r="D93" s="74" t="str">
        <f>'RFQ response'!D88</f>
        <v>REQ-0994059</v>
      </c>
      <c r="E93" s="238" t="str">
        <f>'RFQ response'!M88</f>
        <v>OK</v>
      </c>
      <c r="F93" s="75"/>
      <c r="G93" s="74"/>
      <c r="H93" s="74"/>
      <c r="I93" s="95"/>
      <c r="J93" s="75"/>
      <c r="K93" s="74"/>
      <c r="L93" s="74"/>
      <c r="M93" s="173"/>
      <c r="N93" s="239"/>
      <c r="O93" s="239"/>
      <c r="P93"/>
      <c r="Q93" s="9"/>
      <c r="R93" s="10"/>
      <c r="S93" s="10"/>
      <c r="T93" s="1"/>
      <c r="U93" s="1"/>
      <c r="V93" s="1"/>
      <c r="W93" s="7"/>
      <c r="X93" s="9"/>
      <c r="Y93" s="10"/>
      <c r="Z93" s="1"/>
      <c r="AA93" s="8"/>
    </row>
    <row r="94" spans="1:27" s="2" customFormat="1" ht="15" customHeight="1">
      <c r="A94" s="321"/>
      <c r="B94" s="807" t="s">
        <v>453</v>
      </c>
      <c r="C94" s="808"/>
      <c r="D94" s="808"/>
      <c r="E94" s="808"/>
      <c r="F94" s="808"/>
      <c r="G94" s="808"/>
      <c r="H94" s="808"/>
      <c r="I94" s="808"/>
      <c r="J94" s="808"/>
      <c r="K94" s="808"/>
      <c r="L94" s="808"/>
      <c r="M94" s="808"/>
      <c r="N94" s="808"/>
      <c r="O94" s="809"/>
      <c r="P94"/>
      <c r="Q94" s="9">
        <f t="shared" si="69"/>
        <v>0</v>
      </c>
      <c r="R94" s="10">
        <f t="shared" si="70"/>
        <v>0</v>
      </c>
      <c r="S94" s="10">
        <f t="shared" si="71"/>
        <v>0</v>
      </c>
      <c r="T94" s="1">
        <f t="shared" si="72"/>
        <v>0</v>
      </c>
      <c r="U94" s="1">
        <f t="shared" si="73"/>
        <v>0</v>
      </c>
      <c r="V94" s="1">
        <f t="shared" si="74"/>
        <v>0</v>
      </c>
      <c r="W94" s="7">
        <f t="shared" si="75"/>
        <v>0</v>
      </c>
      <c r="X94" s="9">
        <f t="shared" si="51"/>
        <v>0</v>
      </c>
      <c r="Y94" s="10">
        <f t="shared" si="52"/>
        <v>0</v>
      </c>
      <c r="Z94" s="1">
        <f t="shared" si="53"/>
        <v>0</v>
      </c>
      <c r="AA94" s="8">
        <f t="shared" si="54"/>
        <v>0</v>
      </c>
    </row>
    <row r="95" spans="1:27" ht="45">
      <c r="A95" s="321"/>
      <c r="B95" s="240" t="str">
        <f>'RFQ response'!C90</f>
        <v xml:space="preserve"> -</v>
      </c>
      <c r="C95" s="237" t="str">
        <f>'RFQ response'!E90</f>
        <v>Dust intrusion</v>
      </c>
      <c r="D95" s="74" t="str">
        <f>'RFQ response'!D90</f>
        <v>REQ-0945171
REQ-0945172
REQ-0945173
REQ-0945174</v>
      </c>
      <c r="E95" s="238" t="str">
        <f>'RFQ response'!M90</f>
        <v>OK</v>
      </c>
      <c r="F95" s="75"/>
      <c r="G95" s="74"/>
      <c r="H95" s="74"/>
      <c r="I95" s="95"/>
      <c r="J95" s="75"/>
      <c r="K95" s="74"/>
      <c r="L95" s="74"/>
      <c r="M95" s="173"/>
      <c r="N95" s="239"/>
      <c r="O95" s="239"/>
      <c r="Q95" s="9">
        <f t="shared" si="69"/>
        <v>0</v>
      </c>
      <c r="R95" s="10">
        <f t="shared" si="70"/>
        <v>0</v>
      </c>
      <c r="S95" s="10">
        <f t="shared" si="71"/>
        <v>0</v>
      </c>
      <c r="T95" s="1">
        <f t="shared" si="72"/>
        <v>0</v>
      </c>
      <c r="U95" s="1">
        <f t="shared" si="73"/>
        <v>0</v>
      </c>
      <c r="V95" s="1">
        <f t="shared" si="74"/>
        <v>0</v>
      </c>
      <c r="W95" s="7">
        <f t="shared" si="75"/>
        <v>0</v>
      </c>
      <c r="X95" s="9">
        <f t="shared" si="51"/>
        <v>0</v>
      </c>
      <c r="Y95" s="10">
        <f t="shared" si="52"/>
        <v>0</v>
      </c>
      <c r="Z95" s="1">
        <f t="shared" si="53"/>
        <v>0</v>
      </c>
      <c r="AA95" s="8">
        <f t="shared" si="54"/>
        <v>0</v>
      </c>
    </row>
    <row r="96" spans="1:27">
      <c r="A96" s="321"/>
      <c r="B96" s="240" t="str">
        <f>'RFQ response'!C91</f>
        <v xml:space="preserve"> -</v>
      </c>
      <c r="C96" s="546" t="str">
        <f>'RFQ response'!E91</f>
        <v>Mud resistance</v>
      </c>
      <c r="D96" s="547" t="str">
        <f>'RFQ response'!D91</f>
        <v xml:space="preserve"> -</v>
      </c>
      <c r="E96" s="548" t="str">
        <f>'RFQ response'!M91</f>
        <v>NA</v>
      </c>
      <c r="F96" s="504"/>
      <c r="G96" s="502"/>
      <c r="H96" s="502"/>
      <c r="I96" s="505"/>
      <c r="J96" s="504"/>
      <c r="K96" s="502"/>
      <c r="L96" s="502"/>
      <c r="M96" s="506"/>
      <c r="N96" s="507"/>
      <c r="O96" s="507"/>
      <c r="Q96" s="9">
        <f t="shared" si="69"/>
        <v>0</v>
      </c>
      <c r="R96" s="10">
        <f t="shared" si="70"/>
        <v>0</v>
      </c>
      <c r="S96" s="10">
        <f t="shared" si="71"/>
        <v>0</v>
      </c>
      <c r="T96" s="1">
        <f t="shared" si="72"/>
        <v>0</v>
      </c>
      <c r="U96" s="1">
        <f t="shared" si="73"/>
        <v>0</v>
      </c>
      <c r="V96" s="1">
        <f t="shared" si="74"/>
        <v>0</v>
      </c>
      <c r="W96" s="7">
        <f t="shared" si="75"/>
        <v>0</v>
      </c>
      <c r="X96" s="9">
        <f t="shared" si="51"/>
        <v>0</v>
      </c>
      <c r="Y96" s="10">
        <f t="shared" si="52"/>
        <v>0</v>
      </c>
      <c r="Z96" s="1">
        <f t="shared" si="53"/>
        <v>0</v>
      </c>
      <c r="AA96" s="8">
        <f t="shared" si="54"/>
        <v>0</v>
      </c>
    </row>
    <row r="97" spans="1:27" ht="45">
      <c r="A97" s="321"/>
      <c r="B97" s="240" t="str">
        <f>'RFQ response'!C92</f>
        <v xml:space="preserve"> -</v>
      </c>
      <c r="C97" s="237" t="str">
        <f>'RFQ response'!E92</f>
        <v>Water or steam intrusion</v>
      </c>
      <c r="D97" s="74" t="str">
        <f>'RFQ response'!D92</f>
        <v>REQ-0945175
REQ-0945176
REQ-0945086
REQ-0945083</v>
      </c>
      <c r="E97" s="238" t="str">
        <f>'RFQ response'!M92</f>
        <v>OK</v>
      </c>
      <c r="F97" s="75"/>
      <c r="G97" s="74"/>
      <c r="H97" s="74"/>
      <c r="I97" s="95"/>
      <c r="J97" s="75"/>
      <c r="K97" s="74"/>
      <c r="L97" s="74"/>
      <c r="M97" s="173"/>
      <c r="N97" s="239"/>
      <c r="O97" s="239"/>
      <c r="Q97" s="9">
        <f t="shared" si="69"/>
        <v>0</v>
      </c>
      <c r="R97" s="10">
        <f t="shared" si="70"/>
        <v>0</v>
      </c>
      <c r="S97" s="10">
        <f t="shared" si="71"/>
        <v>0</v>
      </c>
      <c r="T97" s="1">
        <f t="shared" si="72"/>
        <v>0</v>
      </c>
      <c r="U97" s="1">
        <f t="shared" si="73"/>
        <v>0</v>
      </c>
      <c r="V97" s="1">
        <f t="shared" si="74"/>
        <v>0</v>
      </c>
      <c r="W97" s="7">
        <f t="shared" si="75"/>
        <v>0</v>
      </c>
      <c r="X97" s="9">
        <f t="shared" si="51"/>
        <v>0</v>
      </c>
      <c r="Y97" s="10">
        <f t="shared" si="52"/>
        <v>0</v>
      </c>
      <c r="Z97" s="1">
        <f t="shared" si="53"/>
        <v>0</v>
      </c>
      <c r="AA97" s="8">
        <f t="shared" si="54"/>
        <v>0</v>
      </c>
    </row>
    <row r="98" spans="1:27">
      <c r="A98" s="321"/>
      <c r="B98" s="240" t="str">
        <f>'RFQ response'!C93</f>
        <v xml:space="preserve"> -</v>
      </c>
      <c r="C98" s="546" t="str">
        <f>'RFQ response'!E93</f>
        <v>Iced salt water immersion/splash</v>
      </c>
      <c r="D98" s="547" t="str">
        <f>'RFQ response'!D93</f>
        <v xml:space="preserve"> -</v>
      </c>
      <c r="E98" s="548" t="str">
        <f>'RFQ response'!M93</f>
        <v>NA</v>
      </c>
      <c r="F98" s="504"/>
      <c r="G98" s="502"/>
      <c r="H98" s="502"/>
      <c r="I98" s="505"/>
      <c r="J98" s="504"/>
      <c r="K98" s="502"/>
      <c r="L98" s="502"/>
      <c r="M98" s="506"/>
      <c r="N98" s="507"/>
      <c r="O98" s="507"/>
      <c r="Q98" s="9">
        <f t="shared" si="69"/>
        <v>0</v>
      </c>
      <c r="R98" s="10">
        <f t="shared" si="70"/>
        <v>0</v>
      </c>
      <c r="S98" s="10">
        <f t="shared" si="71"/>
        <v>0</v>
      </c>
      <c r="T98" s="1">
        <f t="shared" si="72"/>
        <v>0</v>
      </c>
      <c r="U98" s="1">
        <f t="shared" si="73"/>
        <v>0</v>
      </c>
      <c r="V98" s="1">
        <f t="shared" si="74"/>
        <v>0</v>
      </c>
      <c r="W98" s="7">
        <f t="shared" si="75"/>
        <v>0</v>
      </c>
      <c r="X98" s="9">
        <f t="shared" si="51"/>
        <v>0</v>
      </c>
      <c r="Y98" s="10">
        <f t="shared" si="52"/>
        <v>0</v>
      </c>
      <c r="Z98" s="1">
        <f t="shared" si="53"/>
        <v>0</v>
      </c>
      <c r="AA98" s="8">
        <f t="shared" si="54"/>
        <v>0</v>
      </c>
    </row>
    <row r="99" spans="1:27" s="2" customFormat="1" ht="15" customHeight="1">
      <c r="A99" s="321"/>
      <c r="B99" s="793" t="s">
        <v>455</v>
      </c>
      <c r="C99" s="793"/>
      <c r="D99" s="793"/>
      <c r="E99" s="793"/>
      <c r="F99" s="793"/>
      <c r="G99" s="793"/>
      <c r="H99" s="793"/>
      <c r="I99" s="793"/>
      <c r="J99" s="793"/>
      <c r="K99" s="793"/>
      <c r="L99" s="793"/>
      <c r="M99" s="793"/>
      <c r="N99" s="793"/>
      <c r="O99" s="794"/>
      <c r="P99"/>
      <c r="Q99" s="9">
        <f t="shared" si="69"/>
        <v>0</v>
      </c>
      <c r="R99" s="10">
        <f t="shared" si="70"/>
        <v>0</v>
      </c>
      <c r="S99" s="10">
        <f t="shared" si="71"/>
        <v>0</v>
      </c>
      <c r="T99" s="1">
        <f t="shared" si="72"/>
        <v>0</v>
      </c>
      <c r="U99" s="1">
        <f t="shared" si="73"/>
        <v>0</v>
      </c>
      <c r="V99" s="1">
        <f t="shared" si="74"/>
        <v>0</v>
      </c>
      <c r="W99" s="7">
        <f t="shared" si="75"/>
        <v>0</v>
      </c>
      <c r="X99" s="9">
        <f t="shared" si="51"/>
        <v>0</v>
      </c>
      <c r="Y99" s="10">
        <f t="shared" si="52"/>
        <v>0</v>
      </c>
      <c r="Z99" s="1">
        <f t="shared" si="53"/>
        <v>0</v>
      </c>
      <c r="AA99" s="8">
        <f t="shared" si="54"/>
        <v>0</v>
      </c>
    </row>
    <row r="100" spans="1:27">
      <c r="A100" s="321"/>
      <c r="B100" s="240" t="str">
        <f>'RFQ response'!C95</f>
        <v xml:space="preserve"> -</v>
      </c>
      <c r="C100" s="237" t="str">
        <f>'RFQ response'!E95</f>
        <v>Material housing corrosion</v>
      </c>
      <c r="D100" s="74" t="str">
        <f>'RFQ response'!D95</f>
        <v>-</v>
      </c>
      <c r="E100" s="238" t="str">
        <f>'RFQ response'!M95</f>
        <v>NA</v>
      </c>
      <c r="F100" s="75"/>
      <c r="G100" s="74"/>
      <c r="H100" s="74"/>
      <c r="I100" s="95"/>
      <c r="J100" s="75"/>
      <c r="K100" s="74"/>
      <c r="L100" s="74"/>
      <c r="M100" s="173"/>
      <c r="N100" s="239"/>
      <c r="O100" s="239"/>
      <c r="Q100" s="9">
        <f t="shared" ref="Q100:Q105" si="76">IF(K100="On going",1,0)</f>
        <v>0</v>
      </c>
      <c r="R100" s="10">
        <f t="shared" ref="R100:R105" si="77">IF(K100="NA",1,0)</f>
        <v>0</v>
      </c>
      <c r="S100" s="10">
        <f t="shared" ref="S100:S105" si="78">IF(K100="Deviation",1,0)</f>
        <v>0</v>
      </c>
      <c r="T100" s="1">
        <f t="shared" ref="T100:T105" si="79">IF(K100="In analysis",1,0)</f>
        <v>0</v>
      </c>
      <c r="U100" s="1">
        <f t="shared" ref="U100:U105" si="80">IF(K100="NOK minor",1,0)</f>
        <v>0</v>
      </c>
      <c r="V100" s="1">
        <f t="shared" ref="V100:V105" si="81">IF(K100="NOK major",1,0)</f>
        <v>0</v>
      </c>
      <c r="W100" s="7">
        <f t="shared" ref="W100:W105" si="82">IF(K100="OK",1,0)</f>
        <v>0</v>
      </c>
      <c r="X100" s="9">
        <f t="shared" ref="X100:X105" si="83">IF($J100="On going",1,0)</f>
        <v>0</v>
      </c>
      <c r="Y100" s="10">
        <f t="shared" ref="Y100:Y105" si="84">IF($J100="NA",1,0)</f>
        <v>0</v>
      </c>
      <c r="Z100" s="1">
        <f t="shared" ref="Z100:Z105" si="85">IF($J100="NOK",1,0)</f>
        <v>0</v>
      </c>
      <c r="AA100" s="8">
        <f t="shared" ref="AA100:AA105" si="86">IF($J100="OK",1,0)</f>
        <v>0</v>
      </c>
    </row>
    <row r="101" spans="1:27">
      <c r="A101" s="321"/>
      <c r="B101" s="240" t="str">
        <f>'RFQ response'!C96</f>
        <v xml:space="preserve"> -</v>
      </c>
      <c r="C101" s="237" t="str">
        <f>'RFQ response'!E96</f>
        <v>Salt fog</v>
      </c>
      <c r="D101" s="74" t="str">
        <f>'RFQ response'!D96</f>
        <v>REQ-0945076</v>
      </c>
      <c r="E101" s="238" t="str">
        <f>'RFQ response'!M96</f>
        <v>OK</v>
      </c>
      <c r="F101" s="75"/>
      <c r="G101" s="74"/>
      <c r="H101" s="74"/>
      <c r="I101" s="95"/>
      <c r="J101" s="75"/>
      <c r="K101" s="74"/>
      <c r="L101" s="74"/>
      <c r="M101" s="173"/>
      <c r="N101" s="239"/>
      <c r="O101" s="239"/>
      <c r="Q101" s="9">
        <f t="shared" si="76"/>
        <v>0</v>
      </c>
      <c r="R101" s="10">
        <f t="shared" si="77"/>
        <v>0</v>
      </c>
      <c r="S101" s="10">
        <f t="shared" si="78"/>
        <v>0</v>
      </c>
      <c r="T101" s="1">
        <f t="shared" si="79"/>
        <v>0</v>
      </c>
      <c r="U101" s="1">
        <f t="shared" si="80"/>
        <v>0</v>
      </c>
      <c r="V101" s="1">
        <f t="shared" si="81"/>
        <v>0</v>
      </c>
      <c r="W101" s="7">
        <f t="shared" si="82"/>
        <v>0</v>
      </c>
      <c r="X101" s="9">
        <f t="shared" si="83"/>
        <v>0</v>
      </c>
      <c r="Y101" s="10">
        <f t="shared" si="84"/>
        <v>0</v>
      </c>
      <c r="Z101" s="1">
        <f t="shared" si="85"/>
        <v>0</v>
      </c>
      <c r="AA101" s="8">
        <f t="shared" si="86"/>
        <v>0</v>
      </c>
    </row>
    <row r="102" spans="1:27">
      <c r="A102" s="321"/>
      <c r="B102" s="240" t="str">
        <f>'RFQ response'!C97</f>
        <v xml:space="preserve"> -</v>
      </c>
      <c r="C102" s="546" t="str">
        <f>'RFQ response'!E97</f>
        <v>Mixed flowing gas</v>
      </c>
      <c r="D102" s="547" t="str">
        <f>'RFQ response'!D97</f>
        <v xml:space="preserve"> -</v>
      </c>
      <c r="E102" s="548" t="str">
        <f>'RFQ response'!M97</f>
        <v>NA</v>
      </c>
      <c r="F102" s="504"/>
      <c r="G102" s="502"/>
      <c r="H102" s="502"/>
      <c r="I102" s="505"/>
      <c r="J102" s="504"/>
      <c r="K102" s="502"/>
      <c r="L102" s="502"/>
      <c r="M102" s="506"/>
      <c r="N102" s="507"/>
      <c r="O102" s="507"/>
      <c r="Q102" s="9">
        <f t="shared" si="76"/>
        <v>0</v>
      </c>
      <c r="R102" s="10">
        <f t="shared" si="77"/>
        <v>0</v>
      </c>
      <c r="S102" s="10">
        <f t="shared" si="78"/>
        <v>0</v>
      </c>
      <c r="T102" s="1">
        <f t="shared" si="79"/>
        <v>0</v>
      </c>
      <c r="U102" s="1">
        <f t="shared" si="80"/>
        <v>0</v>
      </c>
      <c r="V102" s="1">
        <f t="shared" si="81"/>
        <v>0</v>
      </c>
      <c r="W102" s="7">
        <f t="shared" si="82"/>
        <v>0</v>
      </c>
      <c r="X102" s="9">
        <f t="shared" si="83"/>
        <v>0</v>
      </c>
      <c r="Y102" s="10">
        <f t="shared" si="84"/>
        <v>0</v>
      </c>
      <c r="Z102" s="1">
        <f t="shared" si="85"/>
        <v>0</v>
      </c>
      <c r="AA102" s="8">
        <f t="shared" si="86"/>
        <v>0</v>
      </c>
    </row>
    <row r="103" spans="1:27">
      <c r="A103" s="321"/>
      <c r="B103" s="240" t="str">
        <f>'RFQ response'!C98</f>
        <v xml:space="preserve"> -</v>
      </c>
      <c r="C103" s="237" t="str">
        <f>'RFQ response'!E98</f>
        <v>Chemical exposure</v>
      </c>
      <c r="D103" s="74" t="str">
        <f>'RFQ response'!D98</f>
        <v>REQ-0945077</v>
      </c>
      <c r="E103" s="238" t="str">
        <f>'RFQ response'!M98</f>
        <v>OK</v>
      </c>
      <c r="F103" s="75"/>
      <c r="G103" s="74"/>
      <c r="H103" s="74"/>
      <c r="I103" s="95"/>
      <c r="J103" s="75"/>
      <c r="K103" s="74"/>
      <c r="L103" s="74"/>
      <c r="M103" s="173"/>
      <c r="N103" s="239"/>
      <c r="O103" s="239"/>
      <c r="Q103" s="9">
        <f t="shared" si="76"/>
        <v>0</v>
      </c>
      <c r="R103" s="10">
        <f t="shared" si="77"/>
        <v>0</v>
      </c>
      <c r="S103" s="10">
        <f t="shared" si="78"/>
        <v>0</v>
      </c>
      <c r="T103" s="1">
        <f t="shared" si="79"/>
        <v>0</v>
      </c>
      <c r="U103" s="1">
        <f t="shared" si="80"/>
        <v>0</v>
      </c>
      <c r="V103" s="1">
        <f t="shared" si="81"/>
        <v>0</v>
      </c>
      <c r="W103" s="7">
        <f t="shared" si="82"/>
        <v>0</v>
      </c>
      <c r="X103" s="9">
        <f t="shared" si="83"/>
        <v>0</v>
      </c>
      <c r="Y103" s="10">
        <f t="shared" si="84"/>
        <v>0</v>
      </c>
      <c r="Z103" s="1">
        <f t="shared" si="85"/>
        <v>0</v>
      </c>
      <c r="AA103" s="8">
        <f t="shared" si="86"/>
        <v>0</v>
      </c>
    </row>
    <row r="104" spans="1:27" s="2" customFormat="1" ht="15" customHeight="1">
      <c r="A104" s="321"/>
      <c r="B104" s="795" t="s">
        <v>457</v>
      </c>
      <c r="C104" s="795"/>
      <c r="D104" s="795"/>
      <c r="E104" s="795"/>
      <c r="F104" s="795"/>
      <c r="G104" s="795"/>
      <c r="H104" s="795"/>
      <c r="I104" s="795"/>
      <c r="J104" s="795"/>
      <c r="K104" s="795"/>
      <c r="L104" s="795"/>
      <c r="M104" s="795"/>
      <c r="N104" s="795"/>
      <c r="O104" s="796"/>
      <c r="P104"/>
      <c r="Q104" s="9">
        <f t="shared" si="76"/>
        <v>0</v>
      </c>
      <c r="R104" s="10">
        <f t="shared" si="77"/>
        <v>0</v>
      </c>
      <c r="S104" s="10">
        <f t="shared" si="78"/>
        <v>0</v>
      </c>
      <c r="T104" s="1">
        <f t="shared" si="79"/>
        <v>0</v>
      </c>
      <c r="U104" s="1">
        <f t="shared" si="80"/>
        <v>0</v>
      </c>
      <c r="V104" s="1">
        <f t="shared" si="81"/>
        <v>0</v>
      </c>
      <c r="W104" s="7">
        <f t="shared" si="82"/>
        <v>0</v>
      </c>
      <c r="X104" s="9">
        <f t="shared" si="83"/>
        <v>0</v>
      </c>
      <c r="Y104" s="10">
        <f t="shared" si="84"/>
        <v>0</v>
      </c>
      <c r="Z104" s="1">
        <f t="shared" si="85"/>
        <v>0</v>
      </c>
      <c r="AA104" s="8">
        <f t="shared" si="86"/>
        <v>0</v>
      </c>
    </row>
    <row r="105" spans="1:27">
      <c r="A105" s="321"/>
      <c r="B105" s="240" t="str">
        <f>'RFQ response'!C100</f>
        <v>TTF</v>
      </c>
      <c r="C105" s="237" t="str">
        <f>'RFQ response'!E100</f>
        <v xml:space="preserve">Test-To-Failure </v>
      </c>
      <c r="D105" s="74" t="str">
        <f>'RFQ response'!D100</f>
        <v>-</v>
      </c>
      <c r="E105" s="238" t="str">
        <f>'RFQ response'!M100</f>
        <v>NA</v>
      </c>
      <c r="F105" s="75"/>
      <c r="G105" s="74"/>
      <c r="H105" s="74"/>
      <c r="I105" s="95"/>
      <c r="J105" s="75"/>
      <c r="K105" s="74"/>
      <c r="L105" s="74"/>
      <c r="M105" s="173"/>
      <c r="N105" s="239"/>
      <c r="O105" s="239"/>
      <c r="Q105" s="9">
        <f t="shared" si="76"/>
        <v>0</v>
      </c>
      <c r="R105" s="10">
        <f t="shared" si="77"/>
        <v>0</v>
      </c>
      <c r="S105" s="10">
        <f t="shared" si="78"/>
        <v>0</v>
      </c>
      <c r="T105" s="1">
        <f t="shared" si="79"/>
        <v>0</v>
      </c>
      <c r="U105" s="1">
        <f t="shared" si="80"/>
        <v>0</v>
      </c>
      <c r="V105" s="1">
        <f t="shared" si="81"/>
        <v>0</v>
      </c>
      <c r="W105" s="7">
        <f t="shared" si="82"/>
        <v>0</v>
      </c>
      <c r="X105" s="9">
        <f t="shared" si="83"/>
        <v>0</v>
      </c>
      <c r="Y105" s="10">
        <f t="shared" si="84"/>
        <v>0</v>
      </c>
      <c r="Z105" s="1">
        <f t="shared" si="85"/>
        <v>0</v>
      </c>
      <c r="AA105" s="8">
        <f t="shared" si="86"/>
        <v>0</v>
      </c>
    </row>
  </sheetData>
  <autoFilter ref="A10:Y105" xr:uid="{00000000-0009-0000-0000-000003000000}">
    <filterColumn colId="0" showButton="0"/>
    <filterColumn colId="2" showButton="0"/>
    <filterColumn colId="3" showButton="0"/>
    <filterColumn colId="4" showButton="0"/>
    <filterColumn colId="5" showButton="0"/>
  </autoFilter>
  <mergeCells count="15">
    <mergeCell ref="B99:O99"/>
    <mergeCell ref="B104:O104"/>
    <mergeCell ref="Q10:W10"/>
    <mergeCell ref="X10:AA10"/>
    <mergeCell ref="B50:O50"/>
    <mergeCell ref="B52:O52"/>
    <mergeCell ref="B76:O76"/>
    <mergeCell ref="B94:O94"/>
    <mergeCell ref="A4:B11"/>
    <mergeCell ref="B12:O12"/>
    <mergeCell ref="B1:B2"/>
    <mergeCell ref="G1:G2"/>
    <mergeCell ref="L1:L2"/>
    <mergeCell ref="N1:N2"/>
    <mergeCell ref="O1:O2"/>
  </mergeCells>
  <conditionalFormatting sqref="K95:K98 K105 K100:K103 K51 K77:K93 K53:K75">
    <cfRule type="expression" dxfId="73" priority="16">
      <formula>$K51="Deviation"</formula>
    </cfRule>
    <cfRule type="expression" dxfId="72" priority="17" stopIfTrue="1">
      <formula>$K51="OK"</formula>
    </cfRule>
    <cfRule type="expression" dxfId="71" priority="18" stopIfTrue="1">
      <formula>$K51="NOK major"</formula>
    </cfRule>
    <cfRule type="expression" dxfId="70" priority="19" stopIfTrue="1">
      <formula>$K51="NOK minor"</formula>
    </cfRule>
    <cfRule type="expression" dxfId="69" priority="20" stopIfTrue="1">
      <formula>$K51="In analysis"</formula>
    </cfRule>
    <cfRule type="expression" dxfId="68" priority="21" stopIfTrue="1">
      <formula>$K51="On going"</formula>
    </cfRule>
    <cfRule type="expression" dxfId="67" priority="22" stopIfTrue="1">
      <formula>$K51="NA"</formula>
    </cfRule>
  </conditionalFormatting>
  <conditionalFormatting sqref="B94">
    <cfRule type="cellIs" dxfId="66" priority="15" operator="equal">
      <formula>"NA"</formula>
    </cfRule>
  </conditionalFormatting>
  <conditionalFormatting sqref="K20:K49">
    <cfRule type="expression" dxfId="65" priority="8">
      <formula>$K20="Deviation"</formula>
    </cfRule>
    <cfRule type="expression" dxfId="64" priority="9" stopIfTrue="1">
      <formula>$K20="OK"</formula>
    </cfRule>
    <cfRule type="expression" dxfId="63" priority="10" stopIfTrue="1">
      <formula>$K20="NOK major"</formula>
    </cfRule>
    <cfRule type="expression" dxfId="62" priority="11" stopIfTrue="1">
      <formula>$K20="NOK minor"</formula>
    </cfRule>
    <cfRule type="expression" dxfId="61" priority="12" stopIfTrue="1">
      <formula>$K20="In analysis"</formula>
    </cfRule>
    <cfRule type="expression" dxfId="60" priority="13" stopIfTrue="1">
      <formula>$K20="On going"</formula>
    </cfRule>
    <cfRule type="expression" dxfId="59" priority="14" stopIfTrue="1">
      <formula>$K20="NA"</formula>
    </cfRule>
  </conditionalFormatting>
  <conditionalFormatting sqref="K13:K19">
    <cfRule type="expression" dxfId="58" priority="1">
      <formula>$K13="Deviation"</formula>
    </cfRule>
    <cfRule type="expression" dxfId="57" priority="2" stopIfTrue="1">
      <formula>$K13="OK"</formula>
    </cfRule>
    <cfRule type="expression" dxfId="56" priority="3" stopIfTrue="1">
      <formula>$K13="NOK major"</formula>
    </cfRule>
    <cfRule type="expression" dxfId="55" priority="4" stopIfTrue="1">
      <formula>$K13="NOK minor"</formula>
    </cfRule>
    <cfRule type="expression" dxfId="54" priority="5" stopIfTrue="1">
      <formula>$K13="In analysis"</formula>
    </cfRule>
    <cfRule type="expression" dxfId="53" priority="6" stopIfTrue="1">
      <formula>$K13="On going"</formula>
    </cfRule>
    <cfRule type="expression" dxfId="52" priority="7" stopIfTrue="1">
      <formula>$K13="NA"</formula>
    </cfRule>
  </conditionalFormatting>
  <dataValidations count="2">
    <dataValidation type="list" allowBlank="1" showInputMessage="1" showErrorMessage="1" sqref="J51 J95:J98 J13:J49 J105 J100:J103 J77:J93 J53:J75" xr:uid="{42524912-E905-44F7-8EB5-F1D15DC04F22}">
      <formula1>"OK,NOK,NA,On going,"</formula1>
    </dataValidation>
    <dataValidation type="list" allowBlank="1" showInputMessage="1" showErrorMessage="1" sqref="K51 K95:K98 K13:K49 K105 K100:K103 K77:K93 K53:K75" xr:uid="{FA256108-09C1-4D3F-ADFD-418537A6417A}">
      <formula1>$C$4:$C$10</formula1>
    </dataValidation>
  </dataValidations>
  <hyperlinks>
    <hyperlink ref="M89" r:id="rId1" display="https://docinfogroupe.psa-peugeot-citroen.com/ead/doc/ref.20408_18_01223/v.vc/fiche" xr:uid="{0C403EA5-E118-441D-BB49-ECEBF53F27B2}"/>
  </hyperlinks>
  <pageMargins left="0.7" right="0.7" top="0.75" bottom="0.75" header="0.3" footer="0.3"/>
  <pageSetup paperSize="9" scale="51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AC471"/>
  <sheetViews>
    <sheetView topLeftCell="A22" workbookViewId="0">
      <selection activeCell="C35" sqref="C35"/>
    </sheetView>
  </sheetViews>
  <sheetFormatPr baseColWidth="10" defaultColWidth="9.140625" defaultRowHeight="11.25"/>
  <cols>
    <col min="1" max="1" width="3.7109375" style="330" customWidth="1"/>
    <col min="2" max="2" width="2.7109375" style="330" customWidth="1"/>
    <col min="3" max="3" width="9.140625" style="331"/>
    <col min="4" max="4" width="6.140625" style="330" customWidth="1"/>
    <col min="5" max="5" width="6.42578125" style="330" customWidth="1"/>
    <col min="6" max="6" width="3.5703125" style="330" customWidth="1"/>
    <col min="7" max="7" width="9.140625" style="330"/>
    <col min="8" max="8" width="3.7109375" style="330" customWidth="1"/>
    <col min="9" max="9" width="5.28515625" style="330" customWidth="1"/>
    <col min="10" max="11" width="12.140625" style="330" customWidth="1"/>
    <col min="12" max="12" width="3.7109375" style="330" customWidth="1"/>
    <col min="13" max="13" width="4.28515625" style="330" customWidth="1"/>
    <col min="14" max="14" width="10.7109375" style="330" customWidth="1"/>
    <col min="15" max="15" width="13.7109375" style="330" customWidth="1"/>
    <col min="16" max="16" width="4.42578125" style="331" customWidth="1"/>
    <col min="17" max="17" width="9.85546875" style="330" customWidth="1"/>
    <col min="18" max="19" width="2.28515625" style="330" customWidth="1"/>
    <col min="20" max="20" width="8.28515625" style="330" customWidth="1"/>
    <col min="21" max="21" width="4.85546875" style="330" customWidth="1"/>
    <col min="22" max="16384" width="9.140625" style="330"/>
  </cols>
  <sheetData>
    <row r="1" spans="2:26" ht="12" thickBot="1"/>
    <row r="2" spans="2:26" ht="18" customHeight="1">
      <c r="B2" s="332"/>
      <c r="C2" s="333"/>
      <c r="D2" s="334"/>
      <c r="E2" s="871" t="s">
        <v>298</v>
      </c>
      <c r="F2" s="872"/>
      <c r="G2" s="872"/>
      <c r="H2" s="872"/>
      <c r="I2" s="872"/>
      <c r="J2" s="872"/>
      <c r="K2" s="872"/>
      <c r="L2" s="872"/>
      <c r="M2" s="872"/>
      <c r="N2" s="873"/>
      <c r="O2" s="335"/>
      <c r="P2" s="336"/>
      <c r="Q2" s="337"/>
      <c r="R2" s="337"/>
      <c r="S2" s="337"/>
      <c r="T2" s="337"/>
      <c r="U2" s="337"/>
      <c r="V2" s="337"/>
      <c r="W2" s="337"/>
      <c r="X2" s="338"/>
    </row>
    <row r="3" spans="2:26" ht="30.75" customHeight="1">
      <c r="B3" s="339"/>
      <c r="C3" s="340"/>
      <c r="D3" s="341"/>
      <c r="E3" s="874"/>
      <c r="F3" s="875"/>
      <c r="G3" s="875"/>
      <c r="H3" s="875"/>
      <c r="I3" s="875"/>
      <c r="J3" s="875"/>
      <c r="K3" s="875"/>
      <c r="L3" s="875"/>
      <c r="M3" s="875"/>
      <c r="N3" s="876"/>
      <c r="P3" s="342"/>
      <c r="R3" s="343"/>
      <c r="S3" s="343"/>
      <c r="T3" s="343"/>
      <c r="U3" s="343"/>
      <c r="X3" s="344"/>
    </row>
    <row r="4" spans="2:26">
      <c r="B4" s="345"/>
      <c r="C4" s="346"/>
      <c r="D4" s="347"/>
      <c r="E4" s="348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50"/>
      <c r="Q4" s="349"/>
      <c r="R4" s="349"/>
      <c r="S4" s="349"/>
      <c r="T4" s="877"/>
      <c r="U4" s="877"/>
      <c r="V4" s="877"/>
      <c r="W4" s="877"/>
      <c r="X4" s="878"/>
    </row>
    <row r="5" spans="2:26">
      <c r="B5" s="339"/>
      <c r="D5" s="351"/>
      <c r="E5" s="352"/>
      <c r="F5" s="343"/>
      <c r="G5" s="343"/>
      <c r="H5" s="343"/>
      <c r="I5" s="343"/>
      <c r="J5" s="343"/>
      <c r="K5" s="343"/>
      <c r="L5" s="343"/>
      <c r="M5" s="343"/>
      <c r="N5" s="343"/>
      <c r="O5" s="343"/>
      <c r="P5" s="353"/>
      <c r="Q5" s="343"/>
      <c r="R5" s="343"/>
      <c r="S5" s="343"/>
      <c r="T5" s="879"/>
      <c r="U5" s="879"/>
      <c r="V5" s="879"/>
      <c r="W5" s="879"/>
      <c r="X5" s="880"/>
    </row>
    <row r="6" spans="2:26">
      <c r="B6" s="345"/>
      <c r="C6" s="346"/>
      <c r="D6" s="347"/>
      <c r="E6" s="354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50"/>
      <c r="Q6" s="349"/>
      <c r="R6" s="349"/>
      <c r="S6" s="349"/>
      <c r="T6" s="881"/>
      <c r="U6" s="882"/>
      <c r="V6" s="882"/>
      <c r="W6" s="882"/>
      <c r="X6" s="883"/>
    </row>
    <row r="7" spans="2:26" ht="15">
      <c r="B7" s="339"/>
      <c r="D7" s="355"/>
      <c r="E7" s="884"/>
      <c r="F7" s="885"/>
      <c r="G7" s="885"/>
      <c r="H7" s="885"/>
      <c r="I7" s="885"/>
      <c r="J7" s="885"/>
      <c r="K7" s="885"/>
      <c r="L7" s="885"/>
      <c r="M7" s="885"/>
      <c r="N7" s="888"/>
      <c r="O7" s="889"/>
      <c r="P7" s="889"/>
      <c r="Q7" s="889"/>
      <c r="T7" s="881"/>
      <c r="U7" s="882"/>
      <c r="V7" s="882"/>
      <c r="W7" s="882"/>
      <c r="X7" s="883"/>
      <c r="Z7"/>
    </row>
    <row r="8" spans="2:26" ht="13.9" customHeight="1" thickBot="1">
      <c r="B8" s="356"/>
      <c r="C8" s="867"/>
      <c r="D8" s="868"/>
      <c r="E8" s="886"/>
      <c r="F8" s="887"/>
      <c r="G8" s="887"/>
      <c r="H8" s="887"/>
      <c r="I8" s="887"/>
      <c r="J8" s="887"/>
      <c r="K8" s="887"/>
      <c r="L8" s="887"/>
      <c r="M8" s="887"/>
      <c r="N8" s="890"/>
      <c r="O8" s="890"/>
      <c r="P8" s="890"/>
      <c r="Q8" s="890"/>
      <c r="R8" s="357"/>
      <c r="S8" s="357"/>
      <c r="T8" s="869"/>
      <c r="U8" s="867"/>
      <c r="V8" s="867"/>
      <c r="W8" s="867"/>
      <c r="X8" s="870"/>
    </row>
    <row r="9" spans="2:26" ht="6" customHeight="1">
      <c r="B9" s="332"/>
      <c r="C9" s="358"/>
      <c r="D9" s="335"/>
      <c r="E9" s="335"/>
      <c r="F9" s="335"/>
      <c r="G9" s="335"/>
      <c r="H9" s="335"/>
      <c r="I9" s="335"/>
      <c r="J9" s="335"/>
      <c r="K9" s="335"/>
      <c r="L9" s="335"/>
      <c r="M9" s="335"/>
      <c r="N9" s="335"/>
      <c r="O9" s="335"/>
      <c r="P9" s="358"/>
      <c r="Q9" s="335"/>
      <c r="R9" s="335"/>
      <c r="S9" s="335"/>
      <c r="T9" s="335"/>
      <c r="U9" s="335"/>
      <c r="V9" s="337"/>
      <c r="W9" s="337"/>
      <c r="X9" s="338"/>
    </row>
    <row r="10" spans="2:26" ht="15">
      <c r="B10" s="339"/>
      <c r="C10" s="359"/>
      <c r="D10"/>
      <c r="E10" s="360"/>
      <c r="F10" s="360"/>
      <c r="G10" s="360"/>
      <c r="H10" s="360"/>
      <c r="I10" s="360"/>
      <c r="J10" s="360"/>
      <c r="K10" s="860"/>
      <c r="L10" s="860"/>
      <c r="M10" s="860"/>
      <c r="N10" s="860"/>
      <c r="O10" s="360"/>
      <c r="P10" s="359"/>
      <c r="Q10" s="360"/>
      <c r="R10" s="360"/>
      <c r="S10" s="360"/>
      <c r="T10" s="360"/>
      <c r="U10" s="360"/>
      <c r="X10" s="344"/>
    </row>
    <row r="11" spans="2:26">
      <c r="B11" s="339"/>
      <c r="C11" s="359"/>
      <c r="D11" s="360"/>
      <c r="E11" s="360"/>
      <c r="F11" s="360"/>
      <c r="G11" s="360"/>
      <c r="H11" s="360"/>
      <c r="I11" s="360"/>
      <c r="J11" s="360"/>
      <c r="K11" s="859"/>
      <c r="L11" s="859"/>
      <c r="M11" s="859"/>
      <c r="N11" s="859"/>
      <c r="O11" s="360"/>
      <c r="P11" s="359"/>
      <c r="Q11" s="360"/>
      <c r="R11" s="360"/>
      <c r="S11" s="360"/>
      <c r="T11" s="360"/>
      <c r="U11" s="360"/>
      <c r="X11" s="344"/>
    </row>
    <row r="12" spans="2:26">
      <c r="B12" s="339"/>
      <c r="C12" s="359"/>
      <c r="D12" s="360"/>
      <c r="E12" s="360"/>
      <c r="F12" s="859"/>
      <c r="G12" s="859"/>
      <c r="H12" s="859"/>
      <c r="I12" s="360"/>
      <c r="J12" s="360"/>
      <c r="K12" s="859"/>
      <c r="L12" s="859"/>
      <c r="M12" s="859"/>
      <c r="N12" s="859"/>
      <c r="O12" s="360"/>
      <c r="P12" s="359"/>
      <c r="Q12" s="360"/>
      <c r="R12" s="360"/>
      <c r="S12" s="360"/>
      <c r="T12" s="360"/>
      <c r="U12" s="360"/>
      <c r="X12" s="344"/>
    </row>
    <row r="13" spans="2:26" ht="15">
      <c r="B13" s="339"/>
      <c r="C13" s="359"/>
      <c r="D13" s="360"/>
      <c r="E13" s="360"/>
      <c r="F13" s="360"/>
      <c r="G13" s="360"/>
      <c r="H13" s="360"/>
      <c r="I13" s="360"/>
      <c r="J13" s="360"/>
      <c r="K13"/>
      <c r="L13" s="360"/>
      <c r="M13" s="360"/>
      <c r="N13" s="360"/>
      <c r="O13" s="360"/>
      <c r="P13" s="359"/>
      <c r="Q13" s="360"/>
      <c r="R13" s="360"/>
      <c r="S13" s="360"/>
      <c r="T13" s="360"/>
      <c r="U13" s="360"/>
      <c r="X13" s="344"/>
    </row>
    <row r="14" spans="2:26">
      <c r="B14" s="339"/>
      <c r="C14" s="359"/>
      <c r="D14" s="860"/>
      <c r="E14" s="860"/>
      <c r="F14" s="860"/>
      <c r="G14" s="860"/>
      <c r="H14" s="361"/>
      <c r="I14" s="360"/>
      <c r="J14" s="860"/>
      <c r="K14" s="860"/>
      <c r="L14" s="360"/>
      <c r="M14" s="360"/>
      <c r="N14" s="860"/>
      <c r="O14" s="860"/>
      <c r="P14" s="359"/>
      <c r="Q14" s="360"/>
      <c r="R14" s="860"/>
      <c r="S14" s="860"/>
      <c r="T14" s="361"/>
      <c r="U14" s="360"/>
      <c r="X14" s="344"/>
    </row>
    <row r="15" spans="2:26">
      <c r="B15" s="339"/>
      <c r="C15" s="359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59"/>
      <c r="Q15" s="360"/>
      <c r="R15" s="360"/>
      <c r="S15" s="360"/>
      <c r="T15" s="360"/>
      <c r="U15" s="360"/>
      <c r="X15" s="344"/>
    </row>
    <row r="16" spans="2:26" ht="12.75" customHeight="1">
      <c r="B16" s="339"/>
      <c r="C16" s="359"/>
      <c r="D16" s="859"/>
      <c r="E16" s="859"/>
      <c r="F16" s="859"/>
      <c r="G16" s="859"/>
      <c r="H16" s="362"/>
      <c r="I16" s="359"/>
      <c r="J16" s="865"/>
      <c r="K16" s="865"/>
      <c r="L16" s="360"/>
      <c r="M16" s="359"/>
      <c r="N16" s="859"/>
      <c r="O16" s="859"/>
      <c r="P16" s="359"/>
      <c r="Q16" s="359"/>
      <c r="R16" s="866"/>
      <c r="S16" s="866"/>
      <c r="T16" s="363"/>
      <c r="U16" s="360"/>
      <c r="X16" s="344"/>
    </row>
    <row r="17" spans="2:24">
      <c r="B17" s="339"/>
      <c r="C17" s="359"/>
      <c r="D17" s="859"/>
      <c r="E17" s="859"/>
      <c r="F17" s="859"/>
      <c r="G17" s="859"/>
      <c r="H17" s="362"/>
      <c r="I17" s="359"/>
      <c r="J17" s="865"/>
      <c r="K17" s="865"/>
      <c r="L17" s="360"/>
      <c r="M17" s="360"/>
      <c r="N17" s="362"/>
      <c r="O17" s="362"/>
      <c r="P17" s="359"/>
      <c r="Q17" s="359"/>
      <c r="R17" s="866"/>
      <c r="S17" s="866"/>
      <c r="T17" s="363"/>
      <c r="U17" s="360"/>
      <c r="X17" s="344"/>
    </row>
    <row r="18" spans="2:24">
      <c r="B18" s="339"/>
      <c r="C18" s="359"/>
      <c r="D18" s="360"/>
      <c r="E18" s="360"/>
      <c r="F18" s="360"/>
      <c r="G18" s="360"/>
      <c r="H18" s="360"/>
      <c r="I18" s="359"/>
      <c r="J18" s="360"/>
      <c r="K18" s="360"/>
      <c r="L18" s="360"/>
      <c r="M18" s="360"/>
      <c r="N18" s="360"/>
      <c r="O18" s="360"/>
      <c r="P18" s="359"/>
      <c r="Q18" s="359"/>
      <c r="R18" s="360"/>
      <c r="S18" s="360"/>
      <c r="T18" s="360"/>
      <c r="U18" s="360"/>
      <c r="X18" s="344"/>
    </row>
    <row r="19" spans="2:24">
      <c r="B19" s="339"/>
      <c r="C19" s="359"/>
      <c r="D19" s="360"/>
      <c r="E19" s="360"/>
      <c r="F19" s="360"/>
      <c r="G19" s="360"/>
      <c r="H19" s="360"/>
      <c r="I19" s="359"/>
      <c r="J19" s="360"/>
      <c r="K19" s="360"/>
      <c r="L19" s="360"/>
      <c r="M19" s="360"/>
      <c r="N19" s="360"/>
      <c r="O19" s="360"/>
      <c r="P19" s="359"/>
      <c r="Q19" s="364"/>
      <c r="R19" s="360"/>
      <c r="S19" s="360"/>
      <c r="T19" s="360"/>
      <c r="U19" s="360"/>
      <c r="X19" s="344"/>
    </row>
    <row r="20" spans="2:24">
      <c r="B20" s="339"/>
      <c r="C20" s="359"/>
      <c r="D20" s="859"/>
      <c r="E20" s="859"/>
      <c r="F20" s="859"/>
      <c r="G20" s="859"/>
      <c r="H20" s="362"/>
      <c r="I20" s="359"/>
      <c r="J20" s="859"/>
      <c r="K20" s="859"/>
      <c r="L20" s="360"/>
      <c r="M20" s="360"/>
      <c r="N20" s="859"/>
      <c r="O20" s="859"/>
      <c r="P20" s="359"/>
      <c r="Q20" s="359"/>
      <c r="R20" s="859"/>
      <c r="S20" s="859"/>
      <c r="T20" s="362"/>
      <c r="U20" s="360"/>
      <c r="X20" s="344"/>
    </row>
    <row r="21" spans="2:24">
      <c r="B21" s="339"/>
      <c r="C21" s="359"/>
      <c r="D21" s="859"/>
      <c r="E21" s="859"/>
      <c r="F21" s="859"/>
      <c r="G21" s="859"/>
      <c r="H21" s="362"/>
      <c r="I21" s="359"/>
      <c r="J21" s="859"/>
      <c r="K21" s="859"/>
      <c r="L21" s="360"/>
      <c r="M21" s="360"/>
      <c r="N21" s="859"/>
      <c r="O21" s="859"/>
      <c r="P21" s="359"/>
      <c r="Q21" s="360"/>
      <c r="R21" s="859"/>
      <c r="S21" s="859"/>
      <c r="T21" s="360"/>
      <c r="U21" s="360"/>
      <c r="X21" s="344"/>
    </row>
    <row r="22" spans="2:24">
      <c r="B22" s="339"/>
      <c r="C22" s="359"/>
      <c r="D22" s="360"/>
      <c r="E22" s="360"/>
      <c r="F22" s="360"/>
      <c r="G22" s="360"/>
      <c r="H22" s="360"/>
      <c r="I22" s="359"/>
      <c r="J22" s="360"/>
      <c r="K22" s="360"/>
      <c r="L22" s="360"/>
      <c r="M22" s="359"/>
      <c r="N22" s="360"/>
      <c r="O22" s="360"/>
      <c r="P22" s="359"/>
      <c r="Q22" s="360"/>
      <c r="R22" s="360"/>
      <c r="S22" s="360"/>
      <c r="T22" s="360"/>
      <c r="U22" s="360"/>
      <c r="X22" s="344"/>
    </row>
    <row r="23" spans="2:24">
      <c r="B23" s="339"/>
      <c r="C23" s="365"/>
      <c r="D23" s="360"/>
      <c r="E23" s="360"/>
      <c r="F23" s="360"/>
      <c r="G23" s="360"/>
      <c r="H23" s="360"/>
      <c r="I23" s="359"/>
      <c r="J23" s="360"/>
      <c r="K23" s="360"/>
      <c r="L23" s="360"/>
      <c r="M23" s="359"/>
      <c r="N23" s="360"/>
      <c r="O23" s="360"/>
      <c r="P23" s="359"/>
      <c r="Q23" s="359"/>
      <c r="R23" s="360"/>
      <c r="S23" s="360"/>
      <c r="T23" s="360"/>
      <c r="U23" s="360"/>
      <c r="X23" s="344"/>
    </row>
    <row r="24" spans="2:24">
      <c r="B24" s="339"/>
      <c r="C24" s="359"/>
      <c r="D24" s="859"/>
      <c r="E24" s="859"/>
      <c r="F24" s="859"/>
      <c r="G24" s="859"/>
      <c r="H24" s="362"/>
      <c r="I24" s="359"/>
      <c r="J24" s="859"/>
      <c r="K24" s="859"/>
      <c r="L24" s="360"/>
      <c r="M24" s="359"/>
      <c r="N24" s="859"/>
      <c r="O24" s="859"/>
      <c r="P24" s="359"/>
      <c r="Q24" s="359"/>
      <c r="R24" s="859"/>
      <c r="S24" s="859"/>
      <c r="T24" s="362"/>
      <c r="U24" s="360"/>
      <c r="X24" s="344"/>
    </row>
    <row r="25" spans="2:24">
      <c r="B25" s="339"/>
      <c r="C25" s="359"/>
      <c r="D25" s="859"/>
      <c r="E25" s="859"/>
      <c r="F25" s="859"/>
      <c r="G25" s="859"/>
      <c r="H25" s="362"/>
      <c r="I25" s="359"/>
      <c r="J25" s="859"/>
      <c r="K25" s="859"/>
      <c r="L25" s="360"/>
      <c r="M25" s="359"/>
      <c r="N25" s="859"/>
      <c r="O25" s="859"/>
      <c r="P25" s="360"/>
      <c r="Q25" s="366"/>
      <c r="R25" s="859"/>
      <c r="S25" s="859"/>
      <c r="T25" s="360"/>
      <c r="U25" s="360"/>
      <c r="X25" s="344"/>
    </row>
    <row r="26" spans="2:24">
      <c r="B26" s="339"/>
      <c r="C26" s="365"/>
      <c r="D26" s="360"/>
      <c r="E26" s="360"/>
      <c r="F26" s="360"/>
      <c r="G26" s="364"/>
      <c r="H26" s="360"/>
      <c r="I26" s="359"/>
      <c r="J26" s="360"/>
      <c r="K26" s="360"/>
      <c r="L26" s="360"/>
      <c r="M26" s="359"/>
      <c r="N26" s="360"/>
      <c r="O26" s="360"/>
      <c r="P26" s="367"/>
      <c r="Q26" s="368"/>
      <c r="R26" s="369"/>
      <c r="S26" s="369"/>
      <c r="T26" s="360"/>
      <c r="U26" s="360"/>
      <c r="X26" s="344"/>
    </row>
    <row r="27" spans="2:24">
      <c r="B27" s="339"/>
      <c r="C27" s="368"/>
      <c r="D27" s="362"/>
      <c r="E27" s="360"/>
      <c r="F27" s="360"/>
      <c r="G27" s="362"/>
      <c r="H27" s="360"/>
      <c r="I27" s="359"/>
      <c r="J27" s="360"/>
      <c r="K27" s="360"/>
      <c r="L27" s="360"/>
      <c r="M27" s="359"/>
      <c r="N27" s="360"/>
      <c r="O27" s="360"/>
      <c r="P27" s="367"/>
      <c r="Q27" s="359"/>
      <c r="R27" s="859"/>
      <c r="S27" s="859"/>
      <c r="T27" s="360"/>
      <c r="U27" s="360"/>
      <c r="X27" s="344"/>
    </row>
    <row r="28" spans="2:24" ht="11.25" customHeight="1">
      <c r="B28" s="339"/>
      <c r="C28" s="359"/>
      <c r="D28" s="859"/>
      <c r="E28" s="859"/>
      <c r="F28" s="859"/>
      <c r="G28" s="859"/>
      <c r="H28" s="360"/>
      <c r="I28" s="359"/>
      <c r="J28" s="859"/>
      <c r="K28" s="859"/>
      <c r="L28" s="360"/>
      <c r="M28" s="359"/>
      <c r="N28" s="859"/>
      <c r="O28" s="859"/>
      <c r="P28" s="360"/>
      <c r="Q28" s="359"/>
      <c r="R28" s="362"/>
      <c r="S28" s="362"/>
      <c r="T28" s="366"/>
      <c r="U28" s="360"/>
      <c r="X28" s="344"/>
    </row>
    <row r="29" spans="2:24">
      <c r="B29" s="339"/>
      <c r="C29" s="359"/>
      <c r="D29" s="859"/>
      <c r="E29" s="859"/>
      <c r="F29" s="859"/>
      <c r="G29" s="859"/>
      <c r="H29" s="360"/>
      <c r="I29" s="359"/>
      <c r="J29" s="859"/>
      <c r="K29" s="859"/>
      <c r="L29" s="360"/>
      <c r="M29" s="359"/>
      <c r="N29" s="859"/>
      <c r="O29" s="859"/>
      <c r="P29" s="360"/>
      <c r="Q29" s="359"/>
      <c r="R29" s="859"/>
      <c r="S29" s="859"/>
      <c r="T29" s="360"/>
      <c r="U29" s="360"/>
      <c r="X29" s="344"/>
    </row>
    <row r="30" spans="2:24">
      <c r="B30" s="339"/>
      <c r="C30" s="359"/>
      <c r="D30" s="360"/>
      <c r="E30" s="360"/>
      <c r="F30" s="360"/>
      <c r="G30" s="360"/>
      <c r="H30" s="360"/>
      <c r="I30" s="359"/>
      <c r="J30" s="370"/>
      <c r="K30" s="360"/>
      <c r="L30" s="360"/>
      <c r="M30" s="359"/>
      <c r="N30" s="360"/>
      <c r="O30" s="360"/>
      <c r="P30" s="360"/>
      <c r="Q30" s="360"/>
      <c r="R30" s="859"/>
      <c r="S30" s="859"/>
      <c r="T30" s="360"/>
      <c r="U30" s="360"/>
      <c r="X30" s="344"/>
    </row>
    <row r="31" spans="2:24">
      <c r="B31" s="339"/>
      <c r="C31" s="359"/>
      <c r="D31" s="360"/>
      <c r="E31" s="360"/>
      <c r="F31" s="360"/>
      <c r="G31" s="360"/>
      <c r="H31" s="360"/>
      <c r="I31" s="359"/>
      <c r="J31" s="360"/>
      <c r="K31" s="360"/>
      <c r="L31" s="360"/>
      <c r="M31" s="359"/>
      <c r="N31" s="360"/>
      <c r="O31" s="360"/>
      <c r="P31" s="360"/>
      <c r="Q31" s="359"/>
      <c r="R31" s="859"/>
      <c r="S31" s="859"/>
      <c r="T31" s="366"/>
      <c r="U31" s="360"/>
      <c r="X31" s="344"/>
    </row>
    <row r="32" spans="2:24" ht="11.25" customHeight="1">
      <c r="B32" s="339"/>
      <c r="C32" s="359"/>
      <c r="D32" s="859"/>
      <c r="E32" s="859"/>
      <c r="F32" s="859"/>
      <c r="G32" s="859"/>
      <c r="H32" s="362"/>
      <c r="I32" s="359"/>
      <c r="J32" s="859"/>
      <c r="K32" s="859"/>
      <c r="L32" s="360"/>
      <c r="M32" s="359"/>
      <c r="N32" s="859"/>
      <c r="O32" s="859"/>
      <c r="P32" s="360"/>
      <c r="Q32" s="366"/>
      <c r="R32" s="864"/>
      <c r="S32" s="864"/>
      <c r="T32" s="366"/>
      <c r="U32" s="360"/>
      <c r="X32" s="344"/>
    </row>
    <row r="33" spans="2:29" ht="11.25" customHeight="1">
      <c r="B33" s="339"/>
      <c r="C33" s="359"/>
      <c r="D33" s="859"/>
      <c r="E33" s="859"/>
      <c r="F33" s="859"/>
      <c r="G33" s="859"/>
      <c r="H33" s="362"/>
      <c r="I33" s="359"/>
      <c r="J33" s="859"/>
      <c r="K33" s="859"/>
      <c r="L33" s="360"/>
      <c r="M33" s="359"/>
      <c r="N33" s="859"/>
      <c r="O33" s="859"/>
      <c r="P33" s="360"/>
      <c r="Q33" s="360"/>
      <c r="R33" s="361"/>
      <c r="S33" s="361"/>
      <c r="T33" s="360"/>
      <c r="U33" s="360"/>
      <c r="X33" s="344"/>
    </row>
    <row r="34" spans="2:29" ht="15">
      <c r="B34" s="339"/>
      <c r="C34" s="359"/>
      <c r="D34"/>
      <c r="E34" s="360"/>
      <c r="F34" s="360"/>
      <c r="G34" s="360"/>
      <c r="H34" s="360"/>
      <c r="I34" s="359"/>
      <c r="J34" s="859"/>
      <c r="K34" s="859"/>
      <c r="L34" s="360"/>
      <c r="M34" s="360"/>
      <c r="N34" s="370"/>
      <c r="O34" s="360"/>
      <c r="P34" s="360"/>
      <c r="Q34" s="359"/>
      <c r="R34" s="859"/>
      <c r="S34" s="859"/>
      <c r="T34" s="360"/>
      <c r="U34" s="360"/>
      <c r="X34" s="344"/>
      <c r="AC34"/>
    </row>
    <row r="35" spans="2:29" ht="15">
      <c r="B35" s="339"/>
      <c r="C35"/>
      <c r="D35"/>
      <c r="E35" s="360"/>
      <c r="F35" s="360"/>
      <c r="G35" s="360"/>
      <c r="H35" s="360"/>
      <c r="I35" s="359"/>
      <c r="L35" s="360"/>
      <c r="M35" s="360"/>
      <c r="N35" s="360"/>
      <c r="O35" s="360"/>
      <c r="P35" s="359"/>
      <c r="Q35" s="366"/>
      <c r="R35" s="859"/>
      <c r="S35" s="859"/>
      <c r="T35" s="361"/>
      <c r="U35" s="360"/>
      <c r="X35" s="344"/>
    </row>
    <row r="36" spans="2:29">
      <c r="B36" s="339"/>
      <c r="C36" s="359"/>
      <c r="D36" s="859"/>
      <c r="E36" s="859"/>
      <c r="F36" s="859"/>
      <c r="G36" s="859"/>
      <c r="H36" s="360"/>
      <c r="I36" s="359"/>
      <c r="J36" s="859"/>
      <c r="K36" s="859"/>
      <c r="L36" s="360"/>
      <c r="M36" s="360"/>
      <c r="N36" s="859"/>
      <c r="O36" s="859"/>
      <c r="P36" s="359"/>
      <c r="Q36" s="366"/>
      <c r="R36" s="369"/>
      <c r="S36" s="369"/>
      <c r="T36" s="361"/>
      <c r="U36" s="360"/>
      <c r="X36" s="344"/>
    </row>
    <row r="37" spans="2:29">
      <c r="B37" s="339"/>
      <c r="C37" s="359"/>
      <c r="D37" s="859"/>
      <c r="E37" s="859"/>
      <c r="F37" s="859"/>
      <c r="G37" s="859"/>
      <c r="H37" s="360"/>
      <c r="I37" s="359"/>
      <c r="J37" s="863"/>
      <c r="K37" s="863"/>
      <c r="L37" s="360"/>
      <c r="M37" s="360"/>
      <c r="N37" s="859"/>
      <c r="O37" s="859"/>
      <c r="P37" s="359"/>
      <c r="Q37" s="360"/>
      <c r="R37" s="360"/>
      <c r="S37" s="360"/>
      <c r="T37" s="361"/>
      <c r="U37" s="360"/>
      <c r="X37" s="344"/>
    </row>
    <row r="38" spans="2:29" ht="15">
      <c r="B38" s="339"/>
      <c r="C38" s="359"/>
      <c r="D38" s="860"/>
      <c r="E38" s="860"/>
      <c r="F38" s="860"/>
      <c r="G38" s="860"/>
      <c r="H38" s="362"/>
      <c r="I38" s="359"/>
      <c r="J38" s="371"/>
      <c r="K38" s="360"/>
      <c r="L38" s="360"/>
      <c r="M38" s="360"/>
      <c r="N38" s="362"/>
      <c r="O38" s="362"/>
      <c r="P38" s="359"/>
      <c r="Q38" s="359"/>
      <c r="R38" s="859"/>
      <c r="S38" s="859"/>
      <c r="T38" s="360"/>
      <c r="U38" s="360"/>
      <c r="X38" s="344"/>
      <c r="AB38"/>
    </row>
    <row r="39" spans="2:29" ht="15">
      <c r="B39" s="339"/>
      <c r="C39" s="359"/>
      <c r="D39" s="362"/>
      <c r="E39" s="362"/>
      <c r="F39" s="362"/>
      <c r="G39" s="362"/>
      <c r="H39" s="362"/>
      <c r="I39" s="359"/>
      <c r="J39" s="360"/>
      <c r="K39" s="360"/>
      <c r="L39" s="360"/>
      <c r="M39" s="360"/>
      <c r="N39" s="859"/>
      <c r="O39" s="859"/>
      <c r="P39" s="359"/>
      <c r="Q39" s="366"/>
      <c r="R39" s="859"/>
      <c r="S39" s="859"/>
      <c r="T39" s="360"/>
      <c r="U39" s="360"/>
      <c r="X39" s="344"/>
      <c r="AC39"/>
    </row>
    <row r="40" spans="2:29">
      <c r="B40" s="339"/>
      <c r="C40" s="359"/>
      <c r="D40" s="859"/>
      <c r="E40" s="859"/>
      <c r="F40" s="859"/>
      <c r="G40" s="859"/>
      <c r="H40" s="360"/>
      <c r="I40" s="359"/>
      <c r="J40" s="859"/>
      <c r="K40" s="859"/>
      <c r="L40" s="360"/>
      <c r="M40" s="360"/>
      <c r="N40" s="362"/>
      <c r="O40" s="362"/>
      <c r="P40" s="359"/>
      <c r="Q40" s="368"/>
      <c r="R40" s="369"/>
      <c r="S40" s="369"/>
      <c r="T40" s="360"/>
      <c r="U40" s="360"/>
      <c r="X40" s="344"/>
    </row>
    <row r="41" spans="2:29">
      <c r="B41" s="339"/>
      <c r="C41" s="359"/>
      <c r="D41" s="859"/>
      <c r="E41" s="859"/>
      <c r="F41" s="859"/>
      <c r="G41" s="859"/>
      <c r="H41" s="360"/>
      <c r="I41" s="359"/>
      <c r="J41" s="859"/>
      <c r="K41" s="859"/>
      <c r="L41" s="360"/>
      <c r="M41" s="360"/>
      <c r="N41" s="859"/>
      <c r="O41" s="859"/>
      <c r="P41" s="359"/>
      <c r="Q41" s="360"/>
      <c r="R41" s="859"/>
      <c r="S41" s="859"/>
      <c r="T41" s="360"/>
      <c r="U41" s="360"/>
      <c r="X41" s="344"/>
    </row>
    <row r="42" spans="2:29" ht="11.25" customHeight="1">
      <c r="B42" s="339"/>
      <c r="C42" s="359"/>
      <c r="D42" s="860"/>
      <c r="E42" s="860"/>
      <c r="F42" s="860"/>
      <c r="G42" s="860"/>
      <c r="H42" s="362"/>
      <c r="I42" s="359"/>
      <c r="J42" s="860"/>
      <c r="K42" s="860"/>
      <c r="L42" s="360"/>
      <c r="M42" s="360"/>
      <c r="N42" s="859"/>
      <c r="O42" s="859"/>
      <c r="P42" s="359"/>
      <c r="Q42" s="360"/>
      <c r="R42" s="361"/>
      <c r="S42" s="361"/>
      <c r="T42" s="361"/>
      <c r="U42" s="360"/>
      <c r="X42" s="344"/>
    </row>
    <row r="43" spans="2:29" ht="11.25" customHeight="1">
      <c r="B43" s="339"/>
      <c r="C43" s="359"/>
      <c r="D43" s="860"/>
      <c r="E43" s="860"/>
      <c r="F43" s="860"/>
      <c r="G43" s="860"/>
      <c r="H43" s="362"/>
      <c r="I43" s="359"/>
      <c r="J43" s="860"/>
      <c r="K43" s="860"/>
      <c r="L43" s="360"/>
      <c r="M43" s="360"/>
      <c r="N43" s="360"/>
      <c r="O43" s="360"/>
      <c r="P43" s="359"/>
      <c r="Q43" s="359"/>
      <c r="R43" s="859"/>
      <c r="S43" s="859"/>
      <c r="T43" s="361"/>
      <c r="U43" s="360"/>
      <c r="X43" s="344"/>
    </row>
    <row r="44" spans="2:29" ht="11.25" customHeight="1">
      <c r="B44" s="339"/>
      <c r="C44" s="359"/>
      <c r="D44" s="362"/>
      <c r="E44" s="362"/>
      <c r="F44" s="362"/>
      <c r="G44" s="362"/>
      <c r="H44" s="362"/>
      <c r="I44" s="359"/>
      <c r="J44" s="363"/>
      <c r="K44" s="363"/>
      <c r="L44" s="360"/>
      <c r="M44" s="360"/>
      <c r="N44" s="360"/>
      <c r="O44" s="360"/>
      <c r="P44" s="359"/>
      <c r="Q44" s="366"/>
      <c r="R44" s="859"/>
      <c r="S44" s="859"/>
      <c r="T44" s="360"/>
      <c r="U44" s="360"/>
      <c r="X44" s="344"/>
    </row>
    <row r="45" spans="2:29" ht="12.75" customHeight="1">
      <c r="B45" s="339"/>
      <c r="C45" s="359"/>
      <c r="D45" s="859"/>
      <c r="E45" s="859"/>
      <c r="F45" s="859"/>
      <c r="G45" s="859"/>
      <c r="H45" s="360"/>
      <c r="I45" s="359"/>
      <c r="J45" s="859"/>
      <c r="K45" s="859"/>
      <c r="L45" s="360"/>
      <c r="M45" s="360"/>
      <c r="N45" s="859"/>
      <c r="O45" s="859"/>
      <c r="P45" s="359"/>
      <c r="Q45" s="366"/>
      <c r="R45" s="369"/>
      <c r="S45" s="369"/>
      <c r="T45" s="369"/>
      <c r="U45" s="360"/>
      <c r="X45" s="344"/>
    </row>
    <row r="46" spans="2:29" ht="11.25" customHeight="1">
      <c r="B46" s="339"/>
      <c r="C46" s="359"/>
      <c r="D46" s="859"/>
      <c r="E46" s="859"/>
      <c r="F46" s="859"/>
      <c r="G46" s="859"/>
      <c r="H46" s="360"/>
      <c r="I46" s="359"/>
      <c r="J46" s="859"/>
      <c r="K46" s="859"/>
      <c r="L46" s="360"/>
      <c r="M46" s="360"/>
      <c r="N46" s="859"/>
      <c r="O46" s="859"/>
      <c r="P46" s="359"/>
      <c r="Q46" s="360"/>
      <c r="R46" s="360"/>
      <c r="S46" s="360"/>
      <c r="T46" s="369"/>
      <c r="U46" s="360"/>
      <c r="X46" s="344"/>
    </row>
    <row r="47" spans="2:29">
      <c r="B47" s="339"/>
      <c r="C47" s="359"/>
      <c r="D47" s="360"/>
      <c r="E47" s="360"/>
      <c r="F47" s="360"/>
      <c r="G47" s="360"/>
      <c r="H47" s="362"/>
      <c r="I47" s="360"/>
      <c r="J47" s="372"/>
      <c r="K47" s="372"/>
      <c r="L47" s="360"/>
      <c r="M47" s="360"/>
      <c r="N47" s="362"/>
      <c r="O47" s="362"/>
      <c r="P47" s="359"/>
      <c r="Q47" s="360"/>
      <c r="R47" s="859"/>
      <c r="S47" s="859"/>
      <c r="T47" s="360"/>
      <c r="U47" s="360"/>
      <c r="X47" s="344"/>
    </row>
    <row r="48" spans="2:29">
      <c r="B48" s="339"/>
      <c r="C48" s="359"/>
      <c r="D48" s="360"/>
      <c r="E48" s="360"/>
      <c r="F48" s="360"/>
      <c r="G48" s="360"/>
      <c r="H48" s="360"/>
      <c r="I48" s="360"/>
      <c r="J48" s="362"/>
      <c r="K48" s="362"/>
      <c r="L48" s="360"/>
      <c r="M48" s="360"/>
      <c r="N48" s="859"/>
      <c r="O48" s="859"/>
      <c r="P48" s="359"/>
      <c r="Q48" s="360"/>
      <c r="R48" s="859"/>
      <c r="S48" s="859"/>
      <c r="T48" s="362"/>
      <c r="U48" s="360"/>
      <c r="X48" s="344"/>
    </row>
    <row r="49" spans="2:28" ht="15">
      <c r="B49" s="339"/>
      <c r="C49" s="359"/>
      <c r="D49" s="859"/>
      <c r="E49" s="859"/>
      <c r="F49" s="859"/>
      <c r="G49" s="859"/>
      <c r="H49" s="362"/>
      <c r="I49" s="359"/>
      <c r="J49" s="859"/>
      <c r="K49" s="859"/>
      <c r="L49" s="360"/>
      <c r="M49" s="360"/>
      <c r="N49" s="362"/>
      <c r="O49" s="362"/>
      <c r="P49" s="359"/>
      <c r="Q49" s="366"/>
      <c r="R49" s="362"/>
      <c r="S49" s="362"/>
      <c r="T49" s="361"/>
      <c r="U49" s="360"/>
      <c r="X49" s="344"/>
      <c r="AB49"/>
    </row>
    <row r="50" spans="2:28">
      <c r="B50" s="339"/>
      <c r="C50" s="359"/>
      <c r="D50" s="859"/>
      <c r="E50" s="859"/>
      <c r="F50" s="859"/>
      <c r="G50" s="859"/>
      <c r="H50" s="362"/>
      <c r="I50" s="359"/>
      <c r="J50" s="859"/>
      <c r="K50" s="859"/>
      <c r="L50" s="360"/>
      <c r="M50" s="360"/>
      <c r="N50" s="859"/>
      <c r="O50" s="859"/>
      <c r="P50" s="359"/>
      <c r="Q50" s="360"/>
      <c r="R50" s="859"/>
      <c r="S50" s="859"/>
      <c r="T50" s="362"/>
      <c r="U50" s="360"/>
      <c r="X50" s="344"/>
    </row>
    <row r="51" spans="2:28">
      <c r="B51" s="339"/>
      <c r="C51" s="359"/>
      <c r="D51" s="360"/>
      <c r="E51" s="360"/>
      <c r="F51" s="360"/>
      <c r="G51" s="360"/>
      <c r="H51" s="360"/>
      <c r="I51" s="359"/>
      <c r="J51" s="360"/>
      <c r="K51" s="360"/>
      <c r="L51" s="360"/>
      <c r="M51" s="360"/>
      <c r="N51" s="859"/>
      <c r="O51" s="859"/>
      <c r="P51" s="359"/>
      <c r="Q51" s="360"/>
      <c r="R51" s="361"/>
      <c r="S51" s="361"/>
      <c r="T51" s="369"/>
      <c r="U51" s="360"/>
      <c r="X51" s="344"/>
    </row>
    <row r="52" spans="2:28">
      <c r="B52" s="339"/>
      <c r="C52" s="368"/>
      <c r="D52" s="360"/>
      <c r="E52" s="360"/>
      <c r="F52" s="360"/>
      <c r="G52" s="360"/>
      <c r="H52" s="362"/>
      <c r="I52" s="359"/>
      <c r="J52" s="360"/>
      <c r="K52" s="360"/>
      <c r="L52" s="360"/>
      <c r="M52" s="360"/>
      <c r="N52" s="360"/>
      <c r="O52" s="360"/>
      <c r="P52" s="359"/>
      <c r="Q52" s="359"/>
      <c r="R52" s="859"/>
      <c r="S52" s="859"/>
      <c r="T52" s="369"/>
      <c r="U52" s="360"/>
      <c r="X52" s="344"/>
    </row>
    <row r="53" spans="2:28">
      <c r="B53" s="339"/>
      <c r="C53" s="368"/>
      <c r="D53" s="360"/>
      <c r="E53" s="360"/>
      <c r="F53" s="360"/>
      <c r="G53" s="360"/>
      <c r="H53" s="362"/>
      <c r="I53" s="359"/>
      <c r="J53" s="859"/>
      <c r="K53" s="859"/>
      <c r="L53" s="360"/>
      <c r="M53" s="360"/>
      <c r="N53" s="360"/>
      <c r="O53" s="360"/>
      <c r="P53" s="359"/>
      <c r="Q53" s="366"/>
      <c r="R53" s="859"/>
      <c r="S53" s="859"/>
      <c r="T53" s="360"/>
      <c r="U53" s="360"/>
      <c r="X53" s="344"/>
    </row>
    <row r="54" spans="2:28">
      <c r="B54" s="339"/>
      <c r="C54" s="368"/>
      <c r="D54" s="360"/>
      <c r="E54" s="360"/>
      <c r="F54" s="360"/>
      <c r="G54" s="360"/>
      <c r="H54" s="367"/>
      <c r="I54" s="359"/>
      <c r="J54" s="859"/>
      <c r="K54" s="859"/>
      <c r="L54" s="360"/>
      <c r="M54" s="360"/>
      <c r="N54" s="859"/>
      <c r="O54" s="859"/>
      <c r="P54" s="359"/>
      <c r="Q54" s="360"/>
      <c r="R54" s="373"/>
      <c r="S54" s="373"/>
      <c r="T54" s="360"/>
      <c r="U54" s="360"/>
      <c r="X54" s="344"/>
    </row>
    <row r="55" spans="2:28">
      <c r="B55" s="339"/>
      <c r="C55" s="368"/>
      <c r="D55" s="360"/>
      <c r="E55" s="360"/>
      <c r="F55" s="360"/>
      <c r="G55" s="361"/>
      <c r="H55" s="367"/>
      <c r="I55" s="359"/>
      <c r="J55" s="360"/>
      <c r="K55" s="360"/>
      <c r="L55" s="360"/>
      <c r="M55" s="360"/>
      <c r="N55" s="859"/>
      <c r="O55" s="859"/>
      <c r="P55" s="359"/>
      <c r="Q55" s="360"/>
      <c r="R55" s="364"/>
      <c r="S55" s="364"/>
      <c r="T55" s="369"/>
      <c r="U55" s="360"/>
      <c r="X55" s="344"/>
    </row>
    <row r="56" spans="2:28">
      <c r="B56" s="339"/>
      <c r="C56" s="368"/>
      <c r="D56" s="360"/>
      <c r="E56" s="360"/>
      <c r="F56" s="360"/>
      <c r="G56" s="360"/>
      <c r="H56" s="362"/>
      <c r="I56" s="359"/>
      <c r="J56" s="360"/>
      <c r="K56" s="360"/>
      <c r="L56" s="360"/>
      <c r="M56" s="374"/>
      <c r="N56" s="375"/>
      <c r="O56" s="375"/>
      <c r="P56" s="359"/>
      <c r="Q56" s="359"/>
      <c r="R56" s="859"/>
      <c r="S56" s="859"/>
      <c r="T56" s="369"/>
      <c r="U56" s="376"/>
      <c r="X56" s="344"/>
    </row>
    <row r="57" spans="2:28">
      <c r="B57" s="339"/>
      <c r="C57" s="359"/>
      <c r="D57" s="859"/>
      <c r="E57" s="859"/>
      <c r="F57" s="859"/>
      <c r="G57" s="859"/>
      <c r="H57" s="362"/>
      <c r="I57" s="359"/>
      <c r="J57" s="859"/>
      <c r="K57" s="859"/>
      <c r="L57" s="360"/>
      <c r="M57" s="360"/>
      <c r="N57" s="859"/>
      <c r="O57" s="859"/>
      <c r="P57" s="359"/>
      <c r="Q57" s="366"/>
      <c r="R57" s="362"/>
      <c r="S57" s="362"/>
      <c r="T57" s="376"/>
      <c r="U57" s="376"/>
      <c r="X57" s="344"/>
    </row>
    <row r="58" spans="2:28">
      <c r="B58" s="339"/>
      <c r="C58" s="359"/>
      <c r="D58" s="859"/>
      <c r="E58" s="859"/>
      <c r="F58" s="859"/>
      <c r="G58" s="859"/>
      <c r="H58" s="362"/>
      <c r="I58" s="359"/>
      <c r="J58" s="859"/>
      <c r="K58" s="859"/>
      <c r="L58" s="360"/>
      <c r="M58" s="360"/>
      <c r="N58" s="362"/>
      <c r="O58" s="362"/>
      <c r="P58" s="359"/>
      <c r="Q58" s="360"/>
      <c r="R58" s="361"/>
      <c r="S58" s="361"/>
      <c r="T58" s="361"/>
      <c r="U58" s="376"/>
      <c r="X58" s="344"/>
    </row>
    <row r="59" spans="2:28" ht="12.75" customHeight="1">
      <c r="B59" s="339"/>
      <c r="C59" s="365"/>
      <c r="D59" s="361"/>
      <c r="E59" s="360"/>
      <c r="F59" s="360"/>
      <c r="G59" s="361"/>
      <c r="H59" s="362"/>
      <c r="I59" s="360"/>
      <c r="J59" s="370"/>
      <c r="K59" s="372"/>
      <c r="L59" s="360"/>
      <c r="M59" s="360"/>
      <c r="N59" s="859"/>
      <c r="O59" s="859"/>
      <c r="P59" s="359"/>
      <c r="Q59" s="360"/>
      <c r="R59" s="860"/>
      <c r="S59" s="860"/>
      <c r="T59" s="369"/>
      <c r="U59" s="376"/>
      <c r="X59" s="344"/>
    </row>
    <row r="60" spans="2:28" ht="12.75" customHeight="1">
      <c r="B60" s="339"/>
      <c r="C60" s="359"/>
      <c r="D60" s="360"/>
      <c r="E60" s="360"/>
      <c r="F60" s="360"/>
      <c r="G60" s="360"/>
      <c r="H60" s="362"/>
      <c r="I60" s="360"/>
      <c r="J60" s="362"/>
      <c r="K60" s="362"/>
      <c r="L60" s="360"/>
      <c r="M60" s="360"/>
      <c r="N60" s="859"/>
      <c r="O60" s="859"/>
      <c r="P60" s="359"/>
      <c r="Q60" s="360"/>
      <c r="R60" s="361"/>
      <c r="S60" s="361"/>
      <c r="T60" s="369"/>
      <c r="U60" s="376"/>
      <c r="X60" s="344"/>
    </row>
    <row r="61" spans="2:28" ht="12" thickBot="1">
      <c r="B61" s="356"/>
      <c r="C61" s="377"/>
      <c r="D61" s="862"/>
      <c r="E61" s="862"/>
      <c r="F61" s="862"/>
      <c r="G61" s="862"/>
      <c r="H61" s="378"/>
      <c r="I61" s="377"/>
      <c r="J61" s="862"/>
      <c r="K61" s="862"/>
      <c r="L61" s="379"/>
      <c r="M61" s="379"/>
      <c r="N61" s="379"/>
      <c r="O61" s="379"/>
      <c r="P61" s="377"/>
      <c r="Q61" s="377"/>
      <c r="R61" s="862"/>
      <c r="S61" s="862"/>
      <c r="T61" s="380"/>
      <c r="U61" s="380"/>
      <c r="V61" s="357"/>
      <c r="W61" s="357"/>
      <c r="X61" s="381"/>
    </row>
    <row r="62" spans="2:28">
      <c r="B62" s="337"/>
      <c r="C62" s="358"/>
      <c r="D62" s="861"/>
      <c r="E62" s="861"/>
      <c r="F62" s="861"/>
      <c r="G62" s="861"/>
      <c r="H62" s="382"/>
      <c r="I62" s="358"/>
      <c r="J62" s="861"/>
      <c r="K62" s="861"/>
      <c r="L62" s="335"/>
      <c r="M62" s="335"/>
      <c r="N62" s="335"/>
      <c r="O62" s="335"/>
      <c r="P62" s="358"/>
      <c r="Q62" s="383"/>
      <c r="R62" s="861"/>
      <c r="S62" s="861"/>
      <c r="T62" s="384"/>
      <c r="U62" s="385"/>
    </row>
    <row r="63" spans="2:28" ht="12.75" customHeight="1">
      <c r="C63" s="362"/>
      <c r="D63" s="362"/>
      <c r="E63" s="360"/>
      <c r="F63" s="360"/>
      <c r="G63" s="360"/>
      <c r="H63" s="362"/>
      <c r="I63" s="359"/>
      <c r="J63" s="360"/>
      <c r="K63" s="360"/>
      <c r="L63" s="360"/>
      <c r="M63" s="360"/>
      <c r="N63" s="859"/>
      <c r="O63" s="859"/>
      <c r="P63" s="359"/>
      <c r="Q63" s="362"/>
      <c r="R63" s="360"/>
      <c r="S63" s="360"/>
      <c r="T63" s="369"/>
      <c r="U63" s="376"/>
    </row>
    <row r="64" spans="2:28" ht="12.75" customHeight="1">
      <c r="C64" s="359"/>
      <c r="D64" s="360"/>
      <c r="E64" s="360"/>
      <c r="F64" s="360"/>
      <c r="G64" s="360"/>
      <c r="H64" s="362"/>
      <c r="I64" s="359"/>
      <c r="J64" s="360"/>
      <c r="K64" s="360"/>
      <c r="L64" s="360"/>
      <c r="M64" s="360"/>
      <c r="N64" s="859"/>
      <c r="O64" s="859"/>
      <c r="P64" s="359"/>
      <c r="Q64" s="360"/>
      <c r="R64" s="860"/>
      <c r="S64" s="860"/>
      <c r="T64" s="369"/>
      <c r="U64" s="376"/>
    </row>
    <row r="65" spans="3:21">
      <c r="C65" s="359"/>
      <c r="D65" s="859"/>
      <c r="E65" s="859"/>
      <c r="F65" s="859"/>
      <c r="G65" s="859"/>
      <c r="H65" s="367"/>
      <c r="I65" s="359"/>
      <c r="J65" s="859"/>
      <c r="K65" s="859"/>
      <c r="L65" s="360"/>
      <c r="M65" s="360"/>
      <c r="N65" s="360"/>
      <c r="O65" s="360"/>
      <c r="P65" s="359"/>
      <c r="Q65" s="360"/>
      <c r="R65" s="361"/>
      <c r="S65" s="361"/>
      <c r="T65" s="360"/>
      <c r="U65" s="360"/>
    </row>
    <row r="66" spans="3:21">
      <c r="C66" s="359"/>
      <c r="D66" s="859"/>
      <c r="E66" s="859"/>
      <c r="F66" s="859"/>
      <c r="G66" s="859"/>
      <c r="H66" s="367"/>
      <c r="I66" s="359"/>
      <c r="J66" s="859"/>
      <c r="K66" s="859"/>
      <c r="L66" s="360"/>
      <c r="M66" s="360"/>
      <c r="N66" s="362"/>
      <c r="O66" s="362"/>
      <c r="P66" s="359"/>
      <c r="Q66" s="359"/>
      <c r="R66" s="859"/>
      <c r="S66" s="859"/>
      <c r="T66" s="361"/>
      <c r="U66" s="360"/>
    </row>
    <row r="67" spans="3:21">
      <c r="C67" s="359"/>
      <c r="D67" s="360"/>
      <c r="E67" s="360"/>
      <c r="F67" s="360"/>
      <c r="G67" s="360"/>
      <c r="H67" s="362"/>
      <c r="I67" s="359"/>
      <c r="J67" s="360"/>
      <c r="K67" s="360"/>
      <c r="L67" s="360"/>
      <c r="M67" s="360"/>
      <c r="N67" s="362"/>
      <c r="O67" s="362"/>
      <c r="P67" s="359"/>
      <c r="Q67" s="366"/>
      <c r="R67" s="859"/>
      <c r="S67" s="859"/>
      <c r="T67" s="369"/>
      <c r="U67" s="360"/>
    </row>
    <row r="68" spans="3:21" ht="12.75" customHeight="1">
      <c r="C68" s="359"/>
      <c r="D68" s="360"/>
      <c r="E68" s="360"/>
      <c r="F68" s="360"/>
      <c r="G68" s="360"/>
      <c r="H68" s="362"/>
      <c r="I68" s="359"/>
      <c r="J68" s="360"/>
      <c r="K68" s="360"/>
      <c r="L68" s="360"/>
      <c r="M68" s="374"/>
      <c r="N68" s="375"/>
      <c r="O68" s="375"/>
      <c r="P68"/>
      <c r="Q68" s="360"/>
      <c r="R68" s="361"/>
      <c r="S68" s="361"/>
      <c r="T68" s="369"/>
      <c r="U68" s="360"/>
    </row>
    <row r="69" spans="3:21" ht="12.75" customHeight="1">
      <c r="C69" s="359"/>
      <c r="D69" s="859"/>
      <c r="E69" s="859"/>
      <c r="F69" s="859"/>
      <c r="G69" s="859"/>
      <c r="H69" s="362"/>
      <c r="I69" s="359"/>
      <c r="J69" s="859"/>
      <c r="K69" s="859"/>
      <c r="L69" s="360"/>
      <c r="M69" s="360"/>
      <c r="N69" s="362"/>
      <c r="O69" s="362"/>
      <c r="P69" s="359"/>
      <c r="Q69" s="360"/>
      <c r="R69" s="860"/>
      <c r="S69" s="860"/>
      <c r="T69" s="360"/>
      <c r="U69" s="360"/>
    </row>
    <row r="70" spans="3:21" ht="12.75" customHeight="1">
      <c r="C70" s="359"/>
      <c r="D70" s="859"/>
      <c r="E70" s="859"/>
      <c r="F70" s="859"/>
      <c r="G70" s="859"/>
      <c r="H70" s="362"/>
      <c r="I70" s="359"/>
      <c r="J70" s="362"/>
      <c r="K70" s="362"/>
      <c r="L70" s="360"/>
      <c r="M70" s="360"/>
      <c r="N70" s="362"/>
      <c r="O70" s="362"/>
      <c r="P70" s="359"/>
      <c r="Q70" s="360"/>
      <c r="R70" s="361"/>
      <c r="S70" s="361"/>
      <c r="T70" s="361"/>
      <c r="U70" s="360"/>
    </row>
    <row r="71" spans="3:21" ht="12.75" customHeight="1">
      <c r="C71" s="359"/>
      <c r="D71" s="360"/>
      <c r="E71" s="360"/>
      <c r="F71" s="360"/>
      <c r="G71" s="360"/>
      <c r="H71" s="362"/>
      <c r="I71" s="360"/>
      <c r="J71" s="362"/>
      <c r="K71" s="362"/>
      <c r="L71" s="360"/>
      <c r="M71" s="360"/>
      <c r="N71" s="362"/>
      <c r="O71" s="362"/>
      <c r="P71" s="359"/>
      <c r="Q71" s="359"/>
      <c r="R71" s="859"/>
      <c r="S71" s="859"/>
      <c r="T71" s="369"/>
      <c r="U71" s="360"/>
    </row>
    <row r="72" spans="3:21" ht="12.75" customHeight="1">
      <c r="C72" s="359"/>
      <c r="D72" s="360"/>
      <c r="E72" s="360"/>
      <c r="F72" s="360"/>
      <c r="G72" s="360"/>
      <c r="H72" s="362"/>
      <c r="I72" s="360"/>
      <c r="J72" s="360"/>
      <c r="K72" s="360"/>
      <c r="L72" s="360"/>
      <c r="M72" s="360"/>
      <c r="N72" s="362"/>
      <c r="O72" s="362"/>
      <c r="P72" s="359"/>
      <c r="Q72" s="366"/>
      <c r="R72" s="859"/>
      <c r="S72" s="859"/>
      <c r="T72" s="369"/>
      <c r="U72" s="360"/>
    </row>
    <row r="73" spans="3:21">
      <c r="C73" s="359"/>
      <c r="D73" s="859"/>
      <c r="E73" s="859"/>
      <c r="F73" s="859"/>
      <c r="G73" s="859"/>
      <c r="H73" s="362"/>
      <c r="I73" s="360"/>
      <c r="J73" s="360"/>
      <c r="K73" s="360"/>
      <c r="L73" s="360"/>
      <c r="M73" s="360"/>
      <c r="N73" s="360"/>
      <c r="O73" s="360"/>
      <c r="P73" s="359"/>
      <c r="Q73" s="360"/>
      <c r="R73" s="371"/>
      <c r="S73" s="361"/>
      <c r="T73" s="360"/>
      <c r="U73" s="360"/>
    </row>
    <row r="74" spans="3:21">
      <c r="C74" s="359"/>
      <c r="D74" s="859"/>
      <c r="E74" s="859"/>
      <c r="F74" s="859"/>
      <c r="G74" s="859"/>
      <c r="H74" s="362"/>
      <c r="I74" s="360"/>
      <c r="J74" s="360"/>
      <c r="K74" s="360"/>
      <c r="L74" s="360"/>
      <c r="M74" s="360"/>
      <c r="N74" s="360"/>
      <c r="O74" s="360"/>
      <c r="P74" s="359"/>
      <c r="Q74" s="360"/>
      <c r="R74" s="361"/>
      <c r="S74" s="361"/>
      <c r="T74" s="361"/>
      <c r="U74" s="360"/>
    </row>
    <row r="75" spans="3:21">
      <c r="C75" s="359"/>
      <c r="D75" s="370"/>
      <c r="E75" s="362"/>
      <c r="F75" s="362"/>
      <c r="G75" s="362"/>
      <c r="H75" s="362"/>
      <c r="I75" s="360"/>
      <c r="J75" s="360"/>
      <c r="K75" s="360"/>
      <c r="L75" s="360"/>
      <c r="M75" s="360"/>
      <c r="N75" s="362"/>
      <c r="O75" s="362"/>
      <c r="P75" s="359"/>
      <c r="Q75" s="359"/>
      <c r="R75" s="362"/>
      <c r="S75" s="362"/>
      <c r="T75" s="369"/>
      <c r="U75" s="360"/>
    </row>
    <row r="76" spans="3:21">
      <c r="C76" s="359"/>
      <c r="D76" s="360"/>
      <c r="E76" s="360"/>
      <c r="F76" s="368"/>
      <c r="G76" s="360"/>
      <c r="H76" s="360"/>
      <c r="I76" s="360"/>
      <c r="J76" s="360"/>
      <c r="K76" s="360"/>
      <c r="L76" s="360"/>
      <c r="M76" s="360"/>
      <c r="N76" s="859"/>
      <c r="O76" s="859"/>
      <c r="P76" s="359"/>
      <c r="Q76" s="366"/>
      <c r="R76" s="362"/>
      <c r="S76" s="362"/>
      <c r="T76" s="369"/>
      <c r="U76" s="360"/>
    </row>
    <row r="77" spans="3:21" ht="11.25" customHeight="1">
      <c r="C77" s="359"/>
      <c r="D77" s="360"/>
      <c r="E77" s="360"/>
      <c r="F77" s="366"/>
      <c r="G77" s="360"/>
      <c r="H77" s="360"/>
      <c r="I77" s="360"/>
      <c r="J77" s="360"/>
      <c r="K77" s="360"/>
      <c r="L77" s="366"/>
      <c r="M77" s="360"/>
      <c r="N77" s="859"/>
      <c r="O77" s="859"/>
      <c r="P77" s="359"/>
      <c r="Q77" s="360"/>
      <c r="R77" s="360"/>
      <c r="S77" s="360"/>
      <c r="T77" s="360"/>
      <c r="U77" s="360"/>
    </row>
    <row r="78" spans="3:21">
      <c r="D78" s="386"/>
      <c r="E78" s="360"/>
      <c r="F78" s="366"/>
      <c r="G78" s="360"/>
      <c r="H78" s="360"/>
      <c r="I78" s="360"/>
      <c r="J78" s="366"/>
      <c r="K78" s="360"/>
      <c r="L78" s="366"/>
      <c r="M78" s="366"/>
      <c r="N78" s="360"/>
      <c r="O78" s="360"/>
      <c r="P78" s="359"/>
      <c r="Q78" s="360"/>
      <c r="R78" s="361"/>
      <c r="S78" s="361"/>
      <c r="T78" s="361"/>
      <c r="U78" s="360"/>
    </row>
    <row r="79" spans="3:21">
      <c r="D79" s="360"/>
      <c r="E79" s="360"/>
      <c r="F79" s="360"/>
      <c r="G79" s="360"/>
      <c r="H79" s="360"/>
      <c r="I79" s="360"/>
      <c r="J79" s="366"/>
      <c r="K79" s="360"/>
      <c r="L79" s="360"/>
      <c r="M79" s="360"/>
      <c r="N79" s="360"/>
      <c r="O79" s="360"/>
      <c r="P79" s="359"/>
      <c r="Q79" s="360"/>
      <c r="R79" s="369"/>
      <c r="S79" s="369"/>
      <c r="T79" s="369"/>
      <c r="U79" s="360"/>
    </row>
    <row r="80" spans="3:21">
      <c r="D80" s="386"/>
      <c r="E80" s="360"/>
      <c r="F80" s="360"/>
      <c r="G80" s="360"/>
      <c r="H80" s="360"/>
      <c r="I80" s="360"/>
      <c r="J80" s="366"/>
      <c r="K80" s="360"/>
      <c r="L80" s="360"/>
      <c r="M80" s="360"/>
      <c r="N80" s="360"/>
      <c r="O80" s="360"/>
      <c r="P80" s="359"/>
      <c r="Q80" s="360"/>
      <c r="R80" s="369"/>
      <c r="S80" s="369"/>
      <c r="T80" s="369"/>
      <c r="U80" s="360"/>
    </row>
    <row r="81" spans="4:19">
      <c r="D81" s="360"/>
      <c r="E81" s="360"/>
      <c r="F81" s="360"/>
      <c r="G81" s="360"/>
      <c r="H81" s="360"/>
      <c r="I81" s="360"/>
      <c r="J81" s="360"/>
      <c r="K81" s="360"/>
      <c r="L81" s="360"/>
      <c r="M81" s="360"/>
      <c r="N81" s="360"/>
      <c r="O81" s="360"/>
      <c r="P81" s="359"/>
      <c r="Q81" s="360"/>
      <c r="R81" s="360"/>
      <c r="S81" s="360"/>
    </row>
    <row r="82" spans="4:19"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359"/>
      <c r="Q82" s="360"/>
      <c r="R82" s="360"/>
      <c r="S82" s="360"/>
    </row>
    <row r="83" spans="4:19">
      <c r="D83" s="360"/>
      <c r="E83" s="360"/>
      <c r="F83" s="360"/>
      <c r="G83" s="360"/>
      <c r="H83" s="360"/>
      <c r="I83" s="360"/>
      <c r="J83" s="360"/>
      <c r="K83" s="360"/>
      <c r="L83" s="360"/>
      <c r="M83" s="360"/>
      <c r="N83" s="360"/>
      <c r="O83" s="360"/>
      <c r="P83" s="359"/>
      <c r="Q83" s="360"/>
      <c r="R83" s="360"/>
      <c r="S83" s="360"/>
    </row>
    <row r="84" spans="4:19">
      <c r="D84" s="360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359"/>
      <c r="Q84" s="360"/>
      <c r="R84" s="360"/>
      <c r="S84" s="360"/>
    </row>
    <row r="85" spans="4:19">
      <c r="D85" s="360"/>
      <c r="E85" s="360"/>
      <c r="F85" s="360"/>
      <c r="G85" s="360"/>
      <c r="H85" s="360"/>
      <c r="I85" s="360"/>
      <c r="J85" s="360"/>
      <c r="K85" s="360"/>
      <c r="L85" s="360"/>
      <c r="M85" s="360"/>
      <c r="N85" s="360"/>
      <c r="O85" s="360"/>
      <c r="P85" s="359"/>
      <c r="Q85" s="360"/>
      <c r="R85" s="360"/>
      <c r="S85" s="360"/>
    </row>
    <row r="86" spans="4:19">
      <c r="D86" s="360"/>
      <c r="E86" s="360"/>
      <c r="F86" s="360"/>
      <c r="G86" s="360"/>
      <c r="H86" s="360"/>
      <c r="I86" s="360"/>
      <c r="J86" s="360"/>
      <c r="K86" s="360"/>
      <c r="L86" s="360"/>
      <c r="M86" s="360"/>
      <c r="N86" s="360"/>
      <c r="O86" s="360"/>
      <c r="P86" s="359"/>
      <c r="Q86" s="360"/>
      <c r="R86" s="360"/>
      <c r="S86" s="360"/>
    </row>
    <row r="87" spans="4:19">
      <c r="D87" s="360"/>
      <c r="E87" s="360"/>
      <c r="F87" s="360"/>
      <c r="G87" s="360"/>
      <c r="H87" s="360"/>
      <c r="I87" s="360"/>
      <c r="J87" s="360"/>
      <c r="K87" s="360"/>
      <c r="L87" s="360"/>
      <c r="M87" s="360"/>
      <c r="N87" s="360"/>
      <c r="O87" s="360"/>
      <c r="P87" s="359"/>
      <c r="Q87" s="360"/>
      <c r="R87" s="360"/>
      <c r="S87" s="360"/>
    </row>
    <row r="88" spans="4:19"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59"/>
      <c r="Q88" s="360"/>
      <c r="R88" s="360"/>
      <c r="S88" s="360"/>
    </row>
    <row r="89" spans="4:19">
      <c r="D89" s="360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359"/>
      <c r="Q89" s="360"/>
      <c r="R89" s="360"/>
      <c r="S89" s="360"/>
    </row>
    <row r="90" spans="4:19">
      <c r="D90" s="360"/>
      <c r="E90" s="360"/>
      <c r="F90" s="360"/>
      <c r="G90" s="360"/>
      <c r="H90" s="360"/>
      <c r="I90" s="360"/>
      <c r="J90" s="360"/>
      <c r="K90" s="360"/>
      <c r="L90" s="360"/>
      <c r="M90" s="360"/>
      <c r="N90" s="360"/>
      <c r="O90" s="360"/>
      <c r="P90" s="359"/>
      <c r="Q90" s="360"/>
      <c r="R90" s="360"/>
      <c r="S90" s="360"/>
    </row>
    <row r="91" spans="4:19">
      <c r="D91" s="360"/>
      <c r="E91" s="360"/>
      <c r="F91" s="360"/>
      <c r="G91" s="360"/>
      <c r="H91" s="360"/>
      <c r="I91" s="360"/>
      <c r="J91" s="360"/>
      <c r="K91" s="360"/>
      <c r="L91" s="360"/>
      <c r="M91" s="360"/>
      <c r="N91" s="360"/>
      <c r="O91" s="360"/>
      <c r="P91" s="359"/>
      <c r="Q91" s="360"/>
      <c r="R91" s="360"/>
      <c r="S91" s="360"/>
    </row>
    <row r="92" spans="4:19">
      <c r="D92" s="360"/>
      <c r="E92" s="360"/>
      <c r="F92" s="360"/>
      <c r="G92" s="360"/>
      <c r="H92" s="360"/>
      <c r="I92" s="360"/>
      <c r="J92" s="360"/>
      <c r="K92" s="360"/>
      <c r="L92" s="360"/>
      <c r="M92" s="360"/>
      <c r="N92" s="360"/>
      <c r="O92" s="360"/>
      <c r="P92" s="359"/>
      <c r="Q92" s="360"/>
      <c r="R92" s="360"/>
      <c r="S92" s="360"/>
    </row>
    <row r="93" spans="4:19">
      <c r="D93" s="360"/>
      <c r="E93" s="360"/>
      <c r="F93" s="360"/>
      <c r="G93" s="360"/>
      <c r="H93" s="360"/>
      <c r="I93" s="360"/>
      <c r="J93" s="360"/>
      <c r="K93" s="360"/>
      <c r="L93" s="360"/>
      <c r="M93" s="360"/>
      <c r="N93" s="360"/>
      <c r="O93" s="360"/>
      <c r="P93" s="359"/>
      <c r="Q93" s="360"/>
      <c r="R93" s="360"/>
      <c r="S93" s="360"/>
    </row>
    <row r="94" spans="4:19">
      <c r="D94" s="360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359"/>
      <c r="Q94" s="360"/>
      <c r="R94" s="360"/>
      <c r="S94" s="360"/>
    </row>
    <row r="95" spans="4:19">
      <c r="D95" s="360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359"/>
      <c r="Q95" s="360"/>
      <c r="R95" s="360"/>
      <c r="S95" s="360"/>
    </row>
    <row r="96" spans="4:19">
      <c r="D96" s="360"/>
      <c r="E96" s="360"/>
      <c r="F96" s="360"/>
      <c r="G96" s="360"/>
      <c r="H96" s="360"/>
      <c r="I96" s="360"/>
      <c r="J96" s="360"/>
      <c r="K96" s="360"/>
      <c r="L96" s="360"/>
      <c r="M96" s="360"/>
      <c r="N96" s="360"/>
      <c r="O96" s="360"/>
      <c r="P96" s="359"/>
      <c r="Q96" s="360"/>
      <c r="R96" s="360"/>
      <c r="S96" s="360"/>
    </row>
    <row r="97" spans="4:19">
      <c r="D97" s="360"/>
      <c r="E97" s="360"/>
      <c r="F97" s="360"/>
      <c r="G97" s="360"/>
      <c r="H97" s="360"/>
      <c r="I97" s="360"/>
      <c r="J97" s="360"/>
      <c r="K97" s="360"/>
      <c r="L97" s="360"/>
      <c r="M97" s="360"/>
      <c r="N97" s="360"/>
      <c r="O97" s="360"/>
      <c r="P97" s="359"/>
      <c r="Q97" s="360"/>
      <c r="R97" s="360"/>
      <c r="S97" s="360"/>
    </row>
    <row r="98" spans="4:19">
      <c r="D98" s="360"/>
      <c r="E98" s="360"/>
      <c r="F98" s="360"/>
      <c r="G98" s="360"/>
      <c r="H98" s="360"/>
      <c r="I98" s="360"/>
      <c r="J98" s="360"/>
      <c r="K98" s="360"/>
      <c r="L98" s="360"/>
      <c r="M98" s="360"/>
      <c r="N98" s="360"/>
      <c r="O98" s="360"/>
      <c r="P98" s="359"/>
      <c r="Q98" s="360"/>
      <c r="R98" s="360"/>
      <c r="S98" s="360"/>
    </row>
    <row r="99" spans="4:19"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59"/>
      <c r="Q99" s="360"/>
      <c r="R99" s="360"/>
      <c r="S99" s="360"/>
    </row>
    <row r="100" spans="4:19"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59"/>
      <c r="Q100" s="360"/>
      <c r="R100" s="360"/>
      <c r="S100" s="360"/>
    </row>
    <row r="101" spans="4:19">
      <c r="D101" s="360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359"/>
      <c r="Q101" s="360"/>
      <c r="R101" s="360"/>
      <c r="S101" s="360"/>
    </row>
    <row r="102" spans="4:19">
      <c r="D102" s="360"/>
      <c r="E102" s="360"/>
      <c r="F102" s="360"/>
      <c r="G102" s="360"/>
      <c r="H102" s="360"/>
      <c r="I102" s="360"/>
      <c r="J102" s="360"/>
      <c r="K102" s="360"/>
      <c r="L102" s="360"/>
      <c r="M102" s="360"/>
      <c r="N102" s="360"/>
      <c r="O102" s="360"/>
      <c r="P102" s="359"/>
      <c r="Q102" s="360"/>
      <c r="R102" s="360"/>
      <c r="S102" s="360"/>
    </row>
    <row r="103" spans="4:19">
      <c r="D103" s="360"/>
      <c r="E103" s="360"/>
      <c r="F103" s="360"/>
      <c r="G103" s="360"/>
      <c r="H103" s="360"/>
      <c r="I103" s="360"/>
      <c r="J103" s="360"/>
      <c r="K103" s="360"/>
      <c r="L103" s="360"/>
      <c r="M103" s="360"/>
      <c r="N103" s="360"/>
      <c r="O103" s="360"/>
      <c r="P103" s="359"/>
      <c r="Q103" s="360"/>
      <c r="R103" s="360"/>
      <c r="S103" s="360"/>
    </row>
    <row r="104" spans="4:19">
      <c r="D104" s="360"/>
      <c r="E104" s="360"/>
      <c r="F104" s="360"/>
      <c r="G104" s="360"/>
      <c r="H104" s="360"/>
      <c r="I104" s="360"/>
      <c r="J104" s="360"/>
      <c r="K104" s="360"/>
      <c r="L104" s="360"/>
      <c r="M104" s="360"/>
      <c r="N104" s="360"/>
      <c r="O104" s="360"/>
      <c r="P104" s="359"/>
      <c r="Q104" s="360"/>
      <c r="R104" s="360"/>
      <c r="S104" s="360"/>
    </row>
    <row r="105" spans="4:19">
      <c r="D105" s="360"/>
      <c r="E105" s="360"/>
      <c r="F105" s="360"/>
      <c r="G105" s="360"/>
      <c r="H105" s="360"/>
      <c r="I105" s="360"/>
      <c r="J105" s="360"/>
      <c r="K105" s="360"/>
      <c r="L105" s="360"/>
      <c r="M105" s="360"/>
      <c r="N105" s="360"/>
      <c r="O105" s="360"/>
      <c r="P105" s="359"/>
      <c r="Q105" s="360"/>
      <c r="R105" s="360"/>
      <c r="S105" s="360"/>
    </row>
    <row r="106" spans="4:19">
      <c r="D106" s="360"/>
      <c r="E106" s="360"/>
      <c r="F106" s="360"/>
      <c r="G106" s="360"/>
      <c r="H106" s="360"/>
      <c r="I106" s="360"/>
      <c r="J106" s="360"/>
      <c r="K106" s="360"/>
      <c r="L106" s="360"/>
      <c r="M106" s="360"/>
      <c r="N106" s="360"/>
      <c r="O106" s="360"/>
      <c r="P106" s="359"/>
      <c r="Q106" s="360"/>
      <c r="R106" s="360"/>
      <c r="S106" s="360"/>
    </row>
    <row r="107" spans="4:19">
      <c r="D107" s="360"/>
      <c r="E107" s="360"/>
      <c r="F107" s="360"/>
      <c r="G107" s="360"/>
      <c r="H107" s="360"/>
      <c r="I107" s="360"/>
      <c r="J107" s="360"/>
      <c r="K107" s="360"/>
      <c r="L107" s="360"/>
      <c r="M107" s="360"/>
      <c r="N107" s="360"/>
      <c r="O107" s="360"/>
      <c r="P107" s="359"/>
      <c r="Q107" s="360"/>
      <c r="R107" s="360"/>
      <c r="S107" s="360"/>
    </row>
    <row r="108" spans="4:19"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59"/>
      <c r="Q108" s="360"/>
      <c r="R108" s="360"/>
      <c r="S108" s="360"/>
    </row>
    <row r="109" spans="4:19">
      <c r="D109" s="360"/>
      <c r="E109" s="360"/>
      <c r="F109" s="360"/>
      <c r="G109" s="360"/>
      <c r="H109" s="360"/>
      <c r="I109" s="360"/>
      <c r="J109" s="360"/>
      <c r="K109" s="360"/>
      <c r="L109" s="360"/>
      <c r="M109" s="360"/>
      <c r="N109" s="360"/>
      <c r="O109" s="360"/>
      <c r="P109" s="359"/>
      <c r="Q109" s="360"/>
      <c r="R109" s="360"/>
      <c r="S109" s="360"/>
    </row>
    <row r="110" spans="4:19">
      <c r="D110" s="360"/>
      <c r="E110" s="360"/>
      <c r="F110" s="360"/>
      <c r="G110" s="360"/>
      <c r="H110" s="360"/>
      <c r="I110" s="360"/>
      <c r="J110" s="360"/>
      <c r="K110" s="360"/>
      <c r="L110" s="360"/>
      <c r="M110" s="360"/>
      <c r="N110" s="360"/>
      <c r="O110" s="360"/>
      <c r="P110" s="359"/>
      <c r="Q110" s="360"/>
      <c r="R110" s="360"/>
      <c r="S110" s="360"/>
    </row>
    <row r="111" spans="4:19">
      <c r="D111" s="360"/>
      <c r="E111" s="360"/>
      <c r="F111" s="360"/>
      <c r="G111" s="360"/>
      <c r="H111" s="360"/>
      <c r="I111" s="360"/>
      <c r="J111" s="360"/>
      <c r="K111" s="360"/>
      <c r="L111" s="360"/>
      <c r="M111" s="360"/>
      <c r="N111" s="360"/>
      <c r="O111" s="360"/>
      <c r="P111" s="359"/>
      <c r="Q111" s="360"/>
      <c r="R111" s="360"/>
      <c r="S111" s="360"/>
    </row>
    <row r="112" spans="4:19">
      <c r="D112" s="360"/>
      <c r="E112" s="360"/>
      <c r="F112" s="360"/>
      <c r="G112" s="360"/>
      <c r="H112" s="360"/>
      <c r="I112" s="360"/>
      <c r="J112" s="360"/>
      <c r="K112" s="360"/>
      <c r="L112" s="360"/>
      <c r="M112" s="360"/>
      <c r="N112" s="360"/>
      <c r="O112" s="360"/>
      <c r="P112" s="359"/>
      <c r="Q112" s="360"/>
      <c r="R112" s="360"/>
      <c r="S112" s="360"/>
    </row>
    <row r="113" spans="4:19">
      <c r="D113" s="360"/>
      <c r="E113" s="360"/>
      <c r="F113" s="360"/>
      <c r="G113" s="360"/>
      <c r="H113" s="360"/>
      <c r="I113" s="360"/>
      <c r="J113" s="360"/>
      <c r="K113" s="360"/>
      <c r="L113" s="360"/>
      <c r="M113" s="360"/>
      <c r="N113" s="360"/>
      <c r="O113" s="360"/>
      <c r="P113" s="359"/>
      <c r="Q113" s="360"/>
      <c r="R113" s="360"/>
      <c r="S113" s="360"/>
    </row>
    <row r="114" spans="4:19">
      <c r="D114" s="360"/>
      <c r="E114" s="360"/>
      <c r="F114" s="360"/>
      <c r="G114" s="360"/>
      <c r="H114" s="360"/>
      <c r="I114" s="360"/>
      <c r="J114" s="360"/>
      <c r="K114" s="360"/>
      <c r="L114" s="360"/>
      <c r="M114" s="360"/>
      <c r="N114" s="360"/>
      <c r="O114" s="360"/>
      <c r="P114" s="359"/>
      <c r="Q114" s="360"/>
      <c r="R114" s="360"/>
      <c r="S114" s="360"/>
    </row>
    <row r="115" spans="4:19">
      <c r="D115" s="360"/>
      <c r="E115" s="360"/>
      <c r="F115" s="360"/>
      <c r="G115" s="360"/>
      <c r="H115" s="360"/>
      <c r="I115" s="360"/>
      <c r="J115" s="360"/>
      <c r="K115" s="360"/>
      <c r="L115" s="360"/>
      <c r="M115" s="360"/>
      <c r="N115" s="360"/>
      <c r="O115" s="360"/>
      <c r="P115" s="359"/>
      <c r="Q115" s="360"/>
      <c r="R115" s="360"/>
      <c r="S115" s="360"/>
    </row>
    <row r="116" spans="4:19">
      <c r="D116" s="360"/>
      <c r="E116" s="360"/>
      <c r="F116" s="360"/>
      <c r="G116" s="360"/>
      <c r="H116" s="360"/>
      <c r="I116" s="360"/>
      <c r="J116" s="360"/>
      <c r="K116" s="360"/>
      <c r="L116" s="360"/>
      <c r="M116" s="360"/>
      <c r="N116" s="360"/>
      <c r="O116" s="360"/>
      <c r="P116" s="359"/>
      <c r="Q116" s="360"/>
      <c r="R116" s="360"/>
      <c r="S116" s="360"/>
    </row>
    <row r="117" spans="4:19">
      <c r="D117" s="360"/>
      <c r="E117" s="360"/>
      <c r="F117" s="360"/>
      <c r="G117" s="360"/>
      <c r="H117" s="360"/>
      <c r="I117" s="360"/>
      <c r="J117" s="360"/>
      <c r="K117" s="360"/>
      <c r="L117" s="360"/>
      <c r="M117" s="360"/>
      <c r="N117" s="360"/>
      <c r="O117" s="360"/>
      <c r="P117" s="359"/>
      <c r="Q117" s="360"/>
      <c r="R117" s="360"/>
      <c r="S117" s="360"/>
    </row>
    <row r="118" spans="4:19">
      <c r="D118" s="360"/>
      <c r="E118" s="360"/>
      <c r="F118" s="360"/>
      <c r="G118" s="360"/>
      <c r="H118" s="360"/>
      <c r="I118" s="360"/>
      <c r="J118" s="360"/>
      <c r="K118" s="360"/>
      <c r="L118" s="360"/>
      <c r="M118" s="360"/>
      <c r="N118" s="360"/>
      <c r="O118" s="360"/>
      <c r="P118" s="359"/>
      <c r="Q118" s="360"/>
      <c r="R118" s="360"/>
      <c r="S118" s="360"/>
    </row>
    <row r="119" spans="4:19">
      <c r="D119" s="360"/>
      <c r="E119" s="360"/>
      <c r="F119" s="360"/>
      <c r="G119" s="360"/>
      <c r="H119" s="360"/>
      <c r="I119" s="360"/>
      <c r="J119" s="360"/>
      <c r="K119" s="360"/>
      <c r="L119" s="360"/>
      <c r="M119" s="360"/>
      <c r="N119" s="360"/>
      <c r="O119" s="360"/>
      <c r="P119" s="359"/>
      <c r="Q119" s="360"/>
      <c r="R119" s="360"/>
      <c r="S119" s="360"/>
    </row>
    <row r="120" spans="4:19">
      <c r="D120" s="360"/>
      <c r="E120" s="360"/>
      <c r="F120" s="360"/>
      <c r="G120" s="360"/>
      <c r="H120" s="360"/>
      <c r="I120" s="360"/>
      <c r="J120" s="360"/>
      <c r="K120" s="360"/>
      <c r="L120" s="360"/>
      <c r="M120" s="360"/>
      <c r="N120" s="360"/>
      <c r="O120" s="360"/>
      <c r="P120" s="359"/>
      <c r="Q120" s="360"/>
      <c r="R120" s="360"/>
      <c r="S120" s="360"/>
    </row>
    <row r="121" spans="4:19">
      <c r="D121" s="360"/>
      <c r="E121" s="360"/>
      <c r="F121" s="360"/>
      <c r="G121" s="360"/>
      <c r="H121" s="360"/>
      <c r="I121" s="360"/>
      <c r="J121" s="360"/>
      <c r="K121" s="360"/>
      <c r="L121" s="360"/>
      <c r="M121" s="360"/>
      <c r="N121" s="360"/>
      <c r="O121" s="360"/>
      <c r="P121" s="359"/>
      <c r="Q121" s="360"/>
      <c r="R121" s="360"/>
      <c r="S121" s="360"/>
    </row>
    <row r="122" spans="4:19">
      <c r="D122" s="360"/>
      <c r="E122" s="360"/>
      <c r="F122" s="360"/>
      <c r="G122" s="360"/>
      <c r="H122" s="360"/>
      <c r="I122" s="360"/>
      <c r="J122" s="360"/>
      <c r="K122" s="360"/>
      <c r="L122" s="360"/>
      <c r="M122" s="360"/>
      <c r="N122" s="360"/>
      <c r="O122" s="360"/>
      <c r="P122" s="359"/>
      <c r="Q122" s="360"/>
      <c r="R122" s="360"/>
      <c r="S122" s="360"/>
    </row>
    <row r="123" spans="4:19">
      <c r="D123" s="360"/>
      <c r="E123" s="360"/>
      <c r="F123" s="360"/>
      <c r="G123" s="360"/>
      <c r="H123" s="360"/>
      <c r="I123" s="360"/>
      <c r="J123" s="360"/>
      <c r="K123" s="360"/>
      <c r="L123" s="360"/>
      <c r="M123" s="360"/>
      <c r="N123" s="360"/>
      <c r="O123" s="360"/>
      <c r="P123" s="359"/>
      <c r="Q123" s="360"/>
      <c r="R123" s="360"/>
      <c r="S123" s="360"/>
    </row>
    <row r="124" spans="4:19">
      <c r="D124" s="360"/>
      <c r="E124" s="360"/>
      <c r="F124" s="360"/>
      <c r="G124" s="360"/>
      <c r="H124" s="360"/>
      <c r="I124" s="360"/>
      <c r="J124" s="360"/>
      <c r="K124" s="360"/>
      <c r="L124" s="360"/>
      <c r="M124" s="360"/>
      <c r="N124" s="360"/>
      <c r="O124" s="360"/>
      <c r="P124" s="359"/>
      <c r="Q124" s="360"/>
      <c r="R124" s="360"/>
      <c r="S124" s="360"/>
    </row>
    <row r="125" spans="4:19">
      <c r="D125" s="360"/>
      <c r="E125" s="360"/>
      <c r="F125" s="360"/>
      <c r="G125" s="360"/>
      <c r="H125" s="360"/>
      <c r="I125" s="360"/>
      <c r="J125" s="360"/>
      <c r="K125" s="360"/>
      <c r="L125" s="360"/>
      <c r="M125" s="360"/>
      <c r="N125" s="360"/>
      <c r="O125" s="360"/>
      <c r="P125" s="359"/>
      <c r="Q125" s="360"/>
      <c r="R125" s="360"/>
      <c r="S125" s="360"/>
    </row>
    <row r="126" spans="4:19">
      <c r="D126" s="360"/>
      <c r="E126" s="360"/>
      <c r="F126" s="360"/>
      <c r="G126" s="360"/>
      <c r="H126" s="360"/>
      <c r="I126" s="360"/>
      <c r="J126" s="360"/>
      <c r="K126" s="360"/>
      <c r="L126" s="360"/>
      <c r="M126" s="360"/>
      <c r="N126" s="360"/>
      <c r="O126" s="360"/>
      <c r="P126" s="359"/>
      <c r="Q126" s="360"/>
      <c r="R126" s="360"/>
      <c r="S126" s="360"/>
    </row>
    <row r="127" spans="4:19">
      <c r="D127" s="360"/>
      <c r="E127" s="360"/>
      <c r="F127" s="360"/>
      <c r="G127" s="360"/>
      <c r="H127" s="360"/>
      <c r="I127" s="360"/>
      <c r="J127" s="360"/>
      <c r="K127" s="360"/>
      <c r="L127" s="360"/>
      <c r="M127" s="360"/>
      <c r="N127" s="360"/>
      <c r="O127" s="360"/>
      <c r="P127" s="359"/>
      <c r="Q127" s="360"/>
      <c r="R127" s="360"/>
      <c r="S127" s="360"/>
    </row>
    <row r="128" spans="4:19">
      <c r="D128" s="360"/>
      <c r="E128" s="360"/>
      <c r="F128" s="360"/>
      <c r="G128" s="360"/>
      <c r="H128" s="360"/>
      <c r="I128" s="360"/>
      <c r="J128" s="360"/>
      <c r="K128" s="360"/>
      <c r="L128" s="360"/>
      <c r="M128" s="360"/>
      <c r="N128" s="360"/>
      <c r="O128" s="360"/>
      <c r="P128" s="359"/>
      <c r="Q128" s="360"/>
      <c r="R128" s="360"/>
      <c r="S128" s="360"/>
    </row>
    <row r="129" spans="4:19">
      <c r="D129" s="360"/>
      <c r="E129" s="360"/>
      <c r="F129" s="360"/>
      <c r="G129" s="360"/>
      <c r="H129" s="360"/>
      <c r="I129" s="360"/>
      <c r="J129" s="360"/>
      <c r="K129" s="360"/>
      <c r="L129" s="360"/>
      <c r="M129" s="360"/>
      <c r="N129" s="360"/>
      <c r="O129" s="360"/>
      <c r="P129" s="359"/>
      <c r="Q129" s="360"/>
      <c r="R129" s="360"/>
      <c r="S129" s="360"/>
    </row>
    <row r="130" spans="4:19">
      <c r="D130" s="360"/>
      <c r="E130" s="360"/>
      <c r="F130" s="360"/>
      <c r="G130" s="360"/>
      <c r="H130" s="360"/>
      <c r="I130" s="360"/>
      <c r="J130" s="360"/>
      <c r="K130" s="360"/>
      <c r="L130" s="360"/>
      <c r="M130" s="360"/>
      <c r="N130" s="360"/>
      <c r="O130" s="360"/>
      <c r="P130" s="359"/>
      <c r="Q130" s="360"/>
      <c r="R130" s="360"/>
      <c r="S130" s="360"/>
    </row>
    <row r="131" spans="4:19">
      <c r="D131" s="360"/>
      <c r="E131" s="360"/>
      <c r="F131" s="360"/>
      <c r="G131" s="360"/>
      <c r="H131" s="360"/>
      <c r="I131" s="360"/>
      <c r="J131" s="360"/>
      <c r="K131" s="360"/>
      <c r="L131" s="360"/>
      <c r="M131" s="360"/>
      <c r="N131" s="360"/>
      <c r="O131" s="360"/>
      <c r="P131" s="359"/>
      <c r="Q131" s="360"/>
      <c r="R131" s="360"/>
      <c r="S131" s="360"/>
    </row>
    <row r="132" spans="4:19">
      <c r="D132" s="360"/>
      <c r="E132" s="360"/>
      <c r="F132" s="360"/>
      <c r="G132" s="360"/>
      <c r="H132" s="360"/>
      <c r="I132" s="360"/>
      <c r="J132" s="360"/>
      <c r="K132" s="360"/>
      <c r="L132" s="360"/>
      <c r="M132" s="360"/>
      <c r="N132" s="360"/>
      <c r="O132" s="360"/>
      <c r="P132" s="359"/>
      <c r="Q132" s="360"/>
      <c r="R132" s="360"/>
      <c r="S132" s="360"/>
    </row>
    <row r="133" spans="4:19">
      <c r="D133" s="360"/>
      <c r="E133" s="360"/>
      <c r="F133" s="360"/>
      <c r="G133" s="360"/>
      <c r="H133" s="360"/>
      <c r="I133" s="360"/>
      <c r="J133" s="360"/>
      <c r="K133" s="360"/>
      <c r="L133" s="360"/>
      <c r="M133" s="360"/>
      <c r="N133" s="360"/>
      <c r="O133" s="360"/>
      <c r="P133" s="359"/>
      <c r="Q133" s="360"/>
      <c r="R133" s="360"/>
      <c r="S133" s="360"/>
    </row>
    <row r="134" spans="4:19">
      <c r="D134" s="360"/>
      <c r="E134" s="360"/>
      <c r="F134" s="360"/>
      <c r="G134" s="360"/>
      <c r="H134" s="360"/>
      <c r="I134" s="360"/>
      <c r="J134" s="360"/>
      <c r="K134" s="360"/>
      <c r="L134" s="360"/>
      <c r="M134" s="360"/>
      <c r="N134" s="360"/>
      <c r="O134" s="360"/>
      <c r="P134" s="359"/>
      <c r="Q134" s="360"/>
      <c r="R134" s="360"/>
      <c r="S134" s="360"/>
    </row>
    <row r="135" spans="4:19">
      <c r="D135" s="360"/>
      <c r="E135" s="360"/>
      <c r="F135" s="360"/>
      <c r="G135" s="360"/>
      <c r="H135" s="360"/>
      <c r="I135" s="360"/>
      <c r="J135" s="360"/>
      <c r="K135" s="360"/>
      <c r="L135" s="360"/>
      <c r="M135" s="360"/>
      <c r="N135" s="360"/>
      <c r="O135" s="360"/>
      <c r="P135" s="359"/>
      <c r="Q135" s="360"/>
      <c r="R135" s="360"/>
      <c r="S135" s="360"/>
    </row>
    <row r="136" spans="4:19">
      <c r="D136" s="360"/>
      <c r="E136" s="360"/>
      <c r="F136" s="360"/>
      <c r="G136" s="360"/>
      <c r="H136" s="360"/>
      <c r="I136" s="360"/>
      <c r="J136" s="360"/>
      <c r="K136" s="360"/>
      <c r="L136" s="360"/>
      <c r="M136" s="360"/>
      <c r="N136" s="360"/>
      <c r="O136" s="360"/>
      <c r="P136" s="359"/>
      <c r="Q136" s="360"/>
      <c r="R136" s="360"/>
      <c r="S136" s="360"/>
    </row>
    <row r="137" spans="4:19">
      <c r="D137" s="360"/>
      <c r="E137" s="360"/>
      <c r="F137" s="360"/>
      <c r="G137" s="360"/>
      <c r="H137" s="360"/>
      <c r="I137" s="360"/>
      <c r="J137" s="360"/>
      <c r="K137" s="360"/>
      <c r="L137" s="360"/>
      <c r="M137" s="360"/>
      <c r="N137" s="360"/>
      <c r="O137" s="360"/>
      <c r="P137" s="359"/>
      <c r="Q137" s="360"/>
      <c r="R137" s="360"/>
      <c r="S137" s="360"/>
    </row>
    <row r="138" spans="4:19">
      <c r="D138" s="360"/>
      <c r="E138" s="360"/>
      <c r="F138" s="360"/>
      <c r="G138" s="360"/>
      <c r="H138" s="360"/>
      <c r="I138" s="360"/>
      <c r="J138" s="360"/>
      <c r="K138" s="360"/>
      <c r="L138" s="360"/>
      <c r="M138" s="360"/>
      <c r="N138" s="360"/>
      <c r="O138" s="360"/>
      <c r="P138" s="359"/>
      <c r="Q138" s="360"/>
      <c r="R138" s="360"/>
      <c r="S138" s="360"/>
    </row>
    <row r="139" spans="4:19">
      <c r="D139" s="360"/>
      <c r="E139" s="360"/>
      <c r="F139" s="360"/>
      <c r="G139" s="360"/>
      <c r="H139" s="360"/>
      <c r="I139" s="360"/>
      <c r="J139" s="360"/>
      <c r="K139" s="360"/>
      <c r="L139" s="360"/>
      <c r="M139" s="360"/>
      <c r="N139" s="360"/>
      <c r="O139" s="360"/>
      <c r="P139" s="359"/>
      <c r="Q139" s="360"/>
      <c r="R139" s="360"/>
      <c r="S139" s="360"/>
    </row>
    <row r="140" spans="4:19">
      <c r="D140" s="360"/>
      <c r="E140" s="360"/>
      <c r="F140" s="360"/>
      <c r="G140" s="360"/>
      <c r="H140" s="360"/>
      <c r="I140" s="360"/>
      <c r="J140" s="360"/>
      <c r="K140" s="360"/>
      <c r="L140" s="360"/>
      <c r="M140" s="360"/>
      <c r="N140" s="360"/>
      <c r="O140" s="360"/>
      <c r="P140" s="359"/>
      <c r="Q140" s="360"/>
      <c r="R140" s="360"/>
      <c r="S140" s="360"/>
    </row>
    <row r="141" spans="4:19">
      <c r="D141" s="360"/>
      <c r="E141" s="360"/>
      <c r="F141" s="360"/>
      <c r="G141" s="360"/>
      <c r="H141" s="360"/>
      <c r="I141" s="360"/>
      <c r="J141" s="360"/>
      <c r="K141" s="360"/>
      <c r="L141" s="360"/>
      <c r="M141" s="360"/>
      <c r="N141" s="360"/>
      <c r="O141" s="360"/>
      <c r="P141" s="359"/>
      <c r="Q141" s="360"/>
      <c r="R141" s="360"/>
      <c r="S141" s="360"/>
    </row>
    <row r="142" spans="4:19">
      <c r="D142" s="360"/>
      <c r="E142" s="360"/>
      <c r="F142" s="360"/>
      <c r="G142" s="360"/>
      <c r="H142" s="360"/>
      <c r="I142" s="360"/>
      <c r="J142" s="360"/>
      <c r="K142" s="360"/>
      <c r="L142" s="360"/>
      <c r="M142" s="360"/>
      <c r="N142" s="360"/>
      <c r="O142" s="360"/>
      <c r="P142" s="359"/>
      <c r="Q142" s="360"/>
      <c r="R142" s="360"/>
      <c r="S142" s="360"/>
    </row>
    <row r="143" spans="4:19">
      <c r="D143" s="360"/>
      <c r="E143" s="360"/>
      <c r="F143" s="360"/>
      <c r="G143" s="360"/>
      <c r="H143" s="360"/>
      <c r="I143" s="360"/>
      <c r="J143" s="360"/>
      <c r="K143" s="360"/>
      <c r="L143" s="360"/>
      <c r="M143" s="360"/>
      <c r="N143" s="360"/>
      <c r="O143" s="360"/>
      <c r="P143" s="359"/>
      <c r="Q143" s="360"/>
      <c r="R143" s="360"/>
      <c r="S143" s="360"/>
    </row>
    <row r="144" spans="4:19">
      <c r="D144" s="360"/>
      <c r="E144" s="360"/>
      <c r="F144" s="360"/>
      <c r="G144" s="360"/>
      <c r="H144" s="360"/>
      <c r="I144" s="360"/>
      <c r="J144" s="360"/>
      <c r="K144" s="360"/>
      <c r="L144" s="360"/>
      <c r="M144" s="360"/>
      <c r="N144" s="360"/>
      <c r="O144" s="360"/>
      <c r="P144" s="359"/>
      <c r="Q144" s="360"/>
      <c r="R144" s="360"/>
      <c r="S144" s="360"/>
    </row>
    <row r="145" spans="4:19">
      <c r="D145" s="360"/>
      <c r="E145" s="360"/>
      <c r="F145" s="360"/>
      <c r="G145" s="360"/>
      <c r="H145" s="360"/>
      <c r="I145" s="360"/>
      <c r="J145" s="360"/>
      <c r="K145" s="360"/>
      <c r="L145" s="360"/>
      <c r="M145" s="360"/>
      <c r="N145" s="360"/>
      <c r="O145" s="360"/>
      <c r="P145" s="359"/>
      <c r="Q145" s="360"/>
      <c r="R145" s="360"/>
      <c r="S145" s="360"/>
    </row>
    <row r="146" spans="4:19">
      <c r="D146" s="360"/>
      <c r="E146" s="360"/>
      <c r="F146" s="360"/>
      <c r="G146" s="360"/>
      <c r="H146" s="360"/>
      <c r="I146" s="360"/>
      <c r="J146" s="360"/>
      <c r="K146" s="360"/>
      <c r="L146" s="360"/>
      <c r="M146" s="360"/>
      <c r="N146" s="360"/>
      <c r="O146" s="360"/>
      <c r="P146" s="359"/>
      <c r="Q146" s="360"/>
      <c r="R146" s="360"/>
      <c r="S146" s="360"/>
    </row>
    <row r="147" spans="4:19">
      <c r="D147" s="360"/>
      <c r="E147" s="360"/>
      <c r="F147" s="360"/>
      <c r="G147" s="360"/>
      <c r="H147" s="360"/>
      <c r="I147" s="360"/>
      <c r="J147" s="360"/>
      <c r="K147" s="360"/>
      <c r="L147" s="360"/>
      <c r="M147" s="360"/>
      <c r="N147" s="360"/>
      <c r="O147" s="360"/>
      <c r="P147" s="359"/>
      <c r="Q147" s="360"/>
      <c r="R147" s="360"/>
      <c r="S147" s="360"/>
    </row>
    <row r="148" spans="4:19">
      <c r="D148" s="360"/>
      <c r="E148" s="360"/>
      <c r="F148" s="360"/>
      <c r="G148" s="360"/>
      <c r="H148" s="360"/>
      <c r="I148" s="360"/>
      <c r="J148" s="360"/>
      <c r="K148" s="360"/>
      <c r="L148" s="360"/>
      <c r="M148" s="360"/>
      <c r="N148" s="360"/>
      <c r="O148" s="360"/>
      <c r="P148" s="359"/>
      <c r="Q148" s="360"/>
      <c r="R148" s="360"/>
      <c r="S148" s="360"/>
    </row>
    <row r="149" spans="4:19">
      <c r="D149" s="360"/>
      <c r="E149" s="360"/>
      <c r="F149" s="360"/>
      <c r="G149" s="360"/>
      <c r="H149" s="360"/>
      <c r="I149" s="360"/>
      <c r="J149" s="360"/>
      <c r="K149" s="360"/>
      <c r="L149" s="360"/>
      <c r="M149" s="360"/>
      <c r="N149" s="360"/>
      <c r="O149" s="360"/>
      <c r="P149" s="359"/>
      <c r="Q149" s="360"/>
      <c r="R149" s="360"/>
      <c r="S149" s="360"/>
    </row>
    <row r="150" spans="4:19">
      <c r="D150" s="360"/>
      <c r="E150" s="360"/>
      <c r="F150" s="360"/>
      <c r="G150" s="360"/>
      <c r="H150" s="360"/>
      <c r="I150" s="360"/>
      <c r="J150" s="360"/>
      <c r="K150" s="360"/>
      <c r="L150" s="360"/>
      <c r="M150" s="360"/>
      <c r="N150" s="360"/>
      <c r="O150" s="360"/>
      <c r="P150" s="359"/>
      <c r="Q150" s="360"/>
      <c r="R150" s="360"/>
      <c r="S150" s="360"/>
    </row>
    <row r="151" spans="4:19">
      <c r="D151" s="360"/>
      <c r="E151" s="360"/>
      <c r="F151" s="360"/>
      <c r="G151" s="360"/>
      <c r="H151" s="360"/>
      <c r="I151" s="360"/>
      <c r="J151" s="360"/>
      <c r="K151" s="360"/>
      <c r="L151" s="360"/>
      <c r="M151" s="360"/>
      <c r="N151" s="360"/>
      <c r="O151" s="360"/>
      <c r="P151" s="359"/>
      <c r="Q151" s="360"/>
      <c r="R151" s="360"/>
      <c r="S151" s="360"/>
    </row>
    <row r="152" spans="4:19">
      <c r="D152" s="360"/>
      <c r="E152" s="360"/>
      <c r="F152" s="360"/>
      <c r="G152" s="360"/>
      <c r="H152" s="360"/>
      <c r="I152" s="360"/>
      <c r="J152" s="360"/>
      <c r="K152" s="360"/>
      <c r="L152" s="360"/>
      <c r="M152" s="360"/>
      <c r="N152" s="360"/>
      <c r="O152" s="360"/>
      <c r="P152" s="359"/>
      <c r="Q152" s="360"/>
      <c r="R152" s="360"/>
      <c r="S152" s="360"/>
    </row>
    <row r="153" spans="4:19">
      <c r="D153" s="360"/>
      <c r="E153" s="360"/>
      <c r="F153" s="360"/>
      <c r="G153" s="360"/>
      <c r="H153" s="360"/>
      <c r="I153" s="360"/>
      <c r="J153" s="360"/>
      <c r="K153" s="360"/>
      <c r="L153" s="360"/>
      <c r="M153" s="360"/>
      <c r="N153" s="360"/>
      <c r="O153" s="360"/>
      <c r="P153" s="359"/>
      <c r="Q153" s="360"/>
      <c r="R153" s="360"/>
      <c r="S153" s="360"/>
    </row>
    <row r="154" spans="4:19">
      <c r="D154" s="360"/>
      <c r="E154" s="360"/>
      <c r="F154" s="360"/>
      <c r="G154" s="360"/>
      <c r="H154" s="360"/>
      <c r="I154" s="360"/>
      <c r="J154" s="360"/>
      <c r="K154" s="360"/>
      <c r="L154" s="360"/>
      <c r="M154" s="360"/>
      <c r="N154" s="360"/>
      <c r="O154" s="360"/>
      <c r="P154" s="359"/>
      <c r="Q154" s="360"/>
      <c r="R154" s="360"/>
      <c r="S154" s="360"/>
    </row>
    <row r="155" spans="4:19">
      <c r="D155" s="360"/>
      <c r="E155" s="360"/>
      <c r="F155" s="360"/>
      <c r="G155" s="360"/>
      <c r="H155" s="360"/>
      <c r="I155" s="360"/>
      <c r="J155" s="360"/>
      <c r="K155" s="360"/>
      <c r="L155" s="360"/>
      <c r="M155" s="360"/>
      <c r="N155" s="360"/>
      <c r="O155" s="360"/>
      <c r="P155" s="359"/>
      <c r="Q155" s="360"/>
      <c r="R155" s="360"/>
      <c r="S155" s="360"/>
    </row>
    <row r="156" spans="4:19">
      <c r="D156" s="360"/>
      <c r="E156" s="360"/>
      <c r="F156" s="360"/>
      <c r="G156" s="360"/>
      <c r="H156" s="360"/>
      <c r="I156" s="360"/>
      <c r="J156" s="360"/>
      <c r="K156" s="360"/>
      <c r="L156" s="360"/>
      <c r="M156" s="360"/>
      <c r="N156" s="360"/>
      <c r="O156" s="360"/>
      <c r="P156" s="359"/>
      <c r="Q156" s="360"/>
      <c r="R156" s="360"/>
      <c r="S156" s="360"/>
    </row>
    <row r="157" spans="4:19">
      <c r="D157" s="360"/>
      <c r="E157" s="360"/>
      <c r="F157" s="360"/>
      <c r="G157" s="360"/>
      <c r="H157" s="360"/>
      <c r="I157" s="360"/>
      <c r="J157" s="360"/>
      <c r="K157" s="360"/>
      <c r="L157" s="360"/>
      <c r="M157" s="360"/>
      <c r="N157" s="360"/>
      <c r="O157" s="360"/>
      <c r="P157" s="359"/>
      <c r="Q157" s="360"/>
      <c r="R157" s="360"/>
      <c r="S157" s="360"/>
    </row>
    <row r="158" spans="4:19">
      <c r="D158" s="360"/>
      <c r="E158" s="360"/>
      <c r="F158" s="360"/>
      <c r="G158" s="360"/>
      <c r="H158" s="360"/>
      <c r="I158" s="360"/>
      <c r="J158" s="360"/>
      <c r="K158" s="360"/>
      <c r="L158" s="360"/>
      <c r="M158" s="360"/>
      <c r="N158" s="360"/>
      <c r="O158" s="360"/>
      <c r="P158" s="359"/>
      <c r="Q158" s="360"/>
      <c r="R158" s="360"/>
      <c r="S158" s="360"/>
    </row>
    <row r="159" spans="4:19">
      <c r="D159" s="360"/>
      <c r="E159" s="360"/>
      <c r="F159" s="360"/>
      <c r="G159" s="360"/>
      <c r="H159" s="360"/>
      <c r="I159" s="360"/>
      <c r="J159" s="360"/>
      <c r="K159" s="360"/>
      <c r="L159" s="360"/>
      <c r="M159" s="360"/>
      <c r="N159" s="360"/>
      <c r="O159" s="360"/>
      <c r="P159" s="359"/>
      <c r="Q159" s="360"/>
      <c r="R159" s="360"/>
      <c r="S159" s="360"/>
    </row>
    <row r="160" spans="4:19">
      <c r="D160" s="360"/>
      <c r="E160" s="360"/>
      <c r="F160" s="360"/>
      <c r="G160" s="360"/>
      <c r="H160" s="360"/>
      <c r="I160" s="360"/>
      <c r="J160" s="360"/>
      <c r="K160" s="360"/>
      <c r="L160" s="360"/>
      <c r="M160" s="360"/>
      <c r="N160" s="360"/>
      <c r="O160" s="360"/>
      <c r="P160" s="359"/>
      <c r="Q160" s="360"/>
      <c r="R160" s="360"/>
      <c r="S160" s="360"/>
    </row>
    <row r="161" spans="4:19">
      <c r="D161" s="360"/>
      <c r="E161" s="360"/>
      <c r="F161" s="360"/>
      <c r="G161" s="360"/>
      <c r="H161" s="360"/>
      <c r="I161" s="360"/>
      <c r="J161" s="360"/>
      <c r="K161" s="360"/>
      <c r="L161" s="360"/>
      <c r="M161" s="360"/>
      <c r="N161" s="360"/>
      <c r="O161" s="360"/>
      <c r="P161" s="359"/>
      <c r="Q161" s="360"/>
      <c r="R161" s="360"/>
      <c r="S161" s="360"/>
    </row>
    <row r="162" spans="4:19">
      <c r="D162" s="360"/>
      <c r="E162" s="360"/>
      <c r="F162" s="360"/>
      <c r="G162" s="360"/>
      <c r="H162" s="360"/>
      <c r="I162" s="360"/>
      <c r="J162" s="360"/>
      <c r="K162" s="360"/>
      <c r="L162" s="360"/>
      <c r="M162" s="360"/>
      <c r="N162" s="360"/>
      <c r="O162" s="360"/>
      <c r="P162" s="359"/>
      <c r="Q162" s="360"/>
      <c r="R162" s="360"/>
      <c r="S162" s="360"/>
    </row>
    <row r="163" spans="4:19">
      <c r="D163" s="360"/>
      <c r="E163" s="360"/>
      <c r="F163" s="360"/>
      <c r="G163" s="360"/>
      <c r="H163" s="360"/>
      <c r="I163" s="360"/>
      <c r="J163" s="360"/>
      <c r="K163" s="360"/>
      <c r="L163" s="360"/>
      <c r="M163" s="360"/>
      <c r="N163" s="360"/>
      <c r="O163" s="360"/>
      <c r="P163" s="359"/>
      <c r="Q163" s="360"/>
      <c r="R163" s="360"/>
      <c r="S163" s="360"/>
    </row>
    <row r="164" spans="4:19">
      <c r="D164" s="360"/>
      <c r="E164" s="360"/>
      <c r="F164" s="360"/>
      <c r="G164" s="360"/>
      <c r="H164" s="360"/>
      <c r="I164" s="360"/>
      <c r="J164" s="360"/>
      <c r="K164" s="360"/>
      <c r="L164" s="360"/>
      <c r="M164" s="360"/>
      <c r="N164" s="360"/>
      <c r="O164" s="360"/>
      <c r="P164" s="359"/>
      <c r="Q164" s="360"/>
      <c r="R164" s="360"/>
      <c r="S164" s="360"/>
    </row>
    <row r="165" spans="4:19">
      <c r="D165" s="360"/>
      <c r="E165" s="360"/>
      <c r="F165" s="360"/>
      <c r="G165" s="360"/>
      <c r="H165" s="360"/>
      <c r="I165" s="360"/>
      <c r="J165" s="360"/>
      <c r="K165" s="360"/>
      <c r="L165" s="360"/>
      <c r="M165" s="360"/>
      <c r="N165" s="360"/>
      <c r="O165" s="360"/>
      <c r="P165" s="359"/>
      <c r="Q165" s="360"/>
      <c r="R165" s="360"/>
      <c r="S165" s="360"/>
    </row>
    <row r="166" spans="4:19">
      <c r="D166" s="360"/>
      <c r="E166" s="360"/>
      <c r="F166" s="360"/>
      <c r="G166" s="360"/>
      <c r="H166" s="360"/>
      <c r="I166" s="360"/>
      <c r="J166" s="360"/>
      <c r="K166" s="360"/>
      <c r="L166" s="360"/>
      <c r="M166" s="360"/>
      <c r="N166" s="360"/>
      <c r="O166" s="360"/>
      <c r="P166" s="359"/>
      <c r="Q166" s="360"/>
      <c r="R166" s="360"/>
      <c r="S166" s="360"/>
    </row>
    <row r="167" spans="4:19">
      <c r="D167" s="360"/>
      <c r="E167" s="360"/>
      <c r="F167" s="360"/>
      <c r="G167" s="360"/>
      <c r="H167" s="360"/>
      <c r="I167" s="360"/>
      <c r="J167" s="360"/>
      <c r="K167" s="360"/>
      <c r="L167" s="360"/>
      <c r="M167" s="360"/>
      <c r="N167" s="360"/>
      <c r="O167" s="360"/>
      <c r="P167" s="359"/>
      <c r="Q167" s="360"/>
      <c r="R167" s="360"/>
      <c r="S167" s="360"/>
    </row>
    <row r="168" spans="4:19">
      <c r="D168" s="360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359"/>
      <c r="Q168" s="360"/>
      <c r="R168" s="360"/>
      <c r="S168" s="360"/>
    </row>
    <row r="169" spans="4:19">
      <c r="D169" s="360"/>
      <c r="E169" s="360"/>
      <c r="F169" s="360"/>
      <c r="G169" s="360"/>
      <c r="H169" s="360"/>
      <c r="I169" s="360"/>
      <c r="J169" s="360"/>
      <c r="K169" s="360"/>
      <c r="L169" s="360"/>
      <c r="M169" s="360"/>
      <c r="N169" s="360"/>
      <c r="O169" s="360"/>
      <c r="P169" s="359"/>
      <c r="Q169" s="360"/>
      <c r="R169" s="360"/>
      <c r="S169" s="360"/>
    </row>
    <row r="170" spans="4:19">
      <c r="D170" s="360"/>
      <c r="E170" s="360"/>
      <c r="F170" s="360"/>
      <c r="G170" s="360"/>
      <c r="H170" s="360"/>
      <c r="I170" s="360"/>
      <c r="J170" s="360"/>
      <c r="K170" s="360"/>
      <c r="L170" s="360"/>
      <c r="M170" s="360"/>
      <c r="N170" s="360"/>
      <c r="O170" s="360"/>
      <c r="P170" s="359"/>
      <c r="Q170" s="360"/>
      <c r="R170" s="360"/>
      <c r="S170" s="360"/>
    </row>
    <row r="171" spans="4:19">
      <c r="D171" s="360"/>
      <c r="E171" s="360"/>
      <c r="F171" s="360"/>
      <c r="G171" s="360"/>
      <c r="H171" s="360"/>
      <c r="I171" s="360"/>
      <c r="J171" s="360"/>
      <c r="K171" s="360"/>
      <c r="L171" s="360"/>
      <c r="M171" s="360"/>
      <c r="N171" s="360"/>
      <c r="O171" s="360"/>
      <c r="P171" s="359"/>
      <c r="Q171" s="360"/>
      <c r="R171" s="360"/>
      <c r="S171" s="360"/>
    </row>
    <row r="172" spans="4:19">
      <c r="D172" s="360"/>
      <c r="E172" s="360"/>
      <c r="F172" s="360"/>
      <c r="G172" s="360"/>
      <c r="H172" s="360"/>
      <c r="I172" s="360"/>
      <c r="J172" s="360"/>
      <c r="K172" s="360"/>
      <c r="L172" s="360"/>
      <c r="M172" s="360"/>
      <c r="N172" s="360"/>
      <c r="O172" s="360"/>
      <c r="P172" s="359"/>
      <c r="Q172" s="360"/>
      <c r="R172" s="360"/>
      <c r="S172" s="360"/>
    </row>
    <row r="173" spans="4:19">
      <c r="D173" s="360"/>
      <c r="E173" s="360"/>
      <c r="F173" s="360"/>
      <c r="G173" s="360"/>
      <c r="H173" s="360"/>
      <c r="I173" s="360"/>
      <c r="J173" s="360"/>
      <c r="K173" s="360"/>
      <c r="L173" s="360"/>
      <c r="M173" s="360"/>
      <c r="N173" s="360"/>
      <c r="O173" s="360"/>
      <c r="P173" s="359"/>
      <c r="Q173" s="360"/>
      <c r="R173" s="360"/>
      <c r="S173" s="360"/>
    </row>
    <row r="174" spans="4:19">
      <c r="D174" s="360"/>
      <c r="E174" s="360"/>
      <c r="F174" s="360"/>
      <c r="G174" s="360"/>
      <c r="H174" s="360"/>
      <c r="I174" s="360"/>
      <c r="J174" s="360"/>
      <c r="K174" s="360"/>
      <c r="L174" s="360"/>
      <c r="M174" s="360"/>
      <c r="N174" s="360"/>
      <c r="O174" s="360"/>
      <c r="P174" s="359"/>
      <c r="Q174" s="360"/>
      <c r="R174" s="360"/>
      <c r="S174" s="360"/>
    </row>
    <row r="175" spans="4:19">
      <c r="D175" s="360"/>
      <c r="E175" s="360"/>
      <c r="F175" s="360"/>
      <c r="G175" s="360"/>
      <c r="H175" s="360"/>
      <c r="I175" s="360"/>
      <c r="J175" s="360"/>
      <c r="K175" s="360"/>
      <c r="L175" s="360"/>
      <c r="M175" s="360"/>
      <c r="N175" s="360"/>
      <c r="O175" s="360"/>
      <c r="P175" s="359"/>
      <c r="Q175" s="360"/>
      <c r="R175" s="360"/>
      <c r="S175" s="360"/>
    </row>
    <row r="176" spans="4:19">
      <c r="D176" s="360"/>
      <c r="E176" s="360"/>
      <c r="F176" s="360"/>
      <c r="G176" s="360"/>
      <c r="H176" s="360"/>
      <c r="I176" s="360"/>
      <c r="J176" s="360"/>
      <c r="K176" s="360"/>
      <c r="L176" s="360"/>
      <c r="M176" s="360"/>
      <c r="N176" s="360"/>
      <c r="O176" s="360"/>
      <c r="P176" s="359"/>
      <c r="Q176" s="360"/>
      <c r="R176" s="360"/>
      <c r="S176" s="360"/>
    </row>
    <row r="177" spans="4:19">
      <c r="D177" s="360"/>
      <c r="E177" s="360"/>
      <c r="F177" s="360"/>
      <c r="G177" s="360"/>
      <c r="H177" s="360"/>
      <c r="I177" s="360"/>
      <c r="J177" s="360"/>
      <c r="K177" s="360"/>
      <c r="L177" s="360"/>
      <c r="M177" s="360"/>
      <c r="N177" s="360"/>
      <c r="O177" s="360"/>
      <c r="P177" s="359"/>
      <c r="Q177" s="360"/>
      <c r="R177" s="360"/>
      <c r="S177" s="360"/>
    </row>
    <row r="178" spans="4:19">
      <c r="D178" s="360"/>
      <c r="E178" s="360"/>
      <c r="F178" s="360"/>
      <c r="G178" s="360"/>
      <c r="H178" s="360"/>
      <c r="I178" s="360"/>
      <c r="J178" s="360"/>
      <c r="K178" s="360"/>
      <c r="L178" s="360"/>
      <c r="M178" s="360"/>
      <c r="N178" s="360"/>
      <c r="O178" s="360"/>
      <c r="P178" s="359"/>
      <c r="Q178" s="360"/>
      <c r="R178" s="360"/>
      <c r="S178" s="360"/>
    </row>
    <row r="179" spans="4:19">
      <c r="D179" s="360"/>
      <c r="E179" s="360"/>
      <c r="F179" s="360"/>
      <c r="G179" s="360"/>
      <c r="H179" s="360"/>
      <c r="I179" s="360"/>
      <c r="J179" s="360"/>
      <c r="K179" s="360"/>
      <c r="L179" s="360"/>
      <c r="M179" s="360"/>
      <c r="N179" s="360"/>
      <c r="O179" s="360"/>
      <c r="P179" s="359"/>
      <c r="Q179" s="360"/>
      <c r="R179" s="360"/>
      <c r="S179" s="360"/>
    </row>
    <row r="180" spans="4:19">
      <c r="D180" s="360"/>
      <c r="E180" s="360"/>
      <c r="F180" s="360"/>
      <c r="G180" s="360"/>
      <c r="H180" s="360"/>
      <c r="I180" s="360"/>
      <c r="J180" s="360"/>
      <c r="K180" s="360"/>
      <c r="L180" s="360"/>
      <c r="M180" s="360"/>
      <c r="N180" s="360"/>
      <c r="O180" s="360"/>
      <c r="P180" s="359"/>
      <c r="Q180" s="360"/>
      <c r="R180" s="360"/>
      <c r="S180" s="360"/>
    </row>
    <row r="181" spans="4:19">
      <c r="D181" s="360"/>
      <c r="E181" s="360"/>
      <c r="F181" s="360"/>
      <c r="G181" s="360"/>
      <c r="H181" s="360"/>
      <c r="I181" s="360"/>
      <c r="J181" s="360"/>
      <c r="K181" s="360"/>
      <c r="L181" s="360"/>
      <c r="M181" s="360"/>
      <c r="N181" s="360"/>
      <c r="O181" s="360"/>
      <c r="P181" s="359"/>
      <c r="Q181" s="360"/>
      <c r="R181" s="360"/>
      <c r="S181" s="360"/>
    </row>
    <row r="182" spans="4:19">
      <c r="D182" s="360"/>
      <c r="E182" s="360"/>
      <c r="F182" s="360"/>
      <c r="G182" s="360"/>
      <c r="H182" s="360"/>
      <c r="I182" s="360"/>
      <c r="J182" s="360"/>
      <c r="K182" s="360"/>
      <c r="L182" s="360"/>
      <c r="M182" s="360"/>
      <c r="N182" s="360"/>
      <c r="O182" s="360"/>
      <c r="P182" s="359"/>
      <c r="Q182" s="360"/>
      <c r="R182" s="360"/>
      <c r="S182" s="360"/>
    </row>
    <row r="183" spans="4:19">
      <c r="D183" s="360"/>
      <c r="E183" s="360"/>
      <c r="F183" s="360"/>
      <c r="G183" s="360"/>
      <c r="H183" s="360"/>
      <c r="I183" s="360"/>
      <c r="J183" s="360"/>
      <c r="K183" s="360"/>
      <c r="L183" s="360"/>
      <c r="M183" s="360"/>
      <c r="N183" s="360"/>
      <c r="O183" s="360"/>
      <c r="P183" s="359"/>
      <c r="Q183" s="360"/>
      <c r="R183" s="360"/>
      <c r="S183" s="360"/>
    </row>
    <row r="184" spans="4:19">
      <c r="D184" s="360"/>
      <c r="E184" s="360"/>
      <c r="F184" s="360"/>
      <c r="G184" s="360"/>
      <c r="H184" s="360"/>
      <c r="I184" s="360"/>
      <c r="J184" s="360"/>
      <c r="K184" s="360"/>
      <c r="L184" s="360"/>
      <c r="M184" s="360"/>
      <c r="N184" s="360"/>
      <c r="O184" s="360"/>
      <c r="P184" s="359"/>
      <c r="Q184" s="360"/>
      <c r="R184" s="360"/>
      <c r="S184" s="360"/>
    </row>
    <row r="185" spans="4:19">
      <c r="D185" s="360"/>
      <c r="E185" s="360"/>
      <c r="F185" s="360"/>
      <c r="G185" s="360"/>
      <c r="H185" s="360"/>
      <c r="I185" s="360"/>
      <c r="J185" s="360"/>
      <c r="K185" s="360"/>
      <c r="L185" s="360"/>
      <c r="M185" s="360"/>
      <c r="N185" s="360"/>
      <c r="O185" s="360"/>
      <c r="P185" s="359"/>
      <c r="Q185" s="360"/>
      <c r="R185" s="360"/>
      <c r="S185" s="360"/>
    </row>
    <row r="186" spans="4:19">
      <c r="D186" s="360"/>
      <c r="E186" s="360"/>
      <c r="F186" s="360"/>
      <c r="G186" s="360"/>
      <c r="H186" s="360"/>
      <c r="I186" s="360"/>
      <c r="J186" s="360"/>
      <c r="K186" s="360"/>
      <c r="L186" s="360"/>
      <c r="M186" s="360"/>
      <c r="N186" s="360"/>
      <c r="O186" s="360"/>
      <c r="P186" s="359"/>
      <c r="Q186" s="360"/>
      <c r="R186" s="360"/>
      <c r="S186" s="360"/>
    </row>
    <row r="187" spans="4:19">
      <c r="D187" s="360"/>
      <c r="E187" s="360"/>
      <c r="F187" s="360"/>
      <c r="G187" s="360"/>
      <c r="H187" s="360"/>
      <c r="I187" s="360"/>
      <c r="J187" s="360"/>
      <c r="K187" s="360"/>
      <c r="L187" s="360"/>
      <c r="M187" s="360"/>
      <c r="N187" s="360"/>
      <c r="O187" s="360"/>
      <c r="P187" s="359"/>
      <c r="Q187" s="360"/>
      <c r="R187" s="360"/>
      <c r="S187" s="360"/>
    </row>
    <row r="188" spans="4:19"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59"/>
      <c r="Q188" s="360"/>
      <c r="R188" s="360"/>
      <c r="S188" s="360"/>
    </row>
    <row r="189" spans="4:19">
      <c r="D189" s="360"/>
      <c r="E189" s="360"/>
      <c r="F189" s="360"/>
      <c r="G189" s="360"/>
      <c r="H189" s="360"/>
      <c r="I189" s="360"/>
      <c r="J189" s="360"/>
      <c r="K189" s="360"/>
      <c r="L189" s="360"/>
      <c r="M189" s="360"/>
      <c r="N189" s="360"/>
      <c r="O189" s="360"/>
      <c r="P189" s="359"/>
      <c r="Q189" s="360"/>
      <c r="R189" s="360"/>
      <c r="S189" s="360"/>
    </row>
    <row r="190" spans="4:19">
      <c r="D190" s="360"/>
      <c r="E190" s="360"/>
      <c r="F190" s="360"/>
      <c r="G190" s="360"/>
      <c r="H190" s="360"/>
      <c r="I190" s="360"/>
      <c r="J190" s="360"/>
      <c r="K190" s="360"/>
      <c r="L190" s="360"/>
      <c r="M190" s="360"/>
      <c r="N190" s="360"/>
      <c r="O190" s="360"/>
      <c r="P190" s="359"/>
      <c r="Q190" s="360"/>
      <c r="R190" s="360"/>
      <c r="S190" s="360"/>
    </row>
    <row r="191" spans="4:19">
      <c r="D191" s="360"/>
      <c r="E191" s="360"/>
      <c r="F191" s="360"/>
      <c r="G191" s="360"/>
      <c r="H191" s="360"/>
      <c r="I191" s="360"/>
      <c r="J191" s="360"/>
      <c r="K191" s="360"/>
      <c r="L191" s="360"/>
      <c r="M191" s="360"/>
      <c r="N191" s="360"/>
      <c r="O191" s="360"/>
      <c r="P191" s="359"/>
      <c r="Q191" s="360"/>
      <c r="R191" s="360"/>
      <c r="S191" s="360"/>
    </row>
    <row r="192" spans="4:19">
      <c r="D192" s="360"/>
      <c r="E192" s="360"/>
      <c r="F192" s="360"/>
      <c r="G192" s="360"/>
      <c r="H192" s="360"/>
      <c r="I192" s="360"/>
      <c r="J192" s="360"/>
      <c r="K192" s="360"/>
      <c r="L192" s="360"/>
      <c r="M192" s="360"/>
      <c r="N192" s="360"/>
      <c r="O192" s="360"/>
      <c r="P192" s="359"/>
      <c r="Q192" s="360"/>
      <c r="R192" s="360"/>
      <c r="S192" s="360"/>
    </row>
    <row r="193" spans="4:19">
      <c r="D193" s="360"/>
      <c r="E193" s="360"/>
      <c r="F193" s="360"/>
      <c r="G193" s="360"/>
      <c r="H193" s="360"/>
      <c r="I193" s="360"/>
      <c r="J193" s="360"/>
      <c r="K193" s="360"/>
      <c r="L193" s="360"/>
      <c r="M193" s="360"/>
      <c r="N193" s="360"/>
      <c r="O193" s="360"/>
      <c r="P193" s="359"/>
      <c r="Q193" s="360"/>
      <c r="R193" s="360"/>
      <c r="S193" s="360"/>
    </row>
    <row r="194" spans="4:19">
      <c r="D194" s="360"/>
      <c r="E194" s="360"/>
      <c r="F194" s="360"/>
      <c r="G194" s="360"/>
      <c r="H194" s="360"/>
      <c r="I194" s="360"/>
      <c r="J194" s="360"/>
      <c r="K194" s="360"/>
      <c r="L194" s="360"/>
      <c r="M194" s="360"/>
      <c r="N194" s="360"/>
      <c r="O194" s="360"/>
      <c r="P194" s="359"/>
      <c r="Q194" s="360"/>
      <c r="R194" s="360"/>
      <c r="S194" s="360"/>
    </row>
    <row r="195" spans="4:19">
      <c r="D195" s="360"/>
      <c r="E195" s="360"/>
      <c r="F195" s="360"/>
      <c r="G195" s="360"/>
      <c r="H195" s="360"/>
      <c r="I195" s="360"/>
      <c r="J195" s="360"/>
      <c r="K195" s="360"/>
      <c r="L195" s="360"/>
      <c r="M195" s="360"/>
      <c r="N195" s="360"/>
      <c r="O195" s="360"/>
      <c r="P195" s="359"/>
      <c r="Q195" s="360"/>
      <c r="R195" s="360"/>
      <c r="S195" s="360"/>
    </row>
    <row r="196" spans="4:19">
      <c r="D196" s="360"/>
      <c r="E196" s="360"/>
      <c r="F196" s="360"/>
      <c r="G196" s="360"/>
      <c r="H196" s="360"/>
      <c r="I196" s="360"/>
      <c r="J196" s="360"/>
      <c r="K196" s="360"/>
      <c r="L196" s="360"/>
      <c r="M196" s="360"/>
      <c r="N196" s="360"/>
      <c r="O196" s="360"/>
      <c r="P196" s="359"/>
      <c r="Q196" s="360"/>
      <c r="R196" s="360"/>
      <c r="S196" s="360"/>
    </row>
    <row r="197" spans="4:19">
      <c r="D197" s="360"/>
      <c r="E197" s="360"/>
      <c r="F197" s="360"/>
      <c r="G197" s="360"/>
      <c r="H197" s="360"/>
      <c r="I197" s="360"/>
      <c r="J197" s="360"/>
      <c r="K197" s="360"/>
      <c r="L197" s="360"/>
      <c r="M197" s="360"/>
      <c r="N197" s="360"/>
      <c r="O197" s="360"/>
      <c r="P197" s="359"/>
      <c r="Q197" s="360"/>
      <c r="R197" s="360"/>
      <c r="S197" s="360"/>
    </row>
    <row r="198" spans="4:19">
      <c r="D198" s="360"/>
      <c r="E198" s="360"/>
      <c r="F198" s="360"/>
      <c r="G198" s="360"/>
      <c r="H198" s="360"/>
      <c r="I198" s="360"/>
      <c r="J198" s="360"/>
      <c r="K198" s="360"/>
      <c r="L198" s="360"/>
      <c r="M198" s="360"/>
      <c r="N198" s="360"/>
      <c r="O198" s="360"/>
      <c r="P198" s="359"/>
      <c r="Q198" s="360"/>
      <c r="R198" s="360"/>
      <c r="S198" s="360"/>
    </row>
    <row r="199" spans="4:19">
      <c r="D199" s="360"/>
      <c r="E199" s="360"/>
      <c r="F199" s="360"/>
      <c r="G199" s="360"/>
      <c r="H199" s="360"/>
      <c r="I199" s="360"/>
      <c r="J199" s="360"/>
      <c r="K199" s="360"/>
      <c r="L199" s="360"/>
      <c r="M199" s="360"/>
      <c r="N199" s="360"/>
      <c r="O199" s="360"/>
      <c r="P199" s="359"/>
      <c r="Q199" s="360"/>
      <c r="R199" s="360"/>
      <c r="S199" s="360"/>
    </row>
    <row r="200" spans="4:19">
      <c r="D200" s="360"/>
      <c r="E200" s="360"/>
      <c r="F200" s="360"/>
      <c r="G200" s="360"/>
      <c r="H200" s="360"/>
      <c r="I200" s="360"/>
      <c r="J200" s="360"/>
      <c r="K200" s="360"/>
      <c r="L200" s="360"/>
      <c r="M200" s="360"/>
      <c r="N200" s="360"/>
      <c r="O200" s="360"/>
      <c r="P200" s="359"/>
      <c r="Q200" s="360"/>
      <c r="R200" s="360"/>
      <c r="S200" s="360"/>
    </row>
    <row r="201" spans="4:19">
      <c r="D201" s="360"/>
      <c r="E201" s="360"/>
      <c r="F201" s="360"/>
      <c r="G201" s="360"/>
      <c r="H201" s="360"/>
      <c r="I201" s="360"/>
      <c r="J201" s="360"/>
      <c r="K201" s="360"/>
      <c r="L201" s="360"/>
      <c r="M201" s="360"/>
      <c r="N201" s="360"/>
      <c r="O201" s="360"/>
      <c r="P201" s="359"/>
      <c r="Q201" s="360"/>
      <c r="R201" s="360"/>
      <c r="S201" s="360"/>
    </row>
    <row r="202" spans="4:19">
      <c r="D202" s="360"/>
      <c r="E202" s="360"/>
      <c r="F202" s="360"/>
      <c r="G202" s="360"/>
      <c r="H202" s="360"/>
      <c r="I202" s="360"/>
      <c r="J202" s="360"/>
      <c r="K202" s="360"/>
      <c r="L202" s="360"/>
      <c r="M202" s="360"/>
      <c r="N202" s="360"/>
      <c r="O202" s="360"/>
      <c r="P202" s="359"/>
      <c r="Q202" s="360"/>
      <c r="R202" s="360"/>
      <c r="S202" s="360"/>
    </row>
    <row r="203" spans="4:19">
      <c r="D203" s="360"/>
      <c r="E203" s="360"/>
      <c r="F203" s="360"/>
      <c r="G203" s="360"/>
      <c r="H203" s="360"/>
      <c r="I203" s="360"/>
      <c r="J203" s="360"/>
      <c r="K203" s="360"/>
      <c r="L203" s="360"/>
      <c r="M203" s="360"/>
      <c r="N203" s="360"/>
      <c r="O203" s="360"/>
      <c r="P203" s="359"/>
      <c r="Q203" s="360"/>
      <c r="R203" s="360"/>
      <c r="S203" s="360"/>
    </row>
    <row r="204" spans="4:19">
      <c r="D204" s="360"/>
      <c r="E204" s="360"/>
      <c r="F204" s="360"/>
      <c r="G204" s="360"/>
      <c r="H204" s="360"/>
      <c r="I204" s="360"/>
      <c r="J204" s="360"/>
      <c r="K204" s="360"/>
      <c r="L204" s="360"/>
      <c r="M204" s="360"/>
      <c r="N204" s="360"/>
      <c r="O204" s="360"/>
      <c r="P204" s="359"/>
      <c r="Q204" s="360"/>
      <c r="R204" s="360"/>
      <c r="S204" s="360"/>
    </row>
    <row r="205" spans="4:19">
      <c r="D205" s="360"/>
      <c r="E205" s="360"/>
      <c r="F205" s="360"/>
      <c r="G205" s="360"/>
      <c r="H205" s="360"/>
      <c r="I205" s="360"/>
      <c r="J205" s="360"/>
      <c r="K205" s="360"/>
      <c r="L205" s="360"/>
      <c r="M205" s="360"/>
      <c r="N205" s="360"/>
      <c r="O205" s="360"/>
      <c r="P205" s="359"/>
      <c r="Q205" s="360"/>
      <c r="R205" s="360"/>
      <c r="S205" s="360"/>
    </row>
    <row r="206" spans="4:19">
      <c r="D206" s="360"/>
      <c r="E206" s="360"/>
      <c r="F206" s="360"/>
      <c r="G206" s="360"/>
      <c r="H206" s="360"/>
      <c r="I206" s="360"/>
      <c r="J206" s="360"/>
      <c r="K206" s="360"/>
      <c r="L206" s="360"/>
      <c r="M206" s="360"/>
      <c r="N206" s="360"/>
      <c r="O206" s="360"/>
      <c r="P206" s="359"/>
      <c r="Q206" s="360"/>
      <c r="R206" s="360"/>
      <c r="S206" s="360"/>
    </row>
    <row r="207" spans="4:19">
      <c r="D207" s="360"/>
      <c r="E207" s="360"/>
      <c r="F207" s="360"/>
      <c r="G207" s="360"/>
      <c r="H207" s="360"/>
      <c r="I207" s="360"/>
      <c r="J207" s="360"/>
      <c r="K207" s="360"/>
      <c r="L207" s="360"/>
      <c r="M207" s="360"/>
      <c r="N207" s="360"/>
      <c r="O207" s="360"/>
      <c r="P207" s="359"/>
      <c r="Q207" s="360"/>
      <c r="R207" s="360"/>
      <c r="S207" s="360"/>
    </row>
    <row r="208" spans="4:19">
      <c r="D208" s="360"/>
      <c r="E208" s="360"/>
      <c r="F208" s="360"/>
      <c r="G208" s="360"/>
      <c r="H208" s="360"/>
      <c r="I208" s="360"/>
      <c r="J208" s="360"/>
      <c r="K208" s="360"/>
      <c r="L208" s="360"/>
      <c r="M208" s="360"/>
      <c r="N208" s="360"/>
      <c r="O208" s="360"/>
      <c r="P208" s="359"/>
      <c r="Q208" s="360"/>
      <c r="R208" s="360"/>
      <c r="S208" s="360"/>
    </row>
    <row r="209" spans="4:19">
      <c r="D209" s="360"/>
      <c r="E209" s="360"/>
      <c r="F209" s="360"/>
      <c r="G209" s="360"/>
      <c r="H209" s="360"/>
      <c r="I209" s="360"/>
      <c r="J209" s="360"/>
      <c r="K209" s="360"/>
      <c r="L209" s="360"/>
      <c r="M209" s="360"/>
      <c r="N209" s="360"/>
      <c r="O209" s="360"/>
      <c r="P209" s="359"/>
      <c r="Q209" s="360"/>
      <c r="R209" s="360"/>
      <c r="S209" s="360"/>
    </row>
    <row r="210" spans="4:19">
      <c r="D210" s="360"/>
      <c r="E210" s="360"/>
      <c r="F210" s="360"/>
      <c r="G210" s="360"/>
      <c r="H210" s="360"/>
      <c r="I210" s="360"/>
      <c r="J210" s="360"/>
      <c r="K210" s="360"/>
      <c r="L210" s="360"/>
      <c r="M210" s="360"/>
      <c r="N210" s="360"/>
      <c r="O210" s="360"/>
      <c r="P210" s="359"/>
      <c r="Q210" s="360"/>
      <c r="R210" s="360"/>
      <c r="S210" s="360"/>
    </row>
    <row r="211" spans="4:19">
      <c r="D211" s="360"/>
      <c r="E211" s="360"/>
      <c r="F211" s="360"/>
      <c r="G211" s="360"/>
      <c r="H211" s="360"/>
      <c r="I211" s="360"/>
      <c r="J211" s="360"/>
      <c r="K211" s="360"/>
      <c r="L211" s="360"/>
      <c r="M211" s="360"/>
      <c r="N211" s="360"/>
      <c r="O211" s="360"/>
      <c r="P211" s="359"/>
      <c r="Q211" s="360"/>
      <c r="R211" s="360"/>
      <c r="S211" s="360"/>
    </row>
    <row r="212" spans="4:19">
      <c r="D212" s="360"/>
      <c r="E212" s="360"/>
      <c r="F212" s="360"/>
      <c r="G212" s="360"/>
      <c r="H212" s="360"/>
      <c r="I212" s="360"/>
      <c r="J212" s="360"/>
      <c r="K212" s="360"/>
      <c r="L212" s="360"/>
      <c r="M212" s="360"/>
      <c r="N212" s="360"/>
      <c r="O212" s="360"/>
      <c r="P212" s="359"/>
      <c r="Q212" s="360"/>
      <c r="R212" s="360"/>
      <c r="S212" s="360"/>
    </row>
    <row r="213" spans="4:19">
      <c r="D213" s="360"/>
      <c r="E213" s="360"/>
      <c r="F213" s="360"/>
      <c r="G213" s="360"/>
      <c r="H213" s="360"/>
      <c r="I213" s="360"/>
      <c r="J213" s="360"/>
      <c r="K213" s="360"/>
      <c r="L213" s="360"/>
      <c r="M213" s="360"/>
      <c r="N213" s="360"/>
      <c r="O213" s="360"/>
      <c r="P213" s="359"/>
      <c r="Q213" s="360"/>
      <c r="R213" s="360"/>
      <c r="S213" s="360"/>
    </row>
    <row r="214" spans="4:19">
      <c r="D214" s="360"/>
      <c r="E214" s="360"/>
      <c r="F214" s="360"/>
      <c r="G214" s="360"/>
      <c r="H214" s="360"/>
      <c r="I214" s="360"/>
      <c r="J214" s="360"/>
      <c r="K214" s="360"/>
      <c r="L214" s="360"/>
      <c r="M214" s="360"/>
      <c r="N214" s="360"/>
      <c r="O214" s="360"/>
      <c r="P214" s="359"/>
      <c r="Q214" s="360"/>
      <c r="R214" s="360"/>
      <c r="S214" s="360"/>
    </row>
    <row r="215" spans="4:19">
      <c r="D215" s="360"/>
      <c r="E215" s="360"/>
      <c r="F215" s="360"/>
      <c r="G215" s="360"/>
      <c r="H215" s="360"/>
      <c r="I215" s="360"/>
      <c r="J215" s="360"/>
      <c r="K215" s="360"/>
      <c r="L215" s="360"/>
      <c r="M215" s="360"/>
      <c r="N215" s="360"/>
      <c r="O215" s="360"/>
      <c r="P215" s="359"/>
      <c r="Q215" s="360"/>
      <c r="R215" s="360"/>
      <c r="S215" s="360"/>
    </row>
    <row r="216" spans="4:19">
      <c r="D216" s="360"/>
      <c r="E216" s="360"/>
      <c r="F216" s="360"/>
      <c r="G216" s="360"/>
      <c r="H216" s="360"/>
      <c r="I216" s="360"/>
      <c r="J216" s="360"/>
      <c r="K216" s="360"/>
      <c r="L216" s="360"/>
      <c r="M216" s="360"/>
      <c r="N216" s="360"/>
      <c r="O216" s="360"/>
      <c r="P216" s="359"/>
      <c r="Q216" s="360"/>
      <c r="R216" s="360"/>
      <c r="S216" s="360"/>
    </row>
    <row r="217" spans="4:19">
      <c r="D217" s="360"/>
      <c r="E217" s="360"/>
      <c r="F217" s="360"/>
      <c r="G217" s="360"/>
      <c r="H217" s="360"/>
      <c r="I217" s="360"/>
      <c r="J217" s="360"/>
      <c r="K217" s="360"/>
      <c r="L217" s="360"/>
      <c r="M217" s="360"/>
      <c r="N217" s="360"/>
      <c r="O217" s="360"/>
      <c r="P217" s="359"/>
      <c r="Q217" s="360"/>
      <c r="R217" s="360"/>
      <c r="S217" s="360"/>
    </row>
    <row r="218" spans="4:19">
      <c r="D218" s="360"/>
      <c r="E218" s="360"/>
      <c r="F218" s="360"/>
      <c r="G218" s="360"/>
      <c r="H218" s="360"/>
      <c r="I218" s="360"/>
      <c r="J218" s="360"/>
      <c r="K218" s="360"/>
      <c r="L218" s="360"/>
      <c r="M218" s="360"/>
      <c r="N218" s="360"/>
      <c r="O218" s="360"/>
      <c r="P218" s="359"/>
      <c r="Q218" s="360"/>
      <c r="R218" s="360"/>
      <c r="S218" s="360"/>
    </row>
    <row r="219" spans="4:19">
      <c r="D219" s="360"/>
      <c r="E219" s="360"/>
      <c r="F219" s="360"/>
      <c r="G219" s="360"/>
      <c r="H219" s="360"/>
      <c r="I219" s="360"/>
      <c r="J219" s="360"/>
      <c r="K219" s="360"/>
      <c r="L219" s="360"/>
      <c r="M219" s="360"/>
      <c r="N219" s="360"/>
      <c r="O219" s="360"/>
      <c r="P219" s="359"/>
      <c r="Q219" s="360"/>
      <c r="R219" s="360"/>
      <c r="S219" s="360"/>
    </row>
    <row r="220" spans="4:19">
      <c r="D220" s="360"/>
      <c r="E220" s="360"/>
      <c r="F220" s="360"/>
      <c r="G220" s="360"/>
      <c r="H220" s="360"/>
      <c r="I220" s="360"/>
      <c r="J220" s="360"/>
      <c r="K220" s="360"/>
      <c r="L220" s="360"/>
      <c r="M220" s="360"/>
      <c r="N220" s="360"/>
      <c r="O220" s="360"/>
      <c r="P220" s="359"/>
      <c r="Q220" s="360"/>
      <c r="R220" s="360"/>
      <c r="S220" s="360"/>
    </row>
    <row r="221" spans="4:19">
      <c r="D221" s="360"/>
      <c r="E221" s="360"/>
      <c r="F221" s="360"/>
      <c r="G221" s="360"/>
      <c r="H221" s="360"/>
      <c r="I221" s="360"/>
      <c r="J221" s="360"/>
      <c r="K221" s="360"/>
      <c r="L221" s="360"/>
      <c r="M221" s="360"/>
      <c r="N221" s="360"/>
      <c r="O221" s="360"/>
      <c r="P221" s="359"/>
      <c r="Q221" s="360"/>
      <c r="R221" s="360"/>
      <c r="S221" s="360"/>
    </row>
    <row r="222" spans="4:19">
      <c r="D222" s="360"/>
      <c r="E222" s="360"/>
      <c r="F222" s="360"/>
      <c r="G222" s="360"/>
      <c r="H222" s="360"/>
      <c r="I222" s="360"/>
      <c r="J222" s="360"/>
      <c r="K222" s="360"/>
      <c r="L222" s="360"/>
      <c r="M222" s="360"/>
      <c r="N222" s="360"/>
      <c r="O222" s="360"/>
      <c r="P222" s="359"/>
      <c r="Q222" s="360"/>
      <c r="R222" s="360"/>
      <c r="S222" s="360"/>
    </row>
    <row r="223" spans="4:19">
      <c r="D223" s="360"/>
      <c r="E223" s="360"/>
      <c r="F223" s="360"/>
      <c r="G223" s="360"/>
      <c r="H223" s="360"/>
      <c r="I223" s="360"/>
      <c r="J223" s="360"/>
      <c r="K223" s="360"/>
      <c r="L223" s="360"/>
      <c r="M223" s="360"/>
      <c r="N223" s="360"/>
      <c r="O223" s="360"/>
      <c r="P223" s="359"/>
      <c r="Q223" s="360"/>
      <c r="R223" s="360"/>
      <c r="S223" s="360"/>
    </row>
    <row r="224" spans="4:19">
      <c r="D224" s="360"/>
      <c r="E224" s="360"/>
      <c r="F224" s="360"/>
      <c r="G224" s="360"/>
      <c r="H224" s="360"/>
      <c r="I224" s="360"/>
      <c r="J224" s="360"/>
      <c r="K224" s="360"/>
      <c r="L224" s="360"/>
      <c r="M224" s="360"/>
      <c r="N224" s="360"/>
      <c r="O224" s="360"/>
      <c r="P224" s="359"/>
      <c r="Q224" s="360"/>
      <c r="R224" s="360"/>
      <c r="S224" s="360"/>
    </row>
    <row r="225" spans="4:19">
      <c r="D225" s="360"/>
      <c r="E225" s="360"/>
      <c r="F225" s="360"/>
      <c r="G225" s="360"/>
      <c r="H225" s="360"/>
      <c r="I225" s="360"/>
      <c r="J225" s="360"/>
      <c r="K225" s="360"/>
      <c r="L225" s="360"/>
      <c r="M225" s="360"/>
      <c r="N225" s="360"/>
      <c r="O225" s="360"/>
      <c r="P225" s="359"/>
      <c r="Q225" s="360"/>
      <c r="R225" s="360"/>
      <c r="S225" s="360"/>
    </row>
    <row r="226" spans="4:19">
      <c r="D226" s="360"/>
      <c r="E226" s="360"/>
      <c r="F226" s="360"/>
      <c r="G226" s="360"/>
      <c r="H226" s="360"/>
      <c r="I226" s="360"/>
      <c r="J226" s="360"/>
      <c r="K226" s="360"/>
      <c r="L226" s="360"/>
      <c r="M226" s="360"/>
      <c r="N226" s="360"/>
      <c r="O226" s="360"/>
      <c r="P226" s="359"/>
      <c r="Q226" s="360"/>
      <c r="R226" s="360"/>
      <c r="S226" s="360"/>
    </row>
    <row r="227" spans="4:19">
      <c r="D227" s="360"/>
      <c r="E227" s="360"/>
      <c r="F227" s="360"/>
      <c r="G227" s="360"/>
      <c r="H227" s="360"/>
      <c r="I227" s="360"/>
      <c r="J227" s="360"/>
      <c r="K227" s="360"/>
      <c r="L227" s="360"/>
      <c r="M227" s="360"/>
      <c r="N227" s="360"/>
      <c r="O227" s="360"/>
      <c r="P227" s="359"/>
      <c r="Q227" s="360"/>
      <c r="R227" s="360"/>
      <c r="S227" s="360"/>
    </row>
    <row r="228" spans="4:19">
      <c r="D228" s="360"/>
      <c r="E228" s="360"/>
      <c r="F228" s="360"/>
      <c r="G228" s="360"/>
      <c r="H228" s="360"/>
      <c r="I228" s="360"/>
      <c r="J228" s="360"/>
      <c r="K228" s="360"/>
      <c r="L228" s="360"/>
      <c r="M228" s="360"/>
      <c r="N228" s="360"/>
      <c r="O228" s="360"/>
      <c r="P228" s="359"/>
      <c r="Q228" s="360"/>
      <c r="R228" s="360"/>
      <c r="S228" s="360"/>
    </row>
    <row r="229" spans="4:19">
      <c r="D229" s="360"/>
      <c r="E229" s="360"/>
      <c r="F229" s="360"/>
      <c r="G229" s="360"/>
      <c r="H229" s="360"/>
      <c r="I229" s="360"/>
      <c r="J229" s="360"/>
      <c r="K229" s="360"/>
      <c r="L229" s="360"/>
      <c r="M229" s="360"/>
      <c r="N229" s="360"/>
      <c r="O229" s="360"/>
      <c r="P229" s="359"/>
      <c r="Q229" s="360"/>
      <c r="R229" s="360"/>
      <c r="S229" s="360"/>
    </row>
    <row r="230" spans="4:19">
      <c r="D230" s="360"/>
      <c r="E230" s="360"/>
      <c r="F230" s="360"/>
      <c r="G230" s="360"/>
      <c r="H230" s="360"/>
      <c r="I230" s="360"/>
      <c r="J230" s="360"/>
      <c r="K230" s="360"/>
      <c r="L230" s="360"/>
      <c r="M230" s="360"/>
      <c r="N230" s="360"/>
      <c r="O230" s="360"/>
      <c r="P230" s="359"/>
      <c r="Q230" s="360"/>
      <c r="R230" s="360"/>
      <c r="S230" s="360"/>
    </row>
    <row r="231" spans="4:19">
      <c r="D231" s="360"/>
      <c r="E231" s="360"/>
      <c r="F231" s="360"/>
      <c r="G231" s="360"/>
      <c r="H231" s="360"/>
      <c r="I231" s="360"/>
      <c r="J231" s="360"/>
      <c r="K231" s="360"/>
      <c r="L231" s="360"/>
      <c r="M231" s="360"/>
      <c r="N231" s="360"/>
      <c r="O231" s="360"/>
      <c r="P231" s="359"/>
      <c r="Q231" s="360"/>
      <c r="R231" s="360"/>
      <c r="S231" s="360"/>
    </row>
    <row r="232" spans="4:19">
      <c r="D232" s="360"/>
      <c r="E232" s="360"/>
      <c r="F232" s="360"/>
      <c r="G232" s="360"/>
      <c r="H232" s="360"/>
      <c r="I232" s="360"/>
      <c r="J232" s="360"/>
      <c r="K232" s="360"/>
      <c r="L232" s="360"/>
      <c r="M232" s="360"/>
      <c r="N232" s="360"/>
      <c r="O232" s="360"/>
      <c r="P232" s="359"/>
      <c r="Q232" s="360"/>
      <c r="R232" s="360"/>
      <c r="S232" s="360"/>
    </row>
    <row r="233" spans="4:19">
      <c r="D233" s="360"/>
      <c r="E233" s="360"/>
      <c r="F233" s="360"/>
      <c r="G233" s="360"/>
      <c r="H233" s="360"/>
      <c r="I233" s="360"/>
      <c r="J233" s="360"/>
      <c r="K233" s="360"/>
      <c r="L233" s="360"/>
      <c r="M233" s="360"/>
      <c r="N233" s="360"/>
      <c r="O233" s="360"/>
      <c r="P233" s="359"/>
      <c r="Q233" s="360"/>
      <c r="R233" s="360"/>
      <c r="S233" s="360"/>
    </row>
    <row r="234" spans="4:19">
      <c r="D234" s="360"/>
      <c r="E234" s="360"/>
      <c r="F234" s="360"/>
      <c r="G234" s="360"/>
      <c r="H234" s="360"/>
      <c r="I234" s="360"/>
      <c r="J234" s="360"/>
      <c r="K234" s="360"/>
      <c r="L234" s="360"/>
      <c r="M234" s="360"/>
      <c r="N234" s="360"/>
      <c r="O234" s="360"/>
      <c r="P234" s="359"/>
      <c r="Q234" s="360"/>
      <c r="R234" s="360"/>
      <c r="S234" s="360"/>
    </row>
    <row r="235" spans="4:19">
      <c r="D235" s="360"/>
      <c r="E235" s="360"/>
      <c r="F235" s="360"/>
      <c r="G235" s="360"/>
      <c r="H235" s="360"/>
      <c r="I235" s="360"/>
      <c r="J235" s="360"/>
      <c r="K235" s="360"/>
      <c r="L235" s="360"/>
      <c r="M235" s="360"/>
      <c r="N235" s="360"/>
      <c r="O235" s="360"/>
      <c r="P235" s="359"/>
      <c r="Q235" s="360"/>
      <c r="R235" s="360"/>
      <c r="S235" s="360"/>
    </row>
    <row r="236" spans="4:19">
      <c r="D236" s="360"/>
      <c r="E236" s="360"/>
      <c r="F236" s="360"/>
      <c r="G236" s="360"/>
      <c r="H236" s="360"/>
      <c r="I236" s="360"/>
      <c r="J236" s="360"/>
      <c r="K236" s="360"/>
      <c r="L236" s="360"/>
      <c r="M236" s="360"/>
      <c r="N236" s="360"/>
      <c r="O236" s="360"/>
      <c r="P236" s="359"/>
      <c r="Q236" s="360"/>
      <c r="R236" s="360"/>
      <c r="S236" s="360"/>
    </row>
    <row r="237" spans="4:19">
      <c r="D237" s="360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359"/>
      <c r="Q237" s="360"/>
      <c r="R237" s="360"/>
      <c r="S237" s="360"/>
    </row>
    <row r="238" spans="4:19">
      <c r="D238" s="360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359"/>
      <c r="Q238" s="360"/>
      <c r="R238" s="360"/>
      <c r="S238" s="360"/>
    </row>
    <row r="239" spans="4:19">
      <c r="D239" s="360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359"/>
      <c r="Q239" s="360"/>
      <c r="R239" s="360"/>
      <c r="S239" s="360"/>
    </row>
    <row r="240" spans="4:19">
      <c r="D240" s="360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359"/>
      <c r="Q240" s="360"/>
      <c r="R240" s="360"/>
      <c r="S240" s="360"/>
    </row>
    <row r="241" spans="4:19">
      <c r="D241" s="360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359"/>
      <c r="Q241" s="360"/>
      <c r="R241" s="360"/>
      <c r="S241" s="360"/>
    </row>
    <row r="242" spans="4:19">
      <c r="D242" s="360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359"/>
      <c r="Q242" s="360"/>
      <c r="R242" s="360"/>
      <c r="S242" s="360"/>
    </row>
    <row r="243" spans="4:19">
      <c r="D243" s="360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359"/>
      <c r="Q243" s="360"/>
      <c r="R243" s="360"/>
      <c r="S243" s="360"/>
    </row>
    <row r="244" spans="4:19">
      <c r="D244" s="360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359"/>
      <c r="Q244" s="360"/>
      <c r="R244" s="360"/>
      <c r="S244" s="360"/>
    </row>
    <row r="245" spans="4:19">
      <c r="D245" s="360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359"/>
      <c r="Q245" s="360"/>
      <c r="R245" s="360"/>
      <c r="S245" s="360"/>
    </row>
    <row r="246" spans="4:19">
      <c r="D246" s="360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359"/>
      <c r="Q246" s="360"/>
      <c r="R246" s="360"/>
      <c r="S246" s="360"/>
    </row>
    <row r="247" spans="4:19">
      <c r="D247" s="360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359"/>
      <c r="Q247" s="360"/>
      <c r="R247" s="360"/>
      <c r="S247" s="360"/>
    </row>
    <row r="248" spans="4:19">
      <c r="D248" s="360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359"/>
      <c r="Q248" s="360"/>
      <c r="R248" s="360"/>
      <c r="S248" s="360"/>
    </row>
    <row r="249" spans="4:19">
      <c r="D249" s="360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359"/>
      <c r="Q249" s="360"/>
      <c r="R249" s="360"/>
      <c r="S249" s="360"/>
    </row>
    <row r="250" spans="4:19">
      <c r="D250" s="360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359"/>
      <c r="Q250" s="360"/>
      <c r="R250" s="360"/>
      <c r="S250" s="360"/>
    </row>
    <row r="251" spans="4:19">
      <c r="D251" s="360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359"/>
      <c r="Q251" s="360"/>
      <c r="R251" s="360"/>
      <c r="S251" s="360"/>
    </row>
    <row r="252" spans="4:19">
      <c r="D252" s="360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359"/>
      <c r="Q252" s="360"/>
      <c r="R252" s="360"/>
      <c r="S252" s="360"/>
    </row>
    <row r="253" spans="4:19">
      <c r="D253" s="360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359"/>
      <c r="Q253" s="360"/>
      <c r="R253" s="360"/>
      <c r="S253" s="360"/>
    </row>
    <row r="254" spans="4:19">
      <c r="D254" s="360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359"/>
      <c r="Q254" s="360"/>
      <c r="R254" s="360"/>
      <c r="S254" s="360"/>
    </row>
    <row r="255" spans="4:19">
      <c r="D255" s="360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359"/>
      <c r="Q255" s="360"/>
      <c r="R255" s="360"/>
      <c r="S255" s="360"/>
    </row>
    <row r="256" spans="4:19">
      <c r="D256" s="360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359"/>
      <c r="Q256" s="360"/>
      <c r="R256" s="360"/>
      <c r="S256" s="360"/>
    </row>
    <row r="257" spans="4:19">
      <c r="D257" s="360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359"/>
      <c r="Q257" s="360"/>
      <c r="R257" s="360"/>
      <c r="S257" s="360"/>
    </row>
    <row r="258" spans="4:19">
      <c r="D258" s="360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359"/>
      <c r="Q258" s="360"/>
      <c r="R258" s="360"/>
      <c r="S258" s="360"/>
    </row>
    <row r="259" spans="4:19">
      <c r="D259" s="360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359"/>
      <c r="Q259" s="360"/>
      <c r="R259" s="360"/>
      <c r="S259" s="360"/>
    </row>
    <row r="260" spans="4:19">
      <c r="D260" s="360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359"/>
      <c r="Q260" s="360"/>
      <c r="R260" s="360"/>
      <c r="S260" s="360"/>
    </row>
    <row r="261" spans="4:19">
      <c r="D261" s="360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359"/>
      <c r="Q261" s="360"/>
      <c r="R261" s="360"/>
      <c r="S261" s="360"/>
    </row>
    <row r="262" spans="4:19">
      <c r="D262" s="360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359"/>
      <c r="Q262" s="360"/>
      <c r="R262" s="360"/>
      <c r="S262" s="360"/>
    </row>
    <row r="263" spans="4:19">
      <c r="D263" s="360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359"/>
      <c r="Q263" s="360"/>
      <c r="R263" s="360"/>
      <c r="S263" s="360"/>
    </row>
    <row r="264" spans="4:19">
      <c r="D264" s="360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359"/>
      <c r="Q264" s="360"/>
      <c r="R264" s="360"/>
      <c r="S264" s="360"/>
    </row>
    <row r="265" spans="4:19">
      <c r="D265" s="360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359"/>
      <c r="Q265" s="360"/>
      <c r="R265" s="360"/>
      <c r="S265" s="360"/>
    </row>
    <row r="266" spans="4:19">
      <c r="D266" s="360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359"/>
      <c r="Q266" s="360"/>
      <c r="R266" s="360"/>
      <c r="S266" s="360"/>
    </row>
    <row r="267" spans="4:19">
      <c r="D267" s="360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359"/>
      <c r="Q267" s="360"/>
      <c r="R267" s="360"/>
      <c r="S267" s="360"/>
    </row>
    <row r="268" spans="4:19">
      <c r="D268" s="360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359"/>
      <c r="Q268" s="360"/>
      <c r="R268" s="360"/>
      <c r="S268" s="360"/>
    </row>
    <row r="269" spans="4:19">
      <c r="D269" s="360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359"/>
      <c r="Q269" s="360"/>
      <c r="R269" s="360"/>
      <c r="S269" s="360"/>
    </row>
    <row r="270" spans="4:19">
      <c r="D270" s="360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359"/>
      <c r="Q270" s="360"/>
      <c r="R270" s="360"/>
      <c r="S270" s="360"/>
    </row>
    <row r="271" spans="4:19">
      <c r="D271" s="360"/>
      <c r="E271" s="360"/>
      <c r="F271" s="360"/>
      <c r="G271" s="360"/>
      <c r="H271" s="360"/>
      <c r="I271" s="360"/>
      <c r="J271" s="360"/>
      <c r="K271" s="360"/>
      <c r="L271" s="360"/>
      <c r="M271" s="360"/>
      <c r="N271" s="360"/>
      <c r="O271" s="360"/>
      <c r="P271" s="359"/>
      <c r="Q271" s="360"/>
      <c r="R271" s="360"/>
      <c r="S271" s="360"/>
    </row>
    <row r="272" spans="4:19">
      <c r="D272" s="360"/>
      <c r="E272" s="360"/>
      <c r="F272" s="360"/>
      <c r="G272" s="360"/>
      <c r="H272" s="360"/>
      <c r="I272" s="360"/>
      <c r="J272" s="360"/>
      <c r="K272" s="360"/>
      <c r="L272" s="360"/>
      <c r="M272" s="360"/>
      <c r="N272" s="360"/>
      <c r="O272" s="360"/>
      <c r="P272" s="359"/>
      <c r="Q272" s="360"/>
      <c r="R272" s="360"/>
      <c r="S272" s="360"/>
    </row>
    <row r="273" spans="4:19">
      <c r="D273" s="360"/>
      <c r="E273" s="360"/>
      <c r="F273" s="360"/>
      <c r="G273" s="360"/>
      <c r="H273" s="360"/>
      <c r="I273" s="360"/>
      <c r="J273" s="360"/>
      <c r="K273" s="360"/>
      <c r="L273" s="360"/>
      <c r="M273" s="360"/>
      <c r="N273" s="360"/>
      <c r="O273" s="360"/>
      <c r="P273" s="359"/>
      <c r="Q273" s="360"/>
      <c r="R273" s="360"/>
      <c r="S273" s="360"/>
    </row>
    <row r="274" spans="4:19">
      <c r="D274" s="360"/>
      <c r="E274" s="360"/>
      <c r="F274" s="360"/>
      <c r="G274" s="360"/>
      <c r="H274" s="360"/>
      <c r="I274" s="360"/>
      <c r="J274" s="360"/>
      <c r="K274" s="360"/>
      <c r="L274" s="360"/>
      <c r="M274" s="360"/>
      <c r="N274" s="360"/>
      <c r="O274" s="360"/>
      <c r="P274" s="359"/>
      <c r="Q274" s="360"/>
      <c r="R274" s="360"/>
      <c r="S274" s="360"/>
    </row>
    <row r="275" spans="4:19">
      <c r="D275" s="360"/>
      <c r="E275" s="360"/>
      <c r="F275" s="360"/>
      <c r="G275" s="360"/>
      <c r="H275" s="360"/>
      <c r="I275" s="360"/>
      <c r="J275" s="360"/>
      <c r="K275" s="360"/>
      <c r="L275" s="360"/>
      <c r="M275" s="360"/>
      <c r="N275" s="360"/>
      <c r="O275" s="360"/>
      <c r="P275" s="359"/>
      <c r="Q275" s="360"/>
      <c r="R275" s="360"/>
      <c r="S275" s="360"/>
    </row>
    <row r="276" spans="4:19">
      <c r="D276" s="360"/>
      <c r="E276" s="360"/>
      <c r="F276" s="360"/>
      <c r="G276" s="360"/>
      <c r="H276" s="360"/>
      <c r="I276" s="360"/>
      <c r="J276" s="360"/>
      <c r="K276" s="360"/>
      <c r="L276" s="360"/>
      <c r="M276" s="360"/>
      <c r="N276" s="360"/>
      <c r="O276" s="360"/>
      <c r="P276" s="359"/>
      <c r="Q276" s="360"/>
      <c r="R276" s="360"/>
      <c r="S276" s="360"/>
    </row>
    <row r="277" spans="4:19">
      <c r="D277" s="360"/>
      <c r="E277" s="360"/>
      <c r="F277" s="360"/>
      <c r="G277" s="360"/>
      <c r="H277" s="360"/>
      <c r="I277" s="360"/>
      <c r="J277" s="360"/>
      <c r="K277" s="360"/>
      <c r="L277" s="360"/>
      <c r="M277" s="360"/>
      <c r="N277" s="360"/>
      <c r="O277" s="360"/>
      <c r="P277" s="359"/>
      <c r="Q277" s="360"/>
      <c r="R277" s="360"/>
      <c r="S277" s="360"/>
    </row>
    <row r="278" spans="4:19">
      <c r="D278" s="360"/>
      <c r="E278" s="360"/>
      <c r="F278" s="360"/>
      <c r="G278" s="360"/>
      <c r="H278" s="360"/>
      <c r="I278" s="360"/>
      <c r="J278" s="360"/>
      <c r="K278" s="360"/>
      <c r="L278" s="360"/>
      <c r="M278" s="360"/>
      <c r="N278" s="360"/>
      <c r="O278" s="360"/>
      <c r="P278" s="359"/>
      <c r="Q278" s="360"/>
      <c r="R278" s="360"/>
      <c r="S278" s="360"/>
    </row>
    <row r="279" spans="4:19">
      <c r="D279" s="360"/>
      <c r="E279" s="360"/>
      <c r="F279" s="360"/>
      <c r="G279" s="360"/>
      <c r="H279" s="360"/>
      <c r="I279" s="360"/>
      <c r="J279" s="360"/>
      <c r="K279" s="360"/>
      <c r="L279" s="360"/>
      <c r="M279" s="360"/>
      <c r="N279" s="360"/>
      <c r="O279" s="360"/>
      <c r="P279" s="359"/>
      <c r="Q279" s="360"/>
      <c r="R279" s="360"/>
      <c r="S279" s="360"/>
    </row>
    <row r="280" spans="4:19">
      <c r="D280" s="360"/>
      <c r="E280" s="360"/>
      <c r="F280" s="360"/>
      <c r="G280" s="360"/>
      <c r="H280" s="360"/>
      <c r="I280" s="360"/>
      <c r="J280" s="360"/>
      <c r="K280" s="360"/>
      <c r="L280" s="360"/>
      <c r="M280" s="360"/>
      <c r="N280" s="360"/>
      <c r="O280" s="360"/>
      <c r="P280" s="359"/>
      <c r="Q280" s="360"/>
      <c r="R280" s="360"/>
      <c r="S280" s="360"/>
    </row>
    <row r="281" spans="4:19">
      <c r="D281" s="360"/>
      <c r="E281" s="360"/>
      <c r="F281" s="360"/>
      <c r="G281" s="360"/>
      <c r="H281" s="360"/>
      <c r="I281" s="360"/>
      <c r="J281" s="360"/>
      <c r="K281" s="360"/>
      <c r="L281" s="360"/>
      <c r="M281" s="360"/>
      <c r="N281" s="360"/>
      <c r="O281" s="360"/>
      <c r="P281" s="359"/>
      <c r="Q281" s="360"/>
      <c r="R281" s="360"/>
      <c r="S281" s="360"/>
    </row>
    <row r="282" spans="4:19">
      <c r="D282" s="360"/>
      <c r="E282" s="360"/>
      <c r="F282" s="360"/>
      <c r="G282" s="360"/>
      <c r="H282" s="360"/>
      <c r="I282" s="360"/>
      <c r="J282" s="360"/>
      <c r="K282" s="360"/>
      <c r="L282" s="360"/>
      <c r="M282" s="360"/>
      <c r="N282" s="360"/>
      <c r="O282" s="360"/>
      <c r="P282" s="359"/>
      <c r="Q282" s="360"/>
      <c r="R282" s="360"/>
      <c r="S282" s="360"/>
    </row>
    <row r="283" spans="4:19">
      <c r="D283" s="360"/>
      <c r="E283" s="360"/>
      <c r="F283" s="360"/>
      <c r="G283" s="360"/>
      <c r="H283" s="360"/>
      <c r="I283" s="360"/>
      <c r="J283" s="360"/>
      <c r="K283" s="360"/>
      <c r="L283" s="360"/>
      <c r="M283" s="360"/>
      <c r="N283" s="360"/>
      <c r="O283" s="360"/>
      <c r="P283" s="359"/>
      <c r="Q283" s="360"/>
      <c r="R283" s="360"/>
      <c r="S283" s="360"/>
    </row>
    <row r="284" spans="4:19">
      <c r="D284" s="360"/>
      <c r="E284" s="360"/>
      <c r="F284" s="360"/>
      <c r="G284" s="360"/>
      <c r="H284" s="360"/>
      <c r="I284" s="360"/>
      <c r="J284" s="360"/>
      <c r="K284" s="360"/>
      <c r="L284" s="360"/>
      <c r="M284" s="360"/>
      <c r="N284" s="360"/>
      <c r="O284" s="360"/>
      <c r="P284" s="359"/>
      <c r="Q284" s="360"/>
      <c r="R284" s="360"/>
      <c r="S284" s="360"/>
    </row>
    <row r="285" spans="4:19">
      <c r="D285" s="360"/>
      <c r="E285" s="360"/>
      <c r="F285" s="360"/>
      <c r="G285" s="360"/>
      <c r="H285" s="360"/>
      <c r="I285" s="360"/>
      <c r="J285" s="360"/>
      <c r="K285" s="360"/>
      <c r="L285" s="360"/>
      <c r="M285" s="360"/>
      <c r="N285" s="360"/>
      <c r="O285" s="360"/>
      <c r="P285" s="359"/>
      <c r="Q285" s="360"/>
      <c r="R285" s="360"/>
      <c r="S285" s="360"/>
    </row>
    <row r="286" spans="4:19">
      <c r="D286" s="360"/>
      <c r="E286" s="360"/>
      <c r="F286" s="360"/>
      <c r="G286" s="360"/>
      <c r="H286" s="360"/>
      <c r="I286" s="360"/>
      <c r="J286" s="360"/>
      <c r="K286" s="360"/>
      <c r="L286" s="360"/>
      <c r="M286" s="360"/>
      <c r="N286" s="360"/>
      <c r="O286" s="360"/>
      <c r="P286" s="359"/>
      <c r="Q286" s="360"/>
      <c r="R286" s="360"/>
      <c r="S286" s="360"/>
    </row>
    <row r="287" spans="4:19">
      <c r="D287" s="360"/>
      <c r="E287" s="360"/>
      <c r="F287" s="360"/>
      <c r="G287" s="360"/>
      <c r="H287" s="360"/>
      <c r="I287" s="360"/>
      <c r="J287" s="360"/>
      <c r="K287" s="360"/>
      <c r="L287" s="360"/>
      <c r="M287" s="360"/>
      <c r="N287" s="360"/>
      <c r="O287" s="360"/>
      <c r="P287" s="359"/>
      <c r="Q287" s="360"/>
      <c r="R287" s="360"/>
      <c r="S287" s="360"/>
    </row>
    <row r="288" spans="4:19">
      <c r="D288" s="360"/>
      <c r="E288" s="360"/>
      <c r="F288" s="360"/>
      <c r="G288" s="360"/>
      <c r="H288" s="360"/>
      <c r="I288" s="360"/>
      <c r="J288" s="360"/>
      <c r="K288" s="360"/>
      <c r="L288" s="360"/>
      <c r="M288" s="360"/>
      <c r="N288" s="360"/>
      <c r="O288" s="360"/>
      <c r="P288" s="359"/>
      <c r="Q288" s="360"/>
      <c r="R288" s="360"/>
      <c r="S288" s="360"/>
    </row>
    <row r="289" spans="4:19">
      <c r="D289" s="360"/>
      <c r="E289" s="360"/>
      <c r="F289" s="360"/>
      <c r="G289" s="360"/>
      <c r="H289" s="360"/>
      <c r="I289" s="360"/>
      <c r="J289" s="360"/>
      <c r="K289" s="360"/>
      <c r="L289" s="360"/>
      <c r="M289" s="360"/>
      <c r="N289" s="360"/>
      <c r="O289" s="360"/>
      <c r="P289" s="359"/>
      <c r="Q289" s="360"/>
      <c r="R289" s="360"/>
      <c r="S289" s="360"/>
    </row>
    <row r="290" spans="4:19">
      <c r="D290" s="360"/>
      <c r="E290" s="360"/>
      <c r="F290" s="360"/>
      <c r="G290" s="360"/>
      <c r="H290" s="360"/>
      <c r="I290" s="360"/>
      <c r="J290" s="360"/>
      <c r="K290" s="360"/>
      <c r="L290" s="360"/>
      <c r="M290" s="360"/>
      <c r="N290" s="360"/>
      <c r="O290" s="360"/>
      <c r="P290" s="359"/>
      <c r="Q290" s="360"/>
      <c r="R290" s="360"/>
      <c r="S290" s="360"/>
    </row>
    <row r="291" spans="4:19">
      <c r="D291" s="360"/>
      <c r="E291" s="360"/>
      <c r="F291" s="360"/>
      <c r="G291" s="360"/>
      <c r="H291" s="360"/>
      <c r="I291" s="360"/>
      <c r="J291" s="360"/>
      <c r="K291" s="360"/>
      <c r="L291" s="360"/>
      <c r="M291" s="360"/>
      <c r="N291" s="360"/>
      <c r="O291" s="360"/>
      <c r="P291" s="359"/>
      <c r="Q291" s="360"/>
      <c r="R291" s="360"/>
      <c r="S291" s="360"/>
    </row>
    <row r="292" spans="4:19">
      <c r="D292" s="360"/>
      <c r="E292" s="360"/>
      <c r="F292" s="360"/>
      <c r="G292" s="360"/>
      <c r="H292" s="360"/>
      <c r="I292" s="360"/>
      <c r="J292" s="360"/>
      <c r="K292" s="360"/>
      <c r="L292" s="360"/>
      <c r="M292" s="360"/>
      <c r="N292" s="360"/>
      <c r="O292" s="360"/>
      <c r="P292" s="359"/>
      <c r="Q292" s="360"/>
      <c r="R292" s="360"/>
      <c r="S292" s="360"/>
    </row>
    <row r="293" spans="4:19">
      <c r="D293" s="360"/>
      <c r="E293" s="360"/>
      <c r="F293" s="360"/>
      <c r="G293" s="360"/>
      <c r="H293" s="360"/>
      <c r="I293" s="360"/>
      <c r="J293" s="360"/>
      <c r="K293" s="360"/>
      <c r="L293" s="360"/>
      <c r="M293" s="360"/>
      <c r="N293" s="360"/>
      <c r="O293" s="360"/>
      <c r="P293" s="359"/>
      <c r="Q293" s="360"/>
      <c r="R293" s="360"/>
      <c r="S293" s="360"/>
    </row>
    <row r="294" spans="4:19">
      <c r="D294" s="360"/>
      <c r="E294" s="360"/>
      <c r="F294" s="360"/>
      <c r="G294" s="360"/>
      <c r="H294" s="360"/>
      <c r="I294" s="360"/>
      <c r="J294" s="360"/>
      <c r="K294" s="360"/>
      <c r="L294" s="360"/>
      <c r="M294" s="360"/>
      <c r="N294" s="360"/>
      <c r="O294" s="360"/>
      <c r="P294" s="359"/>
      <c r="Q294" s="360"/>
      <c r="R294" s="360"/>
      <c r="S294" s="360"/>
    </row>
    <row r="295" spans="4:19">
      <c r="D295" s="360"/>
      <c r="E295" s="360"/>
      <c r="F295" s="360"/>
      <c r="G295" s="360"/>
      <c r="H295" s="360"/>
      <c r="I295" s="360"/>
      <c r="J295" s="360"/>
      <c r="K295" s="360"/>
      <c r="L295" s="360"/>
      <c r="M295" s="360"/>
      <c r="N295" s="360"/>
      <c r="O295" s="360"/>
      <c r="P295" s="359"/>
      <c r="Q295" s="360"/>
      <c r="R295" s="360"/>
      <c r="S295" s="360"/>
    </row>
    <row r="296" spans="4:19">
      <c r="D296" s="360"/>
      <c r="E296" s="360"/>
      <c r="F296" s="360"/>
      <c r="G296" s="360"/>
      <c r="H296" s="360"/>
      <c r="I296" s="360"/>
      <c r="J296" s="360"/>
      <c r="K296" s="360"/>
      <c r="L296" s="360"/>
      <c r="M296" s="360"/>
      <c r="N296" s="360"/>
      <c r="O296" s="360"/>
      <c r="P296" s="359"/>
      <c r="Q296" s="360"/>
      <c r="R296" s="360"/>
      <c r="S296" s="360"/>
    </row>
    <row r="297" spans="4:19">
      <c r="D297" s="360"/>
      <c r="E297" s="360"/>
      <c r="F297" s="360"/>
      <c r="G297" s="360"/>
      <c r="H297" s="360"/>
      <c r="I297" s="360"/>
      <c r="J297" s="360"/>
      <c r="K297" s="360"/>
      <c r="L297" s="360"/>
      <c r="M297" s="360"/>
      <c r="N297" s="360"/>
      <c r="O297" s="360"/>
      <c r="P297" s="359"/>
      <c r="Q297" s="360"/>
      <c r="R297" s="360"/>
      <c r="S297" s="360"/>
    </row>
    <row r="298" spans="4:19"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59"/>
      <c r="Q298" s="360"/>
      <c r="R298" s="360"/>
      <c r="S298" s="360"/>
    </row>
    <row r="299" spans="4:19">
      <c r="D299" s="360"/>
      <c r="E299" s="360"/>
      <c r="F299" s="360"/>
      <c r="G299" s="360"/>
      <c r="H299" s="360"/>
      <c r="I299" s="360"/>
      <c r="J299" s="360"/>
      <c r="K299" s="360"/>
      <c r="L299" s="360"/>
      <c r="M299" s="360"/>
      <c r="N299" s="360"/>
      <c r="O299" s="360"/>
      <c r="P299" s="359"/>
      <c r="Q299" s="360"/>
      <c r="R299" s="360"/>
      <c r="S299" s="360"/>
    </row>
    <row r="300" spans="4:19">
      <c r="D300" s="360"/>
      <c r="E300" s="360"/>
      <c r="F300" s="360"/>
      <c r="G300" s="360"/>
      <c r="H300" s="360"/>
      <c r="I300" s="360"/>
      <c r="J300" s="360"/>
      <c r="K300" s="360"/>
      <c r="L300" s="360"/>
      <c r="M300" s="360"/>
      <c r="N300" s="360"/>
      <c r="O300" s="360"/>
      <c r="P300" s="359"/>
      <c r="Q300" s="360"/>
      <c r="R300" s="360"/>
      <c r="S300" s="360"/>
    </row>
    <row r="301" spans="4:19">
      <c r="D301" s="360"/>
      <c r="E301" s="360"/>
      <c r="F301" s="360"/>
      <c r="G301" s="360"/>
      <c r="H301" s="360"/>
      <c r="I301" s="360"/>
      <c r="J301" s="360"/>
      <c r="K301" s="360"/>
      <c r="L301" s="360"/>
      <c r="M301" s="360"/>
      <c r="N301" s="360"/>
      <c r="O301" s="360"/>
      <c r="P301" s="359"/>
      <c r="Q301" s="360"/>
      <c r="R301" s="360"/>
      <c r="S301" s="360"/>
    </row>
    <row r="302" spans="4:19">
      <c r="D302" s="360"/>
      <c r="E302" s="360"/>
      <c r="F302" s="360"/>
      <c r="G302" s="360"/>
      <c r="H302" s="360"/>
      <c r="I302" s="360"/>
      <c r="J302" s="360"/>
      <c r="K302" s="360"/>
      <c r="L302" s="360"/>
      <c r="M302" s="360"/>
      <c r="N302" s="360"/>
      <c r="O302" s="360"/>
      <c r="P302" s="359"/>
      <c r="Q302" s="360"/>
      <c r="R302" s="360"/>
      <c r="S302" s="360"/>
    </row>
    <row r="303" spans="4:19">
      <c r="D303" s="360"/>
      <c r="E303" s="360"/>
      <c r="F303" s="360"/>
      <c r="G303" s="360"/>
      <c r="H303" s="360"/>
      <c r="I303" s="360"/>
      <c r="J303" s="360"/>
      <c r="K303" s="360"/>
      <c r="L303" s="360"/>
      <c r="M303" s="360"/>
      <c r="N303" s="360"/>
      <c r="O303" s="360"/>
      <c r="P303" s="359"/>
      <c r="Q303" s="360"/>
      <c r="R303" s="360"/>
      <c r="S303" s="360"/>
    </row>
    <row r="304" spans="4:19">
      <c r="D304" s="360"/>
      <c r="E304" s="360"/>
      <c r="F304" s="360"/>
      <c r="G304" s="360"/>
      <c r="H304" s="360"/>
      <c r="I304" s="360"/>
      <c r="J304" s="360"/>
      <c r="K304" s="360"/>
      <c r="L304" s="360"/>
      <c r="M304" s="360"/>
      <c r="N304" s="360"/>
      <c r="O304" s="360"/>
      <c r="P304" s="359"/>
      <c r="Q304" s="360"/>
      <c r="R304" s="360"/>
      <c r="S304" s="360"/>
    </row>
    <row r="305" spans="4:19">
      <c r="D305" s="360"/>
      <c r="E305" s="360"/>
      <c r="F305" s="360"/>
      <c r="G305" s="360"/>
      <c r="H305" s="360"/>
      <c r="I305" s="360"/>
      <c r="J305" s="360"/>
      <c r="K305" s="360"/>
      <c r="L305" s="360"/>
      <c r="M305" s="360"/>
      <c r="N305" s="360"/>
      <c r="O305" s="360"/>
      <c r="P305" s="359"/>
      <c r="Q305" s="360"/>
      <c r="R305" s="360"/>
      <c r="S305" s="360"/>
    </row>
    <row r="306" spans="4:19">
      <c r="D306" s="360"/>
      <c r="E306" s="360"/>
      <c r="F306" s="360"/>
      <c r="G306" s="360"/>
      <c r="H306" s="360"/>
      <c r="I306" s="360"/>
      <c r="J306" s="360"/>
      <c r="K306" s="360"/>
      <c r="L306" s="360"/>
      <c r="M306" s="360"/>
      <c r="N306" s="360"/>
      <c r="O306" s="360"/>
      <c r="P306" s="359"/>
      <c r="Q306" s="360"/>
      <c r="R306" s="360"/>
      <c r="S306" s="360"/>
    </row>
    <row r="307" spans="4:19">
      <c r="D307" s="360"/>
      <c r="E307" s="360"/>
      <c r="F307" s="360"/>
      <c r="G307" s="360"/>
      <c r="H307" s="360"/>
      <c r="I307" s="360"/>
      <c r="J307" s="360"/>
      <c r="K307" s="360"/>
      <c r="L307" s="360"/>
      <c r="M307" s="360"/>
      <c r="N307" s="360"/>
      <c r="O307" s="360"/>
      <c r="P307" s="359"/>
      <c r="Q307" s="360"/>
      <c r="R307" s="360"/>
      <c r="S307" s="360"/>
    </row>
    <row r="308" spans="4:19">
      <c r="D308" s="360"/>
      <c r="E308" s="360"/>
      <c r="F308" s="360"/>
      <c r="G308" s="360"/>
      <c r="H308" s="360"/>
      <c r="I308" s="360"/>
      <c r="J308" s="360"/>
      <c r="K308" s="360"/>
      <c r="L308" s="360"/>
      <c r="M308" s="360"/>
      <c r="N308" s="360"/>
      <c r="O308" s="360"/>
      <c r="P308" s="359"/>
      <c r="Q308" s="360"/>
      <c r="R308" s="360"/>
      <c r="S308" s="360"/>
    </row>
    <row r="309" spans="4:19">
      <c r="D309" s="360"/>
      <c r="E309" s="360"/>
      <c r="F309" s="360"/>
      <c r="G309" s="360"/>
      <c r="H309" s="360"/>
      <c r="I309" s="360"/>
      <c r="J309" s="360"/>
      <c r="K309" s="360"/>
      <c r="L309" s="360"/>
      <c r="M309" s="360"/>
      <c r="N309" s="360"/>
      <c r="O309" s="360"/>
      <c r="P309" s="359"/>
      <c r="Q309" s="360"/>
      <c r="R309" s="360"/>
      <c r="S309" s="360"/>
    </row>
    <row r="310" spans="4:19">
      <c r="D310" s="360"/>
      <c r="E310" s="360"/>
      <c r="F310" s="360"/>
      <c r="G310" s="360"/>
      <c r="H310" s="360"/>
      <c r="I310" s="360"/>
      <c r="J310" s="360"/>
      <c r="K310" s="360"/>
      <c r="L310" s="360"/>
      <c r="M310" s="360"/>
      <c r="N310" s="360"/>
      <c r="O310" s="360"/>
      <c r="P310" s="359"/>
      <c r="Q310" s="360"/>
      <c r="R310" s="360"/>
      <c r="S310" s="360"/>
    </row>
    <row r="311" spans="4:19">
      <c r="D311" s="360"/>
      <c r="E311" s="360"/>
      <c r="F311" s="360"/>
      <c r="G311" s="360"/>
      <c r="H311" s="360"/>
      <c r="I311" s="360"/>
      <c r="J311" s="360"/>
      <c r="K311" s="360"/>
      <c r="L311" s="360"/>
      <c r="M311" s="360"/>
      <c r="N311" s="360"/>
      <c r="O311" s="360"/>
      <c r="P311" s="359"/>
      <c r="Q311" s="360"/>
      <c r="R311" s="360"/>
      <c r="S311" s="360"/>
    </row>
    <row r="312" spans="4:19">
      <c r="D312" s="360"/>
      <c r="E312" s="360"/>
      <c r="F312" s="360"/>
      <c r="G312" s="360"/>
      <c r="H312" s="360"/>
      <c r="I312" s="360"/>
      <c r="J312" s="360"/>
      <c r="K312" s="360"/>
      <c r="L312" s="360"/>
      <c r="M312" s="360"/>
      <c r="N312" s="360"/>
      <c r="O312" s="360"/>
      <c r="P312" s="359"/>
      <c r="Q312" s="360"/>
      <c r="R312" s="360"/>
      <c r="S312" s="360"/>
    </row>
    <row r="313" spans="4:19">
      <c r="D313" s="360"/>
      <c r="E313" s="360"/>
      <c r="F313" s="360"/>
      <c r="G313" s="360"/>
      <c r="H313" s="360"/>
      <c r="I313" s="360"/>
      <c r="J313" s="360"/>
      <c r="K313" s="360"/>
      <c r="L313" s="360"/>
      <c r="M313" s="360"/>
      <c r="N313" s="360"/>
      <c r="O313" s="360"/>
      <c r="P313" s="359"/>
      <c r="Q313" s="360"/>
      <c r="R313" s="360"/>
      <c r="S313" s="360"/>
    </row>
    <row r="314" spans="4:19">
      <c r="D314" s="360"/>
      <c r="E314" s="360"/>
      <c r="F314" s="360"/>
      <c r="G314" s="360"/>
      <c r="H314" s="360"/>
      <c r="I314" s="360"/>
      <c r="J314" s="360"/>
      <c r="K314" s="360"/>
      <c r="L314" s="360"/>
      <c r="M314" s="360"/>
      <c r="N314" s="360"/>
      <c r="O314" s="360"/>
      <c r="P314" s="359"/>
      <c r="Q314" s="360"/>
      <c r="R314" s="360"/>
      <c r="S314" s="360"/>
    </row>
    <row r="315" spans="4:19">
      <c r="D315" s="360"/>
      <c r="E315" s="360"/>
      <c r="F315" s="360"/>
      <c r="G315" s="360"/>
      <c r="H315" s="360"/>
      <c r="I315" s="360"/>
      <c r="J315" s="360"/>
      <c r="K315" s="360"/>
      <c r="L315" s="360"/>
      <c r="M315" s="360"/>
      <c r="N315" s="360"/>
      <c r="O315" s="360"/>
      <c r="P315" s="359"/>
      <c r="Q315" s="360"/>
      <c r="R315" s="360"/>
      <c r="S315" s="360"/>
    </row>
    <row r="316" spans="4:19">
      <c r="D316" s="360"/>
      <c r="E316" s="360"/>
      <c r="F316" s="360"/>
      <c r="G316" s="360"/>
      <c r="H316" s="360"/>
      <c r="I316" s="360"/>
      <c r="J316" s="360"/>
      <c r="K316" s="360"/>
      <c r="L316" s="360"/>
      <c r="M316" s="360"/>
      <c r="N316" s="360"/>
      <c r="O316" s="360"/>
      <c r="P316" s="359"/>
      <c r="Q316" s="360"/>
      <c r="R316" s="360"/>
      <c r="S316" s="360"/>
    </row>
    <row r="317" spans="4:19">
      <c r="D317" s="360"/>
      <c r="E317" s="360"/>
      <c r="F317" s="360"/>
      <c r="G317" s="360"/>
      <c r="H317" s="360"/>
      <c r="I317" s="360"/>
      <c r="J317" s="360"/>
      <c r="K317" s="360"/>
      <c r="L317" s="360"/>
      <c r="M317" s="360"/>
      <c r="N317" s="360"/>
      <c r="O317" s="360"/>
      <c r="P317" s="359"/>
      <c r="Q317" s="360"/>
      <c r="R317" s="360"/>
      <c r="S317" s="360"/>
    </row>
    <row r="318" spans="4:19">
      <c r="D318" s="360"/>
      <c r="E318" s="360"/>
      <c r="F318" s="360"/>
      <c r="G318" s="360"/>
      <c r="H318" s="360"/>
      <c r="I318" s="360"/>
      <c r="J318" s="360"/>
      <c r="K318" s="360"/>
      <c r="L318" s="360"/>
      <c r="M318" s="360"/>
      <c r="N318" s="360"/>
      <c r="O318" s="360"/>
      <c r="P318" s="359"/>
      <c r="Q318" s="360"/>
      <c r="R318" s="360"/>
      <c r="S318" s="360"/>
    </row>
    <row r="319" spans="4:19">
      <c r="D319" s="360"/>
      <c r="E319" s="360"/>
      <c r="F319" s="360"/>
      <c r="G319" s="360"/>
      <c r="H319" s="360"/>
      <c r="I319" s="360"/>
      <c r="J319" s="360"/>
      <c r="K319" s="360"/>
      <c r="L319" s="360"/>
      <c r="M319" s="360"/>
      <c r="N319" s="360"/>
      <c r="O319" s="360"/>
      <c r="P319" s="359"/>
      <c r="Q319" s="360"/>
      <c r="R319" s="360"/>
      <c r="S319" s="360"/>
    </row>
    <row r="320" spans="4:19"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59"/>
      <c r="Q320" s="360"/>
      <c r="R320" s="360"/>
      <c r="S320" s="360"/>
    </row>
    <row r="321" spans="4:19">
      <c r="D321" s="360"/>
      <c r="E321" s="360"/>
      <c r="F321" s="360"/>
      <c r="G321" s="360"/>
      <c r="H321" s="360"/>
      <c r="I321" s="360"/>
      <c r="J321" s="360"/>
      <c r="K321" s="360"/>
      <c r="L321" s="360"/>
      <c r="M321" s="360"/>
      <c r="N321" s="360"/>
      <c r="O321" s="360"/>
      <c r="P321" s="359"/>
      <c r="Q321" s="360"/>
      <c r="R321" s="360"/>
      <c r="S321" s="360"/>
    </row>
    <row r="322" spans="4:19">
      <c r="D322" s="360"/>
      <c r="E322" s="360"/>
      <c r="F322" s="360"/>
      <c r="G322" s="360"/>
      <c r="H322" s="360"/>
      <c r="I322" s="360"/>
      <c r="J322" s="360"/>
      <c r="K322" s="360"/>
      <c r="L322" s="360"/>
      <c r="M322" s="360"/>
      <c r="N322" s="360"/>
      <c r="O322" s="360"/>
      <c r="P322" s="359"/>
      <c r="Q322" s="360"/>
      <c r="R322" s="360"/>
      <c r="S322" s="360"/>
    </row>
    <row r="323" spans="4:19">
      <c r="D323" s="360"/>
      <c r="E323" s="360"/>
      <c r="F323" s="360"/>
      <c r="G323" s="360"/>
      <c r="H323" s="360"/>
      <c r="I323" s="360"/>
      <c r="J323" s="360"/>
      <c r="K323" s="360"/>
      <c r="L323" s="360"/>
      <c r="M323" s="360"/>
      <c r="N323" s="360"/>
      <c r="O323" s="360"/>
      <c r="P323" s="359"/>
      <c r="Q323" s="360"/>
      <c r="R323" s="360"/>
      <c r="S323" s="360"/>
    </row>
    <row r="324" spans="4:19"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59"/>
      <c r="Q324" s="360"/>
      <c r="R324" s="360"/>
      <c r="S324" s="360"/>
    </row>
    <row r="325" spans="4:19"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59"/>
      <c r="Q325" s="360"/>
      <c r="R325" s="360"/>
      <c r="S325" s="360"/>
    </row>
    <row r="326" spans="4:19"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59"/>
      <c r="Q326" s="360"/>
      <c r="R326" s="360"/>
      <c r="S326" s="360"/>
    </row>
    <row r="327" spans="4:19"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59"/>
      <c r="Q327" s="360"/>
      <c r="R327" s="360"/>
      <c r="S327" s="360"/>
    </row>
    <row r="328" spans="4:19"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59"/>
      <c r="Q328" s="360"/>
      <c r="R328" s="360"/>
      <c r="S328" s="360"/>
    </row>
    <row r="329" spans="4:19"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59"/>
      <c r="Q329" s="360"/>
      <c r="R329" s="360"/>
      <c r="S329" s="360"/>
    </row>
    <row r="330" spans="4:19"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59"/>
      <c r="Q330" s="360"/>
      <c r="R330" s="360"/>
      <c r="S330" s="360"/>
    </row>
    <row r="331" spans="4:19"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59"/>
      <c r="Q331" s="360"/>
      <c r="R331" s="360"/>
      <c r="S331" s="360"/>
    </row>
    <row r="332" spans="4:19"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59"/>
      <c r="Q332" s="360"/>
      <c r="R332" s="360"/>
      <c r="S332" s="360"/>
    </row>
    <row r="333" spans="4:19"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59"/>
      <c r="Q333" s="360"/>
      <c r="R333" s="360"/>
      <c r="S333" s="360"/>
    </row>
    <row r="334" spans="4:19"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59"/>
      <c r="Q334" s="360"/>
      <c r="R334" s="360"/>
      <c r="S334" s="360"/>
    </row>
    <row r="335" spans="4:19"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59"/>
      <c r="Q335" s="360"/>
      <c r="R335" s="360"/>
      <c r="S335" s="360"/>
    </row>
    <row r="336" spans="4:19"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59"/>
      <c r="Q336" s="360"/>
      <c r="R336" s="360"/>
      <c r="S336" s="360"/>
    </row>
    <row r="337" spans="4:19"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59"/>
      <c r="Q337" s="360"/>
      <c r="R337" s="360"/>
      <c r="S337" s="360"/>
    </row>
    <row r="338" spans="4:19"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59"/>
      <c r="Q338" s="360"/>
      <c r="R338" s="360"/>
      <c r="S338" s="360"/>
    </row>
    <row r="339" spans="4:19"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59"/>
      <c r="Q339" s="360"/>
      <c r="R339" s="360"/>
      <c r="S339" s="360"/>
    </row>
    <row r="340" spans="4:19"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59"/>
      <c r="Q340" s="360"/>
      <c r="R340" s="360"/>
      <c r="S340" s="360"/>
    </row>
    <row r="341" spans="4:19"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59"/>
      <c r="Q341" s="360"/>
      <c r="R341" s="360"/>
      <c r="S341" s="360"/>
    </row>
    <row r="342" spans="4:19"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59"/>
      <c r="Q342" s="360"/>
      <c r="R342" s="360"/>
      <c r="S342" s="360"/>
    </row>
    <row r="343" spans="4:19"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59"/>
      <c r="Q343" s="360"/>
      <c r="R343" s="360"/>
      <c r="S343" s="360"/>
    </row>
    <row r="344" spans="4:19"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59"/>
      <c r="Q344" s="360"/>
      <c r="R344" s="360"/>
      <c r="S344" s="360"/>
    </row>
    <row r="345" spans="4:19"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59"/>
      <c r="Q345" s="360"/>
      <c r="R345" s="360"/>
      <c r="S345" s="360"/>
    </row>
    <row r="346" spans="4:19"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59"/>
      <c r="Q346" s="360"/>
      <c r="R346" s="360"/>
      <c r="S346" s="360"/>
    </row>
    <row r="347" spans="4:19"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59"/>
      <c r="Q347" s="360"/>
      <c r="R347" s="360"/>
      <c r="S347" s="360"/>
    </row>
    <row r="348" spans="4:19"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59"/>
      <c r="Q348" s="360"/>
      <c r="R348" s="360"/>
      <c r="S348" s="360"/>
    </row>
    <row r="349" spans="4:19"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59"/>
      <c r="Q349" s="360"/>
      <c r="R349" s="360"/>
      <c r="S349" s="360"/>
    </row>
    <row r="350" spans="4:19"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59"/>
      <c r="Q350" s="360"/>
      <c r="R350" s="360"/>
      <c r="S350" s="360"/>
    </row>
    <row r="351" spans="4:19"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59"/>
      <c r="Q351" s="360"/>
      <c r="R351" s="360"/>
      <c r="S351" s="360"/>
    </row>
    <row r="352" spans="4:19"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59"/>
      <c r="Q352" s="360"/>
      <c r="R352" s="360"/>
      <c r="S352" s="360"/>
    </row>
    <row r="353" spans="4:19"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59"/>
      <c r="Q353" s="360"/>
      <c r="R353" s="360"/>
      <c r="S353" s="360"/>
    </row>
    <row r="354" spans="4:19"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59"/>
      <c r="Q354" s="360"/>
      <c r="R354" s="360"/>
      <c r="S354" s="360"/>
    </row>
    <row r="355" spans="4:19"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59"/>
      <c r="Q355" s="360"/>
      <c r="R355" s="360"/>
      <c r="S355" s="360"/>
    </row>
    <row r="356" spans="4:19"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59"/>
      <c r="Q356" s="360"/>
      <c r="R356" s="360"/>
      <c r="S356" s="360"/>
    </row>
    <row r="357" spans="4:19"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59"/>
      <c r="Q357" s="360"/>
      <c r="R357" s="360"/>
      <c r="S357" s="360"/>
    </row>
    <row r="358" spans="4:19"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59"/>
      <c r="Q358" s="360"/>
      <c r="R358" s="360"/>
      <c r="S358" s="360"/>
    </row>
    <row r="359" spans="4:19"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59"/>
      <c r="Q359" s="360"/>
      <c r="R359" s="360"/>
      <c r="S359" s="360"/>
    </row>
    <row r="360" spans="4:19"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59"/>
      <c r="Q360" s="360"/>
      <c r="R360" s="360"/>
      <c r="S360" s="360"/>
    </row>
    <row r="361" spans="4:19"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59"/>
      <c r="Q361" s="360"/>
      <c r="R361" s="360"/>
      <c r="S361" s="360"/>
    </row>
    <row r="362" spans="4:19"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59"/>
      <c r="Q362" s="360"/>
      <c r="R362" s="360"/>
      <c r="S362" s="360"/>
    </row>
    <row r="363" spans="4:19"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59"/>
      <c r="Q363" s="360"/>
      <c r="R363" s="360"/>
      <c r="S363" s="360"/>
    </row>
    <row r="364" spans="4:19"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59"/>
      <c r="Q364" s="360"/>
      <c r="R364" s="360"/>
      <c r="S364" s="360"/>
    </row>
    <row r="365" spans="4:19"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59"/>
      <c r="Q365" s="360"/>
      <c r="R365" s="360"/>
      <c r="S365" s="360"/>
    </row>
    <row r="366" spans="4:19"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59"/>
      <c r="Q366" s="360"/>
      <c r="R366" s="360"/>
      <c r="S366" s="360"/>
    </row>
    <row r="367" spans="4:19"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59"/>
      <c r="Q367" s="360"/>
      <c r="R367" s="360"/>
      <c r="S367" s="360"/>
    </row>
    <row r="368" spans="4:19"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59"/>
      <c r="Q368" s="360"/>
      <c r="R368" s="360"/>
      <c r="S368" s="360"/>
    </row>
    <row r="369" spans="4:19"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59"/>
      <c r="Q369" s="360"/>
      <c r="R369" s="360"/>
      <c r="S369" s="360"/>
    </row>
    <row r="370" spans="4:19"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59"/>
      <c r="Q370" s="360"/>
      <c r="R370" s="360"/>
      <c r="S370" s="360"/>
    </row>
    <row r="371" spans="4:19"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59"/>
      <c r="Q371" s="360"/>
      <c r="R371" s="360"/>
      <c r="S371" s="360"/>
    </row>
    <row r="372" spans="4:19"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59"/>
      <c r="Q372" s="360"/>
      <c r="R372" s="360"/>
      <c r="S372" s="360"/>
    </row>
    <row r="373" spans="4:19"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59"/>
      <c r="Q373" s="360"/>
      <c r="R373" s="360"/>
      <c r="S373" s="360"/>
    </row>
    <row r="374" spans="4:19"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59"/>
      <c r="Q374" s="360"/>
      <c r="R374" s="360"/>
      <c r="S374" s="360"/>
    </row>
    <row r="375" spans="4:19"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59"/>
      <c r="Q375" s="360"/>
      <c r="R375" s="360"/>
      <c r="S375" s="360"/>
    </row>
    <row r="376" spans="4:19"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59"/>
      <c r="Q376" s="360"/>
      <c r="R376" s="360"/>
      <c r="S376" s="360"/>
    </row>
    <row r="377" spans="4:19"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59"/>
      <c r="Q377" s="360"/>
      <c r="R377" s="360"/>
      <c r="S377" s="360"/>
    </row>
    <row r="378" spans="4:19"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59"/>
      <c r="Q378" s="360"/>
      <c r="R378" s="360"/>
      <c r="S378" s="360"/>
    </row>
    <row r="379" spans="4:19"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59"/>
      <c r="Q379" s="360"/>
      <c r="R379" s="360"/>
      <c r="S379" s="360"/>
    </row>
    <row r="380" spans="4:19"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59"/>
      <c r="Q380" s="360"/>
      <c r="R380" s="360"/>
      <c r="S380" s="360"/>
    </row>
    <row r="381" spans="4:19"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59"/>
      <c r="Q381" s="360"/>
      <c r="R381" s="360"/>
      <c r="S381" s="360"/>
    </row>
    <row r="382" spans="4:19"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59"/>
      <c r="Q382" s="360"/>
      <c r="R382" s="360"/>
      <c r="S382" s="360"/>
    </row>
    <row r="383" spans="4:19"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59"/>
      <c r="Q383" s="360"/>
      <c r="R383" s="360"/>
      <c r="S383" s="360"/>
    </row>
    <row r="384" spans="4:19"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59"/>
      <c r="Q384" s="360"/>
      <c r="R384" s="360"/>
      <c r="S384" s="360"/>
    </row>
    <row r="385" spans="4:19"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59"/>
      <c r="Q385" s="360"/>
      <c r="R385" s="360"/>
      <c r="S385" s="360"/>
    </row>
    <row r="386" spans="4:19"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59"/>
      <c r="Q386" s="360"/>
      <c r="R386" s="360"/>
      <c r="S386" s="360"/>
    </row>
    <row r="387" spans="4:19"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59"/>
      <c r="Q387" s="360"/>
      <c r="R387" s="360"/>
      <c r="S387" s="360"/>
    </row>
    <row r="388" spans="4:19"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59"/>
      <c r="Q388" s="360"/>
      <c r="R388" s="360"/>
      <c r="S388" s="360"/>
    </row>
    <row r="389" spans="4:19"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59"/>
      <c r="Q389" s="360"/>
      <c r="R389" s="360"/>
      <c r="S389" s="360"/>
    </row>
    <row r="390" spans="4:19"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59"/>
      <c r="Q390" s="360"/>
      <c r="R390" s="360"/>
      <c r="S390" s="360"/>
    </row>
    <row r="391" spans="4:19"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59"/>
      <c r="Q391" s="360"/>
      <c r="R391" s="360"/>
      <c r="S391" s="360"/>
    </row>
    <row r="392" spans="4:19"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59"/>
      <c r="Q392" s="360"/>
      <c r="R392" s="360"/>
      <c r="S392" s="360"/>
    </row>
    <row r="393" spans="4:19"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59"/>
      <c r="Q393" s="360"/>
      <c r="R393" s="360"/>
      <c r="S393" s="360"/>
    </row>
    <row r="394" spans="4:19"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59"/>
      <c r="Q394" s="360"/>
      <c r="R394" s="360"/>
      <c r="S394" s="360"/>
    </row>
    <row r="395" spans="4:19"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59"/>
      <c r="Q395" s="360"/>
      <c r="R395" s="360"/>
      <c r="S395" s="360"/>
    </row>
    <row r="396" spans="4:19"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59"/>
      <c r="Q396" s="360"/>
      <c r="R396" s="360"/>
      <c r="S396" s="360"/>
    </row>
    <row r="397" spans="4:19"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59"/>
      <c r="Q397" s="360"/>
      <c r="R397" s="360"/>
      <c r="S397" s="360"/>
    </row>
    <row r="398" spans="4:19">
      <c r="D398" s="360"/>
      <c r="E398" s="360"/>
      <c r="F398" s="360"/>
      <c r="G398" s="360"/>
      <c r="H398" s="360"/>
      <c r="I398" s="360"/>
      <c r="J398" s="360"/>
      <c r="K398" s="360"/>
      <c r="L398" s="360"/>
      <c r="M398" s="360"/>
      <c r="N398" s="360"/>
      <c r="O398" s="360"/>
      <c r="P398" s="359"/>
      <c r="Q398" s="360"/>
      <c r="R398" s="360"/>
      <c r="S398" s="360"/>
    </row>
    <row r="399" spans="4:19">
      <c r="D399" s="360"/>
      <c r="E399" s="360"/>
      <c r="F399" s="360"/>
      <c r="G399" s="360"/>
      <c r="H399" s="360"/>
      <c r="I399" s="360"/>
      <c r="J399" s="360"/>
      <c r="K399" s="360"/>
      <c r="L399" s="360"/>
      <c r="M399" s="360"/>
      <c r="N399" s="360"/>
      <c r="O399" s="360"/>
      <c r="P399" s="359"/>
      <c r="Q399" s="360"/>
      <c r="R399" s="360"/>
      <c r="S399" s="360"/>
    </row>
    <row r="400" spans="4:19">
      <c r="D400" s="360"/>
      <c r="E400" s="360"/>
      <c r="F400" s="360"/>
      <c r="G400" s="360"/>
      <c r="H400" s="360"/>
      <c r="I400" s="360"/>
      <c r="J400" s="360"/>
      <c r="K400" s="360"/>
      <c r="L400" s="360"/>
      <c r="M400" s="360"/>
      <c r="N400" s="360"/>
      <c r="O400" s="360"/>
      <c r="P400" s="359"/>
      <c r="Q400" s="360"/>
      <c r="R400" s="360"/>
      <c r="S400" s="360"/>
    </row>
    <row r="401" spans="4:19">
      <c r="D401" s="360"/>
      <c r="E401" s="360"/>
      <c r="F401" s="360"/>
      <c r="G401" s="360"/>
      <c r="H401" s="360"/>
      <c r="I401" s="360"/>
      <c r="J401" s="360"/>
      <c r="K401" s="360"/>
      <c r="L401" s="360"/>
      <c r="M401" s="360"/>
      <c r="N401" s="360"/>
      <c r="O401" s="360"/>
      <c r="P401" s="359"/>
      <c r="Q401" s="360"/>
      <c r="R401" s="360"/>
      <c r="S401" s="360"/>
    </row>
    <row r="402" spans="4:19">
      <c r="D402" s="360"/>
      <c r="E402" s="360"/>
      <c r="F402" s="360"/>
      <c r="G402" s="360"/>
      <c r="H402" s="360"/>
      <c r="I402" s="360"/>
      <c r="J402" s="360"/>
      <c r="K402" s="360"/>
      <c r="L402" s="360"/>
      <c r="M402" s="360"/>
      <c r="N402" s="360"/>
      <c r="O402" s="360"/>
      <c r="P402" s="359"/>
      <c r="Q402" s="360"/>
      <c r="R402" s="360"/>
      <c r="S402" s="360"/>
    </row>
    <row r="403" spans="4:19">
      <c r="D403" s="360"/>
      <c r="E403" s="360"/>
      <c r="F403" s="360"/>
      <c r="G403" s="360"/>
      <c r="H403" s="360"/>
      <c r="I403" s="360"/>
      <c r="J403" s="360"/>
      <c r="K403" s="360"/>
      <c r="L403" s="360"/>
      <c r="M403" s="360"/>
      <c r="N403" s="360"/>
      <c r="O403" s="360"/>
      <c r="P403" s="359"/>
      <c r="Q403" s="360"/>
      <c r="R403" s="360"/>
      <c r="S403" s="360"/>
    </row>
    <row r="404" spans="4:19">
      <c r="D404" s="360"/>
      <c r="E404" s="360"/>
      <c r="F404" s="360"/>
      <c r="G404" s="360"/>
      <c r="H404" s="360"/>
      <c r="I404" s="360"/>
      <c r="J404" s="360"/>
      <c r="K404" s="360"/>
      <c r="L404" s="360"/>
      <c r="M404" s="360"/>
      <c r="N404" s="360"/>
      <c r="O404" s="360"/>
      <c r="P404" s="359"/>
      <c r="Q404" s="360"/>
      <c r="R404" s="360"/>
      <c r="S404" s="360"/>
    </row>
    <row r="405" spans="4:19">
      <c r="D405" s="360"/>
      <c r="E405" s="360"/>
      <c r="F405" s="360"/>
      <c r="G405" s="360"/>
      <c r="H405" s="360"/>
      <c r="I405" s="360"/>
      <c r="J405" s="360"/>
      <c r="K405" s="360"/>
      <c r="L405" s="360"/>
      <c r="M405" s="360"/>
      <c r="N405" s="360"/>
      <c r="O405" s="360"/>
      <c r="P405" s="359"/>
      <c r="Q405" s="360"/>
      <c r="R405" s="360"/>
      <c r="S405" s="360"/>
    </row>
    <row r="406" spans="4:19">
      <c r="D406" s="360"/>
      <c r="E406" s="360"/>
      <c r="F406" s="360"/>
      <c r="G406" s="360"/>
      <c r="H406" s="360"/>
      <c r="I406" s="360"/>
      <c r="J406" s="360"/>
      <c r="K406" s="360"/>
      <c r="L406" s="360"/>
      <c r="M406" s="360"/>
      <c r="N406" s="360"/>
      <c r="O406" s="360"/>
      <c r="P406" s="359"/>
      <c r="Q406" s="360"/>
      <c r="R406" s="360"/>
      <c r="S406" s="360"/>
    </row>
    <row r="407" spans="4:19">
      <c r="D407" s="360"/>
      <c r="E407" s="360"/>
      <c r="F407" s="360"/>
      <c r="G407" s="360"/>
      <c r="H407" s="360"/>
      <c r="I407" s="360"/>
      <c r="J407" s="360"/>
      <c r="K407" s="360"/>
      <c r="L407" s="360"/>
      <c r="M407" s="360"/>
      <c r="N407" s="360"/>
      <c r="O407" s="360"/>
      <c r="P407" s="359"/>
      <c r="Q407" s="360"/>
      <c r="R407" s="360"/>
      <c r="S407" s="360"/>
    </row>
    <row r="408" spans="4:19">
      <c r="D408" s="360"/>
      <c r="E408" s="360"/>
      <c r="F408" s="360"/>
      <c r="G408" s="360"/>
      <c r="H408" s="360"/>
      <c r="I408" s="360"/>
      <c r="J408" s="360"/>
      <c r="K408" s="360"/>
      <c r="L408" s="360"/>
      <c r="M408" s="360"/>
      <c r="N408" s="360"/>
      <c r="O408" s="360"/>
      <c r="P408" s="359"/>
      <c r="Q408" s="360"/>
      <c r="R408" s="360"/>
      <c r="S408" s="360"/>
    </row>
    <row r="409" spans="4:19">
      <c r="D409" s="360"/>
      <c r="E409" s="360"/>
      <c r="F409" s="360"/>
      <c r="G409" s="360"/>
      <c r="H409" s="360"/>
      <c r="I409" s="360"/>
      <c r="J409" s="360"/>
      <c r="K409" s="360"/>
      <c r="L409" s="360"/>
      <c r="M409" s="360"/>
      <c r="N409" s="360"/>
      <c r="O409" s="360"/>
      <c r="P409" s="359"/>
      <c r="Q409" s="360"/>
      <c r="R409" s="360"/>
      <c r="S409" s="360"/>
    </row>
    <row r="410" spans="4:19">
      <c r="D410" s="360"/>
      <c r="E410" s="360"/>
      <c r="F410" s="360"/>
      <c r="G410" s="360"/>
      <c r="H410" s="360"/>
      <c r="I410" s="360"/>
      <c r="J410" s="360"/>
      <c r="K410" s="360"/>
      <c r="L410" s="360"/>
      <c r="M410" s="360"/>
      <c r="N410" s="360"/>
      <c r="O410" s="360"/>
      <c r="P410" s="359"/>
      <c r="Q410" s="360"/>
      <c r="R410" s="360"/>
      <c r="S410" s="360"/>
    </row>
    <row r="411" spans="4:19">
      <c r="D411" s="360"/>
      <c r="E411" s="360"/>
      <c r="F411" s="360"/>
      <c r="G411" s="360"/>
      <c r="H411" s="360"/>
      <c r="I411" s="360"/>
      <c r="J411" s="360"/>
      <c r="K411" s="360"/>
      <c r="L411" s="360"/>
      <c r="M411" s="360"/>
      <c r="N411" s="360"/>
      <c r="O411" s="360"/>
      <c r="P411" s="359"/>
      <c r="Q411" s="360"/>
      <c r="R411" s="360"/>
      <c r="S411" s="360"/>
    </row>
    <row r="412" spans="4:19">
      <c r="D412" s="360"/>
      <c r="E412" s="360"/>
      <c r="F412" s="360"/>
      <c r="G412" s="360"/>
      <c r="H412" s="360"/>
      <c r="I412" s="360"/>
      <c r="J412" s="360"/>
      <c r="K412" s="360"/>
      <c r="L412" s="360"/>
      <c r="M412" s="360"/>
      <c r="N412" s="360"/>
      <c r="O412" s="360"/>
      <c r="P412" s="359"/>
      <c r="Q412" s="360"/>
      <c r="R412" s="360"/>
      <c r="S412" s="360"/>
    </row>
    <row r="413" spans="4:19">
      <c r="D413" s="360"/>
      <c r="E413" s="360"/>
      <c r="F413" s="360"/>
      <c r="G413" s="360"/>
      <c r="H413" s="360"/>
      <c r="I413" s="360"/>
      <c r="J413" s="360"/>
      <c r="K413" s="360"/>
      <c r="L413" s="360"/>
      <c r="M413" s="360"/>
      <c r="N413" s="360"/>
      <c r="O413" s="360"/>
      <c r="P413" s="359"/>
      <c r="Q413" s="360"/>
      <c r="R413" s="360"/>
      <c r="S413" s="360"/>
    </row>
    <row r="414" spans="4:19">
      <c r="D414" s="360"/>
      <c r="E414" s="360"/>
      <c r="F414" s="360"/>
      <c r="G414" s="360"/>
      <c r="H414" s="360"/>
      <c r="I414" s="360"/>
      <c r="J414" s="360"/>
      <c r="K414" s="360"/>
      <c r="L414" s="360"/>
      <c r="M414" s="360"/>
      <c r="N414" s="360"/>
      <c r="O414" s="360"/>
      <c r="P414" s="359"/>
      <c r="Q414" s="360"/>
      <c r="R414" s="360"/>
      <c r="S414" s="360"/>
    </row>
    <row r="415" spans="4:19">
      <c r="D415" s="360"/>
      <c r="E415" s="360"/>
      <c r="F415" s="360"/>
      <c r="G415" s="360"/>
      <c r="H415" s="360"/>
      <c r="I415" s="360"/>
      <c r="J415" s="360"/>
      <c r="K415" s="360"/>
      <c r="L415" s="360"/>
      <c r="M415" s="360"/>
      <c r="N415" s="360"/>
      <c r="O415" s="360"/>
      <c r="P415" s="359"/>
      <c r="Q415" s="360"/>
      <c r="R415" s="360"/>
      <c r="S415" s="360"/>
    </row>
    <row r="416" spans="4:19">
      <c r="D416" s="360"/>
      <c r="E416" s="360"/>
      <c r="F416" s="360"/>
      <c r="G416" s="360"/>
      <c r="H416" s="360"/>
      <c r="I416" s="360"/>
      <c r="J416" s="360"/>
      <c r="K416" s="360"/>
      <c r="L416" s="360"/>
      <c r="M416" s="360"/>
      <c r="N416" s="360"/>
      <c r="O416" s="360"/>
      <c r="P416" s="359"/>
      <c r="Q416" s="360"/>
      <c r="R416" s="360"/>
      <c r="S416" s="360"/>
    </row>
    <row r="417" spans="4:19">
      <c r="D417" s="360"/>
      <c r="E417" s="360"/>
      <c r="F417" s="360"/>
      <c r="G417" s="360"/>
      <c r="H417" s="360"/>
      <c r="I417" s="360"/>
      <c r="J417" s="360"/>
      <c r="K417" s="360"/>
      <c r="L417" s="360"/>
      <c r="M417" s="360"/>
      <c r="N417" s="360"/>
      <c r="O417" s="360"/>
      <c r="P417" s="359"/>
      <c r="Q417" s="360"/>
      <c r="R417" s="360"/>
      <c r="S417" s="360"/>
    </row>
    <row r="418" spans="4:19">
      <c r="D418" s="360"/>
      <c r="E418" s="360"/>
      <c r="F418" s="360"/>
      <c r="G418" s="360"/>
      <c r="H418" s="360"/>
      <c r="I418" s="360"/>
      <c r="J418" s="360"/>
      <c r="K418" s="360"/>
      <c r="L418" s="360"/>
      <c r="M418" s="360"/>
      <c r="N418" s="360"/>
      <c r="O418" s="360"/>
      <c r="P418" s="359"/>
      <c r="Q418" s="360"/>
      <c r="R418" s="360"/>
      <c r="S418" s="360"/>
    </row>
    <row r="419" spans="4:19">
      <c r="D419" s="360"/>
      <c r="E419" s="360"/>
      <c r="F419" s="360"/>
      <c r="G419" s="360"/>
      <c r="H419" s="360"/>
      <c r="I419" s="360"/>
      <c r="J419" s="360"/>
      <c r="K419" s="360"/>
      <c r="L419" s="360"/>
      <c r="M419" s="360"/>
      <c r="N419" s="360"/>
      <c r="O419" s="360"/>
      <c r="P419" s="359"/>
      <c r="Q419" s="360"/>
      <c r="R419" s="360"/>
      <c r="S419" s="360"/>
    </row>
    <row r="420" spans="4:19">
      <c r="D420" s="360"/>
      <c r="E420" s="360"/>
      <c r="F420" s="360"/>
      <c r="G420" s="360"/>
      <c r="H420" s="360"/>
      <c r="I420" s="360"/>
      <c r="J420" s="360"/>
      <c r="K420" s="360"/>
      <c r="L420" s="360"/>
      <c r="M420" s="360"/>
      <c r="N420" s="360"/>
      <c r="O420" s="360"/>
      <c r="P420" s="359"/>
      <c r="Q420" s="360"/>
      <c r="R420" s="360"/>
      <c r="S420" s="360"/>
    </row>
    <row r="421" spans="4:19">
      <c r="D421" s="360"/>
      <c r="E421" s="360"/>
      <c r="F421" s="360"/>
      <c r="G421" s="360"/>
      <c r="H421" s="360"/>
      <c r="I421" s="360"/>
      <c r="J421" s="360"/>
      <c r="K421" s="360"/>
      <c r="L421" s="360"/>
      <c r="M421" s="360"/>
      <c r="N421" s="360"/>
      <c r="O421" s="360"/>
      <c r="P421" s="359"/>
      <c r="Q421" s="360"/>
      <c r="R421" s="360"/>
      <c r="S421" s="360"/>
    </row>
    <row r="422" spans="4:19">
      <c r="D422" s="360"/>
      <c r="E422" s="360"/>
      <c r="F422" s="360"/>
      <c r="G422" s="360"/>
      <c r="H422" s="360"/>
      <c r="I422" s="360"/>
      <c r="J422" s="360"/>
      <c r="K422" s="360"/>
      <c r="L422" s="360"/>
      <c r="M422" s="360"/>
      <c r="N422" s="360"/>
      <c r="O422" s="360"/>
      <c r="P422" s="359"/>
      <c r="Q422" s="360"/>
      <c r="R422" s="360"/>
      <c r="S422" s="360"/>
    </row>
    <row r="423" spans="4:19">
      <c r="D423" s="360"/>
      <c r="E423" s="360"/>
      <c r="F423" s="360"/>
      <c r="G423" s="360"/>
      <c r="H423" s="360"/>
      <c r="I423" s="360"/>
      <c r="J423" s="360"/>
      <c r="K423" s="360"/>
      <c r="L423" s="360"/>
      <c r="M423" s="360"/>
      <c r="N423" s="360"/>
      <c r="O423" s="360"/>
      <c r="P423" s="359"/>
      <c r="Q423" s="360"/>
      <c r="R423" s="360"/>
      <c r="S423" s="360"/>
    </row>
    <row r="424" spans="4:19">
      <c r="D424" s="360"/>
      <c r="E424" s="360"/>
      <c r="F424" s="360"/>
      <c r="G424" s="360"/>
      <c r="H424" s="360"/>
      <c r="I424" s="360"/>
      <c r="J424" s="360"/>
      <c r="K424" s="360"/>
      <c r="L424" s="360"/>
      <c r="M424" s="360"/>
      <c r="N424" s="360"/>
      <c r="O424" s="360"/>
      <c r="P424" s="359"/>
      <c r="Q424" s="360"/>
      <c r="R424" s="360"/>
      <c r="S424" s="360"/>
    </row>
    <row r="425" spans="4:19">
      <c r="D425" s="360"/>
      <c r="E425" s="360"/>
      <c r="F425" s="360"/>
      <c r="G425" s="360"/>
      <c r="H425" s="360"/>
      <c r="I425" s="360"/>
      <c r="J425" s="360"/>
      <c r="K425" s="360"/>
      <c r="L425" s="360"/>
      <c r="M425" s="360"/>
      <c r="N425" s="360"/>
      <c r="O425" s="360"/>
      <c r="P425" s="359"/>
      <c r="Q425" s="360"/>
      <c r="R425" s="360"/>
      <c r="S425" s="360"/>
    </row>
    <row r="426" spans="4:19">
      <c r="D426" s="360"/>
      <c r="E426" s="360"/>
      <c r="F426" s="360"/>
      <c r="G426" s="360"/>
      <c r="H426" s="360"/>
      <c r="I426" s="360"/>
      <c r="J426" s="360"/>
      <c r="K426" s="360"/>
      <c r="L426" s="360"/>
      <c r="M426" s="360"/>
      <c r="N426" s="360"/>
      <c r="O426" s="360"/>
      <c r="P426" s="359"/>
      <c r="Q426" s="360"/>
      <c r="R426" s="360"/>
      <c r="S426" s="360"/>
    </row>
    <row r="427" spans="4:19">
      <c r="D427" s="360"/>
      <c r="E427" s="360"/>
      <c r="F427" s="360"/>
      <c r="G427" s="360"/>
      <c r="H427" s="360"/>
      <c r="I427" s="360"/>
      <c r="J427" s="360"/>
      <c r="K427" s="360"/>
      <c r="L427" s="360"/>
      <c r="M427" s="360"/>
      <c r="N427" s="360"/>
      <c r="O427" s="360"/>
      <c r="P427" s="359"/>
      <c r="Q427" s="360"/>
      <c r="R427" s="360"/>
      <c r="S427" s="360"/>
    </row>
    <row r="428" spans="4:19">
      <c r="D428" s="360"/>
      <c r="E428" s="360"/>
      <c r="F428" s="360"/>
      <c r="G428" s="360"/>
      <c r="H428" s="360"/>
      <c r="I428" s="360"/>
      <c r="J428" s="360"/>
      <c r="K428" s="360"/>
      <c r="L428" s="360"/>
      <c r="M428" s="360"/>
      <c r="N428" s="360"/>
      <c r="O428" s="360"/>
      <c r="P428" s="359"/>
      <c r="Q428" s="360"/>
      <c r="R428" s="360"/>
      <c r="S428" s="360"/>
    </row>
    <row r="429" spans="4:19">
      <c r="D429" s="360"/>
      <c r="E429" s="360"/>
      <c r="F429" s="360"/>
      <c r="G429" s="360"/>
      <c r="H429" s="360"/>
      <c r="I429" s="360"/>
      <c r="J429" s="360"/>
      <c r="K429" s="360"/>
      <c r="L429" s="360"/>
      <c r="M429" s="360"/>
      <c r="N429" s="360"/>
      <c r="O429" s="360"/>
      <c r="P429" s="359"/>
      <c r="Q429" s="360"/>
      <c r="R429" s="360"/>
      <c r="S429" s="360"/>
    </row>
    <row r="430" spans="4:19">
      <c r="D430" s="360"/>
      <c r="E430" s="360"/>
      <c r="F430" s="360"/>
      <c r="G430" s="360"/>
      <c r="H430" s="360"/>
      <c r="I430" s="360"/>
      <c r="J430" s="360"/>
      <c r="K430" s="360"/>
      <c r="L430" s="360"/>
      <c r="M430" s="360"/>
      <c r="N430" s="360"/>
      <c r="O430" s="360"/>
      <c r="P430" s="359"/>
      <c r="Q430" s="360"/>
      <c r="R430" s="360"/>
      <c r="S430" s="360"/>
    </row>
    <row r="431" spans="4:19">
      <c r="D431" s="360"/>
      <c r="E431" s="360"/>
      <c r="F431" s="360"/>
      <c r="G431" s="360"/>
      <c r="H431" s="360"/>
      <c r="I431" s="360"/>
      <c r="J431" s="360"/>
      <c r="K431" s="360"/>
      <c r="L431" s="360"/>
      <c r="M431" s="360"/>
      <c r="N431" s="360"/>
      <c r="O431" s="360"/>
      <c r="P431" s="359"/>
      <c r="Q431" s="360"/>
      <c r="R431" s="360"/>
      <c r="S431" s="360"/>
    </row>
    <row r="432" spans="4:19">
      <c r="D432" s="360"/>
      <c r="E432" s="360"/>
      <c r="F432" s="360"/>
      <c r="G432" s="360"/>
      <c r="H432" s="360"/>
      <c r="I432" s="360"/>
      <c r="J432" s="360"/>
      <c r="K432" s="360"/>
      <c r="L432" s="360"/>
      <c r="M432" s="360"/>
      <c r="N432" s="360"/>
      <c r="O432" s="360"/>
      <c r="P432" s="359"/>
      <c r="Q432" s="360"/>
      <c r="R432" s="360"/>
      <c r="S432" s="360"/>
    </row>
    <row r="433" spans="4:19">
      <c r="D433" s="360"/>
      <c r="E433" s="360"/>
      <c r="F433" s="360"/>
      <c r="G433" s="360"/>
      <c r="H433" s="360"/>
      <c r="I433" s="360"/>
      <c r="J433" s="360"/>
      <c r="K433" s="360"/>
      <c r="L433" s="360"/>
      <c r="M433" s="360"/>
      <c r="N433" s="360"/>
      <c r="O433" s="360"/>
      <c r="P433" s="359"/>
      <c r="Q433" s="360"/>
      <c r="R433" s="360"/>
      <c r="S433" s="360"/>
    </row>
    <row r="434" spans="4:19">
      <c r="D434" s="360"/>
      <c r="E434" s="360"/>
      <c r="F434" s="360"/>
      <c r="G434" s="360"/>
      <c r="H434" s="360"/>
      <c r="I434" s="360"/>
      <c r="J434" s="360"/>
      <c r="K434" s="360"/>
      <c r="L434" s="360"/>
      <c r="M434" s="360"/>
      <c r="N434" s="360"/>
      <c r="O434" s="360"/>
      <c r="P434" s="359"/>
      <c r="Q434" s="360"/>
      <c r="R434" s="360"/>
      <c r="S434" s="360"/>
    </row>
    <row r="435" spans="4:19">
      <c r="D435" s="360"/>
      <c r="E435" s="360"/>
      <c r="F435" s="360"/>
      <c r="G435" s="360"/>
      <c r="H435" s="360"/>
      <c r="I435" s="360"/>
      <c r="J435" s="360"/>
      <c r="K435" s="360"/>
      <c r="L435" s="360"/>
      <c r="M435" s="360"/>
      <c r="N435" s="360"/>
      <c r="O435" s="360"/>
      <c r="P435" s="359"/>
      <c r="Q435" s="360"/>
      <c r="R435" s="360"/>
      <c r="S435" s="360"/>
    </row>
    <row r="436" spans="4:19">
      <c r="D436" s="360"/>
      <c r="E436" s="360"/>
      <c r="F436" s="360"/>
      <c r="G436" s="360"/>
      <c r="H436" s="360"/>
      <c r="I436" s="360"/>
      <c r="J436" s="360"/>
      <c r="K436" s="360"/>
      <c r="L436" s="360"/>
      <c r="M436" s="360"/>
      <c r="N436" s="360"/>
      <c r="O436" s="360"/>
      <c r="P436" s="359"/>
      <c r="Q436" s="360"/>
      <c r="R436" s="360"/>
      <c r="S436" s="360"/>
    </row>
    <row r="437" spans="4:19">
      <c r="D437" s="360"/>
      <c r="E437" s="360"/>
      <c r="F437" s="360"/>
      <c r="G437" s="360"/>
      <c r="H437" s="360"/>
      <c r="I437" s="360"/>
      <c r="J437" s="360"/>
      <c r="K437" s="360"/>
      <c r="L437" s="360"/>
      <c r="M437" s="360"/>
      <c r="N437" s="360"/>
      <c r="O437" s="360"/>
      <c r="P437" s="359"/>
      <c r="Q437" s="360"/>
      <c r="R437" s="360"/>
      <c r="S437" s="360"/>
    </row>
    <row r="438" spans="4:19">
      <c r="D438" s="360"/>
      <c r="E438" s="360"/>
      <c r="F438" s="360"/>
      <c r="G438" s="360"/>
      <c r="H438" s="360"/>
      <c r="I438" s="360"/>
      <c r="J438" s="360"/>
      <c r="K438" s="360"/>
      <c r="L438" s="360"/>
      <c r="M438" s="360"/>
      <c r="N438" s="360"/>
      <c r="O438" s="360"/>
      <c r="P438" s="359"/>
      <c r="Q438" s="360"/>
      <c r="R438" s="360"/>
      <c r="S438" s="360"/>
    </row>
    <row r="439" spans="4:19">
      <c r="D439" s="360"/>
      <c r="E439" s="360"/>
      <c r="F439" s="360"/>
      <c r="G439" s="360"/>
      <c r="H439" s="360"/>
      <c r="I439" s="360"/>
      <c r="J439" s="360"/>
      <c r="K439" s="360"/>
      <c r="L439" s="360"/>
      <c r="M439" s="360"/>
      <c r="N439" s="360"/>
      <c r="O439" s="360"/>
      <c r="P439" s="359"/>
      <c r="Q439" s="360"/>
      <c r="R439" s="360"/>
      <c r="S439" s="360"/>
    </row>
    <row r="440" spans="4:19">
      <c r="D440" s="360"/>
      <c r="E440" s="360"/>
      <c r="F440" s="360"/>
      <c r="G440" s="360"/>
      <c r="H440" s="360"/>
      <c r="I440" s="360"/>
      <c r="J440" s="360"/>
      <c r="K440" s="360"/>
      <c r="L440" s="360"/>
      <c r="M440" s="360"/>
      <c r="N440" s="360"/>
      <c r="O440" s="360"/>
      <c r="P440" s="359"/>
      <c r="Q440" s="360"/>
      <c r="R440" s="360"/>
      <c r="S440" s="360"/>
    </row>
    <row r="441" spans="4:19">
      <c r="D441" s="360"/>
      <c r="E441" s="360"/>
      <c r="F441" s="360"/>
      <c r="G441" s="360"/>
      <c r="H441" s="360"/>
      <c r="I441" s="360"/>
      <c r="J441" s="360"/>
      <c r="K441" s="360"/>
      <c r="L441" s="360"/>
      <c r="M441" s="360"/>
      <c r="N441" s="360"/>
      <c r="O441" s="360"/>
      <c r="P441" s="359"/>
      <c r="Q441" s="360"/>
      <c r="R441" s="360"/>
      <c r="S441" s="360"/>
    </row>
    <row r="442" spans="4:19">
      <c r="D442" s="360"/>
      <c r="E442" s="360"/>
      <c r="F442" s="360"/>
      <c r="G442" s="360"/>
      <c r="H442" s="360"/>
      <c r="I442" s="360"/>
      <c r="J442" s="360"/>
      <c r="K442" s="360"/>
      <c r="L442" s="360"/>
      <c r="M442" s="360"/>
      <c r="N442" s="360"/>
      <c r="O442" s="360"/>
      <c r="P442" s="359"/>
      <c r="Q442" s="360"/>
      <c r="R442" s="360"/>
      <c r="S442" s="360"/>
    </row>
    <row r="443" spans="4:19">
      <c r="D443" s="360"/>
      <c r="E443" s="360"/>
      <c r="F443" s="360"/>
      <c r="G443" s="360"/>
      <c r="H443" s="360"/>
      <c r="I443" s="360"/>
      <c r="J443" s="360"/>
      <c r="K443" s="360"/>
      <c r="L443" s="360"/>
      <c r="M443" s="360"/>
      <c r="N443" s="360"/>
      <c r="O443" s="360"/>
      <c r="P443" s="359"/>
      <c r="Q443" s="360"/>
      <c r="R443" s="360"/>
      <c r="S443" s="360"/>
    </row>
    <row r="444" spans="4:19">
      <c r="D444" s="360"/>
      <c r="E444" s="360"/>
      <c r="F444" s="360"/>
      <c r="G444" s="360"/>
      <c r="H444" s="360"/>
      <c r="I444" s="360"/>
      <c r="J444" s="360"/>
      <c r="K444" s="360"/>
      <c r="L444" s="360"/>
      <c r="M444" s="360"/>
      <c r="N444" s="360"/>
      <c r="O444" s="360"/>
      <c r="P444" s="359"/>
      <c r="Q444" s="360"/>
      <c r="R444" s="360"/>
      <c r="S444" s="360"/>
    </row>
    <row r="445" spans="4:19">
      <c r="D445" s="360"/>
      <c r="E445" s="360"/>
      <c r="F445" s="360"/>
      <c r="G445" s="360"/>
      <c r="H445" s="360"/>
      <c r="I445" s="360"/>
      <c r="J445" s="360"/>
      <c r="K445" s="360"/>
      <c r="L445" s="360"/>
      <c r="M445" s="360"/>
      <c r="N445" s="360"/>
      <c r="O445" s="360"/>
      <c r="P445" s="359"/>
      <c r="Q445" s="360"/>
      <c r="R445" s="360"/>
      <c r="S445" s="360"/>
    </row>
    <row r="446" spans="4:19">
      <c r="D446" s="360"/>
      <c r="E446" s="360"/>
      <c r="F446" s="360"/>
      <c r="G446" s="360"/>
      <c r="H446" s="360"/>
      <c r="I446" s="360"/>
      <c r="J446" s="360"/>
      <c r="K446" s="360"/>
      <c r="L446" s="360"/>
      <c r="M446" s="360"/>
      <c r="N446" s="360"/>
      <c r="O446" s="360"/>
      <c r="P446" s="359"/>
      <c r="Q446" s="360"/>
      <c r="R446" s="360"/>
      <c r="S446" s="360"/>
    </row>
    <row r="447" spans="4:19">
      <c r="D447" s="360"/>
      <c r="E447" s="360"/>
      <c r="F447" s="360"/>
      <c r="G447" s="360"/>
      <c r="H447" s="360"/>
      <c r="I447" s="360"/>
      <c r="J447" s="360"/>
      <c r="K447" s="360"/>
      <c r="L447" s="360"/>
      <c r="M447" s="360"/>
      <c r="N447" s="360"/>
      <c r="O447" s="360"/>
      <c r="P447" s="359"/>
      <c r="Q447" s="360"/>
      <c r="R447" s="360"/>
      <c r="S447" s="360"/>
    </row>
    <row r="448" spans="4:19">
      <c r="D448" s="360"/>
      <c r="E448" s="360"/>
      <c r="F448" s="360"/>
      <c r="G448" s="360"/>
      <c r="H448" s="360"/>
      <c r="I448" s="360"/>
      <c r="J448" s="360"/>
      <c r="K448" s="360"/>
      <c r="L448" s="360"/>
      <c r="M448" s="360"/>
      <c r="N448" s="360"/>
      <c r="O448" s="360"/>
      <c r="P448" s="359"/>
      <c r="Q448" s="360"/>
      <c r="R448" s="360"/>
      <c r="S448" s="360"/>
    </row>
    <row r="449" spans="4:19">
      <c r="D449" s="360"/>
      <c r="E449" s="360"/>
      <c r="F449" s="360"/>
      <c r="G449" s="360"/>
      <c r="H449" s="360"/>
      <c r="I449" s="360"/>
      <c r="J449" s="360"/>
      <c r="K449" s="360"/>
      <c r="L449" s="360"/>
      <c r="M449" s="360"/>
      <c r="N449" s="360"/>
      <c r="O449" s="360"/>
      <c r="P449" s="359"/>
      <c r="Q449" s="360"/>
      <c r="R449" s="360"/>
      <c r="S449" s="360"/>
    </row>
    <row r="450" spans="4:19">
      <c r="D450" s="360"/>
      <c r="E450" s="360"/>
      <c r="F450" s="360"/>
      <c r="G450" s="360"/>
      <c r="H450" s="360"/>
      <c r="I450" s="360"/>
      <c r="J450" s="360"/>
      <c r="K450" s="360"/>
      <c r="L450" s="360"/>
      <c r="M450" s="360"/>
      <c r="N450" s="360"/>
      <c r="O450" s="360"/>
      <c r="P450" s="359"/>
      <c r="Q450" s="360"/>
      <c r="R450" s="360"/>
      <c r="S450" s="360"/>
    </row>
    <row r="451" spans="4:19">
      <c r="D451" s="360"/>
      <c r="E451" s="360"/>
      <c r="F451" s="360"/>
      <c r="G451" s="360"/>
      <c r="H451" s="360"/>
      <c r="I451" s="360"/>
      <c r="J451" s="360"/>
      <c r="K451" s="360"/>
      <c r="L451" s="360"/>
      <c r="M451" s="360"/>
      <c r="N451" s="360"/>
      <c r="O451" s="360"/>
      <c r="P451" s="359"/>
      <c r="Q451" s="360"/>
      <c r="R451" s="360"/>
      <c r="S451" s="360"/>
    </row>
    <row r="452" spans="4:19">
      <c r="D452" s="360"/>
      <c r="E452" s="360"/>
      <c r="F452" s="360"/>
      <c r="G452" s="360"/>
      <c r="H452" s="360"/>
      <c r="I452" s="360"/>
      <c r="J452" s="360"/>
      <c r="K452" s="360"/>
      <c r="L452" s="360"/>
      <c r="M452" s="360"/>
      <c r="N452" s="360"/>
      <c r="O452" s="360"/>
      <c r="P452" s="359"/>
      <c r="Q452" s="360"/>
      <c r="R452" s="360"/>
      <c r="S452" s="360"/>
    </row>
    <row r="453" spans="4:19">
      <c r="D453" s="360"/>
      <c r="E453" s="360"/>
      <c r="F453" s="360"/>
      <c r="G453" s="360"/>
      <c r="H453" s="360"/>
      <c r="I453" s="360"/>
      <c r="J453" s="360"/>
      <c r="K453" s="360"/>
      <c r="L453" s="360"/>
      <c r="M453" s="360"/>
      <c r="N453" s="360"/>
      <c r="O453" s="360"/>
      <c r="P453" s="359"/>
      <c r="Q453" s="360"/>
      <c r="R453" s="360"/>
      <c r="S453" s="360"/>
    </row>
    <row r="454" spans="4:19">
      <c r="D454" s="360"/>
      <c r="E454" s="360"/>
      <c r="F454" s="360"/>
      <c r="G454" s="360"/>
      <c r="H454" s="360"/>
      <c r="I454" s="360"/>
      <c r="J454" s="360"/>
      <c r="K454" s="360"/>
      <c r="L454" s="360"/>
      <c r="M454" s="360"/>
      <c r="N454" s="360"/>
      <c r="O454" s="360"/>
      <c r="P454" s="359"/>
      <c r="Q454" s="360"/>
      <c r="R454" s="360"/>
      <c r="S454" s="360"/>
    </row>
    <row r="455" spans="4:19">
      <c r="D455" s="360"/>
      <c r="E455" s="360"/>
      <c r="F455" s="360"/>
      <c r="G455" s="360"/>
      <c r="H455" s="360"/>
      <c r="I455" s="360"/>
      <c r="J455" s="360"/>
      <c r="K455" s="360"/>
      <c r="L455" s="360"/>
      <c r="M455" s="360"/>
      <c r="N455" s="360"/>
      <c r="O455" s="360"/>
      <c r="P455" s="359"/>
      <c r="Q455" s="360"/>
      <c r="R455" s="360"/>
      <c r="S455" s="360"/>
    </row>
    <row r="456" spans="4:19">
      <c r="D456" s="360"/>
      <c r="E456" s="360"/>
      <c r="F456" s="360"/>
      <c r="G456" s="360"/>
      <c r="H456" s="360"/>
      <c r="I456" s="360"/>
      <c r="J456" s="360"/>
      <c r="K456" s="360"/>
      <c r="L456" s="360"/>
      <c r="M456" s="360"/>
      <c r="N456" s="360"/>
      <c r="O456" s="360"/>
      <c r="P456" s="359"/>
      <c r="Q456" s="360"/>
      <c r="R456" s="360"/>
      <c r="S456" s="360"/>
    </row>
    <row r="457" spans="4:19">
      <c r="D457" s="360"/>
      <c r="E457" s="360"/>
      <c r="F457" s="360"/>
      <c r="G457" s="360"/>
      <c r="H457" s="360"/>
      <c r="I457" s="360"/>
      <c r="J457" s="360"/>
      <c r="K457" s="360"/>
      <c r="L457" s="360"/>
      <c r="M457" s="360"/>
      <c r="N457" s="360"/>
      <c r="O457" s="360"/>
      <c r="P457" s="359"/>
      <c r="Q457" s="360"/>
      <c r="R457" s="360"/>
      <c r="S457" s="360"/>
    </row>
    <row r="458" spans="4:19">
      <c r="D458" s="360"/>
      <c r="E458" s="360"/>
      <c r="F458" s="360"/>
      <c r="G458" s="360"/>
      <c r="H458" s="360"/>
      <c r="I458" s="360"/>
      <c r="J458" s="360"/>
      <c r="K458" s="360"/>
      <c r="L458" s="360"/>
      <c r="M458" s="360"/>
      <c r="N458" s="360"/>
      <c r="O458" s="360"/>
      <c r="P458" s="359"/>
      <c r="Q458" s="360"/>
      <c r="R458" s="360"/>
      <c r="S458" s="360"/>
    </row>
    <row r="459" spans="4:19">
      <c r="D459" s="360"/>
      <c r="E459" s="360"/>
      <c r="F459" s="360"/>
      <c r="G459" s="360"/>
      <c r="H459" s="360"/>
      <c r="I459" s="360"/>
      <c r="J459" s="360"/>
      <c r="K459" s="360"/>
      <c r="L459" s="360"/>
      <c r="M459" s="360"/>
      <c r="N459" s="360"/>
      <c r="O459" s="360"/>
      <c r="P459" s="359"/>
      <c r="Q459" s="360"/>
      <c r="R459" s="360"/>
      <c r="S459" s="360"/>
    </row>
    <row r="460" spans="4:19">
      <c r="D460" s="360"/>
      <c r="E460" s="360"/>
      <c r="F460" s="360"/>
      <c r="G460" s="360"/>
      <c r="H460" s="360"/>
      <c r="I460" s="360"/>
      <c r="J460" s="360"/>
      <c r="K460" s="360"/>
      <c r="L460" s="360"/>
      <c r="M460" s="360"/>
      <c r="N460" s="360"/>
      <c r="O460" s="360"/>
      <c r="P460" s="359"/>
      <c r="Q460" s="360"/>
      <c r="R460" s="360"/>
      <c r="S460" s="360"/>
    </row>
    <row r="461" spans="4:19">
      <c r="D461" s="360"/>
      <c r="E461" s="360"/>
      <c r="F461" s="360"/>
      <c r="G461" s="360"/>
      <c r="H461" s="360"/>
      <c r="I461" s="360"/>
      <c r="J461" s="360"/>
      <c r="K461" s="360"/>
      <c r="L461" s="360"/>
      <c r="M461" s="360"/>
      <c r="N461" s="360"/>
      <c r="O461" s="360"/>
      <c r="P461" s="359"/>
      <c r="Q461" s="360"/>
      <c r="R461" s="360"/>
      <c r="S461" s="360"/>
    </row>
    <row r="462" spans="4:19">
      <c r="D462" s="360"/>
      <c r="E462" s="360"/>
      <c r="F462" s="360"/>
      <c r="G462" s="360"/>
      <c r="H462" s="360"/>
      <c r="I462" s="360"/>
      <c r="J462" s="360"/>
      <c r="K462" s="360"/>
      <c r="L462" s="360"/>
      <c r="M462" s="360"/>
      <c r="N462" s="360"/>
      <c r="O462" s="360"/>
      <c r="P462" s="359"/>
      <c r="Q462" s="360"/>
      <c r="R462" s="360"/>
      <c r="S462" s="360"/>
    </row>
    <row r="463" spans="4:19">
      <c r="D463" s="360"/>
      <c r="E463" s="360"/>
      <c r="F463" s="360"/>
      <c r="G463" s="360"/>
      <c r="H463" s="360"/>
      <c r="I463" s="360"/>
      <c r="J463" s="360"/>
      <c r="K463" s="360"/>
      <c r="L463" s="360"/>
      <c r="M463" s="360"/>
      <c r="N463" s="360"/>
      <c r="O463" s="360"/>
      <c r="P463" s="359"/>
      <c r="Q463" s="360"/>
      <c r="R463" s="360"/>
      <c r="S463" s="360"/>
    </row>
    <row r="464" spans="4:19">
      <c r="D464" s="360"/>
      <c r="E464" s="360"/>
      <c r="F464" s="360"/>
      <c r="G464" s="360"/>
      <c r="H464" s="360"/>
      <c r="I464" s="360"/>
      <c r="J464" s="360"/>
      <c r="K464" s="360"/>
      <c r="L464" s="360"/>
      <c r="M464" s="360"/>
      <c r="N464" s="360"/>
      <c r="O464" s="360"/>
      <c r="P464" s="359"/>
      <c r="Q464" s="360"/>
      <c r="R464" s="360"/>
      <c r="S464" s="360"/>
    </row>
    <row r="465" spans="4:19">
      <c r="D465" s="360"/>
      <c r="E465" s="360"/>
      <c r="F465" s="360"/>
      <c r="G465" s="360"/>
      <c r="H465" s="360"/>
      <c r="I465" s="360"/>
      <c r="J465" s="360"/>
      <c r="K465" s="360"/>
      <c r="L465" s="360"/>
      <c r="M465" s="360"/>
      <c r="N465" s="360"/>
      <c r="O465" s="360"/>
      <c r="P465" s="359"/>
      <c r="Q465" s="360"/>
      <c r="R465" s="360"/>
      <c r="S465" s="360"/>
    </row>
    <row r="466" spans="4:19">
      <c r="D466" s="360"/>
      <c r="E466" s="360"/>
      <c r="F466" s="360"/>
      <c r="G466" s="360"/>
      <c r="H466" s="360"/>
      <c r="I466" s="360"/>
      <c r="J466" s="360"/>
      <c r="K466" s="360"/>
      <c r="L466" s="360"/>
      <c r="M466" s="360"/>
      <c r="N466" s="360"/>
      <c r="O466" s="360"/>
      <c r="P466" s="359"/>
      <c r="Q466" s="360"/>
      <c r="R466" s="360"/>
      <c r="S466" s="360"/>
    </row>
    <row r="467" spans="4:19">
      <c r="D467" s="360"/>
      <c r="E467" s="360"/>
      <c r="F467" s="360"/>
      <c r="G467" s="360"/>
      <c r="H467" s="360"/>
      <c r="I467" s="360"/>
      <c r="J467" s="360"/>
      <c r="K467" s="360"/>
      <c r="L467" s="360"/>
      <c r="M467" s="360"/>
      <c r="N467" s="360"/>
      <c r="O467" s="360"/>
      <c r="P467" s="359"/>
      <c r="Q467" s="360"/>
      <c r="R467" s="360"/>
      <c r="S467" s="360"/>
    </row>
    <row r="468" spans="4:19">
      <c r="D468" s="360"/>
      <c r="E468" s="360"/>
      <c r="F468" s="360"/>
      <c r="G468" s="360"/>
      <c r="H468" s="360"/>
      <c r="I468" s="360"/>
      <c r="J468" s="360"/>
      <c r="K468" s="360"/>
      <c r="L468" s="360"/>
      <c r="M468" s="360"/>
      <c r="N468" s="360"/>
      <c r="O468" s="360"/>
      <c r="P468" s="359"/>
      <c r="Q468" s="360"/>
      <c r="R468" s="360"/>
      <c r="S468" s="360"/>
    </row>
    <row r="469" spans="4:19">
      <c r="D469" s="360"/>
      <c r="E469" s="360"/>
      <c r="F469" s="360"/>
      <c r="G469" s="360"/>
      <c r="H469" s="360"/>
      <c r="I469" s="360"/>
      <c r="J469" s="360"/>
      <c r="K469" s="360"/>
      <c r="L469" s="360"/>
      <c r="M469" s="360"/>
      <c r="N469" s="360"/>
      <c r="O469" s="360"/>
      <c r="P469" s="359"/>
      <c r="Q469" s="360"/>
      <c r="R469" s="360"/>
      <c r="S469" s="360"/>
    </row>
    <row r="470" spans="4:19">
      <c r="D470" s="360"/>
      <c r="E470" s="360"/>
      <c r="F470" s="360"/>
      <c r="G470" s="360"/>
      <c r="H470" s="360"/>
      <c r="I470" s="360"/>
      <c r="J470" s="360"/>
      <c r="K470" s="360"/>
      <c r="L470" s="360"/>
      <c r="M470" s="360"/>
      <c r="N470" s="360"/>
      <c r="O470" s="360"/>
      <c r="P470" s="359"/>
      <c r="Q470" s="360"/>
      <c r="R470" s="360"/>
      <c r="S470" s="360"/>
    </row>
    <row r="471" spans="4:19">
      <c r="D471" s="360"/>
      <c r="E471" s="360"/>
      <c r="F471" s="360"/>
      <c r="G471" s="360"/>
      <c r="H471" s="360"/>
      <c r="I471" s="360"/>
      <c r="J471" s="360"/>
      <c r="K471" s="360"/>
      <c r="L471" s="360"/>
      <c r="M471" s="360"/>
      <c r="N471" s="360"/>
      <c r="O471" s="360"/>
      <c r="P471" s="359"/>
      <c r="Q471" s="360"/>
      <c r="R471" s="360"/>
      <c r="S471" s="360"/>
    </row>
  </sheetData>
  <mergeCells count="139">
    <mergeCell ref="C8:D8"/>
    <mergeCell ref="T8:X8"/>
    <mergeCell ref="K10:N10"/>
    <mergeCell ref="K11:N11"/>
    <mergeCell ref="F12:H12"/>
    <mergeCell ref="K12:N12"/>
    <mergeCell ref="E2:N3"/>
    <mergeCell ref="T4:X4"/>
    <mergeCell ref="T5:X5"/>
    <mergeCell ref="T6:X6"/>
    <mergeCell ref="E7:M8"/>
    <mergeCell ref="N7:Q8"/>
    <mergeCell ref="T7:X7"/>
    <mergeCell ref="D17:G17"/>
    <mergeCell ref="J17:K17"/>
    <mergeCell ref="R17:S17"/>
    <mergeCell ref="D20:G20"/>
    <mergeCell ref="J20:K20"/>
    <mergeCell ref="N20:O20"/>
    <mergeCell ref="R20:S20"/>
    <mergeCell ref="D14:G14"/>
    <mergeCell ref="J14:K14"/>
    <mergeCell ref="N14:O14"/>
    <mergeCell ref="R14:S14"/>
    <mergeCell ref="D16:G16"/>
    <mergeCell ref="J16:K16"/>
    <mergeCell ref="N16:O16"/>
    <mergeCell ref="R16:S16"/>
    <mergeCell ref="D25:G25"/>
    <mergeCell ref="J25:K25"/>
    <mergeCell ref="N25:O25"/>
    <mergeCell ref="R25:S25"/>
    <mergeCell ref="R27:S27"/>
    <mergeCell ref="D28:G28"/>
    <mergeCell ref="J28:K28"/>
    <mergeCell ref="N28:O28"/>
    <mergeCell ref="D21:G21"/>
    <mergeCell ref="J21:K21"/>
    <mergeCell ref="N21:O21"/>
    <mergeCell ref="R21:S21"/>
    <mergeCell ref="D24:G24"/>
    <mergeCell ref="J24:K24"/>
    <mergeCell ref="N24:O24"/>
    <mergeCell ref="R24:S24"/>
    <mergeCell ref="D32:G32"/>
    <mergeCell ref="J32:K32"/>
    <mergeCell ref="N32:O32"/>
    <mergeCell ref="R32:S32"/>
    <mergeCell ref="D33:G33"/>
    <mergeCell ref="J33:K33"/>
    <mergeCell ref="N33:O33"/>
    <mergeCell ref="D29:G29"/>
    <mergeCell ref="J29:K29"/>
    <mergeCell ref="N29:O29"/>
    <mergeCell ref="R29:S29"/>
    <mergeCell ref="R30:S30"/>
    <mergeCell ref="R31:S31"/>
    <mergeCell ref="D37:G37"/>
    <mergeCell ref="J37:K37"/>
    <mergeCell ref="N37:O37"/>
    <mergeCell ref="D38:G38"/>
    <mergeCell ref="R38:S38"/>
    <mergeCell ref="N39:O39"/>
    <mergeCell ref="R39:S39"/>
    <mergeCell ref="J34:K34"/>
    <mergeCell ref="R34:S34"/>
    <mergeCell ref="R35:S35"/>
    <mergeCell ref="D36:G36"/>
    <mergeCell ref="J36:K36"/>
    <mergeCell ref="N36:O36"/>
    <mergeCell ref="D42:G42"/>
    <mergeCell ref="J42:K42"/>
    <mergeCell ref="N42:O42"/>
    <mergeCell ref="D43:G43"/>
    <mergeCell ref="J43:K43"/>
    <mergeCell ref="R43:S43"/>
    <mergeCell ref="D40:G40"/>
    <mergeCell ref="J40:K40"/>
    <mergeCell ref="D41:G41"/>
    <mergeCell ref="J41:K41"/>
    <mergeCell ref="N41:O41"/>
    <mergeCell ref="R41:S41"/>
    <mergeCell ref="D49:G49"/>
    <mergeCell ref="J49:K49"/>
    <mergeCell ref="D50:G50"/>
    <mergeCell ref="J50:K50"/>
    <mergeCell ref="N50:O50"/>
    <mergeCell ref="R50:S50"/>
    <mergeCell ref="R44:S44"/>
    <mergeCell ref="D45:G45"/>
    <mergeCell ref="J45:K45"/>
    <mergeCell ref="N45:O45"/>
    <mergeCell ref="D46:G46"/>
    <mergeCell ref="J46:K46"/>
    <mergeCell ref="N46:O46"/>
    <mergeCell ref="N51:O51"/>
    <mergeCell ref="R52:S52"/>
    <mergeCell ref="J53:K53"/>
    <mergeCell ref="R53:S53"/>
    <mergeCell ref="J54:K54"/>
    <mergeCell ref="N54:O54"/>
    <mergeCell ref="R47:S47"/>
    <mergeCell ref="N48:O48"/>
    <mergeCell ref="R48:S48"/>
    <mergeCell ref="N59:O59"/>
    <mergeCell ref="R59:S59"/>
    <mergeCell ref="N60:O60"/>
    <mergeCell ref="D61:G61"/>
    <mergeCell ref="J61:K61"/>
    <mergeCell ref="R61:S61"/>
    <mergeCell ref="N55:O55"/>
    <mergeCell ref="R56:S56"/>
    <mergeCell ref="D57:G57"/>
    <mergeCell ref="J57:K57"/>
    <mergeCell ref="N57:O57"/>
    <mergeCell ref="D58:G58"/>
    <mergeCell ref="J58:K58"/>
    <mergeCell ref="D65:G65"/>
    <mergeCell ref="J65:K65"/>
    <mergeCell ref="D66:G66"/>
    <mergeCell ref="J66:K66"/>
    <mergeCell ref="R66:S66"/>
    <mergeCell ref="R67:S67"/>
    <mergeCell ref="D62:G62"/>
    <mergeCell ref="J62:K62"/>
    <mergeCell ref="R62:S62"/>
    <mergeCell ref="N63:O63"/>
    <mergeCell ref="N64:O64"/>
    <mergeCell ref="R64:S64"/>
    <mergeCell ref="D73:G73"/>
    <mergeCell ref="D74:G74"/>
    <mergeCell ref="N76:O76"/>
    <mergeCell ref="N77:O77"/>
    <mergeCell ref="D69:G69"/>
    <mergeCell ref="J69:K69"/>
    <mergeCell ref="R69:S69"/>
    <mergeCell ref="D70:G70"/>
    <mergeCell ref="R71:S71"/>
    <mergeCell ref="R72:S72"/>
  </mergeCells>
  <pageMargins left="0.7" right="0.7" top="0.75" bottom="0.75" header="0.3" footer="0.3"/>
  <pageSetup paperSize="0" orientation="portrait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3"/>
  <dimension ref="A2:H18"/>
  <sheetViews>
    <sheetView workbookViewId="0">
      <selection activeCell="M4" sqref="M4"/>
    </sheetView>
  </sheetViews>
  <sheetFormatPr baseColWidth="10" defaultRowHeight="15"/>
  <cols>
    <col min="1" max="1" width="3.7109375" bestFit="1" customWidth="1"/>
    <col min="2" max="2" width="5" bestFit="1" customWidth="1"/>
    <col min="3" max="4" width="15.7109375" style="141" customWidth="1"/>
    <col min="5" max="8" width="15.7109375" style="2" customWidth="1"/>
  </cols>
  <sheetData>
    <row r="2" spans="1:8" ht="15.75" thickBot="1"/>
    <row r="3" spans="1:8" ht="99.75" thickBot="1">
      <c r="B3" s="117" t="s">
        <v>161</v>
      </c>
      <c r="C3" s="142" t="s">
        <v>162</v>
      </c>
      <c r="D3" s="143" t="s">
        <v>165</v>
      </c>
      <c r="E3" s="143" t="s">
        <v>166</v>
      </c>
      <c r="F3" s="143" t="s">
        <v>168</v>
      </c>
      <c r="G3" s="143" t="s">
        <v>170</v>
      </c>
      <c r="H3" s="172" t="s">
        <v>173</v>
      </c>
    </row>
    <row r="4" spans="1:8" ht="22.5">
      <c r="A4" s="891" t="s">
        <v>160</v>
      </c>
      <c r="B4" s="114">
        <v>94</v>
      </c>
      <c r="C4" s="147" t="s">
        <v>167</v>
      </c>
      <c r="D4" s="148" t="s">
        <v>167</v>
      </c>
      <c r="E4" s="148" t="s">
        <v>167</v>
      </c>
      <c r="F4" s="137" t="s">
        <v>169</v>
      </c>
      <c r="G4" s="149" t="s">
        <v>172</v>
      </c>
      <c r="H4" s="150" t="s">
        <v>58</v>
      </c>
    </row>
    <row r="5" spans="1:8" ht="22.5">
      <c r="A5" s="892"/>
      <c r="B5" s="115">
        <v>95</v>
      </c>
      <c r="C5" s="151" t="s">
        <v>167</v>
      </c>
      <c r="D5" s="152" t="s">
        <v>167</v>
      </c>
      <c r="E5" s="152" t="s">
        <v>167</v>
      </c>
      <c r="F5" s="138" t="s">
        <v>169</v>
      </c>
      <c r="G5" s="153" t="s">
        <v>172</v>
      </c>
      <c r="H5" s="154" t="s">
        <v>58</v>
      </c>
    </row>
    <row r="6" spans="1:8" ht="22.5">
      <c r="A6" s="892"/>
      <c r="B6" s="115">
        <v>96</v>
      </c>
      <c r="C6" s="151" t="s">
        <v>167</v>
      </c>
      <c r="D6" s="152" t="s">
        <v>167</v>
      </c>
      <c r="E6" s="152" t="s">
        <v>167</v>
      </c>
      <c r="F6" s="138" t="s">
        <v>169</v>
      </c>
      <c r="G6" s="153" t="s">
        <v>172</v>
      </c>
      <c r="H6" s="154" t="s">
        <v>58</v>
      </c>
    </row>
    <row r="7" spans="1:8" ht="22.5">
      <c r="A7" s="892"/>
      <c r="B7" s="115">
        <v>97</v>
      </c>
      <c r="C7" s="151" t="s">
        <v>167</v>
      </c>
      <c r="D7" s="152" t="s">
        <v>167</v>
      </c>
      <c r="E7" s="155" t="s">
        <v>59</v>
      </c>
      <c r="F7" s="138" t="s">
        <v>169</v>
      </c>
      <c r="G7" s="153" t="s">
        <v>172</v>
      </c>
      <c r="H7" s="154" t="s">
        <v>58</v>
      </c>
    </row>
    <row r="8" spans="1:8" ht="22.5">
      <c r="A8" s="892"/>
      <c r="B8" s="115">
        <v>98</v>
      </c>
      <c r="C8" s="139" t="s">
        <v>163</v>
      </c>
      <c r="D8" s="156" t="s">
        <v>164</v>
      </c>
      <c r="E8" s="156" t="s">
        <v>164</v>
      </c>
      <c r="F8" s="156" t="s">
        <v>164</v>
      </c>
      <c r="G8" s="156" t="s">
        <v>164</v>
      </c>
      <c r="H8" s="156" t="s">
        <v>164</v>
      </c>
    </row>
    <row r="9" spans="1:8" ht="23.25" thickBot="1">
      <c r="A9" s="893"/>
      <c r="B9" s="116">
        <v>99</v>
      </c>
      <c r="C9" s="157" t="s">
        <v>167</v>
      </c>
      <c r="D9" s="158" t="s">
        <v>167</v>
      </c>
      <c r="E9" s="159" t="s">
        <v>59</v>
      </c>
      <c r="F9" s="140" t="s">
        <v>169</v>
      </c>
      <c r="G9" s="160" t="s">
        <v>171</v>
      </c>
      <c r="H9" s="161" t="s">
        <v>58</v>
      </c>
    </row>
    <row r="11" spans="1:8" ht="15.75" thickBot="1"/>
    <row r="12" spans="1:8" ht="99" thickBot="1">
      <c r="B12" s="117" t="s">
        <v>161</v>
      </c>
      <c r="C12" s="142" t="s">
        <v>162</v>
      </c>
      <c r="D12" s="143" t="s">
        <v>165</v>
      </c>
      <c r="E12" s="144" t="s">
        <v>166</v>
      </c>
      <c r="F12" s="145" t="s">
        <v>168</v>
      </c>
      <c r="G12" s="144" t="s">
        <v>170</v>
      </c>
      <c r="H12" s="146" t="s">
        <v>175</v>
      </c>
    </row>
    <row r="13" spans="1:8">
      <c r="A13" s="891" t="s">
        <v>174</v>
      </c>
      <c r="B13" s="114">
        <v>107</v>
      </c>
      <c r="C13" s="162"/>
      <c r="D13" s="163"/>
      <c r="E13" s="163"/>
      <c r="F13" s="122"/>
      <c r="G13" s="163"/>
      <c r="H13" s="164"/>
    </row>
    <row r="14" spans="1:8">
      <c r="A14" s="892"/>
      <c r="B14" s="115">
        <v>108</v>
      </c>
      <c r="C14" s="123"/>
      <c r="D14" s="123"/>
      <c r="E14" s="165"/>
      <c r="F14" s="124"/>
      <c r="G14" s="165"/>
      <c r="H14" s="166"/>
    </row>
    <row r="15" spans="1:8">
      <c r="A15" s="892"/>
      <c r="B15" s="115">
        <v>110</v>
      </c>
      <c r="C15" s="123"/>
      <c r="D15" s="165"/>
      <c r="E15" s="165"/>
      <c r="F15" s="124"/>
      <c r="G15" s="165"/>
      <c r="H15" s="166"/>
    </row>
    <row r="16" spans="1:8">
      <c r="A16" s="892"/>
      <c r="B16" s="115">
        <v>111</v>
      </c>
      <c r="C16" s="123"/>
      <c r="D16" s="165"/>
      <c r="E16" s="167"/>
      <c r="F16" s="124"/>
      <c r="G16" s="165"/>
      <c r="H16" s="166"/>
    </row>
    <row r="17" spans="1:8">
      <c r="A17" s="892"/>
      <c r="B17" s="115">
        <v>122</v>
      </c>
      <c r="C17" s="125"/>
      <c r="D17" s="165"/>
      <c r="E17" s="165"/>
      <c r="F17" s="165"/>
      <c r="G17" s="165"/>
      <c r="H17" s="165"/>
    </row>
    <row r="18" spans="1:8" ht="15.75" thickBot="1">
      <c r="A18" s="893"/>
      <c r="B18" s="116">
        <v>123</v>
      </c>
      <c r="C18" s="168"/>
      <c r="D18" s="169"/>
      <c r="E18" s="170"/>
      <c r="F18" s="126"/>
      <c r="G18" s="169"/>
      <c r="H18" s="171"/>
    </row>
  </sheetData>
  <mergeCells count="2">
    <mergeCell ref="A4:A9"/>
    <mergeCell ref="A13:A18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6DD64-EC8B-40A8-BDEF-4F0486E3C05B}">
  <sheetPr codeName="Feuil24">
    <tabColor rgb="FFFFFF00"/>
  </sheetPr>
  <dimension ref="A1:AA105"/>
  <sheetViews>
    <sheetView zoomScaleNormal="100" zoomScaleSheetLayoutView="100" workbookViewId="0">
      <pane xSplit="1" ySplit="2" topLeftCell="B55" activePane="bottomRight" state="frozen"/>
      <selection pane="topRight" activeCell="B1" sqref="B1"/>
      <selection pane="bottomLeft" activeCell="A3" sqref="A3"/>
      <selection pane="bottomRight" activeCell="A67" sqref="A67:XFD67"/>
    </sheetView>
  </sheetViews>
  <sheetFormatPr baseColWidth="10" defaultRowHeight="15"/>
  <cols>
    <col min="2" max="2" width="16.5703125" style="141" customWidth="1"/>
    <col min="3" max="3" width="58.42578125" bestFit="1" customWidth="1"/>
    <col min="4" max="4" width="23.140625" style="320" customWidth="1"/>
    <col min="5" max="5" width="13.85546875" customWidth="1"/>
    <col min="6" max="6" width="12.140625" style="103" customWidth="1"/>
    <col min="8" max="9" width="12.140625" style="103" customWidth="1"/>
    <col min="12" max="12" width="60.140625" customWidth="1"/>
    <col min="13" max="13" width="50.140625" customWidth="1"/>
    <col min="14" max="14" width="14.140625" customWidth="1"/>
    <col min="15" max="15" width="46.28515625" customWidth="1"/>
    <col min="17" max="26" width="11.42578125" hidden="1" customWidth="1"/>
    <col min="27" max="27" width="10.42578125" hidden="1" customWidth="1"/>
  </cols>
  <sheetData>
    <row r="1" spans="1:27" ht="35.25" customHeight="1" thickBot="1">
      <c r="A1" s="210" t="s">
        <v>289</v>
      </c>
      <c r="B1" s="790" t="s">
        <v>290</v>
      </c>
      <c r="C1" s="210" t="s">
        <v>291</v>
      </c>
      <c r="D1" s="517" t="s">
        <v>250</v>
      </c>
      <c r="E1" s="517" t="s">
        <v>241</v>
      </c>
      <c r="F1" s="517" t="s">
        <v>204</v>
      </c>
      <c r="G1" s="790" t="s">
        <v>208</v>
      </c>
      <c r="H1" s="517" t="s">
        <v>242</v>
      </c>
      <c r="I1" s="517" t="s">
        <v>292</v>
      </c>
      <c r="J1" s="180" t="s">
        <v>293</v>
      </c>
      <c r="K1" s="180" t="s">
        <v>243</v>
      </c>
      <c r="L1" s="790" t="s">
        <v>294</v>
      </c>
      <c r="M1" s="517" t="s">
        <v>205</v>
      </c>
      <c r="N1" s="790" t="s">
        <v>244</v>
      </c>
      <c r="O1" s="790" t="s">
        <v>212</v>
      </c>
    </row>
    <row r="2" spans="1:27" ht="15.75" thickBot="1">
      <c r="A2" s="181" t="s">
        <v>203</v>
      </c>
      <c r="B2" s="791"/>
      <c r="C2" s="211"/>
      <c r="D2" s="518"/>
      <c r="E2" s="518"/>
      <c r="F2" s="518"/>
      <c r="G2" s="791"/>
      <c r="H2" s="518"/>
      <c r="I2" s="518"/>
      <c r="J2" s="518" t="s">
        <v>206</v>
      </c>
      <c r="K2" s="518" t="s">
        <v>207</v>
      </c>
      <c r="L2" s="791"/>
      <c r="M2" s="518"/>
      <c r="N2" s="791"/>
      <c r="O2" s="792"/>
    </row>
    <row r="3" spans="1:27" ht="47.25" thickBot="1">
      <c r="A3" s="45" t="s">
        <v>202</v>
      </c>
      <c r="B3" s="207"/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176"/>
    </row>
    <row r="4" spans="1:27">
      <c r="A4" s="810" t="s">
        <v>201</v>
      </c>
      <c r="B4" s="811"/>
      <c r="C4" s="519" t="s">
        <v>57</v>
      </c>
      <c r="D4" s="214"/>
      <c r="E4" s="214"/>
      <c r="F4" s="214"/>
      <c r="G4" s="214"/>
      <c r="H4" s="214"/>
      <c r="I4" s="215"/>
      <c r="J4" s="66">
        <f>SUM(AA50:AA98)</f>
        <v>0</v>
      </c>
      <c r="K4" s="67">
        <f>SUM(W12:W105)</f>
        <v>1</v>
      </c>
      <c r="L4" s="79"/>
      <c r="M4" s="520"/>
      <c r="N4" s="216"/>
      <c r="O4" s="177"/>
    </row>
    <row r="5" spans="1:27">
      <c r="A5" s="812"/>
      <c r="B5" s="813"/>
      <c r="C5" s="521" t="s">
        <v>296</v>
      </c>
      <c r="D5" s="522"/>
      <c r="E5" s="522"/>
      <c r="F5" s="522"/>
      <c r="G5" s="522"/>
      <c r="H5" s="522"/>
      <c r="I5" s="522"/>
      <c r="J5" s="30">
        <f>SUM(Z50:Z105)</f>
        <v>0</v>
      </c>
      <c r="K5" s="31">
        <f>SUM(V12:V105)</f>
        <v>1</v>
      </c>
      <c r="L5" s="217"/>
      <c r="M5" s="523"/>
      <c r="N5" s="218"/>
      <c r="O5" s="177"/>
    </row>
    <row r="6" spans="1:27">
      <c r="A6" s="812"/>
      <c r="B6" s="813"/>
      <c r="C6" s="524" t="s">
        <v>209</v>
      </c>
      <c r="D6" s="525"/>
      <c r="E6" s="525"/>
      <c r="F6" s="525"/>
      <c r="G6" s="525"/>
      <c r="H6" s="525"/>
      <c r="I6" s="525"/>
      <c r="J6" s="322" t="s">
        <v>59</v>
      </c>
      <c r="K6" s="33">
        <f>SUM(U12:U105)</f>
        <v>1</v>
      </c>
      <c r="L6" s="219"/>
      <c r="M6" s="526"/>
      <c r="N6" s="220"/>
      <c r="O6" s="177"/>
    </row>
    <row r="7" spans="1:27">
      <c r="A7" s="812"/>
      <c r="B7" s="813"/>
      <c r="C7" s="527" t="s">
        <v>210</v>
      </c>
      <c r="D7" s="528"/>
      <c r="E7" s="528"/>
      <c r="F7" s="528"/>
      <c r="G7" s="528"/>
      <c r="H7" s="528"/>
      <c r="I7" s="528"/>
      <c r="J7" s="322" t="s">
        <v>59</v>
      </c>
      <c r="K7" s="35">
        <f>SUM(T12:T105)</f>
        <v>1</v>
      </c>
      <c r="L7" s="221"/>
      <c r="M7" s="529"/>
      <c r="N7" s="222"/>
      <c r="O7" s="177"/>
    </row>
    <row r="8" spans="1:27">
      <c r="A8" s="812"/>
      <c r="B8" s="813"/>
      <c r="C8" s="228" t="s">
        <v>297</v>
      </c>
      <c r="D8" s="229"/>
      <c r="E8" s="229"/>
      <c r="F8" s="229"/>
      <c r="G8" s="229"/>
      <c r="H8" s="229"/>
      <c r="I8" s="229"/>
      <c r="J8" s="322" t="s">
        <v>59</v>
      </c>
      <c r="K8" s="230">
        <f>SUM(S12:S105)</f>
        <v>1</v>
      </c>
      <c r="L8" s="231"/>
      <c r="M8" s="232"/>
      <c r="N8" s="233"/>
      <c r="O8" s="177"/>
    </row>
    <row r="9" spans="1:27" ht="15.75" thickBot="1">
      <c r="A9" s="812"/>
      <c r="B9" s="813"/>
      <c r="C9" s="530" t="s">
        <v>59</v>
      </c>
      <c r="D9" s="531"/>
      <c r="E9" s="531"/>
      <c r="F9" s="531"/>
      <c r="G9" s="531"/>
      <c r="H9" s="531"/>
      <c r="I9" s="531"/>
      <c r="J9" s="36">
        <f>SUM(Y50:Y98)</f>
        <v>0</v>
      </c>
      <c r="K9" s="37">
        <f>SUM(R12:R105)</f>
        <v>1</v>
      </c>
      <c r="L9" s="223"/>
      <c r="M9" s="532"/>
      <c r="N9" s="224"/>
      <c r="O9" s="177"/>
    </row>
    <row r="10" spans="1:27" ht="15.75" thickBot="1">
      <c r="A10" s="812"/>
      <c r="B10" s="813"/>
      <c r="C10" s="212" t="s">
        <v>211</v>
      </c>
      <c r="D10" s="213"/>
      <c r="E10" s="213"/>
      <c r="F10" s="213"/>
      <c r="G10" s="213"/>
      <c r="H10" s="213"/>
      <c r="I10" s="213"/>
      <c r="J10" s="38">
        <f>SUM(X50:X98)</f>
        <v>0</v>
      </c>
      <c r="K10" s="39">
        <f>SUM(Q12:Q105)</f>
        <v>1</v>
      </c>
      <c r="L10" s="225"/>
      <c r="M10" s="226"/>
      <c r="N10" s="227"/>
      <c r="O10" s="177"/>
      <c r="Q10" s="797" t="s">
        <v>214</v>
      </c>
      <c r="R10" s="798"/>
      <c r="S10" s="798"/>
      <c r="T10" s="798"/>
      <c r="U10" s="798"/>
      <c r="V10" s="798"/>
      <c r="W10" s="799"/>
      <c r="X10" s="797" t="s">
        <v>206</v>
      </c>
      <c r="Y10" s="798"/>
      <c r="Z10" s="798"/>
      <c r="AA10" s="800"/>
    </row>
    <row r="11" spans="1:27">
      <c r="A11" s="812"/>
      <c r="B11" s="813"/>
      <c r="C11" s="236" t="s">
        <v>66</v>
      </c>
      <c r="D11" s="209"/>
      <c r="E11" s="209"/>
      <c r="F11" s="209"/>
      <c r="G11" s="209"/>
      <c r="H11" s="209"/>
      <c r="I11" s="209"/>
      <c r="J11" s="174">
        <f>SUM(J4:J10)</f>
        <v>0</v>
      </c>
      <c r="K11" s="175">
        <f>SUM(K4:K10)</f>
        <v>7</v>
      </c>
      <c r="L11" s="241"/>
      <c r="M11" s="242"/>
      <c r="N11" s="243"/>
      <c r="O11" s="177"/>
      <c r="Q11" s="3" t="s">
        <v>211</v>
      </c>
      <c r="R11" s="4" t="s">
        <v>59</v>
      </c>
      <c r="S11" s="4" t="s">
        <v>297</v>
      </c>
      <c r="T11" s="4" t="s">
        <v>210</v>
      </c>
      <c r="U11" s="4" t="s">
        <v>213</v>
      </c>
      <c r="V11" s="4" t="s">
        <v>296</v>
      </c>
      <c r="W11" s="5" t="s">
        <v>62</v>
      </c>
      <c r="X11" s="3" t="s">
        <v>211</v>
      </c>
      <c r="Y11" s="4" t="s">
        <v>59</v>
      </c>
      <c r="Z11" s="4" t="s">
        <v>63</v>
      </c>
      <c r="AA11" s="6" t="s">
        <v>62</v>
      </c>
    </row>
    <row r="12" spans="1:27" s="2" customFormat="1" ht="15.75" customHeight="1">
      <c r="A12" s="321"/>
      <c r="B12" s="814" t="s">
        <v>449</v>
      </c>
      <c r="C12" s="814"/>
      <c r="D12" s="814"/>
      <c r="E12" s="814"/>
      <c r="F12" s="814"/>
      <c r="G12" s="814"/>
      <c r="H12" s="814"/>
      <c r="I12" s="814"/>
      <c r="J12" s="814"/>
      <c r="K12" s="814"/>
      <c r="L12" s="814"/>
      <c r="M12" s="814"/>
      <c r="N12" s="814"/>
      <c r="O12" s="815"/>
      <c r="P12"/>
      <c r="Q12" s="9">
        <f>IF(K12="On going",1,0)</f>
        <v>0</v>
      </c>
      <c r="R12" s="10">
        <f>IF(K12="NA",1,0)</f>
        <v>0</v>
      </c>
      <c r="S12" s="10">
        <f>IF(K12="Deviation",1,0)</f>
        <v>0</v>
      </c>
      <c r="T12" s="1">
        <f>IF(K12="In analysis",1,0)</f>
        <v>0</v>
      </c>
      <c r="U12" s="1">
        <f>IF(K12="NOK minor",1,0)</f>
        <v>0</v>
      </c>
      <c r="V12" s="1">
        <f>IF(K12="NOK major",1,0)</f>
        <v>0</v>
      </c>
      <c r="W12" s="7">
        <f>IF(K12="OK",1,0)</f>
        <v>0</v>
      </c>
      <c r="X12" s="9">
        <f>IF($J12="On going",1,0)</f>
        <v>0</v>
      </c>
      <c r="Y12" s="10">
        <f>IF($J12="NA",1,0)</f>
        <v>0</v>
      </c>
      <c r="Z12" s="1">
        <f>IF($J12="NOK",1,0)</f>
        <v>0</v>
      </c>
      <c r="AA12" s="8">
        <f>IF($J12="OK",1,0)</f>
        <v>0</v>
      </c>
    </row>
    <row r="13" spans="1:27" s="2" customFormat="1">
      <c r="A13" s="321"/>
      <c r="B13" s="240" t="str">
        <f>'RFQ response'!C8</f>
        <v>C_ET_01_V</v>
      </c>
      <c r="C13" s="237" t="str">
        <f>'RFQ response'!E8</f>
        <v>Resistance to usual power supply voltages</v>
      </c>
      <c r="D13" s="74" t="str">
        <f>'RFQ response'!D8</f>
        <v>REQ-0945093</v>
      </c>
      <c r="E13" s="238" t="str">
        <f>'RFQ response'!N8</f>
        <v>OK</v>
      </c>
      <c r="F13" s="75"/>
      <c r="G13" s="74"/>
      <c r="H13" s="74"/>
      <c r="I13" s="95"/>
      <c r="J13" s="75" t="s">
        <v>57</v>
      </c>
      <c r="K13" s="74" t="s">
        <v>57</v>
      </c>
      <c r="L13" s="74"/>
      <c r="M13" s="173"/>
      <c r="N13" s="239"/>
      <c r="O13" s="239"/>
      <c r="P13"/>
      <c r="Q13" s="9">
        <f t="shared" ref="Q13:Q16" si="0">IF(K13="On going",1,0)</f>
        <v>0</v>
      </c>
      <c r="R13" s="10">
        <f t="shared" ref="R13:R16" si="1">IF(K13="NA",1,0)</f>
        <v>0</v>
      </c>
      <c r="S13" s="10">
        <f t="shared" ref="S13:S16" si="2">IF(K13="Deviation",1,0)</f>
        <v>0</v>
      </c>
      <c r="T13" s="1">
        <f t="shared" ref="T13:T16" si="3">IF(K13="In analysis",1,0)</f>
        <v>0</v>
      </c>
      <c r="U13" s="1">
        <f t="shared" ref="U13:U16" si="4">IF(K13="NOK minor",1,0)</f>
        <v>0</v>
      </c>
      <c r="V13" s="1">
        <f t="shared" ref="V13:V16" si="5">IF(K13="NOK major",1,0)</f>
        <v>0</v>
      </c>
      <c r="W13" s="7">
        <f t="shared" ref="W13:W16" si="6">IF(K13="OK",1,0)</f>
        <v>1</v>
      </c>
      <c r="X13" s="9">
        <f t="shared" ref="X13:X16" si="7">IF($J13="On going",1,0)</f>
        <v>0</v>
      </c>
      <c r="Y13" s="10">
        <f t="shared" ref="Y13:Y16" si="8">IF($J13="NA",1,0)</f>
        <v>0</v>
      </c>
      <c r="Z13" s="1">
        <f t="shared" ref="Z13:Z16" si="9">IF($J13="NOK",1,0)</f>
        <v>0</v>
      </c>
      <c r="AA13" s="8">
        <f t="shared" ref="AA13:AA16" si="10">IF($J13="OK",1,0)</f>
        <v>1</v>
      </c>
    </row>
    <row r="14" spans="1:27" s="2" customFormat="1">
      <c r="A14" s="321"/>
      <c r="B14" s="240" t="str">
        <f>'RFQ response'!C9</f>
        <v>C_ET_02_V</v>
      </c>
      <c r="C14" s="237" t="str">
        <f>'RFQ response'!E9</f>
        <v xml:space="preserve">Resistance to exceptional supply voltage </v>
      </c>
      <c r="D14" s="74" t="str">
        <f>'RFQ response'!D9</f>
        <v>REQ-0945094</v>
      </c>
      <c r="E14" s="238" t="str">
        <f>'RFQ response'!N9</f>
        <v>OK</v>
      </c>
      <c r="F14" s="75"/>
      <c r="G14" s="74"/>
      <c r="H14" s="74"/>
      <c r="I14" s="95"/>
      <c r="J14" s="75" t="s">
        <v>63</v>
      </c>
      <c r="K14" s="74" t="s">
        <v>296</v>
      </c>
      <c r="L14" s="74"/>
      <c r="M14" s="173"/>
      <c r="N14" s="239"/>
      <c r="O14" s="239"/>
      <c r="P14"/>
      <c r="Q14" s="9">
        <f t="shared" si="0"/>
        <v>0</v>
      </c>
      <c r="R14" s="10">
        <f t="shared" si="1"/>
        <v>0</v>
      </c>
      <c r="S14" s="10">
        <f t="shared" si="2"/>
        <v>0</v>
      </c>
      <c r="T14" s="1">
        <f t="shared" si="3"/>
        <v>0</v>
      </c>
      <c r="U14" s="1">
        <f t="shared" si="4"/>
        <v>0</v>
      </c>
      <c r="V14" s="1">
        <f t="shared" si="5"/>
        <v>1</v>
      </c>
      <c r="W14" s="7">
        <f t="shared" si="6"/>
        <v>0</v>
      </c>
      <c r="X14" s="9">
        <f t="shared" si="7"/>
        <v>0</v>
      </c>
      <c r="Y14" s="10">
        <f t="shared" si="8"/>
        <v>0</v>
      </c>
      <c r="Z14" s="1">
        <f t="shared" si="9"/>
        <v>1</v>
      </c>
      <c r="AA14" s="8">
        <f t="shared" si="10"/>
        <v>0</v>
      </c>
    </row>
    <row r="15" spans="1:27" s="2" customFormat="1" ht="22.5">
      <c r="A15" s="321"/>
      <c r="B15" s="240" t="str">
        <f>'RFQ response'!C10</f>
        <v>C_ET_03_V</v>
      </c>
      <c r="C15" s="237" t="str">
        <f>'RFQ response'!E10</f>
        <v>Resistance to unusual power supply voltages (U=24V)
Resistance to unusual power supply voltages (U=-14V)</v>
      </c>
      <c r="D15" s="74" t="str">
        <f>'RFQ response'!D10</f>
        <v>REQ-0945095
REQ-0945096</v>
      </c>
      <c r="E15" s="238" t="str">
        <f>'RFQ response'!N10</f>
        <v>OK</v>
      </c>
      <c r="F15" s="75"/>
      <c r="G15" s="74"/>
      <c r="H15" s="74"/>
      <c r="I15" s="95"/>
      <c r="J15" s="75" t="s">
        <v>59</v>
      </c>
      <c r="K15" s="74" t="s">
        <v>297</v>
      </c>
      <c r="L15" s="74"/>
      <c r="M15" s="173"/>
      <c r="N15" s="239"/>
      <c r="O15" s="239"/>
      <c r="P15"/>
      <c r="Q15" s="9">
        <f t="shared" si="0"/>
        <v>0</v>
      </c>
      <c r="R15" s="10">
        <f t="shared" si="1"/>
        <v>0</v>
      </c>
      <c r="S15" s="10">
        <f t="shared" si="2"/>
        <v>1</v>
      </c>
      <c r="T15" s="1">
        <f t="shared" si="3"/>
        <v>0</v>
      </c>
      <c r="U15" s="1">
        <f t="shared" si="4"/>
        <v>0</v>
      </c>
      <c r="V15" s="1">
        <f t="shared" si="5"/>
        <v>0</v>
      </c>
      <c r="W15" s="7">
        <f t="shared" si="6"/>
        <v>0</v>
      </c>
      <c r="X15" s="9">
        <f t="shared" si="7"/>
        <v>0</v>
      </c>
      <c r="Y15" s="10">
        <f t="shared" si="8"/>
        <v>1</v>
      </c>
      <c r="Z15" s="1">
        <f t="shared" si="9"/>
        <v>0</v>
      </c>
      <c r="AA15" s="8">
        <f t="shared" si="10"/>
        <v>0</v>
      </c>
    </row>
    <row r="16" spans="1:27" s="2" customFormat="1">
      <c r="A16" s="321"/>
      <c r="B16" s="240" t="str">
        <f>'RFQ response'!C11</f>
        <v>C_ET_04_V</v>
      </c>
      <c r="C16" s="237" t="str">
        <f>'RFQ response'!E11</f>
        <v xml:space="preserve">Resistance to slow decrease and increase of supply voltage </v>
      </c>
      <c r="D16" s="74" t="str">
        <f>'RFQ response'!D11</f>
        <v>REQ-0945097</v>
      </c>
      <c r="E16" s="238" t="str">
        <f>'RFQ response'!N11</f>
        <v>OK</v>
      </c>
      <c r="F16" s="75"/>
      <c r="G16" s="74"/>
      <c r="H16" s="74"/>
      <c r="I16" s="95"/>
      <c r="J16" s="75" t="s">
        <v>211</v>
      </c>
      <c r="K16" s="74" t="s">
        <v>209</v>
      </c>
      <c r="L16" s="74"/>
      <c r="M16" s="173"/>
      <c r="N16" s="239"/>
      <c r="O16" s="239"/>
      <c r="P16"/>
      <c r="Q16" s="9">
        <f t="shared" si="0"/>
        <v>0</v>
      </c>
      <c r="R16" s="10">
        <f t="shared" si="1"/>
        <v>0</v>
      </c>
      <c r="S16" s="10">
        <f t="shared" si="2"/>
        <v>0</v>
      </c>
      <c r="T16" s="1">
        <f t="shared" si="3"/>
        <v>0</v>
      </c>
      <c r="U16" s="1">
        <f t="shared" si="4"/>
        <v>1</v>
      </c>
      <c r="V16" s="1">
        <f t="shared" si="5"/>
        <v>0</v>
      </c>
      <c r="W16" s="7">
        <f t="shared" si="6"/>
        <v>0</v>
      </c>
      <c r="X16" s="9">
        <f t="shared" si="7"/>
        <v>1</v>
      </c>
      <c r="Y16" s="10">
        <f t="shared" si="8"/>
        <v>0</v>
      </c>
      <c r="Z16" s="1">
        <f t="shared" si="9"/>
        <v>0</v>
      </c>
      <c r="AA16" s="8">
        <f t="shared" si="10"/>
        <v>0</v>
      </c>
    </row>
    <row r="17" spans="1:27" s="2" customFormat="1">
      <c r="A17" s="321"/>
      <c r="B17" s="240" t="str">
        <f>'RFQ response'!C12</f>
        <v>C_ET_05_V</v>
      </c>
      <c r="C17" s="237" t="str">
        <f>'RFQ response'!E12</f>
        <v>Reset behavior at voltage drop</v>
      </c>
      <c r="D17" s="74" t="str">
        <f>'RFQ response'!D12</f>
        <v>REQ-0945098</v>
      </c>
      <c r="E17" s="238" t="str">
        <f>'RFQ response'!N12</f>
        <v>OK</v>
      </c>
      <c r="F17" s="75"/>
      <c r="G17" s="74"/>
      <c r="H17" s="74"/>
      <c r="I17" s="95"/>
      <c r="J17" s="75"/>
      <c r="K17" s="74" t="s">
        <v>210</v>
      </c>
      <c r="L17" s="74"/>
      <c r="M17" s="173"/>
      <c r="N17" s="239"/>
      <c r="O17" s="239"/>
      <c r="P17"/>
      <c r="Q17" s="9">
        <f t="shared" ref="Q17:Q32" si="11">IF(K17="On going",1,0)</f>
        <v>0</v>
      </c>
      <c r="R17" s="10">
        <f t="shared" ref="R17:R32" si="12">IF(K17="NA",1,0)</f>
        <v>0</v>
      </c>
      <c r="S17" s="10">
        <f t="shared" ref="S17:S32" si="13">IF(K17="Deviation",1,0)</f>
        <v>0</v>
      </c>
      <c r="T17" s="1">
        <f t="shared" ref="T17:T32" si="14">IF(K17="In analysis",1,0)</f>
        <v>1</v>
      </c>
      <c r="U17" s="1">
        <f t="shared" ref="U17:U32" si="15">IF(K17="NOK minor",1,0)</f>
        <v>0</v>
      </c>
      <c r="V17" s="1">
        <f t="shared" ref="V17:V32" si="16">IF(K17="NOK major",1,0)</f>
        <v>0</v>
      </c>
      <c r="W17" s="7">
        <f t="shared" ref="W17:W32" si="17">IF(K17="OK",1,0)</f>
        <v>0</v>
      </c>
      <c r="X17" s="9">
        <f t="shared" ref="X17:X32" si="18">IF($J17="On going",1,0)</f>
        <v>0</v>
      </c>
      <c r="Y17" s="10">
        <f t="shared" ref="Y17:Y32" si="19">IF($J17="NA",1,0)</f>
        <v>0</v>
      </c>
      <c r="Z17" s="1">
        <f t="shared" ref="Z17:Z32" si="20">IF($J17="NOK",1,0)</f>
        <v>0</v>
      </c>
      <c r="AA17" s="8">
        <f t="shared" ref="AA17:AA32" si="21">IF($J17="OK",1,0)</f>
        <v>0</v>
      </c>
    </row>
    <row r="18" spans="1:27" s="2" customFormat="1">
      <c r="A18" s="321"/>
      <c r="B18" s="240" t="str">
        <f>'RFQ response'!C13</f>
        <v>C_ET_06_V</v>
      </c>
      <c r="C18" s="237" t="str">
        <f>'RFQ response'!E13</f>
        <v>Supply voltage drop out</v>
      </c>
      <c r="D18" s="74" t="str">
        <f>'RFQ response'!D13</f>
        <v>REQ-0945099</v>
      </c>
      <c r="E18" s="238" t="str">
        <f>'RFQ response'!N13</f>
        <v>OK</v>
      </c>
      <c r="F18" s="75"/>
      <c r="G18" s="74"/>
      <c r="H18" s="74"/>
      <c r="I18" s="95"/>
      <c r="J18" s="75"/>
      <c r="K18" s="74" t="s">
        <v>59</v>
      </c>
      <c r="L18" s="74"/>
      <c r="M18" s="173"/>
      <c r="N18" s="239"/>
      <c r="O18" s="239"/>
      <c r="P18"/>
      <c r="Q18" s="9">
        <f t="shared" si="11"/>
        <v>0</v>
      </c>
      <c r="R18" s="10">
        <f t="shared" si="12"/>
        <v>1</v>
      </c>
      <c r="S18" s="10">
        <f t="shared" si="13"/>
        <v>0</v>
      </c>
      <c r="T18" s="1">
        <f t="shared" si="14"/>
        <v>0</v>
      </c>
      <c r="U18" s="1">
        <f t="shared" si="15"/>
        <v>0</v>
      </c>
      <c r="V18" s="1">
        <f t="shared" si="16"/>
        <v>0</v>
      </c>
      <c r="W18" s="7">
        <f t="shared" si="17"/>
        <v>0</v>
      </c>
      <c r="X18" s="9">
        <f t="shared" si="18"/>
        <v>0</v>
      </c>
      <c r="Y18" s="10">
        <f t="shared" si="19"/>
        <v>0</v>
      </c>
      <c r="Z18" s="1">
        <f t="shared" si="20"/>
        <v>0</v>
      </c>
      <c r="AA18" s="8">
        <f t="shared" si="21"/>
        <v>0</v>
      </c>
    </row>
    <row r="19" spans="1:27" s="2" customFormat="1">
      <c r="A19" s="321"/>
      <c r="B19" s="240" t="str">
        <f>'RFQ response'!C14</f>
        <v>C_ET_07_V</v>
      </c>
      <c r="C19" s="237" t="str">
        <f>'RFQ response'!E14</f>
        <v>Supply voltage dips</v>
      </c>
      <c r="D19" s="74" t="str">
        <f>'RFQ response'!D14</f>
        <v>REQ-0945100</v>
      </c>
      <c r="E19" s="238" t="str">
        <f>'RFQ response'!N14</f>
        <v>OK</v>
      </c>
      <c r="F19" s="75"/>
      <c r="G19" s="74"/>
      <c r="H19" s="74"/>
      <c r="I19" s="95"/>
      <c r="J19" s="75"/>
      <c r="K19" s="74" t="s">
        <v>211</v>
      </c>
      <c r="L19" s="74"/>
      <c r="M19" s="173"/>
      <c r="N19" s="239"/>
      <c r="O19" s="239"/>
      <c r="P19"/>
      <c r="Q19" s="9">
        <f t="shared" si="11"/>
        <v>1</v>
      </c>
      <c r="R19" s="10">
        <f t="shared" si="12"/>
        <v>0</v>
      </c>
      <c r="S19" s="10">
        <f t="shared" si="13"/>
        <v>0</v>
      </c>
      <c r="T19" s="1">
        <f t="shared" si="14"/>
        <v>0</v>
      </c>
      <c r="U19" s="1">
        <f t="shared" si="15"/>
        <v>0</v>
      </c>
      <c r="V19" s="1">
        <f t="shared" si="16"/>
        <v>0</v>
      </c>
      <c r="W19" s="7">
        <f t="shared" si="17"/>
        <v>0</v>
      </c>
      <c r="X19" s="9">
        <f t="shared" si="18"/>
        <v>0</v>
      </c>
      <c r="Y19" s="10">
        <f t="shared" si="19"/>
        <v>0</v>
      </c>
      <c r="Z19" s="1">
        <f t="shared" si="20"/>
        <v>0</v>
      </c>
      <c r="AA19" s="8">
        <f t="shared" si="21"/>
        <v>0</v>
      </c>
    </row>
    <row r="20" spans="1:27" s="2" customFormat="1">
      <c r="A20" s="321"/>
      <c r="B20" s="240" t="str">
        <f>'RFQ response'!C15</f>
        <v>C_ET_08_V</v>
      </c>
      <c r="C20" s="237" t="str">
        <f>'RFQ response'!E15</f>
        <v>Supply voltage ripple</v>
      </c>
      <c r="D20" s="74" t="str">
        <f>'RFQ response'!D15</f>
        <v>REQ-0945101</v>
      </c>
      <c r="E20" s="238" t="str">
        <f>'RFQ response'!N15</f>
        <v>OK</v>
      </c>
      <c r="F20" s="75"/>
      <c r="G20" s="74"/>
      <c r="H20" s="74"/>
      <c r="I20" s="95"/>
      <c r="J20" s="75"/>
      <c r="K20" s="74"/>
      <c r="L20" s="74"/>
      <c r="M20" s="173"/>
      <c r="N20" s="239"/>
      <c r="O20" s="239"/>
      <c r="P20"/>
      <c r="Q20" s="9">
        <f t="shared" si="11"/>
        <v>0</v>
      </c>
      <c r="R20" s="10">
        <f t="shared" si="12"/>
        <v>0</v>
      </c>
      <c r="S20" s="10">
        <f t="shared" si="13"/>
        <v>0</v>
      </c>
      <c r="T20" s="1">
        <f t="shared" si="14"/>
        <v>0</v>
      </c>
      <c r="U20" s="1">
        <f t="shared" si="15"/>
        <v>0</v>
      </c>
      <c r="V20" s="1">
        <f t="shared" si="16"/>
        <v>0</v>
      </c>
      <c r="W20" s="7">
        <f t="shared" si="17"/>
        <v>0</v>
      </c>
      <c r="X20" s="9">
        <f t="shared" si="18"/>
        <v>0</v>
      </c>
      <c r="Y20" s="10">
        <f t="shared" si="19"/>
        <v>0</v>
      </c>
      <c r="Z20" s="1">
        <f t="shared" si="20"/>
        <v>0</v>
      </c>
      <c r="AA20" s="8">
        <f t="shared" si="21"/>
        <v>0</v>
      </c>
    </row>
    <row r="21" spans="1:27" s="2" customFormat="1">
      <c r="A21" s="321"/>
      <c r="B21" s="240" t="str">
        <f>'RFQ response'!C16</f>
        <v>C_ET_09_V</v>
      </c>
      <c r="C21" s="237" t="str">
        <f>'RFQ response'!E16</f>
        <v>Resistance to the “Volt Control” voltage pulse</v>
      </c>
      <c r="D21" s="74" t="str">
        <f>'RFQ response'!D16</f>
        <v>REQ-0945102</v>
      </c>
      <c r="E21" s="238" t="str">
        <f>'RFQ response'!N16</f>
        <v>OK</v>
      </c>
      <c r="F21" s="75"/>
      <c r="G21" s="74"/>
      <c r="H21" s="74"/>
      <c r="I21" s="95"/>
      <c r="J21" s="75"/>
      <c r="K21" s="74"/>
      <c r="L21" s="74"/>
      <c r="M21" s="173"/>
      <c r="N21" s="239"/>
      <c r="O21" s="239"/>
      <c r="P21"/>
      <c r="Q21" s="9">
        <f t="shared" si="11"/>
        <v>0</v>
      </c>
      <c r="R21" s="10">
        <f t="shared" si="12"/>
        <v>0</v>
      </c>
      <c r="S21" s="10">
        <f t="shared" si="13"/>
        <v>0</v>
      </c>
      <c r="T21" s="1">
        <f t="shared" si="14"/>
        <v>0</v>
      </c>
      <c r="U21" s="1">
        <f t="shared" si="15"/>
        <v>0</v>
      </c>
      <c r="V21" s="1">
        <f t="shared" si="16"/>
        <v>0</v>
      </c>
      <c r="W21" s="7">
        <f t="shared" si="17"/>
        <v>0</v>
      </c>
      <c r="X21" s="9">
        <f t="shared" si="18"/>
        <v>0</v>
      </c>
      <c r="Y21" s="10">
        <f t="shared" si="19"/>
        <v>0</v>
      </c>
      <c r="Z21" s="1">
        <f t="shared" si="20"/>
        <v>0</v>
      </c>
      <c r="AA21" s="8">
        <f t="shared" si="21"/>
        <v>0</v>
      </c>
    </row>
    <row r="22" spans="1:27" s="2" customFormat="1">
      <c r="A22" s="321"/>
      <c r="B22" s="240" t="str">
        <f>'RFQ response'!C17</f>
        <v>C_ET_10_V</v>
      </c>
      <c r="C22" s="237" t="str">
        <f>'RFQ response'!E17</f>
        <v>Ignition off draw (IOD)</v>
      </c>
      <c r="D22" s="74" t="str">
        <f>'RFQ response'!D17</f>
        <v>REQ-0945103</v>
      </c>
      <c r="E22" s="238" t="str">
        <f>'RFQ response'!N17</f>
        <v>OK</v>
      </c>
      <c r="F22" s="75"/>
      <c r="G22" s="74"/>
      <c r="H22" s="74"/>
      <c r="I22" s="95"/>
      <c r="J22" s="75"/>
      <c r="K22" s="74"/>
      <c r="L22" s="74"/>
      <c r="M22" s="173"/>
      <c r="N22" s="239"/>
      <c r="O22" s="239"/>
      <c r="P22"/>
      <c r="Q22" s="9">
        <f t="shared" si="11"/>
        <v>0</v>
      </c>
      <c r="R22" s="10">
        <f t="shared" si="12"/>
        <v>0</v>
      </c>
      <c r="S22" s="10">
        <f t="shared" si="13"/>
        <v>0</v>
      </c>
      <c r="T22" s="1">
        <f t="shared" si="14"/>
        <v>0</v>
      </c>
      <c r="U22" s="1">
        <f t="shared" si="15"/>
        <v>0</v>
      </c>
      <c r="V22" s="1">
        <f t="shared" si="16"/>
        <v>0</v>
      </c>
      <c r="W22" s="7">
        <f t="shared" si="17"/>
        <v>0</v>
      </c>
      <c r="X22" s="9">
        <f t="shared" si="18"/>
        <v>0</v>
      </c>
      <c r="Y22" s="10">
        <f t="shared" si="19"/>
        <v>0</v>
      </c>
      <c r="Z22" s="1">
        <f t="shared" si="20"/>
        <v>0</v>
      </c>
      <c r="AA22" s="8">
        <f t="shared" si="21"/>
        <v>0</v>
      </c>
    </row>
    <row r="23" spans="1:27" s="2" customFormat="1">
      <c r="A23" s="321"/>
      <c r="B23" s="240" t="str">
        <f>'RFQ response'!C18</f>
        <v>C_ET_11_V</v>
      </c>
      <c r="C23" s="237" t="str">
        <f>'RFQ response'!E18</f>
        <v>Immunity to potential difference between power supply</v>
      </c>
      <c r="D23" s="74" t="str">
        <f>'RFQ response'!D18</f>
        <v xml:space="preserve"> -</v>
      </c>
      <c r="E23" s="238" t="str">
        <f>'RFQ response'!N18</f>
        <v>NA</v>
      </c>
      <c r="F23" s="75"/>
      <c r="G23" s="74"/>
      <c r="H23" s="74"/>
      <c r="I23" s="95"/>
      <c r="J23" s="75"/>
      <c r="K23" s="74"/>
      <c r="L23" s="74"/>
      <c r="M23" s="173"/>
      <c r="N23" s="239"/>
      <c r="O23" s="239"/>
      <c r="P23"/>
      <c r="Q23" s="9">
        <f t="shared" si="11"/>
        <v>0</v>
      </c>
      <c r="R23" s="10">
        <f t="shared" si="12"/>
        <v>0</v>
      </c>
      <c r="S23" s="10">
        <f t="shared" si="13"/>
        <v>0</v>
      </c>
      <c r="T23" s="1">
        <f t="shared" si="14"/>
        <v>0</v>
      </c>
      <c r="U23" s="1">
        <f t="shared" si="15"/>
        <v>0</v>
      </c>
      <c r="V23" s="1">
        <f t="shared" si="16"/>
        <v>0</v>
      </c>
      <c r="W23" s="7">
        <f t="shared" si="17"/>
        <v>0</v>
      </c>
      <c r="X23" s="9">
        <f t="shared" si="18"/>
        <v>0</v>
      </c>
      <c r="Y23" s="10">
        <f t="shared" si="19"/>
        <v>0</v>
      </c>
      <c r="Z23" s="1">
        <f t="shared" si="20"/>
        <v>0</v>
      </c>
      <c r="AA23" s="8">
        <f t="shared" si="21"/>
        <v>0</v>
      </c>
    </row>
    <row r="24" spans="1:27" s="2" customFormat="1">
      <c r="A24" s="321"/>
      <c r="B24" s="240" t="str">
        <f>'RFQ response'!C19</f>
        <v>C_ET_12_V</v>
      </c>
      <c r="C24" s="237" t="str">
        <f>'RFQ response'!E19</f>
        <v>Immunity to ground and supply voltage short circuit</v>
      </c>
      <c r="D24" s="74" t="str">
        <f>'RFQ response'!D19</f>
        <v>REQ-0945105</v>
      </c>
      <c r="E24" s="238" t="str">
        <f>'RFQ response'!N19</f>
        <v>OK</v>
      </c>
      <c r="F24" s="75"/>
      <c r="G24" s="74"/>
      <c r="H24" s="74"/>
      <c r="I24" s="95"/>
      <c r="J24" s="75"/>
      <c r="K24" s="74"/>
      <c r="L24" s="74"/>
      <c r="M24" s="173"/>
      <c r="N24" s="239"/>
      <c r="O24" s="239"/>
      <c r="P24"/>
      <c r="Q24" s="9">
        <f t="shared" si="11"/>
        <v>0</v>
      </c>
      <c r="R24" s="10">
        <f t="shared" si="12"/>
        <v>0</v>
      </c>
      <c r="S24" s="10">
        <f t="shared" si="13"/>
        <v>0</v>
      </c>
      <c r="T24" s="1">
        <f t="shared" si="14"/>
        <v>0</v>
      </c>
      <c r="U24" s="1">
        <f t="shared" si="15"/>
        <v>0</v>
      </c>
      <c r="V24" s="1">
        <f t="shared" si="16"/>
        <v>0</v>
      </c>
      <c r="W24" s="7">
        <f t="shared" si="17"/>
        <v>0</v>
      </c>
      <c r="X24" s="9">
        <f t="shared" si="18"/>
        <v>0</v>
      </c>
      <c r="Y24" s="10">
        <f t="shared" si="19"/>
        <v>0</v>
      </c>
      <c r="Z24" s="1">
        <f t="shared" si="20"/>
        <v>0</v>
      </c>
      <c r="AA24" s="8">
        <f t="shared" si="21"/>
        <v>0</v>
      </c>
    </row>
    <row r="25" spans="1:27" s="2" customFormat="1">
      <c r="A25" s="321"/>
      <c r="B25" s="240" t="str">
        <f>'RFQ response'!C20</f>
        <v>C_TE_01_V</v>
      </c>
      <c r="C25" s="237" t="str">
        <f>'RFQ response'!E20</f>
        <v>Conducted transient emission</v>
      </c>
      <c r="D25" s="74" t="str">
        <f>'RFQ response'!D20</f>
        <v xml:space="preserve"> -</v>
      </c>
      <c r="E25" s="238" t="str">
        <f>'RFQ response'!N20</f>
        <v>NA</v>
      </c>
      <c r="F25" s="75"/>
      <c r="G25" s="74"/>
      <c r="H25" s="74"/>
      <c r="I25" s="95"/>
      <c r="J25" s="75"/>
      <c r="K25" s="74"/>
      <c r="L25" s="74"/>
      <c r="M25" s="173"/>
      <c r="N25" s="239"/>
      <c r="O25" s="239"/>
      <c r="P25"/>
      <c r="Q25" s="9">
        <f t="shared" si="11"/>
        <v>0</v>
      </c>
      <c r="R25" s="10">
        <f t="shared" si="12"/>
        <v>0</v>
      </c>
      <c r="S25" s="10">
        <f t="shared" si="13"/>
        <v>0</v>
      </c>
      <c r="T25" s="1">
        <f t="shared" si="14"/>
        <v>0</v>
      </c>
      <c r="U25" s="1">
        <f t="shared" si="15"/>
        <v>0</v>
      </c>
      <c r="V25" s="1">
        <f t="shared" si="16"/>
        <v>0</v>
      </c>
      <c r="W25" s="7">
        <f t="shared" si="17"/>
        <v>0</v>
      </c>
      <c r="X25" s="9">
        <f t="shared" si="18"/>
        <v>0</v>
      </c>
      <c r="Y25" s="10">
        <f t="shared" si="19"/>
        <v>0</v>
      </c>
      <c r="Z25" s="1">
        <f t="shared" si="20"/>
        <v>0</v>
      </c>
      <c r="AA25" s="8">
        <f t="shared" si="21"/>
        <v>0</v>
      </c>
    </row>
    <row r="26" spans="1:27" s="2" customFormat="1">
      <c r="A26" s="321"/>
      <c r="B26" s="240" t="str">
        <f>'RFQ response'!C21</f>
        <v>C_TI_01_V</v>
      </c>
      <c r="C26" s="237" t="str">
        <f>'RFQ response'!E21</f>
        <v xml:space="preserve">Transient pulses - Pulses 1 and 2a </v>
      </c>
      <c r="D26" s="74" t="str">
        <f>'RFQ response'!D21</f>
        <v>REQ-0945106</v>
      </c>
      <c r="E26" s="238" t="str">
        <f>'RFQ response'!N21</f>
        <v>OK</v>
      </c>
      <c r="F26" s="75"/>
      <c r="G26" s="74"/>
      <c r="H26" s="74"/>
      <c r="I26" s="95"/>
      <c r="J26" s="75"/>
      <c r="K26" s="74"/>
      <c r="L26" s="74"/>
      <c r="M26" s="173"/>
      <c r="N26" s="239"/>
      <c r="O26" s="239"/>
      <c r="P26"/>
      <c r="Q26" s="9">
        <f t="shared" si="11"/>
        <v>0</v>
      </c>
      <c r="R26" s="10">
        <f t="shared" si="12"/>
        <v>0</v>
      </c>
      <c r="S26" s="10">
        <f t="shared" si="13"/>
        <v>0</v>
      </c>
      <c r="T26" s="1">
        <f t="shared" si="14"/>
        <v>0</v>
      </c>
      <c r="U26" s="1">
        <f t="shared" si="15"/>
        <v>0</v>
      </c>
      <c r="V26" s="1">
        <f t="shared" si="16"/>
        <v>0</v>
      </c>
      <c r="W26" s="7">
        <f t="shared" si="17"/>
        <v>0</v>
      </c>
      <c r="X26" s="9">
        <f t="shared" si="18"/>
        <v>0</v>
      </c>
      <c r="Y26" s="10">
        <f t="shared" si="19"/>
        <v>0</v>
      </c>
      <c r="Z26" s="1">
        <f t="shared" si="20"/>
        <v>0</v>
      </c>
      <c r="AA26" s="8">
        <f t="shared" si="21"/>
        <v>0</v>
      </c>
    </row>
    <row r="27" spans="1:27" s="2" customFormat="1">
      <c r="A27" s="321"/>
      <c r="B27" s="240" t="str">
        <f>'RFQ response'!C22</f>
        <v>C_TI_02_V</v>
      </c>
      <c r="C27" s="237" t="str">
        <f>'RFQ response'!E22</f>
        <v xml:space="preserve">Transient pulses - Pulses 3a and 3b </v>
      </c>
      <c r="D27" s="74" t="str">
        <f>'RFQ response'!D22</f>
        <v>REQ-0945107</v>
      </c>
      <c r="E27" s="238" t="str">
        <f>'RFQ response'!N22</f>
        <v>OK</v>
      </c>
      <c r="F27" s="75"/>
      <c r="G27" s="74"/>
      <c r="H27" s="74"/>
      <c r="I27" s="95"/>
      <c r="J27" s="75"/>
      <c r="K27" s="74"/>
      <c r="L27" s="74"/>
      <c r="M27" s="173"/>
      <c r="N27" s="239"/>
      <c r="O27" s="239"/>
      <c r="P27"/>
      <c r="Q27" s="9">
        <f t="shared" si="11"/>
        <v>0</v>
      </c>
      <c r="R27" s="10">
        <f t="shared" si="12"/>
        <v>0</v>
      </c>
      <c r="S27" s="10">
        <f t="shared" si="13"/>
        <v>0</v>
      </c>
      <c r="T27" s="1">
        <f t="shared" si="14"/>
        <v>0</v>
      </c>
      <c r="U27" s="1">
        <f t="shared" si="15"/>
        <v>0</v>
      </c>
      <c r="V27" s="1">
        <f t="shared" si="16"/>
        <v>0</v>
      </c>
      <c r="W27" s="7">
        <f t="shared" si="17"/>
        <v>0</v>
      </c>
      <c r="X27" s="9">
        <f t="shared" si="18"/>
        <v>0</v>
      </c>
      <c r="Y27" s="10">
        <f t="shared" si="19"/>
        <v>0</v>
      </c>
      <c r="Z27" s="1">
        <f t="shared" si="20"/>
        <v>0</v>
      </c>
      <c r="AA27" s="8">
        <f t="shared" si="21"/>
        <v>0</v>
      </c>
    </row>
    <row r="28" spans="1:27" s="2" customFormat="1">
      <c r="A28" s="321"/>
      <c r="B28" s="240" t="str">
        <f>'RFQ response'!C23</f>
        <v>C_TI_03_V</v>
      </c>
      <c r="C28" s="237" t="str">
        <f>'RFQ response'!E23</f>
        <v>Engine cold and warm cranking – Pulse 4 bis</v>
      </c>
      <c r="D28" s="74" t="str">
        <f>'RFQ response'!D23</f>
        <v>REQ-0945108</v>
      </c>
      <c r="E28" s="238" t="str">
        <f>'RFQ response'!N23</f>
        <v>OK</v>
      </c>
      <c r="F28" s="75"/>
      <c r="G28" s="74"/>
      <c r="H28" s="74"/>
      <c r="I28" s="95"/>
      <c r="J28" s="75"/>
      <c r="K28" s="74"/>
      <c r="L28" s="74"/>
      <c r="M28" s="173"/>
      <c r="N28" s="239"/>
      <c r="O28" s="239"/>
      <c r="P28"/>
      <c r="Q28" s="9">
        <f t="shared" si="11"/>
        <v>0</v>
      </c>
      <c r="R28" s="10">
        <f t="shared" si="12"/>
        <v>0</v>
      </c>
      <c r="S28" s="10">
        <f t="shared" si="13"/>
        <v>0</v>
      </c>
      <c r="T28" s="1">
        <f t="shared" si="14"/>
        <v>0</v>
      </c>
      <c r="U28" s="1">
        <f t="shared" si="15"/>
        <v>0</v>
      </c>
      <c r="V28" s="1">
        <f t="shared" si="16"/>
        <v>0</v>
      </c>
      <c r="W28" s="7">
        <f t="shared" si="17"/>
        <v>0</v>
      </c>
      <c r="X28" s="9">
        <f t="shared" si="18"/>
        <v>0</v>
      </c>
      <c r="Y28" s="10">
        <f t="shared" si="19"/>
        <v>0</v>
      </c>
      <c r="Z28" s="1">
        <f t="shared" si="20"/>
        <v>0</v>
      </c>
      <c r="AA28" s="8">
        <f t="shared" si="21"/>
        <v>0</v>
      </c>
    </row>
    <row r="29" spans="1:27" s="2" customFormat="1">
      <c r="A29" s="321"/>
      <c r="B29" s="240" t="str">
        <f>'RFQ response'!C24</f>
        <v>C_TI_04_V</v>
      </c>
      <c r="C29" s="237" t="str">
        <f>'RFQ response'!E24</f>
        <v xml:space="preserve">Resistance to load dump </v>
      </c>
      <c r="D29" s="74" t="str">
        <f>'RFQ response'!D24</f>
        <v>REQ-0945109</v>
      </c>
      <c r="E29" s="238" t="str">
        <f>'RFQ response'!N24</f>
        <v>OK</v>
      </c>
      <c r="F29" s="75"/>
      <c r="G29" s="74"/>
      <c r="H29" s="74"/>
      <c r="I29" s="95"/>
      <c r="J29" s="75"/>
      <c r="K29" s="74"/>
      <c r="L29" s="74"/>
      <c r="M29" s="173"/>
      <c r="N29" s="239"/>
      <c r="O29" s="239"/>
      <c r="P29"/>
      <c r="Q29" s="9">
        <f t="shared" si="11"/>
        <v>0</v>
      </c>
      <c r="R29" s="10">
        <f t="shared" si="12"/>
        <v>0</v>
      </c>
      <c r="S29" s="10">
        <f t="shared" si="13"/>
        <v>0</v>
      </c>
      <c r="T29" s="1">
        <f t="shared" si="14"/>
        <v>0</v>
      </c>
      <c r="U29" s="1">
        <f t="shared" si="15"/>
        <v>0</v>
      </c>
      <c r="V29" s="1">
        <f t="shared" si="16"/>
        <v>0</v>
      </c>
      <c r="W29" s="7">
        <f t="shared" si="17"/>
        <v>0</v>
      </c>
      <c r="X29" s="9">
        <f t="shared" si="18"/>
        <v>0</v>
      </c>
      <c r="Y29" s="10">
        <f t="shared" si="19"/>
        <v>0</v>
      </c>
      <c r="Z29" s="1">
        <f t="shared" si="20"/>
        <v>0</v>
      </c>
      <c r="AA29" s="8">
        <f t="shared" si="21"/>
        <v>0</v>
      </c>
    </row>
    <row r="30" spans="1:27" s="2" customFormat="1">
      <c r="A30" s="321"/>
      <c r="B30" s="240" t="str">
        <f>'RFQ response'!C25</f>
        <v>C_TI_05_V</v>
      </c>
      <c r="C30" s="237" t="str">
        <f>'RFQ response'!E25</f>
        <v xml:space="preserve">Immunity to transients on signal lines – CCC method </v>
      </c>
      <c r="D30" s="74" t="str">
        <f>'RFQ response'!D25</f>
        <v>REQ-0945110</v>
      </c>
      <c r="E30" s="238" t="str">
        <f>'RFQ response'!N25</f>
        <v>OK</v>
      </c>
      <c r="F30" s="75"/>
      <c r="G30" s="74"/>
      <c r="H30" s="74"/>
      <c r="I30" s="95"/>
      <c r="J30" s="75"/>
      <c r="K30" s="74"/>
      <c r="L30" s="74"/>
      <c r="M30" s="173"/>
      <c r="N30" s="239"/>
      <c r="O30" s="239"/>
      <c r="P30"/>
      <c r="Q30" s="9">
        <f t="shared" si="11"/>
        <v>0</v>
      </c>
      <c r="R30" s="10">
        <f t="shared" si="12"/>
        <v>0</v>
      </c>
      <c r="S30" s="10">
        <f t="shared" si="13"/>
        <v>0</v>
      </c>
      <c r="T30" s="1">
        <f t="shared" si="14"/>
        <v>0</v>
      </c>
      <c r="U30" s="1">
        <f t="shared" si="15"/>
        <v>0</v>
      </c>
      <c r="V30" s="1">
        <f t="shared" si="16"/>
        <v>0</v>
      </c>
      <c r="W30" s="7">
        <f t="shared" si="17"/>
        <v>0</v>
      </c>
      <c r="X30" s="9">
        <f t="shared" si="18"/>
        <v>0</v>
      </c>
      <c r="Y30" s="10">
        <f t="shared" si="19"/>
        <v>0</v>
      </c>
      <c r="Z30" s="1">
        <f t="shared" si="20"/>
        <v>0</v>
      </c>
      <c r="AA30" s="8">
        <f t="shared" si="21"/>
        <v>0</v>
      </c>
    </row>
    <row r="31" spans="1:27" s="2" customFormat="1" ht="22.5">
      <c r="A31" s="321"/>
      <c r="B31" s="240" t="str">
        <f>'RFQ response'!C26</f>
        <v>C_TI_06_V</v>
      </c>
      <c r="C31" s="237" t="str">
        <f>'RFQ response'!E26</f>
        <v>Transient pulses – Immunity of input / outputs connected to inductive and / or locally grounded load - Pulses A2-1 and A2-2</v>
      </c>
      <c r="D31" s="74" t="str">
        <f>'RFQ response'!D26</f>
        <v>REQ-0945111</v>
      </c>
      <c r="E31" s="238" t="str">
        <f>'RFQ response'!N26</f>
        <v>NA</v>
      </c>
      <c r="F31" s="75"/>
      <c r="G31" s="74"/>
      <c r="H31" s="74"/>
      <c r="I31" s="95"/>
      <c r="J31" s="75"/>
      <c r="K31" s="74"/>
      <c r="L31" s="74"/>
      <c r="M31" s="173"/>
      <c r="N31" s="239"/>
      <c r="O31" s="239"/>
      <c r="P31"/>
      <c r="Q31" s="9">
        <f t="shared" si="11"/>
        <v>0</v>
      </c>
      <c r="R31" s="10">
        <f t="shared" si="12"/>
        <v>0</v>
      </c>
      <c r="S31" s="10">
        <f t="shared" si="13"/>
        <v>0</v>
      </c>
      <c r="T31" s="1">
        <f t="shared" si="14"/>
        <v>0</v>
      </c>
      <c r="U31" s="1">
        <f t="shared" si="15"/>
        <v>0</v>
      </c>
      <c r="V31" s="1">
        <f t="shared" si="16"/>
        <v>0</v>
      </c>
      <c r="W31" s="7">
        <f t="shared" si="17"/>
        <v>0</v>
      </c>
      <c r="X31" s="9">
        <f t="shared" si="18"/>
        <v>0</v>
      </c>
      <c r="Y31" s="10">
        <f t="shared" si="19"/>
        <v>0</v>
      </c>
      <c r="Z31" s="1">
        <f t="shared" si="20"/>
        <v>0</v>
      </c>
      <c r="AA31" s="8">
        <f t="shared" si="21"/>
        <v>0</v>
      </c>
    </row>
    <row r="32" spans="1:27" s="2" customFormat="1">
      <c r="A32" s="321"/>
      <c r="B32" s="240" t="str">
        <f>'RFQ response'!C27</f>
        <v>C_TI_07_V</v>
      </c>
      <c r="C32" s="237" t="str">
        <f>'RFQ response'!E27</f>
        <v>Transient pulses – Immunity to the transients with wire to wire coupling</v>
      </c>
      <c r="D32" s="74" t="str">
        <f>'RFQ response'!D27</f>
        <v>REQ-0945112</v>
      </c>
      <c r="E32" s="238" t="str">
        <f>'RFQ response'!N27</f>
        <v>OK</v>
      </c>
      <c r="F32" s="75"/>
      <c r="G32" s="74"/>
      <c r="H32" s="74"/>
      <c r="I32" s="95"/>
      <c r="J32" s="75"/>
      <c r="K32" s="74"/>
      <c r="L32" s="74"/>
      <c r="M32" s="173"/>
      <c r="N32" s="239"/>
      <c r="O32" s="239"/>
      <c r="P32"/>
      <c r="Q32" s="9">
        <f t="shared" si="11"/>
        <v>0</v>
      </c>
      <c r="R32" s="10">
        <f t="shared" si="12"/>
        <v>0</v>
      </c>
      <c r="S32" s="10">
        <f t="shared" si="13"/>
        <v>0</v>
      </c>
      <c r="T32" s="1">
        <f t="shared" si="14"/>
        <v>0</v>
      </c>
      <c r="U32" s="1">
        <f t="shared" si="15"/>
        <v>0</v>
      </c>
      <c r="V32" s="1">
        <f t="shared" si="16"/>
        <v>0</v>
      </c>
      <c r="W32" s="7">
        <f t="shared" si="17"/>
        <v>0</v>
      </c>
      <c r="X32" s="9">
        <f t="shared" si="18"/>
        <v>0</v>
      </c>
      <c r="Y32" s="10">
        <f t="shared" si="19"/>
        <v>0</v>
      </c>
      <c r="Z32" s="1">
        <f t="shared" si="20"/>
        <v>0</v>
      </c>
      <c r="AA32" s="8">
        <f t="shared" si="21"/>
        <v>0</v>
      </c>
    </row>
    <row r="33" spans="1:27" s="2" customFormat="1">
      <c r="A33" s="321"/>
      <c r="B33" s="240" t="str">
        <f>'RFQ response'!C28</f>
        <v>C_TI_01_R</v>
      </c>
      <c r="C33" s="237" t="str">
        <f>'RFQ response'!E28</f>
        <v>Immunity to the transients on the signal line</v>
      </c>
      <c r="D33" s="74" t="str">
        <f>'RFQ response'!D28</f>
        <v xml:space="preserve"> -</v>
      </c>
      <c r="E33" s="238" t="str">
        <f>'RFQ response'!N28</f>
        <v>NA</v>
      </c>
      <c r="F33" s="75"/>
      <c r="G33" s="74"/>
      <c r="H33" s="74"/>
      <c r="I33" s="95"/>
      <c r="J33" s="75"/>
      <c r="K33" s="74"/>
      <c r="L33" s="74"/>
      <c r="M33" s="173"/>
      <c r="N33" s="239"/>
      <c r="O33" s="239"/>
      <c r="P33"/>
      <c r="Q33" s="9">
        <f t="shared" ref="Q33:Q40" si="22">IF(K33="On going",1,0)</f>
        <v>0</v>
      </c>
      <c r="R33" s="10">
        <f t="shared" ref="R33:R40" si="23">IF(K33="NA",1,0)</f>
        <v>0</v>
      </c>
      <c r="S33" s="10">
        <f t="shared" ref="S33:S40" si="24">IF(K33="Deviation",1,0)</f>
        <v>0</v>
      </c>
      <c r="T33" s="1">
        <f t="shared" ref="T33:T40" si="25">IF(K33="In analysis",1,0)</f>
        <v>0</v>
      </c>
      <c r="U33" s="1">
        <f t="shared" ref="U33:U40" si="26">IF(K33="NOK minor",1,0)</f>
        <v>0</v>
      </c>
      <c r="V33" s="1">
        <f t="shared" ref="V33:V40" si="27">IF(K33="NOK major",1,0)</f>
        <v>0</v>
      </c>
      <c r="W33" s="7">
        <f t="shared" ref="W33:W40" si="28">IF(K33="OK",1,0)</f>
        <v>0</v>
      </c>
      <c r="X33" s="9">
        <f t="shared" ref="X33:X40" si="29">IF($J33="On going",1,0)</f>
        <v>0</v>
      </c>
      <c r="Y33" s="10">
        <f t="shared" ref="Y33:Y40" si="30">IF($J33="NA",1,0)</f>
        <v>0</v>
      </c>
      <c r="Z33" s="1">
        <f t="shared" ref="Z33:Z40" si="31">IF($J33="NOK",1,0)</f>
        <v>0</v>
      </c>
      <c r="AA33" s="8">
        <f t="shared" ref="AA33:AA40" si="32">IF($J33="OK",1,0)</f>
        <v>0</v>
      </c>
    </row>
    <row r="34" spans="1:27" s="2" customFormat="1">
      <c r="A34" s="321"/>
      <c r="B34" s="240" t="str">
        <f>'RFQ response'!C29</f>
        <v>C_TE_01_R</v>
      </c>
      <c r="C34" s="237" t="str">
        <f>'RFQ response'!E29</f>
        <v>Conducted Transient Emission</v>
      </c>
      <c r="D34" s="74" t="str">
        <f>'RFQ response'!D29</f>
        <v xml:space="preserve"> -</v>
      </c>
      <c r="E34" s="238" t="str">
        <f>'RFQ response'!N29</f>
        <v>NA</v>
      </c>
      <c r="F34" s="75"/>
      <c r="G34" s="74"/>
      <c r="H34" s="74"/>
      <c r="I34" s="95"/>
      <c r="J34" s="75"/>
      <c r="K34" s="74"/>
      <c r="L34" s="74"/>
      <c r="M34" s="173"/>
      <c r="N34" s="239"/>
      <c r="O34" s="239"/>
      <c r="P34"/>
      <c r="Q34" s="9">
        <f t="shared" si="22"/>
        <v>0</v>
      </c>
      <c r="R34" s="10">
        <f t="shared" si="23"/>
        <v>0</v>
      </c>
      <c r="S34" s="10">
        <f t="shared" si="24"/>
        <v>0</v>
      </c>
      <c r="T34" s="1">
        <f t="shared" si="25"/>
        <v>0</v>
      </c>
      <c r="U34" s="1">
        <f t="shared" si="26"/>
        <v>0</v>
      </c>
      <c r="V34" s="1">
        <f t="shared" si="27"/>
        <v>0</v>
      </c>
      <c r="W34" s="7">
        <f t="shared" si="28"/>
        <v>0</v>
      </c>
      <c r="X34" s="9">
        <f t="shared" si="29"/>
        <v>0</v>
      </c>
      <c r="Y34" s="10">
        <f t="shared" si="30"/>
        <v>0</v>
      </c>
      <c r="Z34" s="1">
        <f t="shared" si="31"/>
        <v>0</v>
      </c>
      <c r="AA34" s="8">
        <f t="shared" si="32"/>
        <v>0</v>
      </c>
    </row>
    <row r="35" spans="1:27" s="2" customFormat="1">
      <c r="A35" s="321"/>
      <c r="B35" s="240" t="str">
        <f>'RFQ response'!C30</f>
        <v>C_CI_01_V</v>
      </c>
      <c r="C35" s="237" t="str">
        <f>'RFQ response'!E30</f>
        <v>Bulk current injection (BCI)</v>
      </c>
      <c r="D35" s="74" t="str">
        <f>'RFQ response'!D30</f>
        <v>REQ-0945113</v>
      </c>
      <c r="E35" s="238" t="str">
        <f>'RFQ response'!N30</f>
        <v>OK</v>
      </c>
      <c r="F35" s="75"/>
      <c r="G35" s="74"/>
      <c r="H35" s="74"/>
      <c r="I35" s="95"/>
      <c r="J35" s="75"/>
      <c r="K35" s="74"/>
      <c r="L35" s="74"/>
      <c r="M35" s="173"/>
      <c r="N35" s="239"/>
      <c r="O35" s="239"/>
      <c r="P35"/>
      <c r="Q35" s="9">
        <f t="shared" si="22"/>
        <v>0</v>
      </c>
      <c r="R35" s="10">
        <f t="shared" si="23"/>
        <v>0</v>
      </c>
      <c r="S35" s="10">
        <f t="shared" si="24"/>
        <v>0</v>
      </c>
      <c r="T35" s="1">
        <f t="shared" si="25"/>
        <v>0</v>
      </c>
      <c r="U35" s="1">
        <f t="shared" si="26"/>
        <v>0</v>
      </c>
      <c r="V35" s="1">
        <f t="shared" si="27"/>
        <v>0</v>
      </c>
      <c r="W35" s="7">
        <f t="shared" si="28"/>
        <v>0</v>
      </c>
      <c r="X35" s="9">
        <f t="shared" si="29"/>
        <v>0</v>
      </c>
      <c r="Y35" s="10">
        <f t="shared" si="30"/>
        <v>0</v>
      </c>
      <c r="Z35" s="1">
        <f t="shared" si="31"/>
        <v>0</v>
      </c>
      <c r="AA35" s="8">
        <f t="shared" si="32"/>
        <v>0</v>
      </c>
    </row>
    <row r="36" spans="1:27" s="2" customFormat="1">
      <c r="A36" s="321"/>
      <c r="B36" s="240" t="str">
        <f>'RFQ response'!C31</f>
        <v>C_RI_01_V</v>
      </c>
      <c r="C36" s="237" t="str">
        <f>'RFQ response'!E31</f>
        <v>Immunity to external sources – ALSE (Absorber Line Shielded Enclosure)</v>
      </c>
      <c r="D36" s="74" t="str">
        <f>'RFQ response'!D31</f>
        <v>REQ-0945114</v>
      </c>
      <c r="E36" s="238" t="str">
        <f>'RFQ response'!N31</f>
        <v>OK</v>
      </c>
      <c r="F36" s="75"/>
      <c r="G36" s="74"/>
      <c r="H36" s="74"/>
      <c r="I36" s="95"/>
      <c r="J36" s="75"/>
      <c r="K36" s="74"/>
      <c r="L36" s="74"/>
      <c r="M36" s="173"/>
      <c r="N36" s="239"/>
      <c r="O36" s="239"/>
      <c r="P36"/>
      <c r="Q36" s="9">
        <f t="shared" si="22"/>
        <v>0</v>
      </c>
      <c r="R36" s="10">
        <f t="shared" si="23"/>
        <v>0</v>
      </c>
      <c r="S36" s="10">
        <f t="shared" si="24"/>
        <v>0</v>
      </c>
      <c r="T36" s="1">
        <f t="shared" si="25"/>
        <v>0</v>
      </c>
      <c r="U36" s="1">
        <f t="shared" si="26"/>
        <v>0</v>
      </c>
      <c r="V36" s="1">
        <f t="shared" si="27"/>
        <v>0</v>
      </c>
      <c r="W36" s="7">
        <f t="shared" si="28"/>
        <v>0</v>
      </c>
      <c r="X36" s="9">
        <f t="shared" si="29"/>
        <v>0</v>
      </c>
      <c r="Y36" s="10">
        <f t="shared" si="30"/>
        <v>0</v>
      </c>
      <c r="Z36" s="1">
        <f t="shared" si="31"/>
        <v>0</v>
      </c>
      <c r="AA36" s="8">
        <f t="shared" si="32"/>
        <v>0</v>
      </c>
    </row>
    <row r="37" spans="1:27" s="2" customFormat="1">
      <c r="A37" s="321"/>
      <c r="B37" s="240" t="str">
        <f>'RFQ response'!C32</f>
        <v>C_RI_02_V</v>
      </c>
      <c r="C37" s="237" t="str">
        <f>'RFQ response'!E32</f>
        <v>Immunity to external sources – Reverberation chamber</v>
      </c>
      <c r="D37" s="74" t="str">
        <f>'RFQ response'!D32</f>
        <v>REQ-0945115</v>
      </c>
      <c r="E37" s="238" t="str">
        <f>'RFQ response'!N32</f>
        <v>OK</v>
      </c>
      <c r="F37" s="75"/>
      <c r="G37" s="74"/>
      <c r="H37" s="74"/>
      <c r="I37" s="95"/>
      <c r="J37" s="75"/>
      <c r="K37" s="74"/>
      <c r="L37" s="74"/>
      <c r="M37" s="173"/>
      <c r="N37" s="239"/>
      <c r="O37" s="239"/>
      <c r="P37"/>
      <c r="Q37" s="9">
        <f t="shared" si="22"/>
        <v>0</v>
      </c>
      <c r="R37" s="10">
        <f t="shared" si="23"/>
        <v>0</v>
      </c>
      <c r="S37" s="10">
        <f t="shared" si="24"/>
        <v>0</v>
      </c>
      <c r="T37" s="1">
        <f t="shared" si="25"/>
        <v>0</v>
      </c>
      <c r="U37" s="1">
        <f t="shared" si="26"/>
        <v>0</v>
      </c>
      <c r="V37" s="1">
        <f t="shared" si="27"/>
        <v>0</v>
      </c>
      <c r="W37" s="7">
        <f t="shared" si="28"/>
        <v>0</v>
      </c>
      <c r="X37" s="9">
        <f t="shared" si="29"/>
        <v>0</v>
      </c>
      <c r="Y37" s="10">
        <f t="shared" si="30"/>
        <v>0</v>
      </c>
      <c r="Z37" s="1">
        <f t="shared" si="31"/>
        <v>0</v>
      </c>
      <c r="AA37" s="8">
        <f t="shared" si="32"/>
        <v>0</v>
      </c>
    </row>
    <row r="38" spans="1:27" s="2" customFormat="1">
      <c r="A38" s="321"/>
      <c r="B38" s="240" t="str">
        <f>'RFQ response'!C33</f>
        <v>C_RI_03_V</v>
      </c>
      <c r="C38" s="237" t="str">
        <f>'RFQ response'!E33</f>
        <v>Immunity to portable transmitters</v>
      </c>
      <c r="D38" s="74" t="str">
        <f>'RFQ response'!D33</f>
        <v>REQ-0945116</v>
      </c>
      <c r="E38" s="238" t="str">
        <f>'RFQ response'!N33</f>
        <v>OK</v>
      </c>
      <c r="F38" s="75"/>
      <c r="G38" s="74"/>
      <c r="H38" s="74"/>
      <c r="I38" s="95"/>
      <c r="J38" s="75"/>
      <c r="K38" s="74"/>
      <c r="L38" s="74"/>
      <c r="M38" s="173"/>
      <c r="N38" s="239"/>
      <c r="O38" s="239"/>
      <c r="P38"/>
      <c r="Q38" s="9">
        <f t="shared" si="22"/>
        <v>0</v>
      </c>
      <c r="R38" s="10">
        <f t="shared" si="23"/>
        <v>0</v>
      </c>
      <c r="S38" s="10">
        <f t="shared" si="24"/>
        <v>0</v>
      </c>
      <c r="T38" s="1">
        <f t="shared" si="25"/>
        <v>0</v>
      </c>
      <c r="U38" s="1">
        <f t="shared" si="26"/>
        <v>0</v>
      </c>
      <c r="V38" s="1">
        <f t="shared" si="27"/>
        <v>0</v>
      </c>
      <c r="W38" s="7">
        <f t="shared" si="28"/>
        <v>0</v>
      </c>
      <c r="X38" s="9">
        <f t="shared" si="29"/>
        <v>0</v>
      </c>
      <c r="Y38" s="10">
        <f t="shared" si="30"/>
        <v>0</v>
      </c>
      <c r="Z38" s="1">
        <f t="shared" si="31"/>
        <v>0</v>
      </c>
      <c r="AA38" s="8">
        <f t="shared" si="32"/>
        <v>0</v>
      </c>
    </row>
    <row r="39" spans="1:27" s="2" customFormat="1">
      <c r="A39" s="321"/>
      <c r="B39" s="240" t="str">
        <f>'RFQ response'!C34</f>
        <v>C_RI_04_V</v>
      </c>
      <c r="C39" s="237" t="str">
        <f>'RFQ response'!E34</f>
        <v xml:space="preserve">Immunity to magnetic field </v>
      </c>
      <c r="D39" s="74" t="str">
        <f>'RFQ response'!D34</f>
        <v>REQ-0945117</v>
      </c>
      <c r="E39" s="238" t="str">
        <f>'RFQ response'!N34</f>
        <v>OK</v>
      </c>
      <c r="F39" s="75"/>
      <c r="G39" s="74"/>
      <c r="H39" s="74"/>
      <c r="I39" s="95"/>
      <c r="J39" s="75"/>
      <c r="K39" s="74"/>
      <c r="L39" s="74"/>
      <c r="M39" s="173"/>
      <c r="N39" s="239"/>
      <c r="O39" s="239"/>
      <c r="P39"/>
      <c r="Q39" s="9">
        <f t="shared" si="22"/>
        <v>0</v>
      </c>
      <c r="R39" s="10">
        <f t="shared" si="23"/>
        <v>0</v>
      </c>
      <c r="S39" s="10">
        <f t="shared" si="24"/>
        <v>0</v>
      </c>
      <c r="T39" s="1">
        <f t="shared" si="25"/>
        <v>0</v>
      </c>
      <c r="U39" s="1">
        <f t="shared" si="26"/>
        <v>0</v>
      </c>
      <c r="V39" s="1">
        <f t="shared" si="27"/>
        <v>0</v>
      </c>
      <c r="W39" s="7">
        <f t="shared" si="28"/>
        <v>0</v>
      </c>
      <c r="X39" s="9">
        <f t="shared" si="29"/>
        <v>0</v>
      </c>
      <c r="Y39" s="10">
        <f t="shared" si="30"/>
        <v>0</v>
      </c>
      <c r="Z39" s="1">
        <f t="shared" si="31"/>
        <v>0</v>
      </c>
      <c r="AA39" s="8">
        <f t="shared" si="32"/>
        <v>0</v>
      </c>
    </row>
    <row r="40" spans="1:27" s="2" customFormat="1">
      <c r="A40" s="321"/>
      <c r="B40" s="240" t="str">
        <f>'RFQ response'!C35</f>
        <v>C_RI_05_R</v>
      </c>
      <c r="C40" s="237" t="str">
        <f>'RFQ response'!E35</f>
        <v>Immunity to electromagnetic radiation</v>
      </c>
      <c r="D40" s="74" t="str">
        <f>'RFQ response'!D35</f>
        <v xml:space="preserve"> -</v>
      </c>
      <c r="E40" s="238" t="str">
        <f>'RFQ response'!N35</f>
        <v>NA</v>
      </c>
      <c r="F40" s="75"/>
      <c r="G40" s="74"/>
      <c r="H40" s="74"/>
      <c r="I40" s="95"/>
      <c r="J40" s="75"/>
      <c r="K40" s="74"/>
      <c r="L40" s="74"/>
      <c r="M40" s="173"/>
      <c r="N40" s="239"/>
      <c r="O40" s="239"/>
      <c r="P40"/>
      <c r="Q40" s="9">
        <f t="shared" si="22"/>
        <v>0</v>
      </c>
      <c r="R40" s="10">
        <f t="shared" si="23"/>
        <v>0</v>
      </c>
      <c r="S40" s="10">
        <f t="shared" si="24"/>
        <v>0</v>
      </c>
      <c r="T40" s="1">
        <f t="shared" si="25"/>
        <v>0</v>
      </c>
      <c r="U40" s="1">
        <f t="shared" si="26"/>
        <v>0</v>
      </c>
      <c r="V40" s="1">
        <f t="shared" si="27"/>
        <v>0</v>
      </c>
      <c r="W40" s="7">
        <f t="shared" si="28"/>
        <v>0</v>
      </c>
      <c r="X40" s="9">
        <f t="shared" si="29"/>
        <v>0</v>
      </c>
      <c r="Y40" s="10">
        <f t="shared" si="30"/>
        <v>0</v>
      </c>
      <c r="Z40" s="1">
        <f t="shared" si="31"/>
        <v>0</v>
      </c>
      <c r="AA40" s="8">
        <f t="shared" si="32"/>
        <v>0</v>
      </c>
    </row>
    <row r="41" spans="1:27" s="2" customFormat="1">
      <c r="A41" s="321"/>
      <c r="B41" s="240" t="str">
        <f>'RFQ response'!C36</f>
        <v>C_CE_01_V</v>
      </c>
      <c r="C41" s="237" t="str">
        <f>'RFQ response'!E36</f>
        <v>RF conducted emission on power supply inputs – AN voltage measurement</v>
      </c>
      <c r="D41" s="74" t="str">
        <f>'RFQ response'!D36</f>
        <v>REQ-0945121</v>
      </c>
      <c r="E41" s="238" t="str">
        <f>'RFQ response'!N36</f>
        <v>OK</v>
      </c>
      <c r="F41" s="75"/>
      <c r="G41" s="74"/>
      <c r="H41" s="74"/>
      <c r="I41" s="95"/>
      <c r="J41" s="75"/>
      <c r="K41" s="74"/>
      <c r="L41" s="74"/>
      <c r="M41" s="173"/>
      <c r="N41" s="239"/>
      <c r="O41" s="239"/>
      <c r="P41"/>
      <c r="Q41" s="9">
        <f t="shared" ref="Q41:Q44" si="33">IF(K41="On going",1,0)</f>
        <v>0</v>
      </c>
      <c r="R41" s="10">
        <f t="shared" ref="R41:R44" si="34">IF(K41="NA",1,0)</f>
        <v>0</v>
      </c>
      <c r="S41" s="10">
        <f t="shared" ref="S41:S44" si="35">IF(K41="Deviation",1,0)</f>
        <v>0</v>
      </c>
      <c r="T41" s="1">
        <f t="shared" ref="T41:T44" si="36">IF(K41="In analysis",1,0)</f>
        <v>0</v>
      </c>
      <c r="U41" s="1">
        <f t="shared" ref="U41:U44" si="37">IF(K41="NOK minor",1,0)</f>
        <v>0</v>
      </c>
      <c r="V41" s="1">
        <f t="shared" ref="V41:V44" si="38">IF(K41="NOK major",1,0)</f>
        <v>0</v>
      </c>
      <c r="W41" s="7">
        <f t="shared" ref="W41:W44" si="39">IF(K41="OK",1,0)</f>
        <v>0</v>
      </c>
      <c r="X41" s="9">
        <f t="shared" ref="X41:X44" si="40">IF($J41="On going",1,0)</f>
        <v>0</v>
      </c>
      <c r="Y41" s="10">
        <f t="shared" ref="Y41:Y44" si="41">IF($J41="NA",1,0)</f>
        <v>0</v>
      </c>
      <c r="Z41" s="1">
        <f t="shared" ref="Z41:Z44" si="42">IF($J41="NOK",1,0)</f>
        <v>0</v>
      </c>
      <c r="AA41" s="8">
        <f t="shared" ref="AA41:AA44" si="43">IF($J41="OK",1,0)</f>
        <v>0</v>
      </c>
    </row>
    <row r="42" spans="1:27" s="2" customFormat="1">
      <c r="A42" s="321"/>
      <c r="B42" s="240" t="str">
        <f>'RFQ response'!C37</f>
        <v>C_CE_02_V</v>
      </c>
      <c r="C42" s="237" t="str">
        <f>'RFQ response'!E37</f>
        <v>RF conducted emission on wiring – Current probe measurement</v>
      </c>
      <c r="D42" s="74" t="str">
        <f>'RFQ response'!D37</f>
        <v>REQ-0945122</v>
      </c>
      <c r="E42" s="238" t="str">
        <f>'RFQ response'!N37</f>
        <v>OK</v>
      </c>
      <c r="F42" s="75"/>
      <c r="G42" s="74"/>
      <c r="H42" s="74"/>
      <c r="I42" s="95"/>
      <c r="J42" s="75"/>
      <c r="K42" s="74"/>
      <c r="L42" s="74"/>
      <c r="M42" s="173"/>
      <c r="N42" s="239"/>
      <c r="O42" s="239"/>
      <c r="P42"/>
      <c r="Q42" s="9">
        <f t="shared" si="33"/>
        <v>0</v>
      </c>
      <c r="R42" s="10">
        <f t="shared" si="34"/>
        <v>0</v>
      </c>
      <c r="S42" s="10">
        <f t="shared" si="35"/>
        <v>0</v>
      </c>
      <c r="T42" s="1">
        <f t="shared" si="36"/>
        <v>0</v>
      </c>
      <c r="U42" s="1">
        <f t="shared" si="37"/>
        <v>0</v>
      </c>
      <c r="V42" s="1">
        <f t="shared" si="38"/>
        <v>0</v>
      </c>
      <c r="W42" s="7">
        <f t="shared" si="39"/>
        <v>0</v>
      </c>
      <c r="X42" s="9">
        <f t="shared" si="40"/>
        <v>0</v>
      </c>
      <c r="Y42" s="10">
        <f t="shared" si="41"/>
        <v>0</v>
      </c>
      <c r="Z42" s="1">
        <f t="shared" si="42"/>
        <v>0</v>
      </c>
      <c r="AA42" s="8">
        <f t="shared" si="43"/>
        <v>0</v>
      </c>
    </row>
    <row r="43" spans="1:27" s="2" customFormat="1">
      <c r="A43" s="321"/>
      <c r="B43" s="240" t="str">
        <f>'RFQ response'!C38</f>
        <v>C_RE_01_V</v>
      </c>
      <c r="C43" s="237" t="str">
        <f>'RFQ response'!E38</f>
        <v>Electric field radiated emission – ALSE (Absorber Line Shielded Enclosure)</v>
      </c>
      <c r="D43" s="74" t="str">
        <f>'RFQ response'!D38</f>
        <v>REQ-0945123</v>
      </c>
      <c r="E43" s="238" t="str">
        <f>'RFQ response'!N38</f>
        <v>OK</v>
      </c>
      <c r="F43" s="75"/>
      <c r="G43" s="74"/>
      <c r="H43" s="74"/>
      <c r="I43" s="95"/>
      <c r="J43" s="75"/>
      <c r="K43" s="74"/>
      <c r="L43" s="74"/>
      <c r="M43" s="173"/>
      <c r="N43" s="239"/>
      <c r="O43" s="239"/>
      <c r="P43"/>
      <c r="Q43" s="9">
        <f t="shared" si="33"/>
        <v>0</v>
      </c>
      <c r="R43" s="10">
        <f t="shared" si="34"/>
        <v>0</v>
      </c>
      <c r="S43" s="10">
        <f t="shared" si="35"/>
        <v>0</v>
      </c>
      <c r="T43" s="1">
        <f t="shared" si="36"/>
        <v>0</v>
      </c>
      <c r="U43" s="1">
        <f t="shared" si="37"/>
        <v>0</v>
      </c>
      <c r="V43" s="1">
        <f t="shared" si="38"/>
        <v>0</v>
      </c>
      <c r="W43" s="7">
        <f t="shared" si="39"/>
        <v>0</v>
      </c>
      <c r="X43" s="9">
        <f t="shared" si="40"/>
        <v>0</v>
      </c>
      <c r="Y43" s="10">
        <f t="shared" si="41"/>
        <v>0</v>
      </c>
      <c r="Z43" s="1">
        <f t="shared" si="42"/>
        <v>0</v>
      </c>
      <c r="AA43" s="8">
        <f t="shared" si="43"/>
        <v>0</v>
      </c>
    </row>
    <row r="44" spans="1:27" s="2" customFormat="1">
      <c r="A44" s="321"/>
      <c r="B44" s="240" t="str">
        <f>'RFQ response'!C39</f>
        <v>C_RE_02_V</v>
      </c>
      <c r="C44" s="237" t="str">
        <f>'RFQ response'!E39</f>
        <v xml:space="preserve">Keyless entry - Magnetic field </v>
      </c>
      <c r="D44" s="74" t="str">
        <f>'RFQ response'!D39</f>
        <v>REQ-0945124</v>
      </c>
      <c r="E44" s="238" t="str">
        <f>'RFQ response'!N39</f>
        <v>OK</v>
      </c>
      <c r="F44" s="75"/>
      <c r="G44" s="74"/>
      <c r="H44" s="74"/>
      <c r="I44" s="95"/>
      <c r="J44" s="75"/>
      <c r="K44" s="74"/>
      <c r="L44" s="74"/>
      <c r="M44" s="173"/>
      <c r="N44" s="239"/>
      <c r="O44" s="239"/>
      <c r="P44"/>
      <c r="Q44" s="9">
        <f t="shared" si="33"/>
        <v>0</v>
      </c>
      <c r="R44" s="10">
        <f t="shared" si="34"/>
        <v>0</v>
      </c>
      <c r="S44" s="10">
        <f t="shared" si="35"/>
        <v>0</v>
      </c>
      <c r="T44" s="1">
        <f t="shared" si="36"/>
        <v>0</v>
      </c>
      <c r="U44" s="1">
        <f t="shared" si="37"/>
        <v>0</v>
      </c>
      <c r="V44" s="1">
        <f t="shared" si="38"/>
        <v>0</v>
      </c>
      <c r="W44" s="7">
        <f t="shared" si="39"/>
        <v>0</v>
      </c>
      <c r="X44" s="9">
        <f t="shared" si="40"/>
        <v>0</v>
      </c>
      <c r="Y44" s="10">
        <f t="shared" si="41"/>
        <v>0</v>
      </c>
      <c r="Z44" s="1">
        <f t="shared" si="42"/>
        <v>0</v>
      </c>
      <c r="AA44" s="8">
        <f t="shared" si="43"/>
        <v>0</v>
      </c>
    </row>
    <row r="45" spans="1:27" s="2" customFormat="1">
      <c r="A45" s="321"/>
      <c r="B45" s="240" t="str">
        <f>'RFQ response'!C40</f>
        <v>C_RE_03_R</v>
      </c>
      <c r="C45" s="237" t="str">
        <f>'RFQ response'!E40</f>
        <v>Broadband radiated emission</v>
      </c>
      <c r="D45" s="74" t="str">
        <f>'RFQ response'!D40</f>
        <v xml:space="preserve"> -</v>
      </c>
      <c r="E45" s="238" t="str">
        <f>'RFQ response'!N40</f>
        <v>NA</v>
      </c>
      <c r="F45" s="75"/>
      <c r="G45" s="74"/>
      <c r="H45" s="74"/>
      <c r="I45" s="95"/>
      <c r="J45" s="75"/>
      <c r="K45" s="74"/>
      <c r="L45" s="74"/>
      <c r="M45" s="173"/>
      <c r="N45" s="239"/>
      <c r="O45" s="239"/>
      <c r="P45"/>
      <c r="Q45" s="9">
        <f t="shared" ref="Q45:Q46" si="44">IF(K45="On going",1,0)</f>
        <v>0</v>
      </c>
      <c r="R45" s="10">
        <f t="shared" ref="R45:R46" si="45">IF(K45="NA",1,0)</f>
        <v>0</v>
      </c>
      <c r="S45" s="10">
        <f t="shared" ref="S45:S46" si="46">IF(K45="Deviation",1,0)</f>
        <v>0</v>
      </c>
      <c r="T45" s="1">
        <f t="shared" ref="T45:T46" si="47">IF(K45="In analysis",1,0)</f>
        <v>0</v>
      </c>
      <c r="U45" s="1">
        <f t="shared" ref="U45:U46" si="48">IF(K45="NOK minor",1,0)</f>
        <v>0</v>
      </c>
      <c r="V45" s="1">
        <f t="shared" ref="V45:V46" si="49">IF(K45="NOK major",1,0)</f>
        <v>0</v>
      </c>
      <c r="W45" s="7">
        <f t="shared" ref="W45:W46" si="50">IF(K45="OK",1,0)</f>
        <v>0</v>
      </c>
      <c r="X45" s="9">
        <f t="shared" ref="X45:X99" si="51">IF($J45="On going",1,0)</f>
        <v>0</v>
      </c>
      <c r="Y45" s="10">
        <f t="shared" ref="Y45:Y99" si="52">IF($J45="NA",1,0)</f>
        <v>0</v>
      </c>
      <c r="Z45" s="1">
        <f t="shared" ref="Z45:Z99" si="53">IF($J45="NOK",1,0)</f>
        <v>0</v>
      </c>
      <c r="AA45" s="8">
        <f t="shared" ref="AA45:AA99" si="54">IF($J45="OK",1,0)</f>
        <v>0</v>
      </c>
    </row>
    <row r="46" spans="1:27" s="2" customFormat="1">
      <c r="A46" s="321"/>
      <c r="B46" s="240" t="str">
        <f>'RFQ response'!C41</f>
        <v>C_RE_04_R</v>
      </c>
      <c r="C46" s="237" t="str">
        <f>'RFQ response'!E41</f>
        <v>Narrowband radiated emission</v>
      </c>
      <c r="D46" s="74" t="str">
        <f>'RFQ response'!D41</f>
        <v xml:space="preserve"> -</v>
      </c>
      <c r="E46" s="238" t="str">
        <f>'RFQ response'!N41</f>
        <v>NA</v>
      </c>
      <c r="F46" s="75"/>
      <c r="G46" s="74"/>
      <c r="H46" s="74"/>
      <c r="I46" s="95"/>
      <c r="J46" s="75"/>
      <c r="K46" s="74"/>
      <c r="L46" s="74"/>
      <c r="M46" s="173"/>
      <c r="N46" s="239"/>
      <c r="O46" s="239"/>
      <c r="P46"/>
      <c r="Q46" s="9">
        <f t="shared" si="44"/>
        <v>0</v>
      </c>
      <c r="R46" s="10">
        <f t="shared" si="45"/>
        <v>0</v>
      </c>
      <c r="S46" s="10">
        <f t="shared" si="46"/>
        <v>0</v>
      </c>
      <c r="T46" s="1">
        <f t="shared" si="47"/>
        <v>0</v>
      </c>
      <c r="U46" s="1">
        <f t="shared" si="48"/>
        <v>0</v>
      </c>
      <c r="V46" s="1">
        <f t="shared" si="49"/>
        <v>0</v>
      </c>
      <c r="W46" s="7">
        <f t="shared" si="50"/>
        <v>0</v>
      </c>
      <c r="X46" s="9">
        <f t="shared" si="51"/>
        <v>0</v>
      </c>
      <c r="Y46" s="10">
        <f t="shared" si="52"/>
        <v>0</v>
      </c>
      <c r="Z46" s="1">
        <f t="shared" si="53"/>
        <v>0</v>
      </c>
      <c r="AA46" s="8">
        <f t="shared" si="54"/>
        <v>0</v>
      </c>
    </row>
    <row r="47" spans="1:27" s="2" customFormat="1">
      <c r="A47" s="321"/>
      <c r="B47" s="240" t="str">
        <f>'RFQ response'!C42</f>
        <v>C_ESD_01_V</v>
      </c>
      <c r="C47" s="237" t="str">
        <f>'RFQ response'!E42</f>
        <v xml:space="preserve">Component not connected - Handling </v>
      </c>
      <c r="D47" s="74" t="str">
        <f>'RFQ response'!D42</f>
        <v>REQ-0945125</v>
      </c>
      <c r="E47" s="238" t="str">
        <f>'RFQ response'!N42</f>
        <v>OK</v>
      </c>
      <c r="F47" s="75"/>
      <c r="G47" s="74"/>
      <c r="H47" s="74"/>
      <c r="I47" s="95"/>
      <c r="J47" s="75"/>
      <c r="K47" s="74"/>
      <c r="L47" s="74"/>
      <c r="M47" s="173"/>
      <c r="N47" s="239"/>
      <c r="O47" s="239"/>
      <c r="P47"/>
      <c r="Q47" s="9">
        <f t="shared" ref="Q47" si="55">IF(K47="On going",1,0)</f>
        <v>0</v>
      </c>
      <c r="R47" s="10">
        <f t="shared" ref="R47" si="56">IF(K47="NA",1,0)</f>
        <v>0</v>
      </c>
      <c r="S47" s="10">
        <f t="shared" ref="S47" si="57">IF(K47="Deviation",1,0)</f>
        <v>0</v>
      </c>
      <c r="T47" s="1">
        <f t="shared" ref="T47" si="58">IF(K47="In analysis",1,0)</f>
        <v>0</v>
      </c>
      <c r="U47" s="1">
        <f t="shared" ref="U47" si="59">IF(K47="NOK minor",1,0)</f>
        <v>0</v>
      </c>
      <c r="V47" s="1">
        <f t="shared" ref="V47" si="60">IF(K47="NOK major",1,0)</f>
        <v>0</v>
      </c>
      <c r="W47" s="7">
        <f t="shared" ref="W47" si="61">IF(K47="OK",1,0)</f>
        <v>0</v>
      </c>
      <c r="X47" s="9">
        <f t="shared" si="51"/>
        <v>0</v>
      </c>
      <c r="Y47" s="10">
        <f t="shared" si="52"/>
        <v>0</v>
      </c>
      <c r="Z47" s="1">
        <f t="shared" si="53"/>
        <v>0</v>
      </c>
      <c r="AA47" s="8">
        <f t="shared" si="54"/>
        <v>0</v>
      </c>
    </row>
    <row r="48" spans="1:27" s="2" customFormat="1">
      <c r="A48" s="321"/>
      <c r="B48" s="240" t="str">
        <f>'RFQ response'!C43</f>
        <v>C_ESD_02_V</v>
      </c>
      <c r="C48" s="237" t="str">
        <f>'RFQ response'!E43</f>
        <v xml:space="preserve">Operating </v>
      </c>
      <c r="D48" s="74" t="str">
        <f>'RFQ response'!D43</f>
        <v>REQ-0945126</v>
      </c>
      <c r="E48" s="238" t="str">
        <f>'RFQ response'!N43</f>
        <v>OK</v>
      </c>
      <c r="F48" s="75"/>
      <c r="G48" s="74"/>
      <c r="H48" s="74"/>
      <c r="I48" s="95"/>
      <c r="J48" s="75"/>
      <c r="K48" s="74"/>
      <c r="L48" s="74"/>
      <c r="M48" s="173"/>
      <c r="N48" s="239"/>
      <c r="O48" s="239"/>
      <c r="P48"/>
      <c r="Q48" s="9">
        <f t="shared" ref="Q48" si="62">IF(K48="On going",1,0)</f>
        <v>0</v>
      </c>
      <c r="R48" s="10">
        <f t="shared" ref="R48" si="63">IF(K48="NA",1,0)</f>
        <v>0</v>
      </c>
      <c r="S48" s="10">
        <f t="shared" ref="S48" si="64">IF(K48="Deviation",1,0)</f>
        <v>0</v>
      </c>
      <c r="T48" s="1">
        <f t="shared" ref="T48" si="65">IF(K48="In analysis",1,0)</f>
        <v>0</v>
      </c>
      <c r="U48" s="1">
        <f t="shared" ref="U48" si="66">IF(K48="NOK minor",1,0)</f>
        <v>0</v>
      </c>
      <c r="V48" s="1">
        <f t="shared" ref="V48" si="67">IF(K48="NOK major",1,0)</f>
        <v>0</v>
      </c>
      <c r="W48" s="7">
        <f t="shared" ref="W48" si="68">IF(K48="OK",1,0)</f>
        <v>0</v>
      </c>
      <c r="X48" s="9">
        <f t="shared" si="51"/>
        <v>0</v>
      </c>
      <c r="Y48" s="10">
        <f t="shared" si="52"/>
        <v>0</v>
      </c>
      <c r="Z48" s="1">
        <f t="shared" si="53"/>
        <v>0</v>
      </c>
      <c r="AA48" s="8">
        <f t="shared" si="54"/>
        <v>0</v>
      </c>
    </row>
    <row r="49" spans="1:27" s="2" customFormat="1">
      <c r="A49" s="321"/>
      <c r="B49" s="240" t="str">
        <f>'RFQ response'!C44</f>
        <v>SET1</v>
      </c>
      <c r="C49" s="237" t="str">
        <f>'RFQ response'!E44</f>
        <v>Electrical consumptions measurement</v>
      </c>
      <c r="D49" s="74" t="str">
        <f>'RFQ response'!D44</f>
        <v>REQ-0994080</v>
      </c>
      <c r="E49" s="238" t="str">
        <f>'RFQ response'!N44</f>
        <v>OK</v>
      </c>
      <c r="F49" s="75"/>
      <c r="G49" s="74"/>
      <c r="H49" s="74"/>
      <c r="I49" s="95"/>
      <c r="J49" s="75"/>
      <c r="K49" s="74"/>
      <c r="L49" s="74"/>
      <c r="M49" s="173"/>
      <c r="N49" s="239"/>
      <c r="O49" s="239"/>
      <c r="P49"/>
      <c r="Q49" s="9"/>
      <c r="R49" s="10"/>
      <c r="S49" s="10"/>
      <c r="T49" s="1"/>
      <c r="U49" s="1"/>
      <c r="V49" s="1"/>
      <c r="W49" s="7"/>
      <c r="X49" s="9"/>
      <c r="Y49" s="10"/>
      <c r="Z49" s="1"/>
      <c r="AA49" s="8"/>
    </row>
    <row r="50" spans="1:27" s="2" customFormat="1" ht="15.75" customHeight="1">
      <c r="A50" s="321"/>
      <c r="B50" s="801" t="s">
        <v>551</v>
      </c>
      <c r="C50" s="801"/>
      <c r="D50" s="801"/>
      <c r="E50" s="801"/>
      <c r="F50" s="801"/>
      <c r="G50" s="801"/>
      <c r="H50" s="801"/>
      <c r="I50" s="801"/>
      <c r="J50" s="801"/>
      <c r="K50" s="801"/>
      <c r="L50" s="801"/>
      <c r="M50" s="801"/>
      <c r="N50" s="801"/>
      <c r="O50" s="802"/>
      <c r="P50"/>
      <c r="Q50" s="9">
        <f>IF(K50="On going",1,0)</f>
        <v>0</v>
      </c>
      <c r="R50" s="10">
        <f>IF(K50="NA",1,0)</f>
        <v>0</v>
      </c>
      <c r="S50" s="10">
        <f>IF(K50="Deviation",1,0)</f>
        <v>0</v>
      </c>
      <c r="T50" s="1">
        <f>IF(K50="In analysis",1,0)</f>
        <v>0</v>
      </c>
      <c r="U50" s="1">
        <f>IF(K50="NOK minor",1,0)</f>
        <v>0</v>
      </c>
      <c r="V50" s="1">
        <f>IF(K50="NOK major",1,0)</f>
        <v>0</v>
      </c>
      <c r="W50" s="7">
        <f>IF(K50="OK",1,0)</f>
        <v>0</v>
      </c>
      <c r="X50" s="9">
        <f>IF($J50="On going",1,0)</f>
        <v>0</v>
      </c>
      <c r="Y50" s="10">
        <f>IF($J50="NA",1,0)</f>
        <v>0</v>
      </c>
      <c r="Z50" s="1">
        <f>IF($J50="NOK",1,0)</f>
        <v>0</v>
      </c>
      <c r="AA50" s="8">
        <f>IF($J50="OK",1,0)</f>
        <v>0</v>
      </c>
    </row>
    <row r="51" spans="1:27" s="2" customFormat="1">
      <c r="A51" s="321"/>
      <c r="B51" s="240" t="str">
        <f>'RFQ response'!C46</f>
        <v>-</v>
      </c>
      <c r="C51" s="237" t="str">
        <f>'RFQ response'!E46</f>
        <v>Connectors tests</v>
      </c>
      <c r="D51" s="74" t="str">
        <f>'RFQ response'!D46</f>
        <v xml:space="preserve">REQ-0994082 </v>
      </c>
      <c r="E51" s="238" t="str">
        <f>'RFQ response'!N46</f>
        <v>NA</v>
      </c>
      <c r="F51" s="75"/>
      <c r="G51" s="74"/>
      <c r="H51" s="74"/>
      <c r="I51" s="95"/>
      <c r="J51" s="75"/>
      <c r="K51" s="74"/>
      <c r="L51" s="74"/>
      <c r="M51" s="173"/>
      <c r="N51" s="239"/>
      <c r="O51" s="239"/>
      <c r="P51"/>
      <c r="Q51" s="9">
        <f t="shared" ref="Q51:Q99" si="69">IF(K51="On going",1,0)</f>
        <v>0</v>
      </c>
      <c r="R51" s="10">
        <f t="shared" ref="R51:R99" si="70">IF(K51="NA",1,0)</f>
        <v>0</v>
      </c>
      <c r="S51" s="10">
        <f t="shared" ref="S51:S99" si="71">IF(K51="Deviation",1,0)</f>
        <v>0</v>
      </c>
      <c r="T51" s="1">
        <f t="shared" ref="T51:T99" si="72">IF(K51="In analysis",1,0)</f>
        <v>0</v>
      </c>
      <c r="U51" s="1">
        <f t="shared" ref="U51:U99" si="73">IF(K51="NOK minor",1,0)</f>
        <v>0</v>
      </c>
      <c r="V51" s="1">
        <f t="shared" ref="V51:V99" si="74">IF(K51="NOK major",1,0)</f>
        <v>0</v>
      </c>
      <c r="W51" s="7">
        <f t="shared" ref="W51:W99" si="75">IF(K51="OK",1,0)</f>
        <v>0</v>
      </c>
      <c r="X51" s="9">
        <f t="shared" si="51"/>
        <v>0</v>
      </c>
      <c r="Y51" s="10">
        <f t="shared" si="52"/>
        <v>0</v>
      </c>
      <c r="Z51" s="1">
        <f t="shared" si="53"/>
        <v>0</v>
      </c>
      <c r="AA51" s="8">
        <f t="shared" si="54"/>
        <v>0</v>
      </c>
    </row>
    <row r="52" spans="1:27" s="2" customFormat="1" ht="22.5" customHeight="1">
      <c r="A52" s="321"/>
      <c r="B52" s="803" t="s">
        <v>450</v>
      </c>
      <c r="C52" s="803"/>
      <c r="D52" s="803"/>
      <c r="E52" s="803"/>
      <c r="F52" s="803"/>
      <c r="G52" s="803"/>
      <c r="H52" s="803"/>
      <c r="I52" s="803"/>
      <c r="J52" s="803"/>
      <c r="K52" s="803"/>
      <c r="L52" s="803"/>
      <c r="M52" s="803"/>
      <c r="N52" s="803"/>
      <c r="O52" s="804"/>
      <c r="P52"/>
      <c r="Q52" s="9">
        <f t="shared" si="69"/>
        <v>0</v>
      </c>
      <c r="R52" s="10">
        <f t="shared" si="70"/>
        <v>0</v>
      </c>
      <c r="S52" s="10">
        <f t="shared" si="71"/>
        <v>0</v>
      </c>
      <c r="T52" s="1">
        <f t="shared" si="72"/>
        <v>0</v>
      </c>
      <c r="U52" s="1">
        <f t="shared" si="73"/>
        <v>0</v>
      </c>
      <c r="V52" s="1">
        <f t="shared" si="74"/>
        <v>0</v>
      </c>
      <c r="W52" s="7">
        <f t="shared" si="75"/>
        <v>0</v>
      </c>
      <c r="X52" s="9">
        <f t="shared" si="51"/>
        <v>0</v>
      </c>
      <c r="Y52" s="10">
        <f t="shared" si="52"/>
        <v>0</v>
      </c>
      <c r="Z52" s="1">
        <f t="shared" si="53"/>
        <v>0</v>
      </c>
      <c r="AA52" s="8">
        <f t="shared" si="54"/>
        <v>0</v>
      </c>
    </row>
    <row r="53" spans="1:27" s="2" customFormat="1">
      <c r="A53" s="321"/>
      <c r="B53" s="240" t="str">
        <f>'RFQ response'!C48</f>
        <v xml:space="preserve"> -</v>
      </c>
      <c r="C53" s="237" t="str">
        <f>'RFQ response'!E48</f>
        <v>Requirements on connectors &amp; wiring harness</v>
      </c>
      <c r="D53" s="74" t="str">
        <f>'RFQ response'!D48</f>
        <v>REQ-0945120</v>
      </c>
      <c r="E53" s="238" t="str">
        <f>'RFQ response'!N48</f>
        <v>OK</v>
      </c>
      <c r="F53" s="75"/>
      <c r="G53" s="74"/>
      <c r="H53" s="74"/>
      <c r="I53" s="95"/>
      <c r="J53" s="75"/>
      <c r="K53" s="74"/>
      <c r="L53" s="74"/>
      <c r="M53" s="173"/>
      <c r="N53" s="239"/>
      <c r="O53" s="239"/>
      <c r="P53"/>
      <c r="Q53" s="9">
        <f t="shared" si="69"/>
        <v>0</v>
      </c>
      <c r="R53" s="10">
        <f t="shared" si="70"/>
        <v>0</v>
      </c>
      <c r="S53" s="10">
        <f t="shared" si="71"/>
        <v>0</v>
      </c>
      <c r="T53" s="1">
        <f t="shared" si="72"/>
        <v>0</v>
      </c>
      <c r="U53" s="1">
        <f t="shared" si="73"/>
        <v>0</v>
      </c>
      <c r="V53" s="1">
        <f t="shared" si="74"/>
        <v>0</v>
      </c>
      <c r="W53" s="7">
        <f t="shared" si="75"/>
        <v>0</v>
      </c>
      <c r="X53" s="9">
        <f t="shared" si="51"/>
        <v>0</v>
      </c>
      <c r="Y53" s="10">
        <f t="shared" si="52"/>
        <v>0</v>
      </c>
      <c r="Z53" s="1">
        <f t="shared" si="53"/>
        <v>0</v>
      </c>
      <c r="AA53" s="8">
        <f t="shared" si="54"/>
        <v>0</v>
      </c>
    </row>
    <row r="54" spans="1:27" s="2" customFormat="1">
      <c r="A54" s="321"/>
      <c r="B54" s="240" t="str">
        <f>'RFQ response'!C49</f>
        <v xml:space="preserve"> -</v>
      </c>
      <c r="C54" s="237" t="str">
        <f>'RFQ response'!E49</f>
        <v>Device restraint performance</v>
      </c>
      <c r="D54" s="74" t="str">
        <f>'RFQ response'!D49</f>
        <v>REQ-0945142</v>
      </c>
      <c r="E54" s="238" t="str">
        <f>'RFQ response'!N49</f>
        <v>OK</v>
      </c>
      <c r="F54" s="75"/>
      <c r="G54" s="74"/>
      <c r="H54" s="74"/>
      <c r="I54" s="95"/>
      <c r="J54" s="75"/>
      <c r="K54" s="74"/>
      <c r="L54" s="74"/>
      <c r="M54" s="173"/>
      <c r="N54" s="239"/>
      <c r="O54" s="239"/>
      <c r="P54"/>
      <c r="Q54" s="9">
        <f t="shared" si="69"/>
        <v>0</v>
      </c>
      <c r="R54" s="10">
        <f t="shared" si="70"/>
        <v>0</v>
      </c>
      <c r="S54" s="10">
        <f t="shared" si="71"/>
        <v>0</v>
      </c>
      <c r="T54" s="1">
        <f t="shared" si="72"/>
        <v>0</v>
      </c>
      <c r="U54" s="1">
        <f t="shared" si="73"/>
        <v>0</v>
      </c>
      <c r="V54" s="1">
        <f t="shared" si="74"/>
        <v>0</v>
      </c>
      <c r="W54" s="7">
        <f t="shared" si="75"/>
        <v>0</v>
      </c>
      <c r="X54" s="9">
        <f t="shared" si="51"/>
        <v>0</v>
      </c>
      <c r="Y54" s="10">
        <f t="shared" si="52"/>
        <v>0</v>
      </c>
      <c r="Z54" s="1">
        <f t="shared" si="53"/>
        <v>0</v>
      </c>
      <c r="AA54" s="8">
        <f t="shared" si="54"/>
        <v>0</v>
      </c>
    </row>
    <row r="55" spans="1:27" s="2" customFormat="1">
      <c r="A55" s="321"/>
      <c r="B55" s="240" t="str">
        <f>'RFQ response'!C50</f>
        <v xml:space="preserve"> -</v>
      </c>
      <c r="C55" s="237" t="str">
        <f>'RFQ response'!E50</f>
        <v>Terminals mechanical resistance</v>
      </c>
      <c r="D55" s="74" t="str">
        <f>'RFQ response'!D50</f>
        <v>REQ-0945143</v>
      </c>
      <c r="E55" s="238" t="str">
        <f>'RFQ response'!N50</f>
        <v>OK</v>
      </c>
      <c r="F55" s="75"/>
      <c r="G55" s="74"/>
      <c r="H55" s="74"/>
      <c r="I55" s="95"/>
      <c r="J55" s="75"/>
      <c r="K55" s="74"/>
      <c r="L55" s="74"/>
      <c r="M55" s="173"/>
      <c r="N55" s="239"/>
      <c r="O55" s="239"/>
      <c r="P55"/>
      <c r="Q55" s="9">
        <f t="shared" si="69"/>
        <v>0</v>
      </c>
      <c r="R55" s="10">
        <f t="shared" si="70"/>
        <v>0</v>
      </c>
      <c r="S55" s="10">
        <f t="shared" si="71"/>
        <v>0</v>
      </c>
      <c r="T55" s="1">
        <f t="shared" si="72"/>
        <v>0</v>
      </c>
      <c r="U55" s="1">
        <f t="shared" si="73"/>
        <v>0</v>
      </c>
      <c r="V55" s="1">
        <f t="shared" si="74"/>
        <v>0</v>
      </c>
      <c r="W55" s="7">
        <f t="shared" si="75"/>
        <v>0</v>
      </c>
      <c r="X55" s="9">
        <f t="shared" si="51"/>
        <v>0</v>
      </c>
      <c r="Y55" s="10">
        <f t="shared" si="52"/>
        <v>0</v>
      </c>
      <c r="Z55" s="1">
        <f t="shared" si="53"/>
        <v>0</v>
      </c>
      <c r="AA55" s="8">
        <f t="shared" si="54"/>
        <v>0</v>
      </c>
    </row>
    <row r="56" spans="1:27" s="2" customFormat="1">
      <c r="A56" s="321"/>
      <c r="B56" s="240" t="str">
        <f>'RFQ response'!C51</f>
        <v xml:space="preserve"> -</v>
      </c>
      <c r="C56" s="237" t="str">
        <f>'RFQ response'!E51</f>
        <v>Mechanical vibration</v>
      </c>
      <c r="D56" s="74" t="str">
        <f>'RFQ response'!D51</f>
        <v>REQ-0945144</v>
      </c>
      <c r="E56" s="238" t="str">
        <f>'RFQ response'!N51</f>
        <v>OK</v>
      </c>
      <c r="F56" s="75"/>
      <c r="G56" s="74"/>
      <c r="H56" s="74"/>
      <c r="I56" s="95"/>
      <c r="J56" s="75"/>
      <c r="K56" s="74"/>
      <c r="L56" s="74"/>
      <c r="M56" s="173"/>
      <c r="N56" s="239"/>
      <c r="O56" s="239"/>
      <c r="P56"/>
      <c r="Q56" s="9">
        <f t="shared" si="69"/>
        <v>0</v>
      </c>
      <c r="R56" s="10">
        <f t="shared" si="70"/>
        <v>0</v>
      </c>
      <c r="S56" s="10">
        <f t="shared" si="71"/>
        <v>0</v>
      </c>
      <c r="T56" s="1">
        <f t="shared" si="72"/>
        <v>0</v>
      </c>
      <c r="U56" s="1">
        <f t="shared" si="73"/>
        <v>0</v>
      </c>
      <c r="V56" s="1">
        <f t="shared" si="74"/>
        <v>0</v>
      </c>
      <c r="W56" s="7">
        <f t="shared" si="75"/>
        <v>0</v>
      </c>
      <c r="X56" s="9">
        <f t="shared" si="51"/>
        <v>0</v>
      </c>
      <c r="Y56" s="10">
        <f t="shared" si="52"/>
        <v>0</v>
      </c>
      <c r="Z56" s="1">
        <f t="shared" si="53"/>
        <v>0</v>
      </c>
      <c r="AA56" s="8">
        <f t="shared" si="54"/>
        <v>0</v>
      </c>
    </row>
    <row r="57" spans="1:27" s="2" customFormat="1">
      <c r="A57" s="321"/>
      <c r="B57" s="240" t="str">
        <f>'RFQ response'!C52</f>
        <v xml:space="preserve"> -</v>
      </c>
      <c r="C57" s="237" t="str">
        <f>'RFQ response'!E52</f>
        <v>Mechanical shock</v>
      </c>
      <c r="D57" s="74" t="str">
        <f>'RFQ response'!D52</f>
        <v>REQ-0945149</v>
      </c>
      <c r="E57" s="238" t="str">
        <f>'RFQ response'!N52</f>
        <v>OK</v>
      </c>
      <c r="F57" s="75"/>
      <c r="G57" s="74"/>
      <c r="H57" s="74"/>
      <c r="I57" s="95"/>
      <c r="J57" s="75"/>
      <c r="K57" s="74"/>
      <c r="L57" s="74"/>
      <c r="M57" s="173"/>
      <c r="N57" s="239"/>
      <c r="O57" s="239"/>
      <c r="P57"/>
      <c r="Q57" s="9">
        <f t="shared" si="69"/>
        <v>0</v>
      </c>
      <c r="R57" s="10">
        <f t="shared" si="70"/>
        <v>0</v>
      </c>
      <c r="S57" s="10">
        <f t="shared" si="71"/>
        <v>0</v>
      </c>
      <c r="T57" s="1">
        <f t="shared" si="72"/>
        <v>0</v>
      </c>
      <c r="U57" s="1">
        <f t="shared" si="73"/>
        <v>0</v>
      </c>
      <c r="V57" s="1">
        <f t="shared" si="74"/>
        <v>0</v>
      </c>
      <c r="W57" s="7">
        <f t="shared" si="75"/>
        <v>0</v>
      </c>
      <c r="X57" s="9">
        <f t="shared" si="51"/>
        <v>0</v>
      </c>
      <c r="Y57" s="10">
        <f t="shared" si="52"/>
        <v>0</v>
      </c>
      <c r="Z57" s="1">
        <f t="shared" si="53"/>
        <v>0</v>
      </c>
      <c r="AA57" s="8">
        <f t="shared" si="54"/>
        <v>0</v>
      </c>
    </row>
    <row r="58" spans="1:27" s="2" customFormat="1">
      <c r="A58" s="321"/>
      <c r="B58" s="240" t="str">
        <f>'RFQ response'!C53</f>
        <v xml:space="preserve"> -</v>
      </c>
      <c r="C58" s="546" t="str">
        <f>'RFQ response'!E53</f>
        <v>Mechanical shock endurance</v>
      </c>
      <c r="D58" s="547" t="str">
        <f>'RFQ response'!D53</f>
        <v xml:space="preserve"> -</v>
      </c>
      <c r="E58" s="548" t="str">
        <f>'RFQ response'!N53</f>
        <v>NA</v>
      </c>
      <c r="F58" s="504"/>
      <c r="G58" s="502"/>
      <c r="H58" s="502"/>
      <c r="I58" s="505"/>
      <c r="J58" s="504"/>
      <c r="K58" s="502"/>
      <c r="L58" s="502"/>
      <c r="M58" s="506"/>
      <c r="N58" s="507"/>
      <c r="O58" s="507"/>
      <c r="P58"/>
      <c r="Q58" s="9">
        <f t="shared" si="69"/>
        <v>0</v>
      </c>
      <c r="R58" s="10">
        <f t="shared" si="70"/>
        <v>0</v>
      </c>
      <c r="S58" s="10">
        <f t="shared" si="71"/>
        <v>0</v>
      </c>
      <c r="T58" s="1">
        <f t="shared" si="72"/>
        <v>0</v>
      </c>
      <c r="U58" s="1">
        <f t="shared" si="73"/>
        <v>0</v>
      </c>
      <c r="V58" s="1">
        <f t="shared" si="74"/>
        <v>0</v>
      </c>
      <c r="W58" s="7">
        <f t="shared" si="75"/>
        <v>0</v>
      </c>
      <c r="X58" s="9">
        <f t="shared" si="51"/>
        <v>0</v>
      </c>
      <c r="Y58" s="10">
        <f t="shared" si="52"/>
        <v>0</v>
      </c>
      <c r="Z58" s="1">
        <f t="shared" si="53"/>
        <v>0</v>
      </c>
      <c r="AA58" s="8">
        <f t="shared" si="54"/>
        <v>0</v>
      </c>
    </row>
    <row r="59" spans="1:27" s="2" customFormat="1">
      <c r="A59" s="321"/>
      <c r="B59" s="240" t="str">
        <f>'RFQ response'!C54</f>
        <v xml:space="preserve"> -</v>
      </c>
      <c r="C59" s="237" t="str">
        <f>'RFQ response'!E54</f>
        <v>Handling drop</v>
      </c>
      <c r="D59" s="74" t="str">
        <f>'RFQ response'!D54</f>
        <v>REQ-0945119</v>
      </c>
      <c r="E59" s="238" t="str">
        <f>'RFQ response'!N54</f>
        <v>OK</v>
      </c>
      <c r="F59" s="75"/>
      <c r="G59" s="74"/>
      <c r="H59" s="74"/>
      <c r="I59" s="95"/>
      <c r="J59" s="75"/>
      <c r="K59" s="74"/>
      <c r="L59" s="74"/>
      <c r="M59" s="173"/>
      <c r="N59" s="239"/>
      <c r="O59" s="239"/>
      <c r="P59"/>
      <c r="Q59" s="9">
        <f t="shared" si="69"/>
        <v>0</v>
      </c>
      <c r="R59" s="10">
        <f t="shared" si="70"/>
        <v>0</v>
      </c>
      <c r="S59" s="10">
        <f t="shared" si="71"/>
        <v>0</v>
      </c>
      <c r="T59" s="1">
        <f t="shared" si="72"/>
        <v>0</v>
      </c>
      <c r="U59" s="1">
        <f t="shared" si="73"/>
        <v>0</v>
      </c>
      <c r="V59" s="1">
        <f t="shared" si="74"/>
        <v>0</v>
      </c>
      <c r="W59" s="7">
        <f t="shared" si="75"/>
        <v>0</v>
      </c>
      <c r="X59" s="9">
        <f t="shared" si="51"/>
        <v>0</v>
      </c>
      <c r="Y59" s="10">
        <f t="shared" si="52"/>
        <v>0</v>
      </c>
      <c r="Z59" s="1">
        <f t="shared" si="53"/>
        <v>0</v>
      </c>
      <c r="AA59" s="8">
        <f t="shared" si="54"/>
        <v>0</v>
      </c>
    </row>
    <row r="60" spans="1:27" s="2" customFormat="1">
      <c r="A60" s="321"/>
      <c r="B60" s="240" t="str">
        <f>'RFQ response'!C55</f>
        <v>MEAE</v>
      </c>
      <c r="C60" s="237" t="str">
        <f>'RFQ response'!E55</f>
        <v>Mechanical (hydraulic) and electrical activation endurance</v>
      </c>
      <c r="D60" s="74" t="str">
        <f>'RFQ response'!D55</f>
        <v>REQ-0945118</v>
      </c>
      <c r="E60" s="238" t="str">
        <f>'RFQ response'!N55</f>
        <v>OK</v>
      </c>
      <c r="F60" s="75"/>
      <c r="G60" s="74"/>
      <c r="H60" s="74"/>
      <c r="I60" s="95"/>
      <c r="J60" s="75"/>
      <c r="K60" s="74"/>
      <c r="L60" s="74"/>
      <c r="M60" s="173"/>
      <c r="N60" s="239"/>
      <c r="O60" s="239"/>
      <c r="P60"/>
      <c r="Q60" s="9">
        <f t="shared" si="69"/>
        <v>0</v>
      </c>
      <c r="R60" s="10">
        <f t="shared" si="70"/>
        <v>0</v>
      </c>
      <c r="S60" s="10">
        <f t="shared" si="71"/>
        <v>0</v>
      </c>
      <c r="T60" s="1">
        <f t="shared" si="72"/>
        <v>0</v>
      </c>
      <c r="U60" s="1">
        <f t="shared" si="73"/>
        <v>0</v>
      </c>
      <c r="V60" s="1">
        <f t="shared" si="74"/>
        <v>0</v>
      </c>
      <c r="W60" s="7">
        <f t="shared" si="75"/>
        <v>0</v>
      </c>
      <c r="X60" s="9">
        <f t="shared" si="51"/>
        <v>0</v>
      </c>
      <c r="Y60" s="10">
        <f t="shared" si="52"/>
        <v>0</v>
      </c>
      <c r="Z60" s="1">
        <f t="shared" si="53"/>
        <v>0</v>
      </c>
      <c r="AA60" s="8">
        <f t="shared" si="54"/>
        <v>0</v>
      </c>
    </row>
    <row r="61" spans="1:27" s="2" customFormat="1">
      <c r="A61" s="321"/>
      <c r="B61" s="240" t="str">
        <f>'RFQ response'!C56</f>
        <v xml:space="preserve"> -</v>
      </c>
      <c r="C61" s="546" t="str">
        <f>'RFQ response'!E56</f>
        <v>Gravel bombardment</v>
      </c>
      <c r="D61" s="547" t="str">
        <f>'RFQ response'!D56</f>
        <v xml:space="preserve"> -</v>
      </c>
      <c r="E61" s="548" t="str">
        <f>'RFQ response'!N56</f>
        <v>NA</v>
      </c>
      <c r="F61" s="504"/>
      <c r="G61" s="502"/>
      <c r="H61" s="502"/>
      <c r="I61" s="505"/>
      <c r="J61" s="504"/>
      <c r="K61" s="502"/>
      <c r="L61" s="502"/>
      <c r="M61" s="506"/>
      <c r="N61" s="507"/>
      <c r="O61" s="507"/>
      <c r="P61"/>
      <c r="Q61" s="9">
        <f t="shared" si="69"/>
        <v>0</v>
      </c>
      <c r="R61" s="10">
        <f t="shared" si="70"/>
        <v>0</v>
      </c>
      <c r="S61" s="10">
        <f t="shared" si="71"/>
        <v>0</v>
      </c>
      <c r="T61" s="1">
        <f t="shared" si="72"/>
        <v>0</v>
      </c>
      <c r="U61" s="1">
        <f t="shared" si="73"/>
        <v>0</v>
      </c>
      <c r="V61" s="1">
        <f t="shared" si="74"/>
        <v>0</v>
      </c>
      <c r="W61" s="7">
        <f t="shared" si="75"/>
        <v>0</v>
      </c>
      <c r="X61" s="9">
        <f t="shared" si="51"/>
        <v>0</v>
      </c>
      <c r="Y61" s="10">
        <f t="shared" si="52"/>
        <v>0</v>
      </c>
      <c r="Z61" s="1">
        <f t="shared" si="53"/>
        <v>0</v>
      </c>
      <c r="AA61" s="8">
        <f t="shared" si="54"/>
        <v>0</v>
      </c>
    </row>
    <row r="62" spans="1:27" s="2" customFormat="1">
      <c r="A62" s="321"/>
      <c r="B62" s="240" t="str">
        <f>'RFQ response'!C57</f>
        <v>SMT1.1</v>
      </c>
      <c r="C62" s="237" t="str">
        <f>'RFQ response'!E57</f>
        <v>Pull Test (200N)</v>
      </c>
      <c r="D62" s="74" t="str">
        <f>'RFQ response'!D57</f>
        <v>REQ-0945079</v>
      </c>
      <c r="E62" s="238" t="str">
        <f>'RFQ response'!N57</f>
        <v>OK</v>
      </c>
      <c r="F62" s="75"/>
      <c r="G62" s="74"/>
      <c r="H62" s="74"/>
      <c r="I62" s="95"/>
      <c r="J62" s="75"/>
      <c r="K62" s="74"/>
      <c r="L62" s="74"/>
      <c r="M62" s="173"/>
      <c r="N62" s="239"/>
      <c r="O62" s="239"/>
      <c r="P62"/>
      <c r="Q62" s="9">
        <f t="shared" si="69"/>
        <v>0</v>
      </c>
      <c r="R62" s="10">
        <f t="shared" si="70"/>
        <v>0</v>
      </c>
      <c r="S62" s="10">
        <f t="shared" si="71"/>
        <v>0</v>
      </c>
      <c r="T62" s="1">
        <f t="shared" si="72"/>
        <v>0</v>
      </c>
      <c r="U62" s="1">
        <f t="shared" si="73"/>
        <v>0</v>
      </c>
      <c r="V62" s="1">
        <f t="shared" si="74"/>
        <v>0</v>
      </c>
      <c r="W62" s="7">
        <f t="shared" si="75"/>
        <v>0</v>
      </c>
      <c r="X62" s="9">
        <f t="shared" si="51"/>
        <v>0</v>
      </c>
      <c r="Y62" s="10">
        <f t="shared" si="52"/>
        <v>0</v>
      </c>
      <c r="Z62" s="1">
        <f t="shared" si="53"/>
        <v>0</v>
      </c>
      <c r="AA62" s="8">
        <f t="shared" si="54"/>
        <v>0</v>
      </c>
    </row>
    <row r="63" spans="1:27" s="2" customFormat="1">
      <c r="A63" s="321"/>
      <c r="B63" s="240" t="str">
        <f>'RFQ response'!C58</f>
        <v>SMT1.2</v>
      </c>
      <c r="C63" s="237" t="str">
        <f>'RFQ response'!E58</f>
        <v>Pull Test (400N)</v>
      </c>
      <c r="D63" s="74" t="str">
        <f>'RFQ response'!D58</f>
        <v>REQ-0945090</v>
      </c>
      <c r="E63" s="238" t="str">
        <f>'RFQ response'!N58</f>
        <v>OK</v>
      </c>
      <c r="F63" s="75"/>
      <c r="G63" s="74"/>
      <c r="H63" s="74"/>
      <c r="I63" s="95"/>
      <c r="J63" s="75"/>
      <c r="K63" s="74"/>
      <c r="L63" s="74"/>
      <c r="M63" s="173"/>
      <c r="N63" s="239"/>
      <c r="O63" s="239"/>
      <c r="P63"/>
      <c r="Q63" s="9">
        <f t="shared" si="69"/>
        <v>0</v>
      </c>
      <c r="R63" s="10">
        <f t="shared" si="70"/>
        <v>0</v>
      </c>
      <c r="S63" s="10">
        <f t="shared" si="71"/>
        <v>0</v>
      </c>
      <c r="T63" s="1">
        <f t="shared" si="72"/>
        <v>0</v>
      </c>
      <c r="U63" s="1">
        <f t="shared" si="73"/>
        <v>0</v>
      </c>
      <c r="V63" s="1">
        <f t="shared" si="74"/>
        <v>0</v>
      </c>
      <c r="W63" s="7">
        <f t="shared" si="75"/>
        <v>0</v>
      </c>
      <c r="X63" s="9">
        <f t="shared" si="51"/>
        <v>0</v>
      </c>
      <c r="Y63" s="10">
        <f t="shared" si="52"/>
        <v>0</v>
      </c>
      <c r="Z63" s="1">
        <f t="shared" si="53"/>
        <v>0</v>
      </c>
      <c r="AA63" s="8">
        <f t="shared" si="54"/>
        <v>0</v>
      </c>
    </row>
    <row r="64" spans="1:27" s="2" customFormat="1">
      <c r="A64" s="321"/>
      <c r="B64" s="240" t="str">
        <f>'RFQ response'!C59</f>
        <v>SMT2.2</v>
      </c>
      <c r="C64" s="237" t="str">
        <f>'RFQ response'!E59</f>
        <v>Folding, unfolding and adjustment noise</v>
      </c>
      <c r="D64" s="74" t="str">
        <f>'RFQ response'!D59</f>
        <v>REQ-0945146</v>
      </c>
      <c r="E64" s="238" t="str">
        <f>'RFQ response'!N59</f>
        <v>NA</v>
      </c>
      <c r="F64" s="75"/>
      <c r="G64" s="74"/>
      <c r="H64" s="74"/>
      <c r="I64" s="95"/>
      <c r="J64" s="75"/>
      <c r="K64" s="74"/>
      <c r="L64" s="74"/>
      <c r="M64" s="173"/>
      <c r="N64" s="239"/>
      <c r="O64" s="239"/>
      <c r="P64"/>
      <c r="Q64" s="9">
        <f t="shared" si="69"/>
        <v>0</v>
      </c>
      <c r="R64" s="10">
        <f t="shared" si="70"/>
        <v>0</v>
      </c>
      <c r="S64" s="10">
        <f t="shared" si="71"/>
        <v>0</v>
      </c>
      <c r="T64" s="1">
        <f t="shared" si="72"/>
        <v>0</v>
      </c>
      <c r="U64" s="1">
        <f t="shared" si="73"/>
        <v>0</v>
      </c>
      <c r="V64" s="1">
        <f t="shared" si="74"/>
        <v>0</v>
      </c>
      <c r="W64" s="7">
        <f t="shared" si="75"/>
        <v>0</v>
      </c>
      <c r="X64" s="9">
        <f t="shared" si="51"/>
        <v>0</v>
      </c>
      <c r="Y64" s="10">
        <f t="shared" si="52"/>
        <v>0</v>
      </c>
      <c r="Z64" s="1">
        <f t="shared" si="53"/>
        <v>0</v>
      </c>
      <c r="AA64" s="8">
        <f t="shared" si="54"/>
        <v>0</v>
      </c>
    </row>
    <row r="65" spans="1:27" s="2" customFormat="1">
      <c r="A65" s="321"/>
      <c r="B65" s="240" t="str">
        <f>'RFQ response'!C60</f>
        <v>SMT2.3</v>
      </c>
      <c r="C65" s="237" t="str">
        <f>'RFQ response'!E60</f>
        <v>Electronic noise</v>
      </c>
      <c r="D65" s="74" t="str">
        <f>'RFQ response'!D60</f>
        <v>REQ-0945147</v>
      </c>
      <c r="E65" s="238" t="str">
        <f>'RFQ response'!N60</f>
        <v>OK</v>
      </c>
      <c r="F65" s="75"/>
      <c r="G65" s="74"/>
      <c r="H65" s="74"/>
      <c r="I65" s="95"/>
      <c r="J65" s="75"/>
      <c r="K65" s="74"/>
      <c r="L65" s="74"/>
      <c r="M65" s="173"/>
      <c r="N65" s="239"/>
      <c r="O65" s="239"/>
      <c r="P65"/>
      <c r="Q65" s="9">
        <f t="shared" si="69"/>
        <v>0</v>
      </c>
      <c r="R65" s="10">
        <f t="shared" si="70"/>
        <v>0</v>
      </c>
      <c r="S65" s="10">
        <f t="shared" si="71"/>
        <v>0</v>
      </c>
      <c r="T65" s="1">
        <f t="shared" si="72"/>
        <v>0</v>
      </c>
      <c r="U65" s="1">
        <f t="shared" si="73"/>
        <v>0</v>
      </c>
      <c r="V65" s="1">
        <f t="shared" si="74"/>
        <v>0</v>
      </c>
      <c r="W65" s="7">
        <f t="shared" si="75"/>
        <v>0</v>
      </c>
      <c r="X65" s="9">
        <f t="shared" si="51"/>
        <v>0</v>
      </c>
      <c r="Y65" s="10">
        <f t="shared" si="52"/>
        <v>0</v>
      </c>
      <c r="Z65" s="1">
        <f t="shared" si="53"/>
        <v>0</v>
      </c>
      <c r="AA65" s="8">
        <f t="shared" si="54"/>
        <v>0</v>
      </c>
    </row>
    <row r="66" spans="1:27" s="2" customFormat="1">
      <c r="A66" s="321"/>
      <c r="B66" s="240" t="str">
        <f>'RFQ response'!C61</f>
        <v>SMT3</v>
      </c>
      <c r="C66" s="237" t="str">
        <f>'RFQ response'!E61</f>
        <v>Unwanted noise – Vibratory organic test</v>
      </c>
      <c r="D66" s="74" t="str">
        <f>'RFQ response'!D61</f>
        <v>REQ-0945148</v>
      </c>
      <c r="E66" s="238" t="str">
        <f>'RFQ response'!N61</f>
        <v>OK</v>
      </c>
      <c r="F66" s="75"/>
      <c r="G66" s="74"/>
      <c r="H66" s="74"/>
      <c r="I66" s="95"/>
      <c r="J66" s="75"/>
      <c r="K66" s="74"/>
      <c r="L66" s="74"/>
      <c r="M66" s="173"/>
      <c r="N66" s="239"/>
      <c r="O66" s="239"/>
      <c r="P66"/>
      <c r="Q66" s="9">
        <f t="shared" si="69"/>
        <v>0</v>
      </c>
      <c r="R66" s="10">
        <f t="shared" si="70"/>
        <v>0</v>
      </c>
      <c r="S66" s="10">
        <f t="shared" si="71"/>
        <v>0</v>
      </c>
      <c r="T66" s="1">
        <f t="shared" si="72"/>
        <v>0</v>
      </c>
      <c r="U66" s="1">
        <f t="shared" si="73"/>
        <v>0</v>
      </c>
      <c r="V66" s="1">
        <f t="shared" si="74"/>
        <v>0</v>
      </c>
      <c r="W66" s="7">
        <f t="shared" si="75"/>
        <v>0</v>
      </c>
      <c r="X66" s="9">
        <f t="shared" si="51"/>
        <v>0</v>
      </c>
      <c r="Y66" s="10">
        <f t="shared" si="52"/>
        <v>0</v>
      </c>
      <c r="Z66" s="1">
        <f t="shared" si="53"/>
        <v>0</v>
      </c>
      <c r="AA66" s="8">
        <f t="shared" si="54"/>
        <v>0</v>
      </c>
    </row>
    <row r="67" spans="1:27" s="2" customFormat="1" ht="15" customHeight="1">
      <c r="A67" s="321"/>
      <c r="B67" s="240" t="str">
        <f>'RFQ response'!C62</f>
        <v>SMT5</v>
      </c>
      <c r="C67" s="237" t="str">
        <f>'RFQ response'!E62</f>
        <v>Endurance test of folding/unfolding of the combiner</v>
      </c>
      <c r="D67" s="74" t="str">
        <f>'RFQ response'!D62</f>
        <v>REQ-0945151</v>
      </c>
      <c r="E67" s="238" t="str">
        <f>'RFQ response'!N62</f>
        <v>NA</v>
      </c>
      <c r="F67" s="75"/>
      <c r="G67" s="74"/>
      <c r="H67" s="74"/>
      <c r="I67" s="95"/>
      <c r="J67" s="75"/>
      <c r="K67" s="74"/>
      <c r="L67" s="74"/>
      <c r="M67" s="173"/>
      <c r="N67" s="239"/>
      <c r="O67" s="239"/>
      <c r="P67"/>
      <c r="Q67" s="9">
        <f t="shared" si="69"/>
        <v>0</v>
      </c>
      <c r="R67" s="10">
        <f t="shared" si="70"/>
        <v>0</v>
      </c>
      <c r="S67" s="10">
        <f t="shared" si="71"/>
        <v>0</v>
      </c>
      <c r="T67" s="1">
        <f t="shared" si="72"/>
        <v>0</v>
      </c>
      <c r="U67" s="1">
        <f t="shared" si="73"/>
        <v>0</v>
      </c>
      <c r="V67" s="1">
        <f t="shared" si="74"/>
        <v>0</v>
      </c>
      <c r="W67" s="7">
        <f t="shared" si="75"/>
        <v>0</v>
      </c>
      <c r="X67" s="9">
        <f t="shared" si="51"/>
        <v>0</v>
      </c>
      <c r="Y67" s="10">
        <f t="shared" si="52"/>
        <v>0</v>
      </c>
      <c r="Z67" s="1">
        <f t="shared" si="53"/>
        <v>0</v>
      </c>
      <c r="AA67" s="8">
        <f t="shared" si="54"/>
        <v>0</v>
      </c>
    </row>
    <row r="68" spans="1:27" s="2" customFormat="1" ht="15" customHeight="1">
      <c r="A68" s="321"/>
      <c r="B68" s="240" t="str">
        <f>'RFQ response'!C63</f>
        <v>SMT6.1</v>
      </c>
      <c r="C68" s="237" t="str">
        <f>'RFQ response'!E63</f>
        <v>Capacitive detection test without gloves</v>
      </c>
      <c r="D68" s="74" t="str">
        <f>'RFQ response'!D63</f>
        <v>REQ-0945152</v>
      </c>
      <c r="E68" s="238" t="str">
        <f>'RFQ response'!N63</f>
        <v>OK</v>
      </c>
      <c r="F68" s="75"/>
      <c r="G68" s="74"/>
      <c r="H68" s="74"/>
      <c r="I68" s="95"/>
      <c r="J68" s="75"/>
      <c r="K68" s="74"/>
      <c r="L68" s="74"/>
      <c r="M68" s="173"/>
      <c r="N68" s="239"/>
      <c r="O68" s="239"/>
      <c r="P68"/>
      <c r="Q68" s="9"/>
      <c r="R68" s="10"/>
      <c r="S68" s="10"/>
      <c r="T68" s="1"/>
      <c r="U68" s="1"/>
      <c r="V68" s="1"/>
      <c r="W68" s="7"/>
      <c r="X68" s="9"/>
      <c r="Y68" s="10"/>
      <c r="Z68" s="1"/>
      <c r="AA68" s="8"/>
    </row>
    <row r="69" spans="1:27" s="2" customFormat="1" ht="15" customHeight="1">
      <c r="A69" s="321"/>
      <c r="B69" s="240" t="str">
        <f>'RFQ response'!C64</f>
        <v>SMT6.2</v>
      </c>
      <c r="C69" s="237" t="str">
        <f>'RFQ response'!E64</f>
        <v>Capacitive detection test with thin gloves</v>
      </c>
      <c r="D69" s="74" t="str">
        <f>'RFQ response'!D64</f>
        <v>REQ-0945153</v>
      </c>
      <c r="E69" s="238" t="str">
        <f>'RFQ response'!N64</f>
        <v>OK</v>
      </c>
      <c r="F69" s="75"/>
      <c r="G69" s="74"/>
      <c r="H69" s="74"/>
      <c r="I69" s="95"/>
      <c r="J69" s="75"/>
      <c r="K69" s="74"/>
      <c r="L69" s="74"/>
      <c r="M69" s="173"/>
      <c r="N69" s="239"/>
      <c r="O69" s="239"/>
      <c r="P69"/>
      <c r="Q69" s="9"/>
      <c r="R69" s="10"/>
      <c r="S69" s="10"/>
      <c r="T69" s="1"/>
      <c r="U69" s="1"/>
      <c r="V69" s="1"/>
      <c r="W69" s="7"/>
      <c r="X69" s="9"/>
      <c r="Y69" s="10"/>
      <c r="Z69" s="1"/>
      <c r="AA69" s="8"/>
    </row>
    <row r="70" spans="1:27" s="2" customFormat="1" ht="15" customHeight="1">
      <c r="A70" s="321"/>
      <c r="B70" s="240" t="str">
        <f>'RFQ response'!C65</f>
        <v>SMT7</v>
      </c>
      <c r="C70" s="237" t="str">
        <f>'RFQ response'!E65</f>
        <v>Edge cover lens hardness test (falling ball)</v>
      </c>
      <c r="D70" s="74" t="str">
        <f>'RFQ response'!D65</f>
        <v>REQ-0945154</v>
      </c>
      <c r="E70" s="238" t="str">
        <f>'RFQ response'!N65</f>
        <v>OK</v>
      </c>
      <c r="F70" s="75"/>
      <c r="G70" s="74"/>
      <c r="H70" s="74"/>
      <c r="I70" s="95"/>
      <c r="J70" s="75"/>
      <c r="K70" s="74"/>
      <c r="L70" s="74"/>
      <c r="M70" s="173"/>
      <c r="N70" s="239"/>
      <c r="O70" s="239"/>
      <c r="P70"/>
      <c r="Q70" s="9"/>
      <c r="R70" s="10"/>
      <c r="S70" s="10"/>
      <c r="T70" s="1"/>
      <c r="U70" s="1"/>
      <c r="V70" s="1"/>
      <c r="W70" s="7"/>
      <c r="X70" s="9"/>
      <c r="Y70" s="10"/>
      <c r="Z70" s="1"/>
      <c r="AA70" s="8"/>
    </row>
    <row r="71" spans="1:27" s="2" customFormat="1" ht="15" customHeight="1">
      <c r="A71" s="321"/>
      <c r="B71" s="240" t="str">
        <f>'RFQ response'!C66</f>
        <v>SMT8.1</v>
      </c>
      <c r="C71" s="237" t="str">
        <f>'RFQ response'!E66</f>
        <v>Indentation</v>
      </c>
      <c r="D71" s="74" t="str">
        <f>'RFQ response'!D66</f>
        <v>REQ-0945091</v>
      </c>
      <c r="E71" s="238" t="str">
        <f>'RFQ response'!N66</f>
        <v>OK</v>
      </c>
      <c r="F71" s="75"/>
      <c r="G71" s="74"/>
      <c r="H71" s="74"/>
      <c r="I71" s="95"/>
      <c r="J71" s="75"/>
      <c r="K71" s="74"/>
      <c r="L71" s="74"/>
      <c r="M71" s="173"/>
      <c r="N71" s="239"/>
      <c r="O71" s="239"/>
      <c r="P71"/>
      <c r="Q71" s="9"/>
      <c r="R71" s="10"/>
      <c r="S71" s="10"/>
      <c r="T71" s="1"/>
      <c r="U71" s="1"/>
      <c r="V71" s="1"/>
      <c r="W71" s="7"/>
      <c r="X71" s="9"/>
      <c r="Y71" s="10"/>
      <c r="Z71" s="1"/>
      <c r="AA71" s="8"/>
    </row>
    <row r="72" spans="1:27" s="2" customFormat="1" ht="33.75">
      <c r="A72" s="321"/>
      <c r="B72" s="240" t="str">
        <f>'RFQ response'!C67</f>
        <v>SMT8.2</v>
      </c>
      <c r="C72" s="237" t="str">
        <f>'RFQ response'!E67</f>
        <v>Rigidity of the frontage</v>
      </c>
      <c r="D72" s="74" t="str">
        <f>'RFQ response'!D67</f>
        <v>REQ-0945162
REQ-0945180
REQ-0945181</v>
      </c>
      <c r="E72" s="238" t="str">
        <f>'RFQ response'!N67</f>
        <v>OK</v>
      </c>
      <c r="F72" s="75"/>
      <c r="G72" s="74"/>
      <c r="H72" s="74"/>
      <c r="I72" s="95"/>
      <c r="J72" s="75"/>
      <c r="K72" s="74"/>
      <c r="L72" s="74"/>
      <c r="M72" s="173"/>
      <c r="N72" s="239"/>
      <c r="O72" s="239"/>
      <c r="P72"/>
      <c r="Q72" s="9"/>
      <c r="R72" s="10"/>
      <c r="S72" s="10"/>
      <c r="T72" s="1"/>
      <c r="U72" s="1"/>
      <c r="V72" s="1"/>
      <c r="W72" s="7"/>
      <c r="X72" s="9"/>
      <c r="Y72" s="10"/>
      <c r="Z72" s="1"/>
      <c r="AA72" s="8"/>
    </row>
    <row r="73" spans="1:27" s="2" customFormat="1" ht="15" customHeight="1">
      <c r="A73" s="321"/>
      <c r="B73" s="240" t="str">
        <f>'RFQ response'!C68</f>
        <v>SMT8.4</v>
      </c>
      <c r="C73" s="237" t="str">
        <f>'RFQ response'!E68</f>
        <v>Exceptional effort on the floating display</v>
      </c>
      <c r="D73" s="74" t="str">
        <f>'RFQ response'!D68</f>
        <v>REQ-0945184</v>
      </c>
      <c r="E73" s="238" t="str">
        <f>'RFQ response'!N68</f>
        <v>OK</v>
      </c>
      <c r="F73" s="75"/>
      <c r="G73" s="74"/>
      <c r="H73" s="74"/>
      <c r="I73" s="95"/>
      <c r="J73" s="75"/>
      <c r="K73" s="74"/>
      <c r="L73" s="74"/>
      <c r="M73" s="173"/>
      <c r="N73" s="239"/>
      <c r="O73" s="239"/>
      <c r="P73"/>
      <c r="Q73" s="9"/>
      <c r="R73" s="10"/>
      <c r="S73" s="10"/>
      <c r="T73" s="1"/>
      <c r="U73" s="1"/>
      <c r="V73" s="1"/>
      <c r="W73" s="7"/>
      <c r="X73" s="9"/>
      <c r="Y73" s="10"/>
      <c r="Z73" s="1"/>
      <c r="AA73" s="8"/>
    </row>
    <row r="74" spans="1:27" s="2" customFormat="1" ht="22.5">
      <c r="A74" s="321"/>
      <c r="B74" s="240" t="str">
        <f>'RFQ response'!C69</f>
        <v>SMT8.5</v>
      </c>
      <c r="C74" s="237" t="str">
        <f>'RFQ response'!E69</f>
        <v>Rigidity of the finger rest</v>
      </c>
      <c r="D74" s="74" t="str">
        <f>'RFQ response'!D69</f>
        <v>REQ-0945185
REQ-0945186</v>
      </c>
      <c r="E74" s="238" t="str">
        <f>'RFQ response'!N69</f>
        <v>NA</v>
      </c>
      <c r="F74" s="75"/>
      <c r="G74" s="74"/>
      <c r="H74" s="74"/>
      <c r="I74" s="95"/>
      <c r="J74" s="75"/>
      <c r="K74" s="74"/>
      <c r="L74" s="74"/>
      <c r="M74" s="173"/>
      <c r="N74" s="239"/>
      <c r="O74" s="239"/>
      <c r="P74"/>
      <c r="Q74" s="9"/>
      <c r="R74" s="10"/>
      <c r="S74" s="10"/>
      <c r="T74" s="1"/>
      <c r="U74" s="1"/>
      <c r="V74" s="1"/>
      <c r="W74" s="7"/>
      <c r="X74" s="9"/>
      <c r="Y74" s="10"/>
      <c r="Z74" s="1"/>
      <c r="AA74" s="8"/>
    </row>
    <row r="75" spans="1:27" s="2" customFormat="1">
      <c r="A75" s="321"/>
      <c r="B75" s="240" t="str">
        <f>'RFQ response'!C70</f>
        <v>SMT9</v>
      </c>
      <c r="C75" s="237" t="str">
        <f>'RFQ response'!E70</f>
        <v>Coatings performance tests for display cover lenses</v>
      </c>
      <c r="D75" s="74" t="str">
        <f>'RFQ response'!D70</f>
        <v>REQ-0945179</v>
      </c>
      <c r="E75" s="238" t="str">
        <f>'RFQ response'!N70</f>
        <v>OK</v>
      </c>
      <c r="F75" s="75"/>
      <c r="G75" s="74"/>
      <c r="H75" s="74"/>
      <c r="I75" s="95"/>
      <c r="J75" s="75"/>
      <c r="K75" s="74"/>
      <c r="L75" s="74"/>
      <c r="M75" s="173"/>
      <c r="N75" s="239"/>
      <c r="O75" s="239"/>
      <c r="P75"/>
      <c r="Q75" s="9"/>
      <c r="R75" s="10"/>
      <c r="S75" s="10"/>
      <c r="T75" s="1"/>
      <c r="U75" s="1"/>
      <c r="V75" s="1"/>
      <c r="W75" s="7"/>
      <c r="X75" s="9"/>
      <c r="Y75" s="10"/>
      <c r="Z75" s="1"/>
      <c r="AA75" s="8"/>
    </row>
    <row r="76" spans="1:27" s="2" customFormat="1" ht="15" customHeight="1">
      <c r="A76" s="321"/>
      <c r="B76" s="805" t="s">
        <v>458</v>
      </c>
      <c r="C76" s="805"/>
      <c r="D76" s="805"/>
      <c r="E76" s="805"/>
      <c r="F76" s="805"/>
      <c r="G76" s="805"/>
      <c r="H76" s="805"/>
      <c r="I76" s="805"/>
      <c r="J76" s="805"/>
      <c r="K76" s="805"/>
      <c r="L76" s="805"/>
      <c r="M76" s="805"/>
      <c r="N76" s="805"/>
      <c r="O76" s="806"/>
      <c r="P76"/>
      <c r="Q76" s="9">
        <f t="shared" si="69"/>
        <v>0</v>
      </c>
      <c r="R76" s="10">
        <f t="shared" si="70"/>
        <v>0</v>
      </c>
      <c r="S76" s="10">
        <f t="shared" si="71"/>
        <v>0</v>
      </c>
      <c r="T76" s="1">
        <f t="shared" si="72"/>
        <v>0</v>
      </c>
      <c r="U76" s="1">
        <f t="shared" si="73"/>
        <v>0</v>
      </c>
      <c r="V76" s="1">
        <f t="shared" si="74"/>
        <v>0</v>
      </c>
      <c r="W76" s="7">
        <f t="shared" si="75"/>
        <v>0</v>
      </c>
      <c r="X76" s="9">
        <f t="shared" si="51"/>
        <v>0</v>
      </c>
      <c r="Y76" s="10">
        <f t="shared" si="52"/>
        <v>0</v>
      </c>
      <c r="Z76" s="1">
        <f t="shared" si="53"/>
        <v>0</v>
      </c>
      <c r="AA76" s="8">
        <f t="shared" si="54"/>
        <v>0</v>
      </c>
    </row>
    <row r="77" spans="1:27" s="2" customFormat="1">
      <c r="A77" s="321"/>
      <c r="B77" s="240" t="str">
        <f>'RFQ response'!C72</f>
        <v>SSTE</v>
      </c>
      <c r="C77" s="237" t="str">
        <f>'RFQ response'!E72</f>
        <v>Shipping / Storage Temperature Exposure</v>
      </c>
      <c r="D77" s="74" t="str">
        <f>'RFQ response'!D72</f>
        <v>REQ-0945155</v>
      </c>
      <c r="E77" s="238" t="str">
        <f>'RFQ response'!N72</f>
        <v>OK</v>
      </c>
      <c r="F77" s="75"/>
      <c r="G77" s="74"/>
      <c r="H77" s="74"/>
      <c r="I77" s="95"/>
      <c r="J77" s="75"/>
      <c r="K77" s="74"/>
      <c r="L77" s="74"/>
      <c r="M77" s="173"/>
      <c r="N77" s="239"/>
      <c r="O77" s="239"/>
      <c r="P77"/>
      <c r="Q77" s="9">
        <f t="shared" si="69"/>
        <v>0</v>
      </c>
      <c r="R77" s="10">
        <f t="shared" si="70"/>
        <v>0</v>
      </c>
      <c r="S77" s="10">
        <f t="shared" si="71"/>
        <v>0</v>
      </c>
      <c r="T77" s="1">
        <f t="shared" si="72"/>
        <v>0</v>
      </c>
      <c r="U77" s="1">
        <f t="shared" si="73"/>
        <v>0</v>
      </c>
      <c r="V77" s="1">
        <f t="shared" si="74"/>
        <v>0</v>
      </c>
      <c r="W77" s="7">
        <f t="shared" si="75"/>
        <v>0</v>
      </c>
      <c r="X77" s="9">
        <f t="shared" si="51"/>
        <v>0</v>
      </c>
      <c r="Y77" s="10">
        <f t="shared" si="52"/>
        <v>0</v>
      </c>
      <c r="Z77" s="1">
        <f t="shared" si="53"/>
        <v>0</v>
      </c>
      <c r="AA77" s="8">
        <f t="shared" si="54"/>
        <v>0</v>
      </c>
    </row>
    <row r="78" spans="1:27" s="2" customFormat="1">
      <c r="A78" s="321"/>
      <c r="B78" s="240" t="str">
        <f>'RFQ response'!C73</f>
        <v>LTOE</v>
      </c>
      <c r="C78" s="237" t="str">
        <f>'RFQ response'!E73</f>
        <v>Low Temperature Operating Endurance</v>
      </c>
      <c r="D78" s="74" t="str">
        <f>'RFQ response'!D73</f>
        <v>REQ-0945156</v>
      </c>
      <c r="E78" s="238" t="str">
        <f>'RFQ response'!N73</f>
        <v>OK</v>
      </c>
      <c r="F78" s="75"/>
      <c r="G78" s="74"/>
      <c r="H78" s="74"/>
      <c r="I78" s="95"/>
      <c r="J78" s="75"/>
      <c r="K78" s="74"/>
      <c r="L78" s="74"/>
      <c r="M78" s="173"/>
      <c r="N78" s="239"/>
      <c r="O78" s="239"/>
      <c r="P78"/>
      <c r="Q78" s="9">
        <f t="shared" si="69"/>
        <v>0</v>
      </c>
      <c r="R78" s="10">
        <f t="shared" si="70"/>
        <v>0</v>
      </c>
      <c r="S78" s="10">
        <f t="shared" si="71"/>
        <v>0</v>
      </c>
      <c r="T78" s="1">
        <f t="shared" si="72"/>
        <v>0</v>
      </c>
      <c r="U78" s="1">
        <f t="shared" si="73"/>
        <v>0</v>
      </c>
      <c r="V78" s="1">
        <f t="shared" si="74"/>
        <v>0</v>
      </c>
      <c r="W78" s="7">
        <f t="shared" si="75"/>
        <v>0</v>
      </c>
      <c r="X78" s="9">
        <f t="shared" si="51"/>
        <v>0</v>
      </c>
      <c r="Y78" s="10">
        <f t="shared" si="52"/>
        <v>0</v>
      </c>
      <c r="Z78" s="1">
        <f t="shared" si="53"/>
        <v>0</v>
      </c>
      <c r="AA78" s="8">
        <f t="shared" si="54"/>
        <v>0</v>
      </c>
    </row>
    <row r="79" spans="1:27" s="2" customFormat="1">
      <c r="A79" s="321"/>
      <c r="B79" s="240" t="str">
        <f>'RFQ response'!C74</f>
        <v>-</v>
      </c>
      <c r="C79" s="237" t="str">
        <f>'RFQ response'!E74</f>
        <v>Temperature Step</v>
      </c>
      <c r="D79" s="74" t="str">
        <f>'RFQ response'!D74</f>
        <v>REQ-0945157</v>
      </c>
      <c r="E79" s="238" t="str">
        <f>'RFQ response'!N74</f>
        <v>OK</v>
      </c>
      <c r="F79" s="75"/>
      <c r="G79" s="74"/>
      <c r="H79" s="74"/>
      <c r="I79" s="95"/>
      <c r="J79" s="75"/>
      <c r="K79" s="74"/>
      <c r="L79" s="74"/>
      <c r="M79" s="173"/>
      <c r="N79" s="239"/>
      <c r="O79" s="239"/>
      <c r="P79"/>
      <c r="Q79" s="9">
        <f t="shared" si="69"/>
        <v>0</v>
      </c>
      <c r="R79" s="10">
        <f t="shared" si="70"/>
        <v>0</v>
      </c>
      <c r="S79" s="10">
        <f t="shared" si="71"/>
        <v>0</v>
      </c>
      <c r="T79" s="1">
        <f t="shared" si="72"/>
        <v>0</v>
      </c>
      <c r="U79" s="1">
        <f t="shared" si="73"/>
        <v>0</v>
      </c>
      <c r="V79" s="1">
        <f t="shared" si="74"/>
        <v>0</v>
      </c>
      <c r="W79" s="7">
        <f t="shared" si="75"/>
        <v>0</v>
      </c>
      <c r="X79" s="9">
        <f t="shared" si="51"/>
        <v>0</v>
      </c>
      <c r="Y79" s="10">
        <f t="shared" si="52"/>
        <v>0</v>
      </c>
      <c r="Z79" s="1">
        <f t="shared" si="53"/>
        <v>0</v>
      </c>
      <c r="AA79" s="8">
        <f t="shared" si="54"/>
        <v>0</v>
      </c>
    </row>
    <row r="80" spans="1:27" s="2" customFormat="1">
      <c r="A80" s="321"/>
      <c r="B80" s="240" t="str">
        <f>'RFQ response'!C75</f>
        <v>HTOE</v>
      </c>
      <c r="C80" s="237" t="str">
        <f>'RFQ response'!E75</f>
        <v>High Temperature Operating Endurance</v>
      </c>
      <c r="D80" s="74" t="str">
        <f>'RFQ response'!D75</f>
        <v>REQ-0945158</v>
      </c>
      <c r="E80" s="238" t="str">
        <f>'RFQ response'!N75</f>
        <v>OK</v>
      </c>
      <c r="F80" s="75"/>
      <c r="G80" s="74"/>
      <c r="H80" s="74"/>
      <c r="I80" s="95"/>
      <c r="J80" s="75"/>
      <c r="K80" s="74"/>
      <c r="L80" s="74"/>
      <c r="M80" s="173"/>
      <c r="N80" s="239"/>
      <c r="O80" s="239"/>
      <c r="P80"/>
      <c r="Q80" s="9">
        <f t="shared" si="69"/>
        <v>0</v>
      </c>
      <c r="R80" s="10">
        <f t="shared" si="70"/>
        <v>0</v>
      </c>
      <c r="S80" s="10">
        <f t="shared" si="71"/>
        <v>0</v>
      </c>
      <c r="T80" s="1">
        <f t="shared" si="72"/>
        <v>0</v>
      </c>
      <c r="U80" s="1">
        <f t="shared" si="73"/>
        <v>0</v>
      </c>
      <c r="V80" s="1">
        <f t="shared" si="74"/>
        <v>0</v>
      </c>
      <c r="W80" s="7">
        <f t="shared" si="75"/>
        <v>0</v>
      </c>
      <c r="X80" s="9">
        <f t="shared" si="51"/>
        <v>0</v>
      </c>
      <c r="Y80" s="10">
        <f t="shared" si="52"/>
        <v>0</v>
      </c>
      <c r="Z80" s="1">
        <f t="shared" si="53"/>
        <v>0</v>
      </c>
      <c r="AA80" s="8">
        <f t="shared" si="54"/>
        <v>0</v>
      </c>
    </row>
    <row r="81" spans="1:27" s="2" customFormat="1">
      <c r="A81" s="321"/>
      <c r="B81" s="240" t="str">
        <f>'RFQ response'!C76</f>
        <v>PTCE</v>
      </c>
      <c r="C81" s="237" t="str">
        <f>'RFQ response'!E76</f>
        <v>Power Thermal Cycle Endurance</v>
      </c>
      <c r="D81" s="74" t="str">
        <f>'RFQ response'!D76</f>
        <v>REQ-0945163</v>
      </c>
      <c r="E81" s="238" t="str">
        <f>'RFQ response'!N76</f>
        <v>OK</v>
      </c>
      <c r="F81" s="75"/>
      <c r="G81" s="74"/>
      <c r="H81" s="74"/>
      <c r="I81" s="95"/>
      <c r="J81" s="75"/>
      <c r="K81" s="74"/>
      <c r="L81" s="74"/>
      <c r="M81" s="173"/>
      <c r="N81" s="239"/>
      <c r="O81" s="239"/>
      <c r="P81"/>
      <c r="Q81" s="9">
        <f t="shared" si="69"/>
        <v>0</v>
      </c>
      <c r="R81" s="10">
        <f t="shared" si="70"/>
        <v>0</v>
      </c>
      <c r="S81" s="10">
        <f t="shared" si="71"/>
        <v>0</v>
      </c>
      <c r="T81" s="1">
        <f t="shared" si="72"/>
        <v>0</v>
      </c>
      <c r="U81" s="1">
        <f t="shared" si="73"/>
        <v>0</v>
      </c>
      <c r="V81" s="1">
        <f t="shared" si="74"/>
        <v>0</v>
      </c>
      <c r="W81" s="7">
        <f t="shared" si="75"/>
        <v>0</v>
      </c>
      <c r="X81" s="9">
        <f t="shared" si="51"/>
        <v>0</v>
      </c>
      <c r="Y81" s="10">
        <f t="shared" si="52"/>
        <v>0</v>
      </c>
      <c r="Z81" s="1">
        <f t="shared" si="53"/>
        <v>0</v>
      </c>
      <c r="AA81" s="8">
        <f t="shared" si="54"/>
        <v>0</v>
      </c>
    </row>
    <row r="82" spans="1:27" s="2" customFormat="1">
      <c r="A82" s="321"/>
      <c r="B82" s="240" t="str">
        <f>'RFQ response'!C77</f>
        <v>TS</v>
      </c>
      <c r="C82" s="237" t="str">
        <f>'RFQ response'!E77</f>
        <v>Thermal Shock</v>
      </c>
      <c r="D82" s="74" t="str">
        <f>'RFQ response'!D77</f>
        <v>REQ-0945159</v>
      </c>
      <c r="E82" s="238" t="str">
        <f>'RFQ response'!N77</f>
        <v>OK</v>
      </c>
      <c r="F82" s="75"/>
      <c r="G82" s="74"/>
      <c r="H82" s="74"/>
      <c r="I82" s="95"/>
      <c r="J82" s="75"/>
      <c r="K82" s="74"/>
      <c r="L82" s="74"/>
      <c r="M82" s="173"/>
      <c r="N82" s="239"/>
      <c r="O82" s="239"/>
      <c r="P82"/>
      <c r="Q82" s="9">
        <f t="shared" si="69"/>
        <v>0</v>
      </c>
      <c r="R82" s="10">
        <f t="shared" si="70"/>
        <v>0</v>
      </c>
      <c r="S82" s="10">
        <f t="shared" si="71"/>
        <v>0</v>
      </c>
      <c r="T82" s="1">
        <f t="shared" si="72"/>
        <v>0</v>
      </c>
      <c r="U82" s="1">
        <f t="shared" si="73"/>
        <v>0</v>
      </c>
      <c r="V82" s="1">
        <f t="shared" si="74"/>
        <v>0</v>
      </c>
      <c r="W82" s="7">
        <f t="shared" si="75"/>
        <v>0</v>
      </c>
      <c r="X82" s="9">
        <f t="shared" si="51"/>
        <v>0</v>
      </c>
      <c r="Y82" s="10">
        <f t="shared" si="52"/>
        <v>0</v>
      </c>
      <c r="Z82" s="1">
        <f t="shared" si="53"/>
        <v>0</v>
      </c>
      <c r="AA82" s="8">
        <f t="shared" si="54"/>
        <v>0</v>
      </c>
    </row>
    <row r="83" spans="1:27" s="2" customFormat="1">
      <c r="A83" s="321"/>
      <c r="B83" s="240" t="str">
        <f>'RFQ response'!C78</f>
        <v>THC</v>
      </c>
      <c r="C83" s="237" t="str">
        <f>'RFQ response'!E78</f>
        <v>Thermal Humidity Cycle</v>
      </c>
      <c r="D83" s="74" t="str">
        <f>'RFQ response'!D78</f>
        <v>REQ-0945160</v>
      </c>
      <c r="E83" s="238" t="str">
        <f>'RFQ response'!N78</f>
        <v>OK</v>
      </c>
      <c r="F83" s="75"/>
      <c r="G83" s="74"/>
      <c r="H83" s="74"/>
      <c r="I83" s="95"/>
      <c r="J83" s="75"/>
      <c r="K83" s="74"/>
      <c r="L83" s="74"/>
      <c r="M83" s="173"/>
      <c r="N83" s="239"/>
      <c r="O83" s="239"/>
      <c r="P83"/>
      <c r="Q83" s="9">
        <f t="shared" si="69"/>
        <v>0</v>
      </c>
      <c r="R83" s="10">
        <f t="shared" si="70"/>
        <v>0</v>
      </c>
      <c r="S83" s="10">
        <f t="shared" si="71"/>
        <v>0</v>
      </c>
      <c r="T83" s="1">
        <f t="shared" si="72"/>
        <v>0</v>
      </c>
      <c r="U83" s="1">
        <f t="shared" si="73"/>
        <v>0</v>
      </c>
      <c r="V83" s="1">
        <f t="shared" si="74"/>
        <v>0</v>
      </c>
      <c r="W83" s="7">
        <f t="shared" si="75"/>
        <v>0</v>
      </c>
      <c r="X83" s="9">
        <f t="shared" si="51"/>
        <v>0</v>
      </c>
      <c r="Y83" s="10">
        <f t="shared" si="52"/>
        <v>0</v>
      </c>
      <c r="Z83" s="1">
        <f t="shared" si="53"/>
        <v>0</v>
      </c>
      <c r="AA83" s="8">
        <f t="shared" si="54"/>
        <v>0</v>
      </c>
    </row>
    <row r="84" spans="1:27" s="2" customFormat="1">
      <c r="A84" s="321"/>
      <c r="B84" s="240" t="str">
        <f>'RFQ response'!C79</f>
        <v>HTHE</v>
      </c>
      <c r="C84" s="237" t="str">
        <f>'RFQ response'!E79</f>
        <v>High Temperature &amp; High Humidity Endurance</v>
      </c>
      <c r="D84" s="74" t="str">
        <f>'RFQ response'!D79</f>
        <v>REQ-0945161</v>
      </c>
      <c r="E84" s="238" t="str">
        <f>'RFQ response'!N79</f>
        <v>OK</v>
      </c>
      <c r="F84" s="75"/>
      <c r="G84" s="74"/>
      <c r="H84" s="74"/>
      <c r="I84" s="95"/>
      <c r="J84" s="75"/>
      <c r="K84" s="74"/>
      <c r="L84" s="74"/>
      <c r="M84" s="173"/>
      <c r="N84" s="239"/>
      <c r="O84" s="239"/>
      <c r="P84"/>
      <c r="Q84" s="9">
        <f t="shared" si="69"/>
        <v>0</v>
      </c>
      <c r="R84" s="10">
        <f t="shared" si="70"/>
        <v>0</v>
      </c>
      <c r="S84" s="10">
        <f t="shared" si="71"/>
        <v>0</v>
      </c>
      <c r="T84" s="1">
        <f t="shared" si="72"/>
        <v>0</v>
      </c>
      <c r="U84" s="1">
        <f t="shared" si="73"/>
        <v>0</v>
      </c>
      <c r="V84" s="1">
        <f t="shared" si="74"/>
        <v>0</v>
      </c>
      <c r="W84" s="7">
        <f t="shared" si="75"/>
        <v>0</v>
      </c>
      <c r="X84" s="9">
        <f t="shared" si="51"/>
        <v>0</v>
      </c>
      <c r="Y84" s="10">
        <f t="shared" si="52"/>
        <v>0</v>
      </c>
      <c r="Z84" s="1">
        <f t="shared" si="53"/>
        <v>0</v>
      </c>
      <c r="AA84" s="8">
        <f t="shared" si="54"/>
        <v>0</v>
      </c>
    </row>
    <row r="85" spans="1:27" s="2" customFormat="1">
      <c r="A85" s="321"/>
      <c r="B85" s="240" t="str">
        <f>'RFQ response'!C80</f>
        <v>CL06</v>
      </c>
      <c r="C85" s="237" t="str">
        <f>'RFQ response'!E80</f>
        <v>Self-heating measurement</v>
      </c>
      <c r="D85" s="74" t="str">
        <f>'RFQ response'!D80</f>
        <v>REQ-0945127</v>
      </c>
      <c r="E85" s="238" t="str">
        <f>'RFQ response'!N80</f>
        <v>OK</v>
      </c>
      <c r="F85" s="75"/>
      <c r="G85" s="74"/>
      <c r="H85" s="74"/>
      <c r="I85" s="95"/>
      <c r="J85" s="75"/>
      <c r="K85" s="74"/>
      <c r="L85" s="74"/>
      <c r="M85" s="173"/>
      <c r="N85" s="239"/>
      <c r="O85" s="239"/>
      <c r="P85"/>
      <c r="Q85" s="9">
        <f t="shared" si="69"/>
        <v>0</v>
      </c>
      <c r="R85" s="10">
        <f t="shared" si="70"/>
        <v>0</v>
      </c>
      <c r="S85" s="10">
        <f t="shared" si="71"/>
        <v>0</v>
      </c>
      <c r="T85" s="1">
        <f t="shared" si="72"/>
        <v>0</v>
      </c>
      <c r="U85" s="1">
        <f t="shared" si="73"/>
        <v>0</v>
      </c>
      <c r="V85" s="1">
        <f t="shared" si="74"/>
        <v>0</v>
      </c>
      <c r="W85" s="7">
        <f t="shared" si="75"/>
        <v>0</v>
      </c>
      <c r="X85" s="9">
        <f t="shared" si="51"/>
        <v>0</v>
      </c>
      <c r="Y85" s="10">
        <f t="shared" si="52"/>
        <v>0</v>
      </c>
      <c r="Z85" s="1">
        <f t="shared" si="53"/>
        <v>0</v>
      </c>
      <c r="AA85" s="8">
        <f t="shared" si="54"/>
        <v>0</v>
      </c>
    </row>
    <row r="86" spans="1:27" s="2" customFormat="1">
      <c r="A86" s="321"/>
      <c r="B86" s="240" t="str">
        <f>'RFQ response'!C81</f>
        <v>SCT1</v>
      </c>
      <c r="C86" s="237" t="str">
        <f>'RFQ response'!E81</f>
        <v>Resistance test of the displays to the ultraviolet rays</v>
      </c>
      <c r="D86" s="74" t="str">
        <f>'RFQ response'!D81</f>
        <v>REQ-0945164</v>
      </c>
      <c r="E86" s="238" t="str">
        <f>'RFQ response'!N81</f>
        <v>OK</v>
      </c>
      <c r="F86" s="75"/>
      <c r="G86" s="74"/>
      <c r="H86" s="74"/>
      <c r="I86" s="95"/>
      <c r="J86" s="75"/>
      <c r="K86" s="74"/>
      <c r="L86" s="74"/>
      <c r="M86" s="173"/>
      <c r="N86" s="239"/>
      <c r="O86" s="239"/>
      <c r="P86"/>
      <c r="Q86" s="9">
        <f t="shared" si="69"/>
        <v>0</v>
      </c>
      <c r="R86" s="10">
        <f t="shared" si="70"/>
        <v>0</v>
      </c>
      <c r="S86" s="10">
        <f t="shared" si="71"/>
        <v>0</v>
      </c>
      <c r="T86" s="1">
        <f t="shared" si="72"/>
        <v>0</v>
      </c>
      <c r="U86" s="1">
        <f t="shared" si="73"/>
        <v>0</v>
      </c>
      <c r="V86" s="1">
        <f t="shared" si="74"/>
        <v>0</v>
      </c>
      <c r="W86" s="7">
        <f t="shared" si="75"/>
        <v>0</v>
      </c>
      <c r="X86" s="9">
        <f t="shared" si="51"/>
        <v>0</v>
      </c>
      <c r="Y86" s="10">
        <f t="shared" si="52"/>
        <v>0</v>
      </c>
      <c r="Z86" s="1">
        <f t="shared" si="53"/>
        <v>0</v>
      </c>
      <c r="AA86" s="8">
        <f t="shared" si="54"/>
        <v>0</v>
      </c>
    </row>
    <row r="87" spans="1:27" s="2" customFormat="1">
      <c r="A87" s="321"/>
      <c r="B87" s="240" t="str">
        <f>'RFQ response'!C82</f>
        <v>SCT2</v>
      </c>
      <c r="C87" s="237" t="str">
        <f>'RFQ response'!E82</f>
        <v>Resistance test of the displays to corrosive liquids</v>
      </c>
      <c r="D87" s="74" t="str">
        <f>'RFQ response'!D82</f>
        <v>REQ-0945165</v>
      </c>
      <c r="E87" s="238" t="str">
        <f>'RFQ response'!N82</f>
        <v>OK</v>
      </c>
      <c r="F87" s="75"/>
      <c r="G87" s="74"/>
      <c r="H87" s="74"/>
      <c r="I87" s="95"/>
      <c r="J87" s="75"/>
      <c r="K87" s="74"/>
      <c r="L87" s="74"/>
      <c r="M87" s="173"/>
      <c r="N87" s="239"/>
      <c r="O87" s="239"/>
      <c r="P87"/>
      <c r="Q87" s="9">
        <f t="shared" si="69"/>
        <v>0</v>
      </c>
      <c r="R87" s="10">
        <f t="shared" si="70"/>
        <v>0</v>
      </c>
      <c r="S87" s="10">
        <f t="shared" si="71"/>
        <v>0</v>
      </c>
      <c r="T87" s="1">
        <f t="shared" si="72"/>
        <v>0</v>
      </c>
      <c r="U87" s="1">
        <f t="shared" si="73"/>
        <v>0</v>
      </c>
      <c r="V87" s="1">
        <f t="shared" si="74"/>
        <v>0</v>
      </c>
      <c r="W87" s="7">
        <f t="shared" si="75"/>
        <v>0</v>
      </c>
      <c r="X87" s="9">
        <f t="shared" si="51"/>
        <v>0</v>
      </c>
      <c r="Y87" s="10">
        <f t="shared" si="52"/>
        <v>0</v>
      </c>
      <c r="Z87" s="1">
        <f t="shared" si="53"/>
        <v>0</v>
      </c>
      <c r="AA87" s="8">
        <f t="shared" si="54"/>
        <v>0</v>
      </c>
    </row>
    <row r="88" spans="1:27" s="2" customFormat="1">
      <c r="A88" s="321"/>
      <c r="B88" s="240" t="str">
        <f>'RFQ response'!C83</f>
        <v>SCT3</v>
      </c>
      <c r="C88" s="237" t="str">
        <f>'RFQ response'!E83</f>
        <v>Sun resistance</v>
      </c>
      <c r="D88" s="74" t="str">
        <f>'RFQ response'!D83</f>
        <v>REQ-0945166</v>
      </c>
      <c r="E88" s="238" t="str">
        <f>'RFQ response'!N83</f>
        <v>OK</v>
      </c>
      <c r="F88" s="75"/>
      <c r="G88" s="74"/>
      <c r="H88" s="74"/>
      <c r="I88" s="95"/>
      <c r="J88" s="75"/>
      <c r="K88" s="74"/>
      <c r="L88" s="74"/>
      <c r="M88" s="173"/>
      <c r="N88" s="239"/>
      <c r="O88" s="239"/>
      <c r="P88"/>
      <c r="Q88" s="9">
        <f t="shared" si="69"/>
        <v>0</v>
      </c>
      <c r="R88" s="10">
        <f t="shared" si="70"/>
        <v>0</v>
      </c>
      <c r="S88" s="10">
        <f t="shared" si="71"/>
        <v>0</v>
      </c>
      <c r="T88" s="1">
        <f t="shared" si="72"/>
        <v>0</v>
      </c>
      <c r="U88" s="1">
        <f t="shared" si="73"/>
        <v>0</v>
      </c>
      <c r="V88" s="1">
        <f t="shared" si="74"/>
        <v>0</v>
      </c>
      <c r="W88" s="7">
        <f t="shared" si="75"/>
        <v>0</v>
      </c>
      <c r="X88" s="9">
        <f t="shared" si="51"/>
        <v>0</v>
      </c>
      <c r="Y88" s="10">
        <f t="shared" si="52"/>
        <v>0</v>
      </c>
      <c r="Z88" s="1">
        <f t="shared" si="53"/>
        <v>0</v>
      </c>
      <c r="AA88" s="8">
        <f t="shared" si="54"/>
        <v>0</v>
      </c>
    </row>
    <row r="89" spans="1:27" s="2" customFormat="1">
      <c r="A89" s="321"/>
      <c r="B89" s="240" t="str">
        <f>'RFQ response'!C84</f>
        <v>SCT4</v>
      </c>
      <c r="C89" s="237" t="str">
        <f>'RFQ response'!E84</f>
        <v>Resistance to pullout of glued parts</v>
      </c>
      <c r="D89" s="74" t="str">
        <f>'RFQ response'!D84</f>
        <v>REQ-0945167</v>
      </c>
      <c r="E89" s="238" t="str">
        <f>'RFQ response'!N84</f>
        <v>OK</v>
      </c>
      <c r="F89" s="75"/>
      <c r="G89" s="74"/>
      <c r="H89" s="74"/>
      <c r="I89" s="95"/>
      <c r="J89" s="75"/>
      <c r="K89" s="74"/>
      <c r="L89" s="74"/>
      <c r="M89" s="173"/>
      <c r="N89" s="239"/>
      <c r="O89" s="239"/>
      <c r="P89"/>
      <c r="Q89" s="9">
        <f t="shared" si="69"/>
        <v>0</v>
      </c>
      <c r="R89" s="10">
        <f t="shared" si="70"/>
        <v>0</v>
      </c>
      <c r="S89" s="10">
        <f t="shared" si="71"/>
        <v>0</v>
      </c>
      <c r="T89" s="1">
        <f t="shared" si="72"/>
        <v>0</v>
      </c>
      <c r="U89" s="1">
        <f t="shared" si="73"/>
        <v>0</v>
      </c>
      <c r="V89" s="1">
        <f t="shared" si="74"/>
        <v>0</v>
      </c>
      <c r="W89" s="7">
        <f t="shared" si="75"/>
        <v>0</v>
      </c>
      <c r="X89" s="9">
        <f t="shared" si="51"/>
        <v>0</v>
      </c>
      <c r="Y89" s="10">
        <f t="shared" si="52"/>
        <v>0</v>
      </c>
      <c r="Z89" s="1">
        <f t="shared" si="53"/>
        <v>0</v>
      </c>
      <c r="AA89" s="8">
        <f t="shared" si="54"/>
        <v>0</v>
      </c>
    </row>
    <row r="90" spans="1:27" s="2" customFormat="1">
      <c r="A90" s="321"/>
      <c r="B90" s="240" t="str">
        <f>'RFQ response'!C85</f>
        <v>SCT5</v>
      </c>
      <c r="C90" s="237" t="str">
        <f>'RFQ response'!E85</f>
        <v>Fingerprint affinity and cleanability test on displays</v>
      </c>
      <c r="D90" s="74" t="str">
        <f>'RFQ response'!D85</f>
        <v>REQ-0945168</v>
      </c>
      <c r="E90" s="238" t="str">
        <f>'RFQ response'!N85</f>
        <v>OK</v>
      </c>
      <c r="F90" s="75"/>
      <c r="G90" s="74"/>
      <c r="H90" s="74"/>
      <c r="I90" s="95"/>
      <c r="J90" s="75"/>
      <c r="K90" s="74"/>
      <c r="L90" s="74"/>
      <c r="M90" s="173"/>
      <c r="N90" s="239"/>
      <c r="O90" s="239"/>
      <c r="P90"/>
      <c r="Q90" s="9">
        <f t="shared" si="69"/>
        <v>0</v>
      </c>
      <c r="R90" s="10">
        <f t="shared" si="70"/>
        <v>0</v>
      </c>
      <c r="S90" s="10">
        <f t="shared" si="71"/>
        <v>0</v>
      </c>
      <c r="T90" s="1">
        <f t="shared" si="72"/>
        <v>0</v>
      </c>
      <c r="U90" s="1">
        <f t="shared" si="73"/>
        <v>0</v>
      </c>
      <c r="V90" s="1">
        <f t="shared" si="74"/>
        <v>0</v>
      </c>
      <c r="W90" s="7">
        <f t="shared" si="75"/>
        <v>0</v>
      </c>
      <c r="X90" s="9">
        <f t="shared" si="51"/>
        <v>0</v>
      </c>
      <c r="Y90" s="10">
        <f t="shared" si="52"/>
        <v>0</v>
      </c>
      <c r="Z90" s="1">
        <f t="shared" si="53"/>
        <v>0</v>
      </c>
      <c r="AA90" s="8">
        <f t="shared" si="54"/>
        <v>0</v>
      </c>
    </row>
    <row r="91" spans="1:27" s="2" customFormat="1" ht="28.5" customHeight="1">
      <c r="A91" s="321"/>
      <c r="B91" s="240" t="str">
        <f>'RFQ response'!C86</f>
        <v>SCT6.1</v>
      </c>
      <c r="C91" s="237" t="str">
        <f>'RFQ response'!E86</f>
        <v>Resistance to climatic ageing (not exposed to direct sun)</v>
      </c>
      <c r="D91" s="74" t="str">
        <f>'RFQ response'!D86</f>
        <v>REQ-0945169</v>
      </c>
      <c r="E91" s="238" t="str">
        <f>'RFQ response'!N86</f>
        <v>NA</v>
      </c>
      <c r="F91" s="75"/>
      <c r="G91" s="74"/>
      <c r="H91" s="74"/>
      <c r="I91" s="95"/>
      <c r="J91" s="75"/>
      <c r="K91" s="74"/>
      <c r="L91" s="74"/>
      <c r="M91" s="173"/>
      <c r="N91" s="239"/>
      <c r="O91" s="239"/>
      <c r="P91"/>
      <c r="Q91" s="9">
        <f t="shared" si="69"/>
        <v>0</v>
      </c>
      <c r="R91" s="10">
        <f t="shared" si="70"/>
        <v>0</v>
      </c>
      <c r="S91" s="10">
        <f t="shared" si="71"/>
        <v>0</v>
      </c>
      <c r="T91" s="1">
        <f t="shared" si="72"/>
        <v>0</v>
      </c>
      <c r="U91" s="1">
        <f t="shared" si="73"/>
        <v>0</v>
      </c>
      <c r="V91" s="1">
        <f t="shared" si="74"/>
        <v>0</v>
      </c>
      <c r="W91" s="7">
        <f t="shared" si="75"/>
        <v>0</v>
      </c>
      <c r="X91" s="9">
        <f t="shared" si="51"/>
        <v>0</v>
      </c>
      <c r="Y91" s="10">
        <f t="shared" si="52"/>
        <v>0</v>
      </c>
      <c r="Z91" s="1">
        <f t="shared" si="53"/>
        <v>0</v>
      </c>
      <c r="AA91" s="8">
        <f t="shared" si="54"/>
        <v>0</v>
      </c>
    </row>
    <row r="92" spans="1:27" s="2" customFormat="1">
      <c r="A92" s="321"/>
      <c r="B92" s="240" t="str">
        <f>'RFQ response'!C87</f>
        <v>SCT6.2</v>
      </c>
      <c r="C92" s="237" t="str">
        <f>'RFQ response'!E87</f>
        <v>Resistance to climatic ageing (exposed to direct sun)</v>
      </c>
      <c r="D92" s="74" t="str">
        <f>'RFQ response'!D87</f>
        <v>REQ-0945170</v>
      </c>
      <c r="E92" s="238" t="str">
        <f>'RFQ response'!N87</f>
        <v>OK</v>
      </c>
      <c r="F92" s="75"/>
      <c r="G92" s="74"/>
      <c r="H92" s="74"/>
      <c r="I92" s="95"/>
      <c r="J92" s="75"/>
      <c r="K92" s="74"/>
      <c r="L92" s="74"/>
      <c r="M92" s="173"/>
      <c r="N92" s="239"/>
      <c r="O92" s="239"/>
      <c r="P92"/>
      <c r="Q92" s="9">
        <f t="shared" si="69"/>
        <v>0</v>
      </c>
      <c r="R92" s="10">
        <f t="shared" si="70"/>
        <v>0</v>
      </c>
      <c r="S92" s="10">
        <f t="shared" si="71"/>
        <v>0</v>
      </c>
      <c r="T92" s="1">
        <f t="shared" si="72"/>
        <v>0</v>
      </c>
      <c r="U92" s="1">
        <f t="shared" si="73"/>
        <v>0</v>
      </c>
      <c r="V92" s="1">
        <f t="shared" si="74"/>
        <v>0</v>
      </c>
      <c r="W92" s="7">
        <f t="shared" si="75"/>
        <v>0</v>
      </c>
      <c r="X92" s="9">
        <f t="shared" si="51"/>
        <v>0</v>
      </c>
      <c r="Y92" s="10">
        <f t="shared" si="52"/>
        <v>0</v>
      </c>
      <c r="Z92" s="1">
        <f t="shared" si="53"/>
        <v>0</v>
      </c>
      <c r="AA92" s="8">
        <f t="shared" si="54"/>
        <v>0</v>
      </c>
    </row>
    <row r="93" spans="1:27" s="2" customFormat="1">
      <c r="A93" s="321"/>
      <c r="B93" s="240" t="str">
        <f>'RFQ response'!C88</f>
        <v>SCT7</v>
      </c>
      <c r="C93" s="237" t="str">
        <f>'RFQ response'!E88</f>
        <v>Surface temperature test of the tactile displays</v>
      </c>
      <c r="D93" s="74" t="str">
        <f>'RFQ response'!D88</f>
        <v>REQ-0994059</v>
      </c>
      <c r="E93" s="238" t="str">
        <f>'RFQ response'!N88</f>
        <v>OK</v>
      </c>
      <c r="F93" s="75"/>
      <c r="G93" s="74"/>
      <c r="H93" s="74"/>
      <c r="I93" s="95"/>
      <c r="J93" s="75"/>
      <c r="K93" s="74"/>
      <c r="L93" s="74"/>
      <c r="M93" s="173"/>
      <c r="N93" s="239"/>
      <c r="O93" s="239"/>
      <c r="P93"/>
      <c r="Q93" s="9"/>
      <c r="R93" s="10"/>
      <c r="S93" s="10"/>
      <c r="T93" s="1"/>
      <c r="U93" s="1"/>
      <c r="V93" s="1"/>
      <c r="W93" s="7"/>
      <c r="X93" s="9"/>
      <c r="Y93" s="10"/>
      <c r="Z93" s="1"/>
      <c r="AA93" s="8"/>
    </row>
    <row r="94" spans="1:27" s="2" customFormat="1" ht="15" customHeight="1">
      <c r="A94" s="321"/>
      <c r="B94" s="807" t="s">
        <v>453</v>
      </c>
      <c r="C94" s="808"/>
      <c r="D94" s="808"/>
      <c r="E94" s="808"/>
      <c r="F94" s="808"/>
      <c r="G94" s="808"/>
      <c r="H94" s="808"/>
      <c r="I94" s="808"/>
      <c r="J94" s="808"/>
      <c r="K94" s="808"/>
      <c r="L94" s="808"/>
      <c r="M94" s="808"/>
      <c r="N94" s="808"/>
      <c r="O94" s="809"/>
      <c r="P94"/>
      <c r="Q94" s="9">
        <f t="shared" si="69"/>
        <v>0</v>
      </c>
      <c r="R94" s="10">
        <f t="shared" si="70"/>
        <v>0</v>
      </c>
      <c r="S94" s="10">
        <f t="shared" si="71"/>
        <v>0</v>
      </c>
      <c r="T94" s="1">
        <f t="shared" si="72"/>
        <v>0</v>
      </c>
      <c r="U94" s="1">
        <f t="shared" si="73"/>
        <v>0</v>
      </c>
      <c r="V94" s="1">
        <f t="shared" si="74"/>
        <v>0</v>
      </c>
      <c r="W94" s="7">
        <f t="shared" si="75"/>
        <v>0</v>
      </c>
      <c r="X94" s="9">
        <f t="shared" si="51"/>
        <v>0</v>
      </c>
      <c r="Y94" s="10">
        <f t="shared" si="52"/>
        <v>0</v>
      </c>
      <c r="Z94" s="1">
        <f t="shared" si="53"/>
        <v>0</v>
      </c>
      <c r="AA94" s="8">
        <f t="shared" si="54"/>
        <v>0</v>
      </c>
    </row>
    <row r="95" spans="1:27" ht="45">
      <c r="A95" s="321"/>
      <c r="B95" s="240" t="str">
        <f>'RFQ response'!C90</f>
        <v xml:space="preserve"> -</v>
      </c>
      <c r="C95" s="237" t="str">
        <f>'RFQ response'!E90</f>
        <v>Dust intrusion</v>
      </c>
      <c r="D95" s="74" t="str">
        <f>'RFQ response'!D90</f>
        <v>REQ-0945171
REQ-0945172
REQ-0945173
REQ-0945174</v>
      </c>
      <c r="E95" s="238" t="str">
        <f>'RFQ response'!N90</f>
        <v>OK</v>
      </c>
      <c r="F95" s="75"/>
      <c r="G95" s="74"/>
      <c r="H95" s="74"/>
      <c r="I95" s="95"/>
      <c r="J95" s="75"/>
      <c r="K95" s="74"/>
      <c r="L95" s="74"/>
      <c r="M95" s="173"/>
      <c r="N95" s="239"/>
      <c r="O95" s="239"/>
      <c r="Q95" s="9">
        <f t="shared" si="69"/>
        <v>0</v>
      </c>
      <c r="R95" s="10">
        <f t="shared" si="70"/>
        <v>0</v>
      </c>
      <c r="S95" s="10">
        <f t="shared" si="71"/>
        <v>0</v>
      </c>
      <c r="T95" s="1">
        <f t="shared" si="72"/>
        <v>0</v>
      </c>
      <c r="U95" s="1">
        <f t="shared" si="73"/>
        <v>0</v>
      </c>
      <c r="V95" s="1">
        <f t="shared" si="74"/>
        <v>0</v>
      </c>
      <c r="W95" s="7">
        <f t="shared" si="75"/>
        <v>0</v>
      </c>
      <c r="X95" s="9">
        <f t="shared" si="51"/>
        <v>0</v>
      </c>
      <c r="Y95" s="10">
        <f t="shared" si="52"/>
        <v>0</v>
      </c>
      <c r="Z95" s="1">
        <f t="shared" si="53"/>
        <v>0</v>
      </c>
      <c r="AA95" s="8">
        <f t="shared" si="54"/>
        <v>0</v>
      </c>
    </row>
    <row r="96" spans="1:27">
      <c r="A96" s="321"/>
      <c r="B96" s="240" t="str">
        <f>'RFQ response'!C91</f>
        <v xml:space="preserve"> -</v>
      </c>
      <c r="C96" s="546" t="str">
        <f>'RFQ response'!E91</f>
        <v>Mud resistance</v>
      </c>
      <c r="D96" s="547" t="str">
        <f>'RFQ response'!D91</f>
        <v xml:space="preserve"> -</v>
      </c>
      <c r="E96" s="548" t="str">
        <f>'RFQ response'!N91</f>
        <v>NA</v>
      </c>
      <c r="F96" s="504"/>
      <c r="G96" s="502"/>
      <c r="H96" s="502"/>
      <c r="I96" s="505"/>
      <c r="J96" s="504"/>
      <c r="K96" s="502"/>
      <c r="L96" s="502"/>
      <c r="M96" s="506"/>
      <c r="N96" s="507"/>
      <c r="O96" s="507"/>
      <c r="Q96" s="9">
        <f t="shared" si="69"/>
        <v>0</v>
      </c>
      <c r="R96" s="10">
        <f t="shared" si="70"/>
        <v>0</v>
      </c>
      <c r="S96" s="10">
        <f t="shared" si="71"/>
        <v>0</v>
      </c>
      <c r="T96" s="1">
        <f t="shared" si="72"/>
        <v>0</v>
      </c>
      <c r="U96" s="1">
        <f t="shared" si="73"/>
        <v>0</v>
      </c>
      <c r="V96" s="1">
        <f t="shared" si="74"/>
        <v>0</v>
      </c>
      <c r="W96" s="7">
        <f t="shared" si="75"/>
        <v>0</v>
      </c>
      <c r="X96" s="9">
        <f t="shared" si="51"/>
        <v>0</v>
      </c>
      <c r="Y96" s="10">
        <f t="shared" si="52"/>
        <v>0</v>
      </c>
      <c r="Z96" s="1">
        <f t="shared" si="53"/>
        <v>0</v>
      </c>
      <c r="AA96" s="8">
        <f t="shared" si="54"/>
        <v>0</v>
      </c>
    </row>
    <row r="97" spans="1:27" ht="45">
      <c r="A97" s="321"/>
      <c r="B97" s="240" t="str">
        <f>'RFQ response'!C92</f>
        <v xml:space="preserve"> -</v>
      </c>
      <c r="C97" s="237" t="str">
        <f>'RFQ response'!E92</f>
        <v>Water or steam intrusion</v>
      </c>
      <c r="D97" s="74" t="str">
        <f>'RFQ response'!D92</f>
        <v>REQ-0945175
REQ-0945176
REQ-0945086
REQ-0945083</v>
      </c>
      <c r="E97" s="238" t="str">
        <f>'RFQ response'!N92</f>
        <v>OK</v>
      </c>
      <c r="F97" s="75"/>
      <c r="G97" s="74"/>
      <c r="H97" s="74"/>
      <c r="I97" s="95"/>
      <c r="J97" s="75"/>
      <c r="K97" s="74"/>
      <c r="L97" s="74"/>
      <c r="M97" s="173"/>
      <c r="N97" s="239"/>
      <c r="O97" s="239"/>
      <c r="Q97" s="9">
        <f t="shared" si="69"/>
        <v>0</v>
      </c>
      <c r="R97" s="10">
        <f t="shared" si="70"/>
        <v>0</v>
      </c>
      <c r="S97" s="10">
        <f t="shared" si="71"/>
        <v>0</v>
      </c>
      <c r="T97" s="1">
        <f t="shared" si="72"/>
        <v>0</v>
      </c>
      <c r="U97" s="1">
        <f t="shared" si="73"/>
        <v>0</v>
      </c>
      <c r="V97" s="1">
        <f t="shared" si="74"/>
        <v>0</v>
      </c>
      <c r="W97" s="7">
        <f t="shared" si="75"/>
        <v>0</v>
      </c>
      <c r="X97" s="9">
        <f t="shared" si="51"/>
        <v>0</v>
      </c>
      <c r="Y97" s="10">
        <f t="shared" si="52"/>
        <v>0</v>
      </c>
      <c r="Z97" s="1">
        <f t="shared" si="53"/>
        <v>0</v>
      </c>
      <c r="AA97" s="8">
        <f t="shared" si="54"/>
        <v>0</v>
      </c>
    </row>
    <row r="98" spans="1:27">
      <c r="A98" s="321"/>
      <c r="B98" s="240" t="str">
        <f>'RFQ response'!C93</f>
        <v xml:space="preserve"> -</v>
      </c>
      <c r="C98" s="546" t="str">
        <f>'RFQ response'!E93</f>
        <v>Iced salt water immersion/splash</v>
      </c>
      <c r="D98" s="547" t="str">
        <f>'RFQ response'!D93</f>
        <v xml:space="preserve"> -</v>
      </c>
      <c r="E98" s="548" t="str">
        <f>'RFQ response'!N93</f>
        <v>NA</v>
      </c>
      <c r="F98" s="504"/>
      <c r="G98" s="502"/>
      <c r="H98" s="502"/>
      <c r="I98" s="505"/>
      <c r="J98" s="504"/>
      <c r="K98" s="502"/>
      <c r="L98" s="502"/>
      <c r="M98" s="506"/>
      <c r="N98" s="507"/>
      <c r="O98" s="507"/>
      <c r="Q98" s="9">
        <f t="shared" si="69"/>
        <v>0</v>
      </c>
      <c r="R98" s="10">
        <f t="shared" si="70"/>
        <v>0</v>
      </c>
      <c r="S98" s="10">
        <f t="shared" si="71"/>
        <v>0</v>
      </c>
      <c r="T98" s="1">
        <f t="shared" si="72"/>
        <v>0</v>
      </c>
      <c r="U98" s="1">
        <f t="shared" si="73"/>
        <v>0</v>
      </c>
      <c r="V98" s="1">
        <f t="shared" si="74"/>
        <v>0</v>
      </c>
      <c r="W98" s="7">
        <f t="shared" si="75"/>
        <v>0</v>
      </c>
      <c r="X98" s="9">
        <f t="shared" si="51"/>
        <v>0</v>
      </c>
      <c r="Y98" s="10">
        <f t="shared" si="52"/>
        <v>0</v>
      </c>
      <c r="Z98" s="1">
        <f t="shared" si="53"/>
        <v>0</v>
      </c>
      <c r="AA98" s="8">
        <f t="shared" si="54"/>
        <v>0</v>
      </c>
    </row>
    <row r="99" spans="1:27" s="2" customFormat="1" ht="15" customHeight="1">
      <c r="A99" s="321"/>
      <c r="B99" s="793" t="s">
        <v>455</v>
      </c>
      <c r="C99" s="793"/>
      <c r="D99" s="793"/>
      <c r="E99" s="793"/>
      <c r="F99" s="793"/>
      <c r="G99" s="793"/>
      <c r="H99" s="793"/>
      <c r="I99" s="793"/>
      <c r="J99" s="793"/>
      <c r="K99" s="793"/>
      <c r="L99" s="793"/>
      <c r="M99" s="793"/>
      <c r="N99" s="793"/>
      <c r="O99" s="794"/>
      <c r="P99"/>
      <c r="Q99" s="9">
        <f t="shared" si="69"/>
        <v>0</v>
      </c>
      <c r="R99" s="10">
        <f t="shared" si="70"/>
        <v>0</v>
      </c>
      <c r="S99" s="10">
        <f t="shared" si="71"/>
        <v>0</v>
      </c>
      <c r="T99" s="1">
        <f t="shared" si="72"/>
        <v>0</v>
      </c>
      <c r="U99" s="1">
        <f t="shared" si="73"/>
        <v>0</v>
      </c>
      <c r="V99" s="1">
        <f t="shared" si="74"/>
        <v>0</v>
      </c>
      <c r="W99" s="7">
        <f t="shared" si="75"/>
        <v>0</v>
      </c>
      <c r="X99" s="9">
        <f t="shared" si="51"/>
        <v>0</v>
      </c>
      <c r="Y99" s="10">
        <f t="shared" si="52"/>
        <v>0</v>
      </c>
      <c r="Z99" s="1">
        <f t="shared" si="53"/>
        <v>0</v>
      </c>
      <c r="AA99" s="8">
        <f t="shared" si="54"/>
        <v>0</v>
      </c>
    </row>
    <row r="100" spans="1:27">
      <c r="A100" s="321"/>
      <c r="B100" s="240" t="str">
        <f>'RFQ response'!C95</f>
        <v xml:space="preserve"> -</v>
      </c>
      <c r="C100" s="237" t="str">
        <f>'RFQ response'!E95</f>
        <v>Material housing corrosion</v>
      </c>
      <c r="D100" s="74" t="str">
        <f>'RFQ response'!D95</f>
        <v>-</v>
      </c>
      <c r="E100" s="238" t="str">
        <f>'RFQ response'!N95</f>
        <v>NA</v>
      </c>
      <c r="F100" s="75"/>
      <c r="G100" s="74"/>
      <c r="H100" s="74"/>
      <c r="I100" s="95"/>
      <c r="J100" s="75"/>
      <c r="K100" s="74"/>
      <c r="L100" s="74"/>
      <c r="M100" s="173"/>
      <c r="N100" s="239"/>
      <c r="O100" s="239"/>
      <c r="Q100" s="9">
        <f t="shared" ref="Q100:Q105" si="76">IF(K100="On going",1,0)</f>
        <v>0</v>
      </c>
      <c r="R100" s="10">
        <f t="shared" ref="R100:R105" si="77">IF(K100="NA",1,0)</f>
        <v>0</v>
      </c>
      <c r="S100" s="10">
        <f t="shared" ref="S100:S105" si="78">IF(K100="Deviation",1,0)</f>
        <v>0</v>
      </c>
      <c r="T100" s="1">
        <f t="shared" ref="T100:T105" si="79">IF(K100="In analysis",1,0)</f>
        <v>0</v>
      </c>
      <c r="U100" s="1">
        <f t="shared" ref="U100:U105" si="80">IF(K100="NOK minor",1,0)</f>
        <v>0</v>
      </c>
      <c r="V100" s="1">
        <f t="shared" ref="V100:V105" si="81">IF(K100="NOK major",1,0)</f>
        <v>0</v>
      </c>
      <c r="W100" s="7">
        <f t="shared" ref="W100:W105" si="82">IF(K100="OK",1,0)</f>
        <v>0</v>
      </c>
      <c r="X100" s="9">
        <f t="shared" ref="X100:X105" si="83">IF($J100="On going",1,0)</f>
        <v>0</v>
      </c>
      <c r="Y100" s="10">
        <f t="shared" ref="Y100:Y105" si="84">IF($J100="NA",1,0)</f>
        <v>0</v>
      </c>
      <c r="Z100" s="1">
        <f t="shared" ref="Z100:Z105" si="85">IF($J100="NOK",1,0)</f>
        <v>0</v>
      </c>
      <c r="AA100" s="8">
        <f t="shared" ref="AA100:AA105" si="86">IF($J100="OK",1,0)</f>
        <v>0</v>
      </c>
    </row>
    <row r="101" spans="1:27">
      <c r="A101" s="321"/>
      <c r="B101" s="240" t="str">
        <f>'RFQ response'!C96</f>
        <v xml:space="preserve"> -</v>
      </c>
      <c r="C101" s="237" t="str">
        <f>'RFQ response'!E96</f>
        <v>Salt fog</v>
      </c>
      <c r="D101" s="74" t="str">
        <f>'RFQ response'!D96</f>
        <v>REQ-0945076</v>
      </c>
      <c r="E101" s="238" t="str">
        <f>'RFQ response'!N96</f>
        <v>OK</v>
      </c>
      <c r="F101" s="75"/>
      <c r="G101" s="74"/>
      <c r="H101" s="74"/>
      <c r="I101" s="95"/>
      <c r="J101" s="75"/>
      <c r="K101" s="74"/>
      <c r="L101" s="74"/>
      <c r="M101" s="173"/>
      <c r="N101" s="239"/>
      <c r="O101" s="239"/>
      <c r="Q101" s="9">
        <f t="shared" si="76"/>
        <v>0</v>
      </c>
      <c r="R101" s="10">
        <f t="shared" si="77"/>
        <v>0</v>
      </c>
      <c r="S101" s="10">
        <f t="shared" si="78"/>
        <v>0</v>
      </c>
      <c r="T101" s="1">
        <f t="shared" si="79"/>
        <v>0</v>
      </c>
      <c r="U101" s="1">
        <f t="shared" si="80"/>
        <v>0</v>
      </c>
      <c r="V101" s="1">
        <f t="shared" si="81"/>
        <v>0</v>
      </c>
      <c r="W101" s="7">
        <f t="shared" si="82"/>
        <v>0</v>
      </c>
      <c r="X101" s="9">
        <f t="shared" si="83"/>
        <v>0</v>
      </c>
      <c r="Y101" s="10">
        <f t="shared" si="84"/>
        <v>0</v>
      </c>
      <c r="Z101" s="1">
        <f t="shared" si="85"/>
        <v>0</v>
      </c>
      <c r="AA101" s="8">
        <f t="shared" si="86"/>
        <v>0</v>
      </c>
    </row>
    <row r="102" spans="1:27">
      <c r="A102" s="321"/>
      <c r="B102" s="240" t="str">
        <f>'RFQ response'!C97</f>
        <v xml:space="preserve"> -</v>
      </c>
      <c r="C102" s="546" t="str">
        <f>'RFQ response'!E97</f>
        <v>Mixed flowing gas</v>
      </c>
      <c r="D102" s="547" t="str">
        <f>'RFQ response'!D97</f>
        <v xml:space="preserve"> -</v>
      </c>
      <c r="E102" s="548" t="str">
        <f>'RFQ response'!N97</f>
        <v>NA</v>
      </c>
      <c r="F102" s="504"/>
      <c r="G102" s="502"/>
      <c r="H102" s="502"/>
      <c r="I102" s="505"/>
      <c r="J102" s="504"/>
      <c r="K102" s="502"/>
      <c r="L102" s="502"/>
      <c r="M102" s="506"/>
      <c r="N102" s="507"/>
      <c r="O102" s="507"/>
      <c r="Q102" s="9">
        <f t="shared" si="76"/>
        <v>0</v>
      </c>
      <c r="R102" s="10">
        <f t="shared" si="77"/>
        <v>0</v>
      </c>
      <c r="S102" s="10">
        <f t="shared" si="78"/>
        <v>0</v>
      </c>
      <c r="T102" s="1">
        <f t="shared" si="79"/>
        <v>0</v>
      </c>
      <c r="U102" s="1">
        <f t="shared" si="80"/>
        <v>0</v>
      </c>
      <c r="V102" s="1">
        <f t="shared" si="81"/>
        <v>0</v>
      </c>
      <c r="W102" s="7">
        <f t="shared" si="82"/>
        <v>0</v>
      </c>
      <c r="X102" s="9">
        <f t="shared" si="83"/>
        <v>0</v>
      </c>
      <c r="Y102" s="10">
        <f t="shared" si="84"/>
        <v>0</v>
      </c>
      <c r="Z102" s="1">
        <f t="shared" si="85"/>
        <v>0</v>
      </c>
      <c r="AA102" s="8">
        <f t="shared" si="86"/>
        <v>0</v>
      </c>
    </row>
    <row r="103" spans="1:27">
      <c r="A103" s="321"/>
      <c r="B103" s="240" t="str">
        <f>'RFQ response'!C98</f>
        <v xml:space="preserve"> -</v>
      </c>
      <c r="C103" s="237" t="str">
        <f>'RFQ response'!E98</f>
        <v>Chemical exposure</v>
      </c>
      <c r="D103" s="74" t="str">
        <f>'RFQ response'!D98</f>
        <v>REQ-0945077</v>
      </c>
      <c r="E103" s="238" t="str">
        <f>'RFQ response'!N98</f>
        <v>OK</v>
      </c>
      <c r="F103" s="75"/>
      <c r="G103" s="74"/>
      <c r="H103" s="74"/>
      <c r="I103" s="95"/>
      <c r="J103" s="75"/>
      <c r="K103" s="74"/>
      <c r="L103" s="74"/>
      <c r="M103" s="173"/>
      <c r="N103" s="239"/>
      <c r="O103" s="239"/>
      <c r="Q103" s="9">
        <f t="shared" si="76"/>
        <v>0</v>
      </c>
      <c r="R103" s="10">
        <f t="shared" si="77"/>
        <v>0</v>
      </c>
      <c r="S103" s="10">
        <f t="shared" si="78"/>
        <v>0</v>
      </c>
      <c r="T103" s="1">
        <f t="shared" si="79"/>
        <v>0</v>
      </c>
      <c r="U103" s="1">
        <f t="shared" si="80"/>
        <v>0</v>
      </c>
      <c r="V103" s="1">
        <f t="shared" si="81"/>
        <v>0</v>
      </c>
      <c r="W103" s="7">
        <f t="shared" si="82"/>
        <v>0</v>
      </c>
      <c r="X103" s="9">
        <f t="shared" si="83"/>
        <v>0</v>
      </c>
      <c r="Y103" s="10">
        <f t="shared" si="84"/>
        <v>0</v>
      </c>
      <c r="Z103" s="1">
        <f t="shared" si="85"/>
        <v>0</v>
      </c>
      <c r="AA103" s="8">
        <f t="shared" si="86"/>
        <v>0</v>
      </c>
    </row>
    <row r="104" spans="1:27" s="2" customFormat="1" ht="15" customHeight="1">
      <c r="A104" s="321"/>
      <c r="B104" s="795" t="s">
        <v>457</v>
      </c>
      <c r="C104" s="795"/>
      <c r="D104" s="795"/>
      <c r="E104" s="795"/>
      <c r="F104" s="795"/>
      <c r="G104" s="795"/>
      <c r="H104" s="795"/>
      <c r="I104" s="795"/>
      <c r="J104" s="795"/>
      <c r="K104" s="795"/>
      <c r="L104" s="795"/>
      <c r="M104" s="795"/>
      <c r="N104" s="795"/>
      <c r="O104" s="796"/>
      <c r="P104"/>
      <c r="Q104" s="9">
        <f t="shared" si="76"/>
        <v>0</v>
      </c>
      <c r="R104" s="10">
        <f t="shared" si="77"/>
        <v>0</v>
      </c>
      <c r="S104" s="10">
        <f t="shared" si="78"/>
        <v>0</v>
      </c>
      <c r="T104" s="1">
        <f t="shared" si="79"/>
        <v>0</v>
      </c>
      <c r="U104" s="1">
        <f t="shared" si="80"/>
        <v>0</v>
      </c>
      <c r="V104" s="1">
        <f t="shared" si="81"/>
        <v>0</v>
      </c>
      <c r="W104" s="7">
        <f t="shared" si="82"/>
        <v>0</v>
      </c>
      <c r="X104" s="9">
        <f t="shared" si="83"/>
        <v>0</v>
      </c>
      <c r="Y104" s="10">
        <f t="shared" si="84"/>
        <v>0</v>
      </c>
      <c r="Z104" s="1">
        <f t="shared" si="85"/>
        <v>0</v>
      </c>
      <c r="AA104" s="8">
        <f t="shared" si="86"/>
        <v>0</v>
      </c>
    </row>
    <row r="105" spans="1:27">
      <c r="A105" s="321"/>
      <c r="B105" s="240" t="str">
        <f>'RFQ response'!C100</f>
        <v>TTF</v>
      </c>
      <c r="C105" s="237" t="str">
        <f>'RFQ response'!E100</f>
        <v xml:space="preserve">Test-To-Failure </v>
      </c>
      <c r="D105" s="74" t="str">
        <f>'RFQ response'!D100</f>
        <v>-</v>
      </c>
      <c r="E105" s="238" t="str">
        <f>'RFQ response'!N100</f>
        <v>NA</v>
      </c>
      <c r="F105" s="75"/>
      <c r="G105" s="74"/>
      <c r="H105" s="74"/>
      <c r="I105" s="95"/>
      <c r="J105" s="75"/>
      <c r="K105" s="74"/>
      <c r="L105" s="74"/>
      <c r="M105" s="173"/>
      <c r="N105" s="239"/>
      <c r="O105" s="239"/>
      <c r="Q105" s="9">
        <f t="shared" si="76"/>
        <v>0</v>
      </c>
      <c r="R105" s="10">
        <f t="shared" si="77"/>
        <v>0</v>
      </c>
      <c r="S105" s="10">
        <f t="shared" si="78"/>
        <v>0</v>
      </c>
      <c r="T105" s="1">
        <f t="shared" si="79"/>
        <v>0</v>
      </c>
      <c r="U105" s="1">
        <f t="shared" si="80"/>
        <v>0</v>
      </c>
      <c r="V105" s="1">
        <f t="shared" si="81"/>
        <v>0</v>
      </c>
      <c r="W105" s="7">
        <f t="shared" si="82"/>
        <v>0</v>
      </c>
      <c r="X105" s="9">
        <f t="shared" si="83"/>
        <v>0</v>
      </c>
      <c r="Y105" s="10">
        <f t="shared" si="84"/>
        <v>0</v>
      </c>
      <c r="Z105" s="1">
        <f t="shared" si="85"/>
        <v>0</v>
      </c>
      <c r="AA105" s="8">
        <f t="shared" si="86"/>
        <v>0</v>
      </c>
    </row>
  </sheetData>
  <autoFilter ref="A10:Y105" xr:uid="{00000000-0009-0000-0000-000003000000}">
    <filterColumn colId="0" showButton="0"/>
    <filterColumn colId="2" showButton="0"/>
    <filterColumn colId="3" showButton="0"/>
    <filterColumn colId="4" showButton="0"/>
    <filterColumn colId="5" showButton="0"/>
  </autoFilter>
  <mergeCells count="15">
    <mergeCell ref="B99:O99"/>
    <mergeCell ref="B104:O104"/>
    <mergeCell ref="Q10:W10"/>
    <mergeCell ref="X10:AA10"/>
    <mergeCell ref="B50:O50"/>
    <mergeCell ref="B52:O52"/>
    <mergeCell ref="B76:O76"/>
    <mergeCell ref="B94:O94"/>
    <mergeCell ref="A4:B11"/>
    <mergeCell ref="B12:O12"/>
    <mergeCell ref="B1:B2"/>
    <mergeCell ref="G1:G2"/>
    <mergeCell ref="L1:L2"/>
    <mergeCell ref="N1:N2"/>
    <mergeCell ref="O1:O2"/>
  </mergeCells>
  <conditionalFormatting sqref="K95:K98 K105 K100:K103 K51 K77:K93 K53:K75">
    <cfRule type="expression" dxfId="51" priority="16">
      <formula>$K51="Deviation"</formula>
    </cfRule>
    <cfRule type="expression" dxfId="50" priority="17" stopIfTrue="1">
      <formula>$K51="OK"</formula>
    </cfRule>
    <cfRule type="expression" dxfId="49" priority="18" stopIfTrue="1">
      <formula>$K51="NOK major"</formula>
    </cfRule>
    <cfRule type="expression" dxfId="48" priority="19" stopIfTrue="1">
      <formula>$K51="NOK minor"</formula>
    </cfRule>
    <cfRule type="expression" dxfId="47" priority="20" stopIfTrue="1">
      <formula>$K51="In analysis"</formula>
    </cfRule>
    <cfRule type="expression" dxfId="46" priority="21" stopIfTrue="1">
      <formula>$K51="On going"</formula>
    </cfRule>
    <cfRule type="expression" dxfId="45" priority="22" stopIfTrue="1">
      <formula>$K51="NA"</formula>
    </cfRule>
  </conditionalFormatting>
  <conditionalFormatting sqref="B94">
    <cfRule type="cellIs" dxfId="44" priority="15" operator="equal">
      <formula>"NA"</formula>
    </cfRule>
  </conditionalFormatting>
  <conditionalFormatting sqref="K20:K49">
    <cfRule type="expression" dxfId="43" priority="8">
      <formula>$K20="Deviation"</formula>
    </cfRule>
    <cfRule type="expression" dxfId="42" priority="9" stopIfTrue="1">
      <formula>$K20="OK"</formula>
    </cfRule>
    <cfRule type="expression" dxfId="41" priority="10" stopIfTrue="1">
      <formula>$K20="NOK major"</formula>
    </cfRule>
    <cfRule type="expression" dxfId="40" priority="11" stopIfTrue="1">
      <formula>$K20="NOK minor"</formula>
    </cfRule>
    <cfRule type="expression" dxfId="39" priority="12" stopIfTrue="1">
      <formula>$K20="In analysis"</formula>
    </cfRule>
    <cfRule type="expression" dxfId="38" priority="13" stopIfTrue="1">
      <formula>$K20="On going"</formula>
    </cfRule>
    <cfRule type="expression" dxfId="37" priority="14" stopIfTrue="1">
      <formula>$K20="NA"</formula>
    </cfRule>
  </conditionalFormatting>
  <conditionalFormatting sqref="K13:K19">
    <cfRule type="expression" dxfId="36" priority="1">
      <formula>$K13="Deviation"</formula>
    </cfRule>
    <cfRule type="expression" dxfId="35" priority="2" stopIfTrue="1">
      <formula>$K13="OK"</formula>
    </cfRule>
    <cfRule type="expression" dxfId="34" priority="3" stopIfTrue="1">
      <formula>$K13="NOK major"</formula>
    </cfRule>
    <cfRule type="expression" dxfId="33" priority="4" stopIfTrue="1">
      <formula>$K13="NOK minor"</formula>
    </cfRule>
    <cfRule type="expression" dxfId="32" priority="5" stopIfTrue="1">
      <formula>$K13="In analysis"</formula>
    </cfRule>
    <cfRule type="expression" dxfId="31" priority="6" stopIfTrue="1">
      <formula>$K13="On going"</formula>
    </cfRule>
    <cfRule type="expression" dxfId="30" priority="7" stopIfTrue="1">
      <formula>$K13="NA"</formula>
    </cfRule>
  </conditionalFormatting>
  <dataValidations count="2">
    <dataValidation type="list" allowBlank="1" showInputMessage="1" showErrorMessage="1" sqref="K51 K95:K98 K13:K49 K105 K100:K103 K77:K93 K53:K75" xr:uid="{801B603E-AC7F-44F7-A457-FB90908FE920}">
      <formula1>$C$4:$C$10</formula1>
    </dataValidation>
    <dataValidation type="list" allowBlank="1" showInputMessage="1" showErrorMessage="1" sqref="J51 J95:J98 J13:J49 J105 J100:J103 J77:J93 J53:J75" xr:uid="{112CC061-FA9A-4942-9E2E-4CB6F3790A61}">
      <formula1>"OK,NOK,NA,On going,"</formula1>
    </dataValidation>
  </dataValidations>
  <hyperlinks>
    <hyperlink ref="M89" r:id="rId1" display="https://docinfogroupe.psa-peugeot-citroen.com/ead/doc/ref.20408_18_01223/v.vc/fiche" xr:uid="{ED93020C-96D4-4ECF-A7B2-47126C189C94}"/>
  </hyperlinks>
  <pageMargins left="0.7" right="0.7" top="0.75" bottom="0.75" header="0.3" footer="0.3"/>
  <pageSetup paperSize="9" scale="51"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AC471"/>
  <sheetViews>
    <sheetView topLeftCell="A22" workbookViewId="0">
      <selection activeCell="C35" sqref="C35"/>
    </sheetView>
  </sheetViews>
  <sheetFormatPr baseColWidth="10" defaultColWidth="9.140625" defaultRowHeight="11.25"/>
  <cols>
    <col min="1" max="1" width="3.7109375" style="330" customWidth="1"/>
    <col min="2" max="2" width="2.7109375" style="330" customWidth="1"/>
    <col min="3" max="3" width="9.140625" style="331"/>
    <col min="4" max="4" width="6.140625" style="330" customWidth="1"/>
    <col min="5" max="5" width="6.42578125" style="330" customWidth="1"/>
    <col min="6" max="6" width="3.5703125" style="330" customWidth="1"/>
    <col min="7" max="7" width="9.140625" style="330"/>
    <col min="8" max="8" width="3.7109375" style="330" customWidth="1"/>
    <col min="9" max="9" width="5.28515625" style="330" customWidth="1"/>
    <col min="10" max="11" width="12.140625" style="330" customWidth="1"/>
    <col min="12" max="12" width="3.7109375" style="330" customWidth="1"/>
    <col min="13" max="13" width="4.28515625" style="330" customWidth="1"/>
    <col min="14" max="14" width="10.7109375" style="330" customWidth="1"/>
    <col min="15" max="15" width="13.7109375" style="330" customWidth="1"/>
    <col min="16" max="16" width="4.42578125" style="331" customWidth="1"/>
    <col min="17" max="17" width="9.85546875" style="330" customWidth="1"/>
    <col min="18" max="19" width="2.28515625" style="330" customWidth="1"/>
    <col min="20" max="20" width="8.28515625" style="330" customWidth="1"/>
    <col min="21" max="21" width="4.85546875" style="330" customWidth="1"/>
    <col min="22" max="16384" width="9.140625" style="330"/>
  </cols>
  <sheetData>
    <row r="1" spans="2:26" ht="12" thickBot="1"/>
    <row r="2" spans="2:26" ht="18" customHeight="1">
      <c r="B2" s="332"/>
      <c r="C2" s="333"/>
      <c r="D2" s="334"/>
      <c r="E2" s="871" t="s">
        <v>298</v>
      </c>
      <c r="F2" s="872"/>
      <c r="G2" s="872"/>
      <c r="H2" s="872"/>
      <c r="I2" s="872"/>
      <c r="J2" s="872"/>
      <c r="K2" s="872"/>
      <c r="L2" s="872"/>
      <c r="M2" s="872"/>
      <c r="N2" s="873"/>
      <c r="O2" s="335"/>
      <c r="P2" s="336"/>
      <c r="Q2" s="337"/>
      <c r="R2" s="337"/>
      <c r="S2" s="337"/>
      <c r="T2" s="337"/>
      <c r="U2" s="337"/>
      <c r="V2" s="337"/>
      <c r="W2" s="337"/>
      <c r="X2" s="338"/>
    </row>
    <row r="3" spans="2:26" ht="30.75" customHeight="1">
      <c r="B3" s="339"/>
      <c r="C3" s="340"/>
      <c r="D3" s="341"/>
      <c r="E3" s="874"/>
      <c r="F3" s="875"/>
      <c r="G3" s="875"/>
      <c r="H3" s="875"/>
      <c r="I3" s="875"/>
      <c r="J3" s="875"/>
      <c r="K3" s="875"/>
      <c r="L3" s="875"/>
      <c r="M3" s="875"/>
      <c r="N3" s="876"/>
      <c r="P3" s="342"/>
      <c r="R3" s="343"/>
      <c r="S3" s="343"/>
      <c r="T3" s="343"/>
      <c r="U3" s="343"/>
      <c r="X3" s="344"/>
    </row>
    <row r="4" spans="2:26">
      <c r="B4" s="345"/>
      <c r="C4" s="346"/>
      <c r="D4" s="347"/>
      <c r="E4" s="348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50"/>
      <c r="Q4" s="349"/>
      <c r="R4" s="349"/>
      <c r="S4" s="349"/>
      <c r="T4" s="877"/>
      <c r="U4" s="877"/>
      <c r="V4" s="877"/>
      <c r="W4" s="877"/>
      <c r="X4" s="878"/>
    </row>
    <row r="5" spans="2:26">
      <c r="B5" s="339"/>
      <c r="D5" s="351"/>
      <c r="E5" s="352"/>
      <c r="F5" s="343"/>
      <c r="G5" s="343"/>
      <c r="H5" s="343"/>
      <c r="I5" s="343"/>
      <c r="J5" s="343"/>
      <c r="K5" s="343"/>
      <c r="L5" s="343"/>
      <c r="M5" s="343"/>
      <c r="N5" s="343"/>
      <c r="O5" s="343"/>
      <c r="P5" s="353"/>
      <c r="Q5" s="343"/>
      <c r="R5" s="343"/>
      <c r="S5" s="343"/>
      <c r="T5" s="879"/>
      <c r="U5" s="879"/>
      <c r="V5" s="879"/>
      <c r="W5" s="879"/>
      <c r="X5" s="880"/>
    </row>
    <row r="6" spans="2:26">
      <c r="B6" s="345"/>
      <c r="C6" s="346"/>
      <c r="D6" s="347"/>
      <c r="E6" s="354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50"/>
      <c r="Q6" s="349"/>
      <c r="R6" s="349"/>
      <c r="S6" s="349"/>
      <c r="T6" s="881"/>
      <c r="U6" s="882"/>
      <c r="V6" s="882"/>
      <c r="W6" s="882"/>
      <c r="X6" s="883"/>
    </row>
    <row r="7" spans="2:26" ht="15">
      <c r="B7" s="339"/>
      <c r="D7" s="355"/>
      <c r="E7" s="884"/>
      <c r="F7" s="885"/>
      <c r="G7" s="885"/>
      <c r="H7" s="885"/>
      <c r="I7" s="885"/>
      <c r="J7" s="885"/>
      <c r="K7" s="885"/>
      <c r="L7" s="885"/>
      <c r="M7" s="885"/>
      <c r="N7" s="888"/>
      <c r="O7" s="889"/>
      <c r="P7" s="889"/>
      <c r="Q7" s="889"/>
      <c r="T7" s="881"/>
      <c r="U7" s="882"/>
      <c r="V7" s="882"/>
      <c r="W7" s="882"/>
      <c r="X7" s="883"/>
      <c r="Z7"/>
    </row>
    <row r="8" spans="2:26" ht="13.9" customHeight="1" thickBot="1">
      <c r="B8" s="356"/>
      <c r="C8" s="867"/>
      <c r="D8" s="868"/>
      <c r="E8" s="886"/>
      <c r="F8" s="887"/>
      <c r="G8" s="887"/>
      <c r="H8" s="887"/>
      <c r="I8" s="887"/>
      <c r="J8" s="887"/>
      <c r="K8" s="887"/>
      <c r="L8" s="887"/>
      <c r="M8" s="887"/>
      <c r="N8" s="890"/>
      <c r="O8" s="890"/>
      <c r="P8" s="890"/>
      <c r="Q8" s="890"/>
      <c r="R8" s="357"/>
      <c r="S8" s="357"/>
      <c r="T8" s="869"/>
      <c r="U8" s="867"/>
      <c r="V8" s="867"/>
      <c r="W8" s="867"/>
      <c r="X8" s="870"/>
    </row>
    <row r="9" spans="2:26" ht="6" customHeight="1">
      <c r="B9" s="332"/>
      <c r="C9" s="358"/>
      <c r="D9" s="335"/>
      <c r="E9" s="335"/>
      <c r="F9" s="335"/>
      <c r="G9" s="335"/>
      <c r="H9" s="335"/>
      <c r="I9" s="335"/>
      <c r="J9" s="335"/>
      <c r="K9" s="335"/>
      <c r="L9" s="335"/>
      <c r="M9" s="335"/>
      <c r="N9" s="335"/>
      <c r="O9" s="335"/>
      <c r="P9" s="358"/>
      <c r="Q9" s="335"/>
      <c r="R9" s="335"/>
      <c r="S9" s="335"/>
      <c r="T9" s="335"/>
      <c r="U9" s="335"/>
      <c r="V9" s="337"/>
      <c r="W9" s="337"/>
      <c r="X9" s="338"/>
    </row>
    <row r="10" spans="2:26" ht="15">
      <c r="B10" s="339"/>
      <c r="C10" s="359"/>
      <c r="D10"/>
      <c r="E10" s="360"/>
      <c r="F10" s="360"/>
      <c r="G10" s="360"/>
      <c r="H10" s="360"/>
      <c r="I10" s="360"/>
      <c r="J10" s="360"/>
      <c r="K10" s="860"/>
      <c r="L10" s="860"/>
      <c r="M10" s="860"/>
      <c r="N10" s="860"/>
      <c r="O10" s="360"/>
      <c r="P10" s="359"/>
      <c r="Q10" s="360"/>
      <c r="R10" s="360"/>
      <c r="S10" s="360"/>
      <c r="T10" s="360"/>
      <c r="U10" s="360"/>
      <c r="X10" s="344"/>
    </row>
    <row r="11" spans="2:26">
      <c r="B11" s="339"/>
      <c r="C11" s="359"/>
      <c r="D11" s="360"/>
      <c r="E11" s="360"/>
      <c r="F11" s="360"/>
      <c r="G11" s="360"/>
      <c r="H11" s="360"/>
      <c r="I11" s="360"/>
      <c r="J11" s="360"/>
      <c r="K11" s="859"/>
      <c r="L11" s="859"/>
      <c r="M11" s="859"/>
      <c r="N11" s="859"/>
      <c r="O11" s="360"/>
      <c r="P11" s="359"/>
      <c r="Q11" s="360"/>
      <c r="R11" s="360"/>
      <c r="S11" s="360"/>
      <c r="T11" s="360"/>
      <c r="U11" s="360"/>
      <c r="X11" s="344"/>
    </row>
    <row r="12" spans="2:26">
      <c r="B12" s="339"/>
      <c r="C12" s="359"/>
      <c r="D12" s="360"/>
      <c r="E12" s="360"/>
      <c r="F12" s="859"/>
      <c r="G12" s="859"/>
      <c r="H12" s="859"/>
      <c r="I12" s="360"/>
      <c r="J12" s="360"/>
      <c r="K12" s="859"/>
      <c r="L12" s="859"/>
      <c r="M12" s="859"/>
      <c r="N12" s="859"/>
      <c r="O12" s="360"/>
      <c r="P12" s="359"/>
      <c r="Q12" s="360"/>
      <c r="R12" s="360"/>
      <c r="S12" s="360"/>
      <c r="T12" s="360"/>
      <c r="U12" s="360"/>
      <c r="X12" s="344"/>
    </row>
    <row r="13" spans="2:26" ht="15">
      <c r="B13" s="339"/>
      <c r="C13" s="359"/>
      <c r="D13" s="360"/>
      <c r="E13" s="360"/>
      <c r="F13" s="360"/>
      <c r="G13" s="360"/>
      <c r="H13" s="360"/>
      <c r="I13" s="360"/>
      <c r="J13" s="360"/>
      <c r="K13"/>
      <c r="L13" s="360"/>
      <c r="M13" s="360"/>
      <c r="N13" s="360"/>
      <c r="O13" s="360"/>
      <c r="P13" s="359"/>
      <c r="Q13" s="360"/>
      <c r="R13" s="360"/>
      <c r="S13" s="360"/>
      <c r="T13" s="360"/>
      <c r="U13" s="360"/>
      <c r="X13" s="344"/>
    </row>
    <row r="14" spans="2:26">
      <c r="B14" s="339"/>
      <c r="C14" s="359"/>
      <c r="D14" s="860"/>
      <c r="E14" s="860"/>
      <c r="F14" s="860"/>
      <c r="G14" s="860"/>
      <c r="H14" s="361"/>
      <c r="I14" s="360"/>
      <c r="J14" s="860"/>
      <c r="K14" s="860"/>
      <c r="L14" s="360"/>
      <c r="M14" s="360"/>
      <c r="N14" s="860"/>
      <c r="O14" s="860"/>
      <c r="P14" s="359"/>
      <c r="Q14" s="360"/>
      <c r="R14" s="860"/>
      <c r="S14" s="860"/>
      <c r="T14" s="361"/>
      <c r="U14" s="360"/>
      <c r="X14" s="344"/>
    </row>
    <row r="15" spans="2:26">
      <c r="B15" s="339"/>
      <c r="C15" s="359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59"/>
      <c r="Q15" s="360"/>
      <c r="R15" s="360"/>
      <c r="S15" s="360"/>
      <c r="T15" s="360"/>
      <c r="U15" s="360"/>
      <c r="X15" s="344"/>
    </row>
    <row r="16" spans="2:26" ht="12.75" customHeight="1">
      <c r="B16" s="339"/>
      <c r="C16" s="359"/>
      <c r="D16" s="859"/>
      <c r="E16" s="859"/>
      <c r="F16" s="859"/>
      <c r="G16" s="859"/>
      <c r="H16" s="362"/>
      <c r="I16" s="359"/>
      <c r="J16" s="865"/>
      <c r="K16" s="865"/>
      <c r="L16" s="360"/>
      <c r="M16" s="359"/>
      <c r="N16" s="859"/>
      <c r="O16" s="859"/>
      <c r="P16" s="359"/>
      <c r="Q16" s="359"/>
      <c r="R16" s="866"/>
      <c r="S16" s="866"/>
      <c r="T16" s="363"/>
      <c r="U16" s="360"/>
      <c r="X16" s="344"/>
    </row>
    <row r="17" spans="2:24">
      <c r="B17" s="339"/>
      <c r="C17" s="359"/>
      <c r="D17" s="859"/>
      <c r="E17" s="859"/>
      <c r="F17" s="859"/>
      <c r="G17" s="859"/>
      <c r="H17" s="362"/>
      <c r="I17" s="359"/>
      <c r="J17" s="865"/>
      <c r="K17" s="865"/>
      <c r="L17" s="360"/>
      <c r="M17" s="360"/>
      <c r="N17" s="362"/>
      <c r="O17" s="362"/>
      <c r="P17" s="359"/>
      <c r="Q17" s="359"/>
      <c r="R17" s="866"/>
      <c r="S17" s="866"/>
      <c r="T17" s="363"/>
      <c r="U17" s="360"/>
      <c r="X17" s="344"/>
    </row>
    <row r="18" spans="2:24">
      <c r="B18" s="339"/>
      <c r="C18" s="359"/>
      <c r="D18" s="360"/>
      <c r="E18" s="360"/>
      <c r="F18" s="360"/>
      <c r="G18" s="360"/>
      <c r="H18" s="360"/>
      <c r="I18" s="359"/>
      <c r="J18" s="360"/>
      <c r="K18" s="360"/>
      <c r="L18" s="360"/>
      <c r="M18" s="360"/>
      <c r="N18" s="360"/>
      <c r="O18" s="360"/>
      <c r="P18" s="359"/>
      <c r="Q18" s="359"/>
      <c r="R18" s="360"/>
      <c r="S18" s="360"/>
      <c r="T18" s="360"/>
      <c r="U18" s="360"/>
      <c r="X18" s="344"/>
    </row>
    <row r="19" spans="2:24">
      <c r="B19" s="339"/>
      <c r="C19" s="359"/>
      <c r="D19" s="360"/>
      <c r="E19" s="360"/>
      <c r="F19" s="360"/>
      <c r="G19" s="360"/>
      <c r="H19" s="360"/>
      <c r="I19" s="359"/>
      <c r="J19" s="360"/>
      <c r="K19" s="360"/>
      <c r="L19" s="360"/>
      <c r="M19" s="360"/>
      <c r="N19" s="360"/>
      <c r="O19" s="360"/>
      <c r="P19" s="359"/>
      <c r="Q19" s="364"/>
      <c r="R19" s="360"/>
      <c r="S19" s="360"/>
      <c r="T19" s="360"/>
      <c r="U19" s="360"/>
      <c r="X19" s="344"/>
    </row>
    <row r="20" spans="2:24">
      <c r="B20" s="339"/>
      <c r="C20" s="359"/>
      <c r="D20" s="859"/>
      <c r="E20" s="859"/>
      <c r="F20" s="859"/>
      <c r="G20" s="859"/>
      <c r="H20" s="362"/>
      <c r="I20" s="359"/>
      <c r="J20" s="859"/>
      <c r="K20" s="859"/>
      <c r="L20" s="360"/>
      <c r="M20" s="360"/>
      <c r="N20" s="859"/>
      <c r="O20" s="859"/>
      <c r="P20" s="359"/>
      <c r="Q20" s="359"/>
      <c r="R20" s="859"/>
      <c r="S20" s="859"/>
      <c r="T20" s="362"/>
      <c r="U20" s="360"/>
      <c r="X20" s="344"/>
    </row>
    <row r="21" spans="2:24">
      <c r="B21" s="339"/>
      <c r="C21" s="359"/>
      <c r="D21" s="859"/>
      <c r="E21" s="859"/>
      <c r="F21" s="859"/>
      <c r="G21" s="859"/>
      <c r="H21" s="362"/>
      <c r="I21" s="359"/>
      <c r="J21" s="859"/>
      <c r="K21" s="859"/>
      <c r="L21" s="360"/>
      <c r="M21" s="360"/>
      <c r="N21" s="859"/>
      <c r="O21" s="859"/>
      <c r="P21" s="359"/>
      <c r="Q21" s="360"/>
      <c r="R21" s="859"/>
      <c r="S21" s="859"/>
      <c r="T21" s="360"/>
      <c r="U21" s="360"/>
      <c r="X21" s="344"/>
    </row>
    <row r="22" spans="2:24">
      <c r="B22" s="339"/>
      <c r="C22" s="359"/>
      <c r="D22" s="360"/>
      <c r="E22" s="360"/>
      <c r="F22" s="360"/>
      <c r="G22" s="360"/>
      <c r="H22" s="360"/>
      <c r="I22" s="359"/>
      <c r="J22" s="360"/>
      <c r="K22" s="360"/>
      <c r="L22" s="360"/>
      <c r="M22" s="359"/>
      <c r="N22" s="360"/>
      <c r="O22" s="360"/>
      <c r="P22" s="359"/>
      <c r="Q22" s="360"/>
      <c r="R22" s="360"/>
      <c r="S22" s="360"/>
      <c r="T22" s="360"/>
      <c r="U22" s="360"/>
      <c r="X22" s="344"/>
    </row>
    <row r="23" spans="2:24">
      <c r="B23" s="339"/>
      <c r="C23" s="365"/>
      <c r="D23" s="360"/>
      <c r="E23" s="360"/>
      <c r="F23" s="360"/>
      <c r="G23" s="360"/>
      <c r="H23" s="360"/>
      <c r="I23" s="359"/>
      <c r="J23" s="360"/>
      <c r="K23" s="360"/>
      <c r="L23" s="360"/>
      <c r="M23" s="359"/>
      <c r="N23" s="360"/>
      <c r="O23" s="360"/>
      <c r="P23" s="359"/>
      <c r="Q23" s="359"/>
      <c r="R23" s="360"/>
      <c r="S23" s="360"/>
      <c r="T23" s="360"/>
      <c r="U23" s="360"/>
      <c r="X23" s="344"/>
    </row>
    <row r="24" spans="2:24">
      <c r="B24" s="339"/>
      <c r="C24" s="359"/>
      <c r="D24" s="859"/>
      <c r="E24" s="859"/>
      <c r="F24" s="859"/>
      <c r="G24" s="859"/>
      <c r="H24" s="362"/>
      <c r="I24" s="359"/>
      <c r="J24" s="859"/>
      <c r="K24" s="859"/>
      <c r="L24" s="360"/>
      <c r="M24" s="359"/>
      <c r="N24" s="859"/>
      <c r="O24" s="859"/>
      <c r="P24" s="359"/>
      <c r="Q24" s="359"/>
      <c r="R24" s="859"/>
      <c r="S24" s="859"/>
      <c r="T24" s="362"/>
      <c r="U24" s="360"/>
      <c r="X24" s="344"/>
    </row>
    <row r="25" spans="2:24">
      <c r="B25" s="339"/>
      <c r="C25" s="359"/>
      <c r="D25" s="859"/>
      <c r="E25" s="859"/>
      <c r="F25" s="859"/>
      <c r="G25" s="859"/>
      <c r="H25" s="362"/>
      <c r="I25" s="359"/>
      <c r="J25" s="859"/>
      <c r="K25" s="859"/>
      <c r="L25" s="360"/>
      <c r="M25" s="359"/>
      <c r="N25" s="859"/>
      <c r="O25" s="859"/>
      <c r="P25" s="360"/>
      <c r="Q25" s="366"/>
      <c r="R25" s="859"/>
      <c r="S25" s="859"/>
      <c r="T25" s="360"/>
      <c r="U25" s="360"/>
      <c r="X25" s="344"/>
    </row>
    <row r="26" spans="2:24">
      <c r="B26" s="339"/>
      <c r="C26" s="365"/>
      <c r="D26" s="360"/>
      <c r="E26" s="360"/>
      <c r="F26" s="360"/>
      <c r="G26" s="364"/>
      <c r="H26" s="360"/>
      <c r="I26" s="359"/>
      <c r="J26" s="360"/>
      <c r="K26" s="360"/>
      <c r="L26" s="360"/>
      <c r="M26" s="359"/>
      <c r="N26" s="360"/>
      <c r="O26" s="360"/>
      <c r="P26" s="367"/>
      <c r="Q26" s="368"/>
      <c r="R26" s="369"/>
      <c r="S26" s="369"/>
      <c r="T26" s="360"/>
      <c r="U26" s="360"/>
      <c r="X26" s="344"/>
    </row>
    <row r="27" spans="2:24">
      <c r="B27" s="339"/>
      <c r="C27" s="368"/>
      <c r="D27" s="362"/>
      <c r="E27" s="360"/>
      <c r="F27" s="360"/>
      <c r="G27" s="362"/>
      <c r="H27" s="360"/>
      <c r="I27" s="359"/>
      <c r="J27" s="360"/>
      <c r="K27" s="360"/>
      <c r="L27" s="360"/>
      <c r="M27" s="359"/>
      <c r="N27" s="360"/>
      <c r="O27" s="360"/>
      <c r="P27" s="367"/>
      <c r="Q27" s="359"/>
      <c r="R27" s="859"/>
      <c r="S27" s="859"/>
      <c r="T27" s="360"/>
      <c r="U27" s="360"/>
      <c r="X27" s="344"/>
    </row>
    <row r="28" spans="2:24" ht="11.25" customHeight="1">
      <c r="B28" s="339"/>
      <c r="C28" s="359"/>
      <c r="D28" s="859"/>
      <c r="E28" s="859"/>
      <c r="F28" s="859"/>
      <c r="G28" s="859"/>
      <c r="H28" s="360"/>
      <c r="I28" s="359"/>
      <c r="J28" s="859"/>
      <c r="K28" s="859"/>
      <c r="L28" s="360"/>
      <c r="M28" s="359"/>
      <c r="N28" s="859"/>
      <c r="O28" s="859"/>
      <c r="P28" s="360"/>
      <c r="Q28" s="359"/>
      <c r="R28" s="362"/>
      <c r="S28" s="362"/>
      <c r="T28" s="366"/>
      <c r="U28" s="360"/>
      <c r="X28" s="344"/>
    </row>
    <row r="29" spans="2:24">
      <c r="B29" s="339"/>
      <c r="C29" s="359"/>
      <c r="D29" s="859"/>
      <c r="E29" s="859"/>
      <c r="F29" s="859"/>
      <c r="G29" s="859"/>
      <c r="H29" s="360"/>
      <c r="I29" s="359"/>
      <c r="J29" s="859"/>
      <c r="K29" s="859"/>
      <c r="L29" s="360"/>
      <c r="M29" s="359"/>
      <c r="N29" s="859"/>
      <c r="O29" s="859"/>
      <c r="P29" s="360"/>
      <c r="Q29" s="359"/>
      <c r="R29" s="859"/>
      <c r="S29" s="859"/>
      <c r="T29" s="360"/>
      <c r="U29" s="360"/>
      <c r="X29" s="344"/>
    </row>
    <row r="30" spans="2:24">
      <c r="B30" s="339"/>
      <c r="C30" s="359"/>
      <c r="D30" s="360"/>
      <c r="E30" s="360"/>
      <c r="F30" s="360"/>
      <c r="G30" s="360"/>
      <c r="H30" s="360"/>
      <c r="I30" s="359"/>
      <c r="J30" s="370"/>
      <c r="K30" s="360"/>
      <c r="L30" s="360"/>
      <c r="M30" s="359"/>
      <c r="N30" s="360"/>
      <c r="O30" s="360"/>
      <c r="P30" s="360"/>
      <c r="Q30" s="360"/>
      <c r="R30" s="859"/>
      <c r="S30" s="859"/>
      <c r="T30" s="360"/>
      <c r="U30" s="360"/>
      <c r="X30" s="344"/>
    </row>
    <row r="31" spans="2:24">
      <c r="B31" s="339"/>
      <c r="C31" s="359"/>
      <c r="D31" s="360"/>
      <c r="E31" s="360"/>
      <c r="F31" s="360"/>
      <c r="G31" s="360"/>
      <c r="H31" s="360"/>
      <c r="I31" s="359"/>
      <c r="J31" s="360"/>
      <c r="K31" s="360"/>
      <c r="L31" s="360"/>
      <c r="M31" s="359"/>
      <c r="N31" s="360"/>
      <c r="O31" s="360"/>
      <c r="P31" s="360"/>
      <c r="Q31" s="359"/>
      <c r="R31" s="859"/>
      <c r="S31" s="859"/>
      <c r="T31" s="366"/>
      <c r="U31" s="360"/>
      <c r="X31" s="344"/>
    </row>
    <row r="32" spans="2:24" ht="11.25" customHeight="1">
      <c r="B32" s="339"/>
      <c r="C32" s="359"/>
      <c r="D32" s="859"/>
      <c r="E32" s="859"/>
      <c r="F32" s="859"/>
      <c r="G32" s="859"/>
      <c r="H32" s="362"/>
      <c r="I32" s="359"/>
      <c r="J32" s="859"/>
      <c r="K32" s="859"/>
      <c r="L32" s="360"/>
      <c r="M32" s="359"/>
      <c r="N32" s="859"/>
      <c r="O32" s="859"/>
      <c r="P32" s="360"/>
      <c r="Q32" s="366"/>
      <c r="R32" s="864"/>
      <c r="S32" s="864"/>
      <c r="T32" s="366"/>
      <c r="U32" s="360"/>
      <c r="X32" s="344"/>
    </row>
    <row r="33" spans="2:29" ht="11.25" customHeight="1">
      <c r="B33" s="339"/>
      <c r="C33" s="359"/>
      <c r="D33" s="859"/>
      <c r="E33" s="859"/>
      <c r="F33" s="859"/>
      <c r="G33" s="859"/>
      <c r="H33" s="362"/>
      <c r="I33" s="359"/>
      <c r="J33" s="859"/>
      <c r="K33" s="859"/>
      <c r="L33" s="360"/>
      <c r="M33" s="359"/>
      <c r="N33" s="859"/>
      <c r="O33" s="859"/>
      <c r="P33" s="360"/>
      <c r="Q33" s="360"/>
      <c r="R33" s="361"/>
      <c r="S33" s="361"/>
      <c r="T33" s="360"/>
      <c r="U33" s="360"/>
      <c r="X33" s="344"/>
    </row>
    <row r="34" spans="2:29" ht="15">
      <c r="B34" s="339"/>
      <c r="C34" s="359"/>
      <c r="D34"/>
      <c r="E34" s="360"/>
      <c r="F34" s="360"/>
      <c r="G34" s="360"/>
      <c r="H34" s="360"/>
      <c r="I34" s="359"/>
      <c r="J34" s="859"/>
      <c r="K34" s="859"/>
      <c r="L34" s="360"/>
      <c r="M34" s="360"/>
      <c r="N34" s="370"/>
      <c r="O34" s="360"/>
      <c r="P34" s="360"/>
      <c r="Q34" s="359"/>
      <c r="R34" s="859"/>
      <c r="S34" s="859"/>
      <c r="T34" s="360"/>
      <c r="U34" s="360"/>
      <c r="X34" s="344"/>
      <c r="AC34"/>
    </row>
    <row r="35" spans="2:29" ht="15">
      <c r="B35" s="339"/>
      <c r="C35"/>
      <c r="D35"/>
      <c r="E35" s="360"/>
      <c r="F35" s="360"/>
      <c r="G35" s="360"/>
      <c r="H35" s="360"/>
      <c r="I35" s="359"/>
      <c r="L35" s="360"/>
      <c r="M35" s="360"/>
      <c r="N35" s="360"/>
      <c r="O35" s="360"/>
      <c r="P35" s="359"/>
      <c r="Q35" s="366"/>
      <c r="R35" s="859"/>
      <c r="S35" s="859"/>
      <c r="T35" s="361"/>
      <c r="U35" s="360"/>
      <c r="X35" s="344"/>
    </row>
    <row r="36" spans="2:29">
      <c r="B36" s="339"/>
      <c r="C36" s="359"/>
      <c r="D36" s="859"/>
      <c r="E36" s="859"/>
      <c r="F36" s="859"/>
      <c r="G36" s="859"/>
      <c r="H36" s="360"/>
      <c r="I36" s="359"/>
      <c r="J36" s="859"/>
      <c r="K36" s="859"/>
      <c r="L36" s="360"/>
      <c r="M36" s="360"/>
      <c r="N36" s="859"/>
      <c r="O36" s="859"/>
      <c r="P36" s="359"/>
      <c r="Q36" s="366"/>
      <c r="R36" s="369"/>
      <c r="S36" s="369"/>
      <c r="T36" s="361"/>
      <c r="U36" s="360"/>
      <c r="X36" s="344"/>
    </row>
    <row r="37" spans="2:29">
      <c r="B37" s="339"/>
      <c r="C37" s="359"/>
      <c r="D37" s="859"/>
      <c r="E37" s="859"/>
      <c r="F37" s="859"/>
      <c r="G37" s="859"/>
      <c r="H37" s="360"/>
      <c r="I37" s="359"/>
      <c r="J37" s="863"/>
      <c r="K37" s="863"/>
      <c r="L37" s="360"/>
      <c r="M37" s="360"/>
      <c r="N37" s="859"/>
      <c r="O37" s="859"/>
      <c r="P37" s="359"/>
      <c r="Q37" s="360"/>
      <c r="R37" s="360"/>
      <c r="S37" s="360"/>
      <c r="T37" s="361"/>
      <c r="U37" s="360"/>
      <c r="X37" s="344"/>
    </row>
    <row r="38" spans="2:29" ht="15">
      <c r="B38" s="339"/>
      <c r="C38" s="359"/>
      <c r="D38" s="860"/>
      <c r="E38" s="860"/>
      <c r="F38" s="860"/>
      <c r="G38" s="860"/>
      <c r="H38" s="362"/>
      <c r="I38" s="359"/>
      <c r="J38" s="371"/>
      <c r="K38" s="360"/>
      <c r="L38" s="360"/>
      <c r="M38" s="360"/>
      <c r="N38" s="362"/>
      <c r="O38" s="362"/>
      <c r="P38" s="359"/>
      <c r="Q38" s="359"/>
      <c r="R38" s="859"/>
      <c r="S38" s="859"/>
      <c r="T38" s="360"/>
      <c r="U38" s="360"/>
      <c r="X38" s="344"/>
      <c r="AB38"/>
    </row>
    <row r="39" spans="2:29" ht="15">
      <c r="B39" s="339"/>
      <c r="C39" s="359"/>
      <c r="D39" s="362"/>
      <c r="E39" s="362"/>
      <c r="F39" s="362"/>
      <c r="G39" s="362"/>
      <c r="H39" s="362"/>
      <c r="I39" s="359"/>
      <c r="J39" s="360"/>
      <c r="K39" s="360"/>
      <c r="L39" s="360"/>
      <c r="M39" s="360"/>
      <c r="N39" s="859"/>
      <c r="O39" s="859"/>
      <c r="P39" s="359"/>
      <c r="Q39" s="366"/>
      <c r="R39" s="859"/>
      <c r="S39" s="859"/>
      <c r="T39" s="360"/>
      <c r="U39" s="360"/>
      <c r="X39" s="344"/>
      <c r="AC39"/>
    </row>
    <row r="40" spans="2:29">
      <c r="B40" s="339"/>
      <c r="C40" s="359"/>
      <c r="D40" s="859"/>
      <c r="E40" s="859"/>
      <c r="F40" s="859"/>
      <c r="G40" s="859"/>
      <c r="H40" s="360"/>
      <c r="I40" s="359"/>
      <c r="J40" s="859"/>
      <c r="K40" s="859"/>
      <c r="L40" s="360"/>
      <c r="M40" s="360"/>
      <c r="N40" s="362"/>
      <c r="O40" s="362"/>
      <c r="P40" s="359"/>
      <c r="Q40" s="368"/>
      <c r="R40" s="369"/>
      <c r="S40" s="369"/>
      <c r="T40" s="360"/>
      <c r="U40" s="360"/>
      <c r="X40" s="344"/>
    </row>
    <row r="41" spans="2:29">
      <c r="B41" s="339"/>
      <c r="C41" s="359"/>
      <c r="D41" s="859"/>
      <c r="E41" s="859"/>
      <c r="F41" s="859"/>
      <c r="G41" s="859"/>
      <c r="H41" s="360"/>
      <c r="I41" s="359"/>
      <c r="J41" s="859"/>
      <c r="K41" s="859"/>
      <c r="L41" s="360"/>
      <c r="M41" s="360"/>
      <c r="N41" s="859"/>
      <c r="O41" s="859"/>
      <c r="P41" s="359"/>
      <c r="Q41" s="360"/>
      <c r="R41" s="859"/>
      <c r="S41" s="859"/>
      <c r="T41" s="360"/>
      <c r="U41" s="360"/>
      <c r="X41" s="344"/>
    </row>
    <row r="42" spans="2:29" ht="11.25" customHeight="1">
      <c r="B42" s="339"/>
      <c r="C42" s="359"/>
      <c r="D42" s="860"/>
      <c r="E42" s="860"/>
      <c r="F42" s="860"/>
      <c r="G42" s="860"/>
      <c r="H42" s="362"/>
      <c r="I42" s="359"/>
      <c r="J42" s="860"/>
      <c r="K42" s="860"/>
      <c r="L42" s="360"/>
      <c r="M42" s="360"/>
      <c r="N42" s="859"/>
      <c r="O42" s="859"/>
      <c r="P42" s="359"/>
      <c r="Q42" s="360"/>
      <c r="R42" s="361"/>
      <c r="S42" s="361"/>
      <c r="T42" s="361"/>
      <c r="U42" s="360"/>
      <c r="X42" s="344"/>
    </row>
    <row r="43" spans="2:29" ht="11.25" customHeight="1">
      <c r="B43" s="339"/>
      <c r="C43" s="359"/>
      <c r="D43" s="860"/>
      <c r="E43" s="860"/>
      <c r="F43" s="860"/>
      <c r="G43" s="860"/>
      <c r="H43" s="362"/>
      <c r="I43" s="359"/>
      <c r="J43" s="860"/>
      <c r="K43" s="860"/>
      <c r="L43" s="360"/>
      <c r="M43" s="360"/>
      <c r="N43" s="360"/>
      <c r="O43" s="360"/>
      <c r="P43" s="359"/>
      <c r="Q43" s="359"/>
      <c r="R43" s="859"/>
      <c r="S43" s="859"/>
      <c r="T43" s="361"/>
      <c r="U43" s="360"/>
      <c r="X43" s="344"/>
    </row>
    <row r="44" spans="2:29" ht="11.25" customHeight="1">
      <c r="B44" s="339"/>
      <c r="C44" s="359"/>
      <c r="D44" s="362"/>
      <c r="E44" s="362"/>
      <c r="F44" s="362"/>
      <c r="G44" s="362"/>
      <c r="H44" s="362"/>
      <c r="I44" s="359"/>
      <c r="J44" s="363"/>
      <c r="K44" s="363"/>
      <c r="L44" s="360"/>
      <c r="M44" s="360"/>
      <c r="N44" s="360"/>
      <c r="O44" s="360"/>
      <c r="P44" s="359"/>
      <c r="Q44" s="366"/>
      <c r="R44" s="859"/>
      <c r="S44" s="859"/>
      <c r="T44" s="360"/>
      <c r="U44" s="360"/>
      <c r="X44" s="344"/>
    </row>
    <row r="45" spans="2:29" ht="12.75" customHeight="1">
      <c r="B45" s="339"/>
      <c r="C45" s="359"/>
      <c r="D45" s="859"/>
      <c r="E45" s="859"/>
      <c r="F45" s="859"/>
      <c r="G45" s="859"/>
      <c r="H45" s="360"/>
      <c r="I45" s="359"/>
      <c r="J45" s="859"/>
      <c r="K45" s="859"/>
      <c r="L45" s="360"/>
      <c r="M45" s="360"/>
      <c r="N45" s="859"/>
      <c r="O45" s="859"/>
      <c r="P45" s="359"/>
      <c r="Q45" s="366"/>
      <c r="R45" s="369"/>
      <c r="S45" s="369"/>
      <c r="T45" s="369"/>
      <c r="U45" s="360"/>
      <c r="X45" s="344"/>
    </row>
    <row r="46" spans="2:29" ht="11.25" customHeight="1">
      <c r="B46" s="339"/>
      <c r="C46" s="359"/>
      <c r="D46" s="859"/>
      <c r="E46" s="859"/>
      <c r="F46" s="859"/>
      <c r="G46" s="859"/>
      <c r="H46" s="360"/>
      <c r="I46" s="359"/>
      <c r="J46" s="859"/>
      <c r="K46" s="859"/>
      <c r="L46" s="360"/>
      <c r="M46" s="360"/>
      <c r="N46" s="859"/>
      <c r="O46" s="859"/>
      <c r="P46" s="359"/>
      <c r="Q46" s="360"/>
      <c r="R46" s="360"/>
      <c r="S46" s="360"/>
      <c r="T46" s="369"/>
      <c r="U46" s="360"/>
      <c r="X46" s="344"/>
    </row>
    <row r="47" spans="2:29">
      <c r="B47" s="339"/>
      <c r="C47" s="359"/>
      <c r="D47" s="360"/>
      <c r="E47" s="360"/>
      <c r="F47" s="360"/>
      <c r="G47" s="360"/>
      <c r="H47" s="362"/>
      <c r="I47" s="360"/>
      <c r="J47" s="372"/>
      <c r="K47" s="372"/>
      <c r="L47" s="360"/>
      <c r="M47" s="360"/>
      <c r="N47" s="362"/>
      <c r="O47" s="362"/>
      <c r="P47" s="359"/>
      <c r="Q47" s="360"/>
      <c r="R47" s="859"/>
      <c r="S47" s="859"/>
      <c r="T47" s="360"/>
      <c r="U47" s="360"/>
      <c r="X47" s="344"/>
    </row>
    <row r="48" spans="2:29">
      <c r="B48" s="339"/>
      <c r="C48" s="359"/>
      <c r="D48" s="360"/>
      <c r="E48" s="360"/>
      <c r="F48" s="360"/>
      <c r="G48" s="360"/>
      <c r="H48" s="360"/>
      <c r="I48" s="360"/>
      <c r="J48" s="362"/>
      <c r="K48" s="362"/>
      <c r="L48" s="360"/>
      <c r="M48" s="360"/>
      <c r="N48" s="859"/>
      <c r="O48" s="859"/>
      <c r="P48" s="359"/>
      <c r="Q48" s="360"/>
      <c r="R48" s="859"/>
      <c r="S48" s="859"/>
      <c r="T48" s="362"/>
      <c r="U48" s="360"/>
      <c r="X48" s="344"/>
    </row>
    <row r="49" spans="2:28" ht="15">
      <c r="B49" s="339"/>
      <c r="C49" s="359"/>
      <c r="D49" s="859"/>
      <c r="E49" s="859"/>
      <c r="F49" s="859"/>
      <c r="G49" s="859"/>
      <c r="H49" s="362"/>
      <c r="I49" s="359"/>
      <c r="J49" s="859"/>
      <c r="K49" s="859"/>
      <c r="L49" s="360"/>
      <c r="M49" s="360"/>
      <c r="N49" s="362"/>
      <c r="O49" s="362"/>
      <c r="P49" s="359"/>
      <c r="Q49" s="366"/>
      <c r="R49" s="362"/>
      <c r="S49" s="362"/>
      <c r="T49" s="361"/>
      <c r="U49" s="360"/>
      <c r="X49" s="344"/>
      <c r="AB49"/>
    </row>
    <row r="50" spans="2:28">
      <c r="B50" s="339"/>
      <c r="C50" s="359"/>
      <c r="D50" s="859"/>
      <c r="E50" s="859"/>
      <c r="F50" s="859"/>
      <c r="G50" s="859"/>
      <c r="H50" s="362"/>
      <c r="I50" s="359"/>
      <c r="J50" s="859"/>
      <c r="K50" s="859"/>
      <c r="L50" s="360"/>
      <c r="M50" s="360"/>
      <c r="N50" s="859"/>
      <c r="O50" s="859"/>
      <c r="P50" s="359"/>
      <c r="Q50" s="360"/>
      <c r="R50" s="859"/>
      <c r="S50" s="859"/>
      <c r="T50" s="362"/>
      <c r="U50" s="360"/>
      <c r="X50" s="344"/>
    </row>
    <row r="51" spans="2:28">
      <c r="B51" s="339"/>
      <c r="C51" s="359"/>
      <c r="D51" s="360"/>
      <c r="E51" s="360"/>
      <c r="F51" s="360"/>
      <c r="G51" s="360"/>
      <c r="H51" s="360"/>
      <c r="I51" s="359"/>
      <c r="J51" s="360"/>
      <c r="K51" s="360"/>
      <c r="L51" s="360"/>
      <c r="M51" s="360"/>
      <c r="N51" s="859"/>
      <c r="O51" s="859"/>
      <c r="P51" s="359"/>
      <c r="Q51" s="360"/>
      <c r="R51" s="361"/>
      <c r="S51" s="361"/>
      <c r="T51" s="369"/>
      <c r="U51" s="360"/>
      <c r="X51" s="344"/>
    </row>
    <row r="52" spans="2:28">
      <c r="B52" s="339"/>
      <c r="C52" s="368"/>
      <c r="D52" s="360"/>
      <c r="E52" s="360"/>
      <c r="F52" s="360"/>
      <c r="G52" s="360"/>
      <c r="H52" s="362"/>
      <c r="I52" s="359"/>
      <c r="J52" s="360"/>
      <c r="K52" s="360"/>
      <c r="L52" s="360"/>
      <c r="M52" s="360"/>
      <c r="N52" s="360"/>
      <c r="O52" s="360"/>
      <c r="P52" s="359"/>
      <c r="Q52" s="359"/>
      <c r="R52" s="859"/>
      <c r="S52" s="859"/>
      <c r="T52" s="369"/>
      <c r="U52" s="360"/>
      <c r="X52" s="344"/>
    </row>
    <row r="53" spans="2:28">
      <c r="B53" s="339"/>
      <c r="C53" s="368"/>
      <c r="D53" s="360"/>
      <c r="E53" s="360"/>
      <c r="F53" s="360"/>
      <c r="G53" s="360"/>
      <c r="H53" s="362"/>
      <c r="I53" s="359"/>
      <c r="J53" s="859"/>
      <c r="K53" s="859"/>
      <c r="L53" s="360"/>
      <c r="M53" s="360"/>
      <c r="N53" s="360"/>
      <c r="O53" s="360"/>
      <c r="P53" s="359"/>
      <c r="Q53" s="366"/>
      <c r="R53" s="859"/>
      <c r="S53" s="859"/>
      <c r="T53" s="360"/>
      <c r="U53" s="360"/>
      <c r="X53" s="344"/>
    </row>
    <row r="54" spans="2:28">
      <c r="B54" s="339"/>
      <c r="C54" s="368"/>
      <c r="D54" s="360"/>
      <c r="E54" s="360"/>
      <c r="F54" s="360"/>
      <c r="G54" s="360"/>
      <c r="H54" s="367"/>
      <c r="I54" s="359"/>
      <c r="J54" s="859"/>
      <c r="K54" s="859"/>
      <c r="L54" s="360"/>
      <c r="M54" s="360"/>
      <c r="N54" s="859"/>
      <c r="O54" s="859"/>
      <c r="P54" s="359"/>
      <c r="Q54" s="360"/>
      <c r="R54" s="373"/>
      <c r="S54" s="373"/>
      <c r="T54" s="360"/>
      <c r="U54" s="360"/>
      <c r="X54" s="344"/>
    </row>
    <row r="55" spans="2:28">
      <c r="B55" s="339"/>
      <c r="C55" s="368"/>
      <c r="D55" s="360"/>
      <c r="E55" s="360"/>
      <c r="F55" s="360"/>
      <c r="G55" s="361"/>
      <c r="H55" s="367"/>
      <c r="I55" s="359"/>
      <c r="J55" s="360"/>
      <c r="K55" s="360"/>
      <c r="L55" s="360"/>
      <c r="M55" s="360"/>
      <c r="N55" s="859"/>
      <c r="O55" s="859"/>
      <c r="P55" s="359"/>
      <c r="Q55" s="360"/>
      <c r="R55" s="364"/>
      <c r="S55" s="364"/>
      <c r="T55" s="369"/>
      <c r="U55" s="360"/>
      <c r="X55" s="344"/>
    </row>
    <row r="56" spans="2:28">
      <c r="B56" s="339"/>
      <c r="C56" s="368"/>
      <c r="D56" s="360"/>
      <c r="E56" s="360"/>
      <c r="F56" s="360"/>
      <c r="G56" s="360"/>
      <c r="H56" s="362"/>
      <c r="I56" s="359"/>
      <c r="J56" s="360"/>
      <c r="K56" s="360"/>
      <c r="L56" s="360"/>
      <c r="M56" s="374"/>
      <c r="N56" s="375"/>
      <c r="O56" s="375"/>
      <c r="P56" s="359"/>
      <c r="Q56" s="359"/>
      <c r="R56" s="859"/>
      <c r="S56" s="859"/>
      <c r="T56" s="369"/>
      <c r="U56" s="376"/>
      <c r="X56" s="344"/>
    </row>
    <row r="57" spans="2:28">
      <c r="B57" s="339"/>
      <c r="C57" s="359"/>
      <c r="D57" s="859"/>
      <c r="E57" s="859"/>
      <c r="F57" s="859"/>
      <c r="G57" s="859"/>
      <c r="H57" s="362"/>
      <c r="I57" s="359"/>
      <c r="J57" s="859"/>
      <c r="K57" s="859"/>
      <c r="L57" s="360"/>
      <c r="M57" s="360"/>
      <c r="N57" s="859"/>
      <c r="O57" s="859"/>
      <c r="P57" s="359"/>
      <c r="Q57" s="366"/>
      <c r="R57" s="362"/>
      <c r="S57" s="362"/>
      <c r="T57" s="376"/>
      <c r="U57" s="376"/>
      <c r="X57" s="344"/>
    </row>
    <row r="58" spans="2:28">
      <c r="B58" s="339"/>
      <c r="C58" s="359"/>
      <c r="D58" s="859"/>
      <c r="E58" s="859"/>
      <c r="F58" s="859"/>
      <c r="G58" s="859"/>
      <c r="H58" s="362"/>
      <c r="I58" s="359"/>
      <c r="J58" s="859"/>
      <c r="K58" s="859"/>
      <c r="L58" s="360"/>
      <c r="M58" s="360"/>
      <c r="N58" s="362"/>
      <c r="O58" s="362"/>
      <c r="P58" s="359"/>
      <c r="Q58" s="360"/>
      <c r="R58" s="361"/>
      <c r="S58" s="361"/>
      <c r="T58" s="361"/>
      <c r="U58" s="376"/>
      <c r="X58" s="344"/>
    </row>
    <row r="59" spans="2:28" ht="12.75" customHeight="1">
      <c r="B59" s="339"/>
      <c r="C59" s="365"/>
      <c r="D59" s="361"/>
      <c r="E59" s="360"/>
      <c r="F59" s="360"/>
      <c r="G59" s="361"/>
      <c r="H59" s="362"/>
      <c r="I59" s="360"/>
      <c r="J59" s="370"/>
      <c r="K59" s="372"/>
      <c r="L59" s="360"/>
      <c r="M59" s="360"/>
      <c r="N59" s="859"/>
      <c r="O59" s="859"/>
      <c r="P59" s="359"/>
      <c r="Q59" s="360"/>
      <c r="R59" s="860"/>
      <c r="S59" s="860"/>
      <c r="T59" s="369"/>
      <c r="U59" s="376"/>
      <c r="X59" s="344"/>
    </row>
    <row r="60" spans="2:28" ht="12.75" customHeight="1">
      <c r="B60" s="339"/>
      <c r="C60" s="359"/>
      <c r="D60" s="360"/>
      <c r="E60" s="360"/>
      <c r="F60" s="360"/>
      <c r="G60" s="360"/>
      <c r="H60" s="362"/>
      <c r="I60" s="360"/>
      <c r="J60" s="362"/>
      <c r="K60" s="362"/>
      <c r="L60" s="360"/>
      <c r="M60" s="360"/>
      <c r="N60" s="859"/>
      <c r="O60" s="859"/>
      <c r="P60" s="359"/>
      <c r="Q60" s="360"/>
      <c r="R60" s="361"/>
      <c r="S60" s="361"/>
      <c r="T60" s="369"/>
      <c r="U60" s="376"/>
      <c r="X60" s="344"/>
    </row>
    <row r="61" spans="2:28" ht="12" thickBot="1">
      <c r="B61" s="356"/>
      <c r="C61" s="377"/>
      <c r="D61" s="862"/>
      <c r="E61" s="862"/>
      <c r="F61" s="862"/>
      <c r="G61" s="862"/>
      <c r="H61" s="378"/>
      <c r="I61" s="377"/>
      <c r="J61" s="862"/>
      <c r="K61" s="862"/>
      <c r="L61" s="379"/>
      <c r="M61" s="379"/>
      <c r="N61" s="379"/>
      <c r="O61" s="379"/>
      <c r="P61" s="377"/>
      <c r="Q61" s="377"/>
      <c r="R61" s="862"/>
      <c r="S61" s="862"/>
      <c r="T61" s="380"/>
      <c r="U61" s="380"/>
      <c r="V61" s="357"/>
      <c r="W61" s="357"/>
      <c r="X61" s="381"/>
    </row>
    <row r="62" spans="2:28">
      <c r="B62" s="337"/>
      <c r="C62" s="358"/>
      <c r="D62" s="861"/>
      <c r="E62" s="861"/>
      <c r="F62" s="861"/>
      <c r="G62" s="861"/>
      <c r="H62" s="382"/>
      <c r="I62" s="358"/>
      <c r="J62" s="861"/>
      <c r="K62" s="861"/>
      <c r="L62" s="335"/>
      <c r="M62" s="335"/>
      <c r="N62" s="335"/>
      <c r="O62" s="335"/>
      <c r="P62" s="358"/>
      <c r="Q62" s="383"/>
      <c r="R62" s="861"/>
      <c r="S62" s="861"/>
      <c r="T62" s="384"/>
      <c r="U62" s="385"/>
    </row>
    <row r="63" spans="2:28" ht="12.75" customHeight="1">
      <c r="C63" s="362"/>
      <c r="D63" s="362"/>
      <c r="E63" s="360"/>
      <c r="F63" s="360"/>
      <c r="G63" s="360"/>
      <c r="H63" s="362"/>
      <c r="I63" s="359"/>
      <c r="J63" s="360"/>
      <c r="K63" s="360"/>
      <c r="L63" s="360"/>
      <c r="M63" s="360"/>
      <c r="N63" s="859"/>
      <c r="O63" s="859"/>
      <c r="P63" s="359"/>
      <c r="Q63" s="362"/>
      <c r="R63" s="360"/>
      <c r="S63" s="360"/>
      <c r="T63" s="369"/>
      <c r="U63" s="376"/>
    </row>
    <row r="64" spans="2:28" ht="12.75" customHeight="1">
      <c r="C64" s="359"/>
      <c r="D64" s="360"/>
      <c r="E64" s="360"/>
      <c r="F64" s="360"/>
      <c r="G64" s="360"/>
      <c r="H64" s="362"/>
      <c r="I64" s="359"/>
      <c r="J64" s="360"/>
      <c r="K64" s="360"/>
      <c r="L64" s="360"/>
      <c r="M64" s="360"/>
      <c r="N64" s="859"/>
      <c r="O64" s="859"/>
      <c r="P64" s="359"/>
      <c r="Q64" s="360"/>
      <c r="R64" s="860"/>
      <c r="S64" s="860"/>
      <c r="T64" s="369"/>
      <c r="U64" s="376"/>
    </row>
    <row r="65" spans="3:21">
      <c r="C65" s="359"/>
      <c r="D65" s="859"/>
      <c r="E65" s="859"/>
      <c r="F65" s="859"/>
      <c r="G65" s="859"/>
      <c r="H65" s="367"/>
      <c r="I65" s="359"/>
      <c r="J65" s="859"/>
      <c r="K65" s="859"/>
      <c r="L65" s="360"/>
      <c r="M65" s="360"/>
      <c r="N65" s="360"/>
      <c r="O65" s="360"/>
      <c r="P65" s="359"/>
      <c r="Q65" s="360"/>
      <c r="R65" s="361"/>
      <c r="S65" s="361"/>
      <c r="T65" s="360"/>
      <c r="U65" s="360"/>
    </row>
    <row r="66" spans="3:21">
      <c r="C66" s="359"/>
      <c r="D66" s="859"/>
      <c r="E66" s="859"/>
      <c r="F66" s="859"/>
      <c r="G66" s="859"/>
      <c r="H66" s="367"/>
      <c r="I66" s="359"/>
      <c r="J66" s="859"/>
      <c r="K66" s="859"/>
      <c r="L66" s="360"/>
      <c r="M66" s="360"/>
      <c r="N66" s="362"/>
      <c r="O66" s="362"/>
      <c r="P66" s="359"/>
      <c r="Q66" s="359"/>
      <c r="R66" s="859"/>
      <c r="S66" s="859"/>
      <c r="T66" s="361"/>
      <c r="U66" s="360"/>
    </row>
    <row r="67" spans="3:21">
      <c r="C67" s="359"/>
      <c r="D67" s="360"/>
      <c r="E67" s="360"/>
      <c r="F67" s="360"/>
      <c r="G67" s="360"/>
      <c r="H67" s="362"/>
      <c r="I67" s="359"/>
      <c r="J67" s="360"/>
      <c r="K67" s="360"/>
      <c r="L67" s="360"/>
      <c r="M67" s="360"/>
      <c r="N67" s="362"/>
      <c r="O67" s="362"/>
      <c r="P67" s="359"/>
      <c r="Q67" s="366"/>
      <c r="R67" s="859"/>
      <c r="S67" s="859"/>
      <c r="T67" s="369"/>
      <c r="U67" s="360"/>
    </row>
    <row r="68" spans="3:21" ht="12.75" customHeight="1">
      <c r="C68" s="359"/>
      <c r="D68" s="360"/>
      <c r="E68" s="360"/>
      <c r="F68" s="360"/>
      <c r="G68" s="360"/>
      <c r="H68" s="362"/>
      <c r="I68" s="359"/>
      <c r="J68" s="360"/>
      <c r="K68" s="360"/>
      <c r="L68" s="360"/>
      <c r="M68" s="374"/>
      <c r="N68" s="375"/>
      <c r="O68" s="375"/>
      <c r="P68"/>
      <c r="Q68" s="360"/>
      <c r="R68" s="361"/>
      <c r="S68" s="361"/>
      <c r="T68" s="369"/>
      <c r="U68" s="360"/>
    </row>
    <row r="69" spans="3:21" ht="12.75" customHeight="1">
      <c r="C69" s="359"/>
      <c r="D69" s="859"/>
      <c r="E69" s="859"/>
      <c r="F69" s="859"/>
      <c r="G69" s="859"/>
      <c r="H69" s="362"/>
      <c r="I69" s="359"/>
      <c r="J69" s="859"/>
      <c r="K69" s="859"/>
      <c r="L69" s="360"/>
      <c r="M69" s="360"/>
      <c r="N69" s="362"/>
      <c r="O69" s="362"/>
      <c r="P69" s="359"/>
      <c r="Q69" s="360"/>
      <c r="R69" s="860"/>
      <c r="S69" s="860"/>
      <c r="T69" s="360"/>
      <c r="U69" s="360"/>
    </row>
    <row r="70" spans="3:21" ht="12.75" customHeight="1">
      <c r="C70" s="359"/>
      <c r="D70" s="859"/>
      <c r="E70" s="859"/>
      <c r="F70" s="859"/>
      <c r="G70" s="859"/>
      <c r="H70" s="362"/>
      <c r="I70" s="359"/>
      <c r="J70" s="362"/>
      <c r="K70" s="362"/>
      <c r="L70" s="360"/>
      <c r="M70" s="360"/>
      <c r="N70" s="362"/>
      <c r="O70" s="362"/>
      <c r="P70" s="359"/>
      <c r="Q70" s="360"/>
      <c r="R70" s="361"/>
      <c r="S70" s="361"/>
      <c r="T70" s="361"/>
      <c r="U70" s="360"/>
    </row>
    <row r="71" spans="3:21" ht="12.75" customHeight="1">
      <c r="C71" s="359"/>
      <c r="D71" s="360"/>
      <c r="E71" s="360"/>
      <c r="F71" s="360"/>
      <c r="G71" s="360"/>
      <c r="H71" s="362"/>
      <c r="I71" s="360"/>
      <c r="J71" s="362"/>
      <c r="K71" s="362"/>
      <c r="L71" s="360"/>
      <c r="M71" s="360"/>
      <c r="N71" s="362"/>
      <c r="O71" s="362"/>
      <c r="P71" s="359"/>
      <c r="Q71" s="359"/>
      <c r="R71" s="859"/>
      <c r="S71" s="859"/>
      <c r="T71" s="369"/>
      <c r="U71" s="360"/>
    </row>
    <row r="72" spans="3:21" ht="12.75" customHeight="1">
      <c r="C72" s="359"/>
      <c r="D72" s="360"/>
      <c r="E72" s="360"/>
      <c r="F72" s="360"/>
      <c r="G72" s="360"/>
      <c r="H72" s="362"/>
      <c r="I72" s="360"/>
      <c r="J72" s="360"/>
      <c r="K72" s="360"/>
      <c r="L72" s="360"/>
      <c r="M72" s="360"/>
      <c r="N72" s="362"/>
      <c r="O72" s="362"/>
      <c r="P72" s="359"/>
      <c r="Q72" s="366"/>
      <c r="R72" s="859"/>
      <c r="S72" s="859"/>
      <c r="T72" s="369"/>
      <c r="U72" s="360"/>
    </row>
    <row r="73" spans="3:21">
      <c r="C73" s="359"/>
      <c r="D73" s="859"/>
      <c r="E73" s="859"/>
      <c r="F73" s="859"/>
      <c r="G73" s="859"/>
      <c r="H73" s="362"/>
      <c r="I73" s="360"/>
      <c r="J73" s="360"/>
      <c r="K73" s="360"/>
      <c r="L73" s="360"/>
      <c r="M73" s="360"/>
      <c r="N73" s="360"/>
      <c r="O73" s="360"/>
      <c r="P73" s="359"/>
      <c r="Q73" s="360"/>
      <c r="R73" s="371"/>
      <c r="S73" s="361"/>
      <c r="T73" s="360"/>
      <c r="U73" s="360"/>
    </row>
    <row r="74" spans="3:21">
      <c r="C74" s="359"/>
      <c r="D74" s="859"/>
      <c r="E74" s="859"/>
      <c r="F74" s="859"/>
      <c r="G74" s="859"/>
      <c r="H74" s="362"/>
      <c r="I74" s="360"/>
      <c r="J74" s="360"/>
      <c r="K74" s="360"/>
      <c r="L74" s="360"/>
      <c r="M74" s="360"/>
      <c r="N74" s="360"/>
      <c r="O74" s="360"/>
      <c r="P74" s="359"/>
      <c r="Q74" s="360"/>
      <c r="R74" s="361"/>
      <c r="S74" s="361"/>
      <c r="T74" s="361"/>
      <c r="U74" s="360"/>
    </row>
    <row r="75" spans="3:21">
      <c r="C75" s="359"/>
      <c r="D75" s="370"/>
      <c r="E75" s="362"/>
      <c r="F75" s="362"/>
      <c r="G75" s="362"/>
      <c r="H75" s="362"/>
      <c r="I75" s="360"/>
      <c r="J75" s="360"/>
      <c r="K75" s="360"/>
      <c r="L75" s="360"/>
      <c r="M75" s="360"/>
      <c r="N75" s="362"/>
      <c r="O75" s="362"/>
      <c r="P75" s="359"/>
      <c r="Q75" s="359"/>
      <c r="R75" s="362"/>
      <c r="S75" s="362"/>
      <c r="T75" s="369"/>
      <c r="U75" s="360"/>
    </row>
    <row r="76" spans="3:21">
      <c r="C76" s="359"/>
      <c r="D76" s="360"/>
      <c r="E76" s="360"/>
      <c r="F76" s="368"/>
      <c r="G76" s="360"/>
      <c r="H76" s="360"/>
      <c r="I76" s="360"/>
      <c r="J76" s="360"/>
      <c r="K76" s="360"/>
      <c r="L76" s="360"/>
      <c r="M76" s="360"/>
      <c r="N76" s="859"/>
      <c r="O76" s="859"/>
      <c r="P76" s="359"/>
      <c r="Q76" s="366"/>
      <c r="R76" s="362"/>
      <c r="S76" s="362"/>
      <c r="T76" s="369"/>
      <c r="U76" s="360"/>
    </row>
    <row r="77" spans="3:21" ht="11.25" customHeight="1">
      <c r="C77" s="359"/>
      <c r="D77" s="360"/>
      <c r="E77" s="360"/>
      <c r="F77" s="366"/>
      <c r="G77" s="360"/>
      <c r="H77" s="360"/>
      <c r="I77" s="360"/>
      <c r="J77" s="360"/>
      <c r="K77" s="360"/>
      <c r="L77" s="366"/>
      <c r="M77" s="360"/>
      <c r="N77" s="859"/>
      <c r="O77" s="859"/>
      <c r="P77" s="359"/>
      <c r="Q77" s="360"/>
      <c r="R77" s="360"/>
      <c r="S77" s="360"/>
      <c r="T77" s="360"/>
      <c r="U77" s="360"/>
    </row>
    <row r="78" spans="3:21">
      <c r="D78" s="386"/>
      <c r="E78" s="360"/>
      <c r="F78" s="366"/>
      <c r="G78" s="360"/>
      <c r="H78" s="360"/>
      <c r="I78" s="360"/>
      <c r="J78" s="366"/>
      <c r="K78" s="360"/>
      <c r="L78" s="366"/>
      <c r="M78" s="366"/>
      <c r="N78" s="360"/>
      <c r="O78" s="360"/>
      <c r="P78" s="359"/>
      <c r="Q78" s="360"/>
      <c r="R78" s="361"/>
      <c r="S78" s="361"/>
      <c r="T78" s="361"/>
      <c r="U78" s="360"/>
    </row>
    <row r="79" spans="3:21">
      <c r="D79" s="360"/>
      <c r="E79" s="360"/>
      <c r="F79" s="360"/>
      <c r="G79" s="360"/>
      <c r="H79" s="360"/>
      <c r="I79" s="360"/>
      <c r="J79" s="366"/>
      <c r="K79" s="360"/>
      <c r="L79" s="360"/>
      <c r="M79" s="360"/>
      <c r="N79" s="360"/>
      <c r="O79" s="360"/>
      <c r="P79" s="359"/>
      <c r="Q79" s="360"/>
      <c r="R79" s="369"/>
      <c r="S79" s="369"/>
      <c r="T79" s="369"/>
      <c r="U79" s="360"/>
    </row>
    <row r="80" spans="3:21">
      <c r="D80" s="386"/>
      <c r="E80" s="360"/>
      <c r="F80" s="360"/>
      <c r="G80" s="360"/>
      <c r="H80" s="360"/>
      <c r="I80" s="360"/>
      <c r="J80" s="366"/>
      <c r="K80" s="360"/>
      <c r="L80" s="360"/>
      <c r="M80" s="360"/>
      <c r="N80" s="360"/>
      <c r="O80" s="360"/>
      <c r="P80" s="359"/>
      <c r="Q80" s="360"/>
      <c r="R80" s="369"/>
      <c r="S80" s="369"/>
      <c r="T80" s="369"/>
      <c r="U80" s="360"/>
    </row>
    <row r="81" spans="4:19">
      <c r="D81" s="360"/>
      <c r="E81" s="360"/>
      <c r="F81" s="360"/>
      <c r="G81" s="360"/>
      <c r="H81" s="360"/>
      <c r="I81" s="360"/>
      <c r="J81" s="360"/>
      <c r="K81" s="360"/>
      <c r="L81" s="360"/>
      <c r="M81" s="360"/>
      <c r="N81" s="360"/>
      <c r="O81" s="360"/>
      <c r="P81" s="359"/>
      <c r="Q81" s="360"/>
      <c r="R81" s="360"/>
      <c r="S81" s="360"/>
    </row>
    <row r="82" spans="4:19"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359"/>
      <c r="Q82" s="360"/>
      <c r="R82" s="360"/>
      <c r="S82" s="360"/>
    </row>
    <row r="83" spans="4:19">
      <c r="D83" s="360"/>
      <c r="E83" s="360"/>
      <c r="F83" s="360"/>
      <c r="G83" s="360"/>
      <c r="H83" s="360"/>
      <c r="I83" s="360"/>
      <c r="J83" s="360"/>
      <c r="K83" s="360"/>
      <c r="L83" s="360"/>
      <c r="M83" s="360"/>
      <c r="N83" s="360"/>
      <c r="O83" s="360"/>
      <c r="P83" s="359"/>
      <c r="Q83" s="360"/>
      <c r="R83" s="360"/>
      <c r="S83" s="360"/>
    </row>
    <row r="84" spans="4:19">
      <c r="D84" s="360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359"/>
      <c r="Q84" s="360"/>
      <c r="R84" s="360"/>
      <c r="S84" s="360"/>
    </row>
    <row r="85" spans="4:19">
      <c r="D85" s="360"/>
      <c r="E85" s="360"/>
      <c r="F85" s="360"/>
      <c r="G85" s="360"/>
      <c r="H85" s="360"/>
      <c r="I85" s="360"/>
      <c r="J85" s="360"/>
      <c r="K85" s="360"/>
      <c r="L85" s="360"/>
      <c r="M85" s="360"/>
      <c r="N85" s="360"/>
      <c r="O85" s="360"/>
      <c r="P85" s="359"/>
      <c r="Q85" s="360"/>
      <c r="R85" s="360"/>
      <c r="S85" s="360"/>
    </row>
    <row r="86" spans="4:19">
      <c r="D86" s="360"/>
      <c r="E86" s="360"/>
      <c r="F86" s="360"/>
      <c r="G86" s="360"/>
      <c r="H86" s="360"/>
      <c r="I86" s="360"/>
      <c r="J86" s="360"/>
      <c r="K86" s="360"/>
      <c r="L86" s="360"/>
      <c r="M86" s="360"/>
      <c r="N86" s="360"/>
      <c r="O86" s="360"/>
      <c r="P86" s="359"/>
      <c r="Q86" s="360"/>
      <c r="R86" s="360"/>
      <c r="S86" s="360"/>
    </row>
    <row r="87" spans="4:19">
      <c r="D87" s="360"/>
      <c r="E87" s="360"/>
      <c r="F87" s="360"/>
      <c r="G87" s="360"/>
      <c r="H87" s="360"/>
      <c r="I87" s="360"/>
      <c r="J87" s="360"/>
      <c r="K87" s="360"/>
      <c r="L87" s="360"/>
      <c r="M87" s="360"/>
      <c r="N87" s="360"/>
      <c r="O87" s="360"/>
      <c r="P87" s="359"/>
      <c r="Q87" s="360"/>
      <c r="R87" s="360"/>
      <c r="S87" s="360"/>
    </row>
    <row r="88" spans="4:19"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59"/>
      <c r="Q88" s="360"/>
      <c r="R88" s="360"/>
      <c r="S88" s="360"/>
    </row>
    <row r="89" spans="4:19">
      <c r="D89" s="360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359"/>
      <c r="Q89" s="360"/>
      <c r="R89" s="360"/>
      <c r="S89" s="360"/>
    </row>
    <row r="90" spans="4:19">
      <c r="D90" s="360"/>
      <c r="E90" s="360"/>
      <c r="F90" s="360"/>
      <c r="G90" s="360"/>
      <c r="H90" s="360"/>
      <c r="I90" s="360"/>
      <c r="J90" s="360"/>
      <c r="K90" s="360"/>
      <c r="L90" s="360"/>
      <c r="M90" s="360"/>
      <c r="N90" s="360"/>
      <c r="O90" s="360"/>
      <c r="P90" s="359"/>
      <c r="Q90" s="360"/>
      <c r="R90" s="360"/>
      <c r="S90" s="360"/>
    </row>
    <row r="91" spans="4:19">
      <c r="D91" s="360"/>
      <c r="E91" s="360"/>
      <c r="F91" s="360"/>
      <c r="G91" s="360"/>
      <c r="H91" s="360"/>
      <c r="I91" s="360"/>
      <c r="J91" s="360"/>
      <c r="K91" s="360"/>
      <c r="L91" s="360"/>
      <c r="M91" s="360"/>
      <c r="N91" s="360"/>
      <c r="O91" s="360"/>
      <c r="P91" s="359"/>
      <c r="Q91" s="360"/>
      <c r="R91" s="360"/>
      <c r="S91" s="360"/>
    </row>
    <row r="92" spans="4:19">
      <c r="D92" s="360"/>
      <c r="E92" s="360"/>
      <c r="F92" s="360"/>
      <c r="G92" s="360"/>
      <c r="H92" s="360"/>
      <c r="I92" s="360"/>
      <c r="J92" s="360"/>
      <c r="K92" s="360"/>
      <c r="L92" s="360"/>
      <c r="M92" s="360"/>
      <c r="N92" s="360"/>
      <c r="O92" s="360"/>
      <c r="P92" s="359"/>
      <c r="Q92" s="360"/>
      <c r="R92" s="360"/>
      <c r="S92" s="360"/>
    </row>
    <row r="93" spans="4:19">
      <c r="D93" s="360"/>
      <c r="E93" s="360"/>
      <c r="F93" s="360"/>
      <c r="G93" s="360"/>
      <c r="H93" s="360"/>
      <c r="I93" s="360"/>
      <c r="J93" s="360"/>
      <c r="K93" s="360"/>
      <c r="L93" s="360"/>
      <c r="M93" s="360"/>
      <c r="N93" s="360"/>
      <c r="O93" s="360"/>
      <c r="P93" s="359"/>
      <c r="Q93" s="360"/>
      <c r="R93" s="360"/>
      <c r="S93" s="360"/>
    </row>
    <row r="94" spans="4:19">
      <c r="D94" s="360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359"/>
      <c r="Q94" s="360"/>
      <c r="R94" s="360"/>
      <c r="S94" s="360"/>
    </row>
    <row r="95" spans="4:19">
      <c r="D95" s="360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359"/>
      <c r="Q95" s="360"/>
      <c r="R95" s="360"/>
      <c r="S95" s="360"/>
    </row>
    <row r="96" spans="4:19">
      <c r="D96" s="360"/>
      <c r="E96" s="360"/>
      <c r="F96" s="360"/>
      <c r="G96" s="360"/>
      <c r="H96" s="360"/>
      <c r="I96" s="360"/>
      <c r="J96" s="360"/>
      <c r="K96" s="360"/>
      <c r="L96" s="360"/>
      <c r="M96" s="360"/>
      <c r="N96" s="360"/>
      <c r="O96" s="360"/>
      <c r="P96" s="359"/>
      <c r="Q96" s="360"/>
      <c r="R96" s="360"/>
      <c r="S96" s="360"/>
    </row>
    <row r="97" spans="4:19">
      <c r="D97" s="360"/>
      <c r="E97" s="360"/>
      <c r="F97" s="360"/>
      <c r="G97" s="360"/>
      <c r="H97" s="360"/>
      <c r="I97" s="360"/>
      <c r="J97" s="360"/>
      <c r="K97" s="360"/>
      <c r="L97" s="360"/>
      <c r="M97" s="360"/>
      <c r="N97" s="360"/>
      <c r="O97" s="360"/>
      <c r="P97" s="359"/>
      <c r="Q97" s="360"/>
      <c r="R97" s="360"/>
      <c r="S97" s="360"/>
    </row>
    <row r="98" spans="4:19">
      <c r="D98" s="360"/>
      <c r="E98" s="360"/>
      <c r="F98" s="360"/>
      <c r="G98" s="360"/>
      <c r="H98" s="360"/>
      <c r="I98" s="360"/>
      <c r="J98" s="360"/>
      <c r="K98" s="360"/>
      <c r="L98" s="360"/>
      <c r="M98" s="360"/>
      <c r="N98" s="360"/>
      <c r="O98" s="360"/>
      <c r="P98" s="359"/>
      <c r="Q98" s="360"/>
      <c r="R98" s="360"/>
      <c r="S98" s="360"/>
    </row>
    <row r="99" spans="4:19"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59"/>
      <c r="Q99" s="360"/>
      <c r="R99" s="360"/>
      <c r="S99" s="360"/>
    </row>
    <row r="100" spans="4:19"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59"/>
      <c r="Q100" s="360"/>
      <c r="R100" s="360"/>
      <c r="S100" s="360"/>
    </row>
    <row r="101" spans="4:19">
      <c r="D101" s="360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359"/>
      <c r="Q101" s="360"/>
      <c r="R101" s="360"/>
      <c r="S101" s="360"/>
    </row>
    <row r="102" spans="4:19">
      <c r="D102" s="360"/>
      <c r="E102" s="360"/>
      <c r="F102" s="360"/>
      <c r="G102" s="360"/>
      <c r="H102" s="360"/>
      <c r="I102" s="360"/>
      <c r="J102" s="360"/>
      <c r="K102" s="360"/>
      <c r="L102" s="360"/>
      <c r="M102" s="360"/>
      <c r="N102" s="360"/>
      <c r="O102" s="360"/>
      <c r="P102" s="359"/>
      <c r="Q102" s="360"/>
      <c r="R102" s="360"/>
      <c r="S102" s="360"/>
    </row>
    <row r="103" spans="4:19">
      <c r="D103" s="360"/>
      <c r="E103" s="360"/>
      <c r="F103" s="360"/>
      <c r="G103" s="360"/>
      <c r="H103" s="360"/>
      <c r="I103" s="360"/>
      <c r="J103" s="360"/>
      <c r="K103" s="360"/>
      <c r="L103" s="360"/>
      <c r="M103" s="360"/>
      <c r="N103" s="360"/>
      <c r="O103" s="360"/>
      <c r="P103" s="359"/>
      <c r="Q103" s="360"/>
      <c r="R103" s="360"/>
      <c r="S103" s="360"/>
    </row>
    <row r="104" spans="4:19">
      <c r="D104" s="360"/>
      <c r="E104" s="360"/>
      <c r="F104" s="360"/>
      <c r="G104" s="360"/>
      <c r="H104" s="360"/>
      <c r="I104" s="360"/>
      <c r="J104" s="360"/>
      <c r="K104" s="360"/>
      <c r="L104" s="360"/>
      <c r="M104" s="360"/>
      <c r="N104" s="360"/>
      <c r="O104" s="360"/>
      <c r="P104" s="359"/>
      <c r="Q104" s="360"/>
      <c r="R104" s="360"/>
      <c r="S104" s="360"/>
    </row>
    <row r="105" spans="4:19">
      <c r="D105" s="360"/>
      <c r="E105" s="360"/>
      <c r="F105" s="360"/>
      <c r="G105" s="360"/>
      <c r="H105" s="360"/>
      <c r="I105" s="360"/>
      <c r="J105" s="360"/>
      <c r="K105" s="360"/>
      <c r="L105" s="360"/>
      <c r="M105" s="360"/>
      <c r="N105" s="360"/>
      <c r="O105" s="360"/>
      <c r="P105" s="359"/>
      <c r="Q105" s="360"/>
      <c r="R105" s="360"/>
      <c r="S105" s="360"/>
    </row>
    <row r="106" spans="4:19">
      <c r="D106" s="360"/>
      <c r="E106" s="360"/>
      <c r="F106" s="360"/>
      <c r="G106" s="360"/>
      <c r="H106" s="360"/>
      <c r="I106" s="360"/>
      <c r="J106" s="360"/>
      <c r="K106" s="360"/>
      <c r="L106" s="360"/>
      <c r="M106" s="360"/>
      <c r="N106" s="360"/>
      <c r="O106" s="360"/>
      <c r="P106" s="359"/>
      <c r="Q106" s="360"/>
      <c r="R106" s="360"/>
      <c r="S106" s="360"/>
    </row>
    <row r="107" spans="4:19">
      <c r="D107" s="360"/>
      <c r="E107" s="360"/>
      <c r="F107" s="360"/>
      <c r="G107" s="360"/>
      <c r="H107" s="360"/>
      <c r="I107" s="360"/>
      <c r="J107" s="360"/>
      <c r="K107" s="360"/>
      <c r="L107" s="360"/>
      <c r="M107" s="360"/>
      <c r="N107" s="360"/>
      <c r="O107" s="360"/>
      <c r="P107" s="359"/>
      <c r="Q107" s="360"/>
      <c r="R107" s="360"/>
      <c r="S107" s="360"/>
    </row>
    <row r="108" spans="4:19"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59"/>
      <c r="Q108" s="360"/>
      <c r="R108" s="360"/>
      <c r="S108" s="360"/>
    </row>
    <row r="109" spans="4:19">
      <c r="D109" s="360"/>
      <c r="E109" s="360"/>
      <c r="F109" s="360"/>
      <c r="G109" s="360"/>
      <c r="H109" s="360"/>
      <c r="I109" s="360"/>
      <c r="J109" s="360"/>
      <c r="K109" s="360"/>
      <c r="L109" s="360"/>
      <c r="M109" s="360"/>
      <c r="N109" s="360"/>
      <c r="O109" s="360"/>
      <c r="P109" s="359"/>
      <c r="Q109" s="360"/>
      <c r="R109" s="360"/>
      <c r="S109" s="360"/>
    </row>
    <row r="110" spans="4:19">
      <c r="D110" s="360"/>
      <c r="E110" s="360"/>
      <c r="F110" s="360"/>
      <c r="G110" s="360"/>
      <c r="H110" s="360"/>
      <c r="I110" s="360"/>
      <c r="J110" s="360"/>
      <c r="K110" s="360"/>
      <c r="L110" s="360"/>
      <c r="M110" s="360"/>
      <c r="N110" s="360"/>
      <c r="O110" s="360"/>
      <c r="P110" s="359"/>
      <c r="Q110" s="360"/>
      <c r="R110" s="360"/>
      <c r="S110" s="360"/>
    </row>
    <row r="111" spans="4:19">
      <c r="D111" s="360"/>
      <c r="E111" s="360"/>
      <c r="F111" s="360"/>
      <c r="G111" s="360"/>
      <c r="H111" s="360"/>
      <c r="I111" s="360"/>
      <c r="J111" s="360"/>
      <c r="K111" s="360"/>
      <c r="L111" s="360"/>
      <c r="M111" s="360"/>
      <c r="N111" s="360"/>
      <c r="O111" s="360"/>
      <c r="P111" s="359"/>
      <c r="Q111" s="360"/>
      <c r="R111" s="360"/>
      <c r="S111" s="360"/>
    </row>
    <row r="112" spans="4:19">
      <c r="D112" s="360"/>
      <c r="E112" s="360"/>
      <c r="F112" s="360"/>
      <c r="G112" s="360"/>
      <c r="H112" s="360"/>
      <c r="I112" s="360"/>
      <c r="J112" s="360"/>
      <c r="K112" s="360"/>
      <c r="L112" s="360"/>
      <c r="M112" s="360"/>
      <c r="N112" s="360"/>
      <c r="O112" s="360"/>
      <c r="P112" s="359"/>
      <c r="Q112" s="360"/>
      <c r="R112" s="360"/>
      <c r="S112" s="360"/>
    </row>
    <row r="113" spans="4:19">
      <c r="D113" s="360"/>
      <c r="E113" s="360"/>
      <c r="F113" s="360"/>
      <c r="G113" s="360"/>
      <c r="H113" s="360"/>
      <c r="I113" s="360"/>
      <c r="J113" s="360"/>
      <c r="K113" s="360"/>
      <c r="L113" s="360"/>
      <c r="M113" s="360"/>
      <c r="N113" s="360"/>
      <c r="O113" s="360"/>
      <c r="P113" s="359"/>
      <c r="Q113" s="360"/>
      <c r="R113" s="360"/>
      <c r="S113" s="360"/>
    </row>
    <row r="114" spans="4:19">
      <c r="D114" s="360"/>
      <c r="E114" s="360"/>
      <c r="F114" s="360"/>
      <c r="G114" s="360"/>
      <c r="H114" s="360"/>
      <c r="I114" s="360"/>
      <c r="J114" s="360"/>
      <c r="K114" s="360"/>
      <c r="L114" s="360"/>
      <c r="M114" s="360"/>
      <c r="N114" s="360"/>
      <c r="O114" s="360"/>
      <c r="P114" s="359"/>
      <c r="Q114" s="360"/>
      <c r="R114" s="360"/>
      <c r="S114" s="360"/>
    </row>
    <row r="115" spans="4:19">
      <c r="D115" s="360"/>
      <c r="E115" s="360"/>
      <c r="F115" s="360"/>
      <c r="G115" s="360"/>
      <c r="H115" s="360"/>
      <c r="I115" s="360"/>
      <c r="J115" s="360"/>
      <c r="K115" s="360"/>
      <c r="L115" s="360"/>
      <c r="M115" s="360"/>
      <c r="N115" s="360"/>
      <c r="O115" s="360"/>
      <c r="P115" s="359"/>
      <c r="Q115" s="360"/>
      <c r="R115" s="360"/>
      <c r="S115" s="360"/>
    </row>
    <row r="116" spans="4:19">
      <c r="D116" s="360"/>
      <c r="E116" s="360"/>
      <c r="F116" s="360"/>
      <c r="G116" s="360"/>
      <c r="H116" s="360"/>
      <c r="I116" s="360"/>
      <c r="J116" s="360"/>
      <c r="K116" s="360"/>
      <c r="L116" s="360"/>
      <c r="M116" s="360"/>
      <c r="N116" s="360"/>
      <c r="O116" s="360"/>
      <c r="P116" s="359"/>
      <c r="Q116" s="360"/>
      <c r="R116" s="360"/>
      <c r="S116" s="360"/>
    </row>
    <row r="117" spans="4:19">
      <c r="D117" s="360"/>
      <c r="E117" s="360"/>
      <c r="F117" s="360"/>
      <c r="G117" s="360"/>
      <c r="H117" s="360"/>
      <c r="I117" s="360"/>
      <c r="J117" s="360"/>
      <c r="K117" s="360"/>
      <c r="L117" s="360"/>
      <c r="M117" s="360"/>
      <c r="N117" s="360"/>
      <c r="O117" s="360"/>
      <c r="P117" s="359"/>
      <c r="Q117" s="360"/>
      <c r="R117" s="360"/>
      <c r="S117" s="360"/>
    </row>
    <row r="118" spans="4:19">
      <c r="D118" s="360"/>
      <c r="E118" s="360"/>
      <c r="F118" s="360"/>
      <c r="G118" s="360"/>
      <c r="H118" s="360"/>
      <c r="I118" s="360"/>
      <c r="J118" s="360"/>
      <c r="K118" s="360"/>
      <c r="L118" s="360"/>
      <c r="M118" s="360"/>
      <c r="N118" s="360"/>
      <c r="O118" s="360"/>
      <c r="P118" s="359"/>
      <c r="Q118" s="360"/>
      <c r="R118" s="360"/>
      <c r="S118" s="360"/>
    </row>
    <row r="119" spans="4:19">
      <c r="D119" s="360"/>
      <c r="E119" s="360"/>
      <c r="F119" s="360"/>
      <c r="G119" s="360"/>
      <c r="H119" s="360"/>
      <c r="I119" s="360"/>
      <c r="J119" s="360"/>
      <c r="K119" s="360"/>
      <c r="L119" s="360"/>
      <c r="M119" s="360"/>
      <c r="N119" s="360"/>
      <c r="O119" s="360"/>
      <c r="P119" s="359"/>
      <c r="Q119" s="360"/>
      <c r="R119" s="360"/>
      <c r="S119" s="360"/>
    </row>
    <row r="120" spans="4:19">
      <c r="D120" s="360"/>
      <c r="E120" s="360"/>
      <c r="F120" s="360"/>
      <c r="G120" s="360"/>
      <c r="H120" s="360"/>
      <c r="I120" s="360"/>
      <c r="J120" s="360"/>
      <c r="K120" s="360"/>
      <c r="L120" s="360"/>
      <c r="M120" s="360"/>
      <c r="N120" s="360"/>
      <c r="O120" s="360"/>
      <c r="P120" s="359"/>
      <c r="Q120" s="360"/>
      <c r="R120" s="360"/>
      <c r="S120" s="360"/>
    </row>
    <row r="121" spans="4:19">
      <c r="D121" s="360"/>
      <c r="E121" s="360"/>
      <c r="F121" s="360"/>
      <c r="G121" s="360"/>
      <c r="H121" s="360"/>
      <c r="I121" s="360"/>
      <c r="J121" s="360"/>
      <c r="K121" s="360"/>
      <c r="L121" s="360"/>
      <c r="M121" s="360"/>
      <c r="N121" s="360"/>
      <c r="O121" s="360"/>
      <c r="P121" s="359"/>
      <c r="Q121" s="360"/>
      <c r="R121" s="360"/>
      <c r="S121" s="360"/>
    </row>
    <row r="122" spans="4:19">
      <c r="D122" s="360"/>
      <c r="E122" s="360"/>
      <c r="F122" s="360"/>
      <c r="G122" s="360"/>
      <c r="H122" s="360"/>
      <c r="I122" s="360"/>
      <c r="J122" s="360"/>
      <c r="K122" s="360"/>
      <c r="L122" s="360"/>
      <c r="M122" s="360"/>
      <c r="N122" s="360"/>
      <c r="O122" s="360"/>
      <c r="P122" s="359"/>
      <c r="Q122" s="360"/>
      <c r="R122" s="360"/>
      <c r="S122" s="360"/>
    </row>
    <row r="123" spans="4:19">
      <c r="D123" s="360"/>
      <c r="E123" s="360"/>
      <c r="F123" s="360"/>
      <c r="G123" s="360"/>
      <c r="H123" s="360"/>
      <c r="I123" s="360"/>
      <c r="J123" s="360"/>
      <c r="K123" s="360"/>
      <c r="L123" s="360"/>
      <c r="M123" s="360"/>
      <c r="N123" s="360"/>
      <c r="O123" s="360"/>
      <c r="P123" s="359"/>
      <c r="Q123" s="360"/>
      <c r="R123" s="360"/>
      <c r="S123" s="360"/>
    </row>
    <row r="124" spans="4:19">
      <c r="D124" s="360"/>
      <c r="E124" s="360"/>
      <c r="F124" s="360"/>
      <c r="G124" s="360"/>
      <c r="H124" s="360"/>
      <c r="I124" s="360"/>
      <c r="J124" s="360"/>
      <c r="K124" s="360"/>
      <c r="L124" s="360"/>
      <c r="M124" s="360"/>
      <c r="N124" s="360"/>
      <c r="O124" s="360"/>
      <c r="P124" s="359"/>
      <c r="Q124" s="360"/>
      <c r="R124" s="360"/>
      <c r="S124" s="360"/>
    </row>
    <row r="125" spans="4:19">
      <c r="D125" s="360"/>
      <c r="E125" s="360"/>
      <c r="F125" s="360"/>
      <c r="G125" s="360"/>
      <c r="H125" s="360"/>
      <c r="I125" s="360"/>
      <c r="J125" s="360"/>
      <c r="K125" s="360"/>
      <c r="L125" s="360"/>
      <c r="M125" s="360"/>
      <c r="N125" s="360"/>
      <c r="O125" s="360"/>
      <c r="P125" s="359"/>
      <c r="Q125" s="360"/>
      <c r="R125" s="360"/>
      <c r="S125" s="360"/>
    </row>
    <row r="126" spans="4:19">
      <c r="D126" s="360"/>
      <c r="E126" s="360"/>
      <c r="F126" s="360"/>
      <c r="G126" s="360"/>
      <c r="H126" s="360"/>
      <c r="I126" s="360"/>
      <c r="J126" s="360"/>
      <c r="K126" s="360"/>
      <c r="L126" s="360"/>
      <c r="M126" s="360"/>
      <c r="N126" s="360"/>
      <c r="O126" s="360"/>
      <c r="P126" s="359"/>
      <c r="Q126" s="360"/>
      <c r="R126" s="360"/>
      <c r="S126" s="360"/>
    </row>
    <row r="127" spans="4:19">
      <c r="D127" s="360"/>
      <c r="E127" s="360"/>
      <c r="F127" s="360"/>
      <c r="G127" s="360"/>
      <c r="H127" s="360"/>
      <c r="I127" s="360"/>
      <c r="J127" s="360"/>
      <c r="K127" s="360"/>
      <c r="L127" s="360"/>
      <c r="M127" s="360"/>
      <c r="N127" s="360"/>
      <c r="O127" s="360"/>
      <c r="P127" s="359"/>
      <c r="Q127" s="360"/>
      <c r="R127" s="360"/>
      <c r="S127" s="360"/>
    </row>
    <row r="128" spans="4:19">
      <c r="D128" s="360"/>
      <c r="E128" s="360"/>
      <c r="F128" s="360"/>
      <c r="G128" s="360"/>
      <c r="H128" s="360"/>
      <c r="I128" s="360"/>
      <c r="J128" s="360"/>
      <c r="K128" s="360"/>
      <c r="L128" s="360"/>
      <c r="M128" s="360"/>
      <c r="N128" s="360"/>
      <c r="O128" s="360"/>
      <c r="P128" s="359"/>
      <c r="Q128" s="360"/>
      <c r="R128" s="360"/>
      <c r="S128" s="360"/>
    </row>
    <row r="129" spans="4:19">
      <c r="D129" s="360"/>
      <c r="E129" s="360"/>
      <c r="F129" s="360"/>
      <c r="G129" s="360"/>
      <c r="H129" s="360"/>
      <c r="I129" s="360"/>
      <c r="J129" s="360"/>
      <c r="K129" s="360"/>
      <c r="L129" s="360"/>
      <c r="M129" s="360"/>
      <c r="N129" s="360"/>
      <c r="O129" s="360"/>
      <c r="P129" s="359"/>
      <c r="Q129" s="360"/>
      <c r="R129" s="360"/>
      <c r="S129" s="360"/>
    </row>
    <row r="130" spans="4:19">
      <c r="D130" s="360"/>
      <c r="E130" s="360"/>
      <c r="F130" s="360"/>
      <c r="G130" s="360"/>
      <c r="H130" s="360"/>
      <c r="I130" s="360"/>
      <c r="J130" s="360"/>
      <c r="K130" s="360"/>
      <c r="L130" s="360"/>
      <c r="M130" s="360"/>
      <c r="N130" s="360"/>
      <c r="O130" s="360"/>
      <c r="P130" s="359"/>
      <c r="Q130" s="360"/>
      <c r="R130" s="360"/>
      <c r="S130" s="360"/>
    </row>
    <row r="131" spans="4:19">
      <c r="D131" s="360"/>
      <c r="E131" s="360"/>
      <c r="F131" s="360"/>
      <c r="G131" s="360"/>
      <c r="H131" s="360"/>
      <c r="I131" s="360"/>
      <c r="J131" s="360"/>
      <c r="K131" s="360"/>
      <c r="L131" s="360"/>
      <c r="M131" s="360"/>
      <c r="N131" s="360"/>
      <c r="O131" s="360"/>
      <c r="P131" s="359"/>
      <c r="Q131" s="360"/>
      <c r="R131" s="360"/>
      <c r="S131" s="360"/>
    </row>
    <row r="132" spans="4:19">
      <c r="D132" s="360"/>
      <c r="E132" s="360"/>
      <c r="F132" s="360"/>
      <c r="G132" s="360"/>
      <c r="H132" s="360"/>
      <c r="I132" s="360"/>
      <c r="J132" s="360"/>
      <c r="K132" s="360"/>
      <c r="L132" s="360"/>
      <c r="M132" s="360"/>
      <c r="N132" s="360"/>
      <c r="O132" s="360"/>
      <c r="P132" s="359"/>
      <c r="Q132" s="360"/>
      <c r="R132" s="360"/>
      <c r="S132" s="360"/>
    </row>
    <row r="133" spans="4:19">
      <c r="D133" s="360"/>
      <c r="E133" s="360"/>
      <c r="F133" s="360"/>
      <c r="G133" s="360"/>
      <c r="H133" s="360"/>
      <c r="I133" s="360"/>
      <c r="J133" s="360"/>
      <c r="K133" s="360"/>
      <c r="L133" s="360"/>
      <c r="M133" s="360"/>
      <c r="N133" s="360"/>
      <c r="O133" s="360"/>
      <c r="P133" s="359"/>
      <c r="Q133" s="360"/>
      <c r="R133" s="360"/>
      <c r="S133" s="360"/>
    </row>
    <row r="134" spans="4:19">
      <c r="D134" s="360"/>
      <c r="E134" s="360"/>
      <c r="F134" s="360"/>
      <c r="G134" s="360"/>
      <c r="H134" s="360"/>
      <c r="I134" s="360"/>
      <c r="J134" s="360"/>
      <c r="K134" s="360"/>
      <c r="L134" s="360"/>
      <c r="M134" s="360"/>
      <c r="N134" s="360"/>
      <c r="O134" s="360"/>
      <c r="P134" s="359"/>
      <c r="Q134" s="360"/>
      <c r="R134" s="360"/>
      <c r="S134" s="360"/>
    </row>
    <row r="135" spans="4:19">
      <c r="D135" s="360"/>
      <c r="E135" s="360"/>
      <c r="F135" s="360"/>
      <c r="G135" s="360"/>
      <c r="H135" s="360"/>
      <c r="I135" s="360"/>
      <c r="J135" s="360"/>
      <c r="K135" s="360"/>
      <c r="L135" s="360"/>
      <c r="M135" s="360"/>
      <c r="N135" s="360"/>
      <c r="O135" s="360"/>
      <c r="P135" s="359"/>
      <c r="Q135" s="360"/>
      <c r="R135" s="360"/>
      <c r="S135" s="360"/>
    </row>
    <row r="136" spans="4:19">
      <c r="D136" s="360"/>
      <c r="E136" s="360"/>
      <c r="F136" s="360"/>
      <c r="G136" s="360"/>
      <c r="H136" s="360"/>
      <c r="I136" s="360"/>
      <c r="J136" s="360"/>
      <c r="K136" s="360"/>
      <c r="L136" s="360"/>
      <c r="M136" s="360"/>
      <c r="N136" s="360"/>
      <c r="O136" s="360"/>
      <c r="P136" s="359"/>
      <c r="Q136" s="360"/>
      <c r="R136" s="360"/>
      <c r="S136" s="360"/>
    </row>
    <row r="137" spans="4:19">
      <c r="D137" s="360"/>
      <c r="E137" s="360"/>
      <c r="F137" s="360"/>
      <c r="G137" s="360"/>
      <c r="H137" s="360"/>
      <c r="I137" s="360"/>
      <c r="J137" s="360"/>
      <c r="K137" s="360"/>
      <c r="L137" s="360"/>
      <c r="M137" s="360"/>
      <c r="N137" s="360"/>
      <c r="O137" s="360"/>
      <c r="P137" s="359"/>
      <c r="Q137" s="360"/>
      <c r="R137" s="360"/>
      <c r="S137" s="360"/>
    </row>
    <row r="138" spans="4:19">
      <c r="D138" s="360"/>
      <c r="E138" s="360"/>
      <c r="F138" s="360"/>
      <c r="G138" s="360"/>
      <c r="H138" s="360"/>
      <c r="I138" s="360"/>
      <c r="J138" s="360"/>
      <c r="K138" s="360"/>
      <c r="L138" s="360"/>
      <c r="M138" s="360"/>
      <c r="N138" s="360"/>
      <c r="O138" s="360"/>
      <c r="P138" s="359"/>
      <c r="Q138" s="360"/>
      <c r="R138" s="360"/>
      <c r="S138" s="360"/>
    </row>
    <row r="139" spans="4:19">
      <c r="D139" s="360"/>
      <c r="E139" s="360"/>
      <c r="F139" s="360"/>
      <c r="G139" s="360"/>
      <c r="H139" s="360"/>
      <c r="I139" s="360"/>
      <c r="J139" s="360"/>
      <c r="K139" s="360"/>
      <c r="L139" s="360"/>
      <c r="M139" s="360"/>
      <c r="N139" s="360"/>
      <c r="O139" s="360"/>
      <c r="P139" s="359"/>
      <c r="Q139" s="360"/>
      <c r="R139" s="360"/>
      <c r="S139" s="360"/>
    </row>
    <row r="140" spans="4:19">
      <c r="D140" s="360"/>
      <c r="E140" s="360"/>
      <c r="F140" s="360"/>
      <c r="G140" s="360"/>
      <c r="H140" s="360"/>
      <c r="I140" s="360"/>
      <c r="J140" s="360"/>
      <c r="K140" s="360"/>
      <c r="L140" s="360"/>
      <c r="M140" s="360"/>
      <c r="N140" s="360"/>
      <c r="O140" s="360"/>
      <c r="P140" s="359"/>
      <c r="Q140" s="360"/>
      <c r="R140" s="360"/>
      <c r="S140" s="360"/>
    </row>
    <row r="141" spans="4:19">
      <c r="D141" s="360"/>
      <c r="E141" s="360"/>
      <c r="F141" s="360"/>
      <c r="G141" s="360"/>
      <c r="H141" s="360"/>
      <c r="I141" s="360"/>
      <c r="J141" s="360"/>
      <c r="K141" s="360"/>
      <c r="L141" s="360"/>
      <c r="M141" s="360"/>
      <c r="N141" s="360"/>
      <c r="O141" s="360"/>
      <c r="P141" s="359"/>
      <c r="Q141" s="360"/>
      <c r="R141" s="360"/>
      <c r="S141" s="360"/>
    </row>
    <row r="142" spans="4:19">
      <c r="D142" s="360"/>
      <c r="E142" s="360"/>
      <c r="F142" s="360"/>
      <c r="G142" s="360"/>
      <c r="H142" s="360"/>
      <c r="I142" s="360"/>
      <c r="J142" s="360"/>
      <c r="K142" s="360"/>
      <c r="L142" s="360"/>
      <c r="M142" s="360"/>
      <c r="N142" s="360"/>
      <c r="O142" s="360"/>
      <c r="P142" s="359"/>
      <c r="Q142" s="360"/>
      <c r="R142" s="360"/>
      <c r="S142" s="360"/>
    </row>
    <row r="143" spans="4:19">
      <c r="D143" s="360"/>
      <c r="E143" s="360"/>
      <c r="F143" s="360"/>
      <c r="G143" s="360"/>
      <c r="H143" s="360"/>
      <c r="I143" s="360"/>
      <c r="J143" s="360"/>
      <c r="K143" s="360"/>
      <c r="L143" s="360"/>
      <c r="M143" s="360"/>
      <c r="N143" s="360"/>
      <c r="O143" s="360"/>
      <c r="P143" s="359"/>
      <c r="Q143" s="360"/>
      <c r="R143" s="360"/>
      <c r="S143" s="360"/>
    </row>
    <row r="144" spans="4:19">
      <c r="D144" s="360"/>
      <c r="E144" s="360"/>
      <c r="F144" s="360"/>
      <c r="G144" s="360"/>
      <c r="H144" s="360"/>
      <c r="I144" s="360"/>
      <c r="J144" s="360"/>
      <c r="K144" s="360"/>
      <c r="L144" s="360"/>
      <c r="M144" s="360"/>
      <c r="N144" s="360"/>
      <c r="O144" s="360"/>
      <c r="P144" s="359"/>
      <c r="Q144" s="360"/>
      <c r="R144" s="360"/>
      <c r="S144" s="360"/>
    </row>
    <row r="145" spans="4:19">
      <c r="D145" s="360"/>
      <c r="E145" s="360"/>
      <c r="F145" s="360"/>
      <c r="G145" s="360"/>
      <c r="H145" s="360"/>
      <c r="I145" s="360"/>
      <c r="J145" s="360"/>
      <c r="K145" s="360"/>
      <c r="L145" s="360"/>
      <c r="M145" s="360"/>
      <c r="N145" s="360"/>
      <c r="O145" s="360"/>
      <c r="P145" s="359"/>
      <c r="Q145" s="360"/>
      <c r="R145" s="360"/>
      <c r="S145" s="360"/>
    </row>
    <row r="146" spans="4:19">
      <c r="D146" s="360"/>
      <c r="E146" s="360"/>
      <c r="F146" s="360"/>
      <c r="G146" s="360"/>
      <c r="H146" s="360"/>
      <c r="I146" s="360"/>
      <c r="J146" s="360"/>
      <c r="K146" s="360"/>
      <c r="L146" s="360"/>
      <c r="M146" s="360"/>
      <c r="N146" s="360"/>
      <c r="O146" s="360"/>
      <c r="P146" s="359"/>
      <c r="Q146" s="360"/>
      <c r="R146" s="360"/>
      <c r="S146" s="360"/>
    </row>
    <row r="147" spans="4:19">
      <c r="D147" s="360"/>
      <c r="E147" s="360"/>
      <c r="F147" s="360"/>
      <c r="G147" s="360"/>
      <c r="H147" s="360"/>
      <c r="I147" s="360"/>
      <c r="J147" s="360"/>
      <c r="K147" s="360"/>
      <c r="L147" s="360"/>
      <c r="M147" s="360"/>
      <c r="N147" s="360"/>
      <c r="O147" s="360"/>
      <c r="P147" s="359"/>
      <c r="Q147" s="360"/>
      <c r="R147" s="360"/>
      <c r="S147" s="360"/>
    </row>
    <row r="148" spans="4:19">
      <c r="D148" s="360"/>
      <c r="E148" s="360"/>
      <c r="F148" s="360"/>
      <c r="G148" s="360"/>
      <c r="H148" s="360"/>
      <c r="I148" s="360"/>
      <c r="J148" s="360"/>
      <c r="K148" s="360"/>
      <c r="L148" s="360"/>
      <c r="M148" s="360"/>
      <c r="N148" s="360"/>
      <c r="O148" s="360"/>
      <c r="P148" s="359"/>
      <c r="Q148" s="360"/>
      <c r="R148" s="360"/>
      <c r="S148" s="360"/>
    </row>
    <row r="149" spans="4:19">
      <c r="D149" s="360"/>
      <c r="E149" s="360"/>
      <c r="F149" s="360"/>
      <c r="G149" s="360"/>
      <c r="H149" s="360"/>
      <c r="I149" s="360"/>
      <c r="J149" s="360"/>
      <c r="K149" s="360"/>
      <c r="L149" s="360"/>
      <c r="M149" s="360"/>
      <c r="N149" s="360"/>
      <c r="O149" s="360"/>
      <c r="P149" s="359"/>
      <c r="Q149" s="360"/>
      <c r="R149" s="360"/>
      <c r="S149" s="360"/>
    </row>
    <row r="150" spans="4:19">
      <c r="D150" s="360"/>
      <c r="E150" s="360"/>
      <c r="F150" s="360"/>
      <c r="G150" s="360"/>
      <c r="H150" s="360"/>
      <c r="I150" s="360"/>
      <c r="J150" s="360"/>
      <c r="K150" s="360"/>
      <c r="L150" s="360"/>
      <c r="M150" s="360"/>
      <c r="N150" s="360"/>
      <c r="O150" s="360"/>
      <c r="P150" s="359"/>
      <c r="Q150" s="360"/>
      <c r="R150" s="360"/>
      <c r="S150" s="360"/>
    </row>
    <row r="151" spans="4:19">
      <c r="D151" s="360"/>
      <c r="E151" s="360"/>
      <c r="F151" s="360"/>
      <c r="G151" s="360"/>
      <c r="H151" s="360"/>
      <c r="I151" s="360"/>
      <c r="J151" s="360"/>
      <c r="K151" s="360"/>
      <c r="L151" s="360"/>
      <c r="M151" s="360"/>
      <c r="N151" s="360"/>
      <c r="O151" s="360"/>
      <c r="P151" s="359"/>
      <c r="Q151" s="360"/>
      <c r="R151" s="360"/>
      <c r="S151" s="360"/>
    </row>
    <row r="152" spans="4:19">
      <c r="D152" s="360"/>
      <c r="E152" s="360"/>
      <c r="F152" s="360"/>
      <c r="G152" s="360"/>
      <c r="H152" s="360"/>
      <c r="I152" s="360"/>
      <c r="J152" s="360"/>
      <c r="K152" s="360"/>
      <c r="L152" s="360"/>
      <c r="M152" s="360"/>
      <c r="N152" s="360"/>
      <c r="O152" s="360"/>
      <c r="P152" s="359"/>
      <c r="Q152" s="360"/>
      <c r="R152" s="360"/>
      <c r="S152" s="360"/>
    </row>
    <row r="153" spans="4:19">
      <c r="D153" s="360"/>
      <c r="E153" s="360"/>
      <c r="F153" s="360"/>
      <c r="G153" s="360"/>
      <c r="H153" s="360"/>
      <c r="I153" s="360"/>
      <c r="J153" s="360"/>
      <c r="K153" s="360"/>
      <c r="L153" s="360"/>
      <c r="M153" s="360"/>
      <c r="N153" s="360"/>
      <c r="O153" s="360"/>
      <c r="P153" s="359"/>
      <c r="Q153" s="360"/>
      <c r="R153" s="360"/>
      <c r="S153" s="360"/>
    </row>
    <row r="154" spans="4:19">
      <c r="D154" s="360"/>
      <c r="E154" s="360"/>
      <c r="F154" s="360"/>
      <c r="G154" s="360"/>
      <c r="H154" s="360"/>
      <c r="I154" s="360"/>
      <c r="J154" s="360"/>
      <c r="K154" s="360"/>
      <c r="L154" s="360"/>
      <c r="M154" s="360"/>
      <c r="N154" s="360"/>
      <c r="O154" s="360"/>
      <c r="P154" s="359"/>
      <c r="Q154" s="360"/>
      <c r="R154" s="360"/>
      <c r="S154" s="360"/>
    </row>
    <row r="155" spans="4:19">
      <c r="D155" s="360"/>
      <c r="E155" s="360"/>
      <c r="F155" s="360"/>
      <c r="G155" s="360"/>
      <c r="H155" s="360"/>
      <c r="I155" s="360"/>
      <c r="J155" s="360"/>
      <c r="K155" s="360"/>
      <c r="L155" s="360"/>
      <c r="M155" s="360"/>
      <c r="N155" s="360"/>
      <c r="O155" s="360"/>
      <c r="P155" s="359"/>
      <c r="Q155" s="360"/>
      <c r="R155" s="360"/>
      <c r="S155" s="360"/>
    </row>
    <row r="156" spans="4:19">
      <c r="D156" s="360"/>
      <c r="E156" s="360"/>
      <c r="F156" s="360"/>
      <c r="G156" s="360"/>
      <c r="H156" s="360"/>
      <c r="I156" s="360"/>
      <c r="J156" s="360"/>
      <c r="K156" s="360"/>
      <c r="L156" s="360"/>
      <c r="M156" s="360"/>
      <c r="N156" s="360"/>
      <c r="O156" s="360"/>
      <c r="P156" s="359"/>
      <c r="Q156" s="360"/>
      <c r="R156" s="360"/>
      <c r="S156" s="360"/>
    </row>
    <row r="157" spans="4:19">
      <c r="D157" s="360"/>
      <c r="E157" s="360"/>
      <c r="F157" s="360"/>
      <c r="G157" s="360"/>
      <c r="H157" s="360"/>
      <c r="I157" s="360"/>
      <c r="J157" s="360"/>
      <c r="K157" s="360"/>
      <c r="L157" s="360"/>
      <c r="M157" s="360"/>
      <c r="N157" s="360"/>
      <c r="O157" s="360"/>
      <c r="P157" s="359"/>
      <c r="Q157" s="360"/>
      <c r="R157" s="360"/>
      <c r="S157" s="360"/>
    </row>
    <row r="158" spans="4:19">
      <c r="D158" s="360"/>
      <c r="E158" s="360"/>
      <c r="F158" s="360"/>
      <c r="G158" s="360"/>
      <c r="H158" s="360"/>
      <c r="I158" s="360"/>
      <c r="J158" s="360"/>
      <c r="K158" s="360"/>
      <c r="L158" s="360"/>
      <c r="M158" s="360"/>
      <c r="N158" s="360"/>
      <c r="O158" s="360"/>
      <c r="P158" s="359"/>
      <c r="Q158" s="360"/>
      <c r="R158" s="360"/>
      <c r="S158" s="360"/>
    </row>
    <row r="159" spans="4:19">
      <c r="D159" s="360"/>
      <c r="E159" s="360"/>
      <c r="F159" s="360"/>
      <c r="G159" s="360"/>
      <c r="H159" s="360"/>
      <c r="I159" s="360"/>
      <c r="J159" s="360"/>
      <c r="K159" s="360"/>
      <c r="L159" s="360"/>
      <c r="M159" s="360"/>
      <c r="N159" s="360"/>
      <c r="O159" s="360"/>
      <c r="P159" s="359"/>
      <c r="Q159" s="360"/>
      <c r="R159" s="360"/>
      <c r="S159" s="360"/>
    </row>
    <row r="160" spans="4:19">
      <c r="D160" s="360"/>
      <c r="E160" s="360"/>
      <c r="F160" s="360"/>
      <c r="G160" s="360"/>
      <c r="H160" s="360"/>
      <c r="I160" s="360"/>
      <c r="J160" s="360"/>
      <c r="K160" s="360"/>
      <c r="L160" s="360"/>
      <c r="M160" s="360"/>
      <c r="N160" s="360"/>
      <c r="O160" s="360"/>
      <c r="P160" s="359"/>
      <c r="Q160" s="360"/>
      <c r="R160" s="360"/>
      <c r="S160" s="360"/>
    </row>
    <row r="161" spans="4:19">
      <c r="D161" s="360"/>
      <c r="E161" s="360"/>
      <c r="F161" s="360"/>
      <c r="G161" s="360"/>
      <c r="H161" s="360"/>
      <c r="I161" s="360"/>
      <c r="J161" s="360"/>
      <c r="K161" s="360"/>
      <c r="L161" s="360"/>
      <c r="M161" s="360"/>
      <c r="N161" s="360"/>
      <c r="O161" s="360"/>
      <c r="P161" s="359"/>
      <c r="Q161" s="360"/>
      <c r="R161" s="360"/>
      <c r="S161" s="360"/>
    </row>
    <row r="162" spans="4:19">
      <c r="D162" s="360"/>
      <c r="E162" s="360"/>
      <c r="F162" s="360"/>
      <c r="G162" s="360"/>
      <c r="H162" s="360"/>
      <c r="I162" s="360"/>
      <c r="J162" s="360"/>
      <c r="K162" s="360"/>
      <c r="L162" s="360"/>
      <c r="M162" s="360"/>
      <c r="N162" s="360"/>
      <c r="O162" s="360"/>
      <c r="P162" s="359"/>
      <c r="Q162" s="360"/>
      <c r="R162" s="360"/>
      <c r="S162" s="360"/>
    </row>
    <row r="163" spans="4:19">
      <c r="D163" s="360"/>
      <c r="E163" s="360"/>
      <c r="F163" s="360"/>
      <c r="G163" s="360"/>
      <c r="H163" s="360"/>
      <c r="I163" s="360"/>
      <c r="J163" s="360"/>
      <c r="K163" s="360"/>
      <c r="L163" s="360"/>
      <c r="M163" s="360"/>
      <c r="N163" s="360"/>
      <c r="O163" s="360"/>
      <c r="P163" s="359"/>
      <c r="Q163" s="360"/>
      <c r="R163" s="360"/>
      <c r="S163" s="360"/>
    </row>
    <row r="164" spans="4:19">
      <c r="D164" s="360"/>
      <c r="E164" s="360"/>
      <c r="F164" s="360"/>
      <c r="G164" s="360"/>
      <c r="H164" s="360"/>
      <c r="I164" s="360"/>
      <c r="J164" s="360"/>
      <c r="K164" s="360"/>
      <c r="L164" s="360"/>
      <c r="M164" s="360"/>
      <c r="N164" s="360"/>
      <c r="O164" s="360"/>
      <c r="P164" s="359"/>
      <c r="Q164" s="360"/>
      <c r="R164" s="360"/>
      <c r="S164" s="360"/>
    </row>
    <row r="165" spans="4:19">
      <c r="D165" s="360"/>
      <c r="E165" s="360"/>
      <c r="F165" s="360"/>
      <c r="G165" s="360"/>
      <c r="H165" s="360"/>
      <c r="I165" s="360"/>
      <c r="J165" s="360"/>
      <c r="K165" s="360"/>
      <c r="L165" s="360"/>
      <c r="M165" s="360"/>
      <c r="N165" s="360"/>
      <c r="O165" s="360"/>
      <c r="P165" s="359"/>
      <c r="Q165" s="360"/>
      <c r="R165" s="360"/>
      <c r="S165" s="360"/>
    </row>
    <row r="166" spans="4:19">
      <c r="D166" s="360"/>
      <c r="E166" s="360"/>
      <c r="F166" s="360"/>
      <c r="G166" s="360"/>
      <c r="H166" s="360"/>
      <c r="I166" s="360"/>
      <c r="J166" s="360"/>
      <c r="K166" s="360"/>
      <c r="L166" s="360"/>
      <c r="M166" s="360"/>
      <c r="N166" s="360"/>
      <c r="O166" s="360"/>
      <c r="P166" s="359"/>
      <c r="Q166" s="360"/>
      <c r="R166" s="360"/>
      <c r="S166" s="360"/>
    </row>
    <row r="167" spans="4:19">
      <c r="D167" s="360"/>
      <c r="E167" s="360"/>
      <c r="F167" s="360"/>
      <c r="G167" s="360"/>
      <c r="H167" s="360"/>
      <c r="I167" s="360"/>
      <c r="J167" s="360"/>
      <c r="K167" s="360"/>
      <c r="L167" s="360"/>
      <c r="M167" s="360"/>
      <c r="N167" s="360"/>
      <c r="O167" s="360"/>
      <c r="P167" s="359"/>
      <c r="Q167" s="360"/>
      <c r="R167" s="360"/>
      <c r="S167" s="360"/>
    </row>
    <row r="168" spans="4:19">
      <c r="D168" s="360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359"/>
      <c r="Q168" s="360"/>
      <c r="R168" s="360"/>
      <c r="S168" s="360"/>
    </row>
    <row r="169" spans="4:19">
      <c r="D169" s="360"/>
      <c r="E169" s="360"/>
      <c r="F169" s="360"/>
      <c r="G169" s="360"/>
      <c r="H169" s="360"/>
      <c r="I169" s="360"/>
      <c r="J169" s="360"/>
      <c r="K169" s="360"/>
      <c r="L169" s="360"/>
      <c r="M169" s="360"/>
      <c r="N169" s="360"/>
      <c r="O169" s="360"/>
      <c r="P169" s="359"/>
      <c r="Q169" s="360"/>
      <c r="R169" s="360"/>
      <c r="S169" s="360"/>
    </row>
    <row r="170" spans="4:19">
      <c r="D170" s="360"/>
      <c r="E170" s="360"/>
      <c r="F170" s="360"/>
      <c r="G170" s="360"/>
      <c r="H170" s="360"/>
      <c r="I170" s="360"/>
      <c r="J170" s="360"/>
      <c r="K170" s="360"/>
      <c r="L170" s="360"/>
      <c r="M170" s="360"/>
      <c r="N170" s="360"/>
      <c r="O170" s="360"/>
      <c r="P170" s="359"/>
      <c r="Q170" s="360"/>
      <c r="R170" s="360"/>
      <c r="S170" s="360"/>
    </row>
    <row r="171" spans="4:19">
      <c r="D171" s="360"/>
      <c r="E171" s="360"/>
      <c r="F171" s="360"/>
      <c r="G171" s="360"/>
      <c r="H171" s="360"/>
      <c r="I171" s="360"/>
      <c r="J171" s="360"/>
      <c r="K171" s="360"/>
      <c r="L171" s="360"/>
      <c r="M171" s="360"/>
      <c r="N171" s="360"/>
      <c r="O171" s="360"/>
      <c r="P171" s="359"/>
      <c r="Q171" s="360"/>
      <c r="R171" s="360"/>
      <c r="S171" s="360"/>
    </row>
    <row r="172" spans="4:19">
      <c r="D172" s="360"/>
      <c r="E172" s="360"/>
      <c r="F172" s="360"/>
      <c r="G172" s="360"/>
      <c r="H172" s="360"/>
      <c r="I172" s="360"/>
      <c r="J172" s="360"/>
      <c r="K172" s="360"/>
      <c r="L172" s="360"/>
      <c r="M172" s="360"/>
      <c r="N172" s="360"/>
      <c r="O172" s="360"/>
      <c r="P172" s="359"/>
      <c r="Q172" s="360"/>
      <c r="R172" s="360"/>
      <c r="S172" s="360"/>
    </row>
    <row r="173" spans="4:19">
      <c r="D173" s="360"/>
      <c r="E173" s="360"/>
      <c r="F173" s="360"/>
      <c r="G173" s="360"/>
      <c r="H173" s="360"/>
      <c r="I173" s="360"/>
      <c r="J173" s="360"/>
      <c r="K173" s="360"/>
      <c r="L173" s="360"/>
      <c r="M173" s="360"/>
      <c r="N173" s="360"/>
      <c r="O173" s="360"/>
      <c r="P173" s="359"/>
      <c r="Q173" s="360"/>
      <c r="R173" s="360"/>
      <c r="S173" s="360"/>
    </row>
    <row r="174" spans="4:19">
      <c r="D174" s="360"/>
      <c r="E174" s="360"/>
      <c r="F174" s="360"/>
      <c r="G174" s="360"/>
      <c r="H174" s="360"/>
      <c r="I174" s="360"/>
      <c r="J174" s="360"/>
      <c r="K174" s="360"/>
      <c r="L174" s="360"/>
      <c r="M174" s="360"/>
      <c r="N174" s="360"/>
      <c r="O174" s="360"/>
      <c r="P174" s="359"/>
      <c r="Q174" s="360"/>
      <c r="R174" s="360"/>
      <c r="S174" s="360"/>
    </row>
    <row r="175" spans="4:19">
      <c r="D175" s="360"/>
      <c r="E175" s="360"/>
      <c r="F175" s="360"/>
      <c r="G175" s="360"/>
      <c r="H175" s="360"/>
      <c r="I175" s="360"/>
      <c r="J175" s="360"/>
      <c r="K175" s="360"/>
      <c r="L175" s="360"/>
      <c r="M175" s="360"/>
      <c r="N175" s="360"/>
      <c r="O175" s="360"/>
      <c r="P175" s="359"/>
      <c r="Q175" s="360"/>
      <c r="R175" s="360"/>
      <c r="S175" s="360"/>
    </row>
    <row r="176" spans="4:19">
      <c r="D176" s="360"/>
      <c r="E176" s="360"/>
      <c r="F176" s="360"/>
      <c r="G176" s="360"/>
      <c r="H176" s="360"/>
      <c r="I176" s="360"/>
      <c r="J176" s="360"/>
      <c r="K176" s="360"/>
      <c r="L176" s="360"/>
      <c r="M176" s="360"/>
      <c r="N176" s="360"/>
      <c r="O176" s="360"/>
      <c r="P176" s="359"/>
      <c r="Q176" s="360"/>
      <c r="R176" s="360"/>
      <c r="S176" s="360"/>
    </row>
    <row r="177" spans="4:19">
      <c r="D177" s="360"/>
      <c r="E177" s="360"/>
      <c r="F177" s="360"/>
      <c r="G177" s="360"/>
      <c r="H177" s="360"/>
      <c r="I177" s="360"/>
      <c r="J177" s="360"/>
      <c r="K177" s="360"/>
      <c r="L177" s="360"/>
      <c r="M177" s="360"/>
      <c r="N177" s="360"/>
      <c r="O177" s="360"/>
      <c r="P177" s="359"/>
      <c r="Q177" s="360"/>
      <c r="R177" s="360"/>
      <c r="S177" s="360"/>
    </row>
    <row r="178" spans="4:19">
      <c r="D178" s="360"/>
      <c r="E178" s="360"/>
      <c r="F178" s="360"/>
      <c r="G178" s="360"/>
      <c r="H178" s="360"/>
      <c r="I178" s="360"/>
      <c r="J178" s="360"/>
      <c r="K178" s="360"/>
      <c r="L178" s="360"/>
      <c r="M178" s="360"/>
      <c r="N178" s="360"/>
      <c r="O178" s="360"/>
      <c r="P178" s="359"/>
      <c r="Q178" s="360"/>
      <c r="R178" s="360"/>
      <c r="S178" s="360"/>
    </row>
    <row r="179" spans="4:19">
      <c r="D179" s="360"/>
      <c r="E179" s="360"/>
      <c r="F179" s="360"/>
      <c r="G179" s="360"/>
      <c r="H179" s="360"/>
      <c r="I179" s="360"/>
      <c r="J179" s="360"/>
      <c r="K179" s="360"/>
      <c r="L179" s="360"/>
      <c r="M179" s="360"/>
      <c r="N179" s="360"/>
      <c r="O179" s="360"/>
      <c r="P179" s="359"/>
      <c r="Q179" s="360"/>
      <c r="R179" s="360"/>
      <c r="S179" s="360"/>
    </row>
    <row r="180" spans="4:19">
      <c r="D180" s="360"/>
      <c r="E180" s="360"/>
      <c r="F180" s="360"/>
      <c r="G180" s="360"/>
      <c r="H180" s="360"/>
      <c r="I180" s="360"/>
      <c r="J180" s="360"/>
      <c r="K180" s="360"/>
      <c r="L180" s="360"/>
      <c r="M180" s="360"/>
      <c r="N180" s="360"/>
      <c r="O180" s="360"/>
      <c r="P180" s="359"/>
      <c r="Q180" s="360"/>
      <c r="R180" s="360"/>
      <c r="S180" s="360"/>
    </row>
    <row r="181" spans="4:19">
      <c r="D181" s="360"/>
      <c r="E181" s="360"/>
      <c r="F181" s="360"/>
      <c r="G181" s="360"/>
      <c r="H181" s="360"/>
      <c r="I181" s="360"/>
      <c r="J181" s="360"/>
      <c r="K181" s="360"/>
      <c r="L181" s="360"/>
      <c r="M181" s="360"/>
      <c r="N181" s="360"/>
      <c r="O181" s="360"/>
      <c r="P181" s="359"/>
      <c r="Q181" s="360"/>
      <c r="R181" s="360"/>
      <c r="S181" s="360"/>
    </row>
    <row r="182" spans="4:19">
      <c r="D182" s="360"/>
      <c r="E182" s="360"/>
      <c r="F182" s="360"/>
      <c r="G182" s="360"/>
      <c r="H182" s="360"/>
      <c r="I182" s="360"/>
      <c r="J182" s="360"/>
      <c r="K182" s="360"/>
      <c r="L182" s="360"/>
      <c r="M182" s="360"/>
      <c r="N182" s="360"/>
      <c r="O182" s="360"/>
      <c r="P182" s="359"/>
      <c r="Q182" s="360"/>
      <c r="R182" s="360"/>
      <c r="S182" s="360"/>
    </row>
    <row r="183" spans="4:19">
      <c r="D183" s="360"/>
      <c r="E183" s="360"/>
      <c r="F183" s="360"/>
      <c r="G183" s="360"/>
      <c r="H183" s="360"/>
      <c r="I183" s="360"/>
      <c r="J183" s="360"/>
      <c r="K183" s="360"/>
      <c r="L183" s="360"/>
      <c r="M183" s="360"/>
      <c r="N183" s="360"/>
      <c r="O183" s="360"/>
      <c r="P183" s="359"/>
      <c r="Q183" s="360"/>
      <c r="R183" s="360"/>
      <c r="S183" s="360"/>
    </row>
    <row r="184" spans="4:19">
      <c r="D184" s="360"/>
      <c r="E184" s="360"/>
      <c r="F184" s="360"/>
      <c r="G184" s="360"/>
      <c r="H184" s="360"/>
      <c r="I184" s="360"/>
      <c r="J184" s="360"/>
      <c r="K184" s="360"/>
      <c r="L184" s="360"/>
      <c r="M184" s="360"/>
      <c r="N184" s="360"/>
      <c r="O184" s="360"/>
      <c r="P184" s="359"/>
      <c r="Q184" s="360"/>
      <c r="R184" s="360"/>
      <c r="S184" s="360"/>
    </row>
    <row r="185" spans="4:19">
      <c r="D185" s="360"/>
      <c r="E185" s="360"/>
      <c r="F185" s="360"/>
      <c r="G185" s="360"/>
      <c r="H185" s="360"/>
      <c r="I185" s="360"/>
      <c r="J185" s="360"/>
      <c r="K185" s="360"/>
      <c r="L185" s="360"/>
      <c r="M185" s="360"/>
      <c r="N185" s="360"/>
      <c r="O185" s="360"/>
      <c r="P185" s="359"/>
      <c r="Q185" s="360"/>
      <c r="R185" s="360"/>
      <c r="S185" s="360"/>
    </row>
    <row r="186" spans="4:19">
      <c r="D186" s="360"/>
      <c r="E186" s="360"/>
      <c r="F186" s="360"/>
      <c r="G186" s="360"/>
      <c r="H186" s="360"/>
      <c r="I186" s="360"/>
      <c r="J186" s="360"/>
      <c r="K186" s="360"/>
      <c r="L186" s="360"/>
      <c r="M186" s="360"/>
      <c r="N186" s="360"/>
      <c r="O186" s="360"/>
      <c r="P186" s="359"/>
      <c r="Q186" s="360"/>
      <c r="R186" s="360"/>
      <c r="S186" s="360"/>
    </row>
    <row r="187" spans="4:19">
      <c r="D187" s="360"/>
      <c r="E187" s="360"/>
      <c r="F187" s="360"/>
      <c r="G187" s="360"/>
      <c r="H187" s="360"/>
      <c r="I187" s="360"/>
      <c r="J187" s="360"/>
      <c r="K187" s="360"/>
      <c r="L187" s="360"/>
      <c r="M187" s="360"/>
      <c r="N187" s="360"/>
      <c r="O187" s="360"/>
      <c r="P187" s="359"/>
      <c r="Q187" s="360"/>
      <c r="R187" s="360"/>
      <c r="S187" s="360"/>
    </row>
    <row r="188" spans="4:19"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59"/>
      <c r="Q188" s="360"/>
      <c r="R188" s="360"/>
      <c r="S188" s="360"/>
    </row>
    <row r="189" spans="4:19">
      <c r="D189" s="360"/>
      <c r="E189" s="360"/>
      <c r="F189" s="360"/>
      <c r="G189" s="360"/>
      <c r="H189" s="360"/>
      <c r="I189" s="360"/>
      <c r="J189" s="360"/>
      <c r="K189" s="360"/>
      <c r="L189" s="360"/>
      <c r="M189" s="360"/>
      <c r="N189" s="360"/>
      <c r="O189" s="360"/>
      <c r="P189" s="359"/>
      <c r="Q189" s="360"/>
      <c r="R189" s="360"/>
      <c r="S189" s="360"/>
    </row>
    <row r="190" spans="4:19">
      <c r="D190" s="360"/>
      <c r="E190" s="360"/>
      <c r="F190" s="360"/>
      <c r="G190" s="360"/>
      <c r="H190" s="360"/>
      <c r="I190" s="360"/>
      <c r="J190" s="360"/>
      <c r="K190" s="360"/>
      <c r="L190" s="360"/>
      <c r="M190" s="360"/>
      <c r="N190" s="360"/>
      <c r="O190" s="360"/>
      <c r="P190" s="359"/>
      <c r="Q190" s="360"/>
      <c r="R190" s="360"/>
      <c r="S190" s="360"/>
    </row>
    <row r="191" spans="4:19">
      <c r="D191" s="360"/>
      <c r="E191" s="360"/>
      <c r="F191" s="360"/>
      <c r="G191" s="360"/>
      <c r="H191" s="360"/>
      <c r="I191" s="360"/>
      <c r="J191" s="360"/>
      <c r="K191" s="360"/>
      <c r="L191" s="360"/>
      <c r="M191" s="360"/>
      <c r="N191" s="360"/>
      <c r="O191" s="360"/>
      <c r="P191" s="359"/>
      <c r="Q191" s="360"/>
      <c r="R191" s="360"/>
      <c r="S191" s="360"/>
    </row>
    <row r="192" spans="4:19">
      <c r="D192" s="360"/>
      <c r="E192" s="360"/>
      <c r="F192" s="360"/>
      <c r="G192" s="360"/>
      <c r="H192" s="360"/>
      <c r="I192" s="360"/>
      <c r="J192" s="360"/>
      <c r="K192" s="360"/>
      <c r="L192" s="360"/>
      <c r="M192" s="360"/>
      <c r="N192" s="360"/>
      <c r="O192" s="360"/>
      <c r="P192" s="359"/>
      <c r="Q192" s="360"/>
      <c r="R192" s="360"/>
      <c r="S192" s="360"/>
    </row>
    <row r="193" spans="4:19">
      <c r="D193" s="360"/>
      <c r="E193" s="360"/>
      <c r="F193" s="360"/>
      <c r="G193" s="360"/>
      <c r="H193" s="360"/>
      <c r="I193" s="360"/>
      <c r="J193" s="360"/>
      <c r="K193" s="360"/>
      <c r="L193" s="360"/>
      <c r="M193" s="360"/>
      <c r="N193" s="360"/>
      <c r="O193" s="360"/>
      <c r="P193" s="359"/>
      <c r="Q193" s="360"/>
      <c r="R193" s="360"/>
      <c r="S193" s="360"/>
    </row>
    <row r="194" spans="4:19">
      <c r="D194" s="360"/>
      <c r="E194" s="360"/>
      <c r="F194" s="360"/>
      <c r="G194" s="360"/>
      <c r="H194" s="360"/>
      <c r="I194" s="360"/>
      <c r="J194" s="360"/>
      <c r="K194" s="360"/>
      <c r="L194" s="360"/>
      <c r="M194" s="360"/>
      <c r="N194" s="360"/>
      <c r="O194" s="360"/>
      <c r="P194" s="359"/>
      <c r="Q194" s="360"/>
      <c r="R194" s="360"/>
      <c r="S194" s="360"/>
    </row>
    <row r="195" spans="4:19">
      <c r="D195" s="360"/>
      <c r="E195" s="360"/>
      <c r="F195" s="360"/>
      <c r="G195" s="360"/>
      <c r="H195" s="360"/>
      <c r="I195" s="360"/>
      <c r="J195" s="360"/>
      <c r="K195" s="360"/>
      <c r="L195" s="360"/>
      <c r="M195" s="360"/>
      <c r="N195" s="360"/>
      <c r="O195" s="360"/>
      <c r="P195" s="359"/>
      <c r="Q195" s="360"/>
      <c r="R195" s="360"/>
      <c r="S195" s="360"/>
    </row>
    <row r="196" spans="4:19">
      <c r="D196" s="360"/>
      <c r="E196" s="360"/>
      <c r="F196" s="360"/>
      <c r="G196" s="360"/>
      <c r="H196" s="360"/>
      <c r="I196" s="360"/>
      <c r="J196" s="360"/>
      <c r="K196" s="360"/>
      <c r="L196" s="360"/>
      <c r="M196" s="360"/>
      <c r="N196" s="360"/>
      <c r="O196" s="360"/>
      <c r="P196" s="359"/>
      <c r="Q196" s="360"/>
      <c r="R196" s="360"/>
      <c r="S196" s="360"/>
    </row>
    <row r="197" spans="4:19">
      <c r="D197" s="360"/>
      <c r="E197" s="360"/>
      <c r="F197" s="360"/>
      <c r="G197" s="360"/>
      <c r="H197" s="360"/>
      <c r="I197" s="360"/>
      <c r="J197" s="360"/>
      <c r="K197" s="360"/>
      <c r="L197" s="360"/>
      <c r="M197" s="360"/>
      <c r="N197" s="360"/>
      <c r="O197" s="360"/>
      <c r="P197" s="359"/>
      <c r="Q197" s="360"/>
      <c r="R197" s="360"/>
      <c r="S197" s="360"/>
    </row>
    <row r="198" spans="4:19">
      <c r="D198" s="360"/>
      <c r="E198" s="360"/>
      <c r="F198" s="360"/>
      <c r="G198" s="360"/>
      <c r="H198" s="360"/>
      <c r="I198" s="360"/>
      <c r="J198" s="360"/>
      <c r="K198" s="360"/>
      <c r="L198" s="360"/>
      <c r="M198" s="360"/>
      <c r="N198" s="360"/>
      <c r="O198" s="360"/>
      <c r="P198" s="359"/>
      <c r="Q198" s="360"/>
      <c r="R198" s="360"/>
      <c r="S198" s="360"/>
    </row>
    <row r="199" spans="4:19">
      <c r="D199" s="360"/>
      <c r="E199" s="360"/>
      <c r="F199" s="360"/>
      <c r="G199" s="360"/>
      <c r="H199" s="360"/>
      <c r="I199" s="360"/>
      <c r="J199" s="360"/>
      <c r="K199" s="360"/>
      <c r="L199" s="360"/>
      <c r="M199" s="360"/>
      <c r="N199" s="360"/>
      <c r="O199" s="360"/>
      <c r="P199" s="359"/>
      <c r="Q199" s="360"/>
      <c r="R199" s="360"/>
      <c r="S199" s="360"/>
    </row>
    <row r="200" spans="4:19">
      <c r="D200" s="360"/>
      <c r="E200" s="360"/>
      <c r="F200" s="360"/>
      <c r="G200" s="360"/>
      <c r="H200" s="360"/>
      <c r="I200" s="360"/>
      <c r="J200" s="360"/>
      <c r="K200" s="360"/>
      <c r="L200" s="360"/>
      <c r="M200" s="360"/>
      <c r="N200" s="360"/>
      <c r="O200" s="360"/>
      <c r="P200" s="359"/>
      <c r="Q200" s="360"/>
      <c r="R200" s="360"/>
      <c r="S200" s="360"/>
    </row>
    <row r="201" spans="4:19">
      <c r="D201" s="360"/>
      <c r="E201" s="360"/>
      <c r="F201" s="360"/>
      <c r="G201" s="360"/>
      <c r="H201" s="360"/>
      <c r="I201" s="360"/>
      <c r="J201" s="360"/>
      <c r="K201" s="360"/>
      <c r="L201" s="360"/>
      <c r="M201" s="360"/>
      <c r="N201" s="360"/>
      <c r="O201" s="360"/>
      <c r="P201" s="359"/>
      <c r="Q201" s="360"/>
      <c r="R201" s="360"/>
      <c r="S201" s="360"/>
    </row>
    <row r="202" spans="4:19">
      <c r="D202" s="360"/>
      <c r="E202" s="360"/>
      <c r="F202" s="360"/>
      <c r="G202" s="360"/>
      <c r="H202" s="360"/>
      <c r="I202" s="360"/>
      <c r="J202" s="360"/>
      <c r="K202" s="360"/>
      <c r="L202" s="360"/>
      <c r="M202" s="360"/>
      <c r="N202" s="360"/>
      <c r="O202" s="360"/>
      <c r="P202" s="359"/>
      <c r="Q202" s="360"/>
      <c r="R202" s="360"/>
      <c r="S202" s="360"/>
    </row>
    <row r="203" spans="4:19">
      <c r="D203" s="360"/>
      <c r="E203" s="360"/>
      <c r="F203" s="360"/>
      <c r="G203" s="360"/>
      <c r="H203" s="360"/>
      <c r="I203" s="360"/>
      <c r="J203" s="360"/>
      <c r="K203" s="360"/>
      <c r="L203" s="360"/>
      <c r="M203" s="360"/>
      <c r="N203" s="360"/>
      <c r="O203" s="360"/>
      <c r="P203" s="359"/>
      <c r="Q203" s="360"/>
      <c r="R203" s="360"/>
      <c r="S203" s="360"/>
    </row>
    <row r="204" spans="4:19">
      <c r="D204" s="360"/>
      <c r="E204" s="360"/>
      <c r="F204" s="360"/>
      <c r="G204" s="360"/>
      <c r="H204" s="360"/>
      <c r="I204" s="360"/>
      <c r="J204" s="360"/>
      <c r="K204" s="360"/>
      <c r="L204" s="360"/>
      <c r="M204" s="360"/>
      <c r="N204" s="360"/>
      <c r="O204" s="360"/>
      <c r="P204" s="359"/>
      <c r="Q204" s="360"/>
      <c r="R204" s="360"/>
      <c r="S204" s="360"/>
    </row>
    <row r="205" spans="4:19">
      <c r="D205" s="360"/>
      <c r="E205" s="360"/>
      <c r="F205" s="360"/>
      <c r="G205" s="360"/>
      <c r="H205" s="360"/>
      <c r="I205" s="360"/>
      <c r="J205" s="360"/>
      <c r="K205" s="360"/>
      <c r="L205" s="360"/>
      <c r="M205" s="360"/>
      <c r="N205" s="360"/>
      <c r="O205" s="360"/>
      <c r="P205" s="359"/>
      <c r="Q205" s="360"/>
      <c r="R205" s="360"/>
      <c r="S205" s="360"/>
    </row>
    <row r="206" spans="4:19">
      <c r="D206" s="360"/>
      <c r="E206" s="360"/>
      <c r="F206" s="360"/>
      <c r="G206" s="360"/>
      <c r="H206" s="360"/>
      <c r="I206" s="360"/>
      <c r="J206" s="360"/>
      <c r="K206" s="360"/>
      <c r="L206" s="360"/>
      <c r="M206" s="360"/>
      <c r="N206" s="360"/>
      <c r="O206" s="360"/>
      <c r="P206" s="359"/>
      <c r="Q206" s="360"/>
      <c r="R206" s="360"/>
      <c r="S206" s="360"/>
    </row>
    <row r="207" spans="4:19">
      <c r="D207" s="360"/>
      <c r="E207" s="360"/>
      <c r="F207" s="360"/>
      <c r="G207" s="360"/>
      <c r="H207" s="360"/>
      <c r="I207" s="360"/>
      <c r="J207" s="360"/>
      <c r="K207" s="360"/>
      <c r="L207" s="360"/>
      <c r="M207" s="360"/>
      <c r="N207" s="360"/>
      <c r="O207" s="360"/>
      <c r="P207" s="359"/>
      <c r="Q207" s="360"/>
      <c r="R207" s="360"/>
      <c r="S207" s="360"/>
    </row>
    <row r="208" spans="4:19">
      <c r="D208" s="360"/>
      <c r="E208" s="360"/>
      <c r="F208" s="360"/>
      <c r="G208" s="360"/>
      <c r="H208" s="360"/>
      <c r="I208" s="360"/>
      <c r="J208" s="360"/>
      <c r="K208" s="360"/>
      <c r="L208" s="360"/>
      <c r="M208" s="360"/>
      <c r="N208" s="360"/>
      <c r="O208" s="360"/>
      <c r="P208" s="359"/>
      <c r="Q208" s="360"/>
      <c r="R208" s="360"/>
      <c r="S208" s="360"/>
    </row>
    <row r="209" spans="4:19">
      <c r="D209" s="360"/>
      <c r="E209" s="360"/>
      <c r="F209" s="360"/>
      <c r="G209" s="360"/>
      <c r="H209" s="360"/>
      <c r="I209" s="360"/>
      <c r="J209" s="360"/>
      <c r="K209" s="360"/>
      <c r="L209" s="360"/>
      <c r="M209" s="360"/>
      <c r="N209" s="360"/>
      <c r="O209" s="360"/>
      <c r="P209" s="359"/>
      <c r="Q209" s="360"/>
      <c r="R209" s="360"/>
      <c r="S209" s="360"/>
    </row>
    <row r="210" spans="4:19">
      <c r="D210" s="360"/>
      <c r="E210" s="360"/>
      <c r="F210" s="360"/>
      <c r="G210" s="360"/>
      <c r="H210" s="360"/>
      <c r="I210" s="360"/>
      <c r="J210" s="360"/>
      <c r="K210" s="360"/>
      <c r="L210" s="360"/>
      <c r="M210" s="360"/>
      <c r="N210" s="360"/>
      <c r="O210" s="360"/>
      <c r="P210" s="359"/>
      <c r="Q210" s="360"/>
      <c r="R210" s="360"/>
      <c r="S210" s="360"/>
    </row>
    <row r="211" spans="4:19">
      <c r="D211" s="360"/>
      <c r="E211" s="360"/>
      <c r="F211" s="360"/>
      <c r="G211" s="360"/>
      <c r="H211" s="360"/>
      <c r="I211" s="360"/>
      <c r="J211" s="360"/>
      <c r="K211" s="360"/>
      <c r="L211" s="360"/>
      <c r="M211" s="360"/>
      <c r="N211" s="360"/>
      <c r="O211" s="360"/>
      <c r="P211" s="359"/>
      <c r="Q211" s="360"/>
      <c r="R211" s="360"/>
      <c r="S211" s="360"/>
    </row>
    <row r="212" spans="4:19">
      <c r="D212" s="360"/>
      <c r="E212" s="360"/>
      <c r="F212" s="360"/>
      <c r="G212" s="360"/>
      <c r="H212" s="360"/>
      <c r="I212" s="360"/>
      <c r="J212" s="360"/>
      <c r="K212" s="360"/>
      <c r="L212" s="360"/>
      <c r="M212" s="360"/>
      <c r="N212" s="360"/>
      <c r="O212" s="360"/>
      <c r="P212" s="359"/>
      <c r="Q212" s="360"/>
      <c r="R212" s="360"/>
      <c r="S212" s="360"/>
    </row>
    <row r="213" spans="4:19">
      <c r="D213" s="360"/>
      <c r="E213" s="360"/>
      <c r="F213" s="360"/>
      <c r="G213" s="360"/>
      <c r="H213" s="360"/>
      <c r="I213" s="360"/>
      <c r="J213" s="360"/>
      <c r="K213" s="360"/>
      <c r="L213" s="360"/>
      <c r="M213" s="360"/>
      <c r="N213" s="360"/>
      <c r="O213" s="360"/>
      <c r="P213" s="359"/>
      <c r="Q213" s="360"/>
      <c r="R213" s="360"/>
      <c r="S213" s="360"/>
    </row>
    <row r="214" spans="4:19">
      <c r="D214" s="360"/>
      <c r="E214" s="360"/>
      <c r="F214" s="360"/>
      <c r="G214" s="360"/>
      <c r="H214" s="360"/>
      <c r="I214" s="360"/>
      <c r="J214" s="360"/>
      <c r="K214" s="360"/>
      <c r="L214" s="360"/>
      <c r="M214" s="360"/>
      <c r="N214" s="360"/>
      <c r="O214" s="360"/>
      <c r="P214" s="359"/>
      <c r="Q214" s="360"/>
      <c r="R214" s="360"/>
      <c r="S214" s="360"/>
    </row>
    <row r="215" spans="4:19">
      <c r="D215" s="360"/>
      <c r="E215" s="360"/>
      <c r="F215" s="360"/>
      <c r="G215" s="360"/>
      <c r="H215" s="360"/>
      <c r="I215" s="360"/>
      <c r="J215" s="360"/>
      <c r="K215" s="360"/>
      <c r="L215" s="360"/>
      <c r="M215" s="360"/>
      <c r="N215" s="360"/>
      <c r="O215" s="360"/>
      <c r="P215" s="359"/>
      <c r="Q215" s="360"/>
      <c r="R215" s="360"/>
      <c r="S215" s="360"/>
    </row>
    <row r="216" spans="4:19">
      <c r="D216" s="360"/>
      <c r="E216" s="360"/>
      <c r="F216" s="360"/>
      <c r="G216" s="360"/>
      <c r="H216" s="360"/>
      <c r="I216" s="360"/>
      <c r="J216" s="360"/>
      <c r="K216" s="360"/>
      <c r="L216" s="360"/>
      <c r="M216" s="360"/>
      <c r="N216" s="360"/>
      <c r="O216" s="360"/>
      <c r="P216" s="359"/>
      <c r="Q216" s="360"/>
      <c r="R216" s="360"/>
      <c r="S216" s="360"/>
    </row>
    <row r="217" spans="4:19">
      <c r="D217" s="360"/>
      <c r="E217" s="360"/>
      <c r="F217" s="360"/>
      <c r="G217" s="360"/>
      <c r="H217" s="360"/>
      <c r="I217" s="360"/>
      <c r="J217" s="360"/>
      <c r="K217" s="360"/>
      <c r="L217" s="360"/>
      <c r="M217" s="360"/>
      <c r="N217" s="360"/>
      <c r="O217" s="360"/>
      <c r="P217" s="359"/>
      <c r="Q217" s="360"/>
      <c r="R217" s="360"/>
      <c r="S217" s="360"/>
    </row>
    <row r="218" spans="4:19">
      <c r="D218" s="360"/>
      <c r="E218" s="360"/>
      <c r="F218" s="360"/>
      <c r="G218" s="360"/>
      <c r="H218" s="360"/>
      <c r="I218" s="360"/>
      <c r="J218" s="360"/>
      <c r="K218" s="360"/>
      <c r="L218" s="360"/>
      <c r="M218" s="360"/>
      <c r="N218" s="360"/>
      <c r="O218" s="360"/>
      <c r="P218" s="359"/>
      <c r="Q218" s="360"/>
      <c r="R218" s="360"/>
      <c r="S218" s="360"/>
    </row>
    <row r="219" spans="4:19">
      <c r="D219" s="360"/>
      <c r="E219" s="360"/>
      <c r="F219" s="360"/>
      <c r="G219" s="360"/>
      <c r="H219" s="360"/>
      <c r="I219" s="360"/>
      <c r="J219" s="360"/>
      <c r="K219" s="360"/>
      <c r="L219" s="360"/>
      <c r="M219" s="360"/>
      <c r="N219" s="360"/>
      <c r="O219" s="360"/>
      <c r="P219" s="359"/>
      <c r="Q219" s="360"/>
      <c r="R219" s="360"/>
      <c r="S219" s="360"/>
    </row>
    <row r="220" spans="4:19">
      <c r="D220" s="360"/>
      <c r="E220" s="360"/>
      <c r="F220" s="360"/>
      <c r="G220" s="360"/>
      <c r="H220" s="360"/>
      <c r="I220" s="360"/>
      <c r="J220" s="360"/>
      <c r="K220" s="360"/>
      <c r="L220" s="360"/>
      <c r="M220" s="360"/>
      <c r="N220" s="360"/>
      <c r="O220" s="360"/>
      <c r="P220" s="359"/>
      <c r="Q220" s="360"/>
      <c r="R220" s="360"/>
      <c r="S220" s="360"/>
    </row>
    <row r="221" spans="4:19">
      <c r="D221" s="360"/>
      <c r="E221" s="360"/>
      <c r="F221" s="360"/>
      <c r="G221" s="360"/>
      <c r="H221" s="360"/>
      <c r="I221" s="360"/>
      <c r="J221" s="360"/>
      <c r="K221" s="360"/>
      <c r="L221" s="360"/>
      <c r="M221" s="360"/>
      <c r="N221" s="360"/>
      <c r="O221" s="360"/>
      <c r="P221" s="359"/>
      <c r="Q221" s="360"/>
      <c r="R221" s="360"/>
      <c r="S221" s="360"/>
    </row>
    <row r="222" spans="4:19">
      <c r="D222" s="360"/>
      <c r="E222" s="360"/>
      <c r="F222" s="360"/>
      <c r="G222" s="360"/>
      <c r="H222" s="360"/>
      <c r="I222" s="360"/>
      <c r="J222" s="360"/>
      <c r="K222" s="360"/>
      <c r="L222" s="360"/>
      <c r="M222" s="360"/>
      <c r="N222" s="360"/>
      <c r="O222" s="360"/>
      <c r="P222" s="359"/>
      <c r="Q222" s="360"/>
      <c r="R222" s="360"/>
      <c r="S222" s="360"/>
    </row>
    <row r="223" spans="4:19">
      <c r="D223" s="360"/>
      <c r="E223" s="360"/>
      <c r="F223" s="360"/>
      <c r="G223" s="360"/>
      <c r="H223" s="360"/>
      <c r="I223" s="360"/>
      <c r="J223" s="360"/>
      <c r="K223" s="360"/>
      <c r="L223" s="360"/>
      <c r="M223" s="360"/>
      <c r="N223" s="360"/>
      <c r="O223" s="360"/>
      <c r="P223" s="359"/>
      <c r="Q223" s="360"/>
      <c r="R223" s="360"/>
      <c r="S223" s="360"/>
    </row>
    <row r="224" spans="4:19">
      <c r="D224" s="360"/>
      <c r="E224" s="360"/>
      <c r="F224" s="360"/>
      <c r="G224" s="360"/>
      <c r="H224" s="360"/>
      <c r="I224" s="360"/>
      <c r="J224" s="360"/>
      <c r="K224" s="360"/>
      <c r="L224" s="360"/>
      <c r="M224" s="360"/>
      <c r="N224" s="360"/>
      <c r="O224" s="360"/>
      <c r="P224" s="359"/>
      <c r="Q224" s="360"/>
      <c r="R224" s="360"/>
      <c r="S224" s="360"/>
    </row>
    <row r="225" spans="4:19">
      <c r="D225" s="360"/>
      <c r="E225" s="360"/>
      <c r="F225" s="360"/>
      <c r="G225" s="360"/>
      <c r="H225" s="360"/>
      <c r="I225" s="360"/>
      <c r="J225" s="360"/>
      <c r="K225" s="360"/>
      <c r="L225" s="360"/>
      <c r="M225" s="360"/>
      <c r="N225" s="360"/>
      <c r="O225" s="360"/>
      <c r="P225" s="359"/>
      <c r="Q225" s="360"/>
      <c r="R225" s="360"/>
      <c r="S225" s="360"/>
    </row>
    <row r="226" spans="4:19">
      <c r="D226" s="360"/>
      <c r="E226" s="360"/>
      <c r="F226" s="360"/>
      <c r="G226" s="360"/>
      <c r="H226" s="360"/>
      <c r="I226" s="360"/>
      <c r="J226" s="360"/>
      <c r="K226" s="360"/>
      <c r="L226" s="360"/>
      <c r="M226" s="360"/>
      <c r="N226" s="360"/>
      <c r="O226" s="360"/>
      <c r="P226" s="359"/>
      <c r="Q226" s="360"/>
      <c r="R226" s="360"/>
      <c r="S226" s="360"/>
    </row>
    <row r="227" spans="4:19">
      <c r="D227" s="360"/>
      <c r="E227" s="360"/>
      <c r="F227" s="360"/>
      <c r="G227" s="360"/>
      <c r="H227" s="360"/>
      <c r="I227" s="360"/>
      <c r="J227" s="360"/>
      <c r="K227" s="360"/>
      <c r="L227" s="360"/>
      <c r="M227" s="360"/>
      <c r="N227" s="360"/>
      <c r="O227" s="360"/>
      <c r="P227" s="359"/>
      <c r="Q227" s="360"/>
      <c r="R227" s="360"/>
      <c r="S227" s="360"/>
    </row>
    <row r="228" spans="4:19">
      <c r="D228" s="360"/>
      <c r="E228" s="360"/>
      <c r="F228" s="360"/>
      <c r="G228" s="360"/>
      <c r="H228" s="360"/>
      <c r="I228" s="360"/>
      <c r="J228" s="360"/>
      <c r="K228" s="360"/>
      <c r="L228" s="360"/>
      <c r="M228" s="360"/>
      <c r="N228" s="360"/>
      <c r="O228" s="360"/>
      <c r="P228" s="359"/>
      <c r="Q228" s="360"/>
      <c r="R228" s="360"/>
      <c r="S228" s="360"/>
    </row>
    <row r="229" spans="4:19">
      <c r="D229" s="360"/>
      <c r="E229" s="360"/>
      <c r="F229" s="360"/>
      <c r="G229" s="360"/>
      <c r="H229" s="360"/>
      <c r="I229" s="360"/>
      <c r="J229" s="360"/>
      <c r="K229" s="360"/>
      <c r="L229" s="360"/>
      <c r="M229" s="360"/>
      <c r="N229" s="360"/>
      <c r="O229" s="360"/>
      <c r="P229" s="359"/>
      <c r="Q229" s="360"/>
      <c r="R229" s="360"/>
      <c r="S229" s="360"/>
    </row>
    <row r="230" spans="4:19">
      <c r="D230" s="360"/>
      <c r="E230" s="360"/>
      <c r="F230" s="360"/>
      <c r="G230" s="360"/>
      <c r="H230" s="360"/>
      <c r="I230" s="360"/>
      <c r="J230" s="360"/>
      <c r="K230" s="360"/>
      <c r="L230" s="360"/>
      <c r="M230" s="360"/>
      <c r="N230" s="360"/>
      <c r="O230" s="360"/>
      <c r="P230" s="359"/>
      <c r="Q230" s="360"/>
      <c r="R230" s="360"/>
      <c r="S230" s="360"/>
    </row>
    <row r="231" spans="4:19">
      <c r="D231" s="360"/>
      <c r="E231" s="360"/>
      <c r="F231" s="360"/>
      <c r="G231" s="360"/>
      <c r="H231" s="360"/>
      <c r="I231" s="360"/>
      <c r="J231" s="360"/>
      <c r="K231" s="360"/>
      <c r="L231" s="360"/>
      <c r="M231" s="360"/>
      <c r="N231" s="360"/>
      <c r="O231" s="360"/>
      <c r="P231" s="359"/>
      <c r="Q231" s="360"/>
      <c r="R231" s="360"/>
      <c r="S231" s="360"/>
    </row>
    <row r="232" spans="4:19">
      <c r="D232" s="360"/>
      <c r="E232" s="360"/>
      <c r="F232" s="360"/>
      <c r="G232" s="360"/>
      <c r="H232" s="360"/>
      <c r="I232" s="360"/>
      <c r="J232" s="360"/>
      <c r="K232" s="360"/>
      <c r="L232" s="360"/>
      <c r="M232" s="360"/>
      <c r="N232" s="360"/>
      <c r="O232" s="360"/>
      <c r="P232" s="359"/>
      <c r="Q232" s="360"/>
      <c r="R232" s="360"/>
      <c r="S232" s="360"/>
    </row>
    <row r="233" spans="4:19">
      <c r="D233" s="360"/>
      <c r="E233" s="360"/>
      <c r="F233" s="360"/>
      <c r="G233" s="360"/>
      <c r="H233" s="360"/>
      <c r="I233" s="360"/>
      <c r="J233" s="360"/>
      <c r="K233" s="360"/>
      <c r="L233" s="360"/>
      <c r="M233" s="360"/>
      <c r="N233" s="360"/>
      <c r="O233" s="360"/>
      <c r="P233" s="359"/>
      <c r="Q233" s="360"/>
      <c r="R233" s="360"/>
      <c r="S233" s="360"/>
    </row>
    <row r="234" spans="4:19">
      <c r="D234" s="360"/>
      <c r="E234" s="360"/>
      <c r="F234" s="360"/>
      <c r="G234" s="360"/>
      <c r="H234" s="360"/>
      <c r="I234" s="360"/>
      <c r="J234" s="360"/>
      <c r="K234" s="360"/>
      <c r="L234" s="360"/>
      <c r="M234" s="360"/>
      <c r="N234" s="360"/>
      <c r="O234" s="360"/>
      <c r="P234" s="359"/>
      <c r="Q234" s="360"/>
      <c r="R234" s="360"/>
      <c r="S234" s="360"/>
    </row>
    <row r="235" spans="4:19">
      <c r="D235" s="360"/>
      <c r="E235" s="360"/>
      <c r="F235" s="360"/>
      <c r="G235" s="360"/>
      <c r="H235" s="360"/>
      <c r="I235" s="360"/>
      <c r="J235" s="360"/>
      <c r="K235" s="360"/>
      <c r="L235" s="360"/>
      <c r="M235" s="360"/>
      <c r="N235" s="360"/>
      <c r="O235" s="360"/>
      <c r="P235" s="359"/>
      <c r="Q235" s="360"/>
      <c r="R235" s="360"/>
      <c r="S235" s="360"/>
    </row>
    <row r="236" spans="4:19">
      <c r="D236" s="360"/>
      <c r="E236" s="360"/>
      <c r="F236" s="360"/>
      <c r="G236" s="360"/>
      <c r="H236" s="360"/>
      <c r="I236" s="360"/>
      <c r="J236" s="360"/>
      <c r="K236" s="360"/>
      <c r="L236" s="360"/>
      <c r="M236" s="360"/>
      <c r="N236" s="360"/>
      <c r="O236" s="360"/>
      <c r="P236" s="359"/>
      <c r="Q236" s="360"/>
      <c r="R236" s="360"/>
      <c r="S236" s="360"/>
    </row>
    <row r="237" spans="4:19">
      <c r="D237" s="360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359"/>
      <c r="Q237" s="360"/>
      <c r="R237" s="360"/>
      <c r="S237" s="360"/>
    </row>
    <row r="238" spans="4:19">
      <c r="D238" s="360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359"/>
      <c r="Q238" s="360"/>
      <c r="R238" s="360"/>
      <c r="S238" s="360"/>
    </row>
    <row r="239" spans="4:19">
      <c r="D239" s="360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359"/>
      <c r="Q239" s="360"/>
      <c r="R239" s="360"/>
      <c r="S239" s="360"/>
    </row>
    <row r="240" spans="4:19">
      <c r="D240" s="360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359"/>
      <c r="Q240" s="360"/>
      <c r="R240" s="360"/>
      <c r="S240" s="360"/>
    </row>
    <row r="241" spans="4:19">
      <c r="D241" s="360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359"/>
      <c r="Q241" s="360"/>
      <c r="R241" s="360"/>
      <c r="S241" s="360"/>
    </row>
    <row r="242" spans="4:19">
      <c r="D242" s="360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359"/>
      <c r="Q242" s="360"/>
      <c r="R242" s="360"/>
      <c r="S242" s="360"/>
    </row>
    <row r="243" spans="4:19">
      <c r="D243" s="360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359"/>
      <c r="Q243" s="360"/>
      <c r="R243" s="360"/>
      <c r="S243" s="360"/>
    </row>
    <row r="244" spans="4:19">
      <c r="D244" s="360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359"/>
      <c r="Q244" s="360"/>
      <c r="R244" s="360"/>
      <c r="S244" s="360"/>
    </row>
    <row r="245" spans="4:19">
      <c r="D245" s="360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359"/>
      <c r="Q245" s="360"/>
      <c r="R245" s="360"/>
      <c r="S245" s="360"/>
    </row>
    <row r="246" spans="4:19">
      <c r="D246" s="360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359"/>
      <c r="Q246" s="360"/>
      <c r="R246" s="360"/>
      <c r="S246" s="360"/>
    </row>
    <row r="247" spans="4:19">
      <c r="D247" s="360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359"/>
      <c r="Q247" s="360"/>
      <c r="R247" s="360"/>
      <c r="S247" s="360"/>
    </row>
    <row r="248" spans="4:19">
      <c r="D248" s="360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359"/>
      <c r="Q248" s="360"/>
      <c r="R248" s="360"/>
      <c r="S248" s="360"/>
    </row>
    <row r="249" spans="4:19">
      <c r="D249" s="360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359"/>
      <c r="Q249" s="360"/>
      <c r="R249" s="360"/>
      <c r="S249" s="360"/>
    </row>
    <row r="250" spans="4:19">
      <c r="D250" s="360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359"/>
      <c r="Q250" s="360"/>
      <c r="R250" s="360"/>
      <c r="S250" s="360"/>
    </row>
    <row r="251" spans="4:19">
      <c r="D251" s="360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359"/>
      <c r="Q251" s="360"/>
      <c r="R251" s="360"/>
      <c r="S251" s="360"/>
    </row>
    <row r="252" spans="4:19">
      <c r="D252" s="360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359"/>
      <c r="Q252" s="360"/>
      <c r="R252" s="360"/>
      <c r="S252" s="360"/>
    </row>
    <row r="253" spans="4:19">
      <c r="D253" s="360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359"/>
      <c r="Q253" s="360"/>
      <c r="R253" s="360"/>
      <c r="S253" s="360"/>
    </row>
    <row r="254" spans="4:19">
      <c r="D254" s="360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359"/>
      <c r="Q254" s="360"/>
      <c r="R254" s="360"/>
      <c r="S254" s="360"/>
    </row>
    <row r="255" spans="4:19">
      <c r="D255" s="360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359"/>
      <c r="Q255" s="360"/>
      <c r="R255" s="360"/>
      <c r="S255" s="360"/>
    </row>
    <row r="256" spans="4:19">
      <c r="D256" s="360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359"/>
      <c r="Q256" s="360"/>
      <c r="R256" s="360"/>
      <c r="S256" s="360"/>
    </row>
    <row r="257" spans="4:19">
      <c r="D257" s="360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359"/>
      <c r="Q257" s="360"/>
      <c r="R257" s="360"/>
      <c r="S257" s="360"/>
    </row>
    <row r="258" spans="4:19">
      <c r="D258" s="360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359"/>
      <c r="Q258" s="360"/>
      <c r="R258" s="360"/>
      <c r="S258" s="360"/>
    </row>
    <row r="259" spans="4:19">
      <c r="D259" s="360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359"/>
      <c r="Q259" s="360"/>
      <c r="R259" s="360"/>
      <c r="S259" s="360"/>
    </row>
    <row r="260" spans="4:19">
      <c r="D260" s="360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359"/>
      <c r="Q260" s="360"/>
      <c r="R260" s="360"/>
      <c r="S260" s="360"/>
    </row>
    <row r="261" spans="4:19">
      <c r="D261" s="360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359"/>
      <c r="Q261" s="360"/>
      <c r="R261" s="360"/>
      <c r="S261" s="360"/>
    </row>
    <row r="262" spans="4:19">
      <c r="D262" s="360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359"/>
      <c r="Q262" s="360"/>
      <c r="R262" s="360"/>
      <c r="S262" s="360"/>
    </row>
    <row r="263" spans="4:19">
      <c r="D263" s="360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359"/>
      <c r="Q263" s="360"/>
      <c r="R263" s="360"/>
      <c r="S263" s="360"/>
    </row>
    <row r="264" spans="4:19">
      <c r="D264" s="360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359"/>
      <c r="Q264" s="360"/>
      <c r="R264" s="360"/>
      <c r="S264" s="360"/>
    </row>
    <row r="265" spans="4:19">
      <c r="D265" s="360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359"/>
      <c r="Q265" s="360"/>
      <c r="R265" s="360"/>
      <c r="S265" s="360"/>
    </row>
    <row r="266" spans="4:19">
      <c r="D266" s="360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359"/>
      <c r="Q266" s="360"/>
      <c r="R266" s="360"/>
      <c r="S266" s="360"/>
    </row>
    <row r="267" spans="4:19">
      <c r="D267" s="360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359"/>
      <c r="Q267" s="360"/>
      <c r="R267" s="360"/>
      <c r="S267" s="360"/>
    </row>
    <row r="268" spans="4:19">
      <c r="D268" s="360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359"/>
      <c r="Q268" s="360"/>
      <c r="R268" s="360"/>
      <c r="S268" s="360"/>
    </row>
    <row r="269" spans="4:19">
      <c r="D269" s="360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359"/>
      <c r="Q269" s="360"/>
      <c r="R269" s="360"/>
      <c r="S269" s="360"/>
    </row>
    <row r="270" spans="4:19">
      <c r="D270" s="360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359"/>
      <c r="Q270" s="360"/>
      <c r="R270" s="360"/>
      <c r="S270" s="360"/>
    </row>
    <row r="271" spans="4:19">
      <c r="D271" s="360"/>
      <c r="E271" s="360"/>
      <c r="F271" s="360"/>
      <c r="G271" s="360"/>
      <c r="H271" s="360"/>
      <c r="I271" s="360"/>
      <c r="J271" s="360"/>
      <c r="K271" s="360"/>
      <c r="L271" s="360"/>
      <c r="M271" s="360"/>
      <c r="N271" s="360"/>
      <c r="O271" s="360"/>
      <c r="P271" s="359"/>
      <c r="Q271" s="360"/>
      <c r="R271" s="360"/>
      <c r="S271" s="360"/>
    </row>
    <row r="272" spans="4:19">
      <c r="D272" s="360"/>
      <c r="E272" s="360"/>
      <c r="F272" s="360"/>
      <c r="G272" s="360"/>
      <c r="H272" s="360"/>
      <c r="I272" s="360"/>
      <c r="J272" s="360"/>
      <c r="K272" s="360"/>
      <c r="L272" s="360"/>
      <c r="M272" s="360"/>
      <c r="N272" s="360"/>
      <c r="O272" s="360"/>
      <c r="P272" s="359"/>
      <c r="Q272" s="360"/>
      <c r="R272" s="360"/>
      <c r="S272" s="360"/>
    </row>
    <row r="273" spans="4:19">
      <c r="D273" s="360"/>
      <c r="E273" s="360"/>
      <c r="F273" s="360"/>
      <c r="G273" s="360"/>
      <c r="H273" s="360"/>
      <c r="I273" s="360"/>
      <c r="J273" s="360"/>
      <c r="K273" s="360"/>
      <c r="L273" s="360"/>
      <c r="M273" s="360"/>
      <c r="N273" s="360"/>
      <c r="O273" s="360"/>
      <c r="P273" s="359"/>
      <c r="Q273" s="360"/>
      <c r="R273" s="360"/>
      <c r="S273" s="360"/>
    </row>
    <row r="274" spans="4:19">
      <c r="D274" s="360"/>
      <c r="E274" s="360"/>
      <c r="F274" s="360"/>
      <c r="G274" s="360"/>
      <c r="H274" s="360"/>
      <c r="I274" s="360"/>
      <c r="J274" s="360"/>
      <c r="K274" s="360"/>
      <c r="L274" s="360"/>
      <c r="M274" s="360"/>
      <c r="N274" s="360"/>
      <c r="O274" s="360"/>
      <c r="P274" s="359"/>
      <c r="Q274" s="360"/>
      <c r="R274" s="360"/>
      <c r="S274" s="360"/>
    </row>
    <row r="275" spans="4:19">
      <c r="D275" s="360"/>
      <c r="E275" s="360"/>
      <c r="F275" s="360"/>
      <c r="G275" s="360"/>
      <c r="H275" s="360"/>
      <c r="I275" s="360"/>
      <c r="J275" s="360"/>
      <c r="K275" s="360"/>
      <c r="L275" s="360"/>
      <c r="M275" s="360"/>
      <c r="N275" s="360"/>
      <c r="O275" s="360"/>
      <c r="P275" s="359"/>
      <c r="Q275" s="360"/>
      <c r="R275" s="360"/>
      <c r="S275" s="360"/>
    </row>
    <row r="276" spans="4:19">
      <c r="D276" s="360"/>
      <c r="E276" s="360"/>
      <c r="F276" s="360"/>
      <c r="G276" s="360"/>
      <c r="H276" s="360"/>
      <c r="I276" s="360"/>
      <c r="J276" s="360"/>
      <c r="K276" s="360"/>
      <c r="L276" s="360"/>
      <c r="M276" s="360"/>
      <c r="N276" s="360"/>
      <c r="O276" s="360"/>
      <c r="P276" s="359"/>
      <c r="Q276" s="360"/>
      <c r="R276" s="360"/>
      <c r="S276" s="360"/>
    </row>
    <row r="277" spans="4:19">
      <c r="D277" s="360"/>
      <c r="E277" s="360"/>
      <c r="F277" s="360"/>
      <c r="G277" s="360"/>
      <c r="H277" s="360"/>
      <c r="I277" s="360"/>
      <c r="J277" s="360"/>
      <c r="K277" s="360"/>
      <c r="L277" s="360"/>
      <c r="M277" s="360"/>
      <c r="N277" s="360"/>
      <c r="O277" s="360"/>
      <c r="P277" s="359"/>
      <c r="Q277" s="360"/>
      <c r="R277" s="360"/>
      <c r="S277" s="360"/>
    </row>
    <row r="278" spans="4:19">
      <c r="D278" s="360"/>
      <c r="E278" s="360"/>
      <c r="F278" s="360"/>
      <c r="G278" s="360"/>
      <c r="H278" s="360"/>
      <c r="I278" s="360"/>
      <c r="J278" s="360"/>
      <c r="K278" s="360"/>
      <c r="L278" s="360"/>
      <c r="M278" s="360"/>
      <c r="N278" s="360"/>
      <c r="O278" s="360"/>
      <c r="P278" s="359"/>
      <c r="Q278" s="360"/>
      <c r="R278" s="360"/>
      <c r="S278" s="360"/>
    </row>
    <row r="279" spans="4:19">
      <c r="D279" s="360"/>
      <c r="E279" s="360"/>
      <c r="F279" s="360"/>
      <c r="G279" s="360"/>
      <c r="H279" s="360"/>
      <c r="I279" s="360"/>
      <c r="J279" s="360"/>
      <c r="K279" s="360"/>
      <c r="L279" s="360"/>
      <c r="M279" s="360"/>
      <c r="N279" s="360"/>
      <c r="O279" s="360"/>
      <c r="P279" s="359"/>
      <c r="Q279" s="360"/>
      <c r="R279" s="360"/>
      <c r="S279" s="360"/>
    </row>
    <row r="280" spans="4:19">
      <c r="D280" s="360"/>
      <c r="E280" s="360"/>
      <c r="F280" s="360"/>
      <c r="G280" s="360"/>
      <c r="H280" s="360"/>
      <c r="I280" s="360"/>
      <c r="J280" s="360"/>
      <c r="K280" s="360"/>
      <c r="L280" s="360"/>
      <c r="M280" s="360"/>
      <c r="N280" s="360"/>
      <c r="O280" s="360"/>
      <c r="P280" s="359"/>
      <c r="Q280" s="360"/>
      <c r="R280" s="360"/>
      <c r="S280" s="360"/>
    </row>
    <row r="281" spans="4:19">
      <c r="D281" s="360"/>
      <c r="E281" s="360"/>
      <c r="F281" s="360"/>
      <c r="G281" s="360"/>
      <c r="H281" s="360"/>
      <c r="I281" s="360"/>
      <c r="J281" s="360"/>
      <c r="K281" s="360"/>
      <c r="L281" s="360"/>
      <c r="M281" s="360"/>
      <c r="N281" s="360"/>
      <c r="O281" s="360"/>
      <c r="P281" s="359"/>
      <c r="Q281" s="360"/>
      <c r="R281" s="360"/>
      <c r="S281" s="360"/>
    </row>
    <row r="282" spans="4:19">
      <c r="D282" s="360"/>
      <c r="E282" s="360"/>
      <c r="F282" s="360"/>
      <c r="G282" s="360"/>
      <c r="H282" s="360"/>
      <c r="I282" s="360"/>
      <c r="J282" s="360"/>
      <c r="K282" s="360"/>
      <c r="L282" s="360"/>
      <c r="M282" s="360"/>
      <c r="N282" s="360"/>
      <c r="O282" s="360"/>
      <c r="P282" s="359"/>
      <c r="Q282" s="360"/>
      <c r="R282" s="360"/>
      <c r="S282" s="360"/>
    </row>
    <row r="283" spans="4:19">
      <c r="D283" s="360"/>
      <c r="E283" s="360"/>
      <c r="F283" s="360"/>
      <c r="G283" s="360"/>
      <c r="H283" s="360"/>
      <c r="I283" s="360"/>
      <c r="J283" s="360"/>
      <c r="K283" s="360"/>
      <c r="L283" s="360"/>
      <c r="M283" s="360"/>
      <c r="N283" s="360"/>
      <c r="O283" s="360"/>
      <c r="P283" s="359"/>
      <c r="Q283" s="360"/>
      <c r="R283" s="360"/>
      <c r="S283" s="360"/>
    </row>
    <row r="284" spans="4:19">
      <c r="D284" s="360"/>
      <c r="E284" s="360"/>
      <c r="F284" s="360"/>
      <c r="G284" s="360"/>
      <c r="H284" s="360"/>
      <c r="I284" s="360"/>
      <c r="J284" s="360"/>
      <c r="K284" s="360"/>
      <c r="L284" s="360"/>
      <c r="M284" s="360"/>
      <c r="N284" s="360"/>
      <c r="O284" s="360"/>
      <c r="P284" s="359"/>
      <c r="Q284" s="360"/>
      <c r="R284" s="360"/>
      <c r="S284" s="360"/>
    </row>
    <row r="285" spans="4:19">
      <c r="D285" s="360"/>
      <c r="E285" s="360"/>
      <c r="F285" s="360"/>
      <c r="G285" s="360"/>
      <c r="H285" s="360"/>
      <c r="I285" s="360"/>
      <c r="J285" s="360"/>
      <c r="K285" s="360"/>
      <c r="L285" s="360"/>
      <c r="M285" s="360"/>
      <c r="N285" s="360"/>
      <c r="O285" s="360"/>
      <c r="P285" s="359"/>
      <c r="Q285" s="360"/>
      <c r="R285" s="360"/>
      <c r="S285" s="360"/>
    </row>
    <row r="286" spans="4:19">
      <c r="D286" s="360"/>
      <c r="E286" s="360"/>
      <c r="F286" s="360"/>
      <c r="G286" s="360"/>
      <c r="H286" s="360"/>
      <c r="I286" s="360"/>
      <c r="J286" s="360"/>
      <c r="K286" s="360"/>
      <c r="L286" s="360"/>
      <c r="M286" s="360"/>
      <c r="N286" s="360"/>
      <c r="O286" s="360"/>
      <c r="P286" s="359"/>
      <c r="Q286" s="360"/>
      <c r="R286" s="360"/>
      <c r="S286" s="360"/>
    </row>
    <row r="287" spans="4:19">
      <c r="D287" s="360"/>
      <c r="E287" s="360"/>
      <c r="F287" s="360"/>
      <c r="G287" s="360"/>
      <c r="H287" s="360"/>
      <c r="I287" s="360"/>
      <c r="J287" s="360"/>
      <c r="K287" s="360"/>
      <c r="L287" s="360"/>
      <c r="M287" s="360"/>
      <c r="N287" s="360"/>
      <c r="O287" s="360"/>
      <c r="P287" s="359"/>
      <c r="Q287" s="360"/>
      <c r="R287" s="360"/>
      <c r="S287" s="360"/>
    </row>
    <row r="288" spans="4:19">
      <c r="D288" s="360"/>
      <c r="E288" s="360"/>
      <c r="F288" s="360"/>
      <c r="G288" s="360"/>
      <c r="H288" s="360"/>
      <c r="I288" s="360"/>
      <c r="J288" s="360"/>
      <c r="K288" s="360"/>
      <c r="L288" s="360"/>
      <c r="M288" s="360"/>
      <c r="N288" s="360"/>
      <c r="O288" s="360"/>
      <c r="P288" s="359"/>
      <c r="Q288" s="360"/>
      <c r="R288" s="360"/>
      <c r="S288" s="360"/>
    </row>
    <row r="289" spans="4:19">
      <c r="D289" s="360"/>
      <c r="E289" s="360"/>
      <c r="F289" s="360"/>
      <c r="G289" s="360"/>
      <c r="H289" s="360"/>
      <c r="I289" s="360"/>
      <c r="J289" s="360"/>
      <c r="K289" s="360"/>
      <c r="L289" s="360"/>
      <c r="M289" s="360"/>
      <c r="N289" s="360"/>
      <c r="O289" s="360"/>
      <c r="P289" s="359"/>
      <c r="Q289" s="360"/>
      <c r="R289" s="360"/>
      <c r="S289" s="360"/>
    </row>
    <row r="290" spans="4:19">
      <c r="D290" s="360"/>
      <c r="E290" s="360"/>
      <c r="F290" s="360"/>
      <c r="G290" s="360"/>
      <c r="H290" s="360"/>
      <c r="I290" s="360"/>
      <c r="J290" s="360"/>
      <c r="K290" s="360"/>
      <c r="L290" s="360"/>
      <c r="M290" s="360"/>
      <c r="N290" s="360"/>
      <c r="O290" s="360"/>
      <c r="P290" s="359"/>
      <c r="Q290" s="360"/>
      <c r="R290" s="360"/>
      <c r="S290" s="360"/>
    </row>
    <row r="291" spans="4:19">
      <c r="D291" s="360"/>
      <c r="E291" s="360"/>
      <c r="F291" s="360"/>
      <c r="G291" s="360"/>
      <c r="H291" s="360"/>
      <c r="I291" s="360"/>
      <c r="J291" s="360"/>
      <c r="K291" s="360"/>
      <c r="L291" s="360"/>
      <c r="M291" s="360"/>
      <c r="N291" s="360"/>
      <c r="O291" s="360"/>
      <c r="P291" s="359"/>
      <c r="Q291" s="360"/>
      <c r="R291" s="360"/>
      <c r="S291" s="360"/>
    </row>
    <row r="292" spans="4:19">
      <c r="D292" s="360"/>
      <c r="E292" s="360"/>
      <c r="F292" s="360"/>
      <c r="G292" s="360"/>
      <c r="H292" s="360"/>
      <c r="I292" s="360"/>
      <c r="J292" s="360"/>
      <c r="K292" s="360"/>
      <c r="L292" s="360"/>
      <c r="M292" s="360"/>
      <c r="N292" s="360"/>
      <c r="O292" s="360"/>
      <c r="P292" s="359"/>
      <c r="Q292" s="360"/>
      <c r="R292" s="360"/>
      <c r="S292" s="360"/>
    </row>
    <row r="293" spans="4:19">
      <c r="D293" s="360"/>
      <c r="E293" s="360"/>
      <c r="F293" s="360"/>
      <c r="G293" s="360"/>
      <c r="H293" s="360"/>
      <c r="I293" s="360"/>
      <c r="J293" s="360"/>
      <c r="K293" s="360"/>
      <c r="L293" s="360"/>
      <c r="M293" s="360"/>
      <c r="N293" s="360"/>
      <c r="O293" s="360"/>
      <c r="P293" s="359"/>
      <c r="Q293" s="360"/>
      <c r="R293" s="360"/>
      <c r="S293" s="360"/>
    </row>
    <row r="294" spans="4:19">
      <c r="D294" s="360"/>
      <c r="E294" s="360"/>
      <c r="F294" s="360"/>
      <c r="G294" s="360"/>
      <c r="H294" s="360"/>
      <c r="I294" s="360"/>
      <c r="J294" s="360"/>
      <c r="K294" s="360"/>
      <c r="L294" s="360"/>
      <c r="M294" s="360"/>
      <c r="N294" s="360"/>
      <c r="O294" s="360"/>
      <c r="P294" s="359"/>
      <c r="Q294" s="360"/>
      <c r="R294" s="360"/>
      <c r="S294" s="360"/>
    </row>
    <row r="295" spans="4:19">
      <c r="D295" s="360"/>
      <c r="E295" s="360"/>
      <c r="F295" s="360"/>
      <c r="G295" s="360"/>
      <c r="H295" s="360"/>
      <c r="I295" s="360"/>
      <c r="J295" s="360"/>
      <c r="K295" s="360"/>
      <c r="L295" s="360"/>
      <c r="M295" s="360"/>
      <c r="N295" s="360"/>
      <c r="O295" s="360"/>
      <c r="P295" s="359"/>
      <c r="Q295" s="360"/>
      <c r="R295" s="360"/>
      <c r="S295" s="360"/>
    </row>
    <row r="296" spans="4:19">
      <c r="D296" s="360"/>
      <c r="E296" s="360"/>
      <c r="F296" s="360"/>
      <c r="G296" s="360"/>
      <c r="H296" s="360"/>
      <c r="I296" s="360"/>
      <c r="J296" s="360"/>
      <c r="K296" s="360"/>
      <c r="L296" s="360"/>
      <c r="M296" s="360"/>
      <c r="N296" s="360"/>
      <c r="O296" s="360"/>
      <c r="P296" s="359"/>
      <c r="Q296" s="360"/>
      <c r="R296" s="360"/>
      <c r="S296" s="360"/>
    </row>
    <row r="297" spans="4:19">
      <c r="D297" s="360"/>
      <c r="E297" s="360"/>
      <c r="F297" s="360"/>
      <c r="G297" s="360"/>
      <c r="H297" s="360"/>
      <c r="I297" s="360"/>
      <c r="J297" s="360"/>
      <c r="K297" s="360"/>
      <c r="L297" s="360"/>
      <c r="M297" s="360"/>
      <c r="N297" s="360"/>
      <c r="O297" s="360"/>
      <c r="P297" s="359"/>
      <c r="Q297" s="360"/>
      <c r="R297" s="360"/>
      <c r="S297" s="360"/>
    </row>
    <row r="298" spans="4:19"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59"/>
      <c r="Q298" s="360"/>
      <c r="R298" s="360"/>
      <c r="S298" s="360"/>
    </row>
    <row r="299" spans="4:19">
      <c r="D299" s="360"/>
      <c r="E299" s="360"/>
      <c r="F299" s="360"/>
      <c r="G299" s="360"/>
      <c r="H299" s="360"/>
      <c r="I299" s="360"/>
      <c r="J299" s="360"/>
      <c r="K299" s="360"/>
      <c r="L299" s="360"/>
      <c r="M299" s="360"/>
      <c r="N299" s="360"/>
      <c r="O299" s="360"/>
      <c r="P299" s="359"/>
      <c r="Q299" s="360"/>
      <c r="R299" s="360"/>
      <c r="S299" s="360"/>
    </row>
    <row r="300" spans="4:19">
      <c r="D300" s="360"/>
      <c r="E300" s="360"/>
      <c r="F300" s="360"/>
      <c r="G300" s="360"/>
      <c r="H300" s="360"/>
      <c r="I300" s="360"/>
      <c r="J300" s="360"/>
      <c r="K300" s="360"/>
      <c r="L300" s="360"/>
      <c r="M300" s="360"/>
      <c r="N300" s="360"/>
      <c r="O300" s="360"/>
      <c r="P300" s="359"/>
      <c r="Q300" s="360"/>
      <c r="R300" s="360"/>
      <c r="S300" s="360"/>
    </row>
    <row r="301" spans="4:19">
      <c r="D301" s="360"/>
      <c r="E301" s="360"/>
      <c r="F301" s="360"/>
      <c r="G301" s="360"/>
      <c r="H301" s="360"/>
      <c r="I301" s="360"/>
      <c r="J301" s="360"/>
      <c r="K301" s="360"/>
      <c r="L301" s="360"/>
      <c r="M301" s="360"/>
      <c r="N301" s="360"/>
      <c r="O301" s="360"/>
      <c r="P301" s="359"/>
      <c r="Q301" s="360"/>
      <c r="R301" s="360"/>
      <c r="S301" s="360"/>
    </row>
    <row r="302" spans="4:19">
      <c r="D302" s="360"/>
      <c r="E302" s="360"/>
      <c r="F302" s="360"/>
      <c r="G302" s="360"/>
      <c r="H302" s="360"/>
      <c r="I302" s="360"/>
      <c r="J302" s="360"/>
      <c r="K302" s="360"/>
      <c r="L302" s="360"/>
      <c r="M302" s="360"/>
      <c r="N302" s="360"/>
      <c r="O302" s="360"/>
      <c r="P302" s="359"/>
      <c r="Q302" s="360"/>
      <c r="R302" s="360"/>
      <c r="S302" s="360"/>
    </row>
    <row r="303" spans="4:19">
      <c r="D303" s="360"/>
      <c r="E303" s="360"/>
      <c r="F303" s="360"/>
      <c r="G303" s="360"/>
      <c r="H303" s="360"/>
      <c r="I303" s="360"/>
      <c r="J303" s="360"/>
      <c r="K303" s="360"/>
      <c r="L303" s="360"/>
      <c r="M303" s="360"/>
      <c r="N303" s="360"/>
      <c r="O303" s="360"/>
      <c r="P303" s="359"/>
      <c r="Q303" s="360"/>
      <c r="R303" s="360"/>
      <c r="S303" s="360"/>
    </row>
    <row r="304" spans="4:19">
      <c r="D304" s="360"/>
      <c r="E304" s="360"/>
      <c r="F304" s="360"/>
      <c r="G304" s="360"/>
      <c r="H304" s="360"/>
      <c r="I304" s="360"/>
      <c r="J304" s="360"/>
      <c r="K304" s="360"/>
      <c r="L304" s="360"/>
      <c r="M304" s="360"/>
      <c r="N304" s="360"/>
      <c r="O304" s="360"/>
      <c r="P304" s="359"/>
      <c r="Q304" s="360"/>
      <c r="R304" s="360"/>
      <c r="S304" s="360"/>
    </row>
    <row r="305" spans="4:19">
      <c r="D305" s="360"/>
      <c r="E305" s="360"/>
      <c r="F305" s="360"/>
      <c r="G305" s="360"/>
      <c r="H305" s="360"/>
      <c r="I305" s="360"/>
      <c r="J305" s="360"/>
      <c r="K305" s="360"/>
      <c r="L305" s="360"/>
      <c r="M305" s="360"/>
      <c r="N305" s="360"/>
      <c r="O305" s="360"/>
      <c r="P305" s="359"/>
      <c r="Q305" s="360"/>
      <c r="R305" s="360"/>
      <c r="S305" s="360"/>
    </row>
    <row r="306" spans="4:19">
      <c r="D306" s="360"/>
      <c r="E306" s="360"/>
      <c r="F306" s="360"/>
      <c r="G306" s="360"/>
      <c r="H306" s="360"/>
      <c r="I306" s="360"/>
      <c r="J306" s="360"/>
      <c r="K306" s="360"/>
      <c r="L306" s="360"/>
      <c r="M306" s="360"/>
      <c r="N306" s="360"/>
      <c r="O306" s="360"/>
      <c r="P306" s="359"/>
      <c r="Q306" s="360"/>
      <c r="R306" s="360"/>
      <c r="S306" s="360"/>
    </row>
    <row r="307" spans="4:19">
      <c r="D307" s="360"/>
      <c r="E307" s="360"/>
      <c r="F307" s="360"/>
      <c r="G307" s="360"/>
      <c r="H307" s="360"/>
      <c r="I307" s="360"/>
      <c r="J307" s="360"/>
      <c r="K307" s="360"/>
      <c r="L307" s="360"/>
      <c r="M307" s="360"/>
      <c r="N307" s="360"/>
      <c r="O307" s="360"/>
      <c r="P307" s="359"/>
      <c r="Q307" s="360"/>
      <c r="R307" s="360"/>
      <c r="S307" s="360"/>
    </row>
    <row r="308" spans="4:19">
      <c r="D308" s="360"/>
      <c r="E308" s="360"/>
      <c r="F308" s="360"/>
      <c r="G308" s="360"/>
      <c r="H308" s="360"/>
      <c r="I308" s="360"/>
      <c r="J308" s="360"/>
      <c r="K308" s="360"/>
      <c r="L308" s="360"/>
      <c r="M308" s="360"/>
      <c r="N308" s="360"/>
      <c r="O308" s="360"/>
      <c r="P308" s="359"/>
      <c r="Q308" s="360"/>
      <c r="R308" s="360"/>
      <c r="S308" s="360"/>
    </row>
    <row r="309" spans="4:19">
      <c r="D309" s="360"/>
      <c r="E309" s="360"/>
      <c r="F309" s="360"/>
      <c r="G309" s="360"/>
      <c r="H309" s="360"/>
      <c r="I309" s="360"/>
      <c r="J309" s="360"/>
      <c r="K309" s="360"/>
      <c r="L309" s="360"/>
      <c r="M309" s="360"/>
      <c r="N309" s="360"/>
      <c r="O309" s="360"/>
      <c r="P309" s="359"/>
      <c r="Q309" s="360"/>
      <c r="R309" s="360"/>
      <c r="S309" s="360"/>
    </row>
    <row r="310" spans="4:19">
      <c r="D310" s="360"/>
      <c r="E310" s="360"/>
      <c r="F310" s="360"/>
      <c r="G310" s="360"/>
      <c r="H310" s="360"/>
      <c r="I310" s="360"/>
      <c r="J310" s="360"/>
      <c r="K310" s="360"/>
      <c r="L310" s="360"/>
      <c r="M310" s="360"/>
      <c r="N310" s="360"/>
      <c r="O310" s="360"/>
      <c r="P310" s="359"/>
      <c r="Q310" s="360"/>
      <c r="R310" s="360"/>
      <c r="S310" s="360"/>
    </row>
    <row r="311" spans="4:19">
      <c r="D311" s="360"/>
      <c r="E311" s="360"/>
      <c r="F311" s="360"/>
      <c r="G311" s="360"/>
      <c r="H311" s="360"/>
      <c r="I311" s="360"/>
      <c r="J311" s="360"/>
      <c r="K311" s="360"/>
      <c r="L311" s="360"/>
      <c r="M311" s="360"/>
      <c r="N311" s="360"/>
      <c r="O311" s="360"/>
      <c r="P311" s="359"/>
      <c r="Q311" s="360"/>
      <c r="R311" s="360"/>
      <c r="S311" s="360"/>
    </row>
    <row r="312" spans="4:19">
      <c r="D312" s="360"/>
      <c r="E312" s="360"/>
      <c r="F312" s="360"/>
      <c r="G312" s="360"/>
      <c r="H312" s="360"/>
      <c r="I312" s="360"/>
      <c r="J312" s="360"/>
      <c r="K312" s="360"/>
      <c r="L312" s="360"/>
      <c r="M312" s="360"/>
      <c r="N312" s="360"/>
      <c r="O312" s="360"/>
      <c r="P312" s="359"/>
      <c r="Q312" s="360"/>
      <c r="R312" s="360"/>
      <c r="S312" s="360"/>
    </row>
    <row r="313" spans="4:19">
      <c r="D313" s="360"/>
      <c r="E313" s="360"/>
      <c r="F313" s="360"/>
      <c r="G313" s="360"/>
      <c r="H313" s="360"/>
      <c r="I313" s="360"/>
      <c r="J313" s="360"/>
      <c r="K313" s="360"/>
      <c r="L313" s="360"/>
      <c r="M313" s="360"/>
      <c r="N313" s="360"/>
      <c r="O313" s="360"/>
      <c r="P313" s="359"/>
      <c r="Q313" s="360"/>
      <c r="R313" s="360"/>
      <c r="S313" s="360"/>
    </row>
    <row r="314" spans="4:19">
      <c r="D314" s="360"/>
      <c r="E314" s="360"/>
      <c r="F314" s="360"/>
      <c r="G314" s="360"/>
      <c r="H314" s="360"/>
      <c r="I314" s="360"/>
      <c r="J314" s="360"/>
      <c r="K314" s="360"/>
      <c r="L314" s="360"/>
      <c r="M314" s="360"/>
      <c r="N314" s="360"/>
      <c r="O314" s="360"/>
      <c r="P314" s="359"/>
      <c r="Q314" s="360"/>
      <c r="R314" s="360"/>
      <c r="S314" s="360"/>
    </row>
    <row r="315" spans="4:19">
      <c r="D315" s="360"/>
      <c r="E315" s="360"/>
      <c r="F315" s="360"/>
      <c r="G315" s="360"/>
      <c r="H315" s="360"/>
      <c r="I315" s="360"/>
      <c r="J315" s="360"/>
      <c r="K315" s="360"/>
      <c r="L315" s="360"/>
      <c r="M315" s="360"/>
      <c r="N315" s="360"/>
      <c r="O315" s="360"/>
      <c r="P315" s="359"/>
      <c r="Q315" s="360"/>
      <c r="R315" s="360"/>
      <c r="S315" s="360"/>
    </row>
    <row r="316" spans="4:19">
      <c r="D316" s="360"/>
      <c r="E316" s="360"/>
      <c r="F316" s="360"/>
      <c r="G316" s="360"/>
      <c r="H316" s="360"/>
      <c r="I316" s="360"/>
      <c r="J316" s="360"/>
      <c r="K316" s="360"/>
      <c r="L316" s="360"/>
      <c r="M316" s="360"/>
      <c r="N316" s="360"/>
      <c r="O316" s="360"/>
      <c r="P316" s="359"/>
      <c r="Q316" s="360"/>
      <c r="R316" s="360"/>
      <c r="S316" s="360"/>
    </row>
    <row r="317" spans="4:19">
      <c r="D317" s="360"/>
      <c r="E317" s="360"/>
      <c r="F317" s="360"/>
      <c r="G317" s="360"/>
      <c r="H317" s="360"/>
      <c r="I317" s="360"/>
      <c r="J317" s="360"/>
      <c r="K317" s="360"/>
      <c r="L317" s="360"/>
      <c r="M317" s="360"/>
      <c r="N317" s="360"/>
      <c r="O317" s="360"/>
      <c r="P317" s="359"/>
      <c r="Q317" s="360"/>
      <c r="R317" s="360"/>
      <c r="S317" s="360"/>
    </row>
    <row r="318" spans="4:19">
      <c r="D318" s="360"/>
      <c r="E318" s="360"/>
      <c r="F318" s="360"/>
      <c r="G318" s="360"/>
      <c r="H318" s="360"/>
      <c r="I318" s="360"/>
      <c r="J318" s="360"/>
      <c r="K318" s="360"/>
      <c r="L318" s="360"/>
      <c r="M318" s="360"/>
      <c r="N318" s="360"/>
      <c r="O318" s="360"/>
      <c r="P318" s="359"/>
      <c r="Q318" s="360"/>
      <c r="R318" s="360"/>
      <c r="S318" s="360"/>
    </row>
    <row r="319" spans="4:19">
      <c r="D319" s="360"/>
      <c r="E319" s="360"/>
      <c r="F319" s="360"/>
      <c r="G319" s="360"/>
      <c r="H319" s="360"/>
      <c r="I319" s="360"/>
      <c r="J319" s="360"/>
      <c r="K319" s="360"/>
      <c r="L319" s="360"/>
      <c r="M319" s="360"/>
      <c r="N319" s="360"/>
      <c r="O319" s="360"/>
      <c r="P319" s="359"/>
      <c r="Q319" s="360"/>
      <c r="R319" s="360"/>
      <c r="S319" s="360"/>
    </row>
    <row r="320" spans="4:19"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59"/>
      <c r="Q320" s="360"/>
      <c r="R320" s="360"/>
      <c r="S320" s="360"/>
    </row>
    <row r="321" spans="4:19">
      <c r="D321" s="360"/>
      <c r="E321" s="360"/>
      <c r="F321" s="360"/>
      <c r="G321" s="360"/>
      <c r="H321" s="360"/>
      <c r="I321" s="360"/>
      <c r="J321" s="360"/>
      <c r="K321" s="360"/>
      <c r="L321" s="360"/>
      <c r="M321" s="360"/>
      <c r="N321" s="360"/>
      <c r="O321" s="360"/>
      <c r="P321" s="359"/>
      <c r="Q321" s="360"/>
      <c r="R321" s="360"/>
      <c r="S321" s="360"/>
    </row>
    <row r="322" spans="4:19">
      <c r="D322" s="360"/>
      <c r="E322" s="360"/>
      <c r="F322" s="360"/>
      <c r="G322" s="360"/>
      <c r="H322" s="360"/>
      <c r="I322" s="360"/>
      <c r="J322" s="360"/>
      <c r="K322" s="360"/>
      <c r="L322" s="360"/>
      <c r="M322" s="360"/>
      <c r="N322" s="360"/>
      <c r="O322" s="360"/>
      <c r="P322" s="359"/>
      <c r="Q322" s="360"/>
      <c r="R322" s="360"/>
      <c r="S322" s="360"/>
    </row>
    <row r="323" spans="4:19">
      <c r="D323" s="360"/>
      <c r="E323" s="360"/>
      <c r="F323" s="360"/>
      <c r="G323" s="360"/>
      <c r="H323" s="360"/>
      <c r="I323" s="360"/>
      <c r="J323" s="360"/>
      <c r="K323" s="360"/>
      <c r="L323" s="360"/>
      <c r="M323" s="360"/>
      <c r="N323" s="360"/>
      <c r="O323" s="360"/>
      <c r="P323" s="359"/>
      <c r="Q323" s="360"/>
      <c r="R323" s="360"/>
      <c r="S323" s="360"/>
    </row>
    <row r="324" spans="4:19"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59"/>
      <c r="Q324" s="360"/>
      <c r="R324" s="360"/>
      <c r="S324" s="360"/>
    </row>
    <row r="325" spans="4:19"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59"/>
      <c r="Q325" s="360"/>
      <c r="R325" s="360"/>
      <c r="S325" s="360"/>
    </row>
    <row r="326" spans="4:19"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59"/>
      <c r="Q326" s="360"/>
      <c r="R326" s="360"/>
      <c r="S326" s="360"/>
    </row>
    <row r="327" spans="4:19"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59"/>
      <c r="Q327" s="360"/>
      <c r="R327" s="360"/>
      <c r="S327" s="360"/>
    </row>
    <row r="328" spans="4:19"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59"/>
      <c r="Q328" s="360"/>
      <c r="R328" s="360"/>
      <c r="S328" s="360"/>
    </row>
    <row r="329" spans="4:19"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59"/>
      <c r="Q329" s="360"/>
      <c r="R329" s="360"/>
      <c r="S329" s="360"/>
    </row>
    <row r="330" spans="4:19"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59"/>
      <c r="Q330" s="360"/>
      <c r="R330" s="360"/>
      <c r="S330" s="360"/>
    </row>
    <row r="331" spans="4:19"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59"/>
      <c r="Q331" s="360"/>
      <c r="R331" s="360"/>
      <c r="S331" s="360"/>
    </row>
    <row r="332" spans="4:19"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59"/>
      <c r="Q332" s="360"/>
      <c r="R332" s="360"/>
      <c r="S332" s="360"/>
    </row>
    <row r="333" spans="4:19"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59"/>
      <c r="Q333" s="360"/>
      <c r="R333" s="360"/>
      <c r="S333" s="360"/>
    </row>
    <row r="334" spans="4:19"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59"/>
      <c r="Q334" s="360"/>
      <c r="R334" s="360"/>
      <c r="S334" s="360"/>
    </row>
    <row r="335" spans="4:19"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59"/>
      <c r="Q335" s="360"/>
      <c r="R335" s="360"/>
      <c r="S335" s="360"/>
    </row>
    <row r="336" spans="4:19"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59"/>
      <c r="Q336" s="360"/>
      <c r="R336" s="360"/>
      <c r="S336" s="360"/>
    </row>
    <row r="337" spans="4:19"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59"/>
      <c r="Q337" s="360"/>
      <c r="R337" s="360"/>
      <c r="S337" s="360"/>
    </row>
    <row r="338" spans="4:19"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59"/>
      <c r="Q338" s="360"/>
      <c r="R338" s="360"/>
      <c r="S338" s="360"/>
    </row>
    <row r="339" spans="4:19"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59"/>
      <c r="Q339" s="360"/>
      <c r="R339" s="360"/>
      <c r="S339" s="360"/>
    </row>
    <row r="340" spans="4:19"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59"/>
      <c r="Q340" s="360"/>
      <c r="R340" s="360"/>
      <c r="S340" s="360"/>
    </row>
    <row r="341" spans="4:19"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59"/>
      <c r="Q341" s="360"/>
      <c r="R341" s="360"/>
      <c r="S341" s="360"/>
    </row>
    <row r="342" spans="4:19"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59"/>
      <c r="Q342" s="360"/>
      <c r="R342" s="360"/>
      <c r="S342" s="360"/>
    </row>
    <row r="343" spans="4:19"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59"/>
      <c r="Q343" s="360"/>
      <c r="R343" s="360"/>
      <c r="S343" s="360"/>
    </row>
    <row r="344" spans="4:19"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59"/>
      <c r="Q344" s="360"/>
      <c r="R344" s="360"/>
      <c r="S344" s="360"/>
    </row>
    <row r="345" spans="4:19"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59"/>
      <c r="Q345" s="360"/>
      <c r="R345" s="360"/>
      <c r="S345" s="360"/>
    </row>
    <row r="346" spans="4:19"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59"/>
      <c r="Q346" s="360"/>
      <c r="R346" s="360"/>
      <c r="S346" s="360"/>
    </row>
    <row r="347" spans="4:19"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59"/>
      <c r="Q347" s="360"/>
      <c r="R347" s="360"/>
      <c r="S347" s="360"/>
    </row>
    <row r="348" spans="4:19"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59"/>
      <c r="Q348" s="360"/>
      <c r="R348" s="360"/>
      <c r="S348" s="360"/>
    </row>
    <row r="349" spans="4:19"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59"/>
      <c r="Q349" s="360"/>
      <c r="R349" s="360"/>
      <c r="S349" s="360"/>
    </row>
    <row r="350" spans="4:19"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59"/>
      <c r="Q350" s="360"/>
      <c r="R350" s="360"/>
      <c r="S350" s="360"/>
    </row>
    <row r="351" spans="4:19"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59"/>
      <c r="Q351" s="360"/>
      <c r="R351" s="360"/>
      <c r="S351" s="360"/>
    </row>
    <row r="352" spans="4:19"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59"/>
      <c r="Q352" s="360"/>
      <c r="R352" s="360"/>
      <c r="S352" s="360"/>
    </row>
    <row r="353" spans="4:19"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59"/>
      <c r="Q353" s="360"/>
      <c r="R353" s="360"/>
      <c r="S353" s="360"/>
    </row>
    <row r="354" spans="4:19"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59"/>
      <c r="Q354" s="360"/>
      <c r="R354" s="360"/>
      <c r="S354" s="360"/>
    </row>
    <row r="355" spans="4:19"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59"/>
      <c r="Q355" s="360"/>
      <c r="R355" s="360"/>
      <c r="S355" s="360"/>
    </row>
    <row r="356" spans="4:19"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59"/>
      <c r="Q356" s="360"/>
      <c r="R356" s="360"/>
      <c r="S356" s="360"/>
    </row>
    <row r="357" spans="4:19"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59"/>
      <c r="Q357" s="360"/>
      <c r="R357" s="360"/>
      <c r="S357" s="360"/>
    </row>
    <row r="358" spans="4:19"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59"/>
      <c r="Q358" s="360"/>
      <c r="R358" s="360"/>
      <c r="S358" s="360"/>
    </row>
    <row r="359" spans="4:19"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59"/>
      <c r="Q359" s="360"/>
      <c r="R359" s="360"/>
      <c r="S359" s="360"/>
    </row>
    <row r="360" spans="4:19"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59"/>
      <c r="Q360" s="360"/>
      <c r="R360" s="360"/>
      <c r="S360" s="360"/>
    </row>
    <row r="361" spans="4:19"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59"/>
      <c r="Q361" s="360"/>
      <c r="R361" s="360"/>
      <c r="S361" s="360"/>
    </row>
    <row r="362" spans="4:19"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59"/>
      <c r="Q362" s="360"/>
      <c r="R362" s="360"/>
      <c r="S362" s="360"/>
    </row>
    <row r="363" spans="4:19"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59"/>
      <c r="Q363" s="360"/>
      <c r="R363" s="360"/>
      <c r="S363" s="360"/>
    </row>
    <row r="364" spans="4:19"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59"/>
      <c r="Q364" s="360"/>
      <c r="R364" s="360"/>
      <c r="S364" s="360"/>
    </row>
    <row r="365" spans="4:19"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59"/>
      <c r="Q365" s="360"/>
      <c r="R365" s="360"/>
      <c r="S365" s="360"/>
    </row>
    <row r="366" spans="4:19"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59"/>
      <c r="Q366" s="360"/>
      <c r="R366" s="360"/>
      <c r="S366" s="360"/>
    </row>
    <row r="367" spans="4:19"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59"/>
      <c r="Q367" s="360"/>
      <c r="R367" s="360"/>
      <c r="S367" s="360"/>
    </row>
    <row r="368" spans="4:19"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59"/>
      <c r="Q368" s="360"/>
      <c r="R368" s="360"/>
      <c r="S368" s="360"/>
    </row>
    <row r="369" spans="4:19"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59"/>
      <c r="Q369" s="360"/>
      <c r="R369" s="360"/>
      <c r="S369" s="360"/>
    </row>
    <row r="370" spans="4:19"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59"/>
      <c r="Q370" s="360"/>
      <c r="R370" s="360"/>
      <c r="S370" s="360"/>
    </row>
    <row r="371" spans="4:19"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59"/>
      <c r="Q371" s="360"/>
      <c r="R371" s="360"/>
      <c r="S371" s="360"/>
    </row>
    <row r="372" spans="4:19"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59"/>
      <c r="Q372" s="360"/>
      <c r="R372" s="360"/>
      <c r="S372" s="360"/>
    </row>
    <row r="373" spans="4:19"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59"/>
      <c r="Q373" s="360"/>
      <c r="R373" s="360"/>
      <c r="S373" s="360"/>
    </row>
    <row r="374" spans="4:19"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59"/>
      <c r="Q374" s="360"/>
      <c r="R374" s="360"/>
      <c r="S374" s="360"/>
    </row>
    <row r="375" spans="4:19"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59"/>
      <c r="Q375" s="360"/>
      <c r="R375" s="360"/>
      <c r="S375" s="360"/>
    </row>
    <row r="376" spans="4:19"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59"/>
      <c r="Q376" s="360"/>
      <c r="R376" s="360"/>
      <c r="S376" s="360"/>
    </row>
    <row r="377" spans="4:19"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59"/>
      <c r="Q377" s="360"/>
      <c r="R377" s="360"/>
      <c r="S377" s="360"/>
    </row>
    <row r="378" spans="4:19"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59"/>
      <c r="Q378" s="360"/>
      <c r="R378" s="360"/>
      <c r="S378" s="360"/>
    </row>
    <row r="379" spans="4:19"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59"/>
      <c r="Q379" s="360"/>
      <c r="R379" s="360"/>
      <c r="S379" s="360"/>
    </row>
    <row r="380" spans="4:19"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59"/>
      <c r="Q380" s="360"/>
      <c r="R380" s="360"/>
      <c r="S380" s="360"/>
    </row>
    <row r="381" spans="4:19"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59"/>
      <c r="Q381" s="360"/>
      <c r="R381" s="360"/>
      <c r="S381" s="360"/>
    </row>
    <row r="382" spans="4:19"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59"/>
      <c r="Q382" s="360"/>
      <c r="R382" s="360"/>
      <c r="S382" s="360"/>
    </row>
    <row r="383" spans="4:19"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59"/>
      <c r="Q383" s="360"/>
      <c r="R383" s="360"/>
      <c r="S383" s="360"/>
    </row>
    <row r="384" spans="4:19"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59"/>
      <c r="Q384" s="360"/>
      <c r="R384" s="360"/>
      <c r="S384" s="360"/>
    </row>
    <row r="385" spans="4:19"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59"/>
      <c r="Q385" s="360"/>
      <c r="R385" s="360"/>
      <c r="S385" s="360"/>
    </row>
    <row r="386" spans="4:19"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59"/>
      <c r="Q386" s="360"/>
      <c r="R386" s="360"/>
      <c r="S386" s="360"/>
    </row>
    <row r="387" spans="4:19"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59"/>
      <c r="Q387" s="360"/>
      <c r="R387" s="360"/>
      <c r="S387" s="360"/>
    </row>
    <row r="388" spans="4:19"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59"/>
      <c r="Q388" s="360"/>
      <c r="R388" s="360"/>
      <c r="S388" s="360"/>
    </row>
    <row r="389" spans="4:19"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59"/>
      <c r="Q389" s="360"/>
      <c r="R389" s="360"/>
      <c r="S389" s="360"/>
    </row>
    <row r="390" spans="4:19"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59"/>
      <c r="Q390" s="360"/>
      <c r="R390" s="360"/>
      <c r="S390" s="360"/>
    </row>
    <row r="391" spans="4:19"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59"/>
      <c r="Q391" s="360"/>
      <c r="R391" s="360"/>
      <c r="S391" s="360"/>
    </row>
    <row r="392" spans="4:19"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59"/>
      <c r="Q392" s="360"/>
      <c r="R392" s="360"/>
      <c r="S392" s="360"/>
    </row>
    <row r="393" spans="4:19"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59"/>
      <c r="Q393" s="360"/>
      <c r="R393" s="360"/>
      <c r="S393" s="360"/>
    </row>
    <row r="394" spans="4:19"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59"/>
      <c r="Q394" s="360"/>
      <c r="R394" s="360"/>
      <c r="S394" s="360"/>
    </row>
    <row r="395" spans="4:19"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59"/>
      <c r="Q395" s="360"/>
      <c r="R395" s="360"/>
      <c r="S395" s="360"/>
    </row>
    <row r="396" spans="4:19"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59"/>
      <c r="Q396" s="360"/>
      <c r="R396" s="360"/>
      <c r="S396" s="360"/>
    </row>
    <row r="397" spans="4:19"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59"/>
      <c r="Q397" s="360"/>
      <c r="R397" s="360"/>
      <c r="S397" s="360"/>
    </row>
    <row r="398" spans="4:19">
      <c r="D398" s="360"/>
      <c r="E398" s="360"/>
      <c r="F398" s="360"/>
      <c r="G398" s="360"/>
      <c r="H398" s="360"/>
      <c r="I398" s="360"/>
      <c r="J398" s="360"/>
      <c r="K398" s="360"/>
      <c r="L398" s="360"/>
      <c r="M398" s="360"/>
      <c r="N398" s="360"/>
      <c r="O398" s="360"/>
      <c r="P398" s="359"/>
      <c r="Q398" s="360"/>
      <c r="R398" s="360"/>
      <c r="S398" s="360"/>
    </row>
    <row r="399" spans="4:19">
      <c r="D399" s="360"/>
      <c r="E399" s="360"/>
      <c r="F399" s="360"/>
      <c r="G399" s="360"/>
      <c r="H399" s="360"/>
      <c r="I399" s="360"/>
      <c r="J399" s="360"/>
      <c r="K399" s="360"/>
      <c r="L399" s="360"/>
      <c r="M399" s="360"/>
      <c r="N399" s="360"/>
      <c r="O399" s="360"/>
      <c r="P399" s="359"/>
      <c r="Q399" s="360"/>
      <c r="R399" s="360"/>
      <c r="S399" s="360"/>
    </row>
    <row r="400" spans="4:19">
      <c r="D400" s="360"/>
      <c r="E400" s="360"/>
      <c r="F400" s="360"/>
      <c r="G400" s="360"/>
      <c r="H400" s="360"/>
      <c r="I400" s="360"/>
      <c r="J400" s="360"/>
      <c r="K400" s="360"/>
      <c r="L400" s="360"/>
      <c r="M400" s="360"/>
      <c r="N400" s="360"/>
      <c r="O400" s="360"/>
      <c r="P400" s="359"/>
      <c r="Q400" s="360"/>
      <c r="R400" s="360"/>
      <c r="S400" s="360"/>
    </row>
    <row r="401" spans="4:19">
      <c r="D401" s="360"/>
      <c r="E401" s="360"/>
      <c r="F401" s="360"/>
      <c r="G401" s="360"/>
      <c r="H401" s="360"/>
      <c r="I401" s="360"/>
      <c r="J401" s="360"/>
      <c r="K401" s="360"/>
      <c r="L401" s="360"/>
      <c r="M401" s="360"/>
      <c r="N401" s="360"/>
      <c r="O401" s="360"/>
      <c r="P401" s="359"/>
      <c r="Q401" s="360"/>
      <c r="R401" s="360"/>
      <c r="S401" s="360"/>
    </row>
    <row r="402" spans="4:19">
      <c r="D402" s="360"/>
      <c r="E402" s="360"/>
      <c r="F402" s="360"/>
      <c r="G402" s="360"/>
      <c r="H402" s="360"/>
      <c r="I402" s="360"/>
      <c r="J402" s="360"/>
      <c r="K402" s="360"/>
      <c r="L402" s="360"/>
      <c r="M402" s="360"/>
      <c r="N402" s="360"/>
      <c r="O402" s="360"/>
      <c r="P402" s="359"/>
      <c r="Q402" s="360"/>
      <c r="R402" s="360"/>
      <c r="S402" s="360"/>
    </row>
    <row r="403" spans="4:19">
      <c r="D403" s="360"/>
      <c r="E403" s="360"/>
      <c r="F403" s="360"/>
      <c r="G403" s="360"/>
      <c r="H403" s="360"/>
      <c r="I403" s="360"/>
      <c r="J403" s="360"/>
      <c r="K403" s="360"/>
      <c r="L403" s="360"/>
      <c r="M403" s="360"/>
      <c r="N403" s="360"/>
      <c r="O403" s="360"/>
      <c r="P403" s="359"/>
      <c r="Q403" s="360"/>
      <c r="R403" s="360"/>
      <c r="S403" s="360"/>
    </row>
    <row r="404" spans="4:19">
      <c r="D404" s="360"/>
      <c r="E404" s="360"/>
      <c r="F404" s="360"/>
      <c r="G404" s="360"/>
      <c r="H404" s="360"/>
      <c r="I404" s="360"/>
      <c r="J404" s="360"/>
      <c r="K404" s="360"/>
      <c r="L404" s="360"/>
      <c r="M404" s="360"/>
      <c r="N404" s="360"/>
      <c r="O404" s="360"/>
      <c r="P404" s="359"/>
      <c r="Q404" s="360"/>
      <c r="R404" s="360"/>
      <c r="S404" s="360"/>
    </row>
    <row r="405" spans="4:19">
      <c r="D405" s="360"/>
      <c r="E405" s="360"/>
      <c r="F405" s="360"/>
      <c r="G405" s="360"/>
      <c r="H405" s="360"/>
      <c r="I405" s="360"/>
      <c r="J405" s="360"/>
      <c r="K405" s="360"/>
      <c r="L405" s="360"/>
      <c r="M405" s="360"/>
      <c r="N405" s="360"/>
      <c r="O405" s="360"/>
      <c r="P405" s="359"/>
      <c r="Q405" s="360"/>
      <c r="R405" s="360"/>
      <c r="S405" s="360"/>
    </row>
    <row r="406" spans="4:19">
      <c r="D406" s="360"/>
      <c r="E406" s="360"/>
      <c r="F406" s="360"/>
      <c r="G406" s="360"/>
      <c r="H406" s="360"/>
      <c r="I406" s="360"/>
      <c r="J406" s="360"/>
      <c r="K406" s="360"/>
      <c r="L406" s="360"/>
      <c r="M406" s="360"/>
      <c r="N406" s="360"/>
      <c r="O406" s="360"/>
      <c r="P406" s="359"/>
      <c r="Q406" s="360"/>
      <c r="R406" s="360"/>
      <c r="S406" s="360"/>
    </row>
    <row r="407" spans="4:19">
      <c r="D407" s="360"/>
      <c r="E407" s="360"/>
      <c r="F407" s="360"/>
      <c r="G407" s="360"/>
      <c r="H407" s="360"/>
      <c r="I407" s="360"/>
      <c r="J407" s="360"/>
      <c r="K407" s="360"/>
      <c r="L407" s="360"/>
      <c r="M407" s="360"/>
      <c r="N407" s="360"/>
      <c r="O407" s="360"/>
      <c r="P407" s="359"/>
      <c r="Q407" s="360"/>
      <c r="R407" s="360"/>
      <c r="S407" s="360"/>
    </row>
    <row r="408" spans="4:19">
      <c r="D408" s="360"/>
      <c r="E408" s="360"/>
      <c r="F408" s="360"/>
      <c r="G408" s="360"/>
      <c r="H408" s="360"/>
      <c r="I408" s="360"/>
      <c r="J408" s="360"/>
      <c r="K408" s="360"/>
      <c r="L408" s="360"/>
      <c r="M408" s="360"/>
      <c r="N408" s="360"/>
      <c r="O408" s="360"/>
      <c r="P408" s="359"/>
      <c r="Q408" s="360"/>
      <c r="R408" s="360"/>
      <c r="S408" s="360"/>
    </row>
    <row r="409" spans="4:19">
      <c r="D409" s="360"/>
      <c r="E409" s="360"/>
      <c r="F409" s="360"/>
      <c r="G409" s="360"/>
      <c r="H409" s="360"/>
      <c r="I409" s="360"/>
      <c r="J409" s="360"/>
      <c r="K409" s="360"/>
      <c r="L409" s="360"/>
      <c r="M409" s="360"/>
      <c r="N409" s="360"/>
      <c r="O409" s="360"/>
      <c r="P409" s="359"/>
      <c r="Q409" s="360"/>
      <c r="R409" s="360"/>
      <c r="S409" s="360"/>
    </row>
    <row r="410" spans="4:19">
      <c r="D410" s="360"/>
      <c r="E410" s="360"/>
      <c r="F410" s="360"/>
      <c r="G410" s="360"/>
      <c r="H410" s="360"/>
      <c r="I410" s="360"/>
      <c r="J410" s="360"/>
      <c r="K410" s="360"/>
      <c r="L410" s="360"/>
      <c r="M410" s="360"/>
      <c r="N410" s="360"/>
      <c r="O410" s="360"/>
      <c r="P410" s="359"/>
      <c r="Q410" s="360"/>
      <c r="R410" s="360"/>
      <c r="S410" s="360"/>
    </row>
    <row r="411" spans="4:19">
      <c r="D411" s="360"/>
      <c r="E411" s="360"/>
      <c r="F411" s="360"/>
      <c r="G411" s="360"/>
      <c r="H411" s="360"/>
      <c r="I411" s="360"/>
      <c r="J411" s="360"/>
      <c r="K411" s="360"/>
      <c r="L411" s="360"/>
      <c r="M411" s="360"/>
      <c r="N411" s="360"/>
      <c r="O411" s="360"/>
      <c r="P411" s="359"/>
      <c r="Q411" s="360"/>
      <c r="R411" s="360"/>
      <c r="S411" s="360"/>
    </row>
    <row r="412" spans="4:19">
      <c r="D412" s="360"/>
      <c r="E412" s="360"/>
      <c r="F412" s="360"/>
      <c r="G412" s="360"/>
      <c r="H412" s="360"/>
      <c r="I412" s="360"/>
      <c r="J412" s="360"/>
      <c r="K412" s="360"/>
      <c r="L412" s="360"/>
      <c r="M412" s="360"/>
      <c r="N412" s="360"/>
      <c r="O412" s="360"/>
      <c r="P412" s="359"/>
      <c r="Q412" s="360"/>
      <c r="R412" s="360"/>
      <c r="S412" s="360"/>
    </row>
    <row r="413" spans="4:19">
      <c r="D413" s="360"/>
      <c r="E413" s="360"/>
      <c r="F413" s="360"/>
      <c r="G413" s="360"/>
      <c r="H413" s="360"/>
      <c r="I413" s="360"/>
      <c r="J413" s="360"/>
      <c r="K413" s="360"/>
      <c r="L413" s="360"/>
      <c r="M413" s="360"/>
      <c r="N413" s="360"/>
      <c r="O413" s="360"/>
      <c r="P413" s="359"/>
      <c r="Q413" s="360"/>
      <c r="R413" s="360"/>
      <c r="S413" s="360"/>
    </row>
    <row r="414" spans="4:19">
      <c r="D414" s="360"/>
      <c r="E414" s="360"/>
      <c r="F414" s="360"/>
      <c r="G414" s="360"/>
      <c r="H414" s="360"/>
      <c r="I414" s="360"/>
      <c r="J414" s="360"/>
      <c r="K414" s="360"/>
      <c r="L414" s="360"/>
      <c r="M414" s="360"/>
      <c r="N414" s="360"/>
      <c r="O414" s="360"/>
      <c r="P414" s="359"/>
      <c r="Q414" s="360"/>
      <c r="R414" s="360"/>
      <c r="S414" s="360"/>
    </row>
    <row r="415" spans="4:19">
      <c r="D415" s="360"/>
      <c r="E415" s="360"/>
      <c r="F415" s="360"/>
      <c r="G415" s="360"/>
      <c r="H415" s="360"/>
      <c r="I415" s="360"/>
      <c r="J415" s="360"/>
      <c r="K415" s="360"/>
      <c r="L415" s="360"/>
      <c r="M415" s="360"/>
      <c r="N415" s="360"/>
      <c r="O415" s="360"/>
      <c r="P415" s="359"/>
      <c r="Q415" s="360"/>
      <c r="R415" s="360"/>
      <c r="S415" s="360"/>
    </row>
    <row r="416" spans="4:19">
      <c r="D416" s="360"/>
      <c r="E416" s="360"/>
      <c r="F416" s="360"/>
      <c r="G416" s="360"/>
      <c r="H416" s="360"/>
      <c r="I416" s="360"/>
      <c r="J416" s="360"/>
      <c r="K416" s="360"/>
      <c r="L416" s="360"/>
      <c r="M416" s="360"/>
      <c r="N416" s="360"/>
      <c r="O416" s="360"/>
      <c r="P416" s="359"/>
      <c r="Q416" s="360"/>
      <c r="R416" s="360"/>
      <c r="S416" s="360"/>
    </row>
    <row r="417" spans="4:19">
      <c r="D417" s="360"/>
      <c r="E417" s="360"/>
      <c r="F417" s="360"/>
      <c r="G417" s="360"/>
      <c r="H417" s="360"/>
      <c r="I417" s="360"/>
      <c r="J417" s="360"/>
      <c r="K417" s="360"/>
      <c r="L417" s="360"/>
      <c r="M417" s="360"/>
      <c r="N417" s="360"/>
      <c r="O417" s="360"/>
      <c r="P417" s="359"/>
      <c r="Q417" s="360"/>
      <c r="R417" s="360"/>
      <c r="S417" s="360"/>
    </row>
    <row r="418" spans="4:19">
      <c r="D418" s="360"/>
      <c r="E418" s="360"/>
      <c r="F418" s="360"/>
      <c r="G418" s="360"/>
      <c r="H418" s="360"/>
      <c r="I418" s="360"/>
      <c r="J418" s="360"/>
      <c r="K418" s="360"/>
      <c r="L418" s="360"/>
      <c r="M418" s="360"/>
      <c r="N418" s="360"/>
      <c r="O418" s="360"/>
      <c r="P418" s="359"/>
      <c r="Q418" s="360"/>
      <c r="R418" s="360"/>
      <c r="S418" s="360"/>
    </row>
    <row r="419" spans="4:19">
      <c r="D419" s="360"/>
      <c r="E419" s="360"/>
      <c r="F419" s="360"/>
      <c r="G419" s="360"/>
      <c r="H419" s="360"/>
      <c r="I419" s="360"/>
      <c r="J419" s="360"/>
      <c r="K419" s="360"/>
      <c r="L419" s="360"/>
      <c r="M419" s="360"/>
      <c r="N419" s="360"/>
      <c r="O419" s="360"/>
      <c r="P419" s="359"/>
      <c r="Q419" s="360"/>
      <c r="R419" s="360"/>
      <c r="S419" s="360"/>
    </row>
    <row r="420" spans="4:19">
      <c r="D420" s="360"/>
      <c r="E420" s="360"/>
      <c r="F420" s="360"/>
      <c r="G420" s="360"/>
      <c r="H420" s="360"/>
      <c r="I420" s="360"/>
      <c r="J420" s="360"/>
      <c r="K420" s="360"/>
      <c r="L420" s="360"/>
      <c r="M420" s="360"/>
      <c r="N420" s="360"/>
      <c r="O420" s="360"/>
      <c r="P420" s="359"/>
      <c r="Q420" s="360"/>
      <c r="R420" s="360"/>
      <c r="S420" s="360"/>
    </row>
    <row r="421" spans="4:19">
      <c r="D421" s="360"/>
      <c r="E421" s="360"/>
      <c r="F421" s="360"/>
      <c r="G421" s="360"/>
      <c r="H421" s="360"/>
      <c r="I421" s="360"/>
      <c r="J421" s="360"/>
      <c r="K421" s="360"/>
      <c r="L421" s="360"/>
      <c r="M421" s="360"/>
      <c r="N421" s="360"/>
      <c r="O421" s="360"/>
      <c r="P421" s="359"/>
      <c r="Q421" s="360"/>
      <c r="R421" s="360"/>
      <c r="S421" s="360"/>
    </row>
    <row r="422" spans="4:19">
      <c r="D422" s="360"/>
      <c r="E422" s="360"/>
      <c r="F422" s="360"/>
      <c r="G422" s="360"/>
      <c r="H422" s="360"/>
      <c r="I422" s="360"/>
      <c r="J422" s="360"/>
      <c r="K422" s="360"/>
      <c r="L422" s="360"/>
      <c r="M422" s="360"/>
      <c r="N422" s="360"/>
      <c r="O422" s="360"/>
      <c r="P422" s="359"/>
      <c r="Q422" s="360"/>
      <c r="R422" s="360"/>
      <c r="S422" s="360"/>
    </row>
    <row r="423" spans="4:19">
      <c r="D423" s="360"/>
      <c r="E423" s="360"/>
      <c r="F423" s="360"/>
      <c r="G423" s="360"/>
      <c r="H423" s="360"/>
      <c r="I423" s="360"/>
      <c r="J423" s="360"/>
      <c r="K423" s="360"/>
      <c r="L423" s="360"/>
      <c r="M423" s="360"/>
      <c r="N423" s="360"/>
      <c r="O423" s="360"/>
      <c r="P423" s="359"/>
      <c r="Q423" s="360"/>
      <c r="R423" s="360"/>
      <c r="S423" s="360"/>
    </row>
    <row r="424" spans="4:19">
      <c r="D424" s="360"/>
      <c r="E424" s="360"/>
      <c r="F424" s="360"/>
      <c r="G424" s="360"/>
      <c r="H424" s="360"/>
      <c r="I424" s="360"/>
      <c r="J424" s="360"/>
      <c r="K424" s="360"/>
      <c r="L424" s="360"/>
      <c r="M424" s="360"/>
      <c r="N424" s="360"/>
      <c r="O424" s="360"/>
      <c r="P424" s="359"/>
      <c r="Q424" s="360"/>
      <c r="R424" s="360"/>
      <c r="S424" s="360"/>
    </row>
    <row r="425" spans="4:19">
      <c r="D425" s="360"/>
      <c r="E425" s="360"/>
      <c r="F425" s="360"/>
      <c r="G425" s="360"/>
      <c r="H425" s="360"/>
      <c r="I425" s="360"/>
      <c r="J425" s="360"/>
      <c r="K425" s="360"/>
      <c r="L425" s="360"/>
      <c r="M425" s="360"/>
      <c r="N425" s="360"/>
      <c r="O425" s="360"/>
      <c r="P425" s="359"/>
      <c r="Q425" s="360"/>
      <c r="R425" s="360"/>
      <c r="S425" s="360"/>
    </row>
    <row r="426" spans="4:19">
      <c r="D426" s="360"/>
      <c r="E426" s="360"/>
      <c r="F426" s="360"/>
      <c r="G426" s="360"/>
      <c r="H426" s="360"/>
      <c r="I426" s="360"/>
      <c r="J426" s="360"/>
      <c r="K426" s="360"/>
      <c r="L426" s="360"/>
      <c r="M426" s="360"/>
      <c r="N426" s="360"/>
      <c r="O426" s="360"/>
      <c r="P426" s="359"/>
      <c r="Q426" s="360"/>
      <c r="R426" s="360"/>
      <c r="S426" s="360"/>
    </row>
    <row r="427" spans="4:19">
      <c r="D427" s="360"/>
      <c r="E427" s="360"/>
      <c r="F427" s="360"/>
      <c r="G427" s="360"/>
      <c r="H427" s="360"/>
      <c r="I427" s="360"/>
      <c r="J427" s="360"/>
      <c r="K427" s="360"/>
      <c r="L427" s="360"/>
      <c r="M427" s="360"/>
      <c r="N427" s="360"/>
      <c r="O427" s="360"/>
      <c r="P427" s="359"/>
      <c r="Q427" s="360"/>
      <c r="R427" s="360"/>
      <c r="S427" s="360"/>
    </row>
    <row r="428" spans="4:19">
      <c r="D428" s="360"/>
      <c r="E428" s="360"/>
      <c r="F428" s="360"/>
      <c r="G428" s="360"/>
      <c r="H428" s="360"/>
      <c r="I428" s="360"/>
      <c r="J428" s="360"/>
      <c r="K428" s="360"/>
      <c r="L428" s="360"/>
      <c r="M428" s="360"/>
      <c r="N428" s="360"/>
      <c r="O428" s="360"/>
      <c r="P428" s="359"/>
      <c r="Q428" s="360"/>
      <c r="R428" s="360"/>
      <c r="S428" s="360"/>
    </row>
    <row r="429" spans="4:19">
      <c r="D429" s="360"/>
      <c r="E429" s="360"/>
      <c r="F429" s="360"/>
      <c r="G429" s="360"/>
      <c r="H429" s="360"/>
      <c r="I429" s="360"/>
      <c r="J429" s="360"/>
      <c r="K429" s="360"/>
      <c r="L429" s="360"/>
      <c r="M429" s="360"/>
      <c r="N429" s="360"/>
      <c r="O429" s="360"/>
      <c r="P429" s="359"/>
      <c r="Q429" s="360"/>
      <c r="R429" s="360"/>
      <c r="S429" s="360"/>
    </row>
    <row r="430" spans="4:19">
      <c r="D430" s="360"/>
      <c r="E430" s="360"/>
      <c r="F430" s="360"/>
      <c r="G430" s="360"/>
      <c r="H430" s="360"/>
      <c r="I430" s="360"/>
      <c r="J430" s="360"/>
      <c r="K430" s="360"/>
      <c r="L430" s="360"/>
      <c r="M430" s="360"/>
      <c r="N430" s="360"/>
      <c r="O430" s="360"/>
      <c r="P430" s="359"/>
      <c r="Q430" s="360"/>
      <c r="R430" s="360"/>
      <c r="S430" s="360"/>
    </row>
    <row r="431" spans="4:19">
      <c r="D431" s="360"/>
      <c r="E431" s="360"/>
      <c r="F431" s="360"/>
      <c r="G431" s="360"/>
      <c r="H431" s="360"/>
      <c r="I431" s="360"/>
      <c r="J431" s="360"/>
      <c r="K431" s="360"/>
      <c r="L431" s="360"/>
      <c r="M431" s="360"/>
      <c r="N431" s="360"/>
      <c r="O431" s="360"/>
      <c r="P431" s="359"/>
      <c r="Q431" s="360"/>
      <c r="R431" s="360"/>
      <c r="S431" s="360"/>
    </row>
    <row r="432" spans="4:19">
      <c r="D432" s="360"/>
      <c r="E432" s="360"/>
      <c r="F432" s="360"/>
      <c r="G432" s="360"/>
      <c r="H432" s="360"/>
      <c r="I432" s="360"/>
      <c r="J432" s="360"/>
      <c r="K432" s="360"/>
      <c r="L432" s="360"/>
      <c r="M432" s="360"/>
      <c r="N432" s="360"/>
      <c r="O432" s="360"/>
      <c r="P432" s="359"/>
      <c r="Q432" s="360"/>
      <c r="R432" s="360"/>
      <c r="S432" s="360"/>
    </row>
    <row r="433" spans="4:19">
      <c r="D433" s="360"/>
      <c r="E433" s="360"/>
      <c r="F433" s="360"/>
      <c r="G433" s="360"/>
      <c r="H433" s="360"/>
      <c r="I433" s="360"/>
      <c r="J433" s="360"/>
      <c r="K433" s="360"/>
      <c r="L433" s="360"/>
      <c r="M433" s="360"/>
      <c r="N433" s="360"/>
      <c r="O433" s="360"/>
      <c r="P433" s="359"/>
      <c r="Q433" s="360"/>
      <c r="R433" s="360"/>
      <c r="S433" s="360"/>
    </row>
    <row r="434" spans="4:19">
      <c r="D434" s="360"/>
      <c r="E434" s="360"/>
      <c r="F434" s="360"/>
      <c r="G434" s="360"/>
      <c r="H434" s="360"/>
      <c r="I434" s="360"/>
      <c r="J434" s="360"/>
      <c r="K434" s="360"/>
      <c r="L434" s="360"/>
      <c r="M434" s="360"/>
      <c r="N434" s="360"/>
      <c r="O434" s="360"/>
      <c r="P434" s="359"/>
      <c r="Q434" s="360"/>
      <c r="R434" s="360"/>
      <c r="S434" s="360"/>
    </row>
    <row r="435" spans="4:19">
      <c r="D435" s="360"/>
      <c r="E435" s="360"/>
      <c r="F435" s="360"/>
      <c r="G435" s="360"/>
      <c r="H435" s="360"/>
      <c r="I435" s="360"/>
      <c r="J435" s="360"/>
      <c r="K435" s="360"/>
      <c r="L435" s="360"/>
      <c r="M435" s="360"/>
      <c r="N435" s="360"/>
      <c r="O435" s="360"/>
      <c r="P435" s="359"/>
      <c r="Q435" s="360"/>
      <c r="R435" s="360"/>
      <c r="S435" s="360"/>
    </row>
    <row r="436" spans="4:19">
      <c r="D436" s="360"/>
      <c r="E436" s="360"/>
      <c r="F436" s="360"/>
      <c r="G436" s="360"/>
      <c r="H436" s="360"/>
      <c r="I436" s="360"/>
      <c r="J436" s="360"/>
      <c r="K436" s="360"/>
      <c r="L436" s="360"/>
      <c r="M436" s="360"/>
      <c r="N436" s="360"/>
      <c r="O436" s="360"/>
      <c r="P436" s="359"/>
      <c r="Q436" s="360"/>
      <c r="R436" s="360"/>
      <c r="S436" s="360"/>
    </row>
    <row r="437" spans="4:19">
      <c r="D437" s="360"/>
      <c r="E437" s="360"/>
      <c r="F437" s="360"/>
      <c r="G437" s="360"/>
      <c r="H437" s="360"/>
      <c r="I437" s="360"/>
      <c r="J437" s="360"/>
      <c r="K437" s="360"/>
      <c r="L437" s="360"/>
      <c r="M437" s="360"/>
      <c r="N437" s="360"/>
      <c r="O437" s="360"/>
      <c r="P437" s="359"/>
      <c r="Q437" s="360"/>
      <c r="R437" s="360"/>
      <c r="S437" s="360"/>
    </row>
    <row r="438" spans="4:19">
      <c r="D438" s="360"/>
      <c r="E438" s="360"/>
      <c r="F438" s="360"/>
      <c r="G438" s="360"/>
      <c r="H438" s="360"/>
      <c r="I438" s="360"/>
      <c r="J438" s="360"/>
      <c r="K438" s="360"/>
      <c r="L438" s="360"/>
      <c r="M438" s="360"/>
      <c r="N438" s="360"/>
      <c r="O438" s="360"/>
      <c r="P438" s="359"/>
      <c r="Q438" s="360"/>
      <c r="R438" s="360"/>
      <c r="S438" s="360"/>
    </row>
    <row r="439" spans="4:19">
      <c r="D439" s="360"/>
      <c r="E439" s="360"/>
      <c r="F439" s="360"/>
      <c r="G439" s="360"/>
      <c r="H439" s="360"/>
      <c r="I439" s="360"/>
      <c r="J439" s="360"/>
      <c r="K439" s="360"/>
      <c r="L439" s="360"/>
      <c r="M439" s="360"/>
      <c r="N439" s="360"/>
      <c r="O439" s="360"/>
      <c r="P439" s="359"/>
      <c r="Q439" s="360"/>
      <c r="R439" s="360"/>
      <c r="S439" s="360"/>
    </row>
    <row r="440" spans="4:19">
      <c r="D440" s="360"/>
      <c r="E440" s="360"/>
      <c r="F440" s="360"/>
      <c r="G440" s="360"/>
      <c r="H440" s="360"/>
      <c r="I440" s="360"/>
      <c r="J440" s="360"/>
      <c r="K440" s="360"/>
      <c r="L440" s="360"/>
      <c r="M440" s="360"/>
      <c r="N440" s="360"/>
      <c r="O440" s="360"/>
      <c r="P440" s="359"/>
      <c r="Q440" s="360"/>
      <c r="R440" s="360"/>
      <c r="S440" s="360"/>
    </row>
    <row r="441" spans="4:19">
      <c r="D441" s="360"/>
      <c r="E441" s="360"/>
      <c r="F441" s="360"/>
      <c r="G441" s="360"/>
      <c r="H441" s="360"/>
      <c r="I441" s="360"/>
      <c r="J441" s="360"/>
      <c r="K441" s="360"/>
      <c r="L441" s="360"/>
      <c r="M441" s="360"/>
      <c r="N441" s="360"/>
      <c r="O441" s="360"/>
      <c r="P441" s="359"/>
      <c r="Q441" s="360"/>
      <c r="R441" s="360"/>
      <c r="S441" s="360"/>
    </row>
    <row r="442" spans="4:19">
      <c r="D442" s="360"/>
      <c r="E442" s="360"/>
      <c r="F442" s="360"/>
      <c r="G442" s="360"/>
      <c r="H442" s="360"/>
      <c r="I442" s="360"/>
      <c r="J442" s="360"/>
      <c r="K442" s="360"/>
      <c r="L442" s="360"/>
      <c r="M442" s="360"/>
      <c r="N442" s="360"/>
      <c r="O442" s="360"/>
      <c r="P442" s="359"/>
      <c r="Q442" s="360"/>
      <c r="R442" s="360"/>
      <c r="S442" s="360"/>
    </row>
    <row r="443" spans="4:19">
      <c r="D443" s="360"/>
      <c r="E443" s="360"/>
      <c r="F443" s="360"/>
      <c r="G443" s="360"/>
      <c r="H443" s="360"/>
      <c r="I443" s="360"/>
      <c r="J443" s="360"/>
      <c r="K443" s="360"/>
      <c r="L443" s="360"/>
      <c r="M443" s="360"/>
      <c r="N443" s="360"/>
      <c r="O443" s="360"/>
      <c r="P443" s="359"/>
      <c r="Q443" s="360"/>
      <c r="R443" s="360"/>
      <c r="S443" s="360"/>
    </row>
    <row r="444" spans="4:19">
      <c r="D444" s="360"/>
      <c r="E444" s="360"/>
      <c r="F444" s="360"/>
      <c r="G444" s="360"/>
      <c r="H444" s="360"/>
      <c r="I444" s="360"/>
      <c r="J444" s="360"/>
      <c r="K444" s="360"/>
      <c r="L444" s="360"/>
      <c r="M444" s="360"/>
      <c r="N444" s="360"/>
      <c r="O444" s="360"/>
      <c r="P444" s="359"/>
      <c r="Q444" s="360"/>
      <c r="R444" s="360"/>
      <c r="S444" s="360"/>
    </row>
    <row r="445" spans="4:19">
      <c r="D445" s="360"/>
      <c r="E445" s="360"/>
      <c r="F445" s="360"/>
      <c r="G445" s="360"/>
      <c r="H445" s="360"/>
      <c r="I445" s="360"/>
      <c r="J445" s="360"/>
      <c r="K445" s="360"/>
      <c r="L445" s="360"/>
      <c r="M445" s="360"/>
      <c r="N445" s="360"/>
      <c r="O445" s="360"/>
      <c r="P445" s="359"/>
      <c r="Q445" s="360"/>
      <c r="R445" s="360"/>
      <c r="S445" s="360"/>
    </row>
    <row r="446" spans="4:19">
      <c r="D446" s="360"/>
      <c r="E446" s="360"/>
      <c r="F446" s="360"/>
      <c r="G446" s="360"/>
      <c r="H446" s="360"/>
      <c r="I446" s="360"/>
      <c r="J446" s="360"/>
      <c r="K446" s="360"/>
      <c r="L446" s="360"/>
      <c r="M446" s="360"/>
      <c r="N446" s="360"/>
      <c r="O446" s="360"/>
      <c r="P446" s="359"/>
      <c r="Q446" s="360"/>
      <c r="R446" s="360"/>
      <c r="S446" s="360"/>
    </row>
    <row r="447" spans="4:19">
      <c r="D447" s="360"/>
      <c r="E447" s="360"/>
      <c r="F447" s="360"/>
      <c r="G447" s="360"/>
      <c r="H447" s="360"/>
      <c r="I447" s="360"/>
      <c r="J447" s="360"/>
      <c r="K447" s="360"/>
      <c r="L447" s="360"/>
      <c r="M447" s="360"/>
      <c r="N447" s="360"/>
      <c r="O447" s="360"/>
      <c r="P447" s="359"/>
      <c r="Q447" s="360"/>
      <c r="R447" s="360"/>
      <c r="S447" s="360"/>
    </row>
    <row r="448" spans="4:19">
      <c r="D448" s="360"/>
      <c r="E448" s="360"/>
      <c r="F448" s="360"/>
      <c r="G448" s="360"/>
      <c r="H448" s="360"/>
      <c r="I448" s="360"/>
      <c r="J448" s="360"/>
      <c r="K448" s="360"/>
      <c r="L448" s="360"/>
      <c r="M448" s="360"/>
      <c r="N448" s="360"/>
      <c r="O448" s="360"/>
      <c r="P448" s="359"/>
      <c r="Q448" s="360"/>
      <c r="R448" s="360"/>
      <c r="S448" s="360"/>
    </row>
    <row r="449" spans="4:19">
      <c r="D449" s="360"/>
      <c r="E449" s="360"/>
      <c r="F449" s="360"/>
      <c r="G449" s="360"/>
      <c r="H449" s="360"/>
      <c r="I449" s="360"/>
      <c r="J449" s="360"/>
      <c r="K449" s="360"/>
      <c r="L449" s="360"/>
      <c r="M449" s="360"/>
      <c r="N449" s="360"/>
      <c r="O449" s="360"/>
      <c r="P449" s="359"/>
      <c r="Q449" s="360"/>
      <c r="R449" s="360"/>
      <c r="S449" s="360"/>
    </row>
    <row r="450" spans="4:19">
      <c r="D450" s="360"/>
      <c r="E450" s="360"/>
      <c r="F450" s="360"/>
      <c r="G450" s="360"/>
      <c r="H450" s="360"/>
      <c r="I450" s="360"/>
      <c r="J450" s="360"/>
      <c r="K450" s="360"/>
      <c r="L450" s="360"/>
      <c r="M450" s="360"/>
      <c r="N450" s="360"/>
      <c r="O450" s="360"/>
      <c r="P450" s="359"/>
      <c r="Q450" s="360"/>
      <c r="R450" s="360"/>
      <c r="S450" s="360"/>
    </row>
    <row r="451" spans="4:19">
      <c r="D451" s="360"/>
      <c r="E451" s="360"/>
      <c r="F451" s="360"/>
      <c r="G451" s="360"/>
      <c r="H451" s="360"/>
      <c r="I451" s="360"/>
      <c r="J451" s="360"/>
      <c r="K451" s="360"/>
      <c r="L451" s="360"/>
      <c r="M451" s="360"/>
      <c r="N451" s="360"/>
      <c r="O451" s="360"/>
      <c r="P451" s="359"/>
      <c r="Q451" s="360"/>
      <c r="R451" s="360"/>
      <c r="S451" s="360"/>
    </row>
    <row r="452" spans="4:19">
      <c r="D452" s="360"/>
      <c r="E452" s="360"/>
      <c r="F452" s="360"/>
      <c r="G452" s="360"/>
      <c r="H452" s="360"/>
      <c r="I452" s="360"/>
      <c r="J452" s="360"/>
      <c r="K452" s="360"/>
      <c r="L452" s="360"/>
      <c r="M452" s="360"/>
      <c r="N452" s="360"/>
      <c r="O452" s="360"/>
      <c r="P452" s="359"/>
      <c r="Q452" s="360"/>
      <c r="R452" s="360"/>
      <c r="S452" s="360"/>
    </row>
    <row r="453" spans="4:19">
      <c r="D453" s="360"/>
      <c r="E453" s="360"/>
      <c r="F453" s="360"/>
      <c r="G453" s="360"/>
      <c r="H453" s="360"/>
      <c r="I453" s="360"/>
      <c r="J453" s="360"/>
      <c r="K453" s="360"/>
      <c r="L453" s="360"/>
      <c r="M453" s="360"/>
      <c r="N453" s="360"/>
      <c r="O453" s="360"/>
      <c r="P453" s="359"/>
      <c r="Q453" s="360"/>
      <c r="R453" s="360"/>
      <c r="S453" s="360"/>
    </row>
    <row r="454" spans="4:19">
      <c r="D454" s="360"/>
      <c r="E454" s="360"/>
      <c r="F454" s="360"/>
      <c r="G454" s="360"/>
      <c r="H454" s="360"/>
      <c r="I454" s="360"/>
      <c r="J454" s="360"/>
      <c r="K454" s="360"/>
      <c r="L454" s="360"/>
      <c r="M454" s="360"/>
      <c r="N454" s="360"/>
      <c r="O454" s="360"/>
      <c r="P454" s="359"/>
      <c r="Q454" s="360"/>
      <c r="R454" s="360"/>
      <c r="S454" s="360"/>
    </row>
    <row r="455" spans="4:19">
      <c r="D455" s="360"/>
      <c r="E455" s="360"/>
      <c r="F455" s="360"/>
      <c r="G455" s="360"/>
      <c r="H455" s="360"/>
      <c r="I455" s="360"/>
      <c r="J455" s="360"/>
      <c r="K455" s="360"/>
      <c r="L455" s="360"/>
      <c r="M455" s="360"/>
      <c r="N455" s="360"/>
      <c r="O455" s="360"/>
      <c r="P455" s="359"/>
      <c r="Q455" s="360"/>
      <c r="R455" s="360"/>
      <c r="S455" s="360"/>
    </row>
    <row r="456" spans="4:19">
      <c r="D456" s="360"/>
      <c r="E456" s="360"/>
      <c r="F456" s="360"/>
      <c r="G456" s="360"/>
      <c r="H456" s="360"/>
      <c r="I456" s="360"/>
      <c r="J456" s="360"/>
      <c r="K456" s="360"/>
      <c r="L456" s="360"/>
      <c r="M456" s="360"/>
      <c r="N456" s="360"/>
      <c r="O456" s="360"/>
      <c r="P456" s="359"/>
      <c r="Q456" s="360"/>
      <c r="R456" s="360"/>
      <c r="S456" s="360"/>
    </row>
    <row r="457" spans="4:19">
      <c r="D457" s="360"/>
      <c r="E457" s="360"/>
      <c r="F457" s="360"/>
      <c r="G457" s="360"/>
      <c r="H457" s="360"/>
      <c r="I457" s="360"/>
      <c r="J457" s="360"/>
      <c r="K457" s="360"/>
      <c r="L457" s="360"/>
      <c r="M457" s="360"/>
      <c r="N457" s="360"/>
      <c r="O457" s="360"/>
      <c r="P457" s="359"/>
      <c r="Q457" s="360"/>
      <c r="R457" s="360"/>
      <c r="S457" s="360"/>
    </row>
    <row r="458" spans="4:19">
      <c r="D458" s="360"/>
      <c r="E458" s="360"/>
      <c r="F458" s="360"/>
      <c r="G458" s="360"/>
      <c r="H458" s="360"/>
      <c r="I458" s="360"/>
      <c r="J458" s="360"/>
      <c r="K458" s="360"/>
      <c r="L458" s="360"/>
      <c r="M458" s="360"/>
      <c r="N458" s="360"/>
      <c r="O458" s="360"/>
      <c r="P458" s="359"/>
      <c r="Q458" s="360"/>
      <c r="R458" s="360"/>
      <c r="S458" s="360"/>
    </row>
    <row r="459" spans="4:19">
      <c r="D459" s="360"/>
      <c r="E459" s="360"/>
      <c r="F459" s="360"/>
      <c r="G459" s="360"/>
      <c r="H459" s="360"/>
      <c r="I459" s="360"/>
      <c r="J459" s="360"/>
      <c r="K459" s="360"/>
      <c r="L459" s="360"/>
      <c r="M459" s="360"/>
      <c r="N459" s="360"/>
      <c r="O459" s="360"/>
      <c r="P459" s="359"/>
      <c r="Q459" s="360"/>
      <c r="R459" s="360"/>
      <c r="S459" s="360"/>
    </row>
    <row r="460" spans="4:19">
      <c r="D460" s="360"/>
      <c r="E460" s="360"/>
      <c r="F460" s="360"/>
      <c r="G460" s="360"/>
      <c r="H460" s="360"/>
      <c r="I460" s="360"/>
      <c r="J460" s="360"/>
      <c r="K460" s="360"/>
      <c r="L460" s="360"/>
      <c r="M460" s="360"/>
      <c r="N460" s="360"/>
      <c r="O460" s="360"/>
      <c r="P460" s="359"/>
      <c r="Q460" s="360"/>
      <c r="R460" s="360"/>
      <c r="S460" s="360"/>
    </row>
    <row r="461" spans="4:19">
      <c r="D461" s="360"/>
      <c r="E461" s="360"/>
      <c r="F461" s="360"/>
      <c r="G461" s="360"/>
      <c r="H461" s="360"/>
      <c r="I461" s="360"/>
      <c r="J461" s="360"/>
      <c r="K461" s="360"/>
      <c r="L461" s="360"/>
      <c r="M461" s="360"/>
      <c r="N461" s="360"/>
      <c r="O461" s="360"/>
      <c r="P461" s="359"/>
      <c r="Q461" s="360"/>
      <c r="R461" s="360"/>
      <c r="S461" s="360"/>
    </row>
    <row r="462" spans="4:19">
      <c r="D462" s="360"/>
      <c r="E462" s="360"/>
      <c r="F462" s="360"/>
      <c r="G462" s="360"/>
      <c r="H462" s="360"/>
      <c r="I462" s="360"/>
      <c r="J462" s="360"/>
      <c r="K462" s="360"/>
      <c r="L462" s="360"/>
      <c r="M462" s="360"/>
      <c r="N462" s="360"/>
      <c r="O462" s="360"/>
      <c r="P462" s="359"/>
      <c r="Q462" s="360"/>
      <c r="R462" s="360"/>
      <c r="S462" s="360"/>
    </row>
    <row r="463" spans="4:19">
      <c r="D463" s="360"/>
      <c r="E463" s="360"/>
      <c r="F463" s="360"/>
      <c r="G463" s="360"/>
      <c r="H463" s="360"/>
      <c r="I463" s="360"/>
      <c r="J463" s="360"/>
      <c r="K463" s="360"/>
      <c r="L463" s="360"/>
      <c r="M463" s="360"/>
      <c r="N463" s="360"/>
      <c r="O463" s="360"/>
      <c r="P463" s="359"/>
      <c r="Q463" s="360"/>
      <c r="R463" s="360"/>
      <c r="S463" s="360"/>
    </row>
    <row r="464" spans="4:19">
      <c r="D464" s="360"/>
      <c r="E464" s="360"/>
      <c r="F464" s="360"/>
      <c r="G464" s="360"/>
      <c r="H464" s="360"/>
      <c r="I464" s="360"/>
      <c r="J464" s="360"/>
      <c r="K464" s="360"/>
      <c r="L464" s="360"/>
      <c r="M464" s="360"/>
      <c r="N464" s="360"/>
      <c r="O464" s="360"/>
      <c r="P464" s="359"/>
      <c r="Q464" s="360"/>
      <c r="R464" s="360"/>
      <c r="S464" s="360"/>
    </row>
    <row r="465" spans="4:19">
      <c r="D465" s="360"/>
      <c r="E465" s="360"/>
      <c r="F465" s="360"/>
      <c r="G465" s="360"/>
      <c r="H465" s="360"/>
      <c r="I465" s="360"/>
      <c r="J465" s="360"/>
      <c r="K465" s="360"/>
      <c r="L465" s="360"/>
      <c r="M465" s="360"/>
      <c r="N465" s="360"/>
      <c r="O465" s="360"/>
      <c r="P465" s="359"/>
      <c r="Q465" s="360"/>
      <c r="R465" s="360"/>
      <c r="S465" s="360"/>
    </row>
    <row r="466" spans="4:19">
      <c r="D466" s="360"/>
      <c r="E466" s="360"/>
      <c r="F466" s="360"/>
      <c r="G466" s="360"/>
      <c r="H466" s="360"/>
      <c r="I466" s="360"/>
      <c r="J466" s="360"/>
      <c r="K466" s="360"/>
      <c r="L466" s="360"/>
      <c r="M466" s="360"/>
      <c r="N466" s="360"/>
      <c r="O466" s="360"/>
      <c r="P466" s="359"/>
      <c r="Q466" s="360"/>
      <c r="R466" s="360"/>
      <c r="S466" s="360"/>
    </row>
    <row r="467" spans="4:19">
      <c r="D467" s="360"/>
      <c r="E467" s="360"/>
      <c r="F467" s="360"/>
      <c r="G467" s="360"/>
      <c r="H467" s="360"/>
      <c r="I467" s="360"/>
      <c r="J467" s="360"/>
      <c r="K467" s="360"/>
      <c r="L467" s="360"/>
      <c r="M467" s="360"/>
      <c r="N467" s="360"/>
      <c r="O467" s="360"/>
      <c r="P467" s="359"/>
      <c r="Q467" s="360"/>
      <c r="R467" s="360"/>
      <c r="S467" s="360"/>
    </row>
    <row r="468" spans="4:19">
      <c r="D468" s="360"/>
      <c r="E468" s="360"/>
      <c r="F468" s="360"/>
      <c r="G468" s="360"/>
      <c r="H468" s="360"/>
      <c r="I468" s="360"/>
      <c r="J468" s="360"/>
      <c r="K468" s="360"/>
      <c r="L468" s="360"/>
      <c r="M468" s="360"/>
      <c r="N468" s="360"/>
      <c r="O468" s="360"/>
      <c r="P468" s="359"/>
      <c r="Q468" s="360"/>
      <c r="R468" s="360"/>
      <c r="S468" s="360"/>
    </row>
    <row r="469" spans="4:19">
      <c r="D469" s="360"/>
      <c r="E469" s="360"/>
      <c r="F469" s="360"/>
      <c r="G469" s="360"/>
      <c r="H469" s="360"/>
      <c r="I469" s="360"/>
      <c r="J469" s="360"/>
      <c r="K469" s="360"/>
      <c r="L469" s="360"/>
      <c r="M469" s="360"/>
      <c r="N469" s="360"/>
      <c r="O469" s="360"/>
      <c r="P469" s="359"/>
      <c r="Q469" s="360"/>
      <c r="R469" s="360"/>
      <c r="S469" s="360"/>
    </row>
    <row r="470" spans="4:19">
      <c r="D470" s="360"/>
      <c r="E470" s="360"/>
      <c r="F470" s="360"/>
      <c r="G470" s="360"/>
      <c r="H470" s="360"/>
      <c r="I470" s="360"/>
      <c r="J470" s="360"/>
      <c r="K470" s="360"/>
      <c r="L470" s="360"/>
      <c r="M470" s="360"/>
      <c r="N470" s="360"/>
      <c r="O470" s="360"/>
      <c r="P470" s="359"/>
      <c r="Q470" s="360"/>
      <c r="R470" s="360"/>
      <c r="S470" s="360"/>
    </row>
    <row r="471" spans="4:19">
      <c r="D471" s="360"/>
      <c r="E471" s="360"/>
      <c r="F471" s="360"/>
      <c r="G471" s="360"/>
      <c r="H471" s="360"/>
      <c r="I471" s="360"/>
      <c r="J471" s="360"/>
      <c r="K471" s="360"/>
      <c r="L471" s="360"/>
      <c r="M471" s="360"/>
      <c r="N471" s="360"/>
      <c r="O471" s="360"/>
      <c r="P471" s="359"/>
      <c r="Q471" s="360"/>
      <c r="R471" s="360"/>
      <c r="S471" s="360"/>
    </row>
  </sheetData>
  <mergeCells count="139">
    <mergeCell ref="C8:D8"/>
    <mergeCell ref="T8:X8"/>
    <mergeCell ref="K10:N10"/>
    <mergeCell ref="K11:N11"/>
    <mergeCell ref="F12:H12"/>
    <mergeCell ref="K12:N12"/>
    <mergeCell ref="E2:N3"/>
    <mergeCell ref="T4:X4"/>
    <mergeCell ref="T5:X5"/>
    <mergeCell ref="T6:X6"/>
    <mergeCell ref="E7:M8"/>
    <mergeCell ref="N7:Q8"/>
    <mergeCell ref="T7:X7"/>
    <mergeCell ref="D17:G17"/>
    <mergeCell ref="J17:K17"/>
    <mergeCell ref="R17:S17"/>
    <mergeCell ref="D20:G20"/>
    <mergeCell ref="J20:K20"/>
    <mergeCell ref="N20:O20"/>
    <mergeCell ref="R20:S20"/>
    <mergeCell ref="D14:G14"/>
    <mergeCell ref="J14:K14"/>
    <mergeCell ref="N14:O14"/>
    <mergeCell ref="R14:S14"/>
    <mergeCell ref="D16:G16"/>
    <mergeCell ref="J16:K16"/>
    <mergeCell ref="N16:O16"/>
    <mergeCell ref="R16:S16"/>
    <mergeCell ref="D25:G25"/>
    <mergeCell ref="J25:K25"/>
    <mergeCell ref="N25:O25"/>
    <mergeCell ref="R25:S25"/>
    <mergeCell ref="R27:S27"/>
    <mergeCell ref="D28:G28"/>
    <mergeCell ref="J28:K28"/>
    <mergeCell ref="N28:O28"/>
    <mergeCell ref="D21:G21"/>
    <mergeCell ref="J21:K21"/>
    <mergeCell ref="N21:O21"/>
    <mergeCell ref="R21:S21"/>
    <mergeCell ref="D24:G24"/>
    <mergeCell ref="J24:K24"/>
    <mergeCell ref="N24:O24"/>
    <mergeCell ref="R24:S24"/>
    <mergeCell ref="D32:G32"/>
    <mergeCell ref="J32:K32"/>
    <mergeCell ref="N32:O32"/>
    <mergeCell ref="R32:S32"/>
    <mergeCell ref="D33:G33"/>
    <mergeCell ref="J33:K33"/>
    <mergeCell ref="N33:O33"/>
    <mergeCell ref="D29:G29"/>
    <mergeCell ref="J29:K29"/>
    <mergeCell ref="N29:O29"/>
    <mergeCell ref="R29:S29"/>
    <mergeCell ref="R30:S30"/>
    <mergeCell ref="R31:S31"/>
    <mergeCell ref="D37:G37"/>
    <mergeCell ref="J37:K37"/>
    <mergeCell ref="N37:O37"/>
    <mergeCell ref="D38:G38"/>
    <mergeCell ref="R38:S38"/>
    <mergeCell ref="N39:O39"/>
    <mergeCell ref="R39:S39"/>
    <mergeCell ref="J34:K34"/>
    <mergeCell ref="R34:S34"/>
    <mergeCell ref="R35:S35"/>
    <mergeCell ref="D36:G36"/>
    <mergeCell ref="J36:K36"/>
    <mergeCell ref="N36:O36"/>
    <mergeCell ref="D42:G42"/>
    <mergeCell ref="J42:K42"/>
    <mergeCell ref="N42:O42"/>
    <mergeCell ref="D43:G43"/>
    <mergeCell ref="J43:K43"/>
    <mergeCell ref="R43:S43"/>
    <mergeCell ref="D40:G40"/>
    <mergeCell ref="J40:K40"/>
    <mergeCell ref="D41:G41"/>
    <mergeCell ref="J41:K41"/>
    <mergeCell ref="N41:O41"/>
    <mergeCell ref="R41:S41"/>
    <mergeCell ref="D49:G49"/>
    <mergeCell ref="J49:K49"/>
    <mergeCell ref="D50:G50"/>
    <mergeCell ref="J50:K50"/>
    <mergeCell ref="N50:O50"/>
    <mergeCell ref="R50:S50"/>
    <mergeCell ref="R44:S44"/>
    <mergeCell ref="D45:G45"/>
    <mergeCell ref="J45:K45"/>
    <mergeCell ref="N45:O45"/>
    <mergeCell ref="D46:G46"/>
    <mergeCell ref="J46:K46"/>
    <mergeCell ref="N46:O46"/>
    <mergeCell ref="N51:O51"/>
    <mergeCell ref="R52:S52"/>
    <mergeCell ref="J53:K53"/>
    <mergeCell ref="R53:S53"/>
    <mergeCell ref="J54:K54"/>
    <mergeCell ref="N54:O54"/>
    <mergeCell ref="R47:S47"/>
    <mergeCell ref="N48:O48"/>
    <mergeCell ref="R48:S48"/>
    <mergeCell ref="N59:O59"/>
    <mergeCell ref="R59:S59"/>
    <mergeCell ref="N60:O60"/>
    <mergeCell ref="D61:G61"/>
    <mergeCell ref="J61:K61"/>
    <mergeCell ref="R61:S61"/>
    <mergeCell ref="N55:O55"/>
    <mergeCell ref="R56:S56"/>
    <mergeCell ref="D57:G57"/>
    <mergeCell ref="J57:K57"/>
    <mergeCell ref="N57:O57"/>
    <mergeCell ref="D58:G58"/>
    <mergeCell ref="J58:K58"/>
    <mergeCell ref="D65:G65"/>
    <mergeCell ref="J65:K65"/>
    <mergeCell ref="D66:G66"/>
    <mergeCell ref="J66:K66"/>
    <mergeCell ref="R66:S66"/>
    <mergeCell ref="R67:S67"/>
    <mergeCell ref="D62:G62"/>
    <mergeCell ref="J62:K62"/>
    <mergeCell ref="R62:S62"/>
    <mergeCell ref="N63:O63"/>
    <mergeCell ref="N64:O64"/>
    <mergeCell ref="R64:S64"/>
    <mergeCell ref="D73:G73"/>
    <mergeCell ref="D74:G74"/>
    <mergeCell ref="N76:O76"/>
    <mergeCell ref="N77:O77"/>
    <mergeCell ref="D69:G69"/>
    <mergeCell ref="J69:K69"/>
    <mergeCell ref="R69:S69"/>
    <mergeCell ref="D70:G70"/>
    <mergeCell ref="R71:S71"/>
    <mergeCell ref="R72:S72"/>
  </mergeCells>
  <pageMargins left="0.7" right="0.7" top="0.75" bottom="0.75" header="0.3" footer="0.3"/>
  <pageSetup paperSize="0" orientation="portrait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AC471"/>
  <sheetViews>
    <sheetView showGridLines="0" topLeftCell="C7" zoomScale="130" zoomScaleNormal="130" workbookViewId="0">
      <selection activeCell="F10" sqref="F10"/>
    </sheetView>
  </sheetViews>
  <sheetFormatPr baseColWidth="10" defaultColWidth="9.140625" defaultRowHeight="11.25"/>
  <cols>
    <col min="1" max="1" width="3.7109375" style="330" customWidth="1"/>
    <col min="2" max="2" width="2.7109375" style="330" customWidth="1"/>
    <col min="3" max="3" width="9.140625" style="331"/>
    <col min="4" max="4" width="6.140625" style="330" customWidth="1"/>
    <col min="5" max="5" width="6.42578125" style="330" customWidth="1"/>
    <col min="6" max="6" width="3.5703125" style="330" customWidth="1"/>
    <col min="7" max="7" width="9.140625" style="330"/>
    <col min="8" max="8" width="3.7109375" style="330" customWidth="1"/>
    <col min="9" max="9" width="5.28515625" style="330" customWidth="1"/>
    <col min="10" max="11" width="12.140625" style="330" customWidth="1"/>
    <col min="12" max="12" width="3.7109375" style="330" customWidth="1"/>
    <col min="13" max="13" width="4.28515625" style="330" customWidth="1"/>
    <col min="14" max="14" width="10.7109375" style="330" customWidth="1"/>
    <col min="15" max="15" width="13.7109375" style="330" customWidth="1"/>
    <col min="16" max="16" width="4.42578125" style="331" customWidth="1"/>
    <col min="17" max="17" width="9.85546875" style="330" customWidth="1"/>
    <col min="18" max="19" width="2.28515625" style="330" customWidth="1"/>
    <col min="20" max="20" width="8.28515625" style="330" customWidth="1"/>
    <col min="21" max="21" width="4.85546875" style="330" customWidth="1"/>
    <col min="22" max="16384" width="9.140625" style="330"/>
  </cols>
  <sheetData>
    <row r="1" spans="2:26" ht="12" thickBot="1"/>
    <row r="2" spans="2:26" ht="18" customHeight="1">
      <c r="B2" s="332"/>
      <c r="C2" s="333"/>
      <c r="D2" s="334"/>
      <c r="E2" s="871"/>
      <c r="F2" s="872"/>
      <c r="G2" s="872"/>
      <c r="H2" s="872"/>
      <c r="I2" s="872"/>
      <c r="J2" s="872"/>
      <c r="K2" s="872"/>
      <c r="L2" s="872"/>
      <c r="M2" s="872"/>
      <c r="N2" s="873"/>
      <c r="O2" s="335"/>
      <c r="P2" s="336"/>
      <c r="Q2" s="337"/>
      <c r="R2" s="337"/>
      <c r="S2" s="337"/>
      <c r="T2" s="337"/>
      <c r="U2" s="337"/>
      <c r="V2" s="337"/>
      <c r="W2" s="337"/>
      <c r="X2" s="338"/>
    </row>
    <row r="3" spans="2:26" ht="30.75" customHeight="1">
      <c r="B3" s="339"/>
      <c r="C3" s="340"/>
      <c r="D3" s="341"/>
      <c r="E3" s="874"/>
      <c r="F3" s="875"/>
      <c r="G3" s="875"/>
      <c r="H3" s="875"/>
      <c r="I3" s="875"/>
      <c r="J3" s="875"/>
      <c r="K3" s="875"/>
      <c r="L3" s="875"/>
      <c r="M3" s="875"/>
      <c r="N3" s="876"/>
      <c r="P3" s="342"/>
      <c r="R3" s="343"/>
      <c r="S3" s="343"/>
      <c r="T3" s="343"/>
      <c r="U3" s="343"/>
      <c r="X3" s="344"/>
    </row>
    <row r="4" spans="2:26">
      <c r="B4" s="345"/>
      <c r="C4" s="346"/>
      <c r="D4" s="347"/>
      <c r="E4" s="348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50"/>
      <c r="Q4" s="349"/>
      <c r="R4" s="349"/>
      <c r="S4" s="349"/>
      <c r="T4" s="877"/>
      <c r="U4" s="877"/>
      <c r="V4" s="877"/>
      <c r="W4" s="877"/>
      <c r="X4" s="878"/>
    </row>
    <row r="5" spans="2:26">
      <c r="B5" s="339"/>
      <c r="D5" s="351"/>
      <c r="E5" s="352"/>
      <c r="F5" s="343"/>
      <c r="G5" s="343"/>
      <c r="H5" s="343"/>
      <c r="I5" s="343"/>
      <c r="J5" s="343"/>
      <c r="K5" s="343"/>
      <c r="L5" s="343"/>
      <c r="M5" s="343"/>
      <c r="N5" s="343"/>
      <c r="O5" s="343"/>
      <c r="P5" s="353"/>
      <c r="Q5" s="343"/>
      <c r="R5" s="343"/>
      <c r="S5" s="343"/>
      <c r="T5" s="879"/>
      <c r="U5" s="879"/>
      <c r="V5" s="879"/>
      <c r="W5" s="879"/>
      <c r="X5" s="880"/>
    </row>
    <row r="6" spans="2:26">
      <c r="B6" s="345"/>
      <c r="C6" s="346"/>
      <c r="D6" s="347"/>
      <c r="E6" s="354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50"/>
      <c r="Q6" s="349"/>
      <c r="R6" s="349"/>
      <c r="S6" s="349"/>
      <c r="T6" s="881"/>
      <c r="U6" s="882"/>
      <c r="V6" s="882"/>
      <c r="W6" s="882"/>
      <c r="X6" s="883"/>
    </row>
    <row r="7" spans="2:26" ht="15">
      <c r="B7" s="339"/>
      <c r="D7" s="355"/>
      <c r="E7" s="884"/>
      <c r="F7" s="885"/>
      <c r="G7" s="885"/>
      <c r="H7" s="885"/>
      <c r="I7" s="885"/>
      <c r="J7" s="885"/>
      <c r="K7" s="885"/>
      <c r="L7" s="885"/>
      <c r="M7" s="885"/>
      <c r="N7" s="888"/>
      <c r="O7" s="889"/>
      <c r="P7" s="889"/>
      <c r="Q7" s="889"/>
      <c r="T7" s="881"/>
      <c r="U7" s="882"/>
      <c r="V7" s="882"/>
      <c r="W7" s="882"/>
      <c r="X7" s="883"/>
      <c r="Z7"/>
    </row>
    <row r="8" spans="2:26" ht="13.9" customHeight="1" thickBot="1">
      <c r="B8" s="356"/>
      <c r="C8" s="867"/>
      <c r="D8" s="868"/>
      <c r="E8" s="886"/>
      <c r="F8" s="887"/>
      <c r="G8" s="887"/>
      <c r="H8" s="887"/>
      <c r="I8" s="887"/>
      <c r="J8" s="887"/>
      <c r="K8" s="887"/>
      <c r="L8" s="887"/>
      <c r="M8" s="887"/>
      <c r="N8" s="890"/>
      <c r="O8" s="890"/>
      <c r="P8" s="890"/>
      <c r="Q8" s="890"/>
      <c r="R8" s="357"/>
      <c r="S8" s="357"/>
      <c r="T8" s="869"/>
      <c r="U8" s="867"/>
      <c r="V8" s="867"/>
      <c r="W8" s="867"/>
      <c r="X8" s="870"/>
    </row>
    <row r="9" spans="2:26" ht="6" customHeight="1">
      <c r="B9" s="332"/>
      <c r="C9" s="358"/>
      <c r="D9" s="335"/>
      <c r="E9" s="335"/>
      <c r="F9" s="335"/>
      <c r="G9" s="335"/>
      <c r="H9" s="335"/>
      <c r="I9" s="335"/>
      <c r="J9" s="335"/>
      <c r="K9" s="335"/>
      <c r="L9" s="335"/>
      <c r="M9" s="335"/>
      <c r="N9" s="335"/>
      <c r="O9" s="335"/>
      <c r="P9" s="358"/>
      <c r="Q9" s="335"/>
      <c r="R9" s="335"/>
      <c r="S9" s="335"/>
      <c r="T9" s="335"/>
      <c r="U9" s="335"/>
      <c r="V9" s="337"/>
      <c r="W9" s="337"/>
      <c r="X9" s="338"/>
    </row>
    <row r="10" spans="2:26" ht="15">
      <c r="B10" s="339"/>
      <c r="C10" s="359"/>
      <c r="D10"/>
      <c r="E10" s="360"/>
      <c r="F10" s="360"/>
      <c r="G10" s="360"/>
      <c r="H10" s="360"/>
      <c r="I10" s="360"/>
      <c r="J10" s="360"/>
      <c r="K10" s="860"/>
      <c r="L10" s="860"/>
      <c r="M10" s="860"/>
      <c r="N10" s="860"/>
      <c r="O10" s="360"/>
      <c r="P10" s="359"/>
      <c r="Q10" s="360"/>
      <c r="R10" s="360"/>
      <c r="S10" s="360"/>
      <c r="T10" s="360"/>
      <c r="U10" s="360"/>
      <c r="X10" s="344"/>
    </row>
    <row r="11" spans="2:26">
      <c r="B11" s="339"/>
      <c r="C11" s="359"/>
      <c r="D11" s="360"/>
      <c r="E11" s="360"/>
      <c r="F11" s="360"/>
      <c r="G11" s="360"/>
      <c r="H11" s="360"/>
      <c r="I11" s="360"/>
      <c r="J11" s="360"/>
      <c r="K11" s="859"/>
      <c r="L11" s="859"/>
      <c r="M11" s="859"/>
      <c r="N11" s="859"/>
      <c r="O11" s="360"/>
      <c r="P11" s="359"/>
      <c r="Q11" s="360"/>
      <c r="R11" s="360"/>
      <c r="S11" s="360"/>
      <c r="T11" s="360"/>
      <c r="U11" s="360"/>
      <c r="X11" s="344"/>
    </row>
    <row r="12" spans="2:26">
      <c r="B12" s="339"/>
      <c r="C12" s="359"/>
      <c r="D12" s="360"/>
      <c r="E12" s="360"/>
      <c r="F12" s="859"/>
      <c r="G12" s="859"/>
      <c r="H12" s="859"/>
      <c r="I12" s="360"/>
      <c r="J12" s="360"/>
      <c r="K12" s="859"/>
      <c r="L12" s="859"/>
      <c r="M12" s="859"/>
      <c r="N12" s="859"/>
      <c r="O12" s="360"/>
      <c r="P12" s="359"/>
      <c r="Q12" s="360"/>
      <c r="R12" s="360"/>
      <c r="S12" s="360"/>
      <c r="T12" s="360"/>
      <c r="U12" s="360"/>
      <c r="X12" s="344"/>
    </row>
    <row r="13" spans="2:26" ht="15">
      <c r="B13" s="339"/>
      <c r="C13" s="359"/>
      <c r="D13" s="360"/>
      <c r="E13" s="360"/>
      <c r="F13" s="360"/>
      <c r="G13" s="360"/>
      <c r="H13" s="360"/>
      <c r="I13" s="360"/>
      <c r="J13" s="360"/>
      <c r="K13"/>
      <c r="L13" s="360"/>
      <c r="M13" s="360"/>
      <c r="N13" s="360"/>
      <c r="O13" s="360"/>
      <c r="P13" s="359"/>
      <c r="Q13" s="360"/>
      <c r="R13" s="360"/>
      <c r="S13" s="360"/>
      <c r="T13" s="360"/>
      <c r="U13" s="360"/>
      <c r="X13" s="344"/>
    </row>
    <row r="14" spans="2:26">
      <c r="B14" s="339"/>
      <c r="C14" s="359"/>
      <c r="D14" s="860"/>
      <c r="E14" s="860"/>
      <c r="F14" s="860"/>
      <c r="G14" s="860"/>
      <c r="H14" s="361"/>
      <c r="I14" s="360"/>
      <c r="J14" s="860"/>
      <c r="K14" s="860"/>
      <c r="L14" s="360"/>
      <c r="M14" s="360"/>
      <c r="N14" s="860"/>
      <c r="O14" s="860"/>
      <c r="P14" s="359"/>
      <c r="Q14" s="360"/>
      <c r="R14" s="860"/>
      <c r="S14" s="860"/>
      <c r="T14" s="361"/>
      <c r="U14" s="360"/>
      <c r="X14" s="344"/>
    </row>
    <row r="15" spans="2:26">
      <c r="B15" s="339"/>
      <c r="C15" s="359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59"/>
      <c r="Q15" s="360"/>
      <c r="R15" s="360"/>
      <c r="S15" s="360"/>
      <c r="T15" s="360"/>
      <c r="U15" s="360"/>
      <c r="X15" s="344"/>
    </row>
    <row r="16" spans="2:26" ht="12.75" customHeight="1">
      <c r="B16" s="339"/>
      <c r="C16" s="359"/>
      <c r="D16" s="859"/>
      <c r="E16" s="859"/>
      <c r="F16" s="859"/>
      <c r="G16" s="859"/>
      <c r="H16" s="362"/>
      <c r="I16" s="359"/>
      <c r="J16" s="865"/>
      <c r="K16" s="865"/>
      <c r="L16" s="360"/>
      <c r="M16" s="359"/>
      <c r="N16" s="859"/>
      <c r="O16" s="859"/>
      <c r="P16" s="359"/>
      <c r="Q16" s="359"/>
      <c r="R16" s="866"/>
      <c r="S16" s="866"/>
      <c r="T16" s="363"/>
      <c r="U16" s="360"/>
      <c r="X16" s="344"/>
    </row>
    <row r="17" spans="2:29">
      <c r="B17" s="339"/>
      <c r="C17" s="359"/>
      <c r="D17" s="859"/>
      <c r="E17" s="859"/>
      <c r="F17" s="859"/>
      <c r="G17" s="859"/>
      <c r="H17" s="362"/>
      <c r="I17" s="359"/>
      <c r="J17" s="865"/>
      <c r="K17" s="865"/>
      <c r="L17" s="360"/>
      <c r="M17" s="360"/>
      <c r="N17" s="362"/>
      <c r="O17" s="362"/>
      <c r="P17" s="359"/>
      <c r="Q17" s="359"/>
      <c r="R17" s="866"/>
      <c r="S17" s="866"/>
      <c r="T17" s="363"/>
      <c r="U17" s="360"/>
      <c r="X17" s="344"/>
    </row>
    <row r="18" spans="2:29">
      <c r="B18" s="339"/>
      <c r="C18" s="359"/>
      <c r="D18" s="360"/>
      <c r="E18" s="360"/>
      <c r="F18" s="360"/>
      <c r="G18" s="360"/>
      <c r="H18" s="360"/>
      <c r="I18" s="359"/>
      <c r="J18" s="360"/>
      <c r="K18" s="360"/>
      <c r="L18" s="360"/>
      <c r="M18" s="360"/>
      <c r="N18" s="360"/>
      <c r="O18" s="360"/>
      <c r="P18" s="359"/>
      <c r="Q18" s="359"/>
      <c r="R18" s="360"/>
      <c r="S18" s="360"/>
      <c r="T18" s="360"/>
      <c r="U18" s="360"/>
      <c r="X18" s="344"/>
    </row>
    <row r="19" spans="2:29">
      <c r="B19" s="339"/>
      <c r="C19" s="359"/>
      <c r="D19" s="360"/>
      <c r="E19" s="360"/>
      <c r="F19" s="360"/>
      <c r="G19" s="360"/>
      <c r="H19" s="360"/>
      <c r="I19" s="359"/>
      <c r="J19" s="360"/>
      <c r="K19" s="360"/>
      <c r="L19" s="360"/>
      <c r="M19" s="360"/>
      <c r="N19" s="360"/>
      <c r="O19" s="360"/>
      <c r="P19" s="359"/>
      <c r="Q19" s="364"/>
      <c r="R19" s="360"/>
      <c r="S19" s="360"/>
      <c r="T19" s="360"/>
      <c r="U19" s="360"/>
      <c r="X19" s="344"/>
    </row>
    <row r="20" spans="2:29">
      <c r="B20" s="339"/>
      <c r="C20" s="359"/>
      <c r="D20" s="859"/>
      <c r="E20" s="859"/>
      <c r="F20" s="859"/>
      <c r="G20" s="859"/>
      <c r="H20" s="362"/>
      <c r="I20" s="359"/>
      <c r="J20" s="859"/>
      <c r="K20" s="859"/>
      <c r="L20" s="360"/>
      <c r="M20" s="360"/>
      <c r="N20" s="859"/>
      <c r="O20" s="859"/>
      <c r="P20" s="359"/>
      <c r="Q20" s="359"/>
      <c r="R20" s="859"/>
      <c r="S20" s="859"/>
      <c r="T20" s="362"/>
      <c r="U20" s="360"/>
      <c r="X20" s="344"/>
    </row>
    <row r="21" spans="2:29">
      <c r="B21" s="339"/>
      <c r="C21" s="359"/>
      <c r="D21" s="859"/>
      <c r="E21" s="859"/>
      <c r="F21" s="859"/>
      <c r="G21" s="859"/>
      <c r="H21" s="362"/>
      <c r="I21" s="359"/>
      <c r="J21" s="859"/>
      <c r="K21" s="859"/>
      <c r="L21" s="360"/>
      <c r="M21" s="360"/>
      <c r="N21" s="859"/>
      <c r="O21" s="859"/>
      <c r="P21" s="359"/>
      <c r="Q21" s="360"/>
      <c r="R21" s="859"/>
      <c r="S21" s="859"/>
      <c r="T21" s="360"/>
      <c r="U21" s="360"/>
      <c r="X21" s="344"/>
    </row>
    <row r="22" spans="2:29" ht="15">
      <c r="B22" s="339"/>
      <c r="C22" s="359"/>
      <c r="D22" s="360"/>
      <c r="E22" s="360"/>
      <c r="F22" s="360"/>
      <c r="G22" s="360"/>
      <c r="H22" s="360"/>
      <c r="I22" s="359"/>
      <c r="J22" s="360"/>
      <c r="K22" s="360"/>
      <c r="L22" s="360"/>
      <c r="M22" s="359"/>
      <c r="N22" s="360"/>
      <c r="O22" s="360"/>
      <c r="P22" s="359"/>
      <c r="Q22" s="360"/>
      <c r="R22" s="360"/>
      <c r="S22" s="360"/>
      <c r="T22" s="360"/>
      <c r="U22" s="360"/>
      <c r="X22" s="344"/>
      <c r="AC22"/>
    </row>
    <row r="23" spans="2:29">
      <c r="B23" s="339"/>
      <c r="C23" s="365"/>
      <c r="D23" s="360"/>
      <c r="E23" s="360"/>
      <c r="F23" s="360"/>
      <c r="G23" s="360"/>
      <c r="H23" s="360"/>
      <c r="I23" s="359"/>
      <c r="J23" s="360"/>
      <c r="K23" s="360"/>
      <c r="L23" s="360"/>
      <c r="M23" s="359"/>
      <c r="N23" s="360"/>
      <c r="O23" s="360"/>
      <c r="P23" s="359"/>
      <c r="Q23" s="359"/>
      <c r="R23" s="360"/>
      <c r="S23" s="360"/>
      <c r="T23" s="360"/>
      <c r="U23" s="360"/>
      <c r="X23" s="344"/>
    </row>
    <row r="24" spans="2:29">
      <c r="B24" s="339"/>
      <c r="C24" s="359"/>
      <c r="D24" s="859"/>
      <c r="E24" s="859"/>
      <c r="F24" s="859"/>
      <c r="G24" s="859"/>
      <c r="H24" s="362"/>
      <c r="I24" s="359"/>
      <c r="J24" s="859"/>
      <c r="K24" s="859"/>
      <c r="L24" s="360"/>
      <c r="M24" s="359"/>
      <c r="N24" s="859"/>
      <c r="O24" s="859"/>
      <c r="P24" s="359"/>
      <c r="Q24" s="359"/>
      <c r="R24" s="859"/>
      <c r="S24" s="859"/>
      <c r="T24" s="362"/>
      <c r="U24" s="360"/>
      <c r="X24" s="344"/>
    </row>
    <row r="25" spans="2:29">
      <c r="B25" s="339"/>
      <c r="C25" s="359"/>
      <c r="D25" s="859"/>
      <c r="E25" s="859"/>
      <c r="F25" s="859"/>
      <c r="G25" s="859"/>
      <c r="H25" s="362"/>
      <c r="I25" s="359"/>
      <c r="J25" s="859"/>
      <c r="K25" s="859"/>
      <c r="L25" s="360"/>
      <c r="M25" s="359"/>
      <c r="N25" s="859"/>
      <c r="O25" s="859"/>
      <c r="P25" s="360"/>
      <c r="Q25" s="366"/>
      <c r="R25" s="859"/>
      <c r="S25" s="859"/>
      <c r="T25" s="360"/>
      <c r="U25" s="360"/>
      <c r="X25" s="344"/>
    </row>
    <row r="26" spans="2:29">
      <c r="B26" s="339"/>
      <c r="C26" s="365"/>
      <c r="D26" s="360"/>
      <c r="E26" s="360"/>
      <c r="F26" s="360"/>
      <c r="G26" s="364"/>
      <c r="H26" s="360"/>
      <c r="I26" s="359"/>
      <c r="J26" s="360"/>
      <c r="K26" s="360"/>
      <c r="L26" s="360"/>
      <c r="M26" s="359"/>
      <c r="N26" s="360"/>
      <c r="O26" s="360"/>
      <c r="P26" s="367"/>
      <c r="Q26" s="368"/>
      <c r="R26" s="369"/>
      <c r="S26" s="369"/>
      <c r="T26" s="360"/>
      <c r="U26" s="360"/>
      <c r="X26" s="344"/>
    </row>
    <row r="27" spans="2:29">
      <c r="B27" s="339"/>
      <c r="C27" s="368"/>
      <c r="D27" s="362"/>
      <c r="E27" s="360"/>
      <c r="F27" s="360"/>
      <c r="G27" s="362"/>
      <c r="H27" s="360"/>
      <c r="I27" s="359"/>
      <c r="J27" s="360"/>
      <c r="K27" s="360"/>
      <c r="L27" s="360"/>
      <c r="M27" s="359"/>
      <c r="N27" s="360"/>
      <c r="O27" s="360"/>
      <c r="P27" s="367"/>
      <c r="Q27" s="359"/>
      <c r="R27" s="859"/>
      <c r="S27" s="859"/>
      <c r="T27" s="360"/>
      <c r="U27" s="360"/>
      <c r="X27" s="344"/>
    </row>
    <row r="28" spans="2:29" ht="11.25" customHeight="1">
      <c r="B28" s="339"/>
      <c r="C28" s="359"/>
      <c r="D28" s="859"/>
      <c r="E28" s="859"/>
      <c r="F28" s="859"/>
      <c r="G28" s="859"/>
      <c r="H28" s="360"/>
      <c r="I28" s="359"/>
      <c r="J28" s="859"/>
      <c r="K28" s="859"/>
      <c r="L28" s="360"/>
      <c r="M28" s="359"/>
      <c r="N28" s="859"/>
      <c r="O28" s="859"/>
      <c r="P28" s="360"/>
      <c r="Q28" s="359"/>
      <c r="R28" s="362"/>
      <c r="S28" s="362"/>
      <c r="T28" s="366"/>
      <c r="U28" s="360"/>
      <c r="X28" s="344"/>
    </row>
    <row r="29" spans="2:29">
      <c r="B29" s="339"/>
      <c r="C29" s="359"/>
      <c r="D29" s="859"/>
      <c r="E29" s="859"/>
      <c r="F29" s="859"/>
      <c r="G29" s="859"/>
      <c r="H29" s="360"/>
      <c r="I29" s="359"/>
      <c r="J29" s="859"/>
      <c r="K29" s="859"/>
      <c r="L29" s="360"/>
      <c r="M29" s="359"/>
      <c r="N29" s="859"/>
      <c r="O29" s="859"/>
      <c r="P29" s="360"/>
      <c r="Q29" s="359"/>
      <c r="R29" s="859"/>
      <c r="S29" s="859"/>
      <c r="T29" s="360"/>
      <c r="U29" s="360"/>
      <c r="X29" s="344"/>
    </row>
    <row r="30" spans="2:29">
      <c r="B30" s="339"/>
      <c r="C30" s="359"/>
      <c r="D30" s="360"/>
      <c r="E30" s="360"/>
      <c r="F30" s="360"/>
      <c r="G30" s="360"/>
      <c r="H30" s="360"/>
      <c r="I30" s="359"/>
      <c r="J30" s="370"/>
      <c r="K30" s="360"/>
      <c r="L30" s="360"/>
      <c r="M30" s="359"/>
      <c r="N30" s="360"/>
      <c r="O30" s="360"/>
      <c r="P30" s="360"/>
      <c r="Q30" s="360"/>
      <c r="R30" s="859"/>
      <c r="S30" s="859"/>
      <c r="T30" s="360"/>
      <c r="U30" s="360"/>
      <c r="X30" s="344"/>
    </row>
    <row r="31" spans="2:29">
      <c r="B31" s="339"/>
      <c r="C31" s="359"/>
      <c r="D31" s="360"/>
      <c r="E31" s="360"/>
      <c r="F31" s="360"/>
      <c r="G31" s="360"/>
      <c r="H31" s="360"/>
      <c r="I31" s="359"/>
      <c r="J31" s="360"/>
      <c r="K31" s="360"/>
      <c r="L31" s="360"/>
      <c r="M31" s="359"/>
      <c r="N31" s="360"/>
      <c r="O31" s="360"/>
      <c r="P31" s="360"/>
      <c r="Q31" s="359"/>
      <c r="R31" s="859"/>
      <c r="S31" s="859"/>
      <c r="T31" s="366"/>
      <c r="U31" s="360"/>
      <c r="X31" s="344"/>
    </row>
    <row r="32" spans="2:29" ht="11.25" customHeight="1">
      <c r="B32" s="339"/>
      <c r="C32" s="359"/>
      <c r="D32" s="859"/>
      <c r="E32" s="859"/>
      <c r="F32" s="859"/>
      <c r="G32" s="859"/>
      <c r="H32" s="362"/>
      <c r="I32" s="359"/>
      <c r="J32" s="859"/>
      <c r="K32" s="859"/>
      <c r="L32" s="360"/>
      <c r="M32" s="359"/>
      <c r="N32" s="859"/>
      <c r="O32" s="859"/>
      <c r="P32" s="360"/>
      <c r="Q32" s="366"/>
      <c r="R32" s="864"/>
      <c r="S32" s="864"/>
      <c r="T32" s="366"/>
      <c r="U32" s="360"/>
      <c r="X32" s="344"/>
    </row>
    <row r="33" spans="2:29" ht="11.25" customHeight="1">
      <c r="B33" s="339"/>
      <c r="C33" s="359"/>
      <c r="D33" s="859"/>
      <c r="E33" s="859"/>
      <c r="F33" s="859"/>
      <c r="G33" s="859"/>
      <c r="H33" s="362"/>
      <c r="I33" s="359"/>
      <c r="J33" s="859"/>
      <c r="K33" s="859"/>
      <c r="L33" s="360"/>
      <c r="M33" s="359"/>
      <c r="N33" s="859"/>
      <c r="O33" s="859"/>
      <c r="P33" s="360"/>
      <c r="Q33" s="360"/>
      <c r="R33" s="361"/>
      <c r="S33" s="361"/>
      <c r="T33" s="360"/>
      <c r="U33" s="360"/>
      <c r="X33" s="344"/>
    </row>
    <row r="34" spans="2:29" ht="15">
      <c r="B34" s="339"/>
      <c r="C34" s="359"/>
      <c r="D34"/>
      <c r="E34" s="360"/>
      <c r="F34" s="360"/>
      <c r="G34" s="360"/>
      <c r="H34" s="360"/>
      <c r="I34" s="359"/>
      <c r="J34" s="859"/>
      <c r="K34" s="859"/>
      <c r="L34" s="360"/>
      <c r="M34" s="360"/>
      <c r="N34" s="370"/>
      <c r="O34" s="360"/>
      <c r="P34" s="360"/>
      <c r="Q34" s="359"/>
      <c r="R34" s="859"/>
      <c r="S34" s="859"/>
      <c r="T34" s="360"/>
      <c r="U34" s="360"/>
      <c r="X34" s="344"/>
      <c r="AC34"/>
    </row>
    <row r="35" spans="2:29" ht="15">
      <c r="B35" s="339"/>
      <c r="C35"/>
      <c r="D35"/>
      <c r="E35" s="360"/>
      <c r="F35" s="360"/>
      <c r="G35" s="360"/>
      <c r="H35" s="360"/>
      <c r="I35" s="359"/>
      <c r="L35" s="360"/>
      <c r="M35" s="360"/>
      <c r="N35" s="360"/>
      <c r="O35" s="360"/>
      <c r="P35" s="359"/>
      <c r="Q35" s="366"/>
      <c r="R35" s="859"/>
      <c r="S35" s="859"/>
      <c r="T35" s="361"/>
      <c r="U35" s="360"/>
      <c r="X35" s="344"/>
    </row>
    <row r="36" spans="2:29">
      <c r="B36" s="339"/>
      <c r="C36" s="359"/>
      <c r="D36" s="859"/>
      <c r="E36" s="859"/>
      <c r="F36" s="859"/>
      <c r="G36" s="859"/>
      <c r="H36" s="360"/>
      <c r="I36" s="359"/>
      <c r="J36" s="859"/>
      <c r="K36" s="859"/>
      <c r="L36" s="360"/>
      <c r="M36" s="360"/>
      <c r="N36" s="859"/>
      <c r="O36" s="859"/>
      <c r="P36" s="359"/>
      <c r="Q36" s="366"/>
      <c r="R36" s="369"/>
      <c r="S36" s="369"/>
      <c r="T36" s="361"/>
      <c r="U36" s="360"/>
      <c r="X36" s="344"/>
    </row>
    <row r="37" spans="2:29">
      <c r="B37" s="339"/>
      <c r="C37" s="359"/>
      <c r="D37" s="859"/>
      <c r="E37" s="859"/>
      <c r="F37" s="859"/>
      <c r="G37" s="859"/>
      <c r="H37" s="360"/>
      <c r="I37" s="359"/>
      <c r="J37" s="863"/>
      <c r="K37" s="863"/>
      <c r="L37" s="360"/>
      <c r="M37" s="360"/>
      <c r="N37" s="859"/>
      <c r="O37" s="859"/>
      <c r="P37" s="359"/>
      <c r="Q37" s="360"/>
      <c r="R37" s="360"/>
      <c r="S37" s="360"/>
      <c r="T37" s="361"/>
      <c r="U37" s="360"/>
      <c r="X37" s="344"/>
    </row>
    <row r="38" spans="2:29" ht="15">
      <c r="B38" s="339"/>
      <c r="C38" s="359"/>
      <c r="D38" s="860"/>
      <c r="E38" s="860"/>
      <c r="F38" s="860"/>
      <c r="G38" s="860"/>
      <c r="H38" s="362"/>
      <c r="I38" s="359"/>
      <c r="J38" s="371"/>
      <c r="K38" s="360"/>
      <c r="L38" s="360"/>
      <c r="M38" s="360"/>
      <c r="N38" s="362"/>
      <c r="O38" s="362"/>
      <c r="P38" s="359"/>
      <c r="Q38" s="359"/>
      <c r="R38" s="859"/>
      <c r="S38" s="859"/>
      <c r="T38" s="360"/>
      <c r="U38" s="360"/>
      <c r="X38" s="344"/>
      <c r="AB38"/>
    </row>
    <row r="39" spans="2:29" ht="15">
      <c r="B39" s="339"/>
      <c r="C39" s="359"/>
      <c r="D39" s="362"/>
      <c r="E39" s="362"/>
      <c r="F39" s="362"/>
      <c r="G39" s="362"/>
      <c r="H39" s="362"/>
      <c r="I39" s="359"/>
      <c r="J39" s="360"/>
      <c r="K39" s="360"/>
      <c r="L39" s="360"/>
      <c r="M39" s="360"/>
      <c r="N39" s="859"/>
      <c r="O39" s="859"/>
      <c r="P39" s="359"/>
      <c r="Q39" s="366"/>
      <c r="R39" s="859"/>
      <c r="S39" s="859"/>
      <c r="T39" s="360"/>
      <c r="U39" s="360"/>
      <c r="X39" s="344"/>
      <c r="AC39"/>
    </row>
    <row r="40" spans="2:29">
      <c r="B40" s="339"/>
      <c r="C40" s="359"/>
      <c r="D40" s="859"/>
      <c r="E40" s="859"/>
      <c r="F40" s="859"/>
      <c r="G40" s="859"/>
      <c r="H40" s="360"/>
      <c r="I40" s="359"/>
      <c r="J40" s="859"/>
      <c r="K40" s="859"/>
      <c r="L40" s="360"/>
      <c r="M40" s="360"/>
      <c r="N40" s="362"/>
      <c r="O40" s="362"/>
      <c r="P40" s="359"/>
      <c r="Q40" s="368"/>
      <c r="R40" s="369"/>
      <c r="S40" s="369"/>
      <c r="T40" s="360"/>
      <c r="U40" s="360"/>
      <c r="X40" s="344"/>
    </row>
    <row r="41" spans="2:29">
      <c r="B41" s="339"/>
      <c r="C41" s="359"/>
      <c r="D41" s="859"/>
      <c r="E41" s="859"/>
      <c r="F41" s="859"/>
      <c r="G41" s="859"/>
      <c r="H41" s="360"/>
      <c r="I41" s="359"/>
      <c r="J41" s="859"/>
      <c r="K41" s="859"/>
      <c r="L41" s="360"/>
      <c r="M41" s="360"/>
      <c r="N41" s="859"/>
      <c r="O41" s="859"/>
      <c r="P41" s="359"/>
      <c r="Q41" s="360"/>
      <c r="R41" s="859"/>
      <c r="S41" s="859"/>
      <c r="T41" s="360"/>
      <c r="U41" s="360"/>
      <c r="X41" s="344"/>
    </row>
    <row r="42" spans="2:29" ht="11.25" customHeight="1">
      <c r="B42" s="339"/>
      <c r="C42" s="359"/>
      <c r="D42" s="860"/>
      <c r="E42" s="860"/>
      <c r="F42" s="860"/>
      <c r="G42" s="860"/>
      <c r="H42" s="362"/>
      <c r="I42" s="359"/>
      <c r="J42" s="860"/>
      <c r="K42" s="860"/>
      <c r="L42" s="360"/>
      <c r="M42" s="360"/>
      <c r="N42" s="859"/>
      <c r="O42" s="859"/>
      <c r="P42" s="359"/>
      <c r="Q42" s="360"/>
      <c r="R42" s="361"/>
      <c r="S42" s="361"/>
      <c r="T42" s="361"/>
      <c r="U42" s="360"/>
      <c r="X42" s="344"/>
    </row>
    <row r="43" spans="2:29" ht="11.25" customHeight="1">
      <c r="B43" s="339"/>
      <c r="C43" s="359"/>
      <c r="D43" s="860"/>
      <c r="E43" s="860"/>
      <c r="F43" s="860"/>
      <c r="G43" s="860"/>
      <c r="H43" s="362"/>
      <c r="I43" s="359"/>
      <c r="J43" s="860"/>
      <c r="K43" s="860"/>
      <c r="L43" s="360"/>
      <c r="M43" s="360"/>
      <c r="N43" s="360"/>
      <c r="O43" s="360"/>
      <c r="P43" s="359"/>
      <c r="Q43" s="359"/>
      <c r="R43" s="859"/>
      <c r="S43" s="859"/>
      <c r="T43" s="361"/>
      <c r="U43" s="360"/>
      <c r="X43" s="344"/>
    </row>
    <row r="44" spans="2:29" ht="11.25" customHeight="1">
      <c r="B44" s="339"/>
      <c r="C44" s="359"/>
      <c r="D44" s="362"/>
      <c r="E44" s="362"/>
      <c r="F44" s="362"/>
      <c r="G44" s="362"/>
      <c r="H44" s="362"/>
      <c r="I44" s="359"/>
      <c r="J44" s="363"/>
      <c r="K44" s="363"/>
      <c r="L44" s="360"/>
      <c r="M44" s="360"/>
      <c r="N44" s="360"/>
      <c r="O44" s="360"/>
      <c r="P44" s="359"/>
      <c r="Q44" s="366"/>
      <c r="R44" s="859"/>
      <c r="S44" s="859"/>
      <c r="T44" s="360"/>
      <c r="U44" s="360"/>
      <c r="X44" s="344"/>
    </row>
    <row r="45" spans="2:29" ht="12.75" customHeight="1">
      <c r="B45" s="339"/>
      <c r="C45" s="359"/>
      <c r="D45" s="859"/>
      <c r="E45" s="859"/>
      <c r="F45" s="859"/>
      <c r="G45" s="859"/>
      <c r="H45" s="360"/>
      <c r="I45" s="359"/>
      <c r="J45" s="859"/>
      <c r="K45" s="859"/>
      <c r="L45" s="360"/>
      <c r="M45" s="360"/>
      <c r="N45" s="859"/>
      <c r="O45" s="859"/>
      <c r="P45" s="359"/>
      <c r="Q45" s="366"/>
      <c r="R45" s="369"/>
      <c r="S45" s="369"/>
      <c r="T45" s="369"/>
      <c r="U45" s="360"/>
      <c r="X45" s="344"/>
    </row>
    <row r="46" spans="2:29" ht="11.25" customHeight="1">
      <c r="B46" s="339"/>
      <c r="C46" s="359"/>
      <c r="D46" s="859"/>
      <c r="E46" s="859"/>
      <c r="F46" s="859"/>
      <c r="G46" s="859"/>
      <c r="H46" s="360"/>
      <c r="I46" s="359"/>
      <c r="J46" s="859"/>
      <c r="K46" s="859"/>
      <c r="L46" s="360"/>
      <c r="M46" s="360"/>
      <c r="N46" s="859"/>
      <c r="O46" s="859"/>
      <c r="P46" s="359"/>
      <c r="Q46" s="360"/>
      <c r="R46" s="360"/>
      <c r="S46" s="360"/>
      <c r="T46" s="369"/>
      <c r="U46" s="360"/>
      <c r="X46" s="344"/>
    </row>
    <row r="47" spans="2:29">
      <c r="B47" s="339"/>
      <c r="C47" s="359"/>
      <c r="D47" s="360"/>
      <c r="E47" s="360"/>
      <c r="F47" s="360"/>
      <c r="G47" s="360"/>
      <c r="H47" s="362"/>
      <c r="I47" s="360"/>
      <c r="J47" s="372"/>
      <c r="K47" s="372"/>
      <c r="L47" s="360"/>
      <c r="M47" s="360"/>
      <c r="N47" s="362"/>
      <c r="O47" s="362"/>
      <c r="P47" s="359"/>
      <c r="Q47" s="360"/>
      <c r="R47" s="859"/>
      <c r="S47" s="859"/>
      <c r="T47" s="360"/>
      <c r="U47" s="360"/>
      <c r="X47" s="344"/>
    </row>
    <row r="48" spans="2:29">
      <c r="B48" s="339"/>
      <c r="C48" s="359"/>
      <c r="D48" s="360"/>
      <c r="E48" s="360"/>
      <c r="F48" s="360"/>
      <c r="G48" s="360"/>
      <c r="H48" s="360"/>
      <c r="I48" s="360"/>
      <c r="J48" s="362"/>
      <c r="K48" s="362"/>
      <c r="L48" s="360"/>
      <c r="M48" s="360"/>
      <c r="N48" s="859"/>
      <c r="O48" s="859"/>
      <c r="P48" s="359"/>
      <c r="Q48" s="360"/>
      <c r="R48" s="859"/>
      <c r="S48" s="859"/>
      <c r="T48" s="362"/>
      <c r="U48" s="360"/>
      <c r="X48" s="344"/>
    </row>
    <row r="49" spans="2:28" ht="15">
      <c r="B49" s="339"/>
      <c r="C49" s="359"/>
      <c r="D49" s="859"/>
      <c r="E49" s="859"/>
      <c r="F49" s="859"/>
      <c r="G49" s="859"/>
      <c r="H49" s="362"/>
      <c r="I49" s="359"/>
      <c r="J49" s="859"/>
      <c r="K49" s="859"/>
      <c r="L49" s="360"/>
      <c r="M49" s="360"/>
      <c r="N49" s="362"/>
      <c r="O49" s="362"/>
      <c r="P49" s="359"/>
      <c r="Q49" s="366"/>
      <c r="R49" s="362"/>
      <c r="S49" s="362"/>
      <c r="T49" s="361"/>
      <c r="U49" s="360"/>
      <c r="X49" s="344"/>
      <c r="AB49"/>
    </row>
    <row r="50" spans="2:28">
      <c r="B50" s="339"/>
      <c r="C50" s="359"/>
      <c r="D50" s="859"/>
      <c r="E50" s="859"/>
      <c r="F50" s="859"/>
      <c r="G50" s="859"/>
      <c r="H50" s="362"/>
      <c r="I50" s="359"/>
      <c r="J50" s="859"/>
      <c r="K50" s="859"/>
      <c r="L50" s="360"/>
      <c r="M50" s="360"/>
      <c r="N50" s="859"/>
      <c r="O50" s="859"/>
      <c r="P50" s="359"/>
      <c r="Q50" s="360"/>
      <c r="R50" s="859"/>
      <c r="S50" s="859"/>
      <c r="T50" s="362"/>
      <c r="U50" s="360"/>
      <c r="X50" s="344"/>
    </row>
    <row r="51" spans="2:28">
      <c r="B51" s="339"/>
      <c r="C51" s="359"/>
      <c r="D51" s="360"/>
      <c r="E51" s="360"/>
      <c r="F51" s="360"/>
      <c r="G51" s="360"/>
      <c r="H51" s="360"/>
      <c r="I51" s="359"/>
      <c r="J51" s="360"/>
      <c r="K51" s="360"/>
      <c r="L51" s="360"/>
      <c r="M51" s="360"/>
      <c r="N51" s="859"/>
      <c r="O51" s="859"/>
      <c r="P51" s="359"/>
      <c r="Q51" s="360"/>
      <c r="R51" s="361"/>
      <c r="S51" s="361"/>
      <c r="T51" s="369"/>
      <c r="U51" s="360"/>
      <c r="X51" s="344"/>
    </row>
    <row r="52" spans="2:28">
      <c r="B52" s="339"/>
      <c r="C52" s="368"/>
      <c r="D52" s="360"/>
      <c r="E52" s="360"/>
      <c r="F52" s="360"/>
      <c r="G52" s="360"/>
      <c r="H52" s="362"/>
      <c r="I52" s="359"/>
      <c r="J52" s="360"/>
      <c r="K52" s="360"/>
      <c r="L52" s="360"/>
      <c r="M52" s="360"/>
      <c r="N52" s="360"/>
      <c r="O52" s="360"/>
      <c r="P52" s="359"/>
      <c r="Q52" s="359"/>
      <c r="R52" s="859"/>
      <c r="S52" s="859"/>
      <c r="T52" s="369"/>
      <c r="U52" s="360"/>
      <c r="X52" s="344"/>
    </row>
    <row r="53" spans="2:28">
      <c r="B53" s="339"/>
      <c r="C53" s="368"/>
      <c r="D53" s="360"/>
      <c r="E53" s="360"/>
      <c r="F53" s="360"/>
      <c r="G53" s="360"/>
      <c r="H53" s="362"/>
      <c r="I53" s="359"/>
      <c r="J53" s="859"/>
      <c r="K53" s="859"/>
      <c r="L53" s="360"/>
      <c r="M53" s="360"/>
      <c r="N53" s="360"/>
      <c r="O53" s="360"/>
      <c r="P53" s="359"/>
      <c r="Q53" s="366"/>
      <c r="R53" s="859"/>
      <c r="S53" s="859"/>
      <c r="T53" s="360"/>
      <c r="U53" s="360"/>
      <c r="X53" s="344"/>
    </row>
    <row r="54" spans="2:28">
      <c r="B54" s="339"/>
      <c r="C54" s="368"/>
      <c r="D54" s="360"/>
      <c r="E54" s="360"/>
      <c r="F54" s="360"/>
      <c r="G54" s="360"/>
      <c r="H54" s="367"/>
      <c r="I54" s="359"/>
      <c r="J54" s="859"/>
      <c r="K54" s="859"/>
      <c r="L54" s="360"/>
      <c r="M54" s="360"/>
      <c r="N54" s="859"/>
      <c r="O54" s="859"/>
      <c r="P54" s="359"/>
      <c r="Q54" s="360"/>
      <c r="R54" s="373"/>
      <c r="S54" s="373"/>
      <c r="T54" s="360"/>
      <c r="U54" s="360"/>
      <c r="X54" s="344"/>
    </row>
    <row r="55" spans="2:28">
      <c r="B55" s="339"/>
      <c r="C55" s="368"/>
      <c r="D55" s="360"/>
      <c r="E55" s="360"/>
      <c r="F55" s="360"/>
      <c r="G55" s="361"/>
      <c r="H55" s="367"/>
      <c r="I55" s="359"/>
      <c r="J55" s="360"/>
      <c r="K55" s="360"/>
      <c r="L55" s="360"/>
      <c r="M55" s="360"/>
      <c r="N55" s="859"/>
      <c r="O55" s="859"/>
      <c r="P55" s="359"/>
      <c r="Q55" s="360"/>
      <c r="R55" s="364"/>
      <c r="S55" s="364"/>
      <c r="T55" s="369"/>
      <c r="U55" s="360"/>
      <c r="X55" s="344"/>
    </row>
    <row r="56" spans="2:28">
      <c r="B56" s="339"/>
      <c r="C56" s="368"/>
      <c r="D56" s="360"/>
      <c r="E56" s="360"/>
      <c r="F56" s="360"/>
      <c r="G56" s="360"/>
      <c r="H56" s="362"/>
      <c r="I56" s="359"/>
      <c r="J56" s="360"/>
      <c r="K56" s="360"/>
      <c r="L56" s="360"/>
      <c r="M56" s="374"/>
      <c r="N56" s="375"/>
      <c r="O56" s="375"/>
      <c r="P56" s="359"/>
      <c r="Q56" s="359"/>
      <c r="R56" s="859"/>
      <c r="S56" s="859"/>
      <c r="T56" s="369"/>
      <c r="U56" s="376"/>
      <c r="X56" s="344"/>
    </row>
    <row r="57" spans="2:28">
      <c r="B57" s="339"/>
      <c r="C57" s="359"/>
      <c r="D57" s="859"/>
      <c r="E57" s="859"/>
      <c r="F57" s="859"/>
      <c r="G57" s="859"/>
      <c r="H57" s="362"/>
      <c r="I57" s="359"/>
      <c r="J57" s="859"/>
      <c r="K57" s="859"/>
      <c r="L57" s="360"/>
      <c r="M57" s="360"/>
      <c r="N57" s="859"/>
      <c r="O57" s="859"/>
      <c r="P57" s="359"/>
      <c r="Q57" s="366"/>
      <c r="R57" s="362"/>
      <c r="S57" s="362"/>
      <c r="T57" s="376"/>
      <c r="U57" s="376"/>
      <c r="X57" s="344"/>
    </row>
    <row r="58" spans="2:28">
      <c r="B58" s="339"/>
      <c r="C58" s="359"/>
      <c r="D58" s="859"/>
      <c r="E58" s="859"/>
      <c r="F58" s="859"/>
      <c r="G58" s="859"/>
      <c r="H58" s="362"/>
      <c r="I58" s="359"/>
      <c r="J58" s="859"/>
      <c r="K58" s="859"/>
      <c r="L58" s="360"/>
      <c r="M58" s="360"/>
      <c r="N58" s="362"/>
      <c r="O58" s="362"/>
      <c r="P58" s="359"/>
      <c r="Q58" s="360"/>
      <c r="R58" s="361"/>
      <c r="S58" s="361"/>
      <c r="T58" s="361"/>
      <c r="U58" s="376"/>
      <c r="X58" s="344"/>
    </row>
    <row r="59" spans="2:28" ht="12.75" customHeight="1">
      <c r="B59" s="339"/>
      <c r="C59" s="365"/>
      <c r="D59" s="361"/>
      <c r="E59" s="360"/>
      <c r="F59" s="360"/>
      <c r="G59" s="361"/>
      <c r="H59" s="362"/>
      <c r="I59" s="360"/>
      <c r="J59" s="370"/>
      <c r="K59" s="372"/>
      <c r="L59" s="360"/>
      <c r="M59" s="360"/>
      <c r="N59" s="859"/>
      <c r="O59" s="859"/>
      <c r="P59" s="359"/>
      <c r="Q59" s="360"/>
      <c r="R59" s="860"/>
      <c r="S59" s="860"/>
      <c r="T59" s="369"/>
      <c r="U59" s="376"/>
      <c r="X59" s="344"/>
    </row>
    <row r="60" spans="2:28" ht="12.75" customHeight="1">
      <c r="B60" s="339"/>
      <c r="C60" s="359"/>
      <c r="D60" s="360"/>
      <c r="E60" s="360"/>
      <c r="F60" s="360"/>
      <c r="G60" s="360"/>
      <c r="H60" s="362"/>
      <c r="I60" s="360"/>
      <c r="J60" s="362"/>
      <c r="K60" s="362"/>
      <c r="L60" s="360"/>
      <c r="M60" s="360"/>
      <c r="N60" s="859"/>
      <c r="O60" s="859"/>
      <c r="P60" s="359"/>
      <c r="Q60" s="360"/>
      <c r="R60" s="361"/>
      <c r="S60" s="361"/>
      <c r="T60" s="369"/>
      <c r="U60" s="376"/>
      <c r="X60" s="344"/>
    </row>
    <row r="61" spans="2:28" ht="12" thickBot="1">
      <c r="B61" s="356"/>
      <c r="C61" s="377"/>
      <c r="D61" s="862"/>
      <c r="E61" s="862"/>
      <c r="F61" s="862"/>
      <c r="G61" s="862"/>
      <c r="H61" s="378"/>
      <c r="I61" s="377"/>
      <c r="J61" s="862"/>
      <c r="K61" s="862"/>
      <c r="L61" s="379"/>
      <c r="M61" s="379"/>
      <c r="N61" s="379"/>
      <c r="O61" s="379"/>
      <c r="P61" s="377"/>
      <c r="Q61" s="377"/>
      <c r="R61" s="862"/>
      <c r="S61" s="862"/>
      <c r="T61" s="380"/>
      <c r="U61" s="380"/>
      <c r="V61" s="357"/>
      <c r="W61" s="357"/>
      <c r="X61" s="381"/>
    </row>
    <row r="62" spans="2:28">
      <c r="B62" s="337"/>
      <c r="C62" s="358"/>
      <c r="D62" s="861"/>
      <c r="E62" s="861"/>
      <c r="F62" s="861"/>
      <c r="G62" s="861"/>
      <c r="H62" s="382"/>
      <c r="I62" s="358"/>
      <c r="J62" s="861"/>
      <c r="K62" s="861"/>
      <c r="L62" s="335"/>
      <c r="M62" s="335"/>
      <c r="N62" s="335"/>
      <c r="O62" s="335"/>
      <c r="P62" s="358"/>
      <c r="Q62" s="383"/>
      <c r="R62" s="861"/>
      <c r="S62" s="861"/>
      <c r="T62" s="384"/>
      <c r="U62" s="385"/>
    </row>
    <row r="63" spans="2:28" ht="12.75" customHeight="1">
      <c r="C63" s="362"/>
      <c r="D63" s="362"/>
      <c r="E63" s="360"/>
      <c r="F63" s="360"/>
      <c r="G63" s="360"/>
      <c r="H63" s="362"/>
      <c r="I63" s="359"/>
      <c r="J63" s="360"/>
      <c r="K63" s="360"/>
      <c r="L63" s="360"/>
      <c r="M63" s="360"/>
      <c r="N63" s="859"/>
      <c r="O63" s="859"/>
      <c r="P63" s="359"/>
      <c r="Q63" s="362"/>
      <c r="R63" s="360"/>
      <c r="S63" s="360"/>
      <c r="T63" s="369"/>
      <c r="U63" s="376"/>
    </row>
    <row r="64" spans="2:28" ht="12.75" customHeight="1">
      <c r="C64" s="359"/>
      <c r="D64" s="360"/>
      <c r="E64" s="360"/>
      <c r="F64" s="360"/>
      <c r="G64" s="360"/>
      <c r="H64" s="362"/>
      <c r="I64" s="359"/>
      <c r="J64" s="360"/>
      <c r="K64" s="360"/>
      <c r="L64" s="360"/>
      <c r="M64" s="360"/>
      <c r="N64" s="859"/>
      <c r="O64" s="859"/>
      <c r="P64" s="359"/>
      <c r="Q64" s="360"/>
      <c r="R64" s="860"/>
      <c r="S64" s="860"/>
      <c r="T64" s="369"/>
      <c r="U64" s="376"/>
    </row>
    <row r="65" spans="3:21">
      <c r="C65" s="359"/>
      <c r="D65" s="859"/>
      <c r="E65" s="859"/>
      <c r="F65" s="859"/>
      <c r="G65" s="859"/>
      <c r="H65" s="367"/>
      <c r="I65" s="359"/>
      <c r="J65" s="859"/>
      <c r="K65" s="859"/>
      <c r="L65" s="360"/>
      <c r="M65" s="360"/>
      <c r="N65" s="360"/>
      <c r="O65" s="360"/>
      <c r="P65" s="359"/>
      <c r="Q65" s="360"/>
      <c r="R65" s="361"/>
      <c r="S65" s="361"/>
      <c r="T65" s="360"/>
      <c r="U65" s="360"/>
    </row>
    <row r="66" spans="3:21">
      <c r="C66" s="359"/>
      <c r="D66" s="859"/>
      <c r="E66" s="859"/>
      <c r="F66" s="859"/>
      <c r="G66" s="859"/>
      <c r="H66" s="367"/>
      <c r="I66" s="359"/>
      <c r="J66" s="859"/>
      <c r="K66" s="859"/>
      <c r="L66" s="360"/>
      <c r="M66" s="360"/>
      <c r="N66" s="362"/>
      <c r="O66" s="362"/>
      <c r="P66" s="359"/>
      <c r="Q66" s="359"/>
      <c r="R66" s="859"/>
      <c r="S66" s="859"/>
      <c r="T66" s="361"/>
      <c r="U66" s="360"/>
    </row>
    <row r="67" spans="3:21">
      <c r="C67" s="359"/>
      <c r="D67" s="360"/>
      <c r="E67" s="360"/>
      <c r="F67" s="360"/>
      <c r="G67" s="360"/>
      <c r="H67" s="362"/>
      <c r="I67" s="359"/>
      <c r="J67" s="360"/>
      <c r="K67" s="360"/>
      <c r="L67" s="360"/>
      <c r="M67" s="360"/>
      <c r="N67" s="362"/>
      <c r="O67" s="362"/>
      <c r="P67" s="359"/>
      <c r="Q67" s="366"/>
      <c r="R67" s="859"/>
      <c r="S67" s="859"/>
      <c r="T67" s="369"/>
      <c r="U67" s="360"/>
    </row>
    <row r="68" spans="3:21" ht="12.75" customHeight="1">
      <c r="C68" s="359"/>
      <c r="D68" s="360"/>
      <c r="E68" s="360"/>
      <c r="F68" s="360"/>
      <c r="G68" s="360"/>
      <c r="H68" s="362"/>
      <c r="I68" s="359"/>
      <c r="J68" s="360"/>
      <c r="K68" s="360"/>
      <c r="L68" s="360"/>
      <c r="M68" s="374"/>
      <c r="N68" s="375"/>
      <c r="O68" s="375"/>
      <c r="P68"/>
      <c r="Q68" s="360"/>
      <c r="R68" s="361"/>
      <c r="S68" s="361"/>
      <c r="T68" s="369"/>
      <c r="U68" s="360"/>
    </row>
    <row r="69" spans="3:21" ht="12.75" customHeight="1">
      <c r="C69" s="359"/>
      <c r="D69" s="859"/>
      <c r="E69" s="859"/>
      <c r="F69" s="859"/>
      <c r="G69" s="859"/>
      <c r="H69" s="362"/>
      <c r="I69" s="359"/>
      <c r="J69" s="859"/>
      <c r="K69" s="859"/>
      <c r="L69" s="360"/>
      <c r="M69" s="360"/>
      <c r="N69" s="362"/>
      <c r="O69" s="362"/>
      <c r="P69" s="359"/>
      <c r="Q69" s="360"/>
      <c r="R69" s="860"/>
      <c r="S69" s="860"/>
      <c r="T69" s="360"/>
      <c r="U69" s="360"/>
    </row>
    <row r="70" spans="3:21" ht="12.75" customHeight="1">
      <c r="C70" s="359"/>
      <c r="D70" s="859"/>
      <c r="E70" s="859"/>
      <c r="F70" s="859"/>
      <c r="G70" s="859"/>
      <c r="H70" s="362"/>
      <c r="I70" s="359"/>
      <c r="J70" s="362"/>
      <c r="K70" s="362"/>
      <c r="L70" s="360"/>
      <c r="M70" s="360"/>
      <c r="N70" s="362"/>
      <c r="O70" s="362"/>
      <c r="P70" s="359"/>
      <c r="Q70" s="360"/>
      <c r="R70" s="361"/>
      <c r="S70" s="361"/>
      <c r="T70" s="361"/>
      <c r="U70" s="360"/>
    </row>
    <row r="71" spans="3:21" ht="12.75" customHeight="1">
      <c r="C71" s="359"/>
      <c r="D71" s="360"/>
      <c r="E71" s="360"/>
      <c r="F71" s="360"/>
      <c r="G71" s="360"/>
      <c r="H71" s="362"/>
      <c r="I71" s="360"/>
      <c r="J71" s="362"/>
      <c r="K71" s="362"/>
      <c r="L71" s="360"/>
      <c r="M71" s="360"/>
      <c r="N71" s="362"/>
      <c r="O71" s="362"/>
      <c r="P71" s="359"/>
      <c r="Q71" s="359"/>
      <c r="R71" s="859"/>
      <c r="S71" s="859"/>
      <c r="T71" s="369"/>
      <c r="U71" s="360"/>
    </row>
    <row r="72" spans="3:21" ht="12.75" customHeight="1">
      <c r="C72" s="359"/>
      <c r="D72" s="360"/>
      <c r="E72" s="360"/>
      <c r="F72" s="360"/>
      <c r="G72" s="360"/>
      <c r="H72" s="362"/>
      <c r="I72" s="360"/>
      <c r="J72" s="360"/>
      <c r="K72" s="360"/>
      <c r="L72" s="360"/>
      <c r="M72" s="360"/>
      <c r="N72" s="362"/>
      <c r="O72" s="362"/>
      <c r="P72" s="359"/>
      <c r="Q72" s="366"/>
      <c r="R72" s="859"/>
      <c r="S72" s="859"/>
      <c r="T72" s="369"/>
      <c r="U72" s="360"/>
    </row>
    <row r="73" spans="3:21">
      <c r="C73" s="359"/>
      <c r="D73" s="859"/>
      <c r="E73" s="859"/>
      <c r="F73" s="859"/>
      <c r="G73" s="859"/>
      <c r="H73" s="362"/>
      <c r="I73" s="360"/>
      <c r="J73" s="360"/>
      <c r="K73" s="360"/>
      <c r="L73" s="360"/>
      <c r="M73" s="360"/>
      <c r="N73" s="360"/>
      <c r="O73" s="360"/>
      <c r="P73" s="359"/>
      <c r="Q73" s="360"/>
      <c r="R73" s="371"/>
      <c r="S73" s="361"/>
      <c r="T73" s="360"/>
      <c r="U73" s="360"/>
    </row>
    <row r="74" spans="3:21">
      <c r="C74" s="359"/>
      <c r="D74" s="859"/>
      <c r="E74" s="859"/>
      <c r="F74" s="859"/>
      <c r="G74" s="859"/>
      <c r="H74" s="362"/>
      <c r="I74" s="360"/>
      <c r="J74" s="360"/>
      <c r="K74" s="360"/>
      <c r="L74" s="360"/>
      <c r="M74" s="360"/>
      <c r="N74" s="360"/>
      <c r="O74" s="360"/>
      <c r="P74" s="359"/>
      <c r="Q74" s="360"/>
      <c r="R74" s="361"/>
      <c r="S74" s="361"/>
      <c r="T74" s="361"/>
      <c r="U74" s="360"/>
    </row>
    <row r="75" spans="3:21">
      <c r="C75" s="359"/>
      <c r="D75" s="370"/>
      <c r="E75" s="362"/>
      <c r="F75" s="362"/>
      <c r="G75" s="362"/>
      <c r="H75" s="362"/>
      <c r="I75" s="360"/>
      <c r="J75" s="360"/>
      <c r="K75" s="360"/>
      <c r="L75" s="360"/>
      <c r="M75" s="360"/>
      <c r="N75" s="362"/>
      <c r="O75" s="362"/>
      <c r="P75" s="359"/>
      <c r="Q75" s="359"/>
      <c r="R75" s="362"/>
      <c r="S75" s="362"/>
      <c r="T75" s="369"/>
      <c r="U75" s="360"/>
    </row>
    <row r="76" spans="3:21">
      <c r="C76" s="359"/>
      <c r="D76" s="360"/>
      <c r="E76" s="360"/>
      <c r="F76" s="368"/>
      <c r="G76" s="360"/>
      <c r="H76" s="360"/>
      <c r="I76" s="360"/>
      <c r="J76" s="360"/>
      <c r="K76" s="360"/>
      <c r="L76" s="360"/>
      <c r="M76" s="360"/>
      <c r="N76" s="859"/>
      <c r="O76" s="859"/>
      <c r="P76" s="359"/>
      <c r="Q76" s="366"/>
      <c r="R76" s="362"/>
      <c r="S76" s="362"/>
      <c r="T76" s="369"/>
      <c r="U76" s="360"/>
    </row>
    <row r="77" spans="3:21" ht="11.25" customHeight="1">
      <c r="C77" s="359"/>
      <c r="D77" s="360"/>
      <c r="E77" s="360"/>
      <c r="F77" s="366"/>
      <c r="G77" s="360"/>
      <c r="H77" s="360"/>
      <c r="I77" s="360"/>
      <c r="J77" s="360"/>
      <c r="K77" s="360"/>
      <c r="L77" s="366"/>
      <c r="M77" s="360"/>
      <c r="N77" s="859"/>
      <c r="O77" s="859"/>
      <c r="P77" s="359"/>
      <c r="Q77" s="360"/>
      <c r="R77" s="360"/>
      <c r="S77" s="360"/>
      <c r="T77" s="360"/>
      <c r="U77" s="360"/>
    </row>
    <row r="78" spans="3:21">
      <c r="D78" s="386"/>
      <c r="E78" s="360"/>
      <c r="F78" s="366"/>
      <c r="G78" s="360"/>
      <c r="H78" s="360"/>
      <c r="I78" s="360"/>
      <c r="J78" s="366"/>
      <c r="K78" s="360"/>
      <c r="L78" s="366"/>
      <c r="M78" s="366"/>
      <c r="N78" s="360"/>
      <c r="O78" s="360"/>
      <c r="P78" s="359"/>
      <c r="Q78" s="360"/>
      <c r="R78" s="361"/>
      <c r="S78" s="361"/>
      <c r="T78" s="361"/>
      <c r="U78" s="360"/>
    </row>
    <row r="79" spans="3:21">
      <c r="D79" s="360"/>
      <c r="E79" s="360"/>
      <c r="F79" s="360"/>
      <c r="G79" s="360"/>
      <c r="H79" s="360"/>
      <c r="I79" s="360"/>
      <c r="J79" s="366"/>
      <c r="K79" s="360"/>
      <c r="L79" s="360"/>
      <c r="M79" s="360"/>
      <c r="N79" s="360"/>
      <c r="O79" s="360"/>
      <c r="P79" s="359"/>
      <c r="Q79" s="360"/>
      <c r="R79" s="369"/>
      <c r="S79" s="369"/>
      <c r="T79" s="369"/>
      <c r="U79" s="360"/>
    </row>
    <row r="80" spans="3:21">
      <c r="D80" s="386"/>
      <c r="E80" s="360"/>
      <c r="F80" s="360"/>
      <c r="G80" s="360"/>
      <c r="H80" s="360"/>
      <c r="I80" s="360"/>
      <c r="J80" s="366"/>
      <c r="K80" s="360"/>
      <c r="L80" s="360"/>
      <c r="M80" s="360"/>
      <c r="N80" s="360"/>
      <c r="O80" s="360"/>
      <c r="P80" s="359"/>
      <c r="Q80" s="360"/>
      <c r="R80" s="369"/>
      <c r="S80" s="369"/>
      <c r="T80" s="369"/>
      <c r="U80" s="360"/>
    </row>
    <row r="81" spans="4:19">
      <c r="D81" s="360"/>
      <c r="E81" s="360"/>
      <c r="F81" s="360"/>
      <c r="G81" s="360"/>
      <c r="H81" s="360"/>
      <c r="I81" s="360"/>
      <c r="J81" s="360"/>
      <c r="K81" s="360"/>
      <c r="L81" s="360"/>
      <c r="M81" s="360"/>
      <c r="N81" s="360"/>
      <c r="O81" s="360"/>
      <c r="P81" s="359"/>
      <c r="Q81" s="360"/>
      <c r="R81" s="360"/>
      <c r="S81" s="360"/>
    </row>
    <row r="82" spans="4:19"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359"/>
      <c r="Q82" s="360"/>
      <c r="R82" s="360"/>
      <c r="S82" s="360"/>
    </row>
    <row r="83" spans="4:19">
      <c r="D83" s="360"/>
      <c r="E83" s="360"/>
      <c r="F83" s="360"/>
      <c r="G83" s="360"/>
      <c r="H83" s="360"/>
      <c r="I83" s="360"/>
      <c r="J83" s="360"/>
      <c r="K83" s="360"/>
      <c r="L83" s="360"/>
      <c r="M83" s="360"/>
      <c r="N83" s="360"/>
      <c r="O83" s="360"/>
      <c r="P83" s="359"/>
      <c r="Q83" s="360"/>
      <c r="R83" s="360"/>
      <c r="S83" s="360"/>
    </row>
    <row r="84" spans="4:19">
      <c r="D84" s="360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359"/>
      <c r="Q84" s="360"/>
      <c r="R84" s="360"/>
      <c r="S84" s="360"/>
    </row>
    <row r="85" spans="4:19">
      <c r="D85" s="360"/>
      <c r="E85" s="360"/>
      <c r="F85" s="360"/>
      <c r="G85" s="360"/>
      <c r="H85" s="360"/>
      <c r="I85" s="360"/>
      <c r="J85" s="360"/>
      <c r="K85" s="360"/>
      <c r="L85" s="360"/>
      <c r="M85" s="360"/>
      <c r="N85" s="360"/>
      <c r="O85" s="360"/>
      <c r="P85" s="359"/>
      <c r="Q85" s="360"/>
      <c r="R85" s="360"/>
      <c r="S85" s="360"/>
    </row>
    <row r="86" spans="4:19">
      <c r="D86" s="360"/>
      <c r="E86" s="360"/>
      <c r="F86" s="360"/>
      <c r="G86" s="360"/>
      <c r="H86" s="360"/>
      <c r="I86" s="360"/>
      <c r="J86" s="360"/>
      <c r="K86" s="360"/>
      <c r="L86" s="360"/>
      <c r="M86" s="360"/>
      <c r="N86" s="360"/>
      <c r="O86" s="360"/>
      <c r="P86" s="359"/>
      <c r="Q86" s="360"/>
      <c r="R86" s="360"/>
      <c r="S86" s="360"/>
    </row>
    <row r="87" spans="4:19">
      <c r="D87" s="360"/>
      <c r="E87" s="360"/>
      <c r="F87" s="360"/>
      <c r="G87" s="360"/>
      <c r="H87" s="360"/>
      <c r="I87" s="360"/>
      <c r="J87" s="360"/>
      <c r="K87" s="360"/>
      <c r="L87" s="360"/>
      <c r="M87" s="360"/>
      <c r="N87" s="360"/>
      <c r="O87" s="360"/>
      <c r="P87" s="359"/>
      <c r="Q87" s="360"/>
      <c r="R87" s="360"/>
      <c r="S87" s="360"/>
    </row>
    <row r="88" spans="4:19"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59"/>
      <c r="Q88" s="360"/>
      <c r="R88" s="360"/>
      <c r="S88" s="360"/>
    </row>
    <row r="89" spans="4:19">
      <c r="D89" s="360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359"/>
      <c r="Q89" s="360"/>
      <c r="R89" s="360"/>
      <c r="S89" s="360"/>
    </row>
    <row r="90" spans="4:19">
      <c r="D90" s="360"/>
      <c r="E90" s="360"/>
      <c r="F90" s="360"/>
      <c r="G90" s="360"/>
      <c r="H90" s="360"/>
      <c r="I90" s="360"/>
      <c r="J90" s="360"/>
      <c r="K90" s="360"/>
      <c r="L90" s="360"/>
      <c r="M90" s="360"/>
      <c r="N90" s="360"/>
      <c r="O90" s="360"/>
      <c r="P90" s="359"/>
      <c r="Q90" s="360"/>
      <c r="R90" s="360"/>
      <c r="S90" s="360"/>
    </row>
    <row r="91" spans="4:19">
      <c r="D91" s="360"/>
      <c r="E91" s="360"/>
      <c r="F91" s="360"/>
      <c r="G91" s="360"/>
      <c r="H91" s="360"/>
      <c r="I91" s="360"/>
      <c r="J91" s="360"/>
      <c r="K91" s="360"/>
      <c r="L91" s="360"/>
      <c r="M91" s="360"/>
      <c r="N91" s="360"/>
      <c r="O91" s="360"/>
      <c r="P91" s="359"/>
      <c r="Q91" s="360"/>
      <c r="R91" s="360"/>
      <c r="S91" s="360"/>
    </row>
    <row r="92" spans="4:19">
      <c r="D92" s="360"/>
      <c r="E92" s="360"/>
      <c r="F92" s="360"/>
      <c r="G92" s="360"/>
      <c r="H92" s="360"/>
      <c r="I92" s="360"/>
      <c r="J92" s="360"/>
      <c r="K92" s="360"/>
      <c r="L92" s="360"/>
      <c r="M92" s="360"/>
      <c r="N92" s="360"/>
      <c r="O92" s="360"/>
      <c r="P92" s="359"/>
      <c r="Q92" s="360"/>
      <c r="R92" s="360"/>
      <c r="S92" s="360"/>
    </row>
    <row r="93" spans="4:19">
      <c r="D93" s="360"/>
      <c r="E93" s="360"/>
      <c r="F93" s="360"/>
      <c r="G93" s="360"/>
      <c r="H93" s="360"/>
      <c r="I93" s="360"/>
      <c r="J93" s="360"/>
      <c r="K93" s="360"/>
      <c r="L93" s="360"/>
      <c r="M93" s="360"/>
      <c r="N93" s="360"/>
      <c r="O93" s="360"/>
      <c r="P93" s="359"/>
      <c r="Q93" s="360"/>
      <c r="R93" s="360"/>
      <c r="S93" s="360"/>
    </row>
    <row r="94" spans="4:19">
      <c r="D94" s="360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359"/>
      <c r="Q94" s="360"/>
      <c r="R94" s="360"/>
      <c r="S94" s="360"/>
    </row>
    <row r="95" spans="4:19">
      <c r="D95" s="360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359"/>
      <c r="Q95" s="360"/>
      <c r="R95" s="360"/>
      <c r="S95" s="360"/>
    </row>
    <row r="96" spans="4:19">
      <c r="D96" s="360"/>
      <c r="E96" s="360"/>
      <c r="F96" s="360"/>
      <c r="G96" s="360"/>
      <c r="H96" s="360"/>
      <c r="I96" s="360"/>
      <c r="J96" s="360"/>
      <c r="K96" s="360"/>
      <c r="L96" s="360"/>
      <c r="M96" s="360"/>
      <c r="N96" s="360"/>
      <c r="O96" s="360"/>
      <c r="P96" s="359"/>
      <c r="Q96" s="360"/>
      <c r="R96" s="360"/>
      <c r="S96" s="360"/>
    </row>
    <row r="97" spans="4:19">
      <c r="D97" s="360"/>
      <c r="E97" s="360"/>
      <c r="F97" s="360"/>
      <c r="G97" s="360"/>
      <c r="H97" s="360"/>
      <c r="I97" s="360"/>
      <c r="J97" s="360"/>
      <c r="K97" s="360"/>
      <c r="L97" s="360"/>
      <c r="M97" s="360"/>
      <c r="N97" s="360"/>
      <c r="O97" s="360"/>
      <c r="P97" s="359"/>
      <c r="Q97" s="360"/>
      <c r="R97" s="360"/>
      <c r="S97" s="360"/>
    </row>
    <row r="98" spans="4:19">
      <c r="D98" s="360"/>
      <c r="E98" s="360"/>
      <c r="F98" s="360"/>
      <c r="G98" s="360"/>
      <c r="H98" s="360"/>
      <c r="I98" s="360"/>
      <c r="J98" s="360"/>
      <c r="K98" s="360"/>
      <c r="L98" s="360"/>
      <c r="M98" s="360"/>
      <c r="N98" s="360"/>
      <c r="O98" s="360"/>
      <c r="P98" s="359"/>
      <c r="Q98" s="360"/>
      <c r="R98" s="360"/>
      <c r="S98" s="360"/>
    </row>
    <row r="99" spans="4:19"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59"/>
      <c r="Q99" s="360"/>
      <c r="R99" s="360"/>
      <c r="S99" s="360"/>
    </row>
    <row r="100" spans="4:19"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59"/>
      <c r="Q100" s="360"/>
      <c r="R100" s="360"/>
      <c r="S100" s="360"/>
    </row>
    <row r="101" spans="4:19">
      <c r="D101" s="360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359"/>
      <c r="Q101" s="360"/>
      <c r="R101" s="360"/>
      <c r="S101" s="360"/>
    </row>
    <row r="102" spans="4:19">
      <c r="D102" s="360"/>
      <c r="E102" s="360"/>
      <c r="F102" s="360"/>
      <c r="G102" s="360"/>
      <c r="H102" s="360"/>
      <c r="I102" s="360"/>
      <c r="J102" s="360"/>
      <c r="K102" s="360"/>
      <c r="L102" s="360"/>
      <c r="M102" s="360"/>
      <c r="N102" s="360"/>
      <c r="O102" s="360"/>
      <c r="P102" s="359"/>
      <c r="Q102" s="360"/>
      <c r="R102" s="360"/>
      <c r="S102" s="360"/>
    </row>
    <row r="103" spans="4:19">
      <c r="D103" s="360"/>
      <c r="E103" s="360"/>
      <c r="F103" s="360"/>
      <c r="G103" s="360"/>
      <c r="H103" s="360"/>
      <c r="I103" s="360"/>
      <c r="J103" s="360"/>
      <c r="K103" s="360"/>
      <c r="L103" s="360"/>
      <c r="M103" s="360"/>
      <c r="N103" s="360"/>
      <c r="O103" s="360"/>
      <c r="P103" s="359"/>
      <c r="Q103" s="360"/>
      <c r="R103" s="360"/>
      <c r="S103" s="360"/>
    </row>
    <row r="104" spans="4:19">
      <c r="D104" s="360"/>
      <c r="E104" s="360"/>
      <c r="F104" s="360"/>
      <c r="G104" s="360"/>
      <c r="H104" s="360"/>
      <c r="I104" s="360"/>
      <c r="J104" s="360"/>
      <c r="K104" s="360"/>
      <c r="L104" s="360"/>
      <c r="M104" s="360"/>
      <c r="N104" s="360"/>
      <c r="O104" s="360"/>
      <c r="P104" s="359"/>
      <c r="Q104" s="360"/>
      <c r="R104" s="360"/>
      <c r="S104" s="360"/>
    </row>
    <row r="105" spans="4:19">
      <c r="D105" s="360"/>
      <c r="E105" s="360"/>
      <c r="F105" s="360"/>
      <c r="G105" s="360"/>
      <c r="H105" s="360"/>
      <c r="I105" s="360"/>
      <c r="J105" s="360"/>
      <c r="K105" s="360"/>
      <c r="L105" s="360"/>
      <c r="M105" s="360"/>
      <c r="N105" s="360"/>
      <c r="O105" s="360"/>
      <c r="P105" s="359"/>
      <c r="Q105" s="360"/>
      <c r="R105" s="360"/>
      <c r="S105" s="360"/>
    </row>
    <row r="106" spans="4:19">
      <c r="D106" s="360"/>
      <c r="E106" s="360"/>
      <c r="F106" s="360"/>
      <c r="G106" s="360"/>
      <c r="H106" s="360"/>
      <c r="I106" s="360"/>
      <c r="J106" s="360"/>
      <c r="K106" s="360"/>
      <c r="L106" s="360"/>
      <c r="M106" s="360"/>
      <c r="N106" s="360"/>
      <c r="O106" s="360"/>
      <c r="P106" s="359"/>
      <c r="Q106" s="360"/>
      <c r="R106" s="360"/>
      <c r="S106" s="360"/>
    </row>
    <row r="107" spans="4:19">
      <c r="D107" s="360"/>
      <c r="E107" s="360"/>
      <c r="F107" s="360"/>
      <c r="G107" s="360"/>
      <c r="H107" s="360"/>
      <c r="I107" s="360"/>
      <c r="J107" s="360"/>
      <c r="K107" s="360"/>
      <c r="L107" s="360"/>
      <c r="M107" s="360"/>
      <c r="N107" s="360"/>
      <c r="O107" s="360"/>
      <c r="P107" s="359"/>
      <c r="Q107" s="360"/>
      <c r="R107" s="360"/>
      <c r="S107" s="360"/>
    </row>
    <row r="108" spans="4:19"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59"/>
      <c r="Q108" s="360"/>
      <c r="R108" s="360"/>
      <c r="S108" s="360"/>
    </row>
    <row r="109" spans="4:19">
      <c r="D109" s="360"/>
      <c r="E109" s="360"/>
      <c r="F109" s="360"/>
      <c r="G109" s="360"/>
      <c r="H109" s="360"/>
      <c r="I109" s="360"/>
      <c r="J109" s="360"/>
      <c r="K109" s="360"/>
      <c r="L109" s="360"/>
      <c r="M109" s="360"/>
      <c r="N109" s="360"/>
      <c r="O109" s="360"/>
      <c r="P109" s="359"/>
      <c r="Q109" s="360"/>
      <c r="R109" s="360"/>
      <c r="S109" s="360"/>
    </row>
    <row r="110" spans="4:19">
      <c r="D110" s="360"/>
      <c r="E110" s="360"/>
      <c r="F110" s="360"/>
      <c r="G110" s="360"/>
      <c r="H110" s="360"/>
      <c r="I110" s="360"/>
      <c r="J110" s="360"/>
      <c r="K110" s="360"/>
      <c r="L110" s="360"/>
      <c r="M110" s="360"/>
      <c r="N110" s="360"/>
      <c r="O110" s="360"/>
      <c r="P110" s="359"/>
      <c r="Q110" s="360"/>
      <c r="R110" s="360"/>
      <c r="S110" s="360"/>
    </row>
    <row r="111" spans="4:19">
      <c r="D111" s="360"/>
      <c r="E111" s="360"/>
      <c r="F111" s="360"/>
      <c r="G111" s="360"/>
      <c r="H111" s="360"/>
      <c r="I111" s="360"/>
      <c r="J111" s="360"/>
      <c r="K111" s="360"/>
      <c r="L111" s="360"/>
      <c r="M111" s="360"/>
      <c r="N111" s="360"/>
      <c r="O111" s="360"/>
      <c r="P111" s="359"/>
      <c r="Q111" s="360"/>
      <c r="R111" s="360"/>
      <c r="S111" s="360"/>
    </row>
    <row r="112" spans="4:19">
      <c r="D112" s="360"/>
      <c r="E112" s="360"/>
      <c r="F112" s="360"/>
      <c r="G112" s="360"/>
      <c r="H112" s="360"/>
      <c r="I112" s="360"/>
      <c r="J112" s="360"/>
      <c r="K112" s="360"/>
      <c r="L112" s="360"/>
      <c r="M112" s="360"/>
      <c r="N112" s="360"/>
      <c r="O112" s="360"/>
      <c r="P112" s="359"/>
      <c r="Q112" s="360"/>
      <c r="R112" s="360"/>
      <c r="S112" s="360"/>
    </row>
    <row r="113" spans="4:19">
      <c r="D113" s="360"/>
      <c r="E113" s="360"/>
      <c r="F113" s="360"/>
      <c r="G113" s="360"/>
      <c r="H113" s="360"/>
      <c r="I113" s="360"/>
      <c r="J113" s="360"/>
      <c r="K113" s="360"/>
      <c r="L113" s="360"/>
      <c r="M113" s="360"/>
      <c r="N113" s="360"/>
      <c r="O113" s="360"/>
      <c r="P113" s="359"/>
      <c r="Q113" s="360"/>
      <c r="R113" s="360"/>
      <c r="S113" s="360"/>
    </row>
    <row r="114" spans="4:19">
      <c r="D114" s="360"/>
      <c r="E114" s="360"/>
      <c r="F114" s="360"/>
      <c r="G114" s="360"/>
      <c r="H114" s="360"/>
      <c r="I114" s="360"/>
      <c r="J114" s="360"/>
      <c r="K114" s="360"/>
      <c r="L114" s="360"/>
      <c r="M114" s="360"/>
      <c r="N114" s="360"/>
      <c r="O114" s="360"/>
      <c r="P114" s="359"/>
      <c r="Q114" s="360"/>
      <c r="R114" s="360"/>
      <c r="S114" s="360"/>
    </row>
    <row r="115" spans="4:19">
      <c r="D115" s="360"/>
      <c r="E115" s="360"/>
      <c r="F115" s="360"/>
      <c r="G115" s="360"/>
      <c r="H115" s="360"/>
      <c r="I115" s="360"/>
      <c r="J115" s="360"/>
      <c r="K115" s="360"/>
      <c r="L115" s="360"/>
      <c r="M115" s="360"/>
      <c r="N115" s="360"/>
      <c r="O115" s="360"/>
      <c r="P115" s="359"/>
      <c r="Q115" s="360"/>
      <c r="R115" s="360"/>
      <c r="S115" s="360"/>
    </row>
    <row r="116" spans="4:19">
      <c r="D116" s="360"/>
      <c r="E116" s="360"/>
      <c r="F116" s="360"/>
      <c r="G116" s="360"/>
      <c r="H116" s="360"/>
      <c r="I116" s="360"/>
      <c r="J116" s="360"/>
      <c r="K116" s="360"/>
      <c r="L116" s="360"/>
      <c r="M116" s="360"/>
      <c r="N116" s="360"/>
      <c r="O116" s="360"/>
      <c r="P116" s="359"/>
      <c r="Q116" s="360"/>
      <c r="R116" s="360"/>
      <c r="S116" s="360"/>
    </row>
    <row r="117" spans="4:19">
      <c r="D117" s="360"/>
      <c r="E117" s="360"/>
      <c r="F117" s="360"/>
      <c r="G117" s="360"/>
      <c r="H117" s="360"/>
      <c r="I117" s="360"/>
      <c r="J117" s="360"/>
      <c r="K117" s="360"/>
      <c r="L117" s="360"/>
      <c r="M117" s="360"/>
      <c r="N117" s="360"/>
      <c r="O117" s="360"/>
      <c r="P117" s="359"/>
      <c r="Q117" s="360"/>
      <c r="R117" s="360"/>
      <c r="S117" s="360"/>
    </row>
    <row r="118" spans="4:19">
      <c r="D118" s="360"/>
      <c r="E118" s="360"/>
      <c r="F118" s="360"/>
      <c r="G118" s="360"/>
      <c r="H118" s="360"/>
      <c r="I118" s="360"/>
      <c r="J118" s="360"/>
      <c r="K118" s="360"/>
      <c r="L118" s="360"/>
      <c r="M118" s="360"/>
      <c r="N118" s="360"/>
      <c r="O118" s="360"/>
      <c r="P118" s="359"/>
      <c r="Q118" s="360"/>
      <c r="R118" s="360"/>
      <c r="S118" s="360"/>
    </row>
    <row r="119" spans="4:19">
      <c r="D119" s="360"/>
      <c r="E119" s="360"/>
      <c r="F119" s="360"/>
      <c r="G119" s="360"/>
      <c r="H119" s="360"/>
      <c r="I119" s="360"/>
      <c r="J119" s="360"/>
      <c r="K119" s="360"/>
      <c r="L119" s="360"/>
      <c r="M119" s="360"/>
      <c r="N119" s="360"/>
      <c r="O119" s="360"/>
      <c r="P119" s="359"/>
      <c r="Q119" s="360"/>
      <c r="R119" s="360"/>
      <c r="S119" s="360"/>
    </row>
    <row r="120" spans="4:19">
      <c r="D120" s="360"/>
      <c r="E120" s="360"/>
      <c r="F120" s="360"/>
      <c r="G120" s="360"/>
      <c r="H120" s="360"/>
      <c r="I120" s="360"/>
      <c r="J120" s="360"/>
      <c r="K120" s="360"/>
      <c r="L120" s="360"/>
      <c r="M120" s="360"/>
      <c r="N120" s="360"/>
      <c r="O120" s="360"/>
      <c r="P120" s="359"/>
      <c r="Q120" s="360"/>
      <c r="R120" s="360"/>
      <c r="S120" s="360"/>
    </row>
    <row r="121" spans="4:19">
      <c r="D121" s="360"/>
      <c r="E121" s="360"/>
      <c r="F121" s="360"/>
      <c r="G121" s="360"/>
      <c r="H121" s="360"/>
      <c r="I121" s="360"/>
      <c r="J121" s="360"/>
      <c r="K121" s="360"/>
      <c r="L121" s="360"/>
      <c r="M121" s="360"/>
      <c r="N121" s="360"/>
      <c r="O121" s="360"/>
      <c r="P121" s="359"/>
      <c r="Q121" s="360"/>
      <c r="R121" s="360"/>
      <c r="S121" s="360"/>
    </row>
    <row r="122" spans="4:19">
      <c r="D122" s="360"/>
      <c r="E122" s="360"/>
      <c r="F122" s="360"/>
      <c r="G122" s="360"/>
      <c r="H122" s="360"/>
      <c r="I122" s="360"/>
      <c r="J122" s="360"/>
      <c r="K122" s="360"/>
      <c r="L122" s="360"/>
      <c r="M122" s="360"/>
      <c r="N122" s="360"/>
      <c r="O122" s="360"/>
      <c r="P122" s="359"/>
      <c r="Q122" s="360"/>
      <c r="R122" s="360"/>
      <c r="S122" s="360"/>
    </row>
    <row r="123" spans="4:19">
      <c r="D123" s="360"/>
      <c r="E123" s="360"/>
      <c r="F123" s="360"/>
      <c r="G123" s="360"/>
      <c r="H123" s="360"/>
      <c r="I123" s="360"/>
      <c r="J123" s="360"/>
      <c r="K123" s="360"/>
      <c r="L123" s="360"/>
      <c r="M123" s="360"/>
      <c r="N123" s="360"/>
      <c r="O123" s="360"/>
      <c r="P123" s="359"/>
      <c r="Q123" s="360"/>
      <c r="R123" s="360"/>
      <c r="S123" s="360"/>
    </row>
    <row r="124" spans="4:19">
      <c r="D124" s="360"/>
      <c r="E124" s="360"/>
      <c r="F124" s="360"/>
      <c r="G124" s="360"/>
      <c r="H124" s="360"/>
      <c r="I124" s="360"/>
      <c r="J124" s="360"/>
      <c r="K124" s="360"/>
      <c r="L124" s="360"/>
      <c r="M124" s="360"/>
      <c r="N124" s="360"/>
      <c r="O124" s="360"/>
      <c r="P124" s="359"/>
      <c r="Q124" s="360"/>
      <c r="R124" s="360"/>
      <c r="S124" s="360"/>
    </row>
    <row r="125" spans="4:19">
      <c r="D125" s="360"/>
      <c r="E125" s="360"/>
      <c r="F125" s="360"/>
      <c r="G125" s="360"/>
      <c r="H125" s="360"/>
      <c r="I125" s="360"/>
      <c r="J125" s="360"/>
      <c r="K125" s="360"/>
      <c r="L125" s="360"/>
      <c r="M125" s="360"/>
      <c r="N125" s="360"/>
      <c r="O125" s="360"/>
      <c r="P125" s="359"/>
      <c r="Q125" s="360"/>
      <c r="R125" s="360"/>
      <c r="S125" s="360"/>
    </row>
    <row r="126" spans="4:19">
      <c r="D126" s="360"/>
      <c r="E126" s="360"/>
      <c r="F126" s="360"/>
      <c r="G126" s="360"/>
      <c r="H126" s="360"/>
      <c r="I126" s="360"/>
      <c r="J126" s="360"/>
      <c r="K126" s="360"/>
      <c r="L126" s="360"/>
      <c r="M126" s="360"/>
      <c r="N126" s="360"/>
      <c r="O126" s="360"/>
      <c r="P126" s="359"/>
      <c r="Q126" s="360"/>
      <c r="R126" s="360"/>
      <c r="S126" s="360"/>
    </row>
    <row r="127" spans="4:19">
      <c r="D127" s="360"/>
      <c r="E127" s="360"/>
      <c r="F127" s="360"/>
      <c r="G127" s="360"/>
      <c r="H127" s="360"/>
      <c r="I127" s="360"/>
      <c r="J127" s="360"/>
      <c r="K127" s="360"/>
      <c r="L127" s="360"/>
      <c r="M127" s="360"/>
      <c r="N127" s="360"/>
      <c r="O127" s="360"/>
      <c r="P127" s="359"/>
      <c r="Q127" s="360"/>
      <c r="R127" s="360"/>
      <c r="S127" s="360"/>
    </row>
    <row r="128" spans="4:19">
      <c r="D128" s="360"/>
      <c r="E128" s="360"/>
      <c r="F128" s="360"/>
      <c r="G128" s="360"/>
      <c r="H128" s="360"/>
      <c r="I128" s="360"/>
      <c r="J128" s="360"/>
      <c r="K128" s="360"/>
      <c r="L128" s="360"/>
      <c r="M128" s="360"/>
      <c r="N128" s="360"/>
      <c r="O128" s="360"/>
      <c r="P128" s="359"/>
      <c r="Q128" s="360"/>
      <c r="R128" s="360"/>
      <c r="S128" s="360"/>
    </row>
    <row r="129" spans="4:19">
      <c r="D129" s="360"/>
      <c r="E129" s="360"/>
      <c r="F129" s="360"/>
      <c r="G129" s="360"/>
      <c r="H129" s="360"/>
      <c r="I129" s="360"/>
      <c r="J129" s="360"/>
      <c r="K129" s="360"/>
      <c r="L129" s="360"/>
      <c r="M129" s="360"/>
      <c r="N129" s="360"/>
      <c r="O129" s="360"/>
      <c r="P129" s="359"/>
      <c r="Q129" s="360"/>
      <c r="R129" s="360"/>
      <c r="S129" s="360"/>
    </row>
    <row r="130" spans="4:19">
      <c r="D130" s="360"/>
      <c r="E130" s="360"/>
      <c r="F130" s="360"/>
      <c r="G130" s="360"/>
      <c r="H130" s="360"/>
      <c r="I130" s="360"/>
      <c r="J130" s="360"/>
      <c r="K130" s="360"/>
      <c r="L130" s="360"/>
      <c r="M130" s="360"/>
      <c r="N130" s="360"/>
      <c r="O130" s="360"/>
      <c r="P130" s="359"/>
      <c r="Q130" s="360"/>
      <c r="R130" s="360"/>
      <c r="S130" s="360"/>
    </row>
    <row r="131" spans="4:19">
      <c r="D131" s="360"/>
      <c r="E131" s="360"/>
      <c r="F131" s="360"/>
      <c r="G131" s="360"/>
      <c r="H131" s="360"/>
      <c r="I131" s="360"/>
      <c r="J131" s="360"/>
      <c r="K131" s="360"/>
      <c r="L131" s="360"/>
      <c r="M131" s="360"/>
      <c r="N131" s="360"/>
      <c r="O131" s="360"/>
      <c r="P131" s="359"/>
      <c r="Q131" s="360"/>
      <c r="R131" s="360"/>
      <c r="S131" s="360"/>
    </row>
    <row r="132" spans="4:19">
      <c r="D132" s="360"/>
      <c r="E132" s="360"/>
      <c r="F132" s="360"/>
      <c r="G132" s="360"/>
      <c r="H132" s="360"/>
      <c r="I132" s="360"/>
      <c r="J132" s="360"/>
      <c r="K132" s="360"/>
      <c r="L132" s="360"/>
      <c r="M132" s="360"/>
      <c r="N132" s="360"/>
      <c r="O132" s="360"/>
      <c r="P132" s="359"/>
      <c r="Q132" s="360"/>
      <c r="R132" s="360"/>
      <c r="S132" s="360"/>
    </row>
    <row r="133" spans="4:19">
      <c r="D133" s="360"/>
      <c r="E133" s="360"/>
      <c r="F133" s="360"/>
      <c r="G133" s="360"/>
      <c r="H133" s="360"/>
      <c r="I133" s="360"/>
      <c r="J133" s="360"/>
      <c r="K133" s="360"/>
      <c r="L133" s="360"/>
      <c r="M133" s="360"/>
      <c r="N133" s="360"/>
      <c r="O133" s="360"/>
      <c r="P133" s="359"/>
      <c r="Q133" s="360"/>
      <c r="R133" s="360"/>
      <c r="S133" s="360"/>
    </row>
    <row r="134" spans="4:19">
      <c r="D134" s="360"/>
      <c r="E134" s="360"/>
      <c r="F134" s="360"/>
      <c r="G134" s="360"/>
      <c r="H134" s="360"/>
      <c r="I134" s="360"/>
      <c r="J134" s="360"/>
      <c r="K134" s="360"/>
      <c r="L134" s="360"/>
      <c r="M134" s="360"/>
      <c r="N134" s="360"/>
      <c r="O134" s="360"/>
      <c r="P134" s="359"/>
      <c r="Q134" s="360"/>
      <c r="R134" s="360"/>
      <c r="S134" s="360"/>
    </row>
    <row r="135" spans="4:19">
      <c r="D135" s="360"/>
      <c r="E135" s="360"/>
      <c r="F135" s="360"/>
      <c r="G135" s="360"/>
      <c r="H135" s="360"/>
      <c r="I135" s="360"/>
      <c r="J135" s="360"/>
      <c r="K135" s="360"/>
      <c r="L135" s="360"/>
      <c r="M135" s="360"/>
      <c r="N135" s="360"/>
      <c r="O135" s="360"/>
      <c r="P135" s="359"/>
      <c r="Q135" s="360"/>
      <c r="R135" s="360"/>
      <c r="S135" s="360"/>
    </row>
    <row r="136" spans="4:19">
      <c r="D136" s="360"/>
      <c r="E136" s="360"/>
      <c r="F136" s="360"/>
      <c r="G136" s="360"/>
      <c r="H136" s="360"/>
      <c r="I136" s="360"/>
      <c r="J136" s="360"/>
      <c r="K136" s="360"/>
      <c r="L136" s="360"/>
      <c r="M136" s="360"/>
      <c r="N136" s="360"/>
      <c r="O136" s="360"/>
      <c r="P136" s="359"/>
      <c r="Q136" s="360"/>
      <c r="R136" s="360"/>
      <c r="S136" s="360"/>
    </row>
    <row r="137" spans="4:19">
      <c r="D137" s="360"/>
      <c r="E137" s="360"/>
      <c r="F137" s="360"/>
      <c r="G137" s="360"/>
      <c r="H137" s="360"/>
      <c r="I137" s="360"/>
      <c r="J137" s="360"/>
      <c r="K137" s="360"/>
      <c r="L137" s="360"/>
      <c r="M137" s="360"/>
      <c r="N137" s="360"/>
      <c r="O137" s="360"/>
      <c r="P137" s="359"/>
      <c r="Q137" s="360"/>
      <c r="R137" s="360"/>
      <c r="S137" s="360"/>
    </row>
    <row r="138" spans="4:19">
      <c r="D138" s="360"/>
      <c r="E138" s="360"/>
      <c r="F138" s="360"/>
      <c r="G138" s="360"/>
      <c r="H138" s="360"/>
      <c r="I138" s="360"/>
      <c r="J138" s="360"/>
      <c r="K138" s="360"/>
      <c r="L138" s="360"/>
      <c r="M138" s="360"/>
      <c r="N138" s="360"/>
      <c r="O138" s="360"/>
      <c r="P138" s="359"/>
      <c r="Q138" s="360"/>
      <c r="R138" s="360"/>
      <c r="S138" s="360"/>
    </row>
    <row r="139" spans="4:19">
      <c r="D139" s="360"/>
      <c r="E139" s="360"/>
      <c r="F139" s="360"/>
      <c r="G139" s="360"/>
      <c r="H139" s="360"/>
      <c r="I139" s="360"/>
      <c r="J139" s="360"/>
      <c r="K139" s="360"/>
      <c r="L139" s="360"/>
      <c r="M139" s="360"/>
      <c r="N139" s="360"/>
      <c r="O139" s="360"/>
      <c r="P139" s="359"/>
      <c r="Q139" s="360"/>
      <c r="R139" s="360"/>
      <c r="S139" s="360"/>
    </row>
    <row r="140" spans="4:19">
      <c r="D140" s="360"/>
      <c r="E140" s="360"/>
      <c r="F140" s="360"/>
      <c r="G140" s="360"/>
      <c r="H140" s="360"/>
      <c r="I140" s="360"/>
      <c r="J140" s="360"/>
      <c r="K140" s="360"/>
      <c r="L140" s="360"/>
      <c r="M140" s="360"/>
      <c r="N140" s="360"/>
      <c r="O140" s="360"/>
      <c r="P140" s="359"/>
      <c r="Q140" s="360"/>
      <c r="R140" s="360"/>
      <c r="S140" s="360"/>
    </row>
    <row r="141" spans="4:19">
      <c r="D141" s="360"/>
      <c r="E141" s="360"/>
      <c r="F141" s="360"/>
      <c r="G141" s="360"/>
      <c r="H141" s="360"/>
      <c r="I141" s="360"/>
      <c r="J141" s="360"/>
      <c r="K141" s="360"/>
      <c r="L141" s="360"/>
      <c r="M141" s="360"/>
      <c r="N141" s="360"/>
      <c r="O141" s="360"/>
      <c r="P141" s="359"/>
      <c r="Q141" s="360"/>
      <c r="R141" s="360"/>
      <c r="S141" s="360"/>
    </row>
    <row r="142" spans="4:19">
      <c r="D142" s="360"/>
      <c r="E142" s="360"/>
      <c r="F142" s="360"/>
      <c r="G142" s="360"/>
      <c r="H142" s="360"/>
      <c r="I142" s="360"/>
      <c r="J142" s="360"/>
      <c r="K142" s="360"/>
      <c r="L142" s="360"/>
      <c r="M142" s="360"/>
      <c r="N142" s="360"/>
      <c r="O142" s="360"/>
      <c r="P142" s="359"/>
      <c r="Q142" s="360"/>
      <c r="R142" s="360"/>
      <c r="S142" s="360"/>
    </row>
    <row r="143" spans="4:19">
      <c r="D143" s="360"/>
      <c r="E143" s="360"/>
      <c r="F143" s="360"/>
      <c r="G143" s="360"/>
      <c r="H143" s="360"/>
      <c r="I143" s="360"/>
      <c r="J143" s="360"/>
      <c r="K143" s="360"/>
      <c r="L143" s="360"/>
      <c r="M143" s="360"/>
      <c r="N143" s="360"/>
      <c r="O143" s="360"/>
      <c r="P143" s="359"/>
      <c r="Q143" s="360"/>
      <c r="R143" s="360"/>
      <c r="S143" s="360"/>
    </row>
    <row r="144" spans="4:19">
      <c r="D144" s="360"/>
      <c r="E144" s="360"/>
      <c r="F144" s="360"/>
      <c r="G144" s="360"/>
      <c r="H144" s="360"/>
      <c r="I144" s="360"/>
      <c r="J144" s="360"/>
      <c r="K144" s="360"/>
      <c r="L144" s="360"/>
      <c r="M144" s="360"/>
      <c r="N144" s="360"/>
      <c r="O144" s="360"/>
      <c r="P144" s="359"/>
      <c r="Q144" s="360"/>
      <c r="R144" s="360"/>
      <c r="S144" s="360"/>
    </row>
    <row r="145" spans="4:19">
      <c r="D145" s="360"/>
      <c r="E145" s="360"/>
      <c r="F145" s="360"/>
      <c r="G145" s="360"/>
      <c r="H145" s="360"/>
      <c r="I145" s="360"/>
      <c r="J145" s="360"/>
      <c r="K145" s="360"/>
      <c r="L145" s="360"/>
      <c r="M145" s="360"/>
      <c r="N145" s="360"/>
      <c r="O145" s="360"/>
      <c r="P145" s="359"/>
      <c r="Q145" s="360"/>
      <c r="R145" s="360"/>
      <c r="S145" s="360"/>
    </row>
    <row r="146" spans="4:19">
      <c r="D146" s="360"/>
      <c r="E146" s="360"/>
      <c r="F146" s="360"/>
      <c r="G146" s="360"/>
      <c r="H146" s="360"/>
      <c r="I146" s="360"/>
      <c r="J146" s="360"/>
      <c r="K146" s="360"/>
      <c r="L146" s="360"/>
      <c r="M146" s="360"/>
      <c r="N146" s="360"/>
      <c r="O146" s="360"/>
      <c r="P146" s="359"/>
      <c r="Q146" s="360"/>
      <c r="R146" s="360"/>
      <c r="S146" s="360"/>
    </row>
    <row r="147" spans="4:19">
      <c r="D147" s="360"/>
      <c r="E147" s="360"/>
      <c r="F147" s="360"/>
      <c r="G147" s="360"/>
      <c r="H147" s="360"/>
      <c r="I147" s="360"/>
      <c r="J147" s="360"/>
      <c r="K147" s="360"/>
      <c r="L147" s="360"/>
      <c r="M147" s="360"/>
      <c r="N147" s="360"/>
      <c r="O147" s="360"/>
      <c r="P147" s="359"/>
      <c r="Q147" s="360"/>
      <c r="R147" s="360"/>
      <c r="S147" s="360"/>
    </row>
    <row r="148" spans="4:19">
      <c r="D148" s="360"/>
      <c r="E148" s="360"/>
      <c r="F148" s="360"/>
      <c r="G148" s="360"/>
      <c r="H148" s="360"/>
      <c r="I148" s="360"/>
      <c r="J148" s="360"/>
      <c r="K148" s="360"/>
      <c r="L148" s="360"/>
      <c r="M148" s="360"/>
      <c r="N148" s="360"/>
      <c r="O148" s="360"/>
      <c r="P148" s="359"/>
      <c r="Q148" s="360"/>
      <c r="R148" s="360"/>
      <c r="S148" s="360"/>
    </row>
    <row r="149" spans="4:19">
      <c r="D149" s="360"/>
      <c r="E149" s="360"/>
      <c r="F149" s="360"/>
      <c r="G149" s="360"/>
      <c r="H149" s="360"/>
      <c r="I149" s="360"/>
      <c r="J149" s="360"/>
      <c r="K149" s="360"/>
      <c r="L149" s="360"/>
      <c r="M149" s="360"/>
      <c r="N149" s="360"/>
      <c r="O149" s="360"/>
      <c r="P149" s="359"/>
      <c r="Q149" s="360"/>
      <c r="R149" s="360"/>
      <c r="S149" s="360"/>
    </row>
    <row r="150" spans="4:19">
      <c r="D150" s="360"/>
      <c r="E150" s="360"/>
      <c r="F150" s="360"/>
      <c r="G150" s="360"/>
      <c r="H150" s="360"/>
      <c r="I150" s="360"/>
      <c r="J150" s="360"/>
      <c r="K150" s="360"/>
      <c r="L150" s="360"/>
      <c r="M150" s="360"/>
      <c r="N150" s="360"/>
      <c r="O150" s="360"/>
      <c r="P150" s="359"/>
      <c r="Q150" s="360"/>
      <c r="R150" s="360"/>
      <c r="S150" s="360"/>
    </row>
    <row r="151" spans="4:19">
      <c r="D151" s="360"/>
      <c r="E151" s="360"/>
      <c r="F151" s="360"/>
      <c r="G151" s="360"/>
      <c r="H151" s="360"/>
      <c r="I151" s="360"/>
      <c r="J151" s="360"/>
      <c r="K151" s="360"/>
      <c r="L151" s="360"/>
      <c r="M151" s="360"/>
      <c r="N151" s="360"/>
      <c r="O151" s="360"/>
      <c r="P151" s="359"/>
      <c r="Q151" s="360"/>
      <c r="R151" s="360"/>
      <c r="S151" s="360"/>
    </row>
    <row r="152" spans="4:19">
      <c r="D152" s="360"/>
      <c r="E152" s="360"/>
      <c r="F152" s="360"/>
      <c r="G152" s="360"/>
      <c r="H152" s="360"/>
      <c r="I152" s="360"/>
      <c r="J152" s="360"/>
      <c r="K152" s="360"/>
      <c r="L152" s="360"/>
      <c r="M152" s="360"/>
      <c r="N152" s="360"/>
      <c r="O152" s="360"/>
      <c r="P152" s="359"/>
      <c r="Q152" s="360"/>
      <c r="R152" s="360"/>
      <c r="S152" s="360"/>
    </row>
    <row r="153" spans="4:19">
      <c r="D153" s="360"/>
      <c r="E153" s="360"/>
      <c r="F153" s="360"/>
      <c r="G153" s="360"/>
      <c r="H153" s="360"/>
      <c r="I153" s="360"/>
      <c r="J153" s="360"/>
      <c r="K153" s="360"/>
      <c r="L153" s="360"/>
      <c r="M153" s="360"/>
      <c r="N153" s="360"/>
      <c r="O153" s="360"/>
      <c r="P153" s="359"/>
      <c r="Q153" s="360"/>
      <c r="R153" s="360"/>
      <c r="S153" s="360"/>
    </row>
    <row r="154" spans="4:19">
      <c r="D154" s="360"/>
      <c r="E154" s="360"/>
      <c r="F154" s="360"/>
      <c r="G154" s="360"/>
      <c r="H154" s="360"/>
      <c r="I154" s="360"/>
      <c r="J154" s="360"/>
      <c r="K154" s="360"/>
      <c r="L154" s="360"/>
      <c r="M154" s="360"/>
      <c r="N154" s="360"/>
      <c r="O154" s="360"/>
      <c r="P154" s="359"/>
      <c r="Q154" s="360"/>
      <c r="R154" s="360"/>
      <c r="S154" s="360"/>
    </row>
    <row r="155" spans="4:19">
      <c r="D155" s="360"/>
      <c r="E155" s="360"/>
      <c r="F155" s="360"/>
      <c r="G155" s="360"/>
      <c r="H155" s="360"/>
      <c r="I155" s="360"/>
      <c r="J155" s="360"/>
      <c r="K155" s="360"/>
      <c r="L155" s="360"/>
      <c r="M155" s="360"/>
      <c r="N155" s="360"/>
      <c r="O155" s="360"/>
      <c r="P155" s="359"/>
      <c r="Q155" s="360"/>
      <c r="R155" s="360"/>
      <c r="S155" s="360"/>
    </row>
    <row r="156" spans="4:19">
      <c r="D156" s="360"/>
      <c r="E156" s="360"/>
      <c r="F156" s="360"/>
      <c r="G156" s="360"/>
      <c r="H156" s="360"/>
      <c r="I156" s="360"/>
      <c r="J156" s="360"/>
      <c r="K156" s="360"/>
      <c r="L156" s="360"/>
      <c r="M156" s="360"/>
      <c r="N156" s="360"/>
      <c r="O156" s="360"/>
      <c r="P156" s="359"/>
      <c r="Q156" s="360"/>
      <c r="R156" s="360"/>
      <c r="S156" s="360"/>
    </row>
    <row r="157" spans="4:19">
      <c r="D157" s="360"/>
      <c r="E157" s="360"/>
      <c r="F157" s="360"/>
      <c r="G157" s="360"/>
      <c r="H157" s="360"/>
      <c r="I157" s="360"/>
      <c r="J157" s="360"/>
      <c r="K157" s="360"/>
      <c r="L157" s="360"/>
      <c r="M157" s="360"/>
      <c r="N157" s="360"/>
      <c r="O157" s="360"/>
      <c r="P157" s="359"/>
      <c r="Q157" s="360"/>
      <c r="R157" s="360"/>
      <c r="S157" s="360"/>
    </row>
    <row r="158" spans="4:19">
      <c r="D158" s="360"/>
      <c r="E158" s="360"/>
      <c r="F158" s="360"/>
      <c r="G158" s="360"/>
      <c r="H158" s="360"/>
      <c r="I158" s="360"/>
      <c r="J158" s="360"/>
      <c r="K158" s="360"/>
      <c r="L158" s="360"/>
      <c r="M158" s="360"/>
      <c r="N158" s="360"/>
      <c r="O158" s="360"/>
      <c r="P158" s="359"/>
      <c r="Q158" s="360"/>
      <c r="R158" s="360"/>
      <c r="S158" s="360"/>
    </row>
    <row r="159" spans="4:19">
      <c r="D159" s="360"/>
      <c r="E159" s="360"/>
      <c r="F159" s="360"/>
      <c r="G159" s="360"/>
      <c r="H159" s="360"/>
      <c r="I159" s="360"/>
      <c r="J159" s="360"/>
      <c r="K159" s="360"/>
      <c r="L159" s="360"/>
      <c r="M159" s="360"/>
      <c r="N159" s="360"/>
      <c r="O159" s="360"/>
      <c r="P159" s="359"/>
      <c r="Q159" s="360"/>
      <c r="R159" s="360"/>
      <c r="S159" s="360"/>
    </row>
    <row r="160" spans="4:19">
      <c r="D160" s="360"/>
      <c r="E160" s="360"/>
      <c r="F160" s="360"/>
      <c r="G160" s="360"/>
      <c r="H160" s="360"/>
      <c r="I160" s="360"/>
      <c r="J160" s="360"/>
      <c r="K160" s="360"/>
      <c r="L160" s="360"/>
      <c r="M160" s="360"/>
      <c r="N160" s="360"/>
      <c r="O160" s="360"/>
      <c r="P160" s="359"/>
      <c r="Q160" s="360"/>
      <c r="R160" s="360"/>
      <c r="S160" s="360"/>
    </row>
    <row r="161" spans="4:19">
      <c r="D161" s="360"/>
      <c r="E161" s="360"/>
      <c r="F161" s="360"/>
      <c r="G161" s="360"/>
      <c r="H161" s="360"/>
      <c r="I161" s="360"/>
      <c r="J161" s="360"/>
      <c r="K161" s="360"/>
      <c r="L161" s="360"/>
      <c r="M161" s="360"/>
      <c r="N161" s="360"/>
      <c r="O161" s="360"/>
      <c r="P161" s="359"/>
      <c r="Q161" s="360"/>
      <c r="R161" s="360"/>
      <c r="S161" s="360"/>
    </row>
    <row r="162" spans="4:19">
      <c r="D162" s="360"/>
      <c r="E162" s="360"/>
      <c r="F162" s="360"/>
      <c r="G162" s="360"/>
      <c r="H162" s="360"/>
      <c r="I162" s="360"/>
      <c r="J162" s="360"/>
      <c r="K162" s="360"/>
      <c r="L162" s="360"/>
      <c r="M162" s="360"/>
      <c r="N162" s="360"/>
      <c r="O162" s="360"/>
      <c r="P162" s="359"/>
      <c r="Q162" s="360"/>
      <c r="R162" s="360"/>
      <c r="S162" s="360"/>
    </row>
    <row r="163" spans="4:19">
      <c r="D163" s="360"/>
      <c r="E163" s="360"/>
      <c r="F163" s="360"/>
      <c r="G163" s="360"/>
      <c r="H163" s="360"/>
      <c r="I163" s="360"/>
      <c r="J163" s="360"/>
      <c r="K163" s="360"/>
      <c r="L163" s="360"/>
      <c r="M163" s="360"/>
      <c r="N163" s="360"/>
      <c r="O163" s="360"/>
      <c r="P163" s="359"/>
      <c r="Q163" s="360"/>
      <c r="R163" s="360"/>
      <c r="S163" s="360"/>
    </row>
    <row r="164" spans="4:19">
      <c r="D164" s="360"/>
      <c r="E164" s="360"/>
      <c r="F164" s="360"/>
      <c r="G164" s="360"/>
      <c r="H164" s="360"/>
      <c r="I164" s="360"/>
      <c r="J164" s="360"/>
      <c r="K164" s="360"/>
      <c r="L164" s="360"/>
      <c r="M164" s="360"/>
      <c r="N164" s="360"/>
      <c r="O164" s="360"/>
      <c r="P164" s="359"/>
      <c r="Q164" s="360"/>
      <c r="R164" s="360"/>
      <c r="S164" s="360"/>
    </row>
    <row r="165" spans="4:19">
      <c r="D165" s="360"/>
      <c r="E165" s="360"/>
      <c r="F165" s="360"/>
      <c r="G165" s="360"/>
      <c r="H165" s="360"/>
      <c r="I165" s="360"/>
      <c r="J165" s="360"/>
      <c r="K165" s="360"/>
      <c r="L165" s="360"/>
      <c r="M165" s="360"/>
      <c r="N165" s="360"/>
      <c r="O165" s="360"/>
      <c r="P165" s="359"/>
      <c r="Q165" s="360"/>
      <c r="R165" s="360"/>
      <c r="S165" s="360"/>
    </row>
    <row r="166" spans="4:19">
      <c r="D166" s="360"/>
      <c r="E166" s="360"/>
      <c r="F166" s="360"/>
      <c r="G166" s="360"/>
      <c r="H166" s="360"/>
      <c r="I166" s="360"/>
      <c r="J166" s="360"/>
      <c r="K166" s="360"/>
      <c r="L166" s="360"/>
      <c r="M166" s="360"/>
      <c r="N166" s="360"/>
      <c r="O166" s="360"/>
      <c r="P166" s="359"/>
      <c r="Q166" s="360"/>
      <c r="R166" s="360"/>
      <c r="S166" s="360"/>
    </row>
    <row r="167" spans="4:19">
      <c r="D167" s="360"/>
      <c r="E167" s="360"/>
      <c r="F167" s="360"/>
      <c r="G167" s="360"/>
      <c r="H167" s="360"/>
      <c r="I167" s="360"/>
      <c r="J167" s="360"/>
      <c r="K167" s="360"/>
      <c r="L167" s="360"/>
      <c r="M167" s="360"/>
      <c r="N167" s="360"/>
      <c r="O167" s="360"/>
      <c r="P167" s="359"/>
      <c r="Q167" s="360"/>
      <c r="R167" s="360"/>
      <c r="S167" s="360"/>
    </row>
    <row r="168" spans="4:19">
      <c r="D168" s="360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359"/>
      <c r="Q168" s="360"/>
      <c r="R168" s="360"/>
      <c r="S168" s="360"/>
    </row>
    <row r="169" spans="4:19">
      <c r="D169" s="360"/>
      <c r="E169" s="360"/>
      <c r="F169" s="360"/>
      <c r="G169" s="360"/>
      <c r="H169" s="360"/>
      <c r="I169" s="360"/>
      <c r="J169" s="360"/>
      <c r="K169" s="360"/>
      <c r="L169" s="360"/>
      <c r="M169" s="360"/>
      <c r="N169" s="360"/>
      <c r="O169" s="360"/>
      <c r="P169" s="359"/>
      <c r="Q169" s="360"/>
      <c r="R169" s="360"/>
      <c r="S169" s="360"/>
    </row>
    <row r="170" spans="4:19">
      <c r="D170" s="360"/>
      <c r="E170" s="360"/>
      <c r="F170" s="360"/>
      <c r="G170" s="360"/>
      <c r="H170" s="360"/>
      <c r="I170" s="360"/>
      <c r="J170" s="360"/>
      <c r="K170" s="360"/>
      <c r="L170" s="360"/>
      <c r="M170" s="360"/>
      <c r="N170" s="360"/>
      <c r="O170" s="360"/>
      <c r="P170" s="359"/>
      <c r="Q170" s="360"/>
      <c r="R170" s="360"/>
      <c r="S170" s="360"/>
    </row>
    <row r="171" spans="4:19">
      <c r="D171" s="360"/>
      <c r="E171" s="360"/>
      <c r="F171" s="360"/>
      <c r="G171" s="360"/>
      <c r="H171" s="360"/>
      <c r="I171" s="360"/>
      <c r="J171" s="360"/>
      <c r="K171" s="360"/>
      <c r="L171" s="360"/>
      <c r="M171" s="360"/>
      <c r="N171" s="360"/>
      <c r="O171" s="360"/>
      <c r="P171" s="359"/>
      <c r="Q171" s="360"/>
      <c r="R171" s="360"/>
      <c r="S171" s="360"/>
    </row>
    <row r="172" spans="4:19">
      <c r="D172" s="360"/>
      <c r="E172" s="360"/>
      <c r="F172" s="360"/>
      <c r="G172" s="360"/>
      <c r="H172" s="360"/>
      <c r="I172" s="360"/>
      <c r="J172" s="360"/>
      <c r="K172" s="360"/>
      <c r="L172" s="360"/>
      <c r="M172" s="360"/>
      <c r="N172" s="360"/>
      <c r="O172" s="360"/>
      <c r="P172" s="359"/>
      <c r="Q172" s="360"/>
      <c r="R172" s="360"/>
      <c r="S172" s="360"/>
    </row>
    <row r="173" spans="4:19">
      <c r="D173" s="360"/>
      <c r="E173" s="360"/>
      <c r="F173" s="360"/>
      <c r="G173" s="360"/>
      <c r="H173" s="360"/>
      <c r="I173" s="360"/>
      <c r="J173" s="360"/>
      <c r="K173" s="360"/>
      <c r="L173" s="360"/>
      <c r="M173" s="360"/>
      <c r="N173" s="360"/>
      <c r="O173" s="360"/>
      <c r="P173" s="359"/>
      <c r="Q173" s="360"/>
      <c r="R173" s="360"/>
      <c r="S173" s="360"/>
    </row>
    <row r="174" spans="4:19">
      <c r="D174" s="360"/>
      <c r="E174" s="360"/>
      <c r="F174" s="360"/>
      <c r="G174" s="360"/>
      <c r="H174" s="360"/>
      <c r="I174" s="360"/>
      <c r="J174" s="360"/>
      <c r="K174" s="360"/>
      <c r="L174" s="360"/>
      <c r="M174" s="360"/>
      <c r="N174" s="360"/>
      <c r="O174" s="360"/>
      <c r="P174" s="359"/>
      <c r="Q174" s="360"/>
      <c r="R174" s="360"/>
      <c r="S174" s="360"/>
    </row>
    <row r="175" spans="4:19">
      <c r="D175" s="360"/>
      <c r="E175" s="360"/>
      <c r="F175" s="360"/>
      <c r="G175" s="360"/>
      <c r="H175" s="360"/>
      <c r="I175" s="360"/>
      <c r="J175" s="360"/>
      <c r="K175" s="360"/>
      <c r="L175" s="360"/>
      <c r="M175" s="360"/>
      <c r="N175" s="360"/>
      <c r="O175" s="360"/>
      <c r="P175" s="359"/>
      <c r="Q175" s="360"/>
      <c r="R175" s="360"/>
      <c r="S175" s="360"/>
    </row>
    <row r="176" spans="4:19">
      <c r="D176" s="360"/>
      <c r="E176" s="360"/>
      <c r="F176" s="360"/>
      <c r="G176" s="360"/>
      <c r="H176" s="360"/>
      <c r="I176" s="360"/>
      <c r="J176" s="360"/>
      <c r="K176" s="360"/>
      <c r="L176" s="360"/>
      <c r="M176" s="360"/>
      <c r="N176" s="360"/>
      <c r="O176" s="360"/>
      <c r="P176" s="359"/>
      <c r="Q176" s="360"/>
      <c r="R176" s="360"/>
      <c r="S176" s="360"/>
    </row>
    <row r="177" spans="4:19">
      <c r="D177" s="360"/>
      <c r="E177" s="360"/>
      <c r="F177" s="360"/>
      <c r="G177" s="360"/>
      <c r="H177" s="360"/>
      <c r="I177" s="360"/>
      <c r="J177" s="360"/>
      <c r="K177" s="360"/>
      <c r="L177" s="360"/>
      <c r="M177" s="360"/>
      <c r="N177" s="360"/>
      <c r="O177" s="360"/>
      <c r="P177" s="359"/>
      <c r="Q177" s="360"/>
      <c r="R177" s="360"/>
      <c r="S177" s="360"/>
    </row>
    <row r="178" spans="4:19">
      <c r="D178" s="360"/>
      <c r="E178" s="360"/>
      <c r="F178" s="360"/>
      <c r="G178" s="360"/>
      <c r="H178" s="360"/>
      <c r="I178" s="360"/>
      <c r="J178" s="360"/>
      <c r="K178" s="360"/>
      <c r="L178" s="360"/>
      <c r="M178" s="360"/>
      <c r="N178" s="360"/>
      <c r="O178" s="360"/>
      <c r="P178" s="359"/>
      <c r="Q178" s="360"/>
      <c r="R178" s="360"/>
      <c r="S178" s="360"/>
    </row>
    <row r="179" spans="4:19">
      <c r="D179" s="360"/>
      <c r="E179" s="360"/>
      <c r="F179" s="360"/>
      <c r="G179" s="360"/>
      <c r="H179" s="360"/>
      <c r="I179" s="360"/>
      <c r="J179" s="360"/>
      <c r="K179" s="360"/>
      <c r="L179" s="360"/>
      <c r="M179" s="360"/>
      <c r="N179" s="360"/>
      <c r="O179" s="360"/>
      <c r="P179" s="359"/>
      <c r="Q179" s="360"/>
      <c r="R179" s="360"/>
      <c r="S179" s="360"/>
    </row>
    <row r="180" spans="4:19">
      <c r="D180" s="360"/>
      <c r="E180" s="360"/>
      <c r="F180" s="360"/>
      <c r="G180" s="360"/>
      <c r="H180" s="360"/>
      <c r="I180" s="360"/>
      <c r="J180" s="360"/>
      <c r="K180" s="360"/>
      <c r="L180" s="360"/>
      <c r="M180" s="360"/>
      <c r="N180" s="360"/>
      <c r="O180" s="360"/>
      <c r="P180" s="359"/>
      <c r="Q180" s="360"/>
      <c r="R180" s="360"/>
      <c r="S180" s="360"/>
    </row>
    <row r="181" spans="4:19">
      <c r="D181" s="360"/>
      <c r="E181" s="360"/>
      <c r="F181" s="360"/>
      <c r="G181" s="360"/>
      <c r="H181" s="360"/>
      <c r="I181" s="360"/>
      <c r="J181" s="360"/>
      <c r="K181" s="360"/>
      <c r="L181" s="360"/>
      <c r="M181" s="360"/>
      <c r="N181" s="360"/>
      <c r="O181" s="360"/>
      <c r="P181" s="359"/>
      <c r="Q181" s="360"/>
      <c r="R181" s="360"/>
      <c r="S181" s="360"/>
    </row>
    <row r="182" spans="4:19">
      <c r="D182" s="360"/>
      <c r="E182" s="360"/>
      <c r="F182" s="360"/>
      <c r="G182" s="360"/>
      <c r="H182" s="360"/>
      <c r="I182" s="360"/>
      <c r="J182" s="360"/>
      <c r="K182" s="360"/>
      <c r="L182" s="360"/>
      <c r="M182" s="360"/>
      <c r="N182" s="360"/>
      <c r="O182" s="360"/>
      <c r="P182" s="359"/>
      <c r="Q182" s="360"/>
      <c r="R182" s="360"/>
      <c r="S182" s="360"/>
    </row>
    <row r="183" spans="4:19">
      <c r="D183" s="360"/>
      <c r="E183" s="360"/>
      <c r="F183" s="360"/>
      <c r="G183" s="360"/>
      <c r="H183" s="360"/>
      <c r="I183" s="360"/>
      <c r="J183" s="360"/>
      <c r="K183" s="360"/>
      <c r="L183" s="360"/>
      <c r="M183" s="360"/>
      <c r="N183" s="360"/>
      <c r="O183" s="360"/>
      <c r="P183" s="359"/>
      <c r="Q183" s="360"/>
      <c r="R183" s="360"/>
      <c r="S183" s="360"/>
    </row>
    <row r="184" spans="4:19">
      <c r="D184" s="360"/>
      <c r="E184" s="360"/>
      <c r="F184" s="360"/>
      <c r="G184" s="360"/>
      <c r="H184" s="360"/>
      <c r="I184" s="360"/>
      <c r="J184" s="360"/>
      <c r="K184" s="360"/>
      <c r="L184" s="360"/>
      <c r="M184" s="360"/>
      <c r="N184" s="360"/>
      <c r="O184" s="360"/>
      <c r="P184" s="359"/>
      <c r="Q184" s="360"/>
      <c r="R184" s="360"/>
      <c r="S184" s="360"/>
    </row>
    <row r="185" spans="4:19">
      <c r="D185" s="360"/>
      <c r="E185" s="360"/>
      <c r="F185" s="360"/>
      <c r="G185" s="360"/>
      <c r="H185" s="360"/>
      <c r="I185" s="360"/>
      <c r="J185" s="360"/>
      <c r="K185" s="360"/>
      <c r="L185" s="360"/>
      <c r="M185" s="360"/>
      <c r="N185" s="360"/>
      <c r="O185" s="360"/>
      <c r="P185" s="359"/>
      <c r="Q185" s="360"/>
      <c r="R185" s="360"/>
      <c r="S185" s="360"/>
    </row>
    <row r="186" spans="4:19">
      <c r="D186" s="360"/>
      <c r="E186" s="360"/>
      <c r="F186" s="360"/>
      <c r="G186" s="360"/>
      <c r="H186" s="360"/>
      <c r="I186" s="360"/>
      <c r="J186" s="360"/>
      <c r="K186" s="360"/>
      <c r="L186" s="360"/>
      <c r="M186" s="360"/>
      <c r="N186" s="360"/>
      <c r="O186" s="360"/>
      <c r="P186" s="359"/>
      <c r="Q186" s="360"/>
      <c r="R186" s="360"/>
      <c r="S186" s="360"/>
    </row>
    <row r="187" spans="4:19">
      <c r="D187" s="360"/>
      <c r="E187" s="360"/>
      <c r="F187" s="360"/>
      <c r="G187" s="360"/>
      <c r="H187" s="360"/>
      <c r="I187" s="360"/>
      <c r="J187" s="360"/>
      <c r="K187" s="360"/>
      <c r="L187" s="360"/>
      <c r="M187" s="360"/>
      <c r="N187" s="360"/>
      <c r="O187" s="360"/>
      <c r="P187" s="359"/>
      <c r="Q187" s="360"/>
      <c r="R187" s="360"/>
      <c r="S187" s="360"/>
    </row>
    <row r="188" spans="4:19"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59"/>
      <c r="Q188" s="360"/>
      <c r="R188" s="360"/>
      <c r="S188" s="360"/>
    </row>
    <row r="189" spans="4:19">
      <c r="D189" s="360"/>
      <c r="E189" s="360"/>
      <c r="F189" s="360"/>
      <c r="G189" s="360"/>
      <c r="H189" s="360"/>
      <c r="I189" s="360"/>
      <c r="J189" s="360"/>
      <c r="K189" s="360"/>
      <c r="L189" s="360"/>
      <c r="M189" s="360"/>
      <c r="N189" s="360"/>
      <c r="O189" s="360"/>
      <c r="P189" s="359"/>
      <c r="Q189" s="360"/>
      <c r="R189" s="360"/>
      <c r="S189" s="360"/>
    </row>
    <row r="190" spans="4:19">
      <c r="D190" s="360"/>
      <c r="E190" s="360"/>
      <c r="F190" s="360"/>
      <c r="G190" s="360"/>
      <c r="H190" s="360"/>
      <c r="I190" s="360"/>
      <c r="J190" s="360"/>
      <c r="K190" s="360"/>
      <c r="L190" s="360"/>
      <c r="M190" s="360"/>
      <c r="N190" s="360"/>
      <c r="O190" s="360"/>
      <c r="P190" s="359"/>
      <c r="Q190" s="360"/>
      <c r="R190" s="360"/>
      <c r="S190" s="360"/>
    </row>
    <row r="191" spans="4:19">
      <c r="D191" s="360"/>
      <c r="E191" s="360"/>
      <c r="F191" s="360"/>
      <c r="G191" s="360"/>
      <c r="H191" s="360"/>
      <c r="I191" s="360"/>
      <c r="J191" s="360"/>
      <c r="K191" s="360"/>
      <c r="L191" s="360"/>
      <c r="M191" s="360"/>
      <c r="N191" s="360"/>
      <c r="O191" s="360"/>
      <c r="P191" s="359"/>
      <c r="Q191" s="360"/>
      <c r="R191" s="360"/>
      <c r="S191" s="360"/>
    </row>
    <row r="192" spans="4:19">
      <c r="D192" s="360"/>
      <c r="E192" s="360"/>
      <c r="F192" s="360"/>
      <c r="G192" s="360"/>
      <c r="H192" s="360"/>
      <c r="I192" s="360"/>
      <c r="J192" s="360"/>
      <c r="K192" s="360"/>
      <c r="L192" s="360"/>
      <c r="M192" s="360"/>
      <c r="N192" s="360"/>
      <c r="O192" s="360"/>
      <c r="P192" s="359"/>
      <c r="Q192" s="360"/>
      <c r="R192" s="360"/>
      <c r="S192" s="360"/>
    </row>
    <row r="193" spans="4:19">
      <c r="D193" s="360"/>
      <c r="E193" s="360"/>
      <c r="F193" s="360"/>
      <c r="G193" s="360"/>
      <c r="H193" s="360"/>
      <c r="I193" s="360"/>
      <c r="J193" s="360"/>
      <c r="K193" s="360"/>
      <c r="L193" s="360"/>
      <c r="M193" s="360"/>
      <c r="N193" s="360"/>
      <c r="O193" s="360"/>
      <c r="P193" s="359"/>
      <c r="Q193" s="360"/>
      <c r="R193" s="360"/>
      <c r="S193" s="360"/>
    </row>
    <row r="194" spans="4:19">
      <c r="D194" s="360"/>
      <c r="E194" s="360"/>
      <c r="F194" s="360"/>
      <c r="G194" s="360"/>
      <c r="H194" s="360"/>
      <c r="I194" s="360"/>
      <c r="J194" s="360"/>
      <c r="K194" s="360"/>
      <c r="L194" s="360"/>
      <c r="M194" s="360"/>
      <c r="N194" s="360"/>
      <c r="O194" s="360"/>
      <c r="P194" s="359"/>
      <c r="Q194" s="360"/>
      <c r="R194" s="360"/>
      <c r="S194" s="360"/>
    </row>
    <row r="195" spans="4:19">
      <c r="D195" s="360"/>
      <c r="E195" s="360"/>
      <c r="F195" s="360"/>
      <c r="G195" s="360"/>
      <c r="H195" s="360"/>
      <c r="I195" s="360"/>
      <c r="J195" s="360"/>
      <c r="K195" s="360"/>
      <c r="L195" s="360"/>
      <c r="M195" s="360"/>
      <c r="N195" s="360"/>
      <c r="O195" s="360"/>
      <c r="P195" s="359"/>
      <c r="Q195" s="360"/>
      <c r="R195" s="360"/>
      <c r="S195" s="360"/>
    </row>
    <row r="196" spans="4:19">
      <c r="D196" s="360"/>
      <c r="E196" s="360"/>
      <c r="F196" s="360"/>
      <c r="G196" s="360"/>
      <c r="H196" s="360"/>
      <c r="I196" s="360"/>
      <c r="J196" s="360"/>
      <c r="K196" s="360"/>
      <c r="L196" s="360"/>
      <c r="M196" s="360"/>
      <c r="N196" s="360"/>
      <c r="O196" s="360"/>
      <c r="P196" s="359"/>
      <c r="Q196" s="360"/>
      <c r="R196" s="360"/>
      <c r="S196" s="360"/>
    </row>
    <row r="197" spans="4:19">
      <c r="D197" s="360"/>
      <c r="E197" s="360"/>
      <c r="F197" s="360"/>
      <c r="G197" s="360"/>
      <c r="H197" s="360"/>
      <c r="I197" s="360"/>
      <c r="J197" s="360"/>
      <c r="K197" s="360"/>
      <c r="L197" s="360"/>
      <c r="M197" s="360"/>
      <c r="N197" s="360"/>
      <c r="O197" s="360"/>
      <c r="P197" s="359"/>
      <c r="Q197" s="360"/>
      <c r="R197" s="360"/>
      <c r="S197" s="360"/>
    </row>
    <row r="198" spans="4:19">
      <c r="D198" s="360"/>
      <c r="E198" s="360"/>
      <c r="F198" s="360"/>
      <c r="G198" s="360"/>
      <c r="H198" s="360"/>
      <c r="I198" s="360"/>
      <c r="J198" s="360"/>
      <c r="K198" s="360"/>
      <c r="L198" s="360"/>
      <c r="M198" s="360"/>
      <c r="N198" s="360"/>
      <c r="O198" s="360"/>
      <c r="P198" s="359"/>
      <c r="Q198" s="360"/>
      <c r="R198" s="360"/>
      <c r="S198" s="360"/>
    </row>
    <row r="199" spans="4:19">
      <c r="D199" s="360"/>
      <c r="E199" s="360"/>
      <c r="F199" s="360"/>
      <c r="G199" s="360"/>
      <c r="H199" s="360"/>
      <c r="I199" s="360"/>
      <c r="J199" s="360"/>
      <c r="K199" s="360"/>
      <c r="L199" s="360"/>
      <c r="M199" s="360"/>
      <c r="N199" s="360"/>
      <c r="O199" s="360"/>
      <c r="P199" s="359"/>
      <c r="Q199" s="360"/>
      <c r="R199" s="360"/>
      <c r="S199" s="360"/>
    </row>
    <row r="200" spans="4:19">
      <c r="D200" s="360"/>
      <c r="E200" s="360"/>
      <c r="F200" s="360"/>
      <c r="G200" s="360"/>
      <c r="H200" s="360"/>
      <c r="I200" s="360"/>
      <c r="J200" s="360"/>
      <c r="K200" s="360"/>
      <c r="L200" s="360"/>
      <c r="M200" s="360"/>
      <c r="N200" s="360"/>
      <c r="O200" s="360"/>
      <c r="P200" s="359"/>
      <c r="Q200" s="360"/>
      <c r="R200" s="360"/>
      <c r="S200" s="360"/>
    </row>
    <row r="201" spans="4:19">
      <c r="D201" s="360"/>
      <c r="E201" s="360"/>
      <c r="F201" s="360"/>
      <c r="G201" s="360"/>
      <c r="H201" s="360"/>
      <c r="I201" s="360"/>
      <c r="J201" s="360"/>
      <c r="K201" s="360"/>
      <c r="L201" s="360"/>
      <c r="M201" s="360"/>
      <c r="N201" s="360"/>
      <c r="O201" s="360"/>
      <c r="P201" s="359"/>
      <c r="Q201" s="360"/>
      <c r="R201" s="360"/>
      <c r="S201" s="360"/>
    </row>
    <row r="202" spans="4:19">
      <c r="D202" s="360"/>
      <c r="E202" s="360"/>
      <c r="F202" s="360"/>
      <c r="G202" s="360"/>
      <c r="H202" s="360"/>
      <c r="I202" s="360"/>
      <c r="J202" s="360"/>
      <c r="K202" s="360"/>
      <c r="L202" s="360"/>
      <c r="M202" s="360"/>
      <c r="N202" s="360"/>
      <c r="O202" s="360"/>
      <c r="P202" s="359"/>
      <c r="Q202" s="360"/>
      <c r="R202" s="360"/>
      <c r="S202" s="360"/>
    </row>
    <row r="203" spans="4:19">
      <c r="D203" s="360"/>
      <c r="E203" s="360"/>
      <c r="F203" s="360"/>
      <c r="G203" s="360"/>
      <c r="H203" s="360"/>
      <c r="I203" s="360"/>
      <c r="J203" s="360"/>
      <c r="K203" s="360"/>
      <c r="L203" s="360"/>
      <c r="M203" s="360"/>
      <c r="N203" s="360"/>
      <c r="O203" s="360"/>
      <c r="P203" s="359"/>
      <c r="Q203" s="360"/>
      <c r="R203" s="360"/>
      <c r="S203" s="360"/>
    </row>
    <row r="204" spans="4:19">
      <c r="D204" s="360"/>
      <c r="E204" s="360"/>
      <c r="F204" s="360"/>
      <c r="G204" s="360"/>
      <c r="H204" s="360"/>
      <c r="I204" s="360"/>
      <c r="J204" s="360"/>
      <c r="K204" s="360"/>
      <c r="L204" s="360"/>
      <c r="M204" s="360"/>
      <c r="N204" s="360"/>
      <c r="O204" s="360"/>
      <c r="P204" s="359"/>
      <c r="Q204" s="360"/>
      <c r="R204" s="360"/>
      <c r="S204" s="360"/>
    </row>
    <row r="205" spans="4:19">
      <c r="D205" s="360"/>
      <c r="E205" s="360"/>
      <c r="F205" s="360"/>
      <c r="G205" s="360"/>
      <c r="H205" s="360"/>
      <c r="I205" s="360"/>
      <c r="J205" s="360"/>
      <c r="K205" s="360"/>
      <c r="L205" s="360"/>
      <c r="M205" s="360"/>
      <c r="N205" s="360"/>
      <c r="O205" s="360"/>
      <c r="P205" s="359"/>
      <c r="Q205" s="360"/>
      <c r="R205" s="360"/>
      <c r="S205" s="360"/>
    </row>
    <row r="206" spans="4:19">
      <c r="D206" s="360"/>
      <c r="E206" s="360"/>
      <c r="F206" s="360"/>
      <c r="G206" s="360"/>
      <c r="H206" s="360"/>
      <c r="I206" s="360"/>
      <c r="J206" s="360"/>
      <c r="K206" s="360"/>
      <c r="L206" s="360"/>
      <c r="M206" s="360"/>
      <c r="N206" s="360"/>
      <c r="O206" s="360"/>
      <c r="P206" s="359"/>
      <c r="Q206" s="360"/>
      <c r="R206" s="360"/>
      <c r="S206" s="360"/>
    </row>
    <row r="207" spans="4:19">
      <c r="D207" s="360"/>
      <c r="E207" s="360"/>
      <c r="F207" s="360"/>
      <c r="G207" s="360"/>
      <c r="H207" s="360"/>
      <c r="I207" s="360"/>
      <c r="J207" s="360"/>
      <c r="K207" s="360"/>
      <c r="L207" s="360"/>
      <c r="M207" s="360"/>
      <c r="N207" s="360"/>
      <c r="O207" s="360"/>
      <c r="P207" s="359"/>
      <c r="Q207" s="360"/>
      <c r="R207" s="360"/>
      <c r="S207" s="360"/>
    </row>
    <row r="208" spans="4:19">
      <c r="D208" s="360"/>
      <c r="E208" s="360"/>
      <c r="F208" s="360"/>
      <c r="G208" s="360"/>
      <c r="H208" s="360"/>
      <c r="I208" s="360"/>
      <c r="J208" s="360"/>
      <c r="K208" s="360"/>
      <c r="L208" s="360"/>
      <c r="M208" s="360"/>
      <c r="N208" s="360"/>
      <c r="O208" s="360"/>
      <c r="P208" s="359"/>
      <c r="Q208" s="360"/>
      <c r="R208" s="360"/>
      <c r="S208" s="360"/>
    </row>
    <row r="209" spans="4:19">
      <c r="D209" s="360"/>
      <c r="E209" s="360"/>
      <c r="F209" s="360"/>
      <c r="G209" s="360"/>
      <c r="H209" s="360"/>
      <c r="I209" s="360"/>
      <c r="J209" s="360"/>
      <c r="K209" s="360"/>
      <c r="L209" s="360"/>
      <c r="M209" s="360"/>
      <c r="N209" s="360"/>
      <c r="O209" s="360"/>
      <c r="P209" s="359"/>
      <c r="Q209" s="360"/>
      <c r="R209" s="360"/>
      <c r="S209" s="360"/>
    </row>
    <row r="210" spans="4:19">
      <c r="D210" s="360"/>
      <c r="E210" s="360"/>
      <c r="F210" s="360"/>
      <c r="G210" s="360"/>
      <c r="H210" s="360"/>
      <c r="I210" s="360"/>
      <c r="J210" s="360"/>
      <c r="K210" s="360"/>
      <c r="L210" s="360"/>
      <c r="M210" s="360"/>
      <c r="N210" s="360"/>
      <c r="O210" s="360"/>
      <c r="P210" s="359"/>
      <c r="Q210" s="360"/>
      <c r="R210" s="360"/>
      <c r="S210" s="360"/>
    </row>
    <row r="211" spans="4:19">
      <c r="D211" s="360"/>
      <c r="E211" s="360"/>
      <c r="F211" s="360"/>
      <c r="G211" s="360"/>
      <c r="H211" s="360"/>
      <c r="I211" s="360"/>
      <c r="J211" s="360"/>
      <c r="K211" s="360"/>
      <c r="L211" s="360"/>
      <c r="M211" s="360"/>
      <c r="N211" s="360"/>
      <c r="O211" s="360"/>
      <c r="P211" s="359"/>
      <c r="Q211" s="360"/>
      <c r="R211" s="360"/>
      <c r="S211" s="360"/>
    </row>
    <row r="212" spans="4:19">
      <c r="D212" s="360"/>
      <c r="E212" s="360"/>
      <c r="F212" s="360"/>
      <c r="G212" s="360"/>
      <c r="H212" s="360"/>
      <c r="I212" s="360"/>
      <c r="J212" s="360"/>
      <c r="K212" s="360"/>
      <c r="L212" s="360"/>
      <c r="M212" s="360"/>
      <c r="N212" s="360"/>
      <c r="O212" s="360"/>
      <c r="P212" s="359"/>
      <c r="Q212" s="360"/>
      <c r="R212" s="360"/>
      <c r="S212" s="360"/>
    </row>
    <row r="213" spans="4:19">
      <c r="D213" s="360"/>
      <c r="E213" s="360"/>
      <c r="F213" s="360"/>
      <c r="G213" s="360"/>
      <c r="H213" s="360"/>
      <c r="I213" s="360"/>
      <c r="J213" s="360"/>
      <c r="K213" s="360"/>
      <c r="L213" s="360"/>
      <c r="M213" s="360"/>
      <c r="N213" s="360"/>
      <c r="O213" s="360"/>
      <c r="P213" s="359"/>
      <c r="Q213" s="360"/>
      <c r="R213" s="360"/>
      <c r="S213" s="360"/>
    </row>
    <row r="214" spans="4:19">
      <c r="D214" s="360"/>
      <c r="E214" s="360"/>
      <c r="F214" s="360"/>
      <c r="G214" s="360"/>
      <c r="H214" s="360"/>
      <c r="I214" s="360"/>
      <c r="J214" s="360"/>
      <c r="K214" s="360"/>
      <c r="L214" s="360"/>
      <c r="M214" s="360"/>
      <c r="N214" s="360"/>
      <c r="O214" s="360"/>
      <c r="P214" s="359"/>
      <c r="Q214" s="360"/>
      <c r="R214" s="360"/>
      <c r="S214" s="360"/>
    </row>
    <row r="215" spans="4:19">
      <c r="D215" s="360"/>
      <c r="E215" s="360"/>
      <c r="F215" s="360"/>
      <c r="G215" s="360"/>
      <c r="H215" s="360"/>
      <c r="I215" s="360"/>
      <c r="J215" s="360"/>
      <c r="K215" s="360"/>
      <c r="L215" s="360"/>
      <c r="M215" s="360"/>
      <c r="N215" s="360"/>
      <c r="O215" s="360"/>
      <c r="P215" s="359"/>
      <c r="Q215" s="360"/>
      <c r="R215" s="360"/>
      <c r="S215" s="360"/>
    </row>
    <row r="216" spans="4:19">
      <c r="D216" s="360"/>
      <c r="E216" s="360"/>
      <c r="F216" s="360"/>
      <c r="G216" s="360"/>
      <c r="H216" s="360"/>
      <c r="I216" s="360"/>
      <c r="J216" s="360"/>
      <c r="K216" s="360"/>
      <c r="L216" s="360"/>
      <c r="M216" s="360"/>
      <c r="N216" s="360"/>
      <c r="O216" s="360"/>
      <c r="P216" s="359"/>
      <c r="Q216" s="360"/>
      <c r="R216" s="360"/>
      <c r="S216" s="360"/>
    </row>
    <row r="217" spans="4:19">
      <c r="D217" s="360"/>
      <c r="E217" s="360"/>
      <c r="F217" s="360"/>
      <c r="G217" s="360"/>
      <c r="H217" s="360"/>
      <c r="I217" s="360"/>
      <c r="J217" s="360"/>
      <c r="K217" s="360"/>
      <c r="L217" s="360"/>
      <c r="M217" s="360"/>
      <c r="N217" s="360"/>
      <c r="O217" s="360"/>
      <c r="P217" s="359"/>
      <c r="Q217" s="360"/>
      <c r="R217" s="360"/>
      <c r="S217" s="360"/>
    </row>
    <row r="218" spans="4:19">
      <c r="D218" s="360"/>
      <c r="E218" s="360"/>
      <c r="F218" s="360"/>
      <c r="G218" s="360"/>
      <c r="H218" s="360"/>
      <c r="I218" s="360"/>
      <c r="J218" s="360"/>
      <c r="K218" s="360"/>
      <c r="L218" s="360"/>
      <c r="M218" s="360"/>
      <c r="N218" s="360"/>
      <c r="O218" s="360"/>
      <c r="P218" s="359"/>
      <c r="Q218" s="360"/>
      <c r="R218" s="360"/>
      <c r="S218" s="360"/>
    </row>
    <row r="219" spans="4:19">
      <c r="D219" s="360"/>
      <c r="E219" s="360"/>
      <c r="F219" s="360"/>
      <c r="G219" s="360"/>
      <c r="H219" s="360"/>
      <c r="I219" s="360"/>
      <c r="J219" s="360"/>
      <c r="K219" s="360"/>
      <c r="L219" s="360"/>
      <c r="M219" s="360"/>
      <c r="N219" s="360"/>
      <c r="O219" s="360"/>
      <c r="P219" s="359"/>
      <c r="Q219" s="360"/>
      <c r="R219" s="360"/>
      <c r="S219" s="360"/>
    </row>
    <row r="220" spans="4:19">
      <c r="D220" s="360"/>
      <c r="E220" s="360"/>
      <c r="F220" s="360"/>
      <c r="G220" s="360"/>
      <c r="H220" s="360"/>
      <c r="I220" s="360"/>
      <c r="J220" s="360"/>
      <c r="K220" s="360"/>
      <c r="L220" s="360"/>
      <c r="M220" s="360"/>
      <c r="N220" s="360"/>
      <c r="O220" s="360"/>
      <c r="P220" s="359"/>
      <c r="Q220" s="360"/>
      <c r="R220" s="360"/>
      <c r="S220" s="360"/>
    </row>
    <row r="221" spans="4:19">
      <c r="D221" s="360"/>
      <c r="E221" s="360"/>
      <c r="F221" s="360"/>
      <c r="G221" s="360"/>
      <c r="H221" s="360"/>
      <c r="I221" s="360"/>
      <c r="J221" s="360"/>
      <c r="K221" s="360"/>
      <c r="L221" s="360"/>
      <c r="M221" s="360"/>
      <c r="N221" s="360"/>
      <c r="O221" s="360"/>
      <c r="P221" s="359"/>
      <c r="Q221" s="360"/>
      <c r="R221" s="360"/>
      <c r="S221" s="360"/>
    </row>
    <row r="222" spans="4:19">
      <c r="D222" s="360"/>
      <c r="E222" s="360"/>
      <c r="F222" s="360"/>
      <c r="G222" s="360"/>
      <c r="H222" s="360"/>
      <c r="I222" s="360"/>
      <c r="J222" s="360"/>
      <c r="K222" s="360"/>
      <c r="L222" s="360"/>
      <c r="M222" s="360"/>
      <c r="N222" s="360"/>
      <c r="O222" s="360"/>
      <c r="P222" s="359"/>
      <c r="Q222" s="360"/>
      <c r="R222" s="360"/>
      <c r="S222" s="360"/>
    </row>
    <row r="223" spans="4:19">
      <c r="D223" s="360"/>
      <c r="E223" s="360"/>
      <c r="F223" s="360"/>
      <c r="G223" s="360"/>
      <c r="H223" s="360"/>
      <c r="I223" s="360"/>
      <c r="J223" s="360"/>
      <c r="K223" s="360"/>
      <c r="L223" s="360"/>
      <c r="M223" s="360"/>
      <c r="N223" s="360"/>
      <c r="O223" s="360"/>
      <c r="P223" s="359"/>
      <c r="Q223" s="360"/>
      <c r="R223" s="360"/>
      <c r="S223" s="360"/>
    </row>
    <row r="224" spans="4:19">
      <c r="D224" s="360"/>
      <c r="E224" s="360"/>
      <c r="F224" s="360"/>
      <c r="G224" s="360"/>
      <c r="H224" s="360"/>
      <c r="I224" s="360"/>
      <c r="J224" s="360"/>
      <c r="K224" s="360"/>
      <c r="L224" s="360"/>
      <c r="M224" s="360"/>
      <c r="N224" s="360"/>
      <c r="O224" s="360"/>
      <c r="P224" s="359"/>
      <c r="Q224" s="360"/>
      <c r="R224" s="360"/>
      <c r="S224" s="360"/>
    </row>
    <row r="225" spans="4:19">
      <c r="D225" s="360"/>
      <c r="E225" s="360"/>
      <c r="F225" s="360"/>
      <c r="G225" s="360"/>
      <c r="H225" s="360"/>
      <c r="I225" s="360"/>
      <c r="J225" s="360"/>
      <c r="K225" s="360"/>
      <c r="L225" s="360"/>
      <c r="M225" s="360"/>
      <c r="N225" s="360"/>
      <c r="O225" s="360"/>
      <c r="P225" s="359"/>
      <c r="Q225" s="360"/>
      <c r="R225" s="360"/>
      <c r="S225" s="360"/>
    </row>
    <row r="226" spans="4:19">
      <c r="D226" s="360"/>
      <c r="E226" s="360"/>
      <c r="F226" s="360"/>
      <c r="G226" s="360"/>
      <c r="H226" s="360"/>
      <c r="I226" s="360"/>
      <c r="J226" s="360"/>
      <c r="K226" s="360"/>
      <c r="L226" s="360"/>
      <c r="M226" s="360"/>
      <c r="N226" s="360"/>
      <c r="O226" s="360"/>
      <c r="P226" s="359"/>
      <c r="Q226" s="360"/>
      <c r="R226" s="360"/>
      <c r="S226" s="360"/>
    </row>
    <row r="227" spans="4:19">
      <c r="D227" s="360"/>
      <c r="E227" s="360"/>
      <c r="F227" s="360"/>
      <c r="G227" s="360"/>
      <c r="H227" s="360"/>
      <c r="I227" s="360"/>
      <c r="J227" s="360"/>
      <c r="K227" s="360"/>
      <c r="L227" s="360"/>
      <c r="M227" s="360"/>
      <c r="N227" s="360"/>
      <c r="O227" s="360"/>
      <c r="P227" s="359"/>
      <c r="Q227" s="360"/>
      <c r="R227" s="360"/>
      <c r="S227" s="360"/>
    </row>
    <row r="228" spans="4:19">
      <c r="D228" s="360"/>
      <c r="E228" s="360"/>
      <c r="F228" s="360"/>
      <c r="G228" s="360"/>
      <c r="H228" s="360"/>
      <c r="I228" s="360"/>
      <c r="J228" s="360"/>
      <c r="K228" s="360"/>
      <c r="L228" s="360"/>
      <c r="M228" s="360"/>
      <c r="N228" s="360"/>
      <c r="O228" s="360"/>
      <c r="P228" s="359"/>
      <c r="Q228" s="360"/>
      <c r="R228" s="360"/>
      <c r="S228" s="360"/>
    </row>
    <row r="229" spans="4:19">
      <c r="D229" s="360"/>
      <c r="E229" s="360"/>
      <c r="F229" s="360"/>
      <c r="G229" s="360"/>
      <c r="H229" s="360"/>
      <c r="I229" s="360"/>
      <c r="J229" s="360"/>
      <c r="K229" s="360"/>
      <c r="L229" s="360"/>
      <c r="M229" s="360"/>
      <c r="N229" s="360"/>
      <c r="O229" s="360"/>
      <c r="P229" s="359"/>
      <c r="Q229" s="360"/>
      <c r="R229" s="360"/>
      <c r="S229" s="360"/>
    </row>
    <row r="230" spans="4:19">
      <c r="D230" s="360"/>
      <c r="E230" s="360"/>
      <c r="F230" s="360"/>
      <c r="G230" s="360"/>
      <c r="H230" s="360"/>
      <c r="I230" s="360"/>
      <c r="J230" s="360"/>
      <c r="K230" s="360"/>
      <c r="L230" s="360"/>
      <c r="M230" s="360"/>
      <c r="N230" s="360"/>
      <c r="O230" s="360"/>
      <c r="P230" s="359"/>
      <c r="Q230" s="360"/>
      <c r="R230" s="360"/>
      <c r="S230" s="360"/>
    </row>
    <row r="231" spans="4:19">
      <c r="D231" s="360"/>
      <c r="E231" s="360"/>
      <c r="F231" s="360"/>
      <c r="G231" s="360"/>
      <c r="H231" s="360"/>
      <c r="I231" s="360"/>
      <c r="J231" s="360"/>
      <c r="K231" s="360"/>
      <c r="L231" s="360"/>
      <c r="M231" s="360"/>
      <c r="N231" s="360"/>
      <c r="O231" s="360"/>
      <c r="P231" s="359"/>
      <c r="Q231" s="360"/>
      <c r="R231" s="360"/>
      <c r="S231" s="360"/>
    </row>
    <row r="232" spans="4:19">
      <c r="D232" s="360"/>
      <c r="E232" s="360"/>
      <c r="F232" s="360"/>
      <c r="G232" s="360"/>
      <c r="H232" s="360"/>
      <c r="I232" s="360"/>
      <c r="J232" s="360"/>
      <c r="K232" s="360"/>
      <c r="L232" s="360"/>
      <c r="M232" s="360"/>
      <c r="N232" s="360"/>
      <c r="O232" s="360"/>
      <c r="P232" s="359"/>
      <c r="Q232" s="360"/>
      <c r="R232" s="360"/>
      <c r="S232" s="360"/>
    </row>
    <row r="233" spans="4:19">
      <c r="D233" s="360"/>
      <c r="E233" s="360"/>
      <c r="F233" s="360"/>
      <c r="G233" s="360"/>
      <c r="H233" s="360"/>
      <c r="I233" s="360"/>
      <c r="J233" s="360"/>
      <c r="K233" s="360"/>
      <c r="L233" s="360"/>
      <c r="M233" s="360"/>
      <c r="N233" s="360"/>
      <c r="O233" s="360"/>
      <c r="P233" s="359"/>
      <c r="Q233" s="360"/>
      <c r="R233" s="360"/>
      <c r="S233" s="360"/>
    </row>
    <row r="234" spans="4:19">
      <c r="D234" s="360"/>
      <c r="E234" s="360"/>
      <c r="F234" s="360"/>
      <c r="G234" s="360"/>
      <c r="H234" s="360"/>
      <c r="I234" s="360"/>
      <c r="J234" s="360"/>
      <c r="K234" s="360"/>
      <c r="L234" s="360"/>
      <c r="M234" s="360"/>
      <c r="N234" s="360"/>
      <c r="O234" s="360"/>
      <c r="P234" s="359"/>
      <c r="Q234" s="360"/>
      <c r="R234" s="360"/>
      <c r="S234" s="360"/>
    </row>
    <row r="235" spans="4:19">
      <c r="D235" s="360"/>
      <c r="E235" s="360"/>
      <c r="F235" s="360"/>
      <c r="G235" s="360"/>
      <c r="H235" s="360"/>
      <c r="I235" s="360"/>
      <c r="J235" s="360"/>
      <c r="K235" s="360"/>
      <c r="L235" s="360"/>
      <c r="M235" s="360"/>
      <c r="N235" s="360"/>
      <c r="O235" s="360"/>
      <c r="P235" s="359"/>
      <c r="Q235" s="360"/>
      <c r="R235" s="360"/>
      <c r="S235" s="360"/>
    </row>
    <row r="236" spans="4:19">
      <c r="D236" s="360"/>
      <c r="E236" s="360"/>
      <c r="F236" s="360"/>
      <c r="G236" s="360"/>
      <c r="H236" s="360"/>
      <c r="I236" s="360"/>
      <c r="J236" s="360"/>
      <c r="K236" s="360"/>
      <c r="L236" s="360"/>
      <c r="M236" s="360"/>
      <c r="N236" s="360"/>
      <c r="O236" s="360"/>
      <c r="P236" s="359"/>
      <c r="Q236" s="360"/>
      <c r="R236" s="360"/>
      <c r="S236" s="360"/>
    </row>
    <row r="237" spans="4:19">
      <c r="D237" s="360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359"/>
      <c r="Q237" s="360"/>
      <c r="R237" s="360"/>
      <c r="S237" s="360"/>
    </row>
    <row r="238" spans="4:19">
      <c r="D238" s="360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359"/>
      <c r="Q238" s="360"/>
      <c r="R238" s="360"/>
      <c r="S238" s="360"/>
    </row>
    <row r="239" spans="4:19">
      <c r="D239" s="360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359"/>
      <c r="Q239" s="360"/>
      <c r="R239" s="360"/>
      <c r="S239" s="360"/>
    </row>
    <row r="240" spans="4:19">
      <c r="D240" s="360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359"/>
      <c r="Q240" s="360"/>
      <c r="R240" s="360"/>
      <c r="S240" s="360"/>
    </row>
    <row r="241" spans="4:19">
      <c r="D241" s="360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359"/>
      <c r="Q241" s="360"/>
      <c r="R241" s="360"/>
      <c r="S241" s="360"/>
    </row>
    <row r="242" spans="4:19">
      <c r="D242" s="360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359"/>
      <c r="Q242" s="360"/>
      <c r="R242" s="360"/>
      <c r="S242" s="360"/>
    </row>
    <row r="243" spans="4:19">
      <c r="D243" s="360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359"/>
      <c r="Q243" s="360"/>
      <c r="R243" s="360"/>
      <c r="S243" s="360"/>
    </row>
    <row r="244" spans="4:19">
      <c r="D244" s="360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359"/>
      <c r="Q244" s="360"/>
      <c r="R244" s="360"/>
      <c r="S244" s="360"/>
    </row>
    <row r="245" spans="4:19">
      <c r="D245" s="360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359"/>
      <c r="Q245" s="360"/>
      <c r="R245" s="360"/>
      <c r="S245" s="360"/>
    </row>
    <row r="246" spans="4:19">
      <c r="D246" s="360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359"/>
      <c r="Q246" s="360"/>
      <c r="R246" s="360"/>
      <c r="S246" s="360"/>
    </row>
    <row r="247" spans="4:19">
      <c r="D247" s="360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359"/>
      <c r="Q247" s="360"/>
      <c r="R247" s="360"/>
      <c r="S247" s="360"/>
    </row>
    <row r="248" spans="4:19">
      <c r="D248" s="360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359"/>
      <c r="Q248" s="360"/>
      <c r="R248" s="360"/>
      <c r="S248" s="360"/>
    </row>
    <row r="249" spans="4:19">
      <c r="D249" s="360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359"/>
      <c r="Q249" s="360"/>
      <c r="R249" s="360"/>
      <c r="S249" s="360"/>
    </row>
    <row r="250" spans="4:19">
      <c r="D250" s="360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359"/>
      <c r="Q250" s="360"/>
      <c r="R250" s="360"/>
      <c r="S250" s="360"/>
    </row>
    <row r="251" spans="4:19">
      <c r="D251" s="360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359"/>
      <c r="Q251" s="360"/>
      <c r="R251" s="360"/>
      <c r="S251" s="360"/>
    </row>
    <row r="252" spans="4:19">
      <c r="D252" s="360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359"/>
      <c r="Q252" s="360"/>
      <c r="R252" s="360"/>
      <c r="S252" s="360"/>
    </row>
    <row r="253" spans="4:19">
      <c r="D253" s="360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359"/>
      <c r="Q253" s="360"/>
      <c r="R253" s="360"/>
      <c r="S253" s="360"/>
    </row>
    <row r="254" spans="4:19">
      <c r="D254" s="360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359"/>
      <c r="Q254" s="360"/>
      <c r="R254" s="360"/>
      <c r="S254" s="360"/>
    </row>
    <row r="255" spans="4:19">
      <c r="D255" s="360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359"/>
      <c r="Q255" s="360"/>
      <c r="R255" s="360"/>
      <c r="S255" s="360"/>
    </row>
    <row r="256" spans="4:19">
      <c r="D256" s="360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359"/>
      <c r="Q256" s="360"/>
      <c r="R256" s="360"/>
      <c r="S256" s="360"/>
    </row>
    <row r="257" spans="4:19">
      <c r="D257" s="360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359"/>
      <c r="Q257" s="360"/>
      <c r="R257" s="360"/>
      <c r="S257" s="360"/>
    </row>
    <row r="258" spans="4:19">
      <c r="D258" s="360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359"/>
      <c r="Q258" s="360"/>
      <c r="R258" s="360"/>
      <c r="S258" s="360"/>
    </row>
    <row r="259" spans="4:19">
      <c r="D259" s="360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359"/>
      <c r="Q259" s="360"/>
      <c r="R259" s="360"/>
      <c r="S259" s="360"/>
    </row>
    <row r="260" spans="4:19">
      <c r="D260" s="360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359"/>
      <c r="Q260" s="360"/>
      <c r="R260" s="360"/>
      <c r="S260" s="360"/>
    </row>
    <row r="261" spans="4:19">
      <c r="D261" s="360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359"/>
      <c r="Q261" s="360"/>
      <c r="R261" s="360"/>
      <c r="S261" s="360"/>
    </row>
    <row r="262" spans="4:19">
      <c r="D262" s="360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359"/>
      <c r="Q262" s="360"/>
      <c r="R262" s="360"/>
      <c r="S262" s="360"/>
    </row>
    <row r="263" spans="4:19">
      <c r="D263" s="360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359"/>
      <c r="Q263" s="360"/>
      <c r="R263" s="360"/>
      <c r="S263" s="360"/>
    </row>
    <row r="264" spans="4:19">
      <c r="D264" s="360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359"/>
      <c r="Q264" s="360"/>
      <c r="R264" s="360"/>
      <c r="S264" s="360"/>
    </row>
    <row r="265" spans="4:19">
      <c r="D265" s="360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359"/>
      <c r="Q265" s="360"/>
      <c r="R265" s="360"/>
      <c r="S265" s="360"/>
    </row>
    <row r="266" spans="4:19">
      <c r="D266" s="360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359"/>
      <c r="Q266" s="360"/>
      <c r="R266" s="360"/>
      <c r="S266" s="360"/>
    </row>
    <row r="267" spans="4:19">
      <c r="D267" s="360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359"/>
      <c r="Q267" s="360"/>
      <c r="R267" s="360"/>
      <c r="S267" s="360"/>
    </row>
    <row r="268" spans="4:19">
      <c r="D268" s="360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359"/>
      <c r="Q268" s="360"/>
      <c r="R268" s="360"/>
      <c r="S268" s="360"/>
    </row>
    <row r="269" spans="4:19">
      <c r="D269" s="360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359"/>
      <c r="Q269" s="360"/>
      <c r="R269" s="360"/>
      <c r="S269" s="360"/>
    </row>
    <row r="270" spans="4:19">
      <c r="D270" s="360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359"/>
      <c r="Q270" s="360"/>
      <c r="R270" s="360"/>
      <c r="S270" s="360"/>
    </row>
    <row r="271" spans="4:19">
      <c r="D271" s="360"/>
      <c r="E271" s="360"/>
      <c r="F271" s="360"/>
      <c r="G271" s="360"/>
      <c r="H271" s="360"/>
      <c r="I271" s="360"/>
      <c r="J271" s="360"/>
      <c r="K271" s="360"/>
      <c r="L271" s="360"/>
      <c r="M271" s="360"/>
      <c r="N271" s="360"/>
      <c r="O271" s="360"/>
      <c r="P271" s="359"/>
      <c r="Q271" s="360"/>
      <c r="R271" s="360"/>
      <c r="S271" s="360"/>
    </row>
    <row r="272" spans="4:19">
      <c r="D272" s="360"/>
      <c r="E272" s="360"/>
      <c r="F272" s="360"/>
      <c r="G272" s="360"/>
      <c r="H272" s="360"/>
      <c r="I272" s="360"/>
      <c r="J272" s="360"/>
      <c r="K272" s="360"/>
      <c r="L272" s="360"/>
      <c r="M272" s="360"/>
      <c r="N272" s="360"/>
      <c r="O272" s="360"/>
      <c r="P272" s="359"/>
      <c r="Q272" s="360"/>
      <c r="R272" s="360"/>
      <c r="S272" s="360"/>
    </row>
    <row r="273" spans="4:19">
      <c r="D273" s="360"/>
      <c r="E273" s="360"/>
      <c r="F273" s="360"/>
      <c r="G273" s="360"/>
      <c r="H273" s="360"/>
      <c r="I273" s="360"/>
      <c r="J273" s="360"/>
      <c r="K273" s="360"/>
      <c r="L273" s="360"/>
      <c r="M273" s="360"/>
      <c r="N273" s="360"/>
      <c r="O273" s="360"/>
      <c r="P273" s="359"/>
      <c r="Q273" s="360"/>
      <c r="R273" s="360"/>
      <c r="S273" s="360"/>
    </row>
    <row r="274" spans="4:19">
      <c r="D274" s="360"/>
      <c r="E274" s="360"/>
      <c r="F274" s="360"/>
      <c r="G274" s="360"/>
      <c r="H274" s="360"/>
      <c r="I274" s="360"/>
      <c r="J274" s="360"/>
      <c r="K274" s="360"/>
      <c r="L274" s="360"/>
      <c r="M274" s="360"/>
      <c r="N274" s="360"/>
      <c r="O274" s="360"/>
      <c r="P274" s="359"/>
      <c r="Q274" s="360"/>
      <c r="R274" s="360"/>
      <c r="S274" s="360"/>
    </row>
    <row r="275" spans="4:19">
      <c r="D275" s="360"/>
      <c r="E275" s="360"/>
      <c r="F275" s="360"/>
      <c r="G275" s="360"/>
      <c r="H275" s="360"/>
      <c r="I275" s="360"/>
      <c r="J275" s="360"/>
      <c r="K275" s="360"/>
      <c r="L275" s="360"/>
      <c r="M275" s="360"/>
      <c r="N275" s="360"/>
      <c r="O275" s="360"/>
      <c r="P275" s="359"/>
      <c r="Q275" s="360"/>
      <c r="R275" s="360"/>
      <c r="S275" s="360"/>
    </row>
    <row r="276" spans="4:19">
      <c r="D276" s="360"/>
      <c r="E276" s="360"/>
      <c r="F276" s="360"/>
      <c r="G276" s="360"/>
      <c r="H276" s="360"/>
      <c r="I276" s="360"/>
      <c r="J276" s="360"/>
      <c r="K276" s="360"/>
      <c r="L276" s="360"/>
      <c r="M276" s="360"/>
      <c r="N276" s="360"/>
      <c r="O276" s="360"/>
      <c r="P276" s="359"/>
      <c r="Q276" s="360"/>
      <c r="R276" s="360"/>
      <c r="S276" s="360"/>
    </row>
    <row r="277" spans="4:19">
      <c r="D277" s="360"/>
      <c r="E277" s="360"/>
      <c r="F277" s="360"/>
      <c r="G277" s="360"/>
      <c r="H277" s="360"/>
      <c r="I277" s="360"/>
      <c r="J277" s="360"/>
      <c r="K277" s="360"/>
      <c r="L277" s="360"/>
      <c r="M277" s="360"/>
      <c r="N277" s="360"/>
      <c r="O277" s="360"/>
      <c r="P277" s="359"/>
      <c r="Q277" s="360"/>
      <c r="R277" s="360"/>
      <c r="S277" s="360"/>
    </row>
    <row r="278" spans="4:19">
      <c r="D278" s="360"/>
      <c r="E278" s="360"/>
      <c r="F278" s="360"/>
      <c r="G278" s="360"/>
      <c r="H278" s="360"/>
      <c r="I278" s="360"/>
      <c r="J278" s="360"/>
      <c r="K278" s="360"/>
      <c r="L278" s="360"/>
      <c r="M278" s="360"/>
      <c r="N278" s="360"/>
      <c r="O278" s="360"/>
      <c r="P278" s="359"/>
      <c r="Q278" s="360"/>
      <c r="R278" s="360"/>
      <c r="S278" s="360"/>
    </row>
    <row r="279" spans="4:19">
      <c r="D279" s="360"/>
      <c r="E279" s="360"/>
      <c r="F279" s="360"/>
      <c r="G279" s="360"/>
      <c r="H279" s="360"/>
      <c r="I279" s="360"/>
      <c r="J279" s="360"/>
      <c r="K279" s="360"/>
      <c r="L279" s="360"/>
      <c r="M279" s="360"/>
      <c r="N279" s="360"/>
      <c r="O279" s="360"/>
      <c r="P279" s="359"/>
      <c r="Q279" s="360"/>
      <c r="R279" s="360"/>
      <c r="S279" s="360"/>
    </row>
    <row r="280" spans="4:19">
      <c r="D280" s="360"/>
      <c r="E280" s="360"/>
      <c r="F280" s="360"/>
      <c r="G280" s="360"/>
      <c r="H280" s="360"/>
      <c r="I280" s="360"/>
      <c r="J280" s="360"/>
      <c r="K280" s="360"/>
      <c r="L280" s="360"/>
      <c r="M280" s="360"/>
      <c r="N280" s="360"/>
      <c r="O280" s="360"/>
      <c r="P280" s="359"/>
      <c r="Q280" s="360"/>
      <c r="R280" s="360"/>
      <c r="S280" s="360"/>
    </row>
    <row r="281" spans="4:19">
      <c r="D281" s="360"/>
      <c r="E281" s="360"/>
      <c r="F281" s="360"/>
      <c r="G281" s="360"/>
      <c r="H281" s="360"/>
      <c r="I281" s="360"/>
      <c r="J281" s="360"/>
      <c r="K281" s="360"/>
      <c r="L281" s="360"/>
      <c r="M281" s="360"/>
      <c r="N281" s="360"/>
      <c r="O281" s="360"/>
      <c r="P281" s="359"/>
      <c r="Q281" s="360"/>
      <c r="R281" s="360"/>
      <c r="S281" s="360"/>
    </row>
    <row r="282" spans="4:19">
      <c r="D282" s="360"/>
      <c r="E282" s="360"/>
      <c r="F282" s="360"/>
      <c r="G282" s="360"/>
      <c r="H282" s="360"/>
      <c r="I282" s="360"/>
      <c r="J282" s="360"/>
      <c r="K282" s="360"/>
      <c r="L282" s="360"/>
      <c r="M282" s="360"/>
      <c r="N282" s="360"/>
      <c r="O282" s="360"/>
      <c r="P282" s="359"/>
      <c r="Q282" s="360"/>
      <c r="R282" s="360"/>
      <c r="S282" s="360"/>
    </row>
    <row r="283" spans="4:19">
      <c r="D283" s="360"/>
      <c r="E283" s="360"/>
      <c r="F283" s="360"/>
      <c r="G283" s="360"/>
      <c r="H283" s="360"/>
      <c r="I283" s="360"/>
      <c r="J283" s="360"/>
      <c r="K283" s="360"/>
      <c r="L283" s="360"/>
      <c r="M283" s="360"/>
      <c r="N283" s="360"/>
      <c r="O283" s="360"/>
      <c r="P283" s="359"/>
      <c r="Q283" s="360"/>
      <c r="R283" s="360"/>
      <c r="S283" s="360"/>
    </row>
    <row r="284" spans="4:19">
      <c r="D284" s="360"/>
      <c r="E284" s="360"/>
      <c r="F284" s="360"/>
      <c r="G284" s="360"/>
      <c r="H284" s="360"/>
      <c r="I284" s="360"/>
      <c r="J284" s="360"/>
      <c r="K284" s="360"/>
      <c r="L284" s="360"/>
      <c r="M284" s="360"/>
      <c r="N284" s="360"/>
      <c r="O284" s="360"/>
      <c r="P284" s="359"/>
      <c r="Q284" s="360"/>
      <c r="R284" s="360"/>
      <c r="S284" s="360"/>
    </row>
    <row r="285" spans="4:19">
      <c r="D285" s="360"/>
      <c r="E285" s="360"/>
      <c r="F285" s="360"/>
      <c r="G285" s="360"/>
      <c r="H285" s="360"/>
      <c r="I285" s="360"/>
      <c r="J285" s="360"/>
      <c r="K285" s="360"/>
      <c r="L285" s="360"/>
      <c r="M285" s="360"/>
      <c r="N285" s="360"/>
      <c r="O285" s="360"/>
      <c r="P285" s="359"/>
      <c r="Q285" s="360"/>
      <c r="R285" s="360"/>
      <c r="S285" s="360"/>
    </row>
    <row r="286" spans="4:19">
      <c r="D286" s="360"/>
      <c r="E286" s="360"/>
      <c r="F286" s="360"/>
      <c r="G286" s="360"/>
      <c r="H286" s="360"/>
      <c r="I286" s="360"/>
      <c r="J286" s="360"/>
      <c r="K286" s="360"/>
      <c r="L286" s="360"/>
      <c r="M286" s="360"/>
      <c r="N286" s="360"/>
      <c r="O286" s="360"/>
      <c r="P286" s="359"/>
      <c r="Q286" s="360"/>
      <c r="R286" s="360"/>
      <c r="S286" s="360"/>
    </row>
    <row r="287" spans="4:19">
      <c r="D287" s="360"/>
      <c r="E287" s="360"/>
      <c r="F287" s="360"/>
      <c r="G287" s="360"/>
      <c r="H287" s="360"/>
      <c r="I287" s="360"/>
      <c r="J287" s="360"/>
      <c r="K287" s="360"/>
      <c r="L287" s="360"/>
      <c r="M287" s="360"/>
      <c r="N287" s="360"/>
      <c r="O287" s="360"/>
      <c r="P287" s="359"/>
      <c r="Q287" s="360"/>
      <c r="R287" s="360"/>
      <c r="S287" s="360"/>
    </row>
    <row r="288" spans="4:19">
      <c r="D288" s="360"/>
      <c r="E288" s="360"/>
      <c r="F288" s="360"/>
      <c r="G288" s="360"/>
      <c r="H288" s="360"/>
      <c r="I288" s="360"/>
      <c r="J288" s="360"/>
      <c r="K288" s="360"/>
      <c r="L288" s="360"/>
      <c r="M288" s="360"/>
      <c r="N288" s="360"/>
      <c r="O288" s="360"/>
      <c r="P288" s="359"/>
      <c r="Q288" s="360"/>
      <c r="R288" s="360"/>
      <c r="S288" s="360"/>
    </row>
    <row r="289" spans="4:19">
      <c r="D289" s="360"/>
      <c r="E289" s="360"/>
      <c r="F289" s="360"/>
      <c r="G289" s="360"/>
      <c r="H289" s="360"/>
      <c r="I289" s="360"/>
      <c r="J289" s="360"/>
      <c r="K289" s="360"/>
      <c r="L289" s="360"/>
      <c r="M289" s="360"/>
      <c r="N289" s="360"/>
      <c r="O289" s="360"/>
      <c r="P289" s="359"/>
      <c r="Q289" s="360"/>
      <c r="R289" s="360"/>
      <c r="S289" s="360"/>
    </row>
    <row r="290" spans="4:19">
      <c r="D290" s="360"/>
      <c r="E290" s="360"/>
      <c r="F290" s="360"/>
      <c r="G290" s="360"/>
      <c r="H290" s="360"/>
      <c r="I290" s="360"/>
      <c r="J290" s="360"/>
      <c r="K290" s="360"/>
      <c r="L290" s="360"/>
      <c r="M290" s="360"/>
      <c r="N290" s="360"/>
      <c r="O290" s="360"/>
      <c r="P290" s="359"/>
      <c r="Q290" s="360"/>
      <c r="R290" s="360"/>
      <c r="S290" s="360"/>
    </row>
    <row r="291" spans="4:19">
      <c r="D291" s="360"/>
      <c r="E291" s="360"/>
      <c r="F291" s="360"/>
      <c r="G291" s="360"/>
      <c r="H291" s="360"/>
      <c r="I291" s="360"/>
      <c r="J291" s="360"/>
      <c r="K291" s="360"/>
      <c r="L291" s="360"/>
      <c r="M291" s="360"/>
      <c r="N291" s="360"/>
      <c r="O291" s="360"/>
      <c r="P291" s="359"/>
      <c r="Q291" s="360"/>
      <c r="R291" s="360"/>
      <c r="S291" s="360"/>
    </row>
    <row r="292" spans="4:19">
      <c r="D292" s="360"/>
      <c r="E292" s="360"/>
      <c r="F292" s="360"/>
      <c r="G292" s="360"/>
      <c r="H292" s="360"/>
      <c r="I292" s="360"/>
      <c r="J292" s="360"/>
      <c r="K292" s="360"/>
      <c r="L292" s="360"/>
      <c r="M292" s="360"/>
      <c r="N292" s="360"/>
      <c r="O292" s="360"/>
      <c r="P292" s="359"/>
      <c r="Q292" s="360"/>
      <c r="R292" s="360"/>
      <c r="S292" s="360"/>
    </row>
    <row r="293" spans="4:19">
      <c r="D293" s="360"/>
      <c r="E293" s="360"/>
      <c r="F293" s="360"/>
      <c r="G293" s="360"/>
      <c r="H293" s="360"/>
      <c r="I293" s="360"/>
      <c r="J293" s="360"/>
      <c r="K293" s="360"/>
      <c r="L293" s="360"/>
      <c r="M293" s="360"/>
      <c r="N293" s="360"/>
      <c r="O293" s="360"/>
      <c r="P293" s="359"/>
      <c r="Q293" s="360"/>
      <c r="R293" s="360"/>
      <c r="S293" s="360"/>
    </row>
    <row r="294" spans="4:19">
      <c r="D294" s="360"/>
      <c r="E294" s="360"/>
      <c r="F294" s="360"/>
      <c r="G294" s="360"/>
      <c r="H294" s="360"/>
      <c r="I294" s="360"/>
      <c r="J294" s="360"/>
      <c r="K294" s="360"/>
      <c r="L294" s="360"/>
      <c r="M294" s="360"/>
      <c r="N294" s="360"/>
      <c r="O294" s="360"/>
      <c r="P294" s="359"/>
      <c r="Q294" s="360"/>
      <c r="R294" s="360"/>
      <c r="S294" s="360"/>
    </row>
    <row r="295" spans="4:19">
      <c r="D295" s="360"/>
      <c r="E295" s="360"/>
      <c r="F295" s="360"/>
      <c r="G295" s="360"/>
      <c r="H295" s="360"/>
      <c r="I295" s="360"/>
      <c r="J295" s="360"/>
      <c r="K295" s="360"/>
      <c r="L295" s="360"/>
      <c r="M295" s="360"/>
      <c r="N295" s="360"/>
      <c r="O295" s="360"/>
      <c r="P295" s="359"/>
      <c r="Q295" s="360"/>
      <c r="R295" s="360"/>
      <c r="S295" s="360"/>
    </row>
    <row r="296" spans="4:19">
      <c r="D296" s="360"/>
      <c r="E296" s="360"/>
      <c r="F296" s="360"/>
      <c r="G296" s="360"/>
      <c r="H296" s="360"/>
      <c r="I296" s="360"/>
      <c r="J296" s="360"/>
      <c r="K296" s="360"/>
      <c r="L296" s="360"/>
      <c r="M296" s="360"/>
      <c r="N296" s="360"/>
      <c r="O296" s="360"/>
      <c r="P296" s="359"/>
      <c r="Q296" s="360"/>
      <c r="R296" s="360"/>
      <c r="S296" s="360"/>
    </row>
    <row r="297" spans="4:19">
      <c r="D297" s="360"/>
      <c r="E297" s="360"/>
      <c r="F297" s="360"/>
      <c r="G297" s="360"/>
      <c r="H297" s="360"/>
      <c r="I297" s="360"/>
      <c r="J297" s="360"/>
      <c r="K297" s="360"/>
      <c r="L297" s="360"/>
      <c r="M297" s="360"/>
      <c r="N297" s="360"/>
      <c r="O297" s="360"/>
      <c r="P297" s="359"/>
      <c r="Q297" s="360"/>
      <c r="R297" s="360"/>
      <c r="S297" s="360"/>
    </row>
    <row r="298" spans="4:19"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59"/>
      <c r="Q298" s="360"/>
      <c r="R298" s="360"/>
      <c r="S298" s="360"/>
    </row>
    <row r="299" spans="4:19">
      <c r="D299" s="360"/>
      <c r="E299" s="360"/>
      <c r="F299" s="360"/>
      <c r="G299" s="360"/>
      <c r="H299" s="360"/>
      <c r="I299" s="360"/>
      <c r="J299" s="360"/>
      <c r="K299" s="360"/>
      <c r="L299" s="360"/>
      <c r="M299" s="360"/>
      <c r="N299" s="360"/>
      <c r="O299" s="360"/>
      <c r="P299" s="359"/>
      <c r="Q299" s="360"/>
      <c r="R299" s="360"/>
      <c r="S299" s="360"/>
    </row>
    <row r="300" spans="4:19">
      <c r="D300" s="360"/>
      <c r="E300" s="360"/>
      <c r="F300" s="360"/>
      <c r="G300" s="360"/>
      <c r="H300" s="360"/>
      <c r="I300" s="360"/>
      <c r="J300" s="360"/>
      <c r="K300" s="360"/>
      <c r="L300" s="360"/>
      <c r="M300" s="360"/>
      <c r="N300" s="360"/>
      <c r="O300" s="360"/>
      <c r="P300" s="359"/>
      <c r="Q300" s="360"/>
      <c r="R300" s="360"/>
      <c r="S300" s="360"/>
    </row>
    <row r="301" spans="4:19">
      <c r="D301" s="360"/>
      <c r="E301" s="360"/>
      <c r="F301" s="360"/>
      <c r="G301" s="360"/>
      <c r="H301" s="360"/>
      <c r="I301" s="360"/>
      <c r="J301" s="360"/>
      <c r="K301" s="360"/>
      <c r="L301" s="360"/>
      <c r="M301" s="360"/>
      <c r="N301" s="360"/>
      <c r="O301" s="360"/>
      <c r="P301" s="359"/>
      <c r="Q301" s="360"/>
      <c r="R301" s="360"/>
      <c r="S301" s="360"/>
    </row>
    <row r="302" spans="4:19">
      <c r="D302" s="360"/>
      <c r="E302" s="360"/>
      <c r="F302" s="360"/>
      <c r="G302" s="360"/>
      <c r="H302" s="360"/>
      <c r="I302" s="360"/>
      <c r="J302" s="360"/>
      <c r="K302" s="360"/>
      <c r="L302" s="360"/>
      <c r="M302" s="360"/>
      <c r="N302" s="360"/>
      <c r="O302" s="360"/>
      <c r="P302" s="359"/>
      <c r="Q302" s="360"/>
      <c r="R302" s="360"/>
      <c r="S302" s="360"/>
    </row>
    <row r="303" spans="4:19">
      <c r="D303" s="360"/>
      <c r="E303" s="360"/>
      <c r="F303" s="360"/>
      <c r="G303" s="360"/>
      <c r="H303" s="360"/>
      <c r="I303" s="360"/>
      <c r="J303" s="360"/>
      <c r="K303" s="360"/>
      <c r="L303" s="360"/>
      <c r="M303" s="360"/>
      <c r="N303" s="360"/>
      <c r="O303" s="360"/>
      <c r="P303" s="359"/>
      <c r="Q303" s="360"/>
      <c r="R303" s="360"/>
      <c r="S303" s="360"/>
    </row>
    <row r="304" spans="4:19">
      <c r="D304" s="360"/>
      <c r="E304" s="360"/>
      <c r="F304" s="360"/>
      <c r="G304" s="360"/>
      <c r="H304" s="360"/>
      <c r="I304" s="360"/>
      <c r="J304" s="360"/>
      <c r="K304" s="360"/>
      <c r="L304" s="360"/>
      <c r="M304" s="360"/>
      <c r="N304" s="360"/>
      <c r="O304" s="360"/>
      <c r="P304" s="359"/>
      <c r="Q304" s="360"/>
      <c r="R304" s="360"/>
      <c r="S304" s="360"/>
    </row>
    <row r="305" spans="4:19">
      <c r="D305" s="360"/>
      <c r="E305" s="360"/>
      <c r="F305" s="360"/>
      <c r="G305" s="360"/>
      <c r="H305" s="360"/>
      <c r="I305" s="360"/>
      <c r="J305" s="360"/>
      <c r="K305" s="360"/>
      <c r="L305" s="360"/>
      <c r="M305" s="360"/>
      <c r="N305" s="360"/>
      <c r="O305" s="360"/>
      <c r="P305" s="359"/>
      <c r="Q305" s="360"/>
      <c r="R305" s="360"/>
      <c r="S305" s="360"/>
    </row>
    <row r="306" spans="4:19">
      <c r="D306" s="360"/>
      <c r="E306" s="360"/>
      <c r="F306" s="360"/>
      <c r="G306" s="360"/>
      <c r="H306" s="360"/>
      <c r="I306" s="360"/>
      <c r="J306" s="360"/>
      <c r="K306" s="360"/>
      <c r="L306" s="360"/>
      <c r="M306" s="360"/>
      <c r="N306" s="360"/>
      <c r="O306" s="360"/>
      <c r="P306" s="359"/>
      <c r="Q306" s="360"/>
      <c r="R306" s="360"/>
      <c r="S306" s="360"/>
    </row>
    <row r="307" spans="4:19">
      <c r="D307" s="360"/>
      <c r="E307" s="360"/>
      <c r="F307" s="360"/>
      <c r="G307" s="360"/>
      <c r="H307" s="360"/>
      <c r="I307" s="360"/>
      <c r="J307" s="360"/>
      <c r="K307" s="360"/>
      <c r="L307" s="360"/>
      <c r="M307" s="360"/>
      <c r="N307" s="360"/>
      <c r="O307" s="360"/>
      <c r="P307" s="359"/>
      <c r="Q307" s="360"/>
      <c r="R307" s="360"/>
      <c r="S307" s="360"/>
    </row>
    <row r="308" spans="4:19">
      <c r="D308" s="360"/>
      <c r="E308" s="360"/>
      <c r="F308" s="360"/>
      <c r="G308" s="360"/>
      <c r="H308" s="360"/>
      <c r="I308" s="360"/>
      <c r="J308" s="360"/>
      <c r="K308" s="360"/>
      <c r="L308" s="360"/>
      <c r="M308" s="360"/>
      <c r="N308" s="360"/>
      <c r="O308" s="360"/>
      <c r="P308" s="359"/>
      <c r="Q308" s="360"/>
      <c r="R308" s="360"/>
      <c r="S308" s="360"/>
    </row>
    <row r="309" spans="4:19">
      <c r="D309" s="360"/>
      <c r="E309" s="360"/>
      <c r="F309" s="360"/>
      <c r="G309" s="360"/>
      <c r="H309" s="360"/>
      <c r="I309" s="360"/>
      <c r="J309" s="360"/>
      <c r="K309" s="360"/>
      <c r="L309" s="360"/>
      <c r="M309" s="360"/>
      <c r="N309" s="360"/>
      <c r="O309" s="360"/>
      <c r="P309" s="359"/>
      <c r="Q309" s="360"/>
      <c r="R309" s="360"/>
      <c r="S309" s="360"/>
    </row>
    <row r="310" spans="4:19">
      <c r="D310" s="360"/>
      <c r="E310" s="360"/>
      <c r="F310" s="360"/>
      <c r="G310" s="360"/>
      <c r="H310" s="360"/>
      <c r="I310" s="360"/>
      <c r="J310" s="360"/>
      <c r="K310" s="360"/>
      <c r="L310" s="360"/>
      <c r="M310" s="360"/>
      <c r="N310" s="360"/>
      <c r="O310" s="360"/>
      <c r="P310" s="359"/>
      <c r="Q310" s="360"/>
      <c r="R310" s="360"/>
      <c r="S310" s="360"/>
    </row>
    <row r="311" spans="4:19">
      <c r="D311" s="360"/>
      <c r="E311" s="360"/>
      <c r="F311" s="360"/>
      <c r="G311" s="360"/>
      <c r="H311" s="360"/>
      <c r="I311" s="360"/>
      <c r="J311" s="360"/>
      <c r="K311" s="360"/>
      <c r="L311" s="360"/>
      <c r="M311" s="360"/>
      <c r="N311" s="360"/>
      <c r="O311" s="360"/>
      <c r="P311" s="359"/>
      <c r="Q311" s="360"/>
      <c r="R311" s="360"/>
      <c r="S311" s="360"/>
    </row>
    <row r="312" spans="4:19">
      <c r="D312" s="360"/>
      <c r="E312" s="360"/>
      <c r="F312" s="360"/>
      <c r="G312" s="360"/>
      <c r="H312" s="360"/>
      <c r="I312" s="360"/>
      <c r="J312" s="360"/>
      <c r="K312" s="360"/>
      <c r="L312" s="360"/>
      <c r="M312" s="360"/>
      <c r="N312" s="360"/>
      <c r="O312" s="360"/>
      <c r="P312" s="359"/>
      <c r="Q312" s="360"/>
      <c r="R312" s="360"/>
      <c r="S312" s="360"/>
    </row>
    <row r="313" spans="4:19">
      <c r="D313" s="360"/>
      <c r="E313" s="360"/>
      <c r="F313" s="360"/>
      <c r="G313" s="360"/>
      <c r="H313" s="360"/>
      <c r="I313" s="360"/>
      <c r="J313" s="360"/>
      <c r="K313" s="360"/>
      <c r="L313" s="360"/>
      <c r="M313" s="360"/>
      <c r="N313" s="360"/>
      <c r="O313" s="360"/>
      <c r="P313" s="359"/>
      <c r="Q313" s="360"/>
      <c r="R313" s="360"/>
      <c r="S313" s="360"/>
    </row>
    <row r="314" spans="4:19">
      <c r="D314" s="360"/>
      <c r="E314" s="360"/>
      <c r="F314" s="360"/>
      <c r="G314" s="360"/>
      <c r="H314" s="360"/>
      <c r="I314" s="360"/>
      <c r="J314" s="360"/>
      <c r="K314" s="360"/>
      <c r="L314" s="360"/>
      <c r="M314" s="360"/>
      <c r="N314" s="360"/>
      <c r="O314" s="360"/>
      <c r="P314" s="359"/>
      <c r="Q314" s="360"/>
      <c r="R314" s="360"/>
      <c r="S314" s="360"/>
    </row>
    <row r="315" spans="4:19">
      <c r="D315" s="360"/>
      <c r="E315" s="360"/>
      <c r="F315" s="360"/>
      <c r="G315" s="360"/>
      <c r="H315" s="360"/>
      <c r="I315" s="360"/>
      <c r="J315" s="360"/>
      <c r="K315" s="360"/>
      <c r="L315" s="360"/>
      <c r="M315" s="360"/>
      <c r="N315" s="360"/>
      <c r="O315" s="360"/>
      <c r="P315" s="359"/>
      <c r="Q315" s="360"/>
      <c r="R315" s="360"/>
      <c r="S315" s="360"/>
    </row>
    <row r="316" spans="4:19">
      <c r="D316" s="360"/>
      <c r="E316" s="360"/>
      <c r="F316" s="360"/>
      <c r="G316" s="360"/>
      <c r="H316" s="360"/>
      <c r="I316" s="360"/>
      <c r="J316" s="360"/>
      <c r="K316" s="360"/>
      <c r="L316" s="360"/>
      <c r="M316" s="360"/>
      <c r="N316" s="360"/>
      <c r="O316" s="360"/>
      <c r="P316" s="359"/>
      <c r="Q316" s="360"/>
      <c r="R316" s="360"/>
      <c r="S316" s="360"/>
    </row>
    <row r="317" spans="4:19">
      <c r="D317" s="360"/>
      <c r="E317" s="360"/>
      <c r="F317" s="360"/>
      <c r="G317" s="360"/>
      <c r="H317" s="360"/>
      <c r="I317" s="360"/>
      <c r="J317" s="360"/>
      <c r="K317" s="360"/>
      <c r="L317" s="360"/>
      <c r="M317" s="360"/>
      <c r="N317" s="360"/>
      <c r="O317" s="360"/>
      <c r="P317" s="359"/>
      <c r="Q317" s="360"/>
      <c r="R317" s="360"/>
      <c r="S317" s="360"/>
    </row>
    <row r="318" spans="4:19">
      <c r="D318" s="360"/>
      <c r="E318" s="360"/>
      <c r="F318" s="360"/>
      <c r="G318" s="360"/>
      <c r="H318" s="360"/>
      <c r="I318" s="360"/>
      <c r="J318" s="360"/>
      <c r="K318" s="360"/>
      <c r="L318" s="360"/>
      <c r="M318" s="360"/>
      <c r="N318" s="360"/>
      <c r="O318" s="360"/>
      <c r="P318" s="359"/>
      <c r="Q318" s="360"/>
      <c r="R318" s="360"/>
      <c r="S318" s="360"/>
    </row>
    <row r="319" spans="4:19">
      <c r="D319" s="360"/>
      <c r="E319" s="360"/>
      <c r="F319" s="360"/>
      <c r="G319" s="360"/>
      <c r="H319" s="360"/>
      <c r="I319" s="360"/>
      <c r="J319" s="360"/>
      <c r="K319" s="360"/>
      <c r="L319" s="360"/>
      <c r="M319" s="360"/>
      <c r="N319" s="360"/>
      <c r="O319" s="360"/>
      <c r="P319" s="359"/>
      <c r="Q319" s="360"/>
      <c r="R319" s="360"/>
      <c r="S319" s="360"/>
    </row>
    <row r="320" spans="4:19"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59"/>
      <c r="Q320" s="360"/>
      <c r="R320" s="360"/>
      <c r="S320" s="360"/>
    </row>
    <row r="321" spans="4:19">
      <c r="D321" s="360"/>
      <c r="E321" s="360"/>
      <c r="F321" s="360"/>
      <c r="G321" s="360"/>
      <c r="H321" s="360"/>
      <c r="I321" s="360"/>
      <c r="J321" s="360"/>
      <c r="K321" s="360"/>
      <c r="L321" s="360"/>
      <c r="M321" s="360"/>
      <c r="N321" s="360"/>
      <c r="O321" s="360"/>
      <c r="P321" s="359"/>
      <c r="Q321" s="360"/>
      <c r="R321" s="360"/>
      <c r="S321" s="360"/>
    </row>
    <row r="322" spans="4:19">
      <c r="D322" s="360"/>
      <c r="E322" s="360"/>
      <c r="F322" s="360"/>
      <c r="G322" s="360"/>
      <c r="H322" s="360"/>
      <c r="I322" s="360"/>
      <c r="J322" s="360"/>
      <c r="K322" s="360"/>
      <c r="L322" s="360"/>
      <c r="M322" s="360"/>
      <c r="N322" s="360"/>
      <c r="O322" s="360"/>
      <c r="P322" s="359"/>
      <c r="Q322" s="360"/>
      <c r="R322" s="360"/>
      <c r="S322" s="360"/>
    </row>
    <row r="323" spans="4:19">
      <c r="D323" s="360"/>
      <c r="E323" s="360"/>
      <c r="F323" s="360"/>
      <c r="G323" s="360"/>
      <c r="H323" s="360"/>
      <c r="I323" s="360"/>
      <c r="J323" s="360"/>
      <c r="K323" s="360"/>
      <c r="L323" s="360"/>
      <c r="M323" s="360"/>
      <c r="N323" s="360"/>
      <c r="O323" s="360"/>
      <c r="P323" s="359"/>
      <c r="Q323" s="360"/>
      <c r="R323" s="360"/>
      <c r="S323" s="360"/>
    </row>
    <row r="324" spans="4:19"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59"/>
      <c r="Q324" s="360"/>
      <c r="R324" s="360"/>
      <c r="S324" s="360"/>
    </row>
    <row r="325" spans="4:19"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59"/>
      <c r="Q325" s="360"/>
      <c r="R325" s="360"/>
      <c r="S325" s="360"/>
    </row>
    <row r="326" spans="4:19"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59"/>
      <c r="Q326" s="360"/>
      <c r="R326" s="360"/>
      <c r="S326" s="360"/>
    </row>
    <row r="327" spans="4:19"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59"/>
      <c r="Q327" s="360"/>
      <c r="R327" s="360"/>
      <c r="S327" s="360"/>
    </row>
    <row r="328" spans="4:19"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59"/>
      <c r="Q328" s="360"/>
      <c r="R328" s="360"/>
      <c r="S328" s="360"/>
    </row>
    <row r="329" spans="4:19"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59"/>
      <c r="Q329" s="360"/>
      <c r="R329" s="360"/>
      <c r="S329" s="360"/>
    </row>
    <row r="330" spans="4:19"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59"/>
      <c r="Q330" s="360"/>
      <c r="R330" s="360"/>
      <c r="S330" s="360"/>
    </row>
    <row r="331" spans="4:19"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59"/>
      <c r="Q331" s="360"/>
      <c r="R331" s="360"/>
      <c r="S331" s="360"/>
    </row>
    <row r="332" spans="4:19"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59"/>
      <c r="Q332" s="360"/>
      <c r="R332" s="360"/>
      <c r="S332" s="360"/>
    </row>
    <row r="333" spans="4:19"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59"/>
      <c r="Q333" s="360"/>
      <c r="R333" s="360"/>
      <c r="S333" s="360"/>
    </row>
    <row r="334" spans="4:19"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59"/>
      <c r="Q334" s="360"/>
      <c r="R334" s="360"/>
      <c r="S334" s="360"/>
    </row>
    <row r="335" spans="4:19"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59"/>
      <c r="Q335" s="360"/>
      <c r="R335" s="360"/>
      <c r="S335" s="360"/>
    </row>
    <row r="336" spans="4:19"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59"/>
      <c r="Q336" s="360"/>
      <c r="R336" s="360"/>
      <c r="S336" s="360"/>
    </row>
    <row r="337" spans="4:19"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59"/>
      <c r="Q337" s="360"/>
      <c r="R337" s="360"/>
      <c r="S337" s="360"/>
    </row>
    <row r="338" spans="4:19"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59"/>
      <c r="Q338" s="360"/>
      <c r="R338" s="360"/>
      <c r="S338" s="360"/>
    </row>
    <row r="339" spans="4:19"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59"/>
      <c r="Q339" s="360"/>
      <c r="R339" s="360"/>
      <c r="S339" s="360"/>
    </row>
    <row r="340" spans="4:19"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59"/>
      <c r="Q340" s="360"/>
      <c r="R340" s="360"/>
      <c r="S340" s="360"/>
    </row>
    <row r="341" spans="4:19"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59"/>
      <c r="Q341" s="360"/>
      <c r="R341" s="360"/>
      <c r="S341" s="360"/>
    </row>
    <row r="342" spans="4:19"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59"/>
      <c r="Q342" s="360"/>
      <c r="R342" s="360"/>
      <c r="S342" s="360"/>
    </row>
    <row r="343" spans="4:19"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59"/>
      <c r="Q343" s="360"/>
      <c r="R343" s="360"/>
      <c r="S343" s="360"/>
    </row>
    <row r="344" spans="4:19"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59"/>
      <c r="Q344" s="360"/>
      <c r="R344" s="360"/>
      <c r="S344" s="360"/>
    </row>
    <row r="345" spans="4:19"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59"/>
      <c r="Q345" s="360"/>
      <c r="R345" s="360"/>
      <c r="S345" s="360"/>
    </row>
    <row r="346" spans="4:19"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59"/>
      <c r="Q346" s="360"/>
      <c r="R346" s="360"/>
      <c r="S346" s="360"/>
    </row>
    <row r="347" spans="4:19"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59"/>
      <c r="Q347" s="360"/>
      <c r="R347" s="360"/>
      <c r="S347" s="360"/>
    </row>
    <row r="348" spans="4:19"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59"/>
      <c r="Q348" s="360"/>
      <c r="R348" s="360"/>
      <c r="S348" s="360"/>
    </row>
    <row r="349" spans="4:19"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59"/>
      <c r="Q349" s="360"/>
      <c r="R349" s="360"/>
      <c r="S349" s="360"/>
    </row>
    <row r="350" spans="4:19"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59"/>
      <c r="Q350" s="360"/>
      <c r="R350" s="360"/>
      <c r="S350" s="360"/>
    </row>
    <row r="351" spans="4:19"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59"/>
      <c r="Q351" s="360"/>
      <c r="R351" s="360"/>
      <c r="S351" s="360"/>
    </row>
    <row r="352" spans="4:19"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59"/>
      <c r="Q352" s="360"/>
      <c r="R352" s="360"/>
      <c r="S352" s="360"/>
    </row>
    <row r="353" spans="4:19"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59"/>
      <c r="Q353" s="360"/>
      <c r="R353" s="360"/>
      <c r="S353" s="360"/>
    </row>
    <row r="354" spans="4:19"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59"/>
      <c r="Q354" s="360"/>
      <c r="R354" s="360"/>
      <c r="S354" s="360"/>
    </row>
    <row r="355" spans="4:19"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59"/>
      <c r="Q355" s="360"/>
      <c r="R355" s="360"/>
      <c r="S355" s="360"/>
    </row>
    <row r="356" spans="4:19"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59"/>
      <c r="Q356" s="360"/>
      <c r="R356" s="360"/>
      <c r="S356" s="360"/>
    </row>
    <row r="357" spans="4:19"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59"/>
      <c r="Q357" s="360"/>
      <c r="R357" s="360"/>
      <c r="S357" s="360"/>
    </row>
    <row r="358" spans="4:19"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59"/>
      <c r="Q358" s="360"/>
      <c r="R358" s="360"/>
      <c r="S358" s="360"/>
    </row>
    <row r="359" spans="4:19"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59"/>
      <c r="Q359" s="360"/>
      <c r="R359" s="360"/>
      <c r="S359" s="360"/>
    </row>
    <row r="360" spans="4:19"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59"/>
      <c r="Q360" s="360"/>
      <c r="R360" s="360"/>
      <c r="S360" s="360"/>
    </row>
    <row r="361" spans="4:19"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59"/>
      <c r="Q361" s="360"/>
      <c r="R361" s="360"/>
      <c r="S361" s="360"/>
    </row>
    <row r="362" spans="4:19"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59"/>
      <c r="Q362" s="360"/>
      <c r="R362" s="360"/>
      <c r="S362" s="360"/>
    </row>
    <row r="363" spans="4:19"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59"/>
      <c r="Q363" s="360"/>
      <c r="R363" s="360"/>
      <c r="S363" s="360"/>
    </row>
    <row r="364" spans="4:19"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59"/>
      <c r="Q364" s="360"/>
      <c r="R364" s="360"/>
      <c r="S364" s="360"/>
    </row>
    <row r="365" spans="4:19"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59"/>
      <c r="Q365" s="360"/>
      <c r="R365" s="360"/>
      <c r="S365" s="360"/>
    </row>
    <row r="366" spans="4:19"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59"/>
      <c r="Q366" s="360"/>
      <c r="R366" s="360"/>
      <c r="S366" s="360"/>
    </row>
    <row r="367" spans="4:19"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59"/>
      <c r="Q367" s="360"/>
      <c r="R367" s="360"/>
      <c r="S367" s="360"/>
    </row>
    <row r="368" spans="4:19"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59"/>
      <c r="Q368" s="360"/>
      <c r="R368" s="360"/>
      <c r="S368" s="360"/>
    </row>
    <row r="369" spans="4:19"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59"/>
      <c r="Q369" s="360"/>
      <c r="R369" s="360"/>
      <c r="S369" s="360"/>
    </row>
    <row r="370" spans="4:19"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59"/>
      <c r="Q370" s="360"/>
      <c r="R370" s="360"/>
      <c r="S370" s="360"/>
    </row>
    <row r="371" spans="4:19"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59"/>
      <c r="Q371" s="360"/>
      <c r="R371" s="360"/>
      <c r="S371" s="360"/>
    </row>
    <row r="372" spans="4:19"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59"/>
      <c r="Q372" s="360"/>
      <c r="R372" s="360"/>
      <c r="S372" s="360"/>
    </row>
    <row r="373" spans="4:19"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59"/>
      <c r="Q373" s="360"/>
      <c r="R373" s="360"/>
      <c r="S373" s="360"/>
    </row>
    <row r="374" spans="4:19"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59"/>
      <c r="Q374" s="360"/>
      <c r="R374" s="360"/>
      <c r="S374" s="360"/>
    </row>
    <row r="375" spans="4:19"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59"/>
      <c r="Q375" s="360"/>
      <c r="R375" s="360"/>
      <c r="S375" s="360"/>
    </row>
    <row r="376" spans="4:19"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59"/>
      <c r="Q376" s="360"/>
      <c r="R376" s="360"/>
      <c r="S376" s="360"/>
    </row>
    <row r="377" spans="4:19"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59"/>
      <c r="Q377" s="360"/>
      <c r="R377" s="360"/>
      <c r="S377" s="360"/>
    </row>
    <row r="378" spans="4:19"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59"/>
      <c r="Q378" s="360"/>
      <c r="R378" s="360"/>
      <c r="S378" s="360"/>
    </row>
    <row r="379" spans="4:19"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59"/>
      <c r="Q379" s="360"/>
      <c r="R379" s="360"/>
      <c r="S379" s="360"/>
    </row>
    <row r="380" spans="4:19"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59"/>
      <c r="Q380" s="360"/>
      <c r="R380" s="360"/>
      <c r="S380" s="360"/>
    </row>
    <row r="381" spans="4:19"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59"/>
      <c r="Q381" s="360"/>
      <c r="R381" s="360"/>
      <c r="S381" s="360"/>
    </row>
    <row r="382" spans="4:19"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59"/>
      <c r="Q382" s="360"/>
      <c r="R382" s="360"/>
      <c r="S382" s="360"/>
    </row>
    <row r="383" spans="4:19"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59"/>
      <c r="Q383" s="360"/>
      <c r="R383" s="360"/>
      <c r="S383" s="360"/>
    </row>
    <row r="384" spans="4:19"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59"/>
      <c r="Q384" s="360"/>
      <c r="R384" s="360"/>
      <c r="S384" s="360"/>
    </row>
    <row r="385" spans="4:19"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59"/>
      <c r="Q385" s="360"/>
      <c r="R385" s="360"/>
      <c r="S385" s="360"/>
    </row>
    <row r="386" spans="4:19"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59"/>
      <c r="Q386" s="360"/>
      <c r="R386" s="360"/>
      <c r="S386" s="360"/>
    </row>
    <row r="387" spans="4:19"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59"/>
      <c r="Q387" s="360"/>
      <c r="R387" s="360"/>
      <c r="S387" s="360"/>
    </row>
    <row r="388" spans="4:19"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59"/>
      <c r="Q388" s="360"/>
      <c r="R388" s="360"/>
      <c r="S388" s="360"/>
    </row>
    <row r="389" spans="4:19"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59"/>
      <c r="Q389" s="360"/>
      <c r="R389" s="360"/>
      <c r="S389" s="360"/>
    </row>
    <row r="390" spans="4:19"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59"/>
      <c r="Q390" s="360"/>
      <c r="R390" s="360"/>
      <c r="S390" s="360"/>
    </row>
    <row r="391" spans="4:19"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59"/>
      <c r="Q391" s="360"/>
      <c r="R391" s="360"/>
      <c r="S391" s="360"/>
    </row>
    <row r="392" spans="4:19"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59"/>
      <c r="Q392" s="360"/>
      <c r="R392" s="360"/>
      <c r="S392" s="360"/>
    </row>
    <row r="393" spans="4:19"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59"/>
      <c r="Q393" s="360"/>
      <c r="R393" s="360"/>
      <c r="S393" s="360"/>
    </row>
    <row r="394" spans="4:19"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59"/>
      <c r="Q394" s="360"/>
      <c r="R394" s="360"/>
      <c r="S394" s="360"/>
    </row>
    <row r="395" spans="4:19"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59"/>
      <c r="Q395" s="360"/>
      <c r="R395" s="360"/>
      <c r="S395" s="360"/>
    </row>
    <row r="396" spans="4:19"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59"/>
      <c r="Q396" s="360"/>
      <c r="R396" s="360"/>
      <c r="S396" s="360"/>
    </row>
    <row r="397" spans="4:19"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59"/>
      <c r="Q397" s="360"/>
      <c r="R397" s="360"/>
      <c r="S397" s="360"/>
    </row>
    <row r="398" spans="4:19">
      <c r="D398" s="360"/>
      <c r="E398" s="360"/>
      <c r="F398" s="360"/>
      <c r="G398" s="360"/>
      <c r="H398" s="360"/>
      <c r="I398" s="360"/>
      <c r="J398" s="360"/>
      <c r="K398" s="360"/>
      <c r="L398" s="360"/>
      <c r="M398" s="360"/>
      <c r="N398" s="360"/>
      <c r="O398" s="360"/>
      <c r="P398" s="359"/>
      <c r="Q398" s="360"/>
      <c r="R398" s="360"/>
      <c r="S398" s="360"/>
    </row>
    <row r="399" spans="4:19">
      <c r="D399" s="360"/>
      <c r="E399" s="360"/>
      <c r="F399" s="360"/>
      <c r="G399" s="360"/>
      <c r="H399" s="360"/>
      <c r="I399" s="360"/>
      <c r="J399" s="360"/>
      <c r="K399" s="360"/>
      <c r="L399" s="360"/>
      <c r="M399" s="360"/>
      <c r="N399" s="360"/>
      <c r="O399" s="360"/>
      <c r="P399" s="359"/>
      <c r="Q399" s="360"/>
      <c r="R399" s="360"/>
      <c r="S399" s="360"/>
    </row>
    <row r="400" spans="4:19">
      <c r="D400" s="360"/>
      <c r="E400" s="360"/>
      <c r="F400" s="360"/>
      <c r="G400" s="360"/>
      <c r="H400" s="360"/>
      <c r="I400" s="360"/>
      <c r="J400" s="360"/>
      <c r="K400" s="360"/>
      <c r="L400" s="360"/>
      <c r="M400" s="360"/>
      <c r="N400" s="360"/>
      <c r="O400" s="360"/>
      <c r="P400" s="359"/>
      <c r="Q400" s="360"/>
      <c r="R400" s="360"/>
      <c r="S400" s="360"/>
    </row>
    <row r="401" spans="4:19">
      <c r="D401" s="360"/>
      <c r="E401" s="360"/>
      <c r="F401" s="360"/>
      <c r="G401" s="360"/>
      <c r="H401" s="360"/>
      <c r="I401" s="360"/>
      <c r="J401" s="360"/>
      <c r="K401" s="360"/>
      <c r="L401" s="360"/>
      <c r="M401" s="360"/>
      <c r="N401" s="360"/>
      <c r="O401" s="360"/>
      <c r="P401" s="359"/>
      <c r="Q401" s="360"/>
      <c r="R401" s="360"/>
      <c r="S401" s="360"/>
    </row>
    <row r="402" spans="4:19">
      <c r="D402" s="360"/>
      <c r="E402" s="360"/>
      <c r="F402" s="360"/>
      <c r="G402" s="360"/>
      <c r="H402" s="360"/>
      <c r="I402" s="360"/>
      <c r="J402" s="360"/>
      <c r="K402" s="360"/>
      <c r="L402" s="360"/>
      <c r="M402" s="360"/>
      <c r="N402" s="360"/>
      <c r="O402" s="360"/>
      <c r="P402" s="359"/>
      <c r="Q402" s="360"/>
      <c r="R402" s="360"/>
      <c r="S402" s="360"/>
    </row>
    <row r="403" spans="4:19">
      <c r="D403" s="360"/>
      <c r="E403" s="360"/>
      <c r="F403" s="360"/>
      <c r="G403" s="360"/>
      <c r="H403" s="360"/>
      <c r="I403" s="360"/>
      <c r="J403" s="360"/>
      <c r="K403" s="360"/>
      <c r="L403" s="360"/>
      <c r="M403" s="360"/>
      <c r="N403" s="360"/>
      <c r="O403" s="360"/>
      <c r="P403" s="359"/>
      <c r="Q403" s="360"/>
      <c r="R403" s="360"/>
      <c r="S403" s="360"/>
    </row>
    <row r="404" spans="4:19">
      <c r="D404" s="360"/>
      <c r="E404" s="360"/>
      <c r="F404" s="360"/>
      <c r="G404" s="360"/>
      <c r="H404" s="360"/>
      <c r="I404" s="360"/>
      <c r="J404" s="360"/>
      <c r="K404" s="360"/>
      <c r="L404" s="360"/>
      <c r="M404" s="360"/>
      <c r="N404" s="360"/>
      <c r="O404" s="360"/>
      <c r="P404" s="359"/>
      <c r="Q404" s="360"/>
      <c r="R404" s="360"/>
      <c r="S404" s="360"/>
    </row>
    <row r="405" spans="4:19">
      <c r="D405" s="360"/>
      <c r="E405" s="360"/>
      <c r="F405" s="360"/>
      <c r="G405" s="360"/>
      <c r="H405" s="360"/>
      <c r="I405" s="360"/>
      <c r="J405" s="360"/>
      <c r="K405" s="360"/>
      <c r="L405" s="360"/>
      <c r="M405" s="360"/>
      <c r="N405" s="360"/>
      <c r="O405" s="360"/>
      <c r="P405" s="359"/>
      <c r="Q405" s="360"/>
      <c r="R405" s="360"/>
      <c r="S405" s="360"/>
    </row>
    <row r="406" spans="4:19">
      <c r="D406" s="360"/>
      <c r="E406" s="360"/>
      <c r="F406" s="360"/>
      <c r="G406" s="360"/>
      <c r="H406" s="360"/>
      <c r="I406" s="360"/>
      <c r="J406" s="360"/>
      <c r="K406" s="360"/>
      <c r="L406" s="360"/>
      <c r="M406" s="360"/>
      <c r="N406" s="360"/>
      <c r="O406" s="360"/>
      <c r="P406" s="359"/>
      <c r="Q406" s="360"/>
      <c r="R406" s="360"/>
      <c r="S406" s="360"/>
    </row>
    <row r="407" spans="4:19">
      <c r="D407" s="360"/>
      <c r="E407" s="360"/>
      <c r="F407" s="360"/>
      <c r="G407" s="360"/>
      <c r="H407" s="360"/>
      <c r="I407" s="360"/>
      <c r="J407" s="360"/>
      <c r="K407" s="360"/>
      <c r="L407" s="360"/>
      <c r="M407" s="360"/>
      <c r="N407" s="360"/>
      <c r="O407" s="360"/>
      <c r="P407" s="359"/>
      <c r="Q407" s="360"/>
      <c r="R407" s="360"/>
      <c r="S407" s="360"/>
    </row>
    <row r="408" spans="4:19">
      <c r="D408" s="360"/>
      <c r="E408" s="360"/>
      <c r="F408" s="360"/>
      <c r="G408" s="360"/>
      <c r="H408" s="360"/>
      <c r="I408" s="360"/>
      <c r="J408" s="360"/>
      <c r="K408" s="360"/>
      <c r="L408" s="360"/>
      <c r="M408" s="360"/>
      <c r="N408" s="360"/>
      <c r="O408" s="360"/>
      <c r="P408" s="359"/>
      <c r="Q408" s="360"/>
      <c r="R408" s="360"/>
      <c r="S408" s="360"/>
    </row>
    <row r="409" spans="4:19">
      <c r="D409" s="360"/>
      <c r="E409" s="360"/>
      <c r="F409" s="360"/>
      <c r="G409" s="360"/>
      <c r="H409" s="360"/>
      <c r="I409" s="360"/>
      <c r="J409" s="360"/>
      <c r="K409" s="360"/>
      <c r="L409" s="360"/>
      <c r="M409" s="360"/>
      <c r="N409" s="360"/>
      <c r="O409" s="360"/>
      <c r="P409" s="359"/>
      <c r="Q409" s="360"/>
      <c r="R409" s="360"/>
      <c r="S409" s="360"/>
    </row>
    <row r="410" spans="4:19">
      <c r="D410" s="360"/>
      <c r="E410" s="360"/>
      <c r="F410" s="360"/>
      <c r="G410" s="360"/>
      <c r="H410" s="360"/>
      <c r="I410" s="360"/>
      <c r="J410" s="360"/>
      <c r="K410" s="360"/>
      <c r="L410" s="360"/>
      <c r="M410" s="360"/>
      <c r="N410" s="360"/>
      <c r="O410" s="360"/>
      <c r="P410" s="359"/>
      <c r="Q410" s="360"/>
      <c r="R410" s="360"/>
      <c r="S410" s="360"/>
    </row>
    <row r="411" spans="4:19">
      <c r="D411" s="360"/>
      <c r="E411" s="360"/>
      <c r="F411" s="360"/>
      <c r="G411" s="360"/>
      <c r="H411" s="360"/>
      <c r="I411" s="360"/>
      <c r="J411" s="360"/>
      <c r="K411" s="360"/>
      <c r="L411" s="360"/>
      <c r="M411" s="360"/>
      <c r="N411" s="360"/>
      <c r="O411" s="360"/>
      <c r="P411" s="359"/>
      <c r="Q411" s="360"/>
      <c r="R411" s="360"/>
      <c r="S411" s="360"/>
    </row>
    <row r="412" spans="4:19">
      <c r="D412" s="360"/>
      <c r="E412" s="360"/>
      <c r="F412" s="360"/>
      <c r="G412" s="360"/>
      <c r="H412" s="360"/>
      <c r="I412" s="360"/>
      <c r="J412" s="360"/>
      <c r="K412" s="360"/>
      <c r="L412" s="360"/>
      <c r="M412" s="360"/>
      <c r="N412" s="360"/>
      <c r="O412" s="360"/>
      <c r="P412" s="359"/>
      <c r="Q412" s="360"/>
      <c r="R412" s="360"/>
      <c r="S412" s="360"/>
    </row>
    <row r="413" spans="4:19">
      <c r="D413" s="360"/>
      <c r="E413" s="360"/>
      <c r="F413" s="360"/>
      <c r="G413" s="360"/>
      <c r="H413" s="360"/>
      <c r="I413" s="360"/>
      <c r="J413" s="360"/>
      <c r="K413" s="360"/>
      <c r="L413" s="360"/>
      <c r="M413" s="360"/>
      <c r="N413" s="360"/>
      <c r="O413" s="360"/>
      <c r="P413" s="359"/>
      <c r="Q413" s="360"/>
      <c r="R413" s="360"/>
      <c r="S413" s="360"/>
    </row>
    <row r="414" spans="4:19">
      <c r="D414" s="360"/>
      <c r="E414" s="360"/>
      <c r="F414" s="360"/>
      <c r="G414" s="360"/>
      <c r="H414" s="360"/>
      <c r="I414" s="360"/>
      <c r="J414" s="360"/>
      <c r="K414" s="360"/>
      <c r="L414" s="360"/>
      <c r="M414" s="360"/>
      <c r="N414" s="360"/>
      <c r="O414" s="360"/>
      <c r="P414" s="359"/>
      <c r="Q414" s="360"/>
      <c r="R414" s="360"/>
      <c r="S414" s="360"/>
    </row>
    <row r="415" spans="4:19">
      <c r="D415" s="360"/>
      <c r="E415" s="360"/>
      <c r="F415" s="360"/>
      <c r="G415" s="360"/>
      <c r="H415" s="360"/>
      <c r="I415" s="360"/>
      <c r="J415" s="360"/>
      <c r="K415" s="360"/>
      <c r="L415" s="360"/>
      <c r="M415" s="360"/>
      <c r="N415" s="360"/>
      <c r="O415" s="360"/>
      <c r="P415" s="359"/>
      <c r="Q415" s="360"/>
      <c r="R415" s="360"/>
      <c r="S415" s="360"/>
    </row>
    <row r="416" spans="4:19">
      <c r="D416" s="360"/>
      <c r="E416" s="360"/>
      <c r="F416" s="360"/>
      <c r="G416" s="360"/>
      <c r="H416" s="360"/>
      <c r="I416" s="360"/>
      <c r="J416" s="360"/>
      <c r="K416" s="360"/>
      <c r="L416" s="360"/>
      <c r="M416" s="360"/>
      <c r="N416" s="360"/>
      <c r="O416" s="360"/>
      <c r="P416" s="359"/>
      <c r="Q416" s="360"/>
      <c r="R416" s="360"/>
      <c r="S416" s="360"/>
    </row>
    <row r="417" spans="4:19">
      <c r="D417" s="360"/>
      <c r="E417" s="360"/>
      <c r="F417" s="360"/>
      <c r="G417" s="360"/>
      <c r="H417" s="360"/>
      <c r="I417" s="360"/>
      <c r="J417" s="360"/>
      <c r="K417" s="360"/>
      <c r="L417" s="360"/>
      <c r="M417" s="360"/>
      <c r="N417" s="360"/>
      <c r="O417" s="360"/>
      <c r="P417" s="359"/>
      <c r="Q417" s="360"/>
      <c r="R417" s="360"/>
      <c r="S417" s="360"/>
    </row>
    <row r="418" spans="4:19">
      <c r="D418" s="360"/>
      <c r="E418" s="360"/>
      <c r="F418" s="360"/>
      <c r="G418" s="360"/>
      <c r="H418" s="360"/>
      <c r="I418" s="360"/>
      <c r="J418" s="360"/>
      <c r="K418" s="360"/>
      <c r="L418" s="360"/>
      <c r="M418" s="360"/>
      <c r="N418" s="360"/>
      <c r="O418" s="360"/>
      <c r="P418" s="359"/>
      <c r="Q418" s="360"/>
      <c r="R418" s="360"/>
      <c r="S418" s="360"/>
    </row>
    <row r="419" spans="4:19">
      <c r="D419" s="360"/>
      <c r="E419" s="360"/>
      <c r="F419" s="360"/>
      <c r="G419" s="360"/>
      <c r="H419" s="360"/>
      <c r="I419" s="360"/>
      <c r="J419" s="360"/>
      <c r="K419" s="360"/>
      <c r="L419" s="360"/>
      <c r="M419" s="360"/>
      <c r="N419" s="360"/>
      <c r="O419" s="360"/>
      <c r="P419" s="359"/>
      <c r="Q419" s="360"/>
      <c r="R419" s="360"/>
      <c r="S419" s="360"/>
    </row>
    <row r="420" spans="4:19">
      <c r="D420" s="360"/>
      <c r="E420" s="360"/>
      <c r="F420" s="360"/>
      <c r="G420" s="360"/>
      <c r="H420" s="360"/>
      <c r="I420" s="360"/>
      <c r="J420" s="360"/>
      <c r="K420" s="360"/>
      <c r="L420" s="360"/>
      <c r="M420" s="360"/>
      <c r="N420" s="360"/>
      <c r="O420" s="360"/>
      <c r="P420" s="359"/>
      <c r="Q420" s="360"/>
      <c r="R420" s="360"/>
      <c r="S420" s="360"/>
    </row>
    <row r="421" spans="4:19">
      <c r="D421" s="360"/>
      <c r="E421" s="360"/>
      <c r="F421" s="360"/>
      <c r="G421" s="360"/>
      <c r="H421" s="360"/>
      <c r="I421" s="360"/>
      <c r="J421" s="360"/>
      <c r="K421" s="360"/>
      <c r="L421" s="360"/>
      <c r="M421" s="360"/>
      <c r="N421" s="360"/>
      <c r="O421" s="360"/>
      <c r="P421" s="359"/>
      <c r="Q421" s="360"/>
      <c r="R421" s="360"/>
      <c r="S421" s="360"/>
    </row>
    <row r="422" spans="4:19">
      <c r="D422" s="360"/>
      <c r="E422" s="360"/>
      <c r="F422" s="360"/>
      <c r="G422" s="360"/>
      <c r="H422" s="360"/>
      <c r="I422" s="360"/>
      <c r="J422" s="360"/>
      <c r="K422" s="360"/>
      <c r="L422" s="360"/>
      <c r="M422" s="360"/>
      <c r="N422" s="360"/>
      <c r="O422" s="360"/>
      <c r="P422" s="359"/>
      <c r="Q422" s="360"/>
      <c r="R422" s="360"/>
      <c r="S422" s="360"/>
    </row>
    <row r="423" spans="4:19">
      <c r="D423" s="360"/>
      <c r="E423" s="360"/>
      <c r="F423" s="360"/>
      <c r="G423" s="360"/>
      <c r="H423" s="360"/>
      <c r="I423" s="360"/>
      <c r="J423" s="360"/>
      <c r="K423" s="360"/>
      <c r="L423" s="360"/>
      <c r="M423" s="360"/>
      <c r="N423" s="360"/>
      <c r="O423" s="360"/>
      <c r="P423" s="359"/>
      <c r="Q423" s="360"/>
      <c r="R423" s="360"/>
      <c r="S423" s="360"/>
    </row>
    <row r="424" spans="4:19">
      <c r="D424" s="360"/>
      <c r="E424" s="360"/>
      <c r="F424" s="360"/>
      <c r="G424" s="360"/>
      <c r="H424" s="360"/>
      <c r="I424" s="360"/>
      <c r="J424" s="360"/>
      <c r="K424" s="360"/>
      <c r="L424" s="360"/>
      <c r="M424" s="360"/>
      <c r="N424" s="360"/>
      <c r="O424" s="360"/>
      <c r="P424" s="359"/>
      <c r="Q424" s="360"/>
      <c r="R424" s="360"/>
      <c r="S424" s="360"/>
    </row>
    <row r="425" spans="4:19">
      <c r="D425" s="360"/>
      <c r="E425" s="360"/>
      <c r="F425" s="360"/>
      <c r="G425" s="360"/>
      <c r="H425" s="360"/>
      <c r="I425" s="360"/>
      <c r="J425" s="360"/>
      <c r="K425" s="360"/>
      <c r="L425" s="360"/>
      <c r="M425" s="360"/>
      <c r="N425" s="360"/>
      <c r="O425" s="360"/>
      <c r="P425" s="359"/>
      <c r="Q425" s="360"/>
      <c r="R425" s="360"/>
      <c r="S425" s="360"/>
    </row>
    <row r="426" spans="4:19">
      <c r="D426" s="360"/>
      <c r="E426" s="360"/>
      <c r="F426" s="360"/>
      <c r="G426" s="360"/>
      <c r="H426" s="360"/>
      <c r="I426" s="360"/>
      <c r="J426" s="360"/>
      <c r="K426" s="360"/>
      <c r="L426" s="360"/>
      <c r="M426" s="360"/>
      <c r="N426" s="360"/>
      <c r="O426" s="360"/>
      <c r="P426" s="359"/>
      <c r="Q426" s="360"/>
      <c r="R426" s="360"/>
      <c r="S426" s="360"/>
    </row>
    <row r="427" spans="4:19">
      <c r="D427" s="360"/>
      <c r="E427" s="360"/>
      <c r="F427" s="360"/>
      <c r="G427" s="360"/>
      <c r="H427" s="360"/>
      <c r="I427" s="360"/>
      <c r="J427" s="360"/>
      <c r="K427" s="360"/>
      <c r="L427" s="360"/>
      <c r="M427" s="360"/>
      <c r="N427" s="360"/>
      <c r="O427" s="360"/>
      <c r="P427" s="359"/>
      <c r="Q427" s="360"/>
      <c r="R427" s="360"/>
      <c r="S427" s="360"/>
    </row>
    <row r="428" spans="4:19">
      <c r="D428" s="360"/>
      <c r="E428" s="360"/>
      <c r="F428" s="360"/>
      <c r="G428" s="360"/>
      <c r="H428" s="360"/>
      <c r="I428" s="360"/>
      <c r="J428" s="360"/>
      <c r="K428" s="360"/>
      <c r="L428" s="360"/>
      <c r="M428" s="360"/>
      <c r="N428" s="360"/>
      <c r="O428" s="360"/>
      <c r="P428" s="359"/>
      <c r="Q428" s="360"/>
      <c r="R428" s="360"/>
      <c r="S428" s="360"/>
    </row>
    <row r="429" spans="4:19">
      <c r="D429" s="360"/>
      <c r="E429" s="360"/>
      <c r="F429" s="360"/>
      <c r="G429" s="360"/>
      <c r="H429" s="360"/>
      <c r="I429" s="360"/>
      <c r="J429" s="360"/>
      <c r="K429" s="360"/>
      <c r="L429" s="360"/>
      <c r="M429" s="360"/>
      <c r="N429" s="360"/>
      <c r="O429" s="360"/>
      <c r="P429" s="359"/>
      <c r="Q429" s="360"/>
      <c r="R429" s="360"/>
      <c r="S429" s="360"/>
    </row>
    <row r="430" spans="4:19">
      <c r="D430" s="360"/>
      <c r="E430" s="360"/>
      <c r="F430" s="360"/>
      <c r="G430" s="360"/>
      <c r="H430" s="360"/>
      <c r="I430" s="360"/>
      <c r="J430" s="360"/>
      <c r="K430" s="360"/>
      <c r="L430" s="360"/>
      <c r="M430" s="360"/>
      <c r="N430" s="360"/>
      <c r="O430" s="360"/>
      <c r="P430" s="359"/>
      <c r="Q430" s="360"/>
      <c r="R430" s="360"/>
      <c r="S430" s="360"/>
    </row>
    <row r="431" spans="4:19">
      <c r="D431" s="360"/>
      <c r="E431" s="360"/>
      <c r="F431" s="360"/>
      <c r="G431" s="360"/>
      <c r="H431" s="360"/>
      <c r="I431" s="360"/>
      <c r="J431" s="360"/>
      <c r="K431" s="360"/>
      <c r="L431" s="360"/>
      <c r="M431" s="360"/>
      <c r="N431" s="360"/>
      <c r="O431" s="360"/>
      <c r="P431" s="359"/>
      <c r="Q431" s="360"/>
      <c r="R431" s="360"/>
      <c r="S431" s="360"/>
    </row>
    <row r="432" spans="4:19">
      <c r="D432" s="360"/>
      <c r="E432" s="360"/>
      <c r="F432" s="360"/>
      <c r="G432" s="360"/>
      <c r="H432" s="360"/>
      <c r="I432" s="360"/>
      <c r="J432" s="360"/>
      <c r="K432" s="360"/>
      <c r="L432" s="360"/>
      <c r="M432" s="360"/>
      <c r="N432" s="360"/>
      <c r="O432" s="360"/>
      <c r="P432" s="359"/>
      <c r="Q432" s="360"/>
      <c r="R432" s="360"/>
      <c r="S432" s="360"/>
    </row>
    <row r="433" spans="4:19">
      <c r="D433" s="360"/>
      <c r="E433" s="360"/>
      <c r="F433" s="360"/>
      <c r="G433" s="360"/>
      <c r="H433" s="360"/>
      <c r="I433" s="360"/>
      <c r="J433" s="360"/>
      <c r="K433" s="360"/>
      <c r="L433" s="360"/>
      <c r="M433" s="360"/>
      <c r="N433" s="360"/>
      <c r="O433" s="360"/>
      <c r="P433" s="359"/>
      <c r="Q433" s="360"/>
      <c r="R433" s="360"/>
      <c r="S433" s="360"/>
    </row>
    <row r="434" spans="4:19">
      <c r="D434" s="360"/>
      <c r="E434" s="360"/>
      <c r="F434" s="360"/>
      <c r="G434" s="360"/>
      <c r="H434" s="360"/>
      <c r="I434" s="360"/>
      <c r="J434" s="360"/>
      <c r="K434" s="360"/>
      <c r="L434" s="360"/>
      <c r="M434" s="360"/>
      <c r="N434" s="360"/>
      <c r="O434" s="360"/>
      <c r="P434" s="359"/>
      <c r="Q434" s="360"/>
      <c r="R434" s="360"/>
      <c r="S434" s="360"/>
    </row>
    <row r="435" spans="4:19">
      <c r="D435" s="360"/>
      <c r="E435" s="360"/>
      <c r="F435" s="360"/>
      <c r="G435" s="360"/>
      <c r="H435" s="360"/>
      <c r="I435" s="360"/>
      <c r="J435" s="360"/>
      <c r="K435" s="360"/>
      <c r="L435" s="360"/>
      <c r="M435" s="360"/>
      <c r="N435" s="360"/>
      <c r="O435" s="360"/>
      <c r="P435" s="359"/>
      <c r="Q435" s="360"/>
      <c r="R435" s="360"/>
      <c r="S435" s="360"/>
    </row>
    <row r="436" spans="4:19">
      <c r="D436" s="360"/>
      <c r="E436" s="360"/>
      <c r="F436" s="360"/>
      <c r="G436" s="360"/>
      <c r="H436" s="360"/>
      <c r="I436" s="360"/>
      <c r="J436" s="360"/>
      <c r="K436" s="360"/>
      <c r="L436" s="360"/>
      <c r="M436" s="360"/>
      <c r="N436" s="360"/>
      <c r="O436" s="360"/>
      <c r="P436" s="359"/>
      <c r="Q436" s="360"/>
      <c r="R436" s="360"/>
      <c r="S436" s="360"/>
    </row>
    <row r="437" spans="4:19">
      <c r="D437" s="360"/>
      <c r="E437" s="360"/>
      <c r="F437" s="360"/>
      <c r="G437" s="360"/>
      <c r="H437" s="360"/>
      <c r="I437" s="360"/>
      <c r="J437" s="360"/>
      <c r="K437" s="360"/>
      <c r="L437" s="360"/>
      <c r="M437" s="360"/>
      <c r="N437" s="360"/>
      <c r="O437" s="360"/>
      <c r="P437" s="359"/>
      <c r="Q437" s="360"/>
      <c r="R437" s="360"/>
      <c r="S437" s="360"/>
    </row>
    <row r="438" spans="4:19">
      <c r="D438" s="360"/>
      <c r="E438" s="360"/>
      <c r="F438" s="360"/>
      <c r="G438" s="360"/>
      <c r="H438" s="360"/>
      <c r="I438" s="360"/>
      <c r="J438" s="360"/>
      <c r="K438" s="360"/>
      <c r="L438" s="360"/>
      <c r="M438" s="360"/>
      <c r="N438" s="360"/>
      <c r="O438" s="360"/>
      <c r="P438" s="359"/>
      <c r="Q438" s="360"/>
      <c r="R438" s="360"/>
      <c r="S438" s="360"/>
    </row>
    <row r="439" spans="4:19">
      <c r="D439" s="360"/>
      <c r="E439" s="360"/>
      <c r="F439" s="360"/>
      <c r="G439" s="360"/>
      <c r="H439" s="360"/>
      <c r="I439" s="360"/>
      <c r="J439" s="360"/>
      <c r="K439" s="360"/>
      <c r="L439" s="360"/>
      <c r="M439" s="360"/>
      <c r="N439" s="360"/>
      <c r="O439" s="360"/>
      <c r="P439" s="359"/>
      <c r="Q439" s="360"/>
      <c r="R439" s="360"/>
      <c r="S439" s="360"/>
    </row>
    <row r="440" spans="4:19">
      <c r="D440" s="360"/>
      <c r="E440" s="360"/>
      <c r="F440" s="360"/>
      <c r="G440" s="360"/>
      <c r="H440" s="360"/>
      <c r="I440" s="360"/>
      <c r="J440" s="360"/>
      <c r="K440" s="360"/>
      <c r="L440" s="360"/>
      <c r="M440" s="360"/>
      <c r="N440" s="360"/>
      <c r="O440" s="360"/>
      <c r="P440" s="359"/>
      <c r="Q440" s="360"/>
      <c r="R440" s="360"/>
      <c r="S440" s="360"/>
    </row>
    <row r="441" spans="4:19">
      <c r="D441" s="360"/>
      <c r="E441" s="360"/>
      <c r="F441" s="360"/>
      <c r="G441" s="360"/>
      <c r="H441" s="360"/>
      <c r="I441" s="360"/>
      <c r="J441" s="360"/>
      <c r="K441" s="360"/>
      <c r="L441" s="360"/>
      <c r="M441" s="360"/>
      <c r="N441" s="360"/>
      <c r="O441" s="360"/>
      <c r="P441" s="359"/>
      <c r="Q441" s="360"/>
      <c r="R441" s="360"/>
      <c r="S441" s="360"/>
    </row>
    <row r="442" spans="4:19">
      <c r="D442" s="360"/>
      <c r="E442" s="360"/>
      <c r="F442" s="360"/>
      <c r="G442" s="360"/>
      <c r="H442" s="360"/>
      <c r="I442" s="360"/>
      <c r="J442" s="360"/>
      <c r="K442" s="360"/>
      <c r="L442" s="360"/>
      <c r="M442" s="360"/>
      <c r="N442" s="360"/>
      <c r="O442" s="360"/>
      <c r="P442" s="359"/>
      <c r="Q442" s="360"/>
      <c r="R442" s="360"/>
      <c r="S442" s="360"/>
    </row>
    <row r="443" spans="4:19">
      <c r="D443" s="360"/>
      <c r="E443" s="360"/>
      <c r="F443" s="360"/>
      <c r="G443" s="360"/>
      <c r="H443" s="360"/>
      <c r="I443" s="360"/>
      <c r="J443" s="360"/>
      <c r="K443" s="360"/>
      <c r="L443" s="360"/>
      <c r="M443" s="360"/>
      <c r="N443" s="360"/>
      <c r="O443" s="360"/>
      <c r="P443" s="359"/>
      <c r="Q443" s="360"/>
      <c r="R443" s="360"/>
      <c r="S443" s="360"/>
    </row>
    <row r="444" spans="4:19">
      <c r="D444" s="360"/>
      <c r="E444" s="360"/>
      <c r="F444" s="360"/>
      <c r="G444" s="360"/>
      <c r="H444" s="360"/>
      <c r="I444" s="360"/>
      <c r="J444" s="360"/>
      <c r="K444" s="360"/>
      <c r="L444" s="360"/>
      <c r="M444" s="360"/>
      <c r="N444" s="360"/>
      <c r="O444" s="360"/>
      <c r="P444" s="359"/>
      <c r="Q444" s="360"/>
      <c r="R444" s="360"/>
      <c r="S444" s="360"/>
    </row>
    <row r="445" spans="4:19">
      <c r="D445" s="360"/>
      <c r="E445" s="360"/>
      <c r="F445" s="360"/>
      <c r="G445" s="360"/>
      <c r="H445" s="360"/>
      <c r="I445" s="360"/>
      <c r="J445" s="360"/>
      <c r="K445" s="360"/>
      <c r="L445" s="360"/>
      <c r="M445" s="360"/>
      <c r="N445" s="360"/>
      <c r="O445" s="360"/>
      <c r="P445" s="359"/>
      <c r="Q445" s="360"/>
      <c r="R445" s="360"/>
      <c r="S445" s="360"/>
    </row>
    <row r="446" spans="4:19">
      <c r="D446" s="360"/>
      <c r="E446" s="360"/>
      <c r="F446" s="360"/>
      <c r="G446" s="360"/>
      <c r="H446" s="360"/>
      <c r="I446" s="360"/>
      <c r="J446" s="360"/>
      <c r="K446" s="360"/>
      <c r="L446" s="360"/>
      <c r="M446" s="360"/>
      <c r="N446" s="360"/>
      <c r="O446" s="360"/>
      <c r="P446" s="359"/>
      <c r="Q446" s="360"/>
      <c r="R446" s="360"/>
      <c r="S446" s="360"/>
    </row>
    <row r="447" spans="4:19">
      <c r="D447" s="360"/>
      <c r="E447" s="360"/>
      <c r="F447" s="360"/>
      <c r="G447" s="360"/>
      <c r="H447" s="360"/>
      <c r="I447" s="360"/>
      <c r="J447" s="360"/>
      <c r="K447" s="360"/>
      <c r="L447" s="360"/>
      <c r="M447" s="360"/>
      <c r="N447" s="360"/>
      <c r="O447" s="360"/>
      <c r="P447" s="359"/>
      <c r="Q447" s="360"/>
      <c r="R447" s="360"/>
      <c r="S447" s="360"/>
    </row>
    <row r="448" spans="4:19">
      <c r="D448" s="360"/>
      <c r="E448" s="360"/>
      <c r="F448" s="360"/>
      <c r="G448" s="360"/>
      <c r="H448" s="360"/>
      <c r="I448" s="360"/>
      <c r="J448" s="360"/>
      <c r="K448" s="360"/>
      <c r="L448" s="360"/>
      <c r="M448" s="360"/>
      <c r="N448" s="360"/>
      <c r="O448" s="360"/>
      <c r="P448" s="359"/>
      <c r="Q448" s="360"/>
      <c r="R448" s="360"/>
      <c r="S448" s="360"/>
    </row>
    <row r="449" spans="4:19">
      <c r="D449" s="360"/>
      <c r="E449" s="360"/>
      <c r="F449" s="360"/>
      <c r="G449" s="360"/>
      <c r="H449" s="360"/>
      <c r="I449" s="360"/>
      <c r="J449" s="360"/>
      <c r="K449" s="360"/>
      <c r="L449" s="360"/>
      <c r="M449" s="360"/>
      <c r="N449" s="360"/>
      <c r="O449" s="360"/>
      <c r="P449" s="359"/>
      <c r="Q449" s="360"/>
      <c r="R449" s="360"/>
      <c r="S449" s="360"/>
    </row>
    <row r="450" spans="4:19">
      <c r="D450" s="360"/>
      <c r="E450" s="360"/>
      <c r="F450" s="360"/>
      <c r="G450" s="360"/>
      <c r="H450" s="360"/>
      <c r="I450" s="360"/>
      <c r="J450" s="360"/>
      <c r="K450" s="360"/>
      <c r="L450" s="360"/>
      <c r="M450" s="360"/>
      <c r="N450" s="360"/>
      <c r="O450" s="360"/>
      <c r="P450" s="359"/>
      <c r="Q450" s="360"/>
      <c r="R450" s="360"/>
      <c r="S450" s="360"/>
    </row>
    <row r="451" spans="4:19">
      <c r="D451" s="360"/>
      <c r="E451" s="360"/>
      <c r="F451" s="360"/>
      <c r="G451" s="360"/>
      <c r="H451" s="360"/>
      <c r="I451" s="360"/>
      <c r="J451" s="360"/>
      <c r="K451" s="360"/>
      <c r="L451" s="360"/>
      <c r="M451" s="360"/>
      <c r="N451" s="360"/>
      <c r="O451" s="360"/>
      <c r="P451" s="359"/>
      <c r="Q451" s="360"/>
      <c r="R451" s="360"/>
      <c r="S451" s="360"/>
    </row>
    <row r="452" spans="4:19">
      <c r="D452" s="360"/>
      <c r="E452" s="360"/>
      <c r="F452" s="360"/>
      <c r="G452" s="360"/>
      <c r="H452" s="360"/>
      <c r="I452" s="360"/>
      <c r="J452" s="360"/>
      <c r="K452" s="360"/>
      <c r="L452" s="360"/>
      <c r="M452" s="360"/>
      <c r="N452" s="360"/>
      <c r="O452" s="360"/>
      <c r="P452" s="359"/>
      <c r="Q452" s="360"/>
      <c r="R452" s="360"/>
      <c r="S452" s="360"/>
    </row>
    <row r="453" spans="4:19">
      <c r="D453" s="360"/>
      <c r="E453" s="360"/>
      <c r="F453" s="360"/>
      <c r="G453" s="360"/>
      <c r="H453" s="360"/>
      <c r="I453" s="360"/>
      <c r="J453" s="360"/>
      <c r="K453" s="360"/>
      <c r="L453" s="360"/>
      <c r="M453" s="360"/>
      <c r="N453" s="360"/>
      <c r="O453" s="360"/>
      <c r="P453" s="359"/>
      <c r="Q453" s="360"/>
      <c r="R453" s="360"/>
      <c r="S453" s="360"/>
    </row>
    <row r="454" spans="4:19">
      <c r="D454" s="360"/>
      <c r="E454" s="360"/>
      <c r="F454" s="360"/>
      <c r="G454" s="360"/>
      <c r="H454" s="360"/>
      <c r="I454" s="360"/>
      <c r="J454" s="360"/>
      <c r="K454" s="360"/>
      <c r="L454" s="360"/>
      <c r="M454" s="360"/>
      <c r="N454" s="360"/>
      <c r="O454" s="360"/>
      <c r="P454" s="359"/>
      <c r="Q454" s="360"/>
      <c r="R454" s="360"/>
      <c r="S454" s="360"/>
    </row>
    <row r="455" spans="4:19">
      <c r="D455" s="360"/>
      <c r="E455" s="360"/>
      <c r="F455" s="360"/>
      <c r="G455" s="360"/>
      <c r="H455" s="360"/>
      <c r="I455" s="360"/>
      <c r="J455" s="360"/>
      <c r="K455" s="360"/>
      <c r="L455" s="360"/>
      <c r="M455" s="360"/>
      <c r="N455" s="360"/>
      <c r="O455" s="360"/>
      <c r="P455" s="359"/>
      <c r="Q455" s="360"/>
      <c r="R455" s="360"/>
      <c r="S455" s="360"/>
    </row>
    <row r="456" spans="4:19">
      <c r="D456" s="360"/>
      <c r="E456" s="360"/>
      <c r="F456" s="360"/>
      <c r="G456" s="360"/>
      <c r="H456" s="360"/>
      <c r="I456" s="360"/>
      <c r="J456" s="360"/>
      <c r="K456" s="360"/>
      <c r="L456" s="360"/>
      <c r="M456" s="360"/>
      <c r="N456" s="360"/>
      <c r="O456" s="360"/>
      <c r="P456" s="359"/>
      <c r="Q456" s="360"/>
      <c r="R456" s="360"/>
      <c r="S456" s="360"/>
    </row>
    <row r="457" spans="4:19">
      <c r="D457" s="360"/>
      <c r="E457" s="360"/>
      <c r="F457" s="360"/>
      <c r="G457" s="360"/>
      <c r="H457" s="360"/>
      <c r="I457" s="360"/>
      <c r="J457" s="360"/>
      <c r="K457" s="360"/>
      <c r="L457" s="360"/>
      <c r="M457" s="360"/>
      <c r="N457" s="360"/>
      <c r="O457" s="360"/>
      <c r="P457" s="359"/>
      <c r="Q457" s="360"/>
      <c r="R457" s="360"/>
      <c r="S457" s="360"/>
    </row>
    <row r="458" spans="4:19">
      <c r="D458" s="360"/>
      <c r="E458" s="360"/>
      <c r="F458" s="360"/>
      <c r="G458" s="360"/>
      <c r="H458" s="360"/>
      <c r="I458" s="360"/>
      <c r="J458" s="360"/>
      <c r="K458" s="360"/>
      <c r="L458" s="360"/>
      <c r="M458" s="360"/>
      <c r="N458" s="360"/>
      <c r="O458" s="360"/>
      <c r="P458" s="359"/>
      <c r="Q458" s="360"/>
      <c r="R458" s="360"/>
      <c r="S458" s="360"/>
    </row>
    <row r="459" spans="4:19">
      <c r="D459" s="360"/>
      <c r="E459" s="360"/>
      <c r="F459" s="360"/>
      <c r="G459" s="360"/>
      <c r="H459" s="360"/>
      <c r="I459" s="360"/>
      <c r="J459" s="360"/>
      <c r="K459" s="360"/>
      <c r="L459" s="360"/>
      <c r="M459" s="360"/>
      <c r="N459" s="360"/>
      <c r="O459" s="360"/>
      <c r="P459" s="359"/>
      <c r="Q459" s="360"/>
      <c r="R459" s="360"/>
      <c r="S459" s="360"/>
    </row>
    <row r="460" spans="4:19">
      <c r="D460" s="360"/>
      <c r="E460" s="360"/>
      <c r="F460" s="360"/>
      <c r="G460" s="360"/>
      <c r="H460" s="360"/>
      <c r="I460" s="360"/>
      <c r="J460" s="360"/>
      <c r="K460" s="360"/>
      <c r="L460" s="360"/>
      <c r="M460" s="360"/>
      <c r="N460" s="360"/>
      <c r="O460" s="360"/>
      <c r="P460" s="359"/>
      <c r="Q460" s="360"/>
      <c r="R460" s="360"/>
      <c r="S460" s="360"/>
    </row>
    <row r="461" spans="4:19">
      <c r="D461" s="360"/>
      <c r="E461" s="360"/>
      <c r="F461" s="360"/>
      <c r="G461" s="360"/>
      <c r="H461" s="360"/>
      <c r="I461" s="360"/>
      <c r="J461" s="360"/>
      <c r="K461" s="360"/>
      <c r="L461" s="360"/>
      <c r="M461" s="360"/>
      <c r="N461" s="360"/>
      <c r="O461" s="360"/>
      <c r="P461" s="359"/>
      <c r="Q461" s="360"/>
      <c r="R461" s="360"/>
      <c r="S461" s="360"/>
    </row>
    <row r="462" spans="4:19">
      <c r="D462" s="360"/>
      <c r="E462" s="360"/>
      <c r="F462" s="360"/>
      <c r="G462" s="360"/>
      <c r="H462" s="360"/>
      <c r="I462" s="360"/>
      <c r="J462" s="360"/>
      <c r="K462" s="360"/>
      <c r="L462" s="360"/>
      <c r="M462" s="360"/>
      <c r="N462" s="360"/>
      <c r="O462" s="360"/>
      <c r="P462" s="359"/>
      <c r="Q462" s="360"/>
      <c r="R462" s="360"/>
      <c r="S462" s="360"/>
    </row>
    <row r="463" spans="4:19">
      <c r="D463" s="360"/>
      <c r="E463" s="360"/>
      <c r="F463" s="360"/>
      <c r="G463" s="360"/>
      <c r="H463" s="360"/>
      <c r="I463" s="360"/>
      <c r="J463" s="360"/>
      <c r="K463" s="360"/>
      <c r="L463" s="360"/>
      <c r="M463" s="360"/>
      <c r="N463" s="360"/>
      <c r="O463" s="360"/>
      <c r="P463" s="359"/>
      <c r="Q463" s="360"/>
      <c r="R463" s="360"/>
      <c r="S463" s="360"/>
    </row>
    <row r="464" spans="4:19">
      <c r="D464" s="360"/>
      <c r="E464" s="360"/>
      <c r="F464" s="360"/>
      <c r="G464" s="360"/>
      <c r="H464" s="360"/>
      <c r="I464" s="360"/>
      <c r="J464" s="360"/>
      <c r="K464" s="360"/>
      <c r="L464" s="360"/>
      <c r="M464" s="360"/>
      <c r="N464" s="360"/>
      <c r="O464" s="360"/>
      <c r="P464" s="359"/>
      <c r="Q464" s="360"/>
      <c r="R464" s="360"/>
      <c r="S464" s="360"/>
    </row>
    <row r="465" spans="4:19">
      <c r="D465" s="360"/>
      <c r="E465" s="360"/>
      <c r="F465" s="360"/>
      <c r="G465" s="360"/>
      <c r="H465" s="360"/>
      <c r="I465" s="360"/>
      <c r="J465" s="360"/>
      <c r="K465" s="360"/>
      <c r="L465" s="360"/>
      <c r="M465" s="360"/>
      <c r="N465" s="360"/>
      <c r="O465" s="360"/>
      <c r="P465" s="359"/>
      <c r="Q465" s="360"/>
      <c r="R465" s="360"/>
      <c r="S465" s="360"/>
    </row>
    <row r="466" spans="4:19">
      <c r="D466" s="360"/>
      <c r="E466" s="360"/>
      <c r="F466" s="360"/>
      <c r="G466" s="360"/>
      <c r="H466" s="360"/>
      <c r="I466" s="360"/>
      <c r="J466" s="360"/>
      <c r="K466" s="360"/>
      <c r="L466" s="360"/>
      <c r="M466" s="360"/>
      <c r="N466" s="360"/>
      <c r="O466" s="360"/>
      <c r="P466" s="359"/>
      <c r="Q466" s="360"/>
      <c r="R466" s="360"/>
      <c r="S466" s="360"/>
    </row>
    <row r="467" spans="4:19">
      <c r="D467" s="360"/>
      <c r="E467" s="360"/>
      <c r="F467" s="360"/>
      <c r="G467" s="360"/>
      <c r="H467" s="360"/>
      <c r="I467" s="360"/>
      <c r="J467" s="360"/>
      <c r="K467" s="360"/>
      <c r="L467" s="360"/>
      <c r="M467" s="360"/>
      <c r="N467" s="360"/>
      <c r="O467" s="360"/>
      <c r="P467" s="359"/>
      <c r="Q467" s="360"/>
      <c r="R467" s="360"/>
      <c r="S467" s="360"/>
    </row>
    <row r="468" spans="4:19">
      <c r="D468" s="360"/>
      <c r="E468" s="360"/>
      <c r="F468" s="360"/>
      <c r="G468" s="360"/>
      <c r="H468" s="360"/>
      <c r="I468" s="360"/>
      <c r="J468" s="360"/>
      <c r="K468" s="360"/>
      <c r="L468" s="360"/>
      <c r="M468" s="360"/>
      <c r="N468" s="360"/>
      <c r="O468" s="360"/>
      <c r="P468" s="359"/>
      <c r="Q468" s="360"/>
      <c r="R468" s="360"/>
      <c r="S468" s="360"/>
    </row>
    <row r="469" spans="4:19">
      <c r="D469" s="360"/>
      <c r="E469" s="360"/>
      <c r="F469" s="360"/>
      <c r="G469" s="360"/>
      <c r="H469" s="360"/>
      <c r="I469" s="360"/>
      <c r="J469" s="360"/>
      <c r="K469" s="360"/>
      <c r="L469" s="360"/>
      <c r="M469" s="360"/>
      <c r="N469" s="360"/>
      <c r="O469" s="360"/>
      <c r="P469" s="359"/>
      <c r="Q469" s="360"/>
      <c r="R469" s="360"/>
      <c r="S469" s="360"/>
    </row>
    <row r="470" spans="4:19">
      <c r="D470" s="360"/>
      <c r="E470" s="360"/>
      <c r="F470" s="360"/>
      <c r="G470" s="360"/>
      <c r="H470" s="360"/>
      <c r="I470" s="360"/>
      <c r="J470" s="360"/>
      <c r="K470" s="360"/>
      <c r="L470" s="360"/>
      <c r="M470" s="360"/>
      <c r="N470" s="360"/>
      <c r="O470" s="360"/>
      <c r="P470" s="359"/>
      <c r="Q470" s="360"/>
      <c r="R470" s="360"/>
      <c r="S470" s="360"/>
    </row>
    <row r="471" spans="4:19">
      <c r="D471" s="360"/>
      <c r="E471" s="360"/>
      <c r="F471" s="360"/>
      <c r="G471" s="360"/>
      <c r="H471" s="360"/>
      <c r="I471" s="360"/>
      <c r="J471" s="360"/>
      <c r="K471" s="360"/>
      <c r="L471" s="360"/>
      <c r="M471" s="360"/>
      <c r="N471" s="360"/>
      <c r="O471" s="360"/>
      <c r="P471" s="359"/>
      <c r="Q471" s="360"/>
      <c r="R471" s="360"/>
      <c r="S471" s="360"/>
    </row>
  </sheetData>
  <mergeCells count="139">
    <mergeCell ref="C8:D8"/>
    <mergeCell ref="T8:X8"/>
    <mergeCell ref="K10:N10"/>
    <mergeCell ref="K11:N11"/>
    <mergeCell ref="F12:H12"/>
    <mergeCell ref="K12:N12"/>
    <mergeCell ref="E2:N3"/>
    <mergeCell ref="T4:X4"/>
    <mergeCell ref="T5:X5"/>
    <mergeCell ref="T6:X6"/>
    <mergeCell ref="E7:M8"/>
    <mergeCell ref="N7:Q8"/>
    <mergeCell ref="T7:X7"/>
    <mergeCell ref="D17:G17"/>
    <mergeCell ref="J17:K17"/>
    <mergeCell ref="R17:S17"/>
    <mergeCell ref="D20:G20"/>
    <mergeCell ref="J20:K20"/>
    <mergeCell ref="N20:O20"/>
    <mergeCell ref="R20:S20"/>
    <mergeCell ref="D14:G14"/>
    <mergeCell ref="J14:K14"/>
    <mergeCell ref="N14:O14"/>
    <mergeCell ref="R14:S14"/>
    <mergeCell ref="D16:G16"/>
    <mergeCell ref="J16:K16"/>
    <mergeCell ref="N16:O16"/>
    <mergeCell ref="R16:S16"/>
    <mergeCell ref="D25:G25"/>
    <mergeCell ref="J25:K25"/>
    <mergeCell ref="N25:O25"/>
    <mergeCell ref="R25:S25"/>
    <mergeCell ref="R27:S27"/>
    <mergeCell ref="D28:G28"/>
    <mergeCell ref="J28:K28"/>
    <mergeCell ref="N28:O28"/>
    <mergeCell ref="D21:G21"/>
    <mergeCell ref="J21:K21"/>
    <mergeCell ref="N21:O21"/>
    <mergeCell ref="R21:S21"/>
    <mergeCell ref="D24:G24"/>
    <mergeCell ref="J24:K24"/>
    <mergeCell ref="N24:O24"/>
    <mergeCell ref="R24:S24"/>
    <mergeCell ref="D32:G32"/>
    <mergeCell ref="J32:K32"/>
    <mergeCell ref="N32:O32"/>
    <mergeCell ref="R32:S32"/>
    <mergeCell ref="D33:G33"/>
    <mergeCell ref="J33:K33"/>
    <mergeCell ref="N33:O33"/>
    <mergeCell ref="D29:G29"/>
    <mergeCell ref="J29:K29"/>
    <mergeCell ref="N29:O29"/>
    <mergeCell ref="R29:S29"/>
    <mergeCell ref="R30:S30"/>
    <mergeCell ref="R31:S31"/>
    <mergeCell ref="D37:G37"/>
    <mergeCell ref="J37:K37"/>
    <mergeCell ref="N37:O37"/>
    <mergeCell ref="D38:G38"/>
    <mergeCell ref="R38:S38"/>
    <mergeCell ref="N39:O39"/>
    <mergeCell ref="R39:S39"/>
    <mergeCell ref="J34:K34"/>
    <mergeCell ref="R34:S34"/>
    <mergeCell ref="R35:S35"/>
    <mergeCell ref="D36:G36"/>
    <mergeCell ref="J36:K36"/>
    <mergeCell ref="N36:O36"/>
    <mergeCell ref="D42:G42"/>
    <mergeCell ref="J42:K42"/>
    <mergeCell ref="N42:O42"/>
    <mergeCell ref="D43:G43"/>
    <mergeCell ref="J43:K43"/>
    <mergeCell ref="R43:S43"/>
    <mergeCell ref="D40:G40"/>
    <mergeCell ref="J40:K40"/>
    <mergeCell ref="D41:G41"/>
    <mergeCell ref="J41:K41"/>
    <mergeCell ref="N41:O41"/>
    <mergeCell ref="R41:S41"/>
    <mergeCell ref="D49:G49"/>
    <mergeCell ref="J49:K49"/>
    <mergeCell ref="D50:G50"/>
    <mergeCell ref="J50:K50"/>
    <mergeCell ref="N50:O50"/>
    <mergeCell ref="R50:S50"/>
    <mergeCell ref="R44:S44"/>
    <mergeCell ref="D45:G45"/>
    <mergeCell ref="J45:K45"/>
    <mergeCell ref="N45:O45"/>
    <mergeCell ref="D46:G46"/>
    <mergeCell ref="J46:K46"/>
    <mergeCell ref="N46:O46"/>
    <mergeCell ref="N51:O51"/>
    <mergeCell ref="R52:S52"/>
    <mergeCell ref="J53:K53"/>
    <mergeCell ref="R53:S53"/>
    <mergeCell ref="J54:K54"/>
    <mergeCell ref="N54:O54"/>
    <mergeCell ref="R47:S47"/>
    <mergeCell ref="N48:O48"/>
    <mergeCell ref="R48:S48"/>
    <mergeCell ref="N59:O59"/>
    <mergeCell ref="R59:S59"/>
    <mergeCell ref="N60:O60"/>
    <mergeCell ref="D61:G61"/>
    <mergeCell ref="J61:K61"/>
    <mergeCell ref="R61:S61"/>
    <mergeCell ref="N55:O55"/>
    <mergeCell ref="R56:S56"/>
    <mergeCell ref="D57:G57"/>
    <mergeCell ref="J57:K57"/>
    <mergeCell ref="N57:O57"/>
    <mergeCell ref="D58:G58"/>
    <mergeCell ref="J58:K58"/>
    <mergeCell ref="D65:G65"/>
    <mergeCell ref="J65:K65"/>
    <mergeCell ref="D66:G66"/>
    <mergeCell ref="J66:K66"/>
    <mergeCell ref="R66:S66"/>
    <mergeCell ref="R67:S67"/>
    <mergeCell ref="D62:G62"/>
    <mergeCell ref="J62:K62"/>
    <mergeCell ref="R62:S62"/>
    <mergeCell ref="N63:O63"/>
    <mergeCell ref="N64:O64"/>
    <mergeCell ref="R64:S64"/>
    <mergeCell ref="D73:G73"/>
    <mergeCell ref="D74:G74"/>
    <mergeCell ref="N76:O76"/>
    <mergeCell ref="N77:O77"/>
    <mergeCell ref="D69:G69"/>
    <mergeCell ref="J69:K69"/>
    <mergeCell ref="R69:S69"/>
    <mergeCell ref="D70:G70"/>
    <mergeCell ref="R71:S71"/>
    <mergeCell ref="R72:S72"/>
  </mergeCells>
  <pageMargins left="0.7" right="0.7" top="0.75" bottom="0.75" header="0.3" footer="0.3"/>
  <pageSetup paperSize="0" orientation="portrait" horizontalDpi="0" verticalDpi="0" copie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A9FB-0B4F-4854-A9C9-4EBA9D25AC42}">
  <sheetPr codeName="Feuil19">
    <tabColor rgb="FF00FFFF"/>
  </sheetPr>
  <dimension ref="A1:AA105"/>
  <sheetViews>
    <sheetView zoomScaleNormal="100" zoomScaleSheetLayoutView="100" workbookViewId="0">
      <pane xSplit="1" ySplit="2" topLeftCell="B61" activePane="bottomRight" state="frozen"/>
      <selection pane="topRight" activeCell="B1" sqref="B1"/>
      <selection pane="bottomLeft" activeCell="A3" sqref="A3"/>
      <selection pane="bottomRight" activeCell="A67" sqref="A67:XFD67"/>
    </sheetView>
  </sheetViews>
  <sheetFormatPr baseColWidth="10" defaultRowHeight="15"/>
  <cols>
    <col min="2" max="2" width="16.5703125" style="141" customWidth="1"/>
    <col min="3" max="3" width="58.42578125" bestFit="1" customWidth="1"/>
    <col min="4" max="4" width="23.140625" style="320" customWidth="1"/>
    <col min="5" max="5" width="13.85546875" customWidth="1"/>
    <col min="6" max="6" width="12.140625" style="103" customWidth="1"/>
    <col min="8" max="9" width="12.140625" style="103" customWidth="1"/>
    <col min="12" max="12" width="60.140625" customWidth="1"/>
    <col min="13" max="13" width="50.140625" customWidth="1"/>
    <col min="14" max="14" width="14.140625" customWidth="1"/>
    <col min="15" max="15" width="46.28515625" customWidth="1"/>
    <col min="17" max="26" width="11.42578125" hidden="1" customWidth="1"/>
    <col min="27" max="27" width="10.42578125" hidden="1" customWidth="1"/>
  </cols>
  <sheetData>
    <row r="1" spans="1:27" ht="35.25" customHeight="1" thickBot="1">
      <c r="A1" s="210" t="s">
        <v>289</v>
      </c>
      <c r="B1" s="790" t="s">
        <v>290</v>
      </c>
      <c r="C1" s="210" t="s">
        <v>291</v>
      </c>
      <c r="D1" s="387" t="s">
        <v>250</v>
      </c>
      <c r="E1" s="387" t="s">
        <v>241</v>
      </c>
      <c r="F1" s="387" t="s">
        <v>204</v>
      </c>
      <c r="G1" s="790" t="s">
        <v>208</v>
      </c>
      <c r="H1" s="387" t="s">
        <v>242</v>
      </c>
      <c r="I1" s="387" t="s">
        <v>292</v>
      </c>
      <c r="J1" s="180" t="s">
        <v>293</v>
      </c>
      <c r="K1" s="180" t="s">
        <v>243</v>
      </c>
      <c r="L1" s="790" t="s">
        <v>294</v>
      </c>
      <c r="M1" s="387" t="s">
        <v>205</v>
      </c>
      <c r="N1" s="790" t="s">
        <v>244</v>
      </c>
      <c r="O1" s="790" t="s">
        <v>212</v>
      </c>
    </row>
    <row r="2" spans="1:27" ht="15.75" thickBot="1">
      <c r="A2" s="181" t="s">
        <v>203</v>
      </c>
      <c r="B2" s="791"/>
      <c r="C2" s="211"/>
      <c r="D2" s="388"/>
      <c r="E2" s="388"/>
      <c r="F2" s="388"/>
      <c r="G2" s="791"/>
      <c r="H2" s="388"/>
      <c r="I2" s="388"/>
      <c r="J2" s="388" t="s">
        <v>206</v>
      </c>
      <c r="K2" s="388" t="s">
        <v>207</v>
      </c>
      <c r="L2" s="791"/>
      <c r="M2" s="388"/>
      <c r="N2" s="791"/>
      <c r="O2" s="792"/>
    </row>
    <row r="3" spans="1:27" ht="47.25" thickBot="1">
      <c r="A3" s="45" t="s">
        <v>202</v>
      </c>
      <c r="B3" s="207"/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176"/>
    </row>
    <row r="4" spans="1:27">
      <c r="A4" s="810" t="s">
        <v>201</v>
      </c>
      <c r="B4" s="811"/>
      <c r="C4" s="389" t="s">
        <v>57</v>
      </c>
      <c r="D4" s="214"/>
      <c r="E4" s="214"/>
      <c r="F4" s="214"/>
      <c r="G4" s="214"/>
      <c r="H4" s="214"/>
      <c r="I4" s="215"/>
      <c r="J4" s="66">
        <f>SUM(AA50:AA98)</f>
        <v>0</v>
      </c>
      <c r="K4" s="67">
        <f>SUM(W12:W105)</f>
        <v>1</v>
      </c>
      <c r="L4" s="79"/>
      <c r="M4" s="390"/>
      <c r="N4" s="216"/>
      <c r="O4" s="177"/>
    </row>
    <row r="5" spans="1:27">
      <c r="A5" s="812"/>
      <c r="B5" s="813"/>
      <c r="C5" s="391" t="s">
        <v>296</v>
      </c>
      <c r="D5" s="392"/>
      <c r="E5" s="392"/>
      <c r="F5" s="392"/>
      <c r="G5" s="392"/>
      <c r="H5" s="392"/>
      <c r="I5" s="392"/>
      <c r="J5" s="30">
        <f>SUM(Z50:Z105)</f>
        <v>0</v>
      </c>
      <c r="K5" s="31">
        <f>SUM(V12:V105)</f>
        <v>1</v>
      </c>
      <c r="L5" s="217"/>
      <c r="M5" s="393"/>
      <c r="N5" s="218"/>
      <c r="O5" s="177"/>
    </row>
    <row r="6" spans="1:27">
      <c r="A6" s="812"/>
      <c r="B6" s="813"/>
      <c r="C6" s="394" t="s">
        <v>209</v>
      </c>
      <c r="D6" s="395"/>
      <c r="E6" s="395"/>
      <c r="F6" s="395"/>
      <c r="G6" s="395"/>
      <c r="H6" s="395"/>
      <c r="I6" s="395"/>
      <c r="J6" s="322" t="s">
        <v>59</v>
      </c>
      <c r="K6" s="33">
        <f>SUM(U12:U105)</f>
        <v>1</v>
      </c>
      <c r="L6" s="219"/>
      <c r="M6" s="396"/>
      <c r="N6" s="220"/>
      <c r="O6" s="177"/>
    </row>
    <row r="7" spans="1:27">
      <c r="A7" s="812"/>
      <c r="B7" s="813"/>
      <c r="C7" s="397" t="s">
        <v>210</v>
      </c>
      <c r="D7" s="398"/>
      <c r="E7" s="398"/>
      <c r="F7" s="398"/>
      <c r="G7" s="398"/>
      <c r="H7" s="398"/>
      <c r="I7" s="398"/>
      <c r="J7" s="322" t="s">
        <v>59</v>
      </c>
      <c r="K7" s="35">
        <f>SUM(T12:T105)</f>
        <v>1</v>
      </c>
      <c r="L7" s="221"/>
      <c r="M7" s="399"/>
      <c r="N7" s="222"/>
      <c r="O7" s="177"/>
    </row>
    <row r="8" spans="1:27">
      <c r="A8" s="812"/>
      <c r="B8" s="813"/>
      <c r="C8" s="228" t="s">
        <v>297</v>
      </c>
      <c r="D8" s="229"/>
      <c r="E8" s="229"/>
      <c r="F8" s="229"/>
      <c r="G8" s="229"/>
      <c r="H8" s="229"/>
      <c r="I8" s="229"/>
      <c r="J8" s="322" t="s">
        <v>59</v>
      </c>
      <c r="K8" s="230">
        <f>SUM(S12:S105)</f>
        <v>1</v>
      </c>
      <c r="L8" s="231"/>
      <c r="M8" s="232"/>
      <c r="N8" s="233"/>
      <c r="O8" s="177"/>
    </row>
    <row r="9" spans="1:27" ht="15.75" thickBot="1">
      <c r="A9" s="812"/>
      <c r="B9" s="813"/>
      <c r="C9" s="400" t="s">
        <v>59</v>
      </c>
      <c r="D9" s="401"/>
      <c r="E9" s="401"/>
      <c r="F9" s="401"/>
      <c r="G9" s="401"/>
      <c r="H9" s="401"/>
      <c r="I9" s="401"/>
      <c r="J9" s="36">
        <f>SUM(Y50:Y98)</f>
        <v>0</v>
      </c>
      <c r="K9" s="37">
        <f>SUM(R12:R105)</f>
        <v>1</v>
      </c>
      <c r="L9" s="223"/>
      <c r="M9" s="402"/>
      <c r="N9" s="224"/>
      <c r="O9" s="177"/>
    </row>
    <row r="10" spans="1:27" ht="15.75" thickBot="1">
      <c r="A10" s="812"/>
      <c r="B10" s="813"/>
      <c r="C10" s="212" t="s">
        <v>211</v>
      </c>
      <c r="D10" s="213"/>
      <c r="E10" s="213"/>
      <c r="F10" s="213"/>
      <c r="G10" s="213"/>
      <c r="H10" s="213"/>
      <c r="I10" s="213"/>
      <c r="J10" s="38">
        <f>SUM(X50:X98)</f>
        <v>0</v>
      </c>
      <c r="K10" s="39">
        <f>SUM(Q12:Q105)</f>
        <v>1</v>
      </c>
      <c r="L10" s="225"/>
      <c r="M10" s="226"/>
      <c r="N10" s="227"/>
      <c r="O10" s="177"/>
      <c r="Q10" s="797" t="s">
        <v>214</v>
      </c>
      <c r="R10" s="798"/>
      <c r="S10" s="798"/>
      <c r="T10" s="798"/>
      <c r="U10" s="798"/>
      <c r="V10" s="798"/>
      <c r="W10" s="799"/>
      <c r="X10" s="797" t="s">
        <v>206</v>
      </c>
      <c r="Y10" s="798"/>
      <c r="Z10" s="798"/>
      <c r="AA10" s="800"/>
    </row>
    <row r="11" spans="1:27">
      <c r="A11" s="812"/>
      <c r="B11" s="813"/>
      <c r="C11" s="236" t="s">
        <v>66</v>
      </c>
      <c r="D11" s="209"/>
      <c r="E11" s="209"/>
      <c r="F11" s="209"/>
      <c r="G11" s="209"/>
      <c r="H11" s="209"/>
      <c r="I11" s="209"/>
      <c r="J11" s="174">
        <f>SUM(J4:J10)</f>
        <v>0</v>
      </c>
      <c r="K11" s="175">
        <f>SUM(K4:K10)</f>
        <v>7</v>
      </c>
      <c r="L11" s="241"/>
      <c r="M11" s="242"/>
      <c r="N11" s="243"/>
      <c r="O11" s="177"/>
      <c r="Q11" s="3" t="s">
        <v>211</v>
      </c>
      <c r="R11" s="4" t="s">
        <v>59</v>
      </c>
      <c r="S11" s="4" t="s">
        <v>297</v>
      </c>
      <c r="T11" s="4" t="s">
        <v>210</v>
      </c>
      <c r="U11" s="4" t="s">
        <v>213</v>
      </c>
      <c r="V11" s="4" t="s">
        <v>296</v>
      </c>
      <c r="W11" s="5" t="s">
        <v>62</v>
      </c>
      <c r="X11" s="3" t="s">
        <v>211</v>
      </c>
      <c r="Y11" s="4" t="s">
        <v>59</v>
      </c>
      <c r="Z11" s="4" t="s">
        <v>63</v>
      </c>
      <c r="AA11" s="6" t="s">
        <v>62</v>
      </c>
    </row>
    <row r="12" spans="1:27" s="2" customFormat="1" ht="15.75" customHeight="1">
      <c r="A12" s="321"/>
      <c r="B12" s="814" t="s">
        <v>449</v>
      </c>
      <c r="C12" s="814"/>
      <c r="D12" s="814"/>
      <c r="E12" s="814"/>
      <c r="F12" s="814"/>
      <c r="G12" s="814"/>
      <c r="H12" s="814"/>
      <c r="I12" s="814"/>
      <c r="J12" s="814"/>
      <c r="K12" s="814"/>
      <c r="L12" s="814"/>
      <c r="M12" s="814"/>
      <c r="N12" s="814"/>
      <c r="O12" s="815"/>
      <c r="P12"/>
      <c r="Q12" s="9">
        <f>IF(K12="On going",1,0)</f>
        <v>0</v>
      </c>
      <c r="R12" s="10">
        <f>IF(K12="NA",1,0)</f>
        <v>0</v>
      </c>
      <c r="S12" s="10">
        <f>IF(K12="Deviation",1,0)</f>
        <v>0</v>
      </c>
      <c r="T12" s="1">
        <f>IF(K12="In analysis",1,0)</f>
        <v>0</v>
      </c>
      <c r="U12" s="1">
        <f>IF(K12="NOK minor",1,0)</f>
        <v>0</v>
      </c>
      <c r="V12" s="1">
        <f>IF(K12="NOK major",1,0)</f>
        <v>0</v>
      </c>
      <c r="W12" s="7">
        <f>IF(K12="OK",1,0)</f>
        <v>0</v>
      </c>
      <c r="X12" s="9">
        <f>IF($J12="On going",1,0)</f>
        <v>0</v>
      </c>
      <c r="Y12" s="10">
        <f>IF($J12="NA",1,0)</f>
        <v>0</v>
      </c>
      <c r="Z12" s="1">
        <f>IF($J12="NOK",1,0)</f>
        <v>0</v>
      </c>
      <c r="AA12" s="8">
        <f>IF($J12="OK",1,0)</f>
        <v>0</v>
      </c>
    </row>
    <row r="13" spans="1:27" s="2" customFormat="1">
      <c r="A13" s="321"/>
      <c r="B13" s="240" t="str">
        <f>'RFQ response'!C8</f>
        <v>C_ET_01_V</v>
      </c>
      <c r="C13" s="237" t="str">
        <f>'RFQ response'!E8</f>
        <v>Resistance to usual power supply voltages</v>
      </c>
      <c r="D13" s="74" t="str">
        <f>'RFQ response'!D8</f>
        <v>REQ-0945093</v>
      </c>
      <c r="E13" s="238" t="str">
        <f>'RFQ response'!K8</f>
        <v>OK</v>
      </c>
      <c r="F13" s="75"/>
      <c r="G13" s="74"/>
      <c r="H13" s="74"/>
      <c r="I13" s="95"/>
      <c r="J13" s="75" t="s">
        <v>57</v>
      </c>
      <c r="K13" s="74" t="s">
        <v>57</v>
      </c>
      <c r="L13" s="74"/>
      <c r="M13" s="173"/>
      <c r="N13" s="239"/>
      <c r="O13" s="239"/>
      <c r="P13"/>
      <c r="Q13" s="9">
        <f t="shared" ref="Q13:Q16" si="0">IF(K13="On going",1,0)</f>
        <v>0</v>
      </c>
      <c r="R13" s="10">
        <f t="shared" ref="R13:R16" si="1">IF(K13="NA",1,0)</f>
        <v>0</v>
      </c>
      <c r="S13" s="10">
        <f t="shared" ref="S13:S16" si="2">IF(K13="Deviation",1,0)</f>
        <v>0</v>
      </c>
      <c r="T13" s="1">
        <f t="shared" ref="T13:T16" si="3">IF(K13="In analysis",1,0)</f>
        <v>0</v>
      </c>
      <c r="U13" s="1">
        <f t="shared" ref="U13:U16" si="4">IF(K13="NOK minor",1,0)</f>
        <v>0</v>
      </c>
      <c r="V13" s="1">
        <f t="shared" ref="V13:V16" si="5">IF(K13="NOK major",1,0)</f>
        <v>0</v>
      </c>
      <c r="W13" s="7">
        <f t="shared" ref="W13:W16" si="6">IF(K13="OK",1,0)</f>
        <v>1</v>
      </c>
      <c r="X13" s="9">
        <f t="shared" ref="X13:X16" si="7">IF($J13="On going",1,0)</f>
        <v>0</v>
      </c>
      <c r="Y13" s="10">
        <f t="shared" ref="Y13:Y16" si="8">IF($J13="NA",1,0)</f>
        <v>0</v>
      </c>
      <c r="Z13" s="1">
        <f t="shared" ref="Z13:Z16" si="9">IF($J13="NOK",1,0)</f>
        <v>0</v>
      </c>
      <c r="AA13" s="8">
        <f t="shared" ref="AA13:AA16" si="10">IF($J13="OK",1,0)</f>
        <v>1</v>
      </c>
    </row>
    <row r="14" spans="1:27" s="2" customFormat="1">
      <c r="A14" s="321"/>
      <c r="B14" s="240" t="str">
        <f>'RFQ response'!C9</f>
        <v>C_ET_02_V</v>
      </c>
      <c r="C14" s="237" t="str">
        <f>'RFQ response'!E9</f>
        <v xml:space="preserve">Resistance to exceptional supply voltage </v>
      </c>
      <c r="D14" s="74" t="str">
        <f>'RFQ response'!D9</f>
        <v>REQ-0945094</v>
      </c>
      <c r="E14" s="238" t="str">
        <f>'RFQ response'!K9</f>
        <v>OK</v>
      </c>
      <c r="F14" s="75"/>
      <c r="G14" s="74"/>
      <c r="H14" s="74"/>
      <c r="I14" s="95"/>
      <c r="J14" s="75" t="s">
        <v>63</v>
      </c>
      <c r="K14" s="74" t="s">
        <v>296</v>
      </c>
      <c r="L14" s="74"/>
      <c r="M14" s="173"/>
      <c r="N14" s="239"/>
      <c r="O14" s="239"/>
      <c r="P14"/>
      <c r="Q14" s="9">
        <f t="shared" si="0"/>
        <v>0</v>
      </c>
      <c r="R14" s="10">
        <f t="shared" si="1"/>
        <v>0</v>
      </c>
      <c r="S14" s="10">
        <f t="shared" si="2"/>
        <v>0</v>
      </c>
      <c r="T14" s="1">
        <f t="shared" si="3"/>
        <v>0</v>
      </c>
      <c r="U14" s="1">
        <f t="shared" si="4"/>
        <v>0</v>
      </c>
      <c r="V14" s="1">
        <f t="shared" si="5"/>
        <v>1</v>
      </c>
      <c r="W14" s="7">
        <f t="shared" si="6"/>
        <v>0</v>
      </c>
      <c r="X14" s="9">
        <f t="shared" si="7"/>
        <v>0</v>
      </c>
      <c r="Y14" s="10">
        <f t="shared" si="8"/>
        <v>0</v>
      </c>
      <c r="Z14" s="1">
        <f t="shared" si="9"/>
        <v>1</v>
      </c>
      <c r="AA14" s="8">
        <f t="shared" si="10"/>
        <v>0</v>
      </c>
    </row>
    <row r="15" spans="1:27" s="2" customFormat="1" ht="22.5">
      <c r="A15" s="321"/>
      <c r="B15" s="240" t="str">
        <f>'RFQ response'!C10</f>
        <v>C_ET_03_V</v>
      </c>
      <c r="C15" s="237" t="str">
        <f>'RFQ response'!E10</f>
        <v>Resistance to unusual power supply voltages (U=24V)
Resistance to unusual power supply voltages (U=-14V)</v>
      </c>
      <c r="D15" s="74" t="str">
        <f>'RFQ response'!D10</f>
        <v>REQ-0945095
REQ-0945096</v>
      </c>
      <c r="E15" s="238" t="str">
        <f>'RFQ response'!K10</f>
        <v>OK</v>
      </c>
      <c r="F15" s="75"/>
      <c r="G15" s="74"/>
      <c r="H15" s="74"/>
      <c r="I15" s="95"/>
      <c r="J15" s="75" t="s">
        <v>59</v>
      </c>
      <c r="K15" s="74" t="s">
        <v>297</v>
      </c>
      <c r="L15" s="74"/>
      <c r="M15" s="173"/>
      <c r="N15" s="239"/>
      <c r="O15" s="239"/>
      <c r="P15"/>
      <c r="Q15" s="9">
        <f t="shared" si="0"/>
        <v>0</v>
      </c>
      <c r="R15" s="10">
        <f t="shared" si="1"/>
        <v>0</v>
      </c>
      <c r="S15" s="10">
        <f t="shared" si="2"/>
        <v>1</v>
      </c>
      <c r="T15" s="1">
        <f t="shared" si="3"/>
        <v>0</v>
      </c>
      <c r="U15" s="1">
        <f t="shared" si="4"/>
        <v>0</v>
      </c>
      <c r="V15" s="1">
        <f t="shared" si="5"/>
        <v>0</v>
      </c>
      <c r="W15" s="7">
        <f t="shared" si="6"/>
        <v>0</v>
      </c>
      <c r="X15" s="9">
        <f t="shared" si="7"/>
        <v>0</v>
      </c>
      <c r="Y15" s="10">
        <f t="shared" si="8"/>
        <v>1</v>
      </c>
      <c r="Z15" s="1">
        <f t="shared" si="9"/>
        <v>0</v>
      </c>
      <c r="AA15" s="8">
        <f t="shared" si="10"/>
        <v>0</v>
      </c>
    </row>
    <row r="16" spans="1:27" s="2" customFormat="1">
      <c r="A16" s="321"/>
      <c r="B16" s="240" t="str">
        <f>'RFQ response'!C11</f>
        <v>C_ET_04_V</v>
      </c>
      <c r="C16" s="237" t="str">
        <f>'RFQ response'!E11</f>
        <v xml:space="preserve">Resistance to slow decrease and increase of supply voltage </v>
      </c>
      <c r="D16" s="74" t="str">
        <f>'RFQ response'!D11</f>
        <v>REQ-0945097</v>
      </c>
      <c r="E16" s="238" t="str">
        <f>'RFQ response'!K11</f>
        <v>OK</v>
      </c>
      <c r="F16" s="75"/>
      <c r="G16" s="74"/>
      <c r="H16" s="74"/>
      <c r="I16" s="95"/>
      <c r="J16" s="75" t="s">
        <v>211</v>
      </c>
      <c r="K16" s="74" t="s">
        <v>209</v>
      </c>
      <c r="L16" s="74"/>
      <c r="M16" s="173"/>
      <c r="N16" s="239"/>
      <c r="O16" s="239"/>
      <c r="P16"/>
      <c r="Q16" s="9">
        <f t="shared" si="0"/>
        <v>0</v>
      </c>
      <c r="R16" s="10">
        <f t="shared" si="1"/>
        <v>0</v>
      </c>
      <c r="S16" s="10">
        <f t="shared" si="2"/>
        <v>0</v>
      </c>
      <c r="T16" s="1">
        <f t="shared" si="3"/>
        <v>0</v>
      </c>
      <c r="U16" s="1">
        <f t="shared" si="4"/>
        <v>1</v>
      </c>
      <c r="V16" s="1">
        <f t="shared" si="5"/>
        <v>0</v>
      </c>
      <c r="W16" s="7">
        <f t="shared" si="6"/>
        <v>0</v>
      </c>
      <c r="X16" s="9">
        <f t="shared" si="7"/>
        <v>1</v>
      </c>
      <c r="Y16" s="10">
        <f t="shared" si="8"/>
        <v>0</v>
      </c>
      <c r="Z16" s="1">
        <f t="shared" si="9"/>
        <v>0</v>
      </c>
      <c r="AA16" s="8">
        <f t="shared" si="10"/>
        <v>0</v>
      </c>
    </row>
    <row r="17" spans="1:27" s="2" customFormat="1">
      <c r="A17" s="321"/>
      <c r="B17" s="240" t="str">
        <f>'RFQ response'!C12</f>
        <v>C_ET_05_V</v>
      </c>
      <c r="C17" s="237" t="str">
        <f>'RFQ response'!E12</f>
        <v>Reset behavior at voltage drop</v>
      </c>
      <c r="D17" s="74" t="str">
        <f>'RFQ response'!D12</f>
        <v>REQ-0945098</v>
      </c>
      <c r="E17" s="238" t="str">
        <f>'RFQ response'!K12</f>
        <v>OK</v>
      </c>
      <c r="F17" s="75"/>
      <c r="G17" s="74"/>
      <c r="H17" s="74"/>
      <c r="I17" s="95"/>
      <c r="J17" s="75"/>
      <c r="K17" s="74" t="s">
        <v>210</v>
      </c>
      <c r="L17" s="74"/>
      <c r="M17" s="173"/>
      <c r="N17" s="239"/>
      <c r="O17" s="239"/>
      <c r="P17"/>
      <c r="Q17" s="9">
        <f t="shared" ref="Q17:Q32" si="11">IF(K17="On going",1,0)</f>
        <v>0</v>
      </c>
      <c r="R17" s="10">
        <f t="shared" ref="R17:R32" si="12">IF(K17="NA",1,0)</f>
        <v>0</v>
      </c>
      <c r="S17" s="10">
        <f t="shared" ref="S17:S32" si="13">IF(K17="Deviation",1,0)</f>
        <v>0</v>
      </c>
      <c r="T17" s="1">
        <f t="shared" ref="T17:T32" si="14">IF(K17="In analysis",1,0)</f>
        <v>1</v>
      </c>
      <c r="U17" s="1">
        <f t="shared" ref="U17:U32" si="15">IF(K17="NOK minor",1,0)</f>
        <v>0</v>
      </c>
      <c r="V17" s="1">
        <f t="shared" ref="V17:V32" si="16">IF(K17="NOK major",1,0)</f>
        <v>0</v>
      </c>
      <c r="W17" s="7">
        <f t="shared" ref="W17:W32" si="17">IF(K17="OK",1,0)</f>
        <v>0</v>
      </c>
      <c r="X17" s="9">
        <f t="shared" ref="X17:X32" si="18">IF($J17="On going",1,0)</f>
        <v>0</v>
      </c>
      <c r="Y17" s="10">
        <f t="shared" ref="Y17:Y32" si="19">IF($J17="NA",1,0)</f>
        <v>0</v>
      </c>
      <c r="Z17" s="1">
        <f t="shared" ref="Z17:Z32" si="20">IF($J17="NOK",1,0)</f>
        <v>0</v>
      </c>
      <c r="AA17" s="8">
        <f t="shared" ref="AA17:AA32" si="21">IF($J17="OK",1,0)</f>
        <v>0</v>
      </c>
    </row>
    <row r="18" spans="1:27" s="2" customFormat="1">
      <c r="A18" s="321"/>
      <c r="B18" s="240" t="str">
        <f>'RFQ response'!C13</f>
        <v>C_ET_06_V</v>
      </c>
      <c r="C18" s="237" t="str">
        <f>'RFQ response'!E13</f>
        <v>Supply voltage drop out</v>
      </c>
      <c r="D18" s="74" t="str">
        <f>'RFQ response'!D13</f>
        <v>REQ-0945099</v>
      </c>
      <c r="E18" s="238" t="str">
        <f>'RFQ response'!K13</f>
        <v>OK</v>
      </c>
      <c r="F18" s="75"/>
      <c r="G18" s="74"/>
      <c r="H18" s="74"/>
      <c r="I18" s="95"/>
      <c r="J18" s="75"/>
      <c r="K18" s="74" t="s">
        <v>59</v>
      </c>
      <c r="L18" s="74"/>
      <c r="M18" s="173"/>
      <c r="N18" s="239"/>
      <c r="O18" s="239"/>
      <c r="P18"/>
      <c r="Q18" s="9">
        <f t="shared" si="11"/>
        <v>0</v>
      </c>
      <c r="R18" s="10">
        <f t="shared" si="12"/>
        <v>1</v>
      </c>
      <c r="S18" s="10">
        <f t="shared" si="13"/>
        <v>0</v>
      </c>
      <c r="T18" s="1">
        <f t="shared" si="14"/>
        <v>0</v>
      </c>
      <c r="U18" s="1">
        <f t="shared" si="15"/>
        <v>0</v>
      </c>
      <c r="V18" s="1">
        <f t="shared" si="16"/>
        <v>0</v>
      </c>
      <c r="W18" s="7">
        <f t="shared" si="17"/>
        <v>0</v>
      </c>
      <c r="X18" s="9">
        <f t="shared" si="18"/>
        <v>0</v>
      </c>
      <c r="Y18" s="10">
        <f t="shared" si="19"/>
        <v>0</v>
      </c>
      <c r="Z18" s="1">
        <f t="shared" si="20"/>
        <v>0</v>
      </c>
      <c r="AA18" s="8">
        <f t="shared" si="21"/>
        <v>0</v>
      </c>
    </row>
    <row r="19" spans="1:27" s="2" customFormat="1">
      <c r="A19" s="321"/>
      <c r="B19" s="240" t="str">
        <f>'RFQ response'!C14</f>
        <v>C_ET_07_V</v>
      </c>
      <c r="C19" s="237" t="str">
        <f>'RFQ response'!E14</f>
        <v>Supply voltage dips</v>
      </c>
      <c r="D19" s="74" t="str">
        <f>'RFQ response'!D14</f>
        <v>REQ-0945100</v>
      </c>
      <c r="E19" s="238" t="str">
        <f>'RFQ response'!K14</f>
        <v>OK</v>
      </c>
      <c r="F19" s="75"/>
      <c r="G19" s="74"/>
      <c r="H19" s="74"/>
      <c r="I19" s="95"/>
      <c r="J19" s="75"/>
      <c r="K19" s="74" t="s">
        <v>211</v>
      </c>
      <c r="L19" s="74"/>
      <c r="M19" s="173"/>
      <c r="N19" s="239"/>
      <c r="O19" s="239"/>
      <c r="P19"/>
      <c r="Q19" s="9">
        <f t="shared" si="11"/>
        <v>1</v>
      </c>
      <c r="R19" s="10">
        <f t="shared" si="12"/>
        <v>0</v>
      </c>
      <c r="S19" s="10">
        <f t="shared" si="13"/>
        <v>0</v>
      </c>
      <c r="T19" s="1">
        <f t="shared" si="14"/>
        <v>0</v>
      </c>
      <c r="U19" s="1">
        <f t="shared" si="15"/>
        <v>0</v>
      </c>
      <c r="V19" s="1">
        <f t="shared" si="16"/>
        <v>0</v>
      </c>
      <c r="W19" s="7">
        <f t="shared" si="17"/>
        <v>0</v>
      </c>
      <c r="X19" s="9">
        <f t="shared" si="18"/>
        <v>0</v>
      </c>
      <c r="Y19" s="10">
        <f t="shared" si="19"/>
        <v>0</v>
      </c>
      <c r="Z19" s="1">
        <f t="shared" si="20"/>
        <v>0</v>
      </c>
      <c r="AA19" s="8">
        <f t="shared" si="21"/>
        <v>0</v>
      </c>
    </row>
    <row r="20" spans="1:27" s="2" customFormat="1">
      <c r="A20" s="321"/>
      <c r="B20" s="240" t="str">
        <f>'RFQ response'!C15</f>
        <v>C_ET_08_V</v>
      </c>
      <c r="C20" s="237" t="str">
        <f>'RFQ response'!E15</f>
        <v>Supply voltage ripple</v>
      </c>
      <c r="D20" s="74" t="str">
        <f>'RFQ response'!D15</f>
        <v>REQ-0945101</v>
      </c>
      <c r="E20" s="238" t="str">
        <f>'RFQ response'!K15</f>
        <v>OK</v>
      </c>
      <c r="F20" s="75"/>
      <c r="G20" s="74"/>
      <c r="H20" s="74"/>
      <c r="I20" s="95"/>
      <c r="J20" s="75"/>
      <c r="K20" s="74"/>
      <c r="L20" s="74"/>
      <c r="M20" s="173"/>
      <c r="N20" s="239"/>
      <c r="O20" s="239"/>
      <c r="P20"/>
      <c r="Q20" s="9">
        <f t="shared" si="11"/>
        <v>0</v>
      </c>
      <c r="R20" s="10">
        <f t="shared" si="12"/>
        <v>0</v>
      </c>
      <c r="S20" s="10">
        <f t="shared" si="13"/>
        <v>0</v>
      </c>
      <c r="T20" s="1">
        <f t="shared" si="14"/>
        <v>0</v>
      </c>
      <c r="U20" s="1">
        <f t="shared" si="15"/>
        <v>0</v>
      </c>
      <c r="V20" s="1">
        <f t="shared" si="16"/>
        <v>0</v>
      </c>
      <c r="W20" s="7">
        <f t="shared" si="17"/>
        <v>0</v>
      </c>
      <c r="X20" s="9">
        <f t="shared" si="18"/>
        <v>0</v>
      </c>
      <c r="Y20" s="10">
        <f t="shared" si="19"/>
        <v>0</v>
      </c>
      <c r="Z20" s="1">
        <f t="shared" si="20"/>
        <v>0</v>
      </c>
      <c r="AA20" s="8">
        <f t="shared" si="21"/>
        <v>0</v>
      </c>
    </row>
    <row r="21" spans="1:27" s="2" customFormat="1">
      <c r="A21" s="321"/>
      <c r="B21" s="240" t="str">
        <f>'RFQ response'!C16</f>
        <v>C_ET_09_V</v>
      </c>
      <c r="C21" s="237" t="str">
        <f>'RFQ response'!E16</f>
        <v>Resistance to the “Volt Control” voltage pulse</v>
      </c>
      <c r="D21" s="74" t="str">
        <f>'RFQ response'!D16</f>
        <v>REQ-0945102</v>
      </c>
      <c r="E21" s="238" t="str">
        <f>'RFQ response'!K16</f>
        <v>OK</v>
      </c>
      <c r="F21" s="75"/>
      <c r="G21" s="74"/>
      <c r="H21" s="74"/>
      <c r="I21" s="95"/>
      <c r="J21" s="75"/>
      <c r="K21" s="74"/>
      <c r="L21" s="74"/>
      <c r="M21" s="173"/>
      <c r="N21" s="239"/>
      <c r="O21" s="239"/>
      <c r="P21"/>
      <c r="Q21" s="9">
        <f t="shared" si="11"/>
        <v>0</v>
      </c>
      <c r="R21" s="10">
        <f t="shared" si="12"/>
        <v>0</v>
      </c>
      <c r="S21" s="10">
        <f t="shared" si="13"/>
        <v>0</v>
      </c>
      <c r="T21" s="1">
        <f t="shared" si="14"/>
        <v>0</v>
      </c>
      <c r="U21" s="1">
        <f t="shared" si="15"/>
        <v>0</v>
      </c>
      <c r="V21" s="1">
        <f t="shared" si="16"/>
        <v>0</v>
      </c>
      <c r="W21" s="7">
        <f t="shared" si="17"/>
        <v>0</v>
      </c>
      <c r="X21" s="9">
        <f t="shared" si="18"/>
        <v>0</v>
      </c>
      <c r="Y21" s="10">
        <f t="shared" si="19"/>
        <v>0</v>
      </c>
      <c r="Z21" s="1">
        <f t="shared" si="20"/>
        <v>0</v>
      </c>
      <c r="AA21" s="8">
        <f t="shared" si="21"/>
        <v>0</v>
      </c>
    </row>
    <row r="22" spans="1:27" s="2" customFormat="1">
      <c r="A22" s="321"/>
      <c r="B22" s="240" t="str">
        <f>'RFQ response'!C17</f>
        <v>C_ET_10_V</v>
      </c>
      <c r="C22" s="237" t="str">
        <f>'RFQ response'!E17</f>
        <v>Ignition off draw (IOD)</v>
      </c>
      <c r="D22" s="74" t="str">
        <f>'RFQ response'!D17</f>
        <v>REQ-0945103</v>
      </c>
      <c r="E22" s="238" t="str">
        <f>'RFQ response'!K17</f>
        <v>OK</v>
      </c>
      <c r="F22" s="75"/>
      <c r="G22" s="74"/>
      <c r="H22" s="74"/>
      <c r="I22" s="95"/>
      <c r="J22" s="75"/>
      <c r="K22" s="74"/>
      <c r="L22" s="74"/>
      <c r="M22" s="173"/>
      <c r="N22" s="239"/>
      <c r="O22" s="239"/>
      <c r="P22"/>
      <c r="Q22" s="9">
        <f t="shared" si="11"/>
        <v>0</v>
      </c>
      <c r="R22" s="10">
        <f t="shared" si="12"/>
        <v>0</v>
      </c>
      <c r="S22" s="10">
        <f t="shared" si="13"/>
        <v>0</v>
      </c>
      <c r="T22" s="1">
        <f t="shared" si="14"/>
        <v>0</v>
      </c>
      <c r="U22" s="1">
        <f t="shared" si="15"/>
        <v>0</v>
      </c>
      <c r="V22" s="1">
        <f t="shared" si="16"/>
        <v>0</v>
      </c>
      <c r="W22" s="7">
        <f t="shared" si="17"/>
        <v>0</v>
      </c>
      <c r="X22" s="9">
        <f t="shared" si="18"/>
        <v>0</v>
      </c>
      <c r="Y22" s="10">
        <f t="shared" si="19"/>
        <v>0</v>
      </c>
      <c r="Z22" s="1">
        <f t="shared" si="20"/>
        <v>0</v>
      </c>
      <c r="AA22" s="8">
        <f t="shared" si="21"/>
        <v>0</v>
      </c>
    </row>
    <row r="23" spans="1:27" s="2" customFormat="1">
      <c r="A23" s="321"/>
      <c r="B23" s="240" t="str">
        <f>'RFQ response'!C18</f>
        <v>C_ET_11_V</v>
      </c>
      <c r="C23" s="237" t="str">
        <f>'RFQ response'!E18</f>
        <v>Immunity to potential difference between power supply</v>
      </c>
      <c r="D23" s="74" t="str">
        <f>'RFQ response'!D18</f>
        <v xml:space="preserve"> -</v>
      </c>
      <c r="E23" s="238" t="str">
        <f>'RFQ response'!K18</f>
        <v>NA</v>
      </c>
      <c r="F23" s="75"/>
      <c r="G23" s="74"/>
      <c r="H23" s="74"/>
      <c r="I23" s="95"/>
      <c r="J23" s="75"/>
      <c r="K23" s="74"/>
      <c r="L23" s="74"/>
      <c r="M23" s="173"/>
      <c r="N23" s="239"/>
      <c r="O23" s="239"/>
      <c r="P23"/>
      <c r="Q23" s="9">
        <f t="shared" si="11"/>
        <v>0</v>
      </c>
      <c r="R23" s="10">
        <f t="shared" si="12"/>
        <v>0</v>
      </c>
      <c r="S23" s="10">
        <f t="shared" si="13"/>
        <v>0</v>
      </c>
      <c r="T23" s="1">
        <f t="shared" si="14"/>
        <v>0</v>
      </c>
      <c r="U23" s="1">
        <f t="shared" si="15"/>
        <v>0</v>
      </c>
      <c r="V23" s="1">
        <f t="shared" si="16"/>
        <v>0</v>
      </c>
      <c r="W23" s="7">
        <f t="shared" si="17"/>
        <v>0</v>
      </c>
      <c r="X23" s="9">
        <f t="shared" si="18"/>
        <v>0</v>
      </c>
      <c r="Y23" s="10">
        <f t="shared" si="19"/>
        <v>0</v>
      </c>
      <c r="Z23" s="1">
        <f t="shared" si="20"/>
        <v>0</v>
      </c>
      <c r="AA23" s="8">
        <f t="shared" si="21"/>
        <v>0</v>
      </c>
    </row>
    <row r="24" spans="1:27" s="2" customFormat="1">
      <c r="A24" s="321"/>
      <c r="B24" s="240" t="str">
        <f>'RFQ response'!C19</f>
        <v>C_ET_12_V</v>
      </c>
      <c r="C24" s="237" t="str">
        <f>'RFQ response'!E19</f>
        <v>Immunity to ground and supply voltage short circuit</v>
      </c>
      <c r="D24" s="74" t="str">
        <f>'RFQ response'!D19</f>
        <v>REQ-0945105</v>
      </c>
      <c r="E24" s="238" t="str">
        <f>'RFQ response'!K19</f>
        <v>OK</v>
      </c>
      <c r="F24" s="75"/>
      <c r="G24" s="74"/>
      <c r="H24" s="74"/>
      <c r="I24" s="95"/>
      <c r="J24" s="75"/>
      <c r="K24" s="74"/>
      <c r="L24" s="74"/>
      <c r="M24" s="173"/>
      <c r="N24" s="239"/>
      <c r="O24" s="239"/>
      <c r="P24"/>
      <c r="Q24" s="9">
        <f t="shared" si="11"/>
        <v>0</v>
      </c>
      <c r="R24" s="10">
        <f t="shared" si="12"/>
        <v>0</v>
      </c>
      <c r="S24" s="10">
        <f t="shared" si="13"/>
        <v>0</v>
      </c>
      <c r="T24" s="1">
        <f t="shared" si="14"/>
        <v>0</v>
      </c>
      <c r="U24" s="1">
        <f t="shared" si="15"/>
        <v>0</v>
      </c>
      <c r="V24" s="1">
        <f t="shared" si="16"/>
        <v>0</v>
      </c>
      <c r="W24" s="7">
        <f t="shared" si="17"/>
        <v>0</v>
      </c>
      <c r="X24" s="9">
        <f t="shared" si="18"/>
        <v>0</v>
      </c>
      <c r="Y24" s="10">
        <f t="shared" si="19"/>
        <v>0</v>
      </c>
      <c r="Z24" s="1">
        <f t="shared" si="20"/>
        <v>0</v>
      </c>
      <c r="AA24" s="8">
        <f t="shared" si="21"/>
        <v>0</v>
      </c>
    </row>
    <row r="25" spans="1:27" s="2" customFormat="1">
      <c r="A25" s="321"/>
      <c r="B25" s="240" t="str">
        <f>'RFQ response'!C20</f>
        <v>C_TE_01_V</v>
      </c>
      <c r="C25" s="237" t="str">
        <f>'RFQ response'!E20</f>
        <v>Conducted transient emission</v>
      </c>
      <c r="D25" s="74" t="str">
        <f>'RFQ response'!D20</f>
        <v xml:space="preserve"> -</v>
      </c>
      <c r="E25" s="238" t="str">
        <f>'RFQ response'!K20</f>
        <v>NA</v>
      </c>
      <c r="F25" s="75"/>
      <c r="G25" s="74"/>
      <c r="H25" s="74"/>
      <c r="I25" s="95"/>
      <c r="J25" s="75"/>
      <c r="K25" s="74"/>
      <c r="L25" s="74"/>
      <c r="M25" s="173"/>
      <c r="N25" s="239"/>
      <c r="O25" s="239"/>
      <c r="P25"/>
      <c r="Q25" s="9">
        <f t="shared" si="11"/>
        <v>0</v>
      </c>
      <c r="R25" s="10">
        <f t="shared" si="12"/>
        <v>0</v>
      </c>
      <c r="S25" s="10">
        <f t="shared" si="13"/>
        <v>0</v>
      </c>
      <c r="T25" s="1">
        <f t="shared" si="14"/>
        <v>0</v>
      </c>
      <c r="U25" s="1">
        <f t="shared" si="15"/>
        <v>0</v>
      </c>
      <c r="V25" s="1">
        <f t="shared" si="16"/>
        <v>0</v>
      </c>
      <c r="W25" s="7">
        <f t="shared" si="17"/>
        <v>0</v>
      </c>
      <c r="X25" s="9">
        <f t="shared" si="18"/>
        <v>0</v>
      </c>
      <c r="Y25" s="10">
        <f t="shared" si="19"/>
        <v>0</v>
      </c>
      <c r="Z25" s="1">
        <f t="shared" si="20"/>
        <v>0</v>
      </c>
      <c r="AA25" s="8">
        <f t="shared" si="21"/>
        <v>0</v>
      </c>
    </row>
    <row r="26" spans="1:27" s="2" customFormat="1">
      <c r="A26" s="321"/>
      <c r="B26" s="240" t="str">
        <f>'RFQ response'!C21</f>
        <v>C_TI_01_V</v>
      </c>
      <c r="C26" s="237" t="str">
        <f>'RFQ response'!E21</f>
        <v xml:space="preserve">Transient pulses - Pulses 1 and 2a </v>
      </c>
      <c r="D26" s="74" t="str">
        <f>'RFQ response'!D21</f>
        <v>REQ-0945106</v>
      </c>
      <c r="E26" s="238" t="str">
        <f>'RFQ response'!K21</f>
        <v>OK</v>
      </c>
      <c r="F26" s="75"/>
      <c r="G26" s="74"/>
      <c r="H26" s="74"/>
      <c r="I26" s="95"/>
      <c r="J26" s="75"/>
      <c r="K26" s="74"/>
      <c r="L26" s="74"/>
      <c r="M26" s="173"/>
      <c r="N26" s="239"/>
      <c r="O26" s="239"/>
      <c r="P26"/>
      <c r="Q26" s="9">
        <f t="shared" si="11"/>
        <v>0</v>
      </c>
      <c r="R26" s="10">
        <f t="shared" si="12"/>
        <v>0</v>
      </c>
      <c r="S26" s="10">
        <f t="shared" si="13"/>
        <v>0</v>
      </c>
      <c r="T26" s="1">
        <f t="shared" si="14"/>
        <v>0</v>
      </c>
      <c r="U26" s="1">
        <f t="shared" si="15"/>
        <v>0</v>
      </c>
      <c r="V26" s="1">
        <f t="shared" si="16"/>
        <v>0</v>
      </c>
      <c r="W26" s="7">
        <f t="shared" si="17"/>
        <v>0</v>
      </c>
      <c r="X26" s="9">
        <f t="shared" si="18"/>
        <v>0</v>
      </c>
      <c r="Y26" s="10">
        <f t="shared" si="19"/>
        <v>0</v>
      </c>
      <c r="Z26" s="1">
        <f t="shared" si="20"/>
        <v>0</v>
      </c>
      <c r="AA26" s="8">
        <f t="shared" si="21"/>
        <v>0</v>
      </c>
    </row>
    <row r="27" spans="1:27" s="2" customFormat="1">
      <c r="A27" s="321"/>
      <c r="B27" s="240" t="str">
        <f>'RFQ response'!C22</f>
        <v>C_TI_02_V</v>
      </c>
      <c r="C27" s="237" t="str">
        <f>'RFQ response'!E22</f>
        <v xml:space="preserve">Transient pulses - Pulses 3a and 3b </v>
      </c>
      <c r="D27" s="74" t="str">
        <f>'RFQ response'!D22</f>
        <v>REQ-0945107</v>
      </c>
      <c r="E27" s="238" t="str">
        <f>'RFQ response'!K22</f>
        <v>OK</v>
      </c>
      <c r="F27" s="75"/>
      <c r="G27" s="74"/>
      <c r="H27" s="74"/>
      <c r="I27" s="95"/>
      <c r="J27" s="75"/>
      <c r="K27" s="74"/>
      <c r="L27" s="74"/>
      <c r="M27" s="173"/>
      <c r="N27" s="239"/>
      <c r="O27" s="239"/>
      <c r="P27"/>
      <c r="Q27" s="9">
        <f t="shared" si="11"/>
        <v>0</v>
      </c>
      <c r="R27" s="10">
        <f t="shared" si="12"/>
        <v>0</v>
      </c>
      <c r="S27" s="10">
        <f t="shared" si="13"/>
        <v>0</v>
      </c>
      <c r="T27" s="1">
        <f t="shared" si="14"/>
        <v>0</v>
      </c>
      <c r="U27" s="1">
        <f t="shared" si="15"/>
        <v>0</v>
      </c>
      <c r="V27" s="1">
        <f t="shared" si="16"/>
        <v>0</v>
      </c>
      <c r="W27" s="7">
        <f t="shared" si="17"/>
        <v>0</v>
      </c>
      <c r="X27" s="9">
        <f t="shared" si="18"/>
        <v>0</v>
      </c>
      <c r="Y27" s="10">
        <f t="shared" si="19"/>
        <v>0</v>
      </c>
      <c r="Z27" s="1">
        <f t="shared" si="20"/>
        <v>0</v>
      </c>
      <c r="AA27" s="8">
        <f t="shared" si="21"/>
        <v>0</v>
      </c>
    </row>
    <row r="28" spans="1:27" s="2" customFormat="1">
      <c r="A28" s="321"/>
      <c r="B28" s="240" t="str">
        <f>'RFQ response'!C23</f>
        <v>C_TI_03_V</v>
      </c>
      <c r="C28" s="237" t="str">
        <f>'RFQ response'!E23</f>
        <v>Engine cold and warm cranking – Pulse 4 bis</v>
      </c>
      <c r="D28" s="74" t="str">
        <f>'RFQ response'!D23</f>
        <v>REQ-0945108</v>
      </c>
      <c r="E28" s="238" t="str">
        <f>'RFQ response'!K23</f>
        <v>OK</v>
      </c>
      <c r="F28" s="75"/>
      <c r="G28" s="74"/>
      <c r="H28" s="74"/>
      <c r="I28" s="95"/>
      <c r="J28" s="75"/>
      <c r="K28" s="74"/>
      <c r="L28" s="74"/>
      <c r="M28" s="173"/>
      <c r="N28" s="239"/>
      <c r="O28" s="239"/>
      <c r="P28"/>
      <c r="Q28" s="9">
        <f t="shared" si="11"/>
        <v>0</v>
      </c>
      <c r="R28" s="10">
        <f t="shared" si="12"/>
        <v>0</v>
      </c>
      <c r="S28" s="10">
        <f t="shared" si="13"/>
        <v>0</v>
      </c>
      <c r="T28" s="1">
        <f t="shared" si="14"/>
        <v>0</v>
      </c>
      <c r="U28" s="1">
        <f t="shared" si="15"/>
        <v>0</v>
      </c>
      <c r="V28" s="1">
        <f t="shared" si="16"/>
        <v>0</v>
      </c>
      <c r="W28" s="7">
        <f t="shared" si="17"/>
        <v>0</v>
      </c>
      <c r="X28" s="9">
        <f t="shared" si="18"/>
        <v>0</v>
      </c>
      <c r="Y28" s="10">
        <f t="shared" si="19"/>
        <v>0</v>
      </c>
      <c r="Z28" s="1">
        <f t="shared" si="20"/>
        <v>0</v>
      </c>
      <c r="AA28" s="8">
        <f t="shared" si="21"/>
        <v>0</v>
      </c>
    </row>
    <row r="29" spans="1:27" s="2" customFormat="1">
      <c r="A29" s="321"/>
      <c r="B29" s="240" t="str">
        <f>'RFQ response'!C24</f>
        <v>C_TI_04_V</v>
      </c>
      <c r="C29" s="237" t="str">
        <f>'RFQ response'!E24</f>
        <v xml:space="preserve">Resistance to load dump </v>
      </c>
      <c r="D29" s="74" t="str">
        <f>'RFQ response'!D24</f>
        <v>REQ-0945109</v>
      </c>
      <c r="E29" s="238" t="str">
        <f>'RFQ response'!K24</f>
        <v>OK</v>
      </c>
      <c r="F29" s="75"/>
      <c r="G29" s="74"/>
      <c r="H29" s="74"/>
      <c r="I29" s="95"/>
      <c r="J29" s="75"/>
      <c r="K29" s="74"/>
      <c r="L29" s="74"/>
      <c r="M29" s="173"/>
      <c r="N29" s="239"/>
      <c r="O29" s="239"/>
      <c r="P29"/>
      <c r="Q29" s="9">
        <f t="shared" si="11"/>
        <v>0</v>
      </c>
      <c r="R29" s="10">
        <f t="shared" si="12"/>
        <v>0</v>
      </c>
      <c r="S29" s="10">
        <f t="shared" si="13"/>
        <v>0</v>
      </c>
      <c r="T29" s="1">
        <f t="shared" si="14"/>
        <v>0</v>
      </c>
      <c r="U29" s="1">
        <f t="shared" si="15"/>
        <v>0</v>
      </c>
      <c r="V29" s="1">
        <f t="shared" si="16"/>
        <v>0</v>
      </c>
      <c r="W29" s="7">
        <f t="shared" si="17"/>
        <v>0</v>
      </c>
      <c r="X29" s="9">
        <f t="shared" si="18"/>
        <v>0</v>
      </c>
      <c r="Y29" s="10">
        <f t="shared" si="19"/>
        <v>0</v>
      </c>
      <c r="Z29" s="1">
        <f t="shared" si="20"/>
        <v>0</v>
      </c>
      <c r="AA29" s="8">
        <f t="shared" si="21"/>
        <v>0</v>
      </c>
    </row>
    <row r="30" spans="1:27" s="2" customFormat="1">
      <c r="A30" s="321"/>
      <c r="B30" s="240" t="str">
        <f>'RFQ response'!C25</f>
        <v>C_TI_05_V</v>
      </c>
      <c r="C30" s="237" t="str">
        <f>'RFQ response'!E25</f>
        <v xml:space="preserve">Immunity to transients on signal lines – CCC method </v>
      </c>
      <c r="D30" s="74" t="str">
        <f>'RFQ response'!D25</f>
        <v>REQ-0945110</v>
      </c>
      <c r="E30" s="238" t="str">
        <f>'RFQ response'!K25</f>
        <v>OK</v>
      </c>
      <c r="F30" s="75"/>
      <c r="G30" s="74"/>
      <c r="H30" s="74"/>
      <c r="I30" s="95"/>
      <c r="J30" s="75"/>
      <c r="K30" s="74"/>
      <c r="L30" s="74"/>
      <c r="M30" s="173"/>
      <c r="N30" s="239"/>
      <c r="O30" s="239"/>
      <c r="P30"/>
      <c r="Q30" s="9">
        <f t="shared" si="11"/>
        <v>0</v>
      </c>
      <c r="R30" s="10">
        <f t="shared" si="12"/>
        <v>0</v>
      </c>
      <c r="S30" s="10">
        <f t="shared" si="13"/>
        <v>0</v>
      </c>
      <c r="T30" s="1">
        <f t="shared" si="14"/>
        <v>0</v>
      </c>
      <c r="U30" s="1">
        <f t="shared" si="15"/>
        <v>0</v>
      </c>
      <c r="V30" s="1">
        <f t="shared" si="16"/>
        <v>0</v>
      </c>
      <c r="W30" s="7">
        <f t="shared" si="17"/>
        <v>0</v>
      </c>
      <c r="X30" s="9">
        <f t="shared" si="18"/>
        <v>0</v>
      </c>
      <c r="Y30" s="10">
        <f t="shared" si="19"/>
        <v>0</v>
      </c>
      <c r="Z30" s="1">
        <f t="shared" si="20"/>
        <v>0</v>
      </c>
      <c r="AA30" s="8">
        <f t="shared" si="21"/>
        <v>0</v>
      </c>
    </row>
    <row r="31" spans="1:27" s="2" customFormat="1" ht="22.5">
      <c r="A31" s="321"/>
      <c r="B31" s="240" t="str">
        <f>'RFQ response'!C26</f>
        <v>C_TI_06_V</v>
      </c>
      <c r="C31" s="237" t="str">
        <f>'RFQ response'!E26</f>
        <v>Transient pulses – Immunity of input / outputs connected to inductive and / or locally grounded load - Pulses A2-1 and A2-2</v>
      </c>
      <c r="D31" s="74" t="str">
        <f>'RFQ response'!D26</f>
        <v>REQ-0945111</v>
      </c>
      <c r="E31" s="238" t="str">
        <f>'RFQ response'!K26</f>
        <v>NA</v>
      </c>
      <c r="F31" s="75"/>
      <c r="G31" s="74"/>
      <c r="H31" s="74"/>
      <c r="I31" s="95"/>
      <c r="J31" s="75"/>
      <c r="K31" s="74"/>
      <c r="L31" s="74"/>
      <c r="M31" s="173"/>
      <c r="N31" s="239"/>
      <c r="O31" s="239"/>
      <c r="P31"/>
      <c r="Q31" s="9">
        <f t="shared" si="11"/>
        <v>0</v>
      </c>
      <c r="R31" s="10">
        <f t="shared" si="12"/>
        <v>0</v>
      </c>
      <c r="S31" s="10">
        <f t="shared" si="13"/>
        <v>0</v>
      </c>
      <c r="T31" s="1">
        <f t="shared" si="14"/>
        <v>0</v>
      </c>
      <c r="U31" s="1">
        <f t="shared" si="15"/>
        <v>0</v>
      </c>
      <c r="V31" s="1">
        <f t="shared" si="16"/>
        <v>0</v>
      </c>
      <c r="W31" s="7">
        <f t="shared" si="17"/>
        <v>0</v>
      </c>
      <c r="X31" s="9">
        <f t="shared" si="18"/>
        <v>0</v>
      </c>
      <c r="Y31" s="10">
        <f t="shared" si="19"/>
        <v>0</v>
      </c>
      <c r="Z31" s="1">
        <f t="shared" si="20"/>
        <v>0</v>
      </c>
      <c r="AA31" s="8">
        <f t="shared" si="21"/>
        <v>0</v>
      </c>
    </row>
    <row r="32" spans="1:27" s="2" customFormat="1">
      <c r="A32" s="321"/>
      <c r="B32" s="240" t="str">
        <f>'RFQ response'!C27</f>
        <v>C_TI_07_V</v>
      </c>
      <c r="C32" s="237" t="str">
        <f>'RFQ response'!E27</f>
        <v>Transient pulses – Immunity to the transients with wire to wire coupling</v>
      </c>
      <c r="D32" s="74" t="str">
        <f>'RFQ response'!D27</f>
        <v>REQ-0945112</v>
      </c>
      <c r="E32" s="238" t="str">
        <f>'RFQ response'!K27</f>
        <v>OK</v>
      </c>
      <c r="F32" s="75"/>
      <c r="G32" s="74"/>
      <c r="H32" s="74"/>
      <c r="I32" s="95"/>
      <c r="J32" s="75"/>
      <c r="K32" s="74"/>
      <c r="L32" s="74"/>
      <c r="M32" s="173"/>
      <c r="N32" s="239"/>
      <c r="O32" s="239"/>
      <c r="P32"/>
      <c r="Q32" s="9">
        <f t="shared" si="11"/>
        <v>0</v>
      </c>
      <c r="R32" s="10">
        <f t="shared" si="12"/>
        <v>0</v>
      </c>
      <c r="S32" s="10">
        <f t="shared" si="13"/>
        <v>0</v>
      </c>
      <c r="T32" s="1">
        <f t="shared" si="14"/>
        <v>0</v>
      </c>
      <c r="U32" s="1">
        <f t="shared" si="15"/>
        <v>0</v>
      </c>
      <c r="V32" s="1">
        <f t="shared" si="16"/>
        <v>0</v>
      </c>
      <c r="W32" s="7">
        <f t="shared" si="17"/>
        <v>0</v>
      </c>
      <c r="X32" s="9">
        <f t="shared" si="18"/>
        <v>0</v>
      </c>
      <c r="Y32" s="10">
        <f t="shared" si="19"/>
        <v>0</v>
      </c>
      <c r="Z32" s="1">
        <f t="shared" si="20"/>
        <v>0</v>
      </c>
      <c r="AA32" s="8">
        <f t="shared" si="21"/>
        <v>0</v>
      </c>
    </row>
    <row r="33" spans="1:27" s="2" customFormat="1">
      <c r="A33" s="321"/>
      <c r="B33" s="240" t="str">
        <f>'RFQ response'!C28</f>
        <v>C_TI_01_R</v>
      </c>
      <c r="C33" s="237" t="str">
        <f>'RFQ response'!E28</f>
        <v>Immunity to the transients on the signal line</v>
      </c>
      <c r="D33" s="74" t="str">
        <f>'RFQ response'!D28</f>
        <v xml:space="preserve"> -</v>
      </c>
      <c r="E33" s="238" t="str">
        <f>'RFQ response'!K28</f>
        <v>NA</v>
      </c>
      <c r="F33" s="75"/>
      <c r="G33" s="74"/>
      <c r="H33" s="74"/>
      <c r="I33" s="95"/>
      <c r="J33" s="75"/>
      <c r="K33" s="74"/>
      <c r="L33" s="74"/>
      <c r="M33" s="173"/>
      <c r="N33" s="239"/>
      <c r="O33" s="239"/>
      <c r="P33"/>
      <c r="Q33" s="9">
        <f t="shared" ref="Q33:Q40" si="22">IF(K33="On going",1,0)</f>
        <v>0</v>
      </c>
      <c r="R33" s="10">
        <f t="shared" ref="R33:R40" si="23">IF(K33="NA",1,0)</f>
        <v>0</v>
      </c>
      <c r="S33" s="10">
        <f t="shared" ref="S33:S40" si="24">IF(K33="Deviation",1,0)</f>
        <v>0</v>
      </c>
      <c r="T33" s="1">
        <f t="shared" ref="T33:T40" si="25">IF(K33="In analysis",1,0)</f>
        <v>0</v>
      </c>
      <c r="U33" s="1">
        <f t="shared" ref="U33:U40" si="26">IF(K33="NOK minor",1,0)</f>
        <v>0</v>
      </c>
      <c r="V33" s="1">
        <f t="shared" ref="V33:V40" si="27">IF(K33="NOK major",1,0)</f>
        <v>0</v>
      </c>
      <c r="W33" s="7">
        <f t="shared" ref="W33:W40" si="28">IF(K33="OK",1,0)</f>
        <v>0</v>
      </c>
      <c r="X33" s="9">
        <f t="shared" ref="X33:X40" si="29">IF($J33="On going",1,0)</f>
        <v>0</v>
      </c>
      <c r="Y33" s="10">
        <f t="shared" ref="Y33:Y40" si="30">IF($J33="NA",1,0)</f>
        <v>0</v>
      </c>
      <c r="Z33" s="1">
        <f t="shared" ref="Z33:Z40" si="31">IF($J33="NOK",1,0)</f>
        <v>0</v>
      </c>
      <c r="AA33" s="8">
        <f t="shared" ref="AA33:AA40" si="32">IF($J33="OK",1,0)</f>
        <v>0</v>
      </c>
    </row>
    <row r="34" spans="1:27" s="2" customFormat="1">
      <c r="A34" s="321"/>
      <c r="B34" s="240" t="str">
        <f>'RFQ response'!C29</f>
        <v>C_TE_01_R</v>
      </c>
      <c r="C34" s="237" t="str">
        <f>'RFQ response'!E29</f>
        <v>Conducted Transient Emission</v>
      </c>
      <c r="D34" s="74" t="str">
        <f>'RFQ response'!D29</f>
        <v xml:space="preserve"> -</v>
      </c>
      <c r="E34" s="238" t="str">
        <f>'RFQ response'!K29</f>
        <v>NA</v>
      </c>
      <c r="F34" s="75"/>
      <c r="G34" s="74"/>
      <c r="H34" s="74"/>
      <c r="I34" s="95"/>
      <c r="J34" s="75"/>
      <c r="K34" s="74"/>
      <c r="L34" s="74"/>
      <c r="M34" s="173"/>
      <c r="N34" s="239"/>
      <c r="O34" s="239"/>
      <c r="P34"/>
      <c r="Q34" s="9">
        <f t="shared" si="22"/>
        <v>0</v>
      </c>
      <c r="R34" s="10">
        <f t="shared" si="23"/>
        <v>0</v>
      </c>
      <c r="S34" s="10">
        <f t="shared" si="24"/>
        <v>0</v>
      </c>
      <c r="T34" s="1">
        <f t="shared" si="25"/>
        <v>0</v>
      </c>
      <c r="U34" s="1">
        <f t="shared" si="26"/>
        <v>0</v>
      </c>
      <c r="V34" s="1">
        <f t="shared" si="27"/>
        <v>0</v>
      </c>
      <c r="W34" s="7">
        <f t="shared" si="28"/>
        <v>0</v>
      </c>
      <c r="X34" s="9">
        <f t="shared" si="29"/>
        <v>0</v>
      </c>
      <c r="Y34" s="10">
        <f t="shared" si="30"/>
        <v>0</v>
      </c>
      <c r="Z34" s="1">
        <f t="shared" si="31"/>
        <v>0</v>
      </c>
      <c r="AA34" s="8">
        <f t="shared" si="32"/>
        <v>0</v>
      </c>
    </row>
    <row r="35" spans="1:27" s="2" customFormat="1">
      <c r="A35" s="321"/>
      <c r="B35" s="240" t="str">
        <f>'RFQ response'!C30</f>
        <v>C_CI_01_V</v>
      </c>
      <c r="C35" s="237" t="str">
        <f>'RFQ response'!E30</f>
        <v>Bulk current injection (BCI)</v>
      </c>
      <c r="D35" s="74" t="str">
        <f>'RFQ response'!D30</f>
        <v>REQ-0945113</v>
      </c>
      <c r="E35" s="238" t="str">
        <f>'RFQ response'!K30</f>
        <v>OK</v>
      </c>
      <c r="F35" s="75"/>
      <c r="G35" s="74"/>
      <c r="H35" s="74"/>
      <c r="I35" s="95"/>
      <c r="J35" s="75"/>
      <c r="K35" s="74"/>
      <c r="L35" s="74"/>
      <c r="M35" s="173"/>
      <c r="N35" s="239"/>
      <c r="O35" s="239"/>
      <c r="P35"/>
      <c r="Q35" s="9">
        <f t="shared" si="22"/>
        <v>0</v>
      </c>
      <c r="R35" s="10">
        <f t="shared" si="23"/>
        <v>0</v>
      </c>
      <c r="S35" s="10">
        <f t="shared" si="24"/>
        <v>0</v>
      </c>
      <c r="T35" s="1">
        <f t="shared" si="25"/>
        <v>0</v>
      </c>
      <c r="U35" s="1">
        <f t="shared" si="26"/>
        <v>0</v>
      </c>
      <c r="V35" s="1">
        <f t="shared" si="27"/>
        <v>0</v>
      </c>
      <c r="W35" s="7">
        <f t="shared" si="28"/>
        <v>0</v>
      </c>
      <c r="X35" s="9">
        <f t="shared" si="29"/>
        <v>0</v>
      </c>
      <c r="Y35" s="10">
        <f t="shared" si="30"/>
        <v>0</v>
      </c>
      <c r="Z35" s="1">
        <f t="shared" si="31"/>
        <v>0</v>
      </c>
      <c r="AA35" s="8">
        <f t="shared" si="32"/>
        <v>0</v>
      </c>
    </row>
    <row r="36" spans="1:27" s="2" customFormat="1">
      <c r="A36" s="321"/>
      <c r="B36" s="240" t="str">
        <f>'RFQ response'!C31</f>
        <v>C_RI_01_V</v>
      </c>
      <c r="C36" s="237" t="str">
        <f>'RFQ response'!E31</f>
        <v>Immunity to external sources – ALSE (Absorber Line Shielded Enclosure)</v>
      </c>
      <c r="D36" s="74" t="str">
        <f>'RFQ response'!D31</f>
        <v>REQ-0945114</v>
      </c>
      <c r="E36" s="238" t="str">
        <f>'RFQ response'!K31</f>
        <v>OK</v>
      </c>
      <c r="F36" s="75"/>
      <c r="G36" s="74"/>
      <c r="H36" s="74"/>
      <c r="I36" s="95"/>
      <c r="J36" s="75"/>
      <c r="K36" s="74"/>
      <c r="L36" s="74"/>
      <c r="M36" s="173"/>
      <c r="N36" s="239"/>
      <c r="O36" s="239"/>
      <c r="P36"/>
      <c r="Q36" s="9">
        <f t="shared" si="22"/>
        <v>0</v>
      </c>
      <c r="R36" s="10">
        <f t="shared" si="23"/>
        <v>0</v>
      </c>
      <c r="S36" s="10">
        <f t="shared" si="24"/>
        <v>0</v>
      </c>
      <c r="T36" s="1">
        <f t="shared" si="25"/>
        <v>0</v>
      </c>
      <c r="U36" s="1">
        <f t="shared" si="26"/>
        <v>0</v>
      </c>
      <c r="V36" s="1">
        <f t="shared" si="27"/>
        <v>0</v>
      </c>
      <c r="W36" s="7">
        <f t="shared" si="28"/>
        <v>0</v>
      </c>
      <c r="X36" s="9">
        <f t="shared" si="29"/>
        <v>0</v>
      </c>
      <c r="Y36" s="10">
        <f t="shared" si="30"/>
        <v>0</v>
      </c>
      <c r="Z36" s="1">
        <f t="shared" si="31"/>
        <v>0</v>
      </c>
      <c r="AA36" s="8">
        <f t="shared" si="32"/>
        <v>0</v>
      </c>
    </row>
    <row r="37" spans="1:27" s="2" customFormat="1">
      <c r="A37" s="321"/>
      <c r="B37" s="240" t="str">
        <f>'RFQ response'!C32</f>
        <v>C_RI_02_V</v>
      </c>
      <c r="C37" s="237" t="str">
        <f>'RFQ response'!E32</f>
        <v>Immunity to external sources – Reverberation chamber</v>
      </c>
      <c r="D37" s="74" t="str">
        <f>'RFQ response'!D32</f>
        <v>REQ-0945115</v>
      </c>
      <c r="E37" s="238" t="str">
        <f>'RFQ response'!K32</f>
        <v>OK</v>
      </c>
      <c r="F37" s="75"/>
      <c r="G37" s="74"/>
      <c r="H37" s="74"/>
      <c r="I37" s="95"/>
      <c r="J37" s="75"/>
      <c r="K37" s="74"/>
      <c r="L37" s="74"/>
      <c r="M37" s="173"/>
      <c r="N37" s="239"/>
      <c r="O37" s="239"/>
      <c r="P37"/>
      <c r="Q37" s="9">
        <f t="shared" si="22"/>
        <v>0</v>
      </c>
      <c r="R37" s="10">
        <f t="shared" si="23"/>
        <v>0</v>
      </c>
      <c r="S37" s="10">
        <f t="shared" si="24"/>
        <v>0</v>
      </c>
      <c r="T37" s="1">
        <f t="shared" si="25"/>
        <v>0</v>
      </c>
      <c r="U37" s="1">
        <f t="shared" si="26"/>
        <v>0</v>
      </c>
      <c r="V37" s="1">
        <f t="shared" si="27"/>
        <v>0</v>
      </c>
      <c r="W37" s="7">
        <f t="shared" si="28"/>
        <v>0</v>
      </c>
      <c r="X37" s="9">
        <f t="shared" si="29"/>
        <v>0</v>
      </c>
      <c r="Y37" s="10">
        <f t="shared" si="30"/>
        <v>0</v>
      </c>
      <c r="Z37" s="1">
        <f t="shared" si="31"/>
        <v>0</v>
      </c>
      <c r="AA37" s="8">
        <f t="shared" si="32"/>
        <v>0</v>
      </c>
    </row>
    <row r="38" spans="1:27" s="2" customFormat="1">
      <c r="A38" s="321"/>
      <c r="B38" s="240" t="str">
        <f>'RFQ response'!C33</f>
        <v>C_RI_03_V</v>
      </c>
      <c r="C38" s="237" t="str">
        <f>'RFQ response'!E33</f>
        <v>Immunity to portable transmitters</v>
      </c>
      <c r="D38" s="74" t="str">
        <f>'RFQ response'!D33</f>
        <v>REQ-0945116</v>
      </c>
      <c r="E38" s="238" t="str">
        <f>'RFQ response'!K33</f>
        <v>OK</v>
      </c>
      <c r="F38" s="75"/>
      <c r="G38" s="74"/>
      <c r="H38" s="74"/>
      <c r="I38" s="95"/>
      <c r="J38" s="75"/>
      <c r="K38" s="74"/>
      <c r="L38" s="74"/>
      <c r="M38" s="173"/>
      <c r="N38" s="239"/>
      <c r="O38" s="239"/>
      <c r="P38"/>
      <c r="Q38" s="9">
        <f t="shared" si="22"/>
        <v>0</v>
      </c>
      <c r="R38" s="10">
        <f t="shared" si="23"/>
        <v>0</v>
      </c>
      <c r="S38" s="10">
        <f t="shared" si="24"/>
        <v>0</v>
      </c>
      <c r="T38" s="1">
        <f t="shared" si="25"/>
        <v>0</v>
      </c>
      <c r="U38" s="1">
        <f t="shared" si="26"/>
        <v>0</v>
      </c>
      <c r="V38" s="1">
        <f t="shared" si="27"/>
        <v>0</v>
      </c>
      <c r="W38" s="7">
        <f t="shared" si="28"/>
        <v>0</v>
      </c>
      <c r="X38" s="9">
        <f t="shared" si="29"/>
        <v>0</v>
      </c>
      <c r="Y38" s="10">
        <f t="shared" si="30"/>
        <v>0</v>
      </c>
      <c r="Z38" s="1">
        <f t="shared" si="31"/>
        <v>0</v>
      </c>
      <c r="AA38" s="8">
        <f t="shared" si="32"/>
        <v>0</v>
      </c>
    </row>
    <row r="39" spans="1:27" s="2" customFormat="1">
      <c r="A39" s="321"/>
      <c r="B39" s="240" t="str">
        <f>'RFQ response'!C34</f>
        <v>C_RI_04_V</v>
      </c>
      <c r="C39" s="237" t="str">
        <f>'RFQ response'!E34</f>
        <v xml:space="preserve">Immunity to magnetic field </v>
      </c>
      <c r="D39" s="74" t="str">
        <f>'RFQ response'!D34</f>
        <v>REQ-0945117</v>
      </c>
      <c r="E39" s="238" t="str">
        <f>'RFQ response'!K34</f>
        <v>OK</v>
      </c>
      <c r="F39" s="75"/>
      <c r="G39" s="74"/>
      <c r="H39" s="74"/>
      <c r="I39" s="95"/>
      <c r="J39" s="75"/>
      <c r="K39" s="74"/>
      <c r="L39" s="74"/>
      <c r="M39" s="173"/>
      <c r="N39" s="239"/>
      <c r="O39" s="239"/>
      <c r="P39"/>
      <c r="Q39" s="9">
        <f t="shared" si="22"/>
        <v>0</v>
      </c>
      <c r="R39" s="10">
        <f t="shared" si="23"/>
        <v>0</v>
      </c>
      <c r="S39" s="10">
        <f t="shared" si="24"/>
        <v>0</v>
      </c>
      <c r="T39" s="1">
        <f t="shared" si="25"/>
        <v>0</v>
      </c>
      <c r="U39" s="1">
        <f t="shared" si="26"/>
        <v>0</v>
      </c>
      <c r="V39" s="1">
        <f t="shared" si="27"/>
        <v>0</v>
      </c>
      <c r="W39" s="7">
        <f t="shared" si="28"/>
        <v>0</v>
      </c>
      <c r="X39" s="9">
        <f t="shared" si="29"/>
        <v>0</v>
      </c>
      <c r="Y39" s="10">
        <f t="shared" si="30"/>
        <v>0</v>
      </c>
      <c r="Z39" s="1">
        <f t="shared" si="31"/>
        <v>0</v>
      </c>
      <c r="AA39" s="8">
        <f t="shared" si="32"/>
        <v>0</v>
      </c>
    </row>
    <row r="40" spans="1:27" s="2" customFormat="1">
      <c r="A40" s="321"/>
      <c r="B40" s="240" t="str">
        <f>'RFQ response'!C35</f>
        <v>C_RI_05_R</v>
      </c>
      <c r="C40" s="237" t="str">
        <f>'RFQ response'!E35</f>
        <v>Immunity to electromagnetic radiation</v>
      </c>
      <c r="D40" s="74" t="str">
        <f>'RFQ response'!D35</f>
        <v xml:space="preserve"> -</v>
      </c>
      <c r="E40" s="238" t="str">
        <f>'RFQ response'!K35</f>
        <v>NA</v>
      </c>
      <c r="F40" s="75"/>
      <c r="G40" s="74"/>
      <c r="H40" s="74"/>
      <c r="I40" s="95"/>
      <c r="J40" s="75"/>
      <c r="K40" s="74"/>
      <c r="L40" s="74"/>
      <c r="M40" s="173"/>
      <c r="N40" s="239"/>
      <c r="O40" s="239"/>
      <c r="P40"/>
      <c r="Q40" s="9">
        <f t="shared" si="22"/>
        <v>0</v>
      </c>
      <c r="R40" s="10">
        <f t="shared" si="23"/>
        <v>0</v>
      </c>
      <c r="S40" s="10">
        <f t="shared" si="24"/>
        <v>0</v>
      </c>
      <c r="T40" s="1">
        <f t="shared" si="25"/>
        <v>0</v>
      </c>
      <c r="U40" s="1">
        <f t="shared" si="26"/>
        <v>0</v>
      </c>
      <c r="V40" s="1">
        <f t="shared" si="27"/>
        <v>0</v>
      </c>
      <c r="W40" s="7">
        <f t="shared" si="28"/>
        <v>0</v>
      </c>
      <c r="X40" s="9">
        <f t="shared" si="29"/>
        <v>0</v>
      </c>
      <c r="Y40" s="10">
        <f t="shared" si="30"/>
        <v>0</v>
      </c>
      <c r="Z40" s="1">
        <f t="shared" si="31"/>
        <v>0</v>
      </c>
      <c r="AA40" s="8">
        <f t="shared" si="32"/>
        <v>0</v>
      </c>
    </row>
    <row r="41" spans="1:27" s="2" customFormat="1">
      <c r="A41" s="321"/>
      <c r="B41" s="240" t="str">
        <f>'RFQ response'!C36</f>
        <v>C_CE_01_V</v>
      </c>
      <c r="C41" s="237" t="str">
        <f>'RFQ response'!E36</f>
        <v>RF conducted emission on power supply inputs – AN voltage measurement</v>
      </c>
      <c r="D41" s="74" t="str">
        <f>'RFQ response'!D36</f>
        <v>REQ-0945121</v>
      </c>
      <c r="E41" s="238" t="str">
        <f>'RFQ response'!K36</f>
        <v>OK</v>
      </c>
      <c r="F41" s="75"/>
      <c r="G41" s="74"/>
      <c r="H41" s="74"/>
      <c r="I41" s="95"/>
      <c r="J41" s="75"/>
      <c r="K41" s="74"/>
      <c r="L41" s="74"/>
      <c r="M41" s="173"/>
      <c r="N41" s="239"/>
      <c r="O41" s="239"/>
      <c r="P41"/>
      <c r="Q41" s="9">
        <f t="shared" ref="Q41:Q44" si="33">IF(K41="On going",1,0)</f>
        <v>0</v>
      </c>
      <c r="R41" s="10">
        <f t="shared" ref="R41:R44" si="34">IF(K41="NA",1,0)</f>
        <v>0</v>
      </c>
      <c r="S41" s="10">
        <f t="shared" ref="S41:S44" si="35">IF(K41="Deviation",1,0)</f>
        <v>0</v>
      </c>
      <c r="T41" s="1">
        <f t="shared" ref="T41:T44" si="36">IF(K41="In analysis",1,0)</f>
        <v>0</v>
      </c>
      <c r="U41" s="1">
        <f t="shared" ref="U41:U44" si="37">IF(K41="NOK minor",1,0)</f>
        <v>0</v>
      </c>
      <c r="V41" s="1">
        <f t="shared" ref="V41:V44" si="38">IF(K41="NOK major",1,0)</f>
        <v>0</v>
      </c>
      <c r="W41" s="7">
        <f t="shared" ref="W41:W44" si="39">IF(K41="OK",1,0)</f>
        <v>0</v>
      </c>
      <c r="X41" s="9">
        <f t="shared" ref="X41:X44" si="40">IF($J41="On going",1,0)</f>
        <v>0</v>
      </c>
      <c r="Y41" s="10">
        <f t="shared" ref="Y41:Y44" si="41">IF($J41="NA",1,0)</f>
        <v>0</v>
      </c>
      <c r="Z41" s="1">
        <f t="shared" ref="Z41:Z44" si="42">IF($J41="NOK",1,0)</f>
        <v>0</v>
      </c>
      <c r="AA41" s="8">
        <f t="shared" ref="AA41:AA44" si="43">IF($J41="OK",1,0)</f>
        <v>0</v>
      </c>
    </row>
    <row r="42" spans="1:27" s="2" customFormat="1">
      <c r="A42" s="321"/>
      <c r="B42" s="240" t="str">
        <f>'RFQ response'!C37</f>
        <v>C_CE_02_V</v>
      </c>
      <c r="C42" s="237" t="str">
        <f>'RFQ response'!E37</f>
        <v>RF conducted emission on wiring – Current probe measurement</v>
      </c>
      <c r="D42" s="74" t="str">
        <f>'RFQ response'!D37</f>
        <v>REQ-0945122</v>
      </c>
      <c r="E42" s="238" t="str">
        <f>'RFQ response'!K37</f>
        <v>OK</v>
      </c>
      <c r="F42" s="75"/>
      <c r="G42" s="74"/>
      <c r="H42" s="74"/>
      <c r="I42" s="95"/>
      <c r="J42" s="75"/>
      <c r="K42" s="74"/>
      <c r="L42" s="74"/>
      <c r="M42" s="173"/>
      <c r="N42" s="239"/>
      <c r="O42" s="239"/>
      <c r="P42"/>
      <c r="Q42" s="9">
        <f t="shared" si="33"/>
        <v>0</v>
      </c>
      <c r="R42" s="10">
        <f t="shared" si="34"/>
        <v>0</v>
      </c>
      <c r="S42" s="10">
        <f t="shared" si="35"/>
        <v>0</v>
      </c>
      <c r="T42" s="1">
        <f t="shared" si="36"/>
        <v>0</v>
      </c>
      <c r="U42" s="1">
        <f t="shared" si="37"/>
        <v>0</v>
      </c>
      <c r="V42" s="1">
        <f t="shared" si="38"/>
        <v>0</v>
      </c>
      <c r="W42" s="7">
        <f t="shared" si="39"/>
        <v>0</v>
      </c>
      <c r="X42" s="9">
        <f t="shared" si="40"/>
        <v>0</v>
      </c>
      <c r="Y42" s="10">
        <f t="shared" si="41"/>
        <v>0</v>
      </c>
      <c r="Z42" s="1">
        <f t="shared" si="42"/>
        <v>0</v>
      </c>
      <c r="AA42" s="8">
        <f t="shared" si="43"/>
        <v>0</v>
      </c>
    </row>
    <row r="43" spans="1:27" s="2" customFormat="1">
      <c r="A43" s="321"/>
      <c r="B43" s="240" t="str">
        <f>'RFQ response'!C38</f>
        <v>C_RE_01_V</v>
      </c>
      <c r="C43" s="237" t="str">
        <f>'RFQ response'!E38</f>
        <v>Electric field radiated emission – ALSE (Absorber Line Shielded Enclosure)</v>
      </c>
      <c r="D43" s="74" t="str">
        <f>'RFQ response'!D38</f>
        <v>REQ-0945123</v>
      </c>
      <c r="E43" s="238" t="str">
        <f>'RFQ response'!K38</f>
        <v>OK</v>
      </c>
      <c r="F43" s="75"/>
      <c r="G43" s="74"/>
      <c r="H43" s="74"/>
      <c r="I43" s="95"/>
      <c r="J43" s="75"/>
      <c r="K43" s="74"/>
      <c r="L43" s="74"/>
      <c r="M43" s="173"/>
      <c r="N43" s="239"/>
      <c r="O43" s="239"/>
      <c r="P43"/>
      <c r="Q43" s="9">
        <f t="shared" si="33"/>
        <v>0</v>
      </c>
      <c r="R43" s="10">
        <f t="shared" si="34"/>
        <v>0</v>
      </c>
      <c r="S43" s="10">
        <f t="shared" si="35"/>
        <v>0</v>
      </c>
      <c r="T43" s="1">
        <f t="shared" si="36"/>
        <v>0</v>
      </c>
      <c r="U43" s="1">
        <f t="shared" si="37"/>
        <v>0</v>
      </c>
      <c r="V43" s="1">
        <f t="shared" si="38"/>
        <v>0</v>
      </c>
      <c r="W43" s="7">
        <f t="shared" si="39"/>
        <v>0</v>
      </c>
      <c r="X43" s="9">
        <f t="shared" si="40"/>
        <v>0</v>
      </c>
      <c r="Y43" s="10">
        <f t="shared" si="41"/>
        <v>0</v>
      </c>
      <c r="Z43" s="1">
        <f t="shared" si="42"/>
        <v>0</v>
      </c>
      <c r="AA43" s="8">
        <f t="shared" si="43"/>
        <v>0</v>
      </c>
    </row>
    <row r="44" spans="1:27" s="2" customFormat="1">
      <c r="A44" s="321"/>
      <c r="B44" s="240" t="str">
        <f>'RFQ response'!C39</f>
        <v>C_RE_02_V</v>
      </c>
      <c r="C44" s="237" t="str">
        <f>'RFQ response'!E39</f>
        <v xml:space="preserve">Keyless entry - Magnetic field </v>
      </c>
      <c r="D44" s="74" t="str">
        <f>'RFQ response'!D39</f>
        <v>REQ-0945124</v>
      </c>
      <c r="E44" s="238" t="str">
        <f>'RFQ response'!K39</f>
        <v>OK</v>
      </c>
      <c r="F44" s="75"/>
      <c r="G44" s="74"/>
      <c r="H44" s="74"/>
      <c r="I44" s="95"/>
      <c r="J44" s="75"/>
      <c r="K44" s="74"/>
      <c r="L44" s="74"/>
      <c r="M44" s="173"/>
      <c r="N44" s="239"/>
      <c r="O44" s="239"/>
      <c r="P44"/>
      <c r="Q44" s="9">
        <f t="shared" si="33"/>
        <v>0</v>
      </c>
      <c r="R44" s="10">
        <f t="shared" si="34"/>
        <v>0</v>
      </c>
      <c r="S44" s="10">
        <f t="shared" si="35"/>
        <v>0</v>
      </c>
      <c r="T44" s="1">
        <f t="shared" si="36"/>
        <v>0</v>
      </c>
      <c r="U44" s="1">
        <f t="shared" si="37"/>
        <v>0</v>
      </c>
      <c r="V44" s="1">
        <f t="shared" si="38"/>
        <v>0</v>
      </c>
      <c r="W44" s="7">
        <f t="shared" si="39"/>
        <v>0</v>
      </c>
      <c r="X44" s="9">
        <f t="shared" si="40"/>
        <v>0</v>
      </c>
      <c r="Y44" s="10">
        <f t="shared" si="41"/>
        <v>0</v>
      </c>
      <c r="Z44" s="1">
        <f t="shared" si="42"/>
        <v>0</v>
      </c>
      <c r="AA44" s="8">
        <f t="shared" si="43"/>
        <v>0</v>
      </c>
    </row>
    <row r="45" spans="1:27" s="2" customFormat="1">
      <c r="A45" s="321"/>
      <c r="B45" s="240" t="str">
        <f>'RFQ response'!C40</f>
        <v>C_RE_03_R</v>
      </c>
      <c r="C45" s="237" t="str">
        <f>'RFQ response'!E40</f>
        <v>Broadband radiated emission</v>
      </c>
      <c r="D45" s="74" t="str">
        <f>'RFQ response'!D40</f>
        <v xml:space="preserve"> -</v>
      </c>
      <c r="E45" s="238" t="str">
        <f>'RFQ response'!K40</f>
        <v>NA</v>
      </c>
      <c r="F45" s="75"/>
      <c r="G45" s="74"/>
      <c r="H45" s="74"/>
      <c r="I45" s="95"/>
      <c r="J45" s="75"/>
      <c r="K45" s="74"/>
      <c r="L45" s="74"/>
      <c r="M45" s="173"/>
      <c r="N45" s="239"/>
      <c r="O45" s="239"/>
      <c r="P45"/>
      <c r="Q45" s="9">
        <f t="shared" ref="Q45:Q46" si="44">IF(K45="On going",1,0)</f>
        <v>0</v>
      </c>
      <c r="R45" s="10">
        <f t="shared" ref="R45:R46" si="45">IF(K45="NA",1,0)</f>
        <v>0</v>
      </c>
      <c r="S45" s="10">
        <f t="shared" ref="S45:S46" si="46">IF(K45="Deviation",1,0)</f>
        <v>0</v>
      </c>
      <c r="T45" s="1">
        <f t="shared" ref="T45:T46" si="47">IF(K45="In analysis",1,0)</f>
        <v>0</v>
      </c>
      <c r="U45" s="1">
        <f t="shared" ref="U45:U46" si="48">IF(K45="NOK minor",1,0)</f>
        <v>0</v>
      </c>
      <c r="V45" s="1">
        <f t="shared" ref="V45:V46" si="49">IF(K45="NOK major",1,0)</f>
        <v>0</v>
      </c>
      <c r="W45" s="7">
        <f t="shared" ref="W45:W46" si="50">IF(K45="OK",1,0)</f>
        <v>0</v>
      </c>
      <c r="X45" s="9">
        <f t="shared" ref="X45:X99" si="51">IF($J45="On going",1,0)</f>
        <v>0</v>
      </c>
      <c r="Y45" s="10">
        <f t="shared" ref="Y45:Y99" si="52">IF($J45="NA",1,0)</f>
        <v>0</v>
      </c>
      <c r="Z45" s="1">
        <f t="shared" ref="Z45:Z99" si="53">IF($J45="NOK",1,0)</f>
        <v>0</v>
      </c>
      <c r="AA45" s="8">
        <f t="shared" ref="AA45:AA99" si="54">IF($J45="OK",1,0)</f>
        <v>0</v>
      </c>
    </row>
    <row r="46" spans="1:27" s="2" customFormat="1">
      <c r="A46" s="321"/>
      <c r="B46" s="240" t="str">
        <f>'RFQ response'!C41</f>
        <v>C_RE_04_R</v>
      </c>
      <c r="C46" s="237" t="str">
        <f>'RFQ response'!E41</f>
        <v>Narrowband radiated emission</v>
      </c>
      <c r="D46" s="74" t="str">
        <f>'RFQ response'!D41</f>
        <v xml:space="preserve"> -</v>
      </c>
      <c r="E46" s="238" t="str">
        <f>'RFQ response'!K41</f>
        <v>NA</v>
      </c>
      <c r="F46" s="75"/>
      <c r="G46" s="74"/>
      <c r="H46" s="74"/>
      <c r="I46" s="95"/>
      <c r="J46" s="75"/>
      <c r="K46" s="74"/>
      <c r="L46" s="74"/>
      <c r="M46" s="173"/>
      <c r="N46" s="239"/>
      <c r="O46" s="239"/>
      <c r="P46"/>
      <c r="Q46" s="9">
        <f t="shared" si="44"/>
        <v>0</v>
      </c>
      <c r="R46" s="10">
        <f t="shared" si="45"/>
        <v>0</v>
      </c>
      <c r="S46" s="10">
        <f t="shared" si="46"/>
        <v>0</v>
      </c>
      <c r="T46" s="1">
        <f t="shared" si="47"/>
        <v>0</v>
      </c>
      <c r="U46" s="1">
        <f t="shared" si="48"/>
        <v>0</v>
      </c>
      <c r="V46" s="1">
        <f t="shared" si="49"/>
        <v>0</v>
      </c>
      <c r="W46" s="7">
        <f t="shared" si="50"/>
        <v>0</v>
      </c>
      <c r="X46" s="9">
        <f t="shared" si="51"/>
        <v>0</v>
      </c>
      <c r="Y46" s="10">
        <f t="shared" si="52"/>
        <v>0</v>
      </c>
      <c r="Z46" s="1">
        <f t="shared" si="53"/>
        <v>0</v>
      </c>
      <c r="AA46" s="8">
        <f t="shared" si="54"/>
        <v>0</v>
      </c>
    </row>
    <row r="47" spans="1:27" s="2" customFormat="1">
      <c r="A47" s="321"/>
      <c r="B47" s="240" t="str">
        <f>'RFQ response'!C42</f>
        <v>C_ESD_01_V</v>
      </c>
      <c r="C47" s="237" t="str">
        <f>'RFQ response'!E42</f>
        <v xml:space="preserve">Component not connected - Handling </v>
      </c>
      <c r="D47" s="74" t="str">
        <f>'RFQ response'!D42</f>
        <v>REQ-0945125</v>
      </c>
      <c r="E47" s="238" t="str">
        <f>'RFQ response'!K42</f>
        <v>OK</v>
      </c>
      <c r="F47" s="75"/>
      <c r="G47" s="74"/>
      <c r="H47" s="74"/>
      <c r="I47" s="95"/>
      <c r="J47" s="75"/>
      <c r="K47" s="74"/>
      <c r="L47" s="74"/>
      <c r="M47" s="173"/>
      <c r="N47" s="239"/>
      <c r="O47" s="239"/>
      <c r="P47"/>
      <c r="Q47" s="9">
        <f t="shared" ref="Q47" si="55">IF(K47="On going",1,0)</f>
        <v>0</v>
      </c>
      <c r="R47" s="10">
        <f t="shared" ref="R47" si="56">IF(K47="NA",1,0)</f>
        <v>0</v>
      </c>
      <c r="S47" s="10">
        <f t="shared" ref="S47" si="57">IF(K47="Deviation",1,0)</f>
        <v>0</v>
      </c>
      <c r="T47" s="1">
        <f t="shared" ref="T47" si="58">IF(K47="In analysis",1,0)</f>
        <v>0</v>
      </c>
      <c r="U47" s="1">
        <f t="shared" ref="U47" si="59">IF(K47="NOK minor",1,0)</f>
        <v>0</v>
      </c>
      <c r="V47" s="1">
        <f t="shared" ref="V47" si="60">IF(K47="NOK major",1,0)</f>
        <v>0</v>
      </c>
      <c r="W47" s="7">
        <f t="shared" ref="W47" si="61">IF(K47="OK",1,0)</f>
        <v>0</v>
      </c>
      <c r="X47" s="9">
        <f t="shared" si="51"/>
        <v>0</v>
      </c>
      <c r="Y47" s="10">
        <f t="shared" si="52"/>
        <v>0</v>
      </c>
      <c r="Z47" s="1">
        <f t="shared" si="53"/>
        <v>0</v>
      </c>
      <c r="AA47" s="8">
        <f t="shared" si="54"/>
        <v>0</v>
      </c>
    </row>
    <row r="48" spans="1:27" s="2" customFormat="1">
      <c r="A48" s="321"/>
      <c r="B48" s="240" t="str">
        <f>'RFQ response'!C43</f>
        <v>C_ESD_02_V</v>
      </c>
      <c r="C48" s="237" t="str">
        <f>'RFQ response'!E43</f>
        <v xml:space="preserve">Operating </v>
      </c>
      <c r="D48" s="74" t="str">
        <f>'RFQ response'!D43</f>
        <v>REQ-0945126</v>
      </c>
      <c r="E48" s="238" t="str">
        <f>'RFQ response'!K43</f>
        <v>OK</v>
      </c>
      <c r="F48" s="75"/>
      <c r="G48" s="74"/>
      <c r="H48" s="74"/>
      <c r="I48" s="95"/>
      <c r="J48" s="75"/>
      <c r="K48" s="74"/>
      <c r="L48" s="74"/>
      <c r="M48" s="173"/>
      <c r="N48" s="239"/>
      <c r="O48" s="239"/>
      <c r="P48"/>
      <c r="Q48" s="9">
        <f t="shared" ref="Q48" si="62">IF(K48="On going",1,0)</f>
        <v>0</v>
      </c>
      <c r="R48" s="10">
        <f t="shared" ref="R48" si="63">IF(K48="NA",1,0)</f>
        <v>0</v>
      </c>
      <c r="S48" s="10">
        <f t="shared" ref="S48" si="64">IF(K48="Deviation",1,0)</f>
        <v>0</v>
      </c>
      <c r="T48" s="1">
        <f t="shared" ref="T48" si="65">IF(K48="In analysis",1,0)</f>
        <v>0</v>
      </c>
      <c r="U48" s="1">
        <f t="shared" ref="U48" si="66">IF(K48="NOK minor",1,0)</f>
        <v>0</v>
      </c>
      <c r="V48" s="1">
        <f t="shared" ref="V48" si="67">IF(K48="NOK major",1,0)</f>
        <v>0</v>
      </c>
      <c r="W48" s="7">
        <f t="shared" ref="W48" si="68">IF(K48="OK",1,0)</f>
        <v>0</v>
      </c>
      <c r="X48" s="9">
        <f t="shared" si="51"/>
        <v>0</v>
      </c>
      <c r="Y48" s="10">
        <f t="shared" si="52"/>
        <v>0</v>
      </c>
      <c r="Z48" s="1">
        <f t="shared" si="53"/>
        <v>0</v>
      </c>
      <c r="AA48" s="8">
        <f t="shared" si="54"/>
        <v>0</v>
      </c>
    </row>
    <row r="49" spans="1:27" s="2" customFormat="1">
      <c r="A49" s="321"/>
      <c r="B49" s="240" t="str">
        <f>'RFQ response'!C44</f>
        <v>SET1</v>
      </c>
      <c r="C49" s="237" t="str">
        <f>'RFQ response'!E44</f>
        <v>Electrical consumptions measurement</v>
      </c>
      <c r="D49" s="74" t="str">
        <f>'RFQ response'!D44</f>
        <v>REQ-0994080</v>
      </c>
      <c r="E49" s="238" t="str">
        <f>'RFQ response'!K44</f>
        <v>OK</v>
      </c>
      <c r="F49" s="75"/>
      <c r="G49" s="74"/>
      <c r="H49" s="74"/>
      <c r="I49" s="95"/>
      <c r="J49" s="75"/>
      <c r="K49" s="74"/>
      <c r="L49" s="74"/>
      <c r="M49" s="173"/>
      <c r="N49" s="239"/>
      <c r="O49" s="239"/>
      <c r="P49"/>
      <c r="Q49" s="9"/>
      <c r="R49" s="10"/>
      <c r="S49" s="10"/>
      <c r="T49" s="1"/>
      <c r="U49" s="1"/>
      <c r="V49" s="1"/>
      <c r="W49" s="7"/>
      <c r="X49" s="9"/>
      <c r="Y49" s="10"/>
      <c r="Z49" s="1"/>
      <c r="AA49" s="8"/>
    </row>
    <row r="50" spans="1:27" s="2" customFormat="1" ht="15.75" customHeight="1">
      <c r="A50" s="321"/>
      <c r="B50" s="801" t="s">
        <v>551</v>
      </c>
      <c r="C50" s="801"/>
      <c r="D50" s="801"/>
      <c r="E50" s="801"/>
      <c r="F50" s="801"/>
      <c r="G50" s="801"/>
      <c r="H50" s="801"/>
      <c r="I50" s="801"/>
      <c r="J50" s="801"/>
      <c r="K50" s="801"/>
      <c r="L50" s="801"/>
      <c r="M50" s="801"/>
      <c r="N50" s="801"/>
      <c r="O50" s="802"/>
      <c r="P50"/>
      <c r="Q50" s="9">
        <f>IF(K50="On going",1,0)</f>
        <v>0</v>
      </c>
      <c r="R50" s="10">
        <f>IF(K50="NA",1,0)</f>
        <v>0</v>
      </c>
      <c r="S50" s="10">
        <f>IF(K50="Deviation",1,0)</f>
        <v>0</v>
      </c>
      <c r="T50" s="1">
        <f>IF(K50="In analysis",1,0)</f>
        <v>0</v>
      </c>
      <c r="U50" s="1">
        <f>IF(K50="NOK minor",1,0)</f>
        <v>0</v>
      </c>
      <c r="V50" s="1">
        <f>IF(K50="NOK major",1,0)</f>
        <v>0</v>
      </c>
      <c r="W50" s="7">
        <f>IF(K50="OK",1,0)</f>
        <v>0</v>
      </c>
      <c r="X50" s="9">
        <f>IF($J50="On going",1,0)</f>
        <v>0</v>
      </c>
      <c r="Y50" s="10">
        <f>IF($J50="NA",1,0)</f>
        <v>0</v>
      </c>
      <c r="Z50" s="1">
        <f>IF($J50="NOK",1,0)</f>
        <v>0</v>
      </c>
      <c r="AA50" s="8">
        <f>IF($J50="OK",1,0)</f>
        <v>0</v>
      </c>
    </row>
    <row r="51" spans="1:27" s="2" customFormat="1">
      <c r="A51" s="321"/>
      <c r="B51" s="240" t="str">
        <f>'RFQ response'!C46</f>
        <v>-</v>
      </c>
      <c r="C51" s="237" t="str">
        <f>'RFQ response'!E46</f>
        <v>Connectors tests</v>
      </c>
      <c r="D51" s="74" t="str">
        <f>'RFQ response'!D46</f>
        <v xml:space="preserve">REQ-0994082 </v>
      </c>
      <c r="E51" s="238" t="str">
        <f>'RFQ response'!K46</f>
        <v>NA</v>
      </c>
      <c r="F51" s="75"/>
      <c r="G51" s="74"/>
      <c r="H51" s="74"/>
      <c r="I51" s="95"/>
      <c r="J51" s="75"/>
      <c r="K51" s="74"/>
      <c r="L51" s="74"/>
      <c r="M51" s="173"/>
      <c r="N51" s="239"/>
      <c r="O51" s="239"/>
      <c r="P51"/>
      <c r="Q51" s="9">
        <f t="shared" ref="Q51:Q98" si="69">IF(K51="On going",1,0)</f>
        <v>0</v>
      </c>
      <c r="R51" s="10">
        <f t="shared" ref="R51:R98" si="70">IF(K51="NA",1,0)</f>
        <v>0</v>
      </c>
      <c r="S51" s="10">
        <f t="shared" ref="S51:S98" si="71">IF(K51="Deviation",1,0)</f>
        <v>0</v>
      </c>
      <c r="T51" s="1">
        <f t="shared" ref="T51:T98" si="72">IF(K51="In analysis",1,0)</f>
        <v>0</v>
      </c>
      <c r="U51" s="1">
        <f t="shared" ref="U51:U98" si="73">IF(K51="NOK minor",1,0)</f>
        <v>0</v>
      </c>
      <c r="V51" s="1">
        <f t="shared" ref="V51:V98" si="74">IF(K51="NOK major",1,0)</f>
        <v>0</v>
      </c>
      <c r="W51" s="7">
        <f t="shared" ref="W51:W98" si="75">IF(K51="OK",1,0)</f>
        <v>0</v>
      </c>
      <c r="X51" s="9">
        <f t="shared" si="51"/>
        <v>0</v>
      </c>
      <c r="Y51" s="10">
        <f t="shared" si="52"/>
        <v>0</v>
      </c>
      <c r="Z51" s="1">
        <f t="shared" si="53"/>
        <v>0</v>
      </c>
      <c r="AA51" s="8">
        <f t="shared" si="54"/>
        <v>0</v>
      </c>
    </row>
    <row r="52" spans="1:27" s="2" customFormat="1" ht="22.5" customHeight="1">
      <c r="A52" s="321"/>
      <c r="B52" s="803" t="s">
        <v>450</v>
      </c>
      <c r="C52" s="803"/>
      <c r="D52" s="803"/>
      <c r="E52" s="803"/>
      <c r="F52" s="803"/>
      <c r="G52" s="803"/>
      <c r="H52" s="803"/>
      <c r="I52" s="803"/>
      <c r="J52" s="803"/>
      <c r="K52" s="803"/>
      <c r="L52" s="803"/>
      <c r="M52" s="803"/>
      <c r="N52" s="803"/>
      <c r="O52" s="804"/>
      <c r="P52"/>
      <c r="Q52" s="9">
        <f t="shared" si="69"/>
        <v>0</v>
      </c>
      <c r="R52" s="10">
        <f t="shared" si="70"/>
        <v>0</v>
      </c>
      <c r="S52" s="10">
        <f t="shared" si="71"/>
        <v>0</v>
      </c>
      <c r="T52" s="1">
        <f t="shared" si="72"/>
        <v>0</v>
      </c>
      <c r="U52" s="1">
        <f t="shared" si="73"/>
        <v>0</v>
      </c>
      <c r="V52" s="1">
        <f t="shared" si="74"/>
        <v>0</v>
      </c>
      <c r="W52" s="7">
        <f t="shared" si="75"/>
        <v>0</v>
      </c>
      <c r="X52" s="9">
        <f t="shared" si="51"/>
        <v>0</v>
      </c>
      <c r="Y52" s="10">
        <f t="shared" si="52"/>
        <v>0</v>
      </c>
      <c r="Z52" s="1">
        <f t="shared" si="53"/>
        <v>0</v>
      </c>
      <c r="AA52" s="8">
        <f t="shared" si="54"/>
        <v>0</v>
      </c>
    </row>
    <row r="53" spans="1:27" s="2" customFormat="1">
      <c r="A53" s="321"/>
      <c r="B53" s="240" t="str">
        <f>'RFQ response'!C48</f>
        <v xml:space="preserve"> -</v>
      </c>
      <c r="C53" s="237" t="str">
        <f>'RFQ response'!E48</f>
        <v>Requirements on connectors &amp; wiring harness</v>
      </c>
      <c r="D53" s="74" t="str">
        <f>'RFQ response'!D48</f>
        <v>REQ-0945120</v>
      </c>
      <c r="E53" s="238" t="str">
        <f>'RFQ response'!K48</f>
        <v>NA</v>
      </c>
      <c r="F53" s="75"/>
      <c r="G53" s="74"/>
      <c r="H53" s="74"/>
      <c r="I53" s="95"/>
      <c r="J53" s="75"/>
      <c r="K53" s="74"/>
      <c r="L53" s="74"/>
      <c r="M53" s="173"/>
      <c r="N53" s="239"/>
      <c r="O53" s="239"/>
      <c r="P53"/>
      <c r="Q53" s="9">
        <f t="shared" si="69"/>
        <v>0</v>
      </c>
      <c r="R53" s="10">
        <f t="shared" si="70"/>
        <v>0</v>
      </c>
      <c r="S53" s="10">
        <f t="shared" si="71"/>
        <v>0</v>
      </c>
      <c r="T53" s="1">
        <f t="shared" si="72"/>
        <v>0</v>
      </c>
      <c r="U53" s="1">
        <f t="shared" si="73"/>
        <v>0</v>
      </c>
      <c r="V53" s="1">
        <f t="shared" si="74"/>
        <v>0</v>
      </c>
      <c r="W53" s="7">
        <f t="shared" si="75"/>
        <v>0</v>
      </c>
      <c r="X53" s="9">
        <f t="shared" si="51"/>
        <v>0</v>
      </c>
      <c r="Y53" s="10">
        <f t="shared" si="52"/>
        <v>0</v>
      </c>
      <c r="Z53" s="1">
        <f t="shared" si="53"/>
        <v>0</v>
      </c>
      <c r="AA53" s="8">
        <f t="shared" si="54"/>
        <v>0</v>
      </c>
    </row>
    <row r="54" spans="1:27" s="2" customFormat="1">
      <c r="A54" s="321"/>
      <c r="B54" s="240" t="str">
        <f>'RFQ response'!C49</f>
        <v xml:space="preserve"> -</v>
      </c>
      <c r="C54" s="237" t="str">
        <f>'RFQ response'!E49</f>
        <v>Device restraint performance</v>
      </c>
      <c r="D54" s="74" t="str">
        <f>'RFQ response'!D49</f>
        <v>REQ-0945142</v>
      </c>
      <c r="E54" s="238" t="str">
        <f>'RFQ response'!K49</f>
        <v>NA</v>
      </c>
      <c r="F54" s="75"/>
      <c r="G54" s="74"/>
      <c r="H54" s="74"/>
      <c r="I54" s="95"/>
      <c r="J54" s="75"/>
      <c r="K54" s="74"/>
      <c r="L54" s="74"/>
      <c r="M54" s="173"/>
      <c r="N54" s="239"/>
      <c r="O54" s="239"/>
      <c r="P54"/>
      <c r="Q54" s="9">
        <f t="shared" si="69"/>
        <v>0</v>
      </c>
      <c r="R54" s="10">
        <f t="shared" si="70"/>
        <v>0</v>
      </c>
      <c r="S54" s="10">
        <f t="shared" si="71"/>
        <v>0</v>
      </c>
      <c r="T54" s="1">
        <f t="shared" si="72"/>
        <v>0</v>
      </c>
      <c r="U54" s="1">
        <f t="shared" si="73"/>
        <v>0</v>
      </c>
      <c r="V54" s="1">
        <f t="shared" si="74"/>
        <v>0</v>
      </c>
      <c r="W54" s="7">
        <f t="shared" si="75"/>
        <v>0</v>
      </c>
      <c r="X54" s="9">
        <f t="shared" si="51"/>
        <v>0</v>
      </c>
      <c r="Y54" s="10">
        <f t="shared" si="52"/>
        <v>0</v>
      </c>
      <c r="Z54" s="1">
        <f t="shared" si="53"/>
        <v>0</v>
      </c>
      <c r="AA54" s="8">
        <f t="shared" si="54"/>
        <v>0</v>
      </c>
    </row>
    <row r="55" spans="1:27" s="2" customFormat="1">
      <c r="A55" s="321"/>
      <c r="B55" s="240" t="str">
        <f>'RFQ response'!C50</f>
        <v xml:space="preserve"> -</v>
      </c>
      <c r="C55" s="237" t="str">
        <f>'RFQ response'!E50</f>
        <v>Terminals mechanical resistance</v>
      </c>
      <c r="D55" s="74" t="str">
        <f>'RFQ response'!D50</f>
        <v>REQ-0945143</v>
      </c>
      <c r="E55" s="238" t="str">
        <f>'RFQ response'!K50</f>
        <v>NA</v>
      </c>
      <c r="F55" s="75"/>
      <c r="G55" s="74"/>
      <c r="H55" s="74"/>
      <c r="I55" s="95"/>
      <c r="J55" s="75"/>
      <c r="K55" s="74"/>
      <c r="L55" s="74"/>
      <c r="M55" s="173"/>
      <c r="N55" s="239"/>
      <c r="O55" s="239"/>
      <c r="P55"/>
      <c r="Q55" s="9">
        <f t="shared" si="69"/>
        <v>0</v>
      </c>
      <c r="R55" s="10">
        <f t="shared" si="70"/>
        <v>0</v>
      </c>
      <c r="S55" s="10">
        <f t="shared" si="71"/>
        <v>0</v>
      </c>
      <c r="T55" s="1">
        <f t="shared" si="72"/>
        <v>0</v>
      </c>
      <c r="U55" s="1">
        <f t="shared" si="73"/>
        <v>0</v>
      </c>
      <c r="V55" s="1">
        <f t="shared" si="74"/>
        <v>0</v>
      </c>
      <c r="W55" s="7">
        <f t="shared" si="75"/>
        <v>0</v>
      </c>
      <c r="X55" s="9">
        <f t="shared" si="51"/>
        <v>0</v>
      </c>
      <c r="Y55" s="10">
        <f t="shared" si="52"/>
        <v>0</v>
      </c>
      <c r="Z55" s="1">
        <f t="shared" si="53"/>
        <v>0</v>
      </c>
      <c r="AA55" s="8">
        <f t="shared" si="54"/>
        <v>0</v>
      </c>
    </row>
    <row r="56" spans="1:27" s="2" customFormat="1">
      <c r="A56" s="321"/>
      <c r="B56" s="240" t="str">
        <f>'RFQ response'!C51</f>
        <v xml:space="preserve"> -</v>
      </c>
      <c r="C56" s="237" t="str">
        <f>'RFQ response'!E51</f>
        <v>Mechanical vibration</v>
      </c>
      <c r="D56" s="74" t="str">
        <f>'RFQ response'!D51</f>
        <v>REQ-0945144</v>
      </c>
      <c r="E56" s="238" t="str">
        <f>'RFQ response'!K51</f>
        <v>NA</v>
      </c>
      <c r="F56" s="75"/>
      <c r="G56" s="74"/>
      <c r="H56" s="74"/>
      <c r="I56" s="95"/>
      <c r="J56" s="75"/>
      <c r="K56" s="74"/>
      <c r="L56" s="74"/>
      <c r="M56" s="173"/>
      <c r="N56" s="239"/>
      <c r="O56" s="239"/>
      <c r="P56"/>
      <c r="Q56" s="9">
        <f t="shared" si="69"/>
        <v>0</v>
      </c>
      <c r="R56" s="10">
        <f t="shared" si="70"/>
        <v>0</v>
      </c>
      <c r="S56" s="10">
        <f t="shared" si="71"/>
        <v>0</v>
      </c>
      <c r="T56" s="1">
        <f t="shared" si="72"/>
        <v>0</v>
      </c>
      <c r="U56" s="1">
        <f t="shared" si="73"/>
        <v>0</v>
      </c>
      <c r="V56" s="1">
        <f t="shared" si="74"/>
        <v>0</v>
      </c>
      <c r="W56" s="7">
        <f t="shared" si="75"/>
        <v>0</v>
      </c>
      <c r="X56" s="9">
        <f t="shared" si="51"/>
        <v>0</v>
      </c>
      <c r="Y56" s="10">
        <f t="shared" si="52"/>
        <v>0</v>
      </c>
      <c r="Z56" s="1">
        <f t="shared" si="53"/>
        <v>0</v>
      </c>
      <c r="AA56" s="8">
        <f t="shared" si="54"/>
        <v>0</v>
      </c>
    </row>
    <row r="57" spans="1:27" s="2" customFormat="1">
      <c r="A57" s="321"/>
      <c r="B57" s="240" t="str">
        <f>'RFQ response'!C52</f>
        <v xml:space="preserve"> -</v>
      </c>
      <c r="C57" s="237" t="str">
        <f>'RFQ response'!E52</f>
        <v>Mechanical shock</v>
      </c>
      <c r="D57" s="74" t="str">
        <f>'RFQ response'!D52</f>
        <v>REQ-0945149</v>
      </c>
      <c r="E57" s="238" t="str">
        <f>'RFQ response'!K52</f>
        <v>NA</v>
      </c>
      <c r="F57" s="75"/>
      <c r="G57" s="74"/>
      <c r="H57" s="74"/>
      <c r="I57" s="95"/>
      <c r="J57" s="75"/>
      <c r="K57" s="74"/>
      <c r="L57" s="74"/>
      <c r="M57" s="173"/>
      <c r="N57" s="239"/>
      <c r="O57" s="239"/>
      <c r="P57"/>
      <c r="Q57" s="9">
        <f t="shared" si="69"/>
        <v>0</v>
      </c>
      <c r="R57" s="10">
        <f t="shared" si="70"/>
        <v>0</v>
      </c>
      <c r="S57" s="10">
        <f t="shared" si="71"/>
        <v>0</v>
      </c>
      <c r="T57" s="1">
        <f t="shared" si="72"/>
        <v>0</v>
      </c>
      <c r="U57" s="1">
        <f t="shared" si="73"/>
        <v>0</v>
      </c>
      <c r="V57" s="1">
        <f t="shared" si="74"/>
        <v>0</v>
      </c>
      <c r="W57" s="7">
        <f t="shared" si="75"/>
        <v>0</v>
      </c>
      <c r="X57" s="9">
        <f t="shared" si="51"/>
        <v>0</v>
      </c>
      <c r="Y57" s="10">
        <f t="shared" si="52"/>
        <v>0</v>
      </c>
      <c r="Z57" s="1">
        <f t="shared" si="53"/>
        <v>0</v>
      </c>
      <c r="AA57" s="8">
        <f t="shared" si="54"/>
        <v>0</v>
      </c>
    </row>
    <row r="58" spans="1:27" s="2" customFormat="1">
      <c r="A58" s="321"/>
      <c r="B58" s="240" t="str">
        <f>'RFQ response'!C53</f>
        <v xml:space="preserve"> -</v>
      </c>
      <c r="C58" s="546" t="str">
        <f>'RFQ response'!E53</f>
        <v>Mechanical shock endurance</v>
      </c>
      <c r="D58" s="547" t="str">
        <f>'RFQ response'!D53</f>
        <v xml:space="preserve"> -</v>
      </c>
      <c r="E58" s="548" t="str">
        <f>'RFQ response'!K53</f>
        <v>NA</v>
      </c>
      <c r="F58" s="504"/>
      <c r="G58" s="502"/>
      <c r="H58" s="502"/>
      <c r="I58" s="505"/>
      <c r="J58" s="504"/>
      <c r="K58" s="502"/>
      <c r="L58" s="502"/>
      <c r="M58" s="506"/>
      <c r="N58" s="507"/>
      <c r="O58" s="507"/>
      <c r="P58"/>
      <c r="Q58" s="9">
        <f t="shared" si="69"/>
        <v>0</v>
      </c>
      <c r="R58" s="10">
        <f t="shared" si="70"/>
        <v>0</v>
      </c>
      <c r="S58" s="10">
        <f t="shared" si="71"/>
        <v>0</v>
      </c>
      <c r="T58" s="1">
        <f t="shared" si="72"/>
        <v>0</v>
      </c>
      <c r="U58" s="1">
        <f t="shared" si="73"/>
        <v>0</v>
      </c>
      <c r="V58" s="1">
        <f t="shared" si="74"/>
        <v>0</v>
      </c>
      <c r="W58" s="7">
        <f t="shared" si="75"/>
        <v>0</v>
      </c>
      <c r="X58" s="9">
        <f t="shared" si="51"/>
        <v>0</v>
      </c>
      <c r="Y58" s="10">
        <f t="shared" si="52"/>
        <v>0</v>
      </c>
      <c r="Z58" s="1">
        <f t="shared" si="53"/>
        <v>0</v>
      </c>
      <c r="AA58" s="8">
        <f t="shared" si="54"/>
        <v>0</v>
      </c>
    </row>
    <row r="59" spans="1:27" s="2" customFormat="1">
      <c r="A59" s="321"/>
      <c r="B59" s="240" t="str">
        <f>'RFQ response'!C54</f>
        <v xml:space="preserve"> -</v>
      </c>
      <c r="C59" s="237" t="str">
        <f>'RFQ response'!E54</f>
        <v>Handling drop</v>
      </c>
      <c r="D59" s="74" t="str">
        <f>'RFQ response'!D54</f>
        <v>REQ-0945119</v>
      </c>
      <c r="E59" s="238" t="str">
        <f>'RFQ response'!K54</f>
        <v>NA</v>
      </c>
      <c r="F59" s="75"/>
      <c r="G59" s="74"/>
      <c r="H59" s="74"/>
      <c r="I59" s="95"/>
      <c r="J59" s="75"/>
      <c r="K59" s="74"/>
      <c r="L59" s="74"/>
      <c r="M59" s="173"/>
      <c r="N59" s="239"/>
      <c r="O59" s="239"/>
      <c r="P59"/>
      <c r="Q59" s="9">
        <f t="shared" si="69"/>
        <v>0</v>
      </c>
      <c r="R59" s="10">
        <f t="shared" si="70"/>
        <v>0</v>
      </c>
      <c r="S59" s="10">
        <f t="shared" si="71"/>
        <v>0</v>
      </c>
      <c r="T59" s="1">
        <f t="shared" si="72"/>
        <v>0</v>
      </c>
      <c r="U59" s="1">
        <f t="shared" si="73"/>
        <v>0</v>
      </c>
      <c r="V59" s="1">
        <f t="shared" si="74"/>
        <v>0</v>
      </c>
      <c r="W59" s="7">
        <f t="shared" si="75"/>
        <v>0</v>
      </c>
      <c r="X59" s="9">
        <f t="shared" si="51"/>
        <v>0</v>
      </c>
      <c r="Y59" s="10">
        <f t="shared" si="52"/>
        <v>0</v>
      </c>
      <c r="Z59" s="1">
        <f t="shared" si="53"/>
        <v>0</v>
      </c>
      <c r="AA59" s="8">
        <f t="shared" si="54"/>
        <v>0</v>
      </c>
    </row>
    <row r="60" spans="1:27" s="2" customFormat="1">
      <c r="A60" s="321"/>
      <c r="B60" s="240" t="str">
        <f>'RFQ response'!C55</f>
        <v>MEAE</v>
      </c>
      <c r="C60" s="237" t="str">
        <f>'RFQ response'!E55</f>
        <v>Mechanical (hydraulic) and electrical activation endurance</v>
      </c>
      <c r="D60" s="74" t="str">
        <f>'RFQ response'!D55</f>
        <v>REQ-0945118</v>
      </c>
      <c r="E60" s="238" t="str">
        <f>'RFQ response'!K55</f>
        <v>NA</v>
      </c>
      <c r="F60" s="75"/>
      <c r="G60" s="74"/>
      <c r="H60" s="74"/>
      <c r="I60" s="95"/>
      <c r="J60" s="75"/>
      <c r="K60" s="74"/>
      <c r="L60" s="74"/>
      <c r="M60" s="173"/>
      <c r="N60" s="239"/>
      <c r="O60" s="239"/>
      <c r="P60"/>
      <c r="Q60" s="9">
        <f t="shared" si="69"/>
        <v>0</v>
      </c>
      <c r="R60" s="10">
        <f t="shared" si="70"/>
        <v>0</v>
      </c>
      <c r="S60" s="10">
        <f t="shared" si="71"/>
        <v>0</v>
      </c>
      <c r="T60" s="1">
        <f t="shared" si="72"/>
        <v>0</v>
      </c>
      <c r="U60" s="1">
        <f t="shared" si="73"/>
        <v>0</v>
      </c>
      <c r="V60" s="1">
        <f t="shared" si="74"/>
        <v>0</v>
      </c>
      <c r="W60" s="7">
        <f t="shared" si="75"/>
        <v>0</v>
      </c>
      <c r="X60" s="9">
        <f t="shared" si="51"/>
        <v>0</v>
      </c>
      <c r="Y60" s="10">
        <f t="shared" si="52"/>
        <v>0</v>
      </c>
      <c r="Z60" s="1">
        <f t="shared" si="53"/>
        <v>0</v>
      </c>
      <c r="AA60" s="8">
        <f t="shared" si="54"/>
        <v>0</v>
      </c>
    </row>
    <row r="61" spans="1:27" s="2" customFormat="1">
      <c r="A61" s="321"/>
      <c r="B61" s="240" t="str">
        <f>'RFQ response'!C56</f>
        <v xml:space="preserve"> -</v>
      </c>
      <c r="C61" s="546" t="str">
        <f>'RFQ response'!E56</f>
        <v>Gravel bombardment</v>
      </c>
      <c r="D61" s="547" t="str">
        <f>'RFQ response'!D56</f>
        <v xml:space="preserve"> -</v>
      </c>
      <c r="E61" s="548" t="str">
        <f>'RFQ response'!K56</f>
        <v>NA</v>
      </c>
      <c r="F61" s="504"/>
      <c r="G61" s="502"/>
      <c r="H61" s="502"/>
      <c r="I61" s="505"/>
      <c r="J61" s="504"/>
      <c r="K61" s="502"/>
      <c r="L61" s="502"/>
      <c r="M61" s="506"/>
      <c r="N61" s="507"/>
      <c r="O61" s="507"/>
      <c r="P61"/>
      <c r="Q61" s="9">
        <f t="shared" si="69"/>
        <v>0</v>
      </c>
      <c r="R61" s="10">
        <f t="shared" si="70"/>
        <v>0</v>
      </c>
      <c r="S61" s="10">
        <f t="shared" si="71"/>
        <v>0</v>
      </c>
      <c r="T61" s="1">
        <f t="shared" si="72"/>
        <v>0</v>
      </c>
      <c r="U61" s="1">
        <f t="shared" si="73"/>
        <v>0</v>
      </c>
      <c r="V61" s="1">
        <f t="shared" si="74"/>
        <v>0</v>
      </c>
      <c r="W61" s="7">
        <f t="shared" si="75"/>
        <v>0</v>
      </c>
      <c r="X61" s="9">
        <f t="shared" si="51"/>
        <v>0</v>
      </c>
      <c r="Y61" s="10">
        <f t="shared" si="52"/>
        <v>0</v>
      </c>
      <c r="Z61" s="1">
        <f t="shared" si="53"/>
        <v>0</v>
      </c>
      <c r="AA61" s="8">
        <f t="shared" si="54"/>
        <v>0</v>
      </c>
    </row>
    <row r="62" spans="1:27" s="2" customFormat="1">
      <c r="A62" s="321"/>
      <c r="B62" s="240" t="str">
        <f>'RFQ response'!C57</f>
        <v>SMT1.1</v>
      </c>
      <c r="C62" s="237" t="str">
        <f>'RFQ response'!E57</f>
        <v>Pull Test (200N)</v>
      </c>
      <c r="D62" s="74" t="str">
        <f>'RFQ response'!D57</f>
        <v>REQ-0945079</v>
      </c>
      <c r="E62" s="238" t="str">
        <f>'RFQ response'!K57</f>
        <v>NA</v>
      </c>
      <c r="F62" s="75"/>
      <c r="G62" s="74"/>
      <c r="H62" s="74"/>
      <c r="I62" s="95"/>
      <c r="J62" s="75"/>
      <c r="K62" s="74"/>
      <c r="L62" s="74"/>
      <c r="M62" s="173"/>
      <c r="N62" s="239"/>
      <c r="O62" s="239"/>
      <c r="P62"/>
      <c r="Q62" s="9">
        <f t="shared" si="69"/>
        <v>0</v>
      </c>
      <c r="R62" s="10">
        <f t="shared" si="70"/>
        <v>0</v>
      </c>
      <c r="S62" s="10">
        <f t="shared" si="71"/>
        <v>0</v>
      </c>
      <c r="T62" s="1">
        <f t="shared" si="72"/>
        <v>0</v>
      </c>
      <c r="U62" s="1">
        <f t="shared" si="73"/>
        <v>0</v>
      </c>
      <c r="V62" s="1">
        <f t="shared" si="74"/>
        <v>0</v>
      </c>
      <c r="W62" s="7">
        <f t="shared" si="75"/>
        <v>0</v>
      </c>
      <c r="X62" s="9">
        <f t="shared" si="51"/>
        <v>0</v>
      </c>
      <c r="Y62" s="10">
        <f t="shared" si="52"/>
        <v>0</v>
      </c>
      <c r="Z62" s="1">
        <f t="shared" si="53"/>
        <v>0</v>
      </c>
      <c r="AA62" s="8">
        <f t="shared" si="54"/>
        <v>0</v>
      </c>
    </row>
    <row r="63" spans="1:27" s="2" customFormat="1">
      <c r="A63" s="321"/>
      <c r="B63" s="240" t="str">
        <f>'RFQ response'!C58</f>
        <v>SMT1.2</v>
      </c>
      <c r="C63" s="237" t="str">
        <f>'RFQ response'!E58</f>
        <v>Pull Test (400N)</v>
      </c>
      <c r="D63" s="74" t="str">
        <f>'RFQ response'!D58</f>
        <v>REQ-0945090</v>
      </c>
      <c r="E63" s="238" t="str">
        <f>'RFQ response'!K58</f>
        <v>NA</v>
      </c>
      <c r="F63" s="75"/>
      <c r="G63" s="74"/>
      <c r="H63" s="74"/>
      <c r="I63" s="95"/>
      <c r="J63" s="75"/>
      <c r="K63" s="74"/>
      <c r="L63" s="74"/>
      <c r="M63" s="173"/>
      <c r="N63" s="239"/>
      <c r="O63" s="239"/>
      <c r="P63"/>
      <c r="Q63" s="9">
        <f t="shared" si="69"/>
        <v>0</v>
      </c>
      <c r="R63" s="10">
        <f t="shared" si="70"/>
        <v>0</v>
      </c>
      <c r="S63" s="10">
        <f t="shared" si="71"/>
        <v>0</v>
      </c>
      <c r="T63" s="1">
        <f t="shared" si="72"/>
        <v>0</v>
      </c>
      <c r="U63" s="1">
        <f t="shared" si="73"/>
        <v>0</v>
      </c>
      <c r="V63" s="1">
        <f t="shared" si="74"/>
        <v>0</v>
      </c>
      <c r="W63" s="7">
        <f t="shared" si="75"/>
        <v>0</v>
      </c>
      <c r="X63" s="9">
        <f t="shared" si="51"/>
        <v>0</v>
      </c>
      <c r="Y63" s="10">
        <f t="shared" si="52"/>
        <v>0</v>
      </c>
      <c r="Z63" s="1">
        <f t="shared" si="53"/>
        <v>0</v>
      </c>
      <c r="AA63" s="8">
        <f t="shared" si="54"/>
        <v>0</v>
      </c>
    </row>
    <row r="64" spans="1:27" s="2" customFormat="1">
      <c r="A64" s="321"/>
      <c r="B64" s="240" t="str">
        <f>'RFQ response'!C59</f>
        <v>SMT2.2</v>
      </c>
      <c r="C64" s="237" t="str">
        <f>'RFQ response'!E59</f>
        <v>Folding, unfolding and adjustment noise</v>
      </c>
      <c r="D64" s="74" t="str">
        <f>'RFQ response'!D59</f>
        <v>REQ-0945146</v>
      </c>
      <c r="E64" s="238" t="str">
        <f>'RFQ response'!K59</f>
        <v>NA</v>
      </c>
      <c r="F64" s="75"/>
      <c r="G64" s="74"/>
      <c r="H64" s="74"/>
      <c r="I64" s="95"/>
      <c r="J64" s="75"/>
      <c r="K64" s="74"/>
      <c r="L64" s="74"/>
      <c r="M64" s="173"/>
      <c r="N64" s="239"/>
      <c r="O64" s="239"/>
      <c r="P64"/>
      <c r="Q64" s="9">
        <f t="shared" si="69"/>
        <v>0</v>
      </c>
      <c r="R64" s="10">
        <f t="shared" si="70"/>
        <v>0</v>
      </c>
      <c r="S64" s="10">
        <f t="shared" si="71"/>
        <v>0</v>
      </c>
      <c r="T64" s="1">
        <f t="shared" si="72"/>
        <v>0</v>
      </c>
      <c r="U64" s="1">
        <f t="shared" si="73"/>
        <v>0</v>
      </c>
      <c r="V64" s="1">
        <f t="shared" si="74"/>
        <v>0</v>
      </c>
      <c r="W64" s="7">
        <f t="shared" si="75"/>
        <v>0</v>
      </c>
      <c r="X64" s="9">
        <f t="shared" si="51"/>
        <v>0</v>
      </c>
      <c r="Y64" s="10">
        <f t="shared" si="52"/>
        <v>0</v>
      </c>
      <c r="Z64" s="1">
        <f t="shared" si="53"/>
        <v>0</v>
      </c>
      <c r="AA64" s="8">
        <f t="shared" si="54"/>
        <v>0</v>
      </c>
    </row>
    <row r="65" spans="1:27" s="2" customFormat="1">
      <c r="A65" s="321"/>
      <c r="B65" s="240" t="str">
        <f>'RFQ response'!C60</f>
        <v>SMT2.3</v>
      </c>
      <c r="C65" s="237" t="str">
        <f>'RFQ response'!E60</f>
        <v>Electronic noise</v>
      </c>
      <c r="D65" s="74" t="str">
        <f>'RFQ response'!D60</f>
        <v>REQ-0945147</v>
      </c>
      <c r="E65" s="238" t="str">
        <f>'RFQ response'!K60</f>
        <v>NA</v>
      </c>
      <c r="F65" s="75"/>
      <c r="G65" s="74"/>
      <c r="H65" s="74"/>
      <c r="I65" s="95"/>
      <c r="J65" s="75"/>
      <c r="K65" s="74"/>
      <c r="L65" s="74"/>
      <c r="M65" s="173"/>
      <c r="N65" s="239"/>
      <c r="O65" s="239"/>
      <c r="P65"/>
      <c r="Q65" s="9">
        <f t="shared" si="69"/>
        <v>0</v>
      </c>
      <c r="R65" s="10">
        <f t="shared" si="70"/>
        <v>0</v>
      </c>
      <c r="S65" s="10">
        <f t="shared" si="71"/>
        <v>0</v>
      </c>
      <c r="T65" s="1">
        <f t="shared" si="72"/>
        <v>0</v>
      </c>
      <c r="U65" s="1">
        <f t="shared" si="73"/>
        <v>0</v>
      </c>
      <c r="V65" s="1">
        <f t="shared" si="74"/>
        <v>0</v>
      </c>
      <c r="W65" s="7">
        <f t="shared" si="75"/>
        <v>0</v>
      </c>
      <c r="X65" s="9">
        <f t="shared" si="51"/>
        <v>0</v>
      </c>
      <c r="Y65" s="10">
        <f t="shared" si="52"/>
        <v>0</v>
      </c>
      <c r="Z65" s="1">
        <f t="shared" si="53"/>
        <v>0</v>
      </c>
      <c r="AA65" s="8">
        <f t="shared" si="54"/>
        <v>0</v>
      </c>
    </row>
    <row r="66" spans="1:27" s="2" customFormat="1">
      <c r="A66" s="321"/>
      <c r="B66" s="240" t="str">
        <f>'RFQ response'!C61</f>
        <v>SMT3</v>
      </c>
      <c r="C66" s="237" t="str">
        <f>'RFQ response'!E61</f>
        <v>Unwanted noise – Vibratory organic test</v>
      </c>
      <c r="D66" s="74" t="str">
        <f>'RFQ response'!D61</f>
        <v>REQ-0945148</v>
      </c>
      <c r="E66" s="238" t="str">
        <f>'RFQ response'!K61</f>
        <v>NA</v>
      </c>
      <c r="F66" s="75"/>
      <c r="G66" s="74"/>
      <c r="H66" s="74"/>
      <c r="I66" s="95"/>
      <c r="J66" s="75"/>
      <c r="K66" s="74"/>
      <c r="L66" s="74"/>
      <c r="M66" s="173"/>
      <c r="N66" s="239"/>
      <c r="O66" s="239"/>
      <c r="P66"/>
      <c r="Q66" s="9">
        <f t="shared" si="69"/>
        <v>0</v>
      </c>
      <c r="R66" s="10">
        <f t="shared" si="70"/>
        <v>0</v>
      </c>
      <c r="S66" s="10">
        <f t="shared" si="71"/>
        <v>0</v>
      </c>
      <c r="T66" s="1">
        <f t="shared" si="72"/>
        <v>0</v>
      </c>
      <c r="U66" s="1">
        <f t="shared" si="73"/>
        <v>0</v>
      </c>
      <c r="V66" s="1">
        <f t="shared" si="74"/>
        <v>0</v>
      </c>
      <c r="W66" s="7">
        <f t="shared" si="75"/>
        <v>0</v>
      </c>
      <c r="X66" s="9">
        <f t="shared" si="51"/>
        <v>0</v>
      </c>
      <c r="Y66" s="10">
        <f t="shared" si="52"/>
        <v>0</v>
      </c>
      <c r="Z66" s="1">
        <f t="shared" si="53"/>
        <v>0</v>
      </c>
      <c r="AA66" s="8">
        <f t="shared" si="54"/>
        <v>0</v>
      </c>
    </row>
    <row r="67" spans="1:27" s="2" customFormat="1" ht="15" customHeight="1">
      <c r="A67" s="321"/>
      <c r="B67" s="240" t="str">
        <f>'RFQ response'!C62</f>
        <v>SMT5</v>
      </c>
      <c r="C67" s="237" t="str">
        <f>'RFQ response'!E62</f>
        <v>Endurance test of folding/unfolding of the combiner</v>
      </c>
      <c r="D67" s="74" t="str">
        <f>'RFQ response'!D62</f>
        <v>REQ-0945151</v>
      </c>
      <c r="E67" s="238" t="str">
        <f>'RFQ response'!K62</f>
        <v>NA</v>
      </c>
      <c r="F67" s="75"/>
      <c r="G67" s="74"/>
      <c r="H67" s="74"/>
      <c r="I67" s="95"/>
      <c r="J67" s="75"/>
      <c r="K67" s="74"/>
      <c r="L67" s="74"/>
      <c r="M67" s="173"/>
      <c r="N67" s="239"/>
      <c r="O67" s="239"/>
      <c r="P67"/>
      <c r="Q67" s="9">
        <f t="shared" si="69"/>
        <v>0</v>
      </c>
      <c r="R67" s="10">
        <f t="shared" si="70"/>
        <v>0</v>
      </c>
      <c r="S67" s="10">
        <f t="shared" si="71"/>
        <v>0</v>
      </c>
      <c r="T67" s="1">
        <f t="shared" si="72"/>
        <v>0</v>
      </c>
      <c r="U67" s="1">
        <f t="shared" si="73"/>
        <v>0</v>
      </c>
      <c r="V67" s="1">
        <f t="shared" si="74"/>
        <v>0</v>
      </c>
      <c r="W67" s="7">
        <f t="shared" si="75"/>
        <v>0</v>
      </c>
      <c r="X67" s="9">
        <f t="shared" si="51"/>
        <v>0</v>
      </c>
      <c r="Y67" s="10">
        <f t="shared" si="52"/>
        <v>0</v>
      </c>
      <c r="Z67" s="1">
        <f t="shared" si="53"/>
        <v>0</v>
      </c>
      <c r="AA67" s="8">
        <f t="shared" si="54"/>
        <v>0</v>
      </c>
    </row>
    <row r="68" spans="1:27" s="2" customFormat="1" ht="15" customHeight="1">
      <c r="A68" s="321"/>
      <c r="B68" s="240" t="str">
        <f>'RFQ response'!C63</f>
        <v>SMT6.1</v>
      </c>
      <c r="C68" s="237" t="str">
        <f>'RFQ response'!E63</f>
        <v>Capacitive detection test without gloves</v>
      </c>
      <c r="D68" s="74" t="str">
        <f>'RFQ response'!D63</f>
        <v>REQ-0945152</v>
      </c>
      <c r="E68" s="238" t="str">
        <f>'RFQ response'!K63</f>
        <v>NA</v>
      </c>
      <c r="F68" s="75"/>
      <c r="G68" s="74"/>
      <c r="H68" s="74"/>
      <c r="I68" s="95"/>
      <c r="J68" s="75"/>
      <c r="K68" s="74"/>
      <c r="L68" s="74"/>
      <c r="M68" s="173"/>
      <c r="N68" s="239"/>
      <c r="O68" s="239"/>
      <c r="P68"/>
      <c r="Q68" s="9"/>
      <c r="R68" s="10"/>
      <c r="S68" s="10"/>
      <c r="T68" s="1"/>
      <c r="U68" s="1"/>
      <c r="V68" s="1"/>
      <c r="W68" s="7"/>
      <c r="X68" s="9"/>
      <c r="Y68" s="10"/>
      <c r="Z68" s="1"/>
      <c r="AA68" s="8"/>
    </row>
    <row r="69" spans="1:27" s="2" customFormat="1" ht="15" customHeight="1">
      <c r="A69" s="321"/>
      <c r="B69" s="240" t="str">
        <f>'RFQ response'!C64</f>
        <v>SMT6.2</v>
      </c>
      <c r="C69" s="237" t="str">
        <f>'RFQ response'!E64</f>
        <v>Capacitive detection test with thin gloves</v>
      </c>
      <c r="D69" s="74" t="str">
        <f>'RFQ response'!D64</f>
        <v>REQ-0945153</v>
      </c>
      <c r="E69" s="238" t="str">
        <f>'RFQ response'!K64</f>
        <v>NA</v>
      </c>
      <c r="F69" s="75"/>
      <c r="G69" s="74"/>
      <c r="H69" s="74"/>
      <c r="I69" s="95"/>
      <c r="J69" s="75"/>
      <c r="K69" s="74"/>
      <c r="L69" s="74"/>
      <c r="M69" s="173"/>
      <c r="N69" s="239"/>
      <c r="O69" s="239"/>
      <c r="P69"/>
      <c r="Q69" s="9"/>
      <c r="R69" s="10"/>
      <c r="S69" s="10"/>
      <c r="T69" s="1"/>
      <c r="U69" s="1"/>
      <c r="V69" s="1"/>
      <c r="W69" s="7"/>
      <c r="X69" s="9"/>
      <c r="Y69" s="10"/>
      <c r="Z69" s="1"/>
      <c r="AA69" s="8"/>
    </row>
    <row r="70" spans="1:27" s="2" customFormat="1" ht="15" customHeight="1">
      <c r="A70" s="321"/>
      <c r="B70" s="240" t="str">
        <f>'RFQ response'!C65</f>
        <v>SMT7</v>
      </c>
      <c r="C70" s="237" t="str">
        <f>'RFQ response'!E65</f>
        <v>Edge cover lens hardness test (falling ball)</v>
      </c>
      <c r="D70" s="74" t="str">
        <f>'RFQ response'!D65</f>
        <v>REQ-0945154</v>
      </c>
      <c r="E70" s="238" t="str">
        <f>'RFQ response'!K65</f>
        <v>NA</v>
      </c>
      <c r="F70" s="75"/>
      <c r="G70" s="74"/>
      <c r="H70" s="74"/>
      <c r="I70" s="95"/>
      <c r="J70" s="75"/>
      <c r="K70" s="74"/>
      <c r="L70" s="74"/>
      <c r="M70" s="173"/>
      <c r="N70" s="239"/>
      <c r="O70" s="239"/>
      <c r="P70"/>
      <c r="Q70" s="9"/>
      <c r="R70" s="10"/>
      <c r="S70" s="10"/>
      <c r="T70" s="1"/>
      <c r="U70" s="1"/>
      <c r="V70" s="1"/>
      <c r="W70" s="7"/>
      <c r="X70" s="9"/>
      <c r="Y70" s="10"/>
      <c r="Z70" s="1"/>
      <c r="AA70" s="8"/>
    </row>
    <row r="71" spans="1:27" s="2" customFormat="1" ht="15" customHeight="1">
      <c r="A71" s="321"/>
      <c r="B71" s="240" t="str">
        <f>'RFQ response'!C66</f>
        <v>SMT8.1</v>
      </c>
      <c r="C71" s="237" t="str">
        <f>'RFQ response'!E66</f>
        <v>Indentation</v>
      </c>
      <c r="D71" s="74" t="str">
        <f>'RFQ response'!D66</f>
        <v>REQ-0945091</v>
      </c>
      <c r="E71" s="238" t="str">
        <f>'RFQ response'!K66</f>
        <v>NA</v>
      </c>
      <c r="F71" s="75"/>
      <c r="G71" s="74"/>
      <c r="H71" s="74"/>
      <c r="I71" s="95"/>
      <c r="J71" s="75"/>
      <c r="K71" s="74"/>
      <c r="L71" s="74"/>
      <c r="M71" s="173"/>
      <c r="N71" s="239"/>
      <c r="O71" s="239"/>
      <c r="P71"/>
      <c r="Q71" s="9"/>
      <c r="R71" s="10"/>
      <c r="S71" s="10"/>
      <c r="T71" s="1"/>
      <c r="U71" s="1"/>
      <c r="V71" s="1"/>
      <c r="W71" s="7"/>
      <c r="X71" s="9"/>
      <c r="Y71" s="10"/>
      <c r="Z71" s="1"/>
      <c r="AA71" s="8"/>
    </row>
    <row r="72" spans="1:27" s="2" customFormat="1" ht="33.75">
      <c r="A72" s="321"/>
      <c r="B72" s="240" t="str">
        <f>'RFQ response'!C67</f>
        <v>SMT8.2</v>
      </c>
      <c r="C72" s="237" t="str">
        <f>'RFQ response'!E67</f>
        <v>Rigidity of the frontage</v>
      </c>
      <c r="D72" s="74" t="str">
        <f>'RFQ response'!D67</f>
        <v>REQ-0945162
REQ-0945180
REQ-0945181</v>
      </c>
      <c r="E72" s="238" t="str">
        <f>'RFQ response'!K67</f>
        <v>NA</v>
      </c>
      <c r="F72" s="75"/>
      <c r="G72" s="74"/>
      <c r="H72" s="74"/>
      <c r="I72" s="95"/>
      <c r="J72" s="75"/>
      <c r="K72" s="74"/>
      <c r="L72" s="74"/>
      <c r="M72" s="173"/>
      <c r="N72" s="239"/>
      <c r="O72" s="239"/>
      <c r="P72"/>
      <c r="Q72" s="9"/>
      <c r="R72" s="10"/>
      <c r="S72" s="10"/>
      <c r="T72" s="1"/>
      <c r="U72" s="1"/>
      <c r="V72" s="1"/>
      <c r="W72" s="7"/>
      <c r="X72" s="9"/>
      <c r="Y72" s="10"/>
      <c r="Z72" s="1"/>
      <c r="AA72" s="8"/>
    </row>
    <row r="73" spans="1:27" s="2" customFormat="1">
      <c r="A73" s="321"/>
      <c r="B73" s="240" t="str">
        <f>'RFQ response'!C68</f>
        <v>SMT8.4</v>
      </c>
      <c r="C73" s="237" t="str">
        <f>'RFQ response'!E68</f>
        <v>Exceptional effort on the floating display</v>
      </c>
      <c r="D73" s="74" t="str">
        <f>'RFQ response'!D68</f>
        <v>REQ-0945184</v>
      </c>
      <c r="E73" s="238" t="str">
        <f>'RFQ response'!K68</f>
        <v>NA</v>
      </c>
      <c r="F73" s="75"/>
      <c r="G73" s="74"/>
      <c r="H73" s="74"/>
      <c r="I73" s="95"/>
      <c r="J73" s="75"/>
      <c r="K73" s="74"/>
      <c r="L73" s="74"/>
      <c r="M73" s="173"/>
      <c r="N73" s="239"/>
      <c r="O73" s="239"/>
      <c r="P73"/>
      <c r="Q73" s="9"/>
      <c r="R73" s="10"/>
      <c r="S73" s="10"/>
      <c r="T73" s="1"/>
      <c r="U73" s="1"/>
      <c r="V73" s="1"/>
      <c r="W73" s="7"/>
      <c r="X73" s="9"/>
      <c r="Y73" s="10"/>
      <c r="Z73" s="1"/>
      <c r="AA73" s="8"/>
    </row>
    <row r="74" spans="1:27" s="2" customFormat="1" ht="22.5">
      <c r="A74" s="321"/>
      <c r="B74" s="240" t="str">
        <f>'RFQ response'!C69</f>
        <v>SMT8.5</v>
      </c>
      <c r="C74" s="237" t="str">
        <f>'RFQ response'!E69</f>
        <v>Rigidity of the finger rest</v>
      </c>
      <c r="D74" s="74" t="str">
        <f>'RFQ response'!D69</f>
        <v>REQ-0945185
REQ-0945186</v>
      </c>
      <c r="E74" s="238" t="str">
        <f>'RFQ response'!K69</f>
        <v>NA</v>
      </c>
      <c r="F74" s="75"/>
      <c r="G74" s="74"/>
      <c r="H74" s="74"/>
      <c r="I74" s="95"/>
      <c r="J74" s="75"/>
      <c r="K74" s="74"/>
      <c r="L74" s="74"/>
      <c r="M74" s="173"/>
      <c r="N74" s="239"/>
      <c r="O74" s="239"/>
      <c r="P74"/>
      <c r="Q74" s="9"/>
      <c r="R74" s="10"/>
      <c r="S74" s="10"/>
      <c r="T74" s="1"/>
      <c r="U74" s="1"/>
      <c r="V74" s="1"/>
      <c r="W74" s="7"/>
      <c r="X74" s="9"/>
      <c r="Y74" s="10"/>
      <c r="Z74" s="1"/>
      <c r="AA74" s="8"/>
    </row>
    <row r="75" spans="1:27" s="2" customFormat="1">
      <c r="A75" s="321"/>
      <c r="B75" s="240" t="str">
        <f>'RFQ response'!C70</f>
        <v>SMT9</v>
      </c>
      <c r="C75" s="237" t="str">
        <f>'RFQ response'!E70</f>
        <v>Coatings performance tests for display cover lenses</v>
      </c>
      <c r="D75" s="74" t="str">
        <f>'RFQ response'!D70</f>
        <v>REQ-0945179</v>
      </c>
      <c r="E75" s="238" t="str">
        <f>'RFQ response'!K70</f>
        <v>NA</v>
      </c>
      <c r="F75" s="75"/>
      <c r="G75" s="74"/>
      <c r="H75" s="74"/>
      <c r="I75" s="95"/>
      <c r="J75" s="75"/>
      <c r="K75" s="74"/>
      <c r="L75" s="74"/>
      <c r="M75" s="173"/>
      <c r="N75" s="239"/>
      <c r="O75" s="239"/>
      <c r="P75"/>
      <c r="Q75" s="9"/>
      <c r="R75" s="10"/>
      <c r="S75" s="10"/>
      <c r="T75" s="1"/>
      <c r="U75" s="1"/>
      <c r="V75" s="1"/>
      <c r="W75" s="7"/>
      <c r="X75" s="9"/>
      <c r="Y75" s="10"/>
      <c r="Z75" s="1"/>
      <c r="AA75" s="8"/>
    </row>
    <row r="76" spans="1:27" s="2" customFormat="1" ht="15" customHeight="1">
      <c r="A76" s="321"/>
      <c r="B76" s="805" t="s">
        <v>458</v>
      </c>
      <c r="C76" s="805"/>
      <c r="D76" s="805"/>
      <c r="E76" s="805"/>
      <c r="F76" s="805"/>
      <c r="G76" s="805"/>
      <c r="H76" s="805"/>
      <c r="I76" s="805"/>
      <c r="J76" s="805"/>
      <c r="K76" s="805"/>
      <c r="L76" s="805"/>
      <c r="M76" s="805"/>
      <c r="N76" s="805"/>
      <c r="O76" s="806"/>
      <c r="P76"/>
      <c r="Q76" s="9">
        <f t="shared" si="69"/>
        <v>0</v>
      </c>
      <c r="R76" s="10">
        <f t="shared" si="70"/>
        <v>0</v>
      </c>
      <c r="S76" s="10">
        <f t="shared" si="71"/>
        <v>0</v>
      </c>
      <c r="T76" s="1">
        <f t="shared" si="72"/>
        <v>0</v>
      </c>
      <c r="U76" s="1">
        <f t="shared" si="73"/>
        <v>0</v>
      </c>
      <c r="V76" s="1">
        <f t="shared" si="74"/>
        <v>0</v>
      </c>
      <c r="W76" s="7">
        <f t="shared" si="75"/>
        <v>0</v>
      </c>
      <c r="X76" s="9">
        <f t="shared" si="51"/>
        <v>0</v>
      </c>
      <c r="Y76" s="10">
        <f t="shared" si="52"/>
        <v>0</v>
      </c>
      <c r="Z76" s="1">
        <f t="shared" si="53"/>
        <v>0</v>
      </c>
      <c r="AA76" s="8">
        <f t="shared" si="54"/>
        <v>0</v>
      </c>
    </row>
    <row r="77" spans="1:27" s="2" customFormat="1">
      <c r="A77" s="321"/>
      <c r="B77" s="240" t="str">
        <f>'RFQ response'!C72</f>
        <v>SSTE</v>
      </c>
      <c r="C77" s="237" t="str">
        <f>'RFQ response'!E72</f>
        <v>Shipping / Storage Temperature Exposure</v>
      </c>
      <c r="D77" s="74" t="str">
        <f>'RFQ response'!D72</f>
        <v>REQ-0945155</v>
      </c>
      <c r="E77" s="238" t="str">
        <f>'RFQ response'!K72</f>
        <v>NA</v>
      </c>
      <c r="F77" s="75"/>
      <c r="G77" s="74"/>
      <c r="H77" s="74"/>
      <c r="I77" s="95"/>
      <c r="J77" s="75"/>
      <c r="K77" s="74"/>
      <c r="L77" s="74"/>
      <c r="M77" s="173"/>
      <c r="N77" s="239"/>
      <c r="O77" s="239"/>
      <c r="P77"/>
      <c r="Q77" s="9">
        <f t="shared" si="69"/>
        <v>0</v>
      </c>
      <c r="R77" s="10">
        <f t="shared" si="70"/>
        <v>0</v>
      </c>
      <c r="S77" s="10">
        <f t="shared" si="71"/>
        <v>0</v>
      </c>
      <c r="T77" s="1">
        <f t="shared" si="72"/>
        <v>0</v>
      </c>
      <c r="U77" s="1">
        <f t="shared" si="73"/>
        <v>0</v>
      </c>
      <c r="V77" s="1">
        <f t="shared" si="74"/>
        <v>0</v>
      </c>
      <c r="W77" s="7">
        <f t="shared" si="75"/>
        <v>0</v>
      </c>
      <c r="X77" s="9">
        <f t="shared" si="51"/>
        <v>0</v>
      </c>
      <c r="Y77" s="10">
        <f t="shared" si="52"/>
        <v>0</v>
      </c>
      <c r="Z77" s="1">
        <f t="shared" si="53"/>
        <v>0</v>
      </c>
      <c r="AA77" s="8">
        <f t="shared" si="54"/>
        <v>0</v>
      </c>
    </row>
    <row r="78" spans="1:27" s="2" customFormat="1">
      <c r="A78" s="321"/>
      <c r="B78" s="240" t="str">
        <f>'RFQ response'!C73</f>
        <v>LTOE</v>
      </c>
      <c r="C78" s="237" t="str">
        <f>'RFQ response'!E73</f>
        <v>Low Temperature Operating Endurance</v>
      </c>
      <c r="D78" s="74" t="str">
        <f>'RFQ response'!D73</f>
        <v>REQ-0945156</v>
      </c>
      <c r="E78" s="238" t="str">
        <f>'RFQ response'!K73</f>
        <v>NA</v>
      </c>
      <c r="F78" s="75"/>
      <c r="G78" s="74"/>
      <c r="H78" s="74"/>
      <c r="I78" s="95"/>
      <c r="J78" s="75"/>
      <c r="K78" s="74"/>
      <c r="L78" s="74"/>
      <c r="M78" s="173"/>
      <c r="N78" s="239"/>
      <c r="O78" s="239"/>
      <c r="P78"/>
      <c r="Q78" s="9">
        <f t="shared" si="69"/>
        <v>0</v>
      </c>
      <c r="R78" s="10">
        <f t="shared" si="70"/>
        <v>0</v>
      </c>
      <c r="S78" s="10">
        <f t="shared" si="71"/>
        <v>0</v>
      </c>
      <c r="T78" s="1">
        <f t="shared" si="72"/>
        <v>0</v>
      </c>
      <c r="U78" s="1">
        <f t="shared" si="73"/>
        <v>0</v>
      </c>
      <c r="V78" s="1">
        <f t="shared" si="74"/>
        <v>0</v>
      </c>
      <c r="W78" s="7">
        <f t="shared" si="75"/>
        <v>0</v>
      </c>
      <c r="X78" s="9">
        <f t="shared" si="51"/>
        <v>0</v>
      </c>
      <c r="Y78" s="10">
        <f t="shared" si="52"/>
        <v>0</v>
      </c>
      <c r="Z78" s="1">
        <f t="shared" si="53"/>
        <v>0</v>
      </c>
      <c r="AA78" s="8">
        <f t="shared" si="54"/>
        <v>0</v>
      </c>
    </row>
    <row r="79" spans="1:27" s="2" customFormat="1">
      <c r="A79" s="321"/>
      <c r="B79" s="240" t="str">
        <f>'RFQ response'!C74</f>
        <v>-</v>
      </c>
      <c r="C79" s="237" t="str">
        <f>'RFQ response'!E74</f>
        <v>Temperature Step</v>
      </c>
      <c r="D79" s="74" t="str">
        <f>'RFQ response'!D74</f>
        <v>REQ-0945157</v>
      </c>
      <c r="E79" s="238" t="str">
        <f>'RFQ response'!K74</f>
        <v>NA</v>
      </c>
      <c r="F79" s="75"/>
      <c r="G79" s="74"/>
      <c r="H79" s="74"/>
      <c r="I79" s="95"/>
      <c r="J79" s="75"/>
      <c r="K79" s="74"/>
      <c r="L79" s="74"/>
      <c r="M79" s="173"/>
      <c r="N79" s="239"/>
      <c r="O79" s="239"/>
      <c r="P79"/>
      <c r="Q79" s="9">
        <f t="shared" si="69"/>
        <v>0</v>
      </c>
      <c r="R79" s="10">
        <f t="shared" si="70"/>
        <v>0</v>
      </c>
      <c r="S79" s="10">
        <f t="shared" si="71"/>
        <v>0</v>
      </c>
      <c r="T79" s="1">
        <f t="shared" si="72"/>
        <v>0</v>
      </c>
      <c r="U79" s="1">
        <f t="shared" si="73"/>
        <v>0</v>
      </c>
      <c r="V79" s="1">
        <f t="shared" si="74"/>
        <v>0</v>
      </c>
      <c r="W79" s="7">
        <f t="shared" si="75"/>
        <v>0</v>
      </c>
      <c r="X79" s="9">
        <f t="shared" si="51"/>
        <v>0</v>
      </c>
      <c r="Y79" s="10">
        <f t="shared" si="52"/>
        <v>0</v>
      </c>
      <c r="Z79" s="1">
        <f t="shared" si="53"/>
        <v>0</v>
      </c>
      <c r="AA79" s="8">
        <f t="shared" si="54"/>
        <v>0</v>
      </c>
    </row>
    <row r="80" spans="1:27" s="2" customFormat="1">
      <c r="A80" s="321"/>
      <c r="B80" s="240" t="str">
        <f>'RFQ response'!C75</f>
        <v>HTOE</v>
      </c>
      <c r="C80" s="237" t="str">
        <f>'RFQ response'!E75</f>
        <v>High Temperature Operating Endurance</v>
      </c>
      <c r="D80" s="74" t="str">
        <f>'RFQ response'!D75</f>
        <v>REQ-0945158</v>
      </c>
      <c r="E80" s="238" t="str">
        <f>'RFQ response'!K75</f>
        <v>NA</v>
      </c>
      <c r="F80" s="75"/>
      <c r="G80" s="74"/>
      <c r="H80" s="74"/>
      <c r="I80" s="95"/>
      <c r="J80" s="75"/>
      <c r="K80" s="74"/>
      <c r="L80" s="74"/>
      <c r="M80" s="173"/>
      <c r="N80" s="239"/>
      <c r="O80" s="239"/>
      <c r="P80"/>
      <c r="Q80" s="9">
        <f t="shared" si="69"/>
        <v>0</v>
      </c>
      <c r="R80" s="10">
        <f t="shared" si="70"/>
        <v>0</v>
      </c>
      <c r="S80" s="10">
        <f t="shared" si="71"/>
        <v>0</v>
      </c>
      <c r="T80" s="1">
        <f t="shared" si="72"/>
        <v>0</v>
      </c>
      <c r="U80" s="1">
        <f t="shared" si="73"/>
        <v>0</v>
      </c>
      <c r="V80" s="1">
        <f t="shared" si="74"/>
        <v>0</v>
      </c>
      <c r="W80" s="7">
        <f t="shared" si="75"/>
        <v>0</v>
      </c>
      <c r="X80" s="9">
        <f t="shared" si="51"/>
        <v>0</v>
      </c>
      <c r="Y80" s="10">
        <f t="shared" si="52"/>
        <v>0</v>
      </c>
      <c r="Z80" s="1">
        <f t="shared" si="53"/>
        <v>0</v>
      </c>
      <c r="AA80" s="8">
        <f t="shared" si="54"/>
        <v>0</v>
      </c>
    </row>
    <row r="81" spans="1:27" s="2" customFormat="1">
      <c r="A81" s="321"/>
      <c r="B81" s="240" t="str">
        <f>'RFQ response'!C76</f>
        <v>PTCE</v>
      </c>
      <c r="C81" s="237" t="str">
        <f>'RFQ response'!E76</f>
        <v>Power Thermal Cycle Endurance</v>
      </c>
      <c r="D81" s="74" t="str">
        <f>'RFQ response'!D76</f>
        <v>REQ-0945163</v>
      </c>
      <c r="E81" s="238" t="str">
        <f>'RFQ response'!K76</f>
        <v>NA</v>
      </c>
      <c r="F81" s="75"/>
      <c r="G81" s="74"/>
      <c r="H81" s="74"/>
      <c r="I81" s="95"/>
      <c r="J81" s="75"/>
      <c r="K81" s="74"/>
      <c r="L81" s="74"/>
      <c r="M81" s="173"/>
      <c r="N81" s="239"/>
      <c r="O81" s="239"/>
      <c r="P81"/>
      <c r="Q81" s="9">
        <f t="shared" si="69"/>
        <v>0</v>
      </c>
      <c r="R81" s="10">
        <f t="shared" si="70"/>
        <v>0</v>
      </c>
      <c r="S81" s="10">
        <f t="shared" si="71"/>
        <v>0</v>
      </c>
      <c r="T81" s="1">
        <f t="shared" si="72"/>
        <v>0</v>
      </c>
      <c r="U81" s="1">
        <f t="shared" si="73"/>
        <v>0</v>
      </c>
      <c r="V81" s="1">
        <f t="shared" si="74"/>
        <v>0</v>
      </c>
      <c r="W81" s="7">
        <f t="shared" si="75"/>
        <v>0</v>
      </c>
      <c r="X81" s="9">
        <f t="shared" si="51"/>
        <v>0</v>
      </c>
      <c r="Y81" s="10">
        <f t="shared" si="52"/>
        <v>0</v>
      </c>
      <c r="Z81" s="1">
        <f t="shared" si="53"/>
        <v>0</v>
      </c>
      <c r="AA81" s="8">
        <f t="shared" si="54"/>
        <v>0</v>
      </c>
    </row>
    <row r="82" spans="1:27" s="2" customFormat="1">
      <c r="A82" s="321"/>
      <c r="B82" s="240" t="str">
        <f>'RFQ response'!C77</f>
        <v>TS</v>
      </c>
      <c r="C82" s="237" t="str">
        <f>'RFQ response'!E77</f>
        <v>Thermal Shock</v>
      </c>
      <c r="D82" s="74" t="str">
        <f>'RFQ response'!D77</f>
        <v>REQ-0945159</v>
      </c>
      <c r="E82" s="238" t="str">
        <f>'RFQ response'!K77</f>
        <v>NA</v>
      </c>
      <c r="F82" s="75"/>
      <c r="G82" s="74"/>
      <c r="H82" s="74"/>
      <c r="I82" s="95"/>
      <c r="J82" s="75"/>
      <c r="K82" s="74"/>
      <c r="L82" s="74"/>
      <c r="M82" s="173"/>
      <c r="N82" s="239"/>
      <c r="O82" s="239"/>
      <c r="P82"/>
      <c r="Q82" s="9">
        <f t="shared" si="69"/>
        <v>0</v>
      </c>
      <c r="R82" s="10">
        <f t="shared" si="70"/>
        <v>0</v>
      </c>
      <c r="S82" s="10">
        <f t="shared" si="71"/>
        <v>0</v>
      </c>
      <c r="T82" s="1">
        <f t="shared" si="72"/>
        <v>0</v>
      </c>
      <c r="U82" s="1">
        <f t="shared" si="73"/>
        <v>0</v>
      </c>
      <c r="V82" s="1">
        <f t="shared" si="74"/>
        <v>0</v>
      </c>
      <c r="W82" s="7">
        <f t="shared" si="75"/>
        <v>0</v>
      </c>
      <c r="X82" s="9">
        <f t="shared" si="51"/>
        <v>0</v>
      </c>
      <c r="Y82" s="10">
        <f t="shared" si="52"/>
        <v>0</v>
      </c>
      <c r="Z82" s="1">
        <f t="shared" si="53"/>
        <v>0</v>
      </c>
      <c r="AA82" s="8">
        <f t="shared" si="54"/>
        <v>0</v>
      </c>
    </row>
    <row r="83" spans="1:27" s="2" customFormat="1">
      <c r="A83" s="321"/>
      <c r="B83" s="240" t="str">
        <f>'RFQ response'!C78</f>
        <v>THC</v>
      </c>
      <c r="C83" s="237" t="str">
        <f>'RFQ response'!E78</f>
        <v>Thermal Humidity Cycle</v>
      </c>
      <c r="D83" s="74" t="str">
        <f>'RFQ response'!D78</f>
        <v>REQ-0945160</v>
      </c>
      <c r="E83" s="238" t="str">
        <f>'RFQ response'!K78</f>
        <v>NA</v>
      </c>
      <c r="F83" s="75"/>
      <c r="G83" s="74"/>
      <c r="H83" s="74"/>
      <c r="I83" s="95"/>
      <c r="J83" s="75"/>
      <c r="K83" s="74"/>
      <c r="L83" s="74"/>
      <c r="M83" s="173"/>
      <c r="N83" s="239"/>
      <c r="O83" s="239"/>
      <c r="P83"/>
      <c r="Q83" s="9">
        <f t="shared" si="69"/>
        <v>0</v>
      </c>
      <c r="R83" s="10">
        <f t="shared" si="70"/>
        <v>0</v>
      </c>
      <c r="S83" s="10">
        <f t="shared" si="71"/>
        <v>0</v>
      </c>
      <c r="T83" s="1">
        <f t="shared" si="72"/>
        <v>0</v>
      </c>
      <c r="U83" s="1">
        <f t="shared" si="73"/>
        <v>0</v>
      </c>
      <c r="V83" s="1">
        <f t="shared" si="74"/>
        <v>0</v>
      </c>
      <c r="W83" s="7">
        <f t="shared" si="75"/>
        <v>0</v>
      </c>
      <c r="X83" s="9">
        <f t="shared" si="51"/>
        <v>0</v>
      </c>
      <c r="Y83" s="10">
        <f t="shared" si="52"/>
        <v>0</v>
      </c>
      <c r="Z83" s="1">
        <f t="shared" si="53"/>
        <v>0</v>
      </c>
      <c r="AA83" s="8">
        <f t="shared" si="54"/>
        <v>0</v>
      </c>
    </row>
    <row r="84" spans="1:27" s="2" customFormat="1">
      <c r="A84" s="321"/>
      <c r="B84" s="240" t="str">
        <f>'RFQ response'!C79</f>
        <v>HTHE</v>
      </c>
      <c r="C84" s="237" t="str">
        <f>'RFQ response'!E79</f>
        <v>High Temperature &amp; High Humidity Endurance</v>
      </c>
      <c r="D84" s="74" t="str">
        <f>'RFQ response'!D79</f>
        <v>REQ-0945161</v>
      </c>
      <c r="E84" s="238" t="str">
        <f>'RFQ response'!K79</f>
        <v>NA</v>
      </c>
      <c r="F84" s="75"/>
      <c r="G84" s="74"/>
      <c r="H84" s="74"/>
      <c r="I84" s="95"/>
      <c r="J84" s="75"/>
      <c r="K84" s="74"/>
      <c r="L84" s="74"/>
      <c r="M84" s="173"/>
      <c r="N84" s="239"/>
      <c r="O84" s="239"/>
      <c r="P84"/>
      <c r="Q84" s="9">
        <f t="shared" si="69"/>
        <v>0</v>
      </c>
      <c r="R84" s="10">
        <f t="shared" si="70"/>
        <v>0</v>
      </c>
      <c r="S84" s="10">
        <f t="shared" si="71"/>
        <v>0</v>
      </c>
      <c r="T84" s="1">
        <f t="shared" si="72"/>
        <v>0</v>
      </c>
      <c r="U84" s="1">
        <f t="shared" si="73"/>
        <v>0</v>
      </c>
      <c r="V84" s="1">
        <f t="shared" si="74"/>
        <v>0</v>
      </c>
      <c r="W84" s="7">
        <f t="shared" si="75"/>
        <v>0</v>
      </c>
      <c r="X84" s="9">
        <f t="shared" si="51"/>
        <v>0</v>
      </c>
      <c r="Y84" s="10">
        <f t="shared" si="52"/>
        <v>0</v>
      </c>
      <c r="Z84" s="1">
        <f t="shared" si="53"/>
        <v>0</v>
      </c>
      <c r="AA84" s="8">
        <f t="shared" si="54"/>
        <v>0</v>
      </c>
    </row>
    <row r="85" spans="1:27" s="2" customFormat="1">
      <c r="A85" s="321"/>
      <c r="B85" s="240" t="str">
        <f>'RFQ response'!C80</f>
        <v>CL06</v>
      </c>
      <c r="C85" s="237" t="str">
        <f>'RFQ response'!E80</f>
        <v>Self-heating measurement</v>
      </c>
      <c r="D85" s="74" t="str">
        <f>'RFQ response'!D80</f>
        <v>REQ-0945127</v>
      </c>
      <c r="E85" s="238" t="str">
        <f>'RFQ response'!K80</f>
        <v>NA</v>
      </c>
      <c r="F85" s="75"/>
      <c r="G85" s="74"/>
      <c r="H85" s="74"/>
      <c r="I85" s="95"/>
      <c r="J85" s="75"/>
      <c r="K85" s="74"/>
      <c r="L85" s="74"/>
      <c r="M85" s="173"/>
      <c r="N85" s="239"/>
      <c r="O85" s="239"/>
      <c r="P85"/>
      <c r="Q85" s="9">
        <f t="shared" si="69"/>
        <v>0</v>
      </c>
      <c r="R85" s="10">
        <f t="shared" si="70"/>
        <v>0</v>
      </c>
      <c r="S85" s="10">
        <f t="shared" si="71"/>
        <v>0</v>
      </c>
      <c r="T85" s="1">
        <f t="shared" si="72"/>
        <v>0</v>
      </c>
      <c r="U85" s="1">
        <f t="shared" si="73"/>
        <v>0</v>
      </c>
      <c r="V85" s="1">
        <f t="shared" si="74"/>
        <v>0</v>
      </c>
      <c r="W85" s="7">
        <f t="shared" si="75"/>
        <v>0</v>
      </c>
      <c r="X85" s="9">
        <f t="shared" si="51"/>
        <v>0</v>
      </c>
      <c r="Y85" s="10">
        <f t="shared" si="52"/>
        <v>0</v>
      </c>
      <c r="Z85" s="1">
        <f t="shared" si="53"/>
        <v>0</v>
      </c>
      <c r="AA85" s="8">
        <f t="shared" si="54"/>
        <v>0</v>
      </c>
    </row>
    <row r="86" spans="1:27" s="2" customFormat="1">
      <c r="A86" s="321"/>
      <c r="B86" s="240" t="str">
        <f>'RFQ response'!C81</f>
        <v>SCT1</v>
      </c>
      <c r="C86" s="237" t="str">
        <f>'RFQ response'!E81</f>
        <v>Resistance test of the displays to the ultraviolet rays</v>
      </c>
      <c r="D86" s="74" t="str">
        <f>'RFQ response'!D81</f>
        <v>REQ-0945164</v>
      </c>
      <c r="E86" s="238" t="str">
        <f>'RFQ response'!K81</f>
        <v>NA</v>
      </c>
      <c r="F86" s="75"/>
      <c r="G86" s="74"/>
      <c r="H86" s="74"/>
      <c r="I86" s="95"/>
      <c r="J86" s="75"/>
      <c r="K86" s="74"/>
      <c r="L86" s="74"/>
      <c r="M86" s="173"/>
      <c r="N86" s="239"/>
      <c r="O86" s="239"/>
      <c r="P86"/>
      <c r="Q86" s="9">
        <f t="shared" si="69"/>
        <v>0</v>
      </c>
      <c r="R86" s="10">
        <f t="shared" si="70"/>
        <v>0</v>
      </c>
      <c r="S86" s="10">
        <f t="shared" si="71"/>
        <v>0</v>
      </c>
      <c r="T86" s="1">
        <f t="shared" si="72"/>
        <v>0</v>
      </c>
      <c r="U86" s="1">
        <f t="shared" si="73"/>
        <v>0</v>
      </c>
      <c r="V86" s="1">
        <f t="shared" si="74"/>
        <v>0</v>
      </c>
      <c r="W86" s="7">
        <f t="shared" si="75"/>
        <v>0</v>
      </c>
      <c r="X86" s="9">
        <f t="shared" si="51"/>
        <v>0</v>
      </c>
      <c r="Y86" s="10">
        <f t="shared" si="52"/>
        <v>0</v>
      </c>
      <c r="Z86" s="1">
        <f t="shared" si="53"/>
        <v>0</v>
      </c>
      <c r="AA86" s="8">
        <f t="shared" si="54"/>
        <v>0</v>
      </c>
    </row>
    <row r="87" spans="1:27" s="2" customFormat="1">
      <c r="A87" s="321"/>
      <c r="B87" s="240" t="str">
        <f>'RFQ response'!C82</f>
        <v>SCT2</v>
      </c>
      <c r="C87" s="237" t="str">
        <f>'RFQ response'!E82</f>
        <v>Resistance test of the displays to corrosive liquids</v>
      </c>
      <c r="D87" s="74" t="str">
        <f>'RFQ response'!D82</f>
        <v>REQ-0945165</v>
      </c>
      <c r="E87" s="238" t="str">
        <f>'RFQ response'!K82</f>
        <v>NA</v>
      </c>
      <c r="F87" s="75"/>
      <c r="G87" s="74"/>
      <c r="H87" s="74"/>
      <c r="I87" s="95"/>
      <c r="J87" s="75"/>
      <c r="K87" s="74"/>
      <c r="L87" s="74"/>
      <c r="M87" s="173"/>
      <c r="N87" s="239"/>
      <c r="O87" s="239"/>
      <c r="P87"/>
      <c r="Q87" s="9">
        <f t="shared" si="69"/>
        <v>0</v>
      </c>
      <c r="R87" s="10">
        <f t="shared" si="70"/>
        <v>0</v>
      </c>
      <c r="S87" s="10">
        <f t="shared" si="71"/>
        <v>0</v>
      </c>
      <c r="T87" s="1">
        <f t="shared" si="72"/>
        <v>0</v>
      </c>
      <c r="U87" s="1">
        <f t="shared" si="73"/>
        <v>0</v>
      </c>
      <c r="V87" s="1">
        <f t="shared" si="74"/>
        <v>0</v>
      </c>
      <c r="W87" s="7">
        <f t="shared" si="75"/>
        <v>0</v>
      </c>
      <c r="X87" s="9">
        <f t="shared" si="51"/>
        <v>0</v>
      </c>
      <c r="Y87" s="10">
        <f t="shared" si="52"/>
        <v>0</v>
      </c>
      <c r="Z87" s="1">
        <f t="shared" si="53"/>
        <v>0</v>
      </c>
      <c r="AA87" s="8">
        <f t="shared" si="54"/>
        <v>0</v>
      </c>
    </row>
    <row r="88" spans="1:27" s="2" customFormat="1">
      <c r="A88" s="321"/>
      <c r="B88" s="240" t="str">
        <f>'RFQ response'!C83</f>
        <v>SCT3</v>
      </c>
      <c r="C88" s="237" t="str">
        <f>'RFQ response'!E83</f>
        <v>Sun resistance</v>
      </c>
      <c r="D88" s="74" t="str">
        <f>'RFQ response'!D83</f>
        <v>REQ-0945166</v>
      </c>
      <c r="E88" s="238" t="str">
        <f>'RFQ response'!K83</f>
        <v>NA</v>
      </c>
      <c r="F88" s="75"/>
      <c r="G88" s="74"/>
      <c r="H88" s="74"/>
      <c r="I88" s="95"/>
      <c r="J88" s="75"/>
      <c r="K88" s="74"/>
      <c r="L88" s="74"/>
      <c r="M88" s="173"/>
      <c r="N88" s="239"/>
      <c r="O88" s="239"/>
      <c r="P88"/>
      <c r="Q88" s="9">
        <f t="shared" si="69"/>
        <v>0</v>
      </c>
      <c r="R88" s="10">
        <f t="shared" si="70"/>
        <v>0</v>
      </c>
      <c r="S88" s="10">
        <f t="shared" si="71"/>
        <v>0</v>
      </c>
      <c r="T88" s="1">
        <f t="shared" si="72"/>
        <v>0</v>
      </c>
      <c r="U88" s="1">
        <f t="shared" si="73"/>
        <v>0</v>
      </c>
      <c r="V88" s="1">
        <f t="shared" si="74"/>
        <v>0</v>
      </c>
      <c r="W88" s="7">
        <f t="shared" si="75"/>
        <v>0</v>
      </c>
      <c r="X88" s="9">
        <f t="shared" si="51"/>
        <v>0</v>
      </c>
      <c r="Y88" s="10">
        <f t="shared" si="52"/>
        <v>0</v>
      </c>
      <c r="Z88" s="1">
        <f t="shared" si="53"/>
        <v>0</v>
      </c>
      <c r="AA88" s="8">
        <f t="shared" si="54"/>
        <v>0</v>
      </c>
    </row>
    <row r="89" spans="1:27" s="2" customFormat="1">
      <c r="A89" s="321"/>
      <c r="B89" s="240" t="str">
        <f>'RFQ response'!C84</f>
        <v>SCT4</v>
      </c>
      <c r="C89" s="237" t="str">
        <f>'RFQ response'!E84</f>
        <v>Resistance to pullout of glued parts</v>
      </c>
      <c r="D89" s="74" t="str">
        <f>'RFQ response'!D84</f>
        <v>REQ-0945167</v>
      </c>
      <c r="E89" s="238" t="str">
        <f>'RFQ response'!K84</f>
        <v>NA</v>
      </c>
      <c r="F89" s="75"/>
      <c r="G89" s="74"/>
      <c r="H89" s="74"/>
      <c r="I89" s="95"/>
      <c r="J89" s="75"/>
      <c r="K89" s="74"/>
      <c r="L89" s="74"/>
      <c r="M89" s="173"/>
      <c r="N89" s="239"/>
      <c r="O89" s="239"/>
      <c r="P89"/>
      <c r="Q89" s="9">
        <f t="shared" si="69"/>
        <v>0</v>
      </c>
      <c r="R89" s="10">
        <f t="shared" si="70"/>
        <v>0</v>
      </c>
      <c r="S89" s="10">
        <f t="shared" si="71"/>
        <v>0</v>
      </c>
      <c r="T89" s="1">
        <f t="shared" si="72"/>
        <v>0</v>
      </c>
      <c r="U89" s="1">
        <f t="shared" si="73"/>
        <v>0</v>
      </c>
      <c r="V89" s="1">
        <f t="shared" si="74"/>
        <v>0</v>
      </c>
      <c r="W89" s="7">
        <f t="shared" si="75"/>
        <v>0</v>
      </c>
      <c r="X89" s="9">
        <f t="shared" si="51"/>
        <v>0</v>
      </c>
      <c r="Y89" s="10">
        <f t="shared" si="52"/>
        <v>0</v>
      </c>
      <c r="Z89" s="1">
        <f t="shared" si="53"/>
        <v>0</v>
      </c>
      <c r="AA89" s="8">
        <f t="shared" si="54"/>
        <v>0</v>
      </c>
    </row>
    <row r="90" spans="1:27" s="2" customFormat="1">
      <c r="A90" s="321"/>
      <c r="B90" s="240" t="str">
        <f>'RFQ response'!C85</f>
        <v>SCT5</v>
      </c>
      <c r="C90" s="237" t="str">
        <f>'RFQ response'!E85</f>
        <v>Fingerprint affinity and cleanability test on displays</v>
      </c>
      <c r="D90" s="74" t="str">
        <f>'RFQ response'!D85</f>
        <v>REQ-0945168</v>
      </c>
      <c r="E90" s="238" t="str">
        <f>'RFQ response'!K85</f>
        <v>NA</v>
      </c>
      <c r="F90" s="75"/>
      <c r="G90" s="74"/>
      <c r="H90" s="74"/>
      <c r="I90" s="95"/>
      <c r="J90" s="75"/>
      <c r="K90" s="74"/>
      <c r="L90" s="74"/>
      <c r="M90" s="173"/>
      <c r="N90" s="239"/>
      <c r="O90" s="239"/>
      <c r="P90"/>
      <c r="Q90" s="9">
        <f t="shared" si="69"/>
        <v>0</v>
      </c>
      <c r="R90" s="10">
        <f t="shared" si="70"/>
        <v>0</v>
      </c>
      <c r="S90" s="10">
        <f t="shared" si="71"/>
        <v>0</v>
      </c>
      <c r="T90" s="1">
        <f t="shared" si="72"/>
        <v>0</v>
      </c>
      <c r="U90" s="1">
        <f t="shared" si="73"/>
        <v>0</v>
      </c>
      <c r="V90" s="1">
        <f t="shared" si="74"/>
        <v>0</v>
      </c>
      <c r="W90" s="7">
        <f t="shared" si="75"/>
        <v>0</v>
      </c>
      <c r="X90" s="9">
        <f t="shared" si="51"/>
        <v>0</v>
      </c>
      <c r="Y90" s="10">
        <f t="shared" si="52"/>
        <v>0</v>
      </c>
      <c r="Z90" s="1">
        <f t="shared" si="53"/>
        <v>0</v>
      </c>
      <c r="AA90" s="8">
        <f t="shared" si="54"/>
        <v>0</v>
      </c>
    </row>
    <row r="91" spans="1:27" s="2" customFormat="1" ht="28.5" customHeight="1">
      <c r="A91" s="321"/>
      <c r="B91" s="240" t="str">
        <f>'RFQ response'!C86</f>
        <v>SCT6.1</v>
      </c>
      <c r="C91" s="237" t="str">
        <f>'RFQ response'!E86</f>
        <v>Resistance to climatic ageing (not exposed to direct sun)</v>
      </c>
      <c r="D91" s="74" t="str">
        <f>'RFQ response'!D86</f>
        <v>REQ-0945169</v>
      </c>
      <c r="E91" s="238" t="str">
        <f>'RFQ response'!K86</f>
        <v>NA</v>
      </c>
      <c r="F91" s="75"/>
      <c r="G91" s="74"/>
      <c r="H91" s="74"/>
      <c r="I91" s="95"/>
      <c r="J91" s="75"/>
      <c r="K91" s="74"/>
      <c r="L91" s="74"/>
      <c r="M91" s="173"/>
      <c r="N91" s="239"/>
      <c r="O91" s="239"/>
      <c r="P91"/>
      <c r="Q91" s="9">
        <f t="shared" si="69"/>
        <v>0</v>
      </c>
      <c r="R91" s="10">
        <f t="shared" si="70"/>
        <v>0</v>
      </c>
      <c r="S91" s="10">
        <f t="shared" si="71"/>
        <v>0</v>
      </c>
      <c r="T91" s="1">
        <f t="shared" si="72"/>
        <v>0</v>
      </c>
      <c r="U91" s="1">
        <f t="shared" si="73"/>
        <v>0</v>
      </c>
      <c r="V91" s="1">
        <f t="shared" si="74"/>
        <v>0</v>
      </c>
      <c r="W91" s="7">
        <f t="shared" si="75"/>
        <v>0</v>
      </c>
      <c r="X91" s="9">
        <f t="shared" si="51"/>
        <v>0</v>
      </c>
      <c r="Y91" s="10">
        <f t="shared" si="52"/>
        <v>0</v>
      </c>
      <c r="Z91" s="1">
        <f t="shared" si="53"/>
        <v>0</v>
      </c>
      <c r="AA91" s="8">
        <f t="shared" si="54"/>
        <v>0</v>
      </c>
    </row>
    <row r="92" spans="1:27" s="2" customFormat="1">
      <c r="A92" s="321"/>
      <c r="B92" s="240" t="str">
        <f>'RFQ response'!C87</f>
        <v>SCT6.2</v>
      </c>
      <c r="C92" s="237" t="str">
        <f>'RFQ response'!E87</f>
        <v>Resistance to climatic ageing (exposed to direct sun)</v>
      </c>
      <c r="D92" s="74" t="str">
        <f>'RFQ response'!D87</f>
        <v>REQ-0945170</v>
      </c>
      <c r="E92" s="238" t="str">
        <f>'RFQ response'!K87</f>
        <v>NA</v>
      </c>
      <c r="F92" s="75"/>
      <c r="G92" s="74"/>
      <c r="H92" s="74"/>
      <c r="I92" s="95"/>
      <c r="J92" s="75"/>
      <c r="K92" s="74"/>
      <c r="L92" s="74"/>
      <c r="M92" s="173"/>
      <c r="N92" s="239"/>
      <c r="O92" s="239"/>
      <c r="P92"/>
      <c r="Q92" s="9">
        <f t="shared" si="69"/>
        <v>0</v>
      </c>
      <c r="R92" s="10">
        <f t="shared" si="70"/>
        <v>0</v>
      </c>
      <c r="S92" s="10">
        <f t="shared" si="71"/>
        <v>0</v>
      </c>
      <c r="T92" s="1">
        <f t="shared" si="72"/>
        <v>0</v>
      </c>
      <c r="U92" s="1">
        <f t="shared" si="73"/>
        <v>0</v>
      </c>
      <c r="V92" s="1">
        <f t="shared" si="74"/>
        <v>0</v>
      </c>
      <c r="W92" s="7">
        <f t="shared" si="75"/>
        <v>0</v>
      </c>
      <c r="X92" s="9">
        <f t="shared" si="51"/>
        <v>0</v>
      </c>
      <c r="Y92" s="10">
        <f t="shared" si="52"/>
        <v>0</v>
      </c>
      <c r="Z92" s="1">
        <f t="shared" si="53"/>
        <v>0</v>
      </c>
      <c r="AA92" s="8">
        <f t="shared" si="54"/>
        <v>0</v>
      </c>
    </row>
    <row r="93" spans="1:27" s="2" customFormat="1">
      <c r="A93" s="321"/>
      <c r="B93" s="240" t="str">
        <f>'RFQ response'!C88</f>
        <v>SCT7</v>
      </c>
      <c r="C93" s="237" t="str">
        <f>'RFQ response'!E88</f>
        <v>Surface temperature test of the tactile displays</v>
      </c>
      <c r="D93" s="74" t="str">
        <f>'RFQ response'!D88</f>
        <v>REQ-0994059</v>
      </c>
      <c r="E93" s="238" t="str">
        <f>'RFQ response'!K88</f>
        <v>OK</v>
      </c>
      <c r="F93" s="75"/>
      <c r="G93" s="74"/>
      <c r="H93" s="74"/>
      <c r="I93" s="95"/>
      <c r="J93" s="75"/>
      <c r="K93" s="74"/>
      <c r="L93" s="74"/>
      <c r="M93" s="173"/>
      <c r="N93" s="239"/>
      <c r="O93" s="239"/>
      <c r="P93"/>
      <c r="Q93" s="9"/>
      <c r="R93" s="10"/>
      <c r="S93" s="10"/>
      <c r="T93" s="1"/>
      <c r="U93" s="1"/>
      <c r="V93" s="1"/>
      <c r="W93" s="7"/>
      <c r="X93" s="9"/>
      <c r="Y93" s="10"/>
      <c r="Z93" s="1"/>
      <c r="AA93" s="8"/>
    </row>
    <row r="94" spans="1:27" s="2" customFormat="1" ht="15" customHeight="1">
      <c r="A94" s="321"/>
      <c r="B94" s="807" t="s">
        <v>453</v>
      </c>
      <c r="C94" s="808"/>
      <c r="D94" s="808"/>
      <c r="E94" s="808"/>
      <c r="F94" s="808"/>
      <c r="G94" s="808"/>
      <c r="H94" s="808"/>
      <c r="I94" s="808"/>
      <c r="J94" s="808"/>
      <c r="K94" s="808"/>
      <c r="L94" s="808"/>
      <c r="M94" s="808"/>
      <c r="N94" s="808"/>
      <c r="O94" s="809"/>
      <c r="P94"/>
      <c r="Q94" s="9">
        <f t="shared" si="69"/>
        <v>0</v>
      </c>
      <c r="R94" s="10">
        <f t="shared" si="70"/>
        <v>0</v>
      </c>
      <c r="S94" s="10">
        <f t="shared" si="71"/>
        <v>0</v>
      </c>
      <c r="T94" s="1">
        <f t="shared" si="72"/>
        <v>0</v>
      </c>
      <c r="U94" s="1">
        <f t="shared" si="73"/>
        <v>0</v>
      </c>
      <c r="V94" s="1">
        <f t="shared" si="74"/>
        <v>0</v>
      </c>
      <c r="W94" s="7">
        <f t="shared" si="75"/>
        <v>0</v>
      </c>
      <c r="X94" s="9">
        <f t="shared" si="51"/>
        <v>0</v>
      </c>
      <c r="Y94" s="10">
        <f t="shared" si="52"/>
        <v>0</v>
      </c>
      <c r="Z94" s="1">
        <f t="shared" si="53"/>
        <v>0</v>
      </c>
      <c r="AA94" s="8">
        <f t="shared" si="54"/>
        <v>0</v>
      </c>
    </row>
    <row r="95" spans="1:27" ht="45">
      <c r="A95" s="321"/>
      <c r="B95" s="240" t="str">
        <f>'RFQ response'!C90</f>
        <v xml:space="preserve"> -</v>
      </c>
      <c r="C95" s="237" t="str">
        <f>'RFQ response'!E90</f>
        <v>Dust intrusion</v>
      </c>
      <c r="D95" s="74" t="str">
        <f>'RFQ response'!D90</f>
        <v>REQ-0945171
REQ-0945172
REQ-0945173
REQ-0945174</v>
      </c>
      <c r="E95" s="238" t="str">
        <f>'RFQ response'!K90</f>
        <v>NA</v>
      </c>
      <c r="F95" s="75"/>
      <c r="G95" s="74"/>
      <c r="H95" s="74"/>
      <c r="I95" s="95"/>
      <c r="J95" s="75"/>
      <c r="K95" s="74"/>
      <c r="L95" s="74"/>
      <c r="M95" s="173"/>
      <c r="N95" s="239"/>
      <c r="O95" s="239"/>
      <c r="Q95" s="9">
        <f t="shared" si="69"/>
        <v>0</v>
      </c>
      <c r="R95" s="10">
        <f t="shared" si="70"/>
        <v>0</v>
      </c>
      <c r="S95" s="10">
        <f t="shared" si="71"/>
        <v>0</v>
      </c>
      <c r="T95" s="1">
        <f t="shared" si="72"/>
        <v>0</v>
      </c>
      <c r="U95" s="1">
        <f t="shared" si="73"/>
        <v>0</v>
      </c>
      <c r="V95" s="1">
        <f t="shared" si="74"/>
        <v>0</v>
      </c>
      <c r="W95" s="7">
        <f t="shared" si="75"/>
        <v>0</v>
      </c>
      <c r="X95" s="9">
        <f t="shared" si="51"/>
        <v>0</v>
      </c>
      <c r="Y95" s="10">
        <f t="shared" si="52"/>
        <v>0</v>
      </c>
      <c r="Z95" s="1">
        <f t="shared" si="53"/>
        <v>0</v>
      </c>
      <c r="AA95" s="8">
        <f t="shared" si="54"/>
        <v>0</v>
      </c>
    </row>
    <row r="96" spans="1:27">
      <c r="A96" s="321"/>
      <c r="B96" s="240" t="str">
        <f>'RFQ response'!C91</f>
        <v xml:space="preserve"> -</v>
      </c>
      <c r="C96" s="546" t="str">
        <f>'RFQ response'!E91</f>
        <v>Mud resistance</v>
      </c>
      <c r="D96" s="547" t="str">
        <f>'RFQ response'!D91</f>
        <v xml:space="preserve"> -</v>
      </c>
      <c r="E96" s="548" t="str">
        <f>'RFQ response'!K91</f>
        <v>NA</v>
      </c>
      <c r="F96" s="504"/>
      <c r="G96" s="502"/>
      <c r="H96" s="502"/>
      <c r="I96" s="505"/>
      <c r="J96" s="504"/>
      <c r="K96" s="502"/>
      <c r="L96" s="502"/>
      <c r="M96" s="506"/>
      <c r="N96" s="507"/>
      <c r="O96" s="507"/>
      <c r="Q96" s="9">
        <f t="shared" si="69"/>
        <v>0</v>
      </c>
      <c r="R96" s="10">
        <f t="shared" si="70"/>
        <v>0</v>
      </c>
      <c r="S96" s="10">
        <f t="shared" si="71"/>
        <v>0</v>
      </c>
      <c r="T96" s="1">
        <f t="shared" si="72"/>
        <v>0</v>
      </c>
      <c r="U96" s="1">
        <f t="shared" si="73"/>
        <v>0</v>
      </c>
      <c r="V96" s="1">
        <f t="shared" si="74"/>
        <v>0</v>
      </c>
      <c r="W96" s="7">
        <f t="shared" si="75"/>
        <v>0</v>
      </c>
      <c r="X96" s="9">
        <f t="shared" si="51"/>
        <v>0</v>
      </c>
      <c r="Y96" s="10">
        <f t="shared" si="52"/>
        <v>0</v>
      </c>
      <c r="Z96" s="1">
        <f t="shared" si="53"/>
        <v>0</v>
      </c>
      <c r="AA96" s="8">
        <f t="shared" si="54"/>
        <v>0</v>
      </c>
    </row>
    <row r="97" spans="1:27" ht="45">
      <c r="A97" s="321"/>
      <c r="B97" s="240" t="str">
        <f>'RFQ response'!C92</f>
        <v xml:space="preserve"> -</v>
      </c>
      <c r="C97" s="237" t="str">
        <f>'RFQ response'!E92</f>
        <v>Water or steam intrusion</v>
      </c>
      <c r="D97" s="74" t="str">
        <f>'RFQ response'!D92</f>
        <v>REQ-0945175
REQ-0945176
REQ-0945086
REQ-0945083</v>
      </c>
      <c r="E97" s="238" t="str">
        <f>'RFQ response'!K92</f>
        <v>NA</v>
      </c>
      <c r="F97" s="75"/>
      <c r="G97" s="74"/>
      <c r="H97" s="74"/>
      <c r="I97" s="95"/>
      <c r="J97" s="75"/>
      <c r="K97" s="74"/>
      <c r="L97" s="74"/>
      <c r="M97" s="173"/>
      <c r="N97" s="239"/>
      <c r="O97" s="239"/>
      <c r="Q97" s="9">
        <f t="shared" si="69"/>
        <v>0</v>
      </c>
      <c r="R97" s="10">
        <f t="shared" si="70"/>
        <v>0</v>
      </c>
      <c r="S97" s="10">
        <f t="shared" si="71"/>
        <v>0</v>
      </c>
      <c r="T97" s="1">
        <f t="shared" si="72"/>
        <v>0</v>
      </c>
      <c r="U97" s="1">
        <f t="shared" si="73"/>
        <v>0</v>
      </c>
      <c r="V97" s="1">
        <f t="shared" si="74"/>
        <v>0</v>
      </c>
      <c r="W97" s="7">
        <f t="shared" si="75"/>
        <v>0</v>
      </c>
      <c r="X97" s="9">
        <f t="shared" si="51"/>
        <v>0</v>
      </c>
      <c r="Y97" s="10">
        <f t="shared" si="52"/>
        <v>0</v>
      </c>
      <c r="Z97" s="1">
        <f t="shared" si="53"/>
        <v>0</v>
      </c>
      <c r="AA97" s="8">
        <f t="shared" si="54"/>
        <v>0</v>
      </c>
    </row>
    <row r="98" spans="1:27">
      <c r="A98" s="321"/>
      <c r="B98" s="240" t="str">
        <f>'RFQ response'!C93</f>
        <v xml:space="preserve"> -</v>
      </c>
      <c r="C98" s="546" t="str">
        <f>'RFQ response'!E93</f>
        <v>Iced salt water immersion/splash</v>
      </c>
      <c r="D98" s="547" t="str">
        <f>'RFQ response'!D93</f>
        <v xml:space="preserve"> -</v>
      </c>
      <c r="E98" s="548" t="str">
        <f>'RFQ response'!K93</f>
        <v>NA</v>
      </c>
      <c r="F98" s="504"/>
      <c r="G98" s="502"/>
      <c r="H98" s="502"/>
      <c r="I98" s="505"/>
      <c r="J98" s="504"/>
      <c r="K98" s="502"/>
      <c r="L98" s="502"/>
      <c r="M98" s="506"/>
      <c r="N98" s="507"/>
      <c r="O98" s="507"/>
      <c r="Q98" s="9">
        <f t="shared" si="69"/>
        <v>0</v>
      </c>
      <c r="R98" s="10">
        <f t="shared" si="70"/>
        <v>0</v>
      </c>
      <c r="S98" s="10">
        <f t="shared" si="71"/>
        <v>0</v>
      </c>
      <c r="T98" s="1">
        <f t="shared" si="72"/>
        <v>0</v>
      </c>
      <c r="U98" s="1">
        <f t="shared" si="73"/>
        <v>0</v>
      </c>
      <c r="V98" s="1">
        <f t="shared" si="74"/>
        <v>0</v>
      </c>
      <c r="W98" s="7">
        <f t="shared" si="75"/>
        <v>0</v>
      </c>
      <c r="X98" s="9">
        <f t="shared" si="51"/>
        <v>0</v>
      </c>
      <c r="Y98" s="10">
        <f t="shared" si="52"/>
        <v>0</v>
      </c>
      <c r="Z98" s="1">
        <f t="shared" si="53"/>
        <v>0</v>
      </c>
      <c r="AA98" s="8">
        <f t="shared" si="54"/>
        <v>0</v>
      </c>
    </row>
    <row r="99" spans="1:27" s="2" customFormat="1" ht="15" customHeight="1">
      <c r="A99" s="321"/>
      <c r="B99" s="793" t="s">
        <v>455</v>
      </c>
      <c r="C99" s="793"/>
      <c r="D99" s="793"/>
      <c r="E99" s="793"/>
      <c r="F99" s="793"/>
      <c r="G99" s="793"/>
      <c r="H99" s="793"/>
      <c r="I99" s="793"/>
      <c r="J99" s="793"/>
      <c r="K99" s="793"/>
      <c r="L99" s="793"/>
      <c r="M99" s="793"/>
      <c r="N99" s="793"/>
      <c r="O99" s="794"/>
      <c r="P99"/>
      <c r="Q99" s="9">
        <f t="shared" ref="Q99:Q103" si="76">IF(K99="On going",1,0)</f>
        <v>0</v>
      </c>
      <c r="R99" s="10">
        <f t="shared" ref="R99:R103" si="77">IF(K99="NA",1,0)</f>
        <v>0</v>
      </c>
      <c r="S99" s="10">
        <f t="shared" ref="S99:S103" si="78">IF(K99="Deviation",1,0)</f>
        <v>0</v>
      </c>
      <c r="T99" s="1">
        <f t="shared" ref="T99:T103" si="79">IF(K99="In analysis",1,0)</f>
        <v>0</v>
      </c>
      <c r="U99" s="1">
        <f t="shared" ref="U99:U103" si="80">IF(K99="NOK minor",1,0)</f>
        <v>0</v>
      </c>
      <c r="V99" s="1">
        <f t="shared" ref="V99:V103" si="81">IF(K99="NOK major",1,0)</f>
        <v>0</v>
      </c>
      <c r="W99" s="7">
        <f t="shared" ref="W99:W103" si="82">IF(K99="OK",1,0)</f>
        <v>0</v>
      </c>
      <c r="X99" s="9">
        <f t="shared" si="51"/>
        <v>0</v>
      </c>
      <c r="Y99" s="10">
        <f t="shared" si="52"/>
        <v>0</v>
      </c>
      <c r="Z99" s="1">
        <f t="shared" si="53"/>
        <v>0</v>
      </c>
      <c r="AA99" s="8">
        <f t="shared" si="54"/>
        <v>0</v>
      </c>
    </row>
    <row r="100" spans="1:27">
      <c r="A100" s="321"/>
      <c r="B100" s="240" t="str">
        <f>'RFQ response'!C95</f>
        <v xml:space="preserve"> -</v>
      </c>
      <c r="C100" s="237" t="str">
        <f>'RFQ response'!E95</f>
        <v>Material housing corrosion</v>
      </c>
      <c r="D100" s="74" t="str">
        <f>'RFQ response'!D95</f>
        <v>-</v>
      </c>
      <c r="E100" s="238" t="str">
        <f>'RFQ response'!K95</f>
        <v>NA</v>
      </c>
      <c r="F100" s="75"/>
      <c r="G100" s="74"/>
      <c r="H100" s="74"/>
      <c r="I100" s="95"/>
      <c r="J100" s="75"/>
      <c r="K100" s="74"/>
      <c r="L100" s="74"/>
      <c r="M100" s="173"/>
      <c r="N100" s="239"/>
      <c r="O100" s="239"/>
      <c r="Q100" s="9">
        <f t="shared" si="76"/>
        <v>0</v>
      </c>
      <c r="R100" s="10">
        <f t="shared" si="77"/>
        <v>0</v>
      </c>
      <c r="S100" s="10">
        <f t="shared" si="78"/>
        <v>0</v>
      </c>
      <c r="T100" s="1">
        <f t="shared" si="79"/>
        <v>0</v>
      </c>
      <c r="U100" s="1">
        <f t="shared" si="80"/>
        <v>0</v>
      </c>
      <c r="V100" s="1">
        <f t="shared" si="81"/>
        <v>0</v>
      </c>
      <c r="W100" s="7">
        <f t="shared" si="82"/>
        <v>0</v>
      </c>
      <c r="X100" s="9">
        <f t="shared" ref="X100:X105" si="83">IF($J100="On going",1,0)</f>
        <v>0</v>
      </c>
      <c r="Y100" s="10">
        <f t="shared" ref="Y100:Y105" si="84">IF($J100="NA",1,0)</f>
        <v>0</v>
      </c>
      <c r="Z100" s="1">
        <f t="shared" ref="Z100:Z105" si="85">IF($J100="NOK",1,0)</f>
        <v>0</v>
      </c>
      <c r="AA100" s="8">
        <f t="shared" ref="AA100:AA105" si="86">IF($J100="OK",1,0)</f>
        <v>0</v>
      </c>
    </row>
    <row r="101" spans="1:27">
      <c r="A101" s="321"/>
      <c r="B101" s="240" t="str">
        <f>'RFQ response'!C96</f>
        <v xml:space="preserve"> -</v>
      </c>
      <c r="C101" s="237" t="str">
        <f>'RFQ response'!E96</f>
        <v>Salt fog</v>
      </c>
      <c r="D101" s="74" t="str">
        <f>'RFQ response'!D96</f>
        <v>REQ-0945076</v>
      </c>
      <c r="E101" s="238" t="str">
        <f>'RFQ response'!K96</f>
        <v>NA</v>
      </c>
      <c r="F101" s="75"/>
      <c r="G101" s="74"/>
      <c r="H101" s="74"/>
      <c r="I101" s="95"/>
      <c r="J101" s="75"/>
      <c r="K101" s="74"/>
      <c r="L101" s="74"/>
      <c r="M101" s="173"/>
      <c r="N101" s="239"/>
      <c r="O101" s="239"/>
      <c r="Q101" s="9">
        <f t="shared" si="76"/>
        <v>0</v>
      </c>
      <c r="R101" s="10">
        <f t="shared" si="77"/>
        <v>0</v>
      </c>
      <c r="S101" s="10">
        <f t="shared" si="78"/>
        <v>0</v>
      </c>
      <c r="T101" s="1">
        <f t="shared" si="79"/>
        <v>0</v>
      </c>
      <c r="U101" s="1">
        <f t="shared" si="80"/>
        <v>0</v>
      </c>
      <c r="V101" s="1">
        <f t="shared" si="81"/>
        <v>0</v>
      </c>
      <c r="W101" s="7">
        <f t="shared" si="82"/>
        <v>0</v>
      </c>
      <c r="X101" s="9">
        <f t="shared" si="83"/>
        <v>0</v>
      </c>
      <c r="Y101" s="10">
        <f t="shared" si="84"/>
        <v>0</v>
      </c>
      <c r="Z101" s="1">
        <f t="shared" si="85"/>
        <v>0</v>
      </c>
      <c r="AA101" s="8">
        <f t="shared" si="86"/>
        <v>0</v>
      </c>
    </row>
    <row r="102" spans="1:27">
      <c r="A102" s="321"/>
      <c r="B102" s="240" t="str">
        <f>'RFQ response'!C97</f>
        <v xml:space="preserve"> -</v>
      </c>
      <c r="C102" s="546" t="str">
        <f>'RFQ response'!E97</f>
        <v>Mixed flowing gas</v>
      </c>
      <c r="D102" s="547" t="str">
        <f>'RFQ response'!D97</f>
        <v xml:space="preserve"> -</v>
      </c>
      <c r="E102" s="503" t="str">
        <f>'RFQ response'!K97</f>
        <v>NA</v>
      </c>
      <c r="F102" s="504"/>
      <c r="G102" s="502"/>
      <c r="H102" s="502"/>
      <c r="I102" s="505"/>
      <c r="J102" s="504"/>
      <c r="K102" s="502"/>
      <c r="L102" s="502"/>
      <c r="M102" s="506"/>
      <c r="N102" s="507"/>
      <c r="O102" s="507"/>
      <c r="Q102" s="9">
        <f t="shared" si="76"/>
        <v>0</v>
      </c>
      <c r="R102" s="10">
        <f t="shared" si="77"/>
        <v>0</v>
      </c>
      <c r="S102" s="10">
        <f t="shared" si="78"/>
        <v>0</v>
      </c>
      <c r="T102" s="1">
        <f t="shared" si="79"/>
        <v>0</v>
      </c>
      <c r="U102" s="1">
        <f t="shared" si="80"/>
        <v>0</v>
      </c>
      <c r="V102" s="1">
        <f t="shared" si="81"/>
        <v>0</v>
      </c>
      <c r="W102" s="7">
        <f t="shared" si="82"/>
        <v>0</v>
      </c>
      <c r="X102" s="9">
        <f t="shared" si="83"/>
        <v>0</v>
      </c>
      <c r="Y102" s="10">
        <f t="shared" si="84"/>
        <v>0</v>
      </c>
      <c r="Z102" s="1">
        <f t="shared" si="85"/>
        <v>0</v>
      </c>
      <c r="AA102" s="8">
        <f t="shared" si="86"/>
        <v>0</v>
      </c>
    </row>
    <row r="103" spans="1:27">
      <c r="A103" s="321"/>
      <c r="B103" s="240" t="str">
        <f>'RFQ response'!C98</f>
        <v xml:space="preserve"> -</v>
      </c>
      <c r="C103" s="237" t="str">
        <f>'RFQ response'!E98</f>
        <v>Chemical exposure</v>
      </c>
      <c r="D103" s="74" t="str">
        <f>'RFQ response'!D98</f>
        <v>REQ-0945077</v>
      </c>
      <c r="E103" s="238" t="str">
        <f>'RFQ response'!K98</f>
        <v>NA</v>
      </c>
      <c r="F103" s="75"/>
      <c r="G103" s="74"/>
      <c r="H103" s="74"/>
      <c r="I103" s="95"/>
      <c r="J103" s="75"/>
      <c r="K103" s="74"/>
      <c r="L103" s="74"/>
      <c r="M103" s="173"/>
      <c r="N103" s="239"/>
      <c r="O103" s="239"/>
      <c r="Q103" s="9">
        <f t="shared" si="76"/>
        <v>0</v>
      </c>
      <c r="R103" s="10">
        <f t="shared" si="77"/>
        <v>0</v>
      </c>
      <c r="S103" s="10">
        <f t="shared" si="78"/>
        <v>0</v>
      </c>
      <c r="T103" s="1">
        <f t="shared" si="79"/>
        <v>0</v>
      </c>
      <c r="U103" s="1">
        <f t="shared" si="80"/>
        <v>0</v>
      </c>
      <c r="V103" s="1">
        <f t="shared" si="81"/>
        <v>0</v>
      </c>
      <c r="W103" s="7">
        <f t="shared" si="82"/>
        <v>0</v>
      </c>
      <c r="X103" s="9">
        <f t="shared" si="83"/>
        <v>0</v>
      </c>
      <c r="Y103" s="10">
        <f t="shared" si="84"/>
        <v>0</v>
      </c>
      <c r="Z103" s="1">
        <f t="shared" si="85"/>
        <v>0</v>
      </c>
      <c r="AA103" s="8">
        <f t="shared" si="86"/>
        <v>0</v>
      </c>
    </row>
    <row r="104" spans="1:27" s="2" customFormat="1" ht="15" customHeight="1">
      <c r="A104" s="321"/>
      <c r="B104" s="795" t="s">
        <v>457</v>
      </c>
      <c r="C104" s="795"/>
      <c r="D104" s="795"/>
      <c r="E104" s="795"/>
      <c r="F104" s="795"/>
      <c r="G104" s="795"/>
      <c r="H104" s="795"/>
      <c r="I104" s="795"/>
      <c r="J104" s="795"/>
      <c r="K104" s="795"/>
      <c r="L104" s="795"/>
      <c r="M104" s="795"/>
      <c r="N104" s="795"/>
      <c r="O104" s="796"/>
      <c r="P104"/>
      <c r="Q104" s="9">
        <f t="shared" ref="Q104:Q105" si="87">IF(K104="On going",1,0)</f>
        <v>0</v>
      </c>
      <c r="R104" s="10">
        <f t="shared" ref="R104:R105" si="88">IF(K104="NA",1,0)</f>
        <v>0</v>
      </c>
      <c r="S104" s="10">
        <f t="shared" ref="S104:S105" si="89">IF(K104="Deviation",1,0)</f>
        <v>0</v>
      </c>
      <c r="T104" s="1">
        <f t="shared" ref="T104:T105" si="90">IF(K104="In analysis",1,0)</f>
        <v>0</v>
      </c>
      <c r="U104" s="1">
        <f t="shared" ref="U104:U105" si="91">IF(K104="NOK minor",1,0)</f>
        <v>0</v>
      </c>
      <c r="V104" s="1">
        <f t="shared" ref="V104:V105" si="92">IF(K104="NOK major",1,0)</f>
        <v>0</v>
      </c>
      <c r="W104" s="7">
        <f t="shared" ref="W104:W105" si="93">IF(K104="OK",1,0)</f>
        <v>0</v>
      </c>
      <c r="X104" s="9">
        <f t="shared" si="83"/>
        <v>0</v>
      </c>
      <c r="Y104" s="10">
        <f t="shared" si="84"/>
        <v>0</v>
      </c>
      <c r="Z104" s="1">
        <f t="shared" si="85"/>
        <v>0</v>
      </c>
      <c r="AA104" s="8">
        <f t="shared" si="86"/>
        <v>0</v>
      </c>
    </row>
    <row r="105" spans="1:27">
      <c r="A105" s="321"/>
      <c r="B105" s="240" t="str">
        <f>'RFQ response'!C100</f>
        <v>TTF</v>
      </c>
      <c r="C105" s="237" t="str">
        <f>'RFQ response'!E100</f>
        <v xml:space="preserve">Test-To-Failure </v>
      </c>
      <c r="D105" s="74" t="str">
        <f>'RFQ response'!D100</f>
        <v>-</v>
      </c>
      <c r="E105" s="238" t="str">
        <f>'RFQ response'!K100</f>
        <v>NA</v>
      </c>
      <c r="F105" s="75"/>
      <c r="G105" s="74"/>
      <c r="H105" s="74"/>
      <c r="I105" s="95"/>
      <c r="J105" s="75"/>
      <c r="K105" s="74"/>
      <c r="L105" s="74"/>
      <c r="M105" s="173"/>
      <c r="N105" s="239"/>
      <c r="O105" s="239"/>
      <c r="Q105" s="9">
        <f t="shared" si="87"/>
        <v>0</v>
      </c>
      <c r="R105" s="10">
        <f t="shared" si="88"/>
        <v>0</v>
      </c>
      <c r="S105" s="10">
        <f t="shared" si="89"/>
        <v>0</v>
      </c>
      <c r="T105" s="1">
        <f t="shared" si="90"/>
        <v>0</v>
      </c>
      <c r="U105" s="1">
        <f t="shared" si="91"/>
        <v>0</v>
      </c>
      <c r="V105" s="1">
        <f t="shared" si="92"/>
        <v>0</v>
      </c>
      <c r="W105" s="7">
        <f t="shared" si="93"/>
        <v>0</v>
      </c>
      <c r="X105" s="9">
        <f t="shared" si="83"/>
        <v>0</v>
      </c>
      <c r="Y105" s="10">
        <f t="shared" si="84"/>
        <v>0</v>
      </c>
      <c r="Z105" s="1">
        <f t="shared" si="85"/>
        <v>0</v>
      </c>
      <c r="AA105" s="8">
        <f t="shared" si="86"/>
        <v>0</v>
      </c>
    </row>
  </sheetData>
  <autoFilter ref="A10:Y105" xr:uid="{00000000-0009-0000-0000-000003000000}">
    <filterColumn colId="0" showButton="0"/>
    <filterColumn colId="2" showButton="0"/>
    <filterColumn colId="3" showButton="0"/>
    <filterColumn colId="4" showButton="0"/>
    <filterColumn colId="5" showButton="0"/>
  </autoFilter>
  <mergeCells count="15">
    <mergeCell ref="B104:O104"/>
    <mergeCell ref="B1:B2"/>
    <mergeCell ref="G1:G2"/>
    <mergeCell ref="L1:L2"/>
    <mergeCell ref="N1:N2"/>
    <mergeCell ref="O1:O2"/>
    <mergeCell ref="B99:O99"/>
    <mergeCell ref="B94:O94"/>
    <mergeCell ref="Q10:W10"/>
    <mergeCell ref="X10:AA10"/>
    <mergeCell ref="B50:O50"/>
    <mergeCell ref="B52:O52"/>
    <mergeCell ref="B76:O76"/>
    <mergeCell ref="A4:B11"/>
    <mergeCell ref="B12:O12"/>
  </mergeCells>
  <conditionalFormatting sqref="K95:K98 K105 K100:K103 K51 K77:K93 K53:K75">
    <cfRule type="expression" dxfId="29" priority="65">
      <formula>$K51="Deviation"</formula>
    </cfRule>
    <cfRule type="expression" dxfId="28" priority="66" stopIfTrue="1">
      <formula>$K51="OK"</formula>
    </cfRule>
    <cfRule type="expression" dxfId="27" priority="67" stopIfTrue="1">
      <formula>$K51="NOK major"</formula>
    </cfRule>
    <cfRule type="expression" dxfId="26" priority="68" stopIfTrue="1">
      <formula>$K51="NOK minor"</formula>
    </cfRule>
    <cfRule type="expression" dxfId="25" priority="69" stopIfTrue="1">
      <formula>$K51="In analysis"</formula>
    </cfRule>
    <cfRule type="expression" dxfId="24" priority="70" stopIfTrue="1">
      <formula>$K51="On going"</formula>
    </cfRule>
    <cfRule type="expression" dxfId="23" priority="71" stopIfTrue="1">
      <formula>$K51="NA"</formula>
    </cfRule>
  </conditionalFormatting>
  <conditionalFormatting sqref="B94">
    <cfRule type="cellIs" dxfId="22" priority="15" operator="equal">
      <formula>"NA"</formula>
    </cfRule>
  </conditionalFormatting>
  <conditionalFormatting sqref="K20:K49">
    <cfRule type="expression" dxfId="21" priority="8">
      <formula>$K20="Deviation"</formula>
    </cfRule>
    <cfRule type="expression" dxfId="20" priority="9" stopIfTrue="1">
      <formula>$K20="OK"</formula>
    </cfRule>
    <cfRule type="expression" dxfId="19" priority="10" stopIfTrue="1">
      <formula>$K20="NOK major"</formula>
    </cfRule>
    <cfRule type="expression" dxfId="18" priority="11" stopIfTrue="1">
      <formula>$K20="NOK minor"</formula>
    </cfRule>
    <cfRule type="expression" dxfId="17" priority="12" stopIfTrue="1">
      <formula>$K20="In analysis"</formula>
    </cfRule>
    <cfRule type="expression" dxfId="16" priority="13" stopIfTrue="1">
      <formula>$K20="On going"</formula>
    </cfRule>
    <cfRule type="expression" dxfId="15" priority="14" stopIfTrue="1">
      <formula>$K20="NA"</formula>
    </cfRule>
  </conditionalFormatting>
  <conditionalFormatting sqref="K13:K19">
    <cfRule type="expression" dxfId="14" priority="1">
      <formula>$K13="Deviation"</formula>
    </cfRule>
    <cfRule type="expression" dxfId="13" priority="2" stopIfTrue="1">
      <formula>$K13="OK"</formula>
    </cfRule>
    <cfRule type="expression" dxfId="12" priority="3" stopIfTrue="1">
      <formula>$K13="NOK major"</formula>
    </cfRule>
    <cfRule type="expression" dxfId="11" priority="4" stopIfTrue="1">
      <formula>$K13="NOK minor"</formula>
    </cfRule>
    <cfRule type="expression" dxfId="10" priority="5" stopIfTrue="1">
      <formula>$K13="In analysis"</formula>
    </cfRule>
    <cfRule type="expression" dxfId="9" priority="6" stopIfTrue="1">
      <formula>$K13="On going"</formula>
    </cfRule>
    <cfRule type="expression" dxfId="8" priority="7" stopIfTrue="1">
      <formula>$K13="NA"</formula>
    </cfRule>
  </conditionalFormatting>
  <dataValidations count="2">
    <dataValidation type="list" allowBlank="1" showInputMessage="1" showErrorMessage="1" sqref="K51 K95:K98 K13:K49 K105 K100:K103 K77:K93 K53:K75" xr:uid="{677BD796-5870-4123-A566-A1462B87CC8D}">
      <formula1>$C$4:$C$10</formula1>
    </dataValidation>
    <dataValidation type="list" allowBlank="1" showInputMessage="1" showErrorMessage="1" sqref="J51 J95:J98 J13:J49 J105 J100:J103 J77:J93 J53:J75" xr:uid="{0384EC1D-636D-4C9E-AAC2-810FB9085C5B}">
      <formula1>"OK,NOK,NA,On going,"</formula1>
    </dataValidation>
  </dataValidations>
  <hyperlinks>
    <hyperlink ref="M89" r:id="rId1" display="https://docinfogroupe.psa-peugeot-citroen.com/ead/doc/ref.20408_18_01223/v.vc/fiche" xr:uid="{156F45D6-4D3C-410B-ABD0-953033D6ED8F}"/>
  </hyperlinks>
  <pageMargins left="0.7" right="0.7" top="0.75" bottom="0.75" header="0.3" footer="0.3"/>
  <pageSetup paperSize="9" scale="51"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4"/>
  <dimension ref="A1:J101"/>
  <sheetViews>
    <sheetView topLeftCell="A43" zoomScaleNormal="100" workbookViewId="0">
      <selection activeCell="A58" sqref="A58:XFD58"/>
    </sheetView>
  </sheetViews>
  <sheetFormatPr baseColWidth="10" defaultRowHeight="15"/>
  <cols>
    <col min="1" max="1" width="11.42578125" style="2"/>
    <col min="2" max="2" width="54" style="2" bestFit="1" customWidth="1"/>
    <col min="3" max="3" width="28" style="2" bestFit="1" customWidth="1"/>
    <col min="4" max="4" width="11" customWidth="1"/>
    <col min="5" max="6" width="12.7109375" customWidth="1"/>
    <col min="7" max="7" width="15.5703125" style="103" bestFit="1" customWidth="1"/>
    <col min="8" max="9" width="12.7109375" customWidth="1"/>
    <col min="10" max="10" width="10.7109375" bestFit="1" customWidth="1"/>
    <col min="11" max="11" width="23.140625" customWidth="1"/>
  </cols>
  <sheetData>
    <row r="1" spans="1:10">
      <c r="A1" s="895" t="s">
        <v>295</v>
      </c>
      <c r="B1" s="895" t="s">
        <v>252</v>
      </c>
      <c r="C1" s="895" t="s">
        <v>250</v>
      </c>
      <c r="D1" s="895" t="s">
        <v>251</v>
      </c>
      <c r="E1" s="897" t="s">
        <v>73</v>
      </c>
      <c r="F1" s="897"/>
      <c r="G1" s="897"/>
      <c r="H1" s="564" t="s">
        <v>182</v>
      </c>
      <c r="I1" s="896" t="s">
        <v>74</v>
      </c>
      <c r="J1" s="896"/>
    </row>
    <row r="2" spans="1:10">
      <c r="A2" s="895"/>
      <c r="B2" s="895"/>
      <c r="C2" s="895"/>
      <c r="D2" s="895"/>
      <c r="E2" s="565" t="s">
        <v>73</v>
      </c>
      <c r="F2" s="565" t="s">
        <v>181</v>
      </c>
      <c r="G2" s="566" t="s">
        <v>247</v>
      </c>
      <c r="H2" s="565" t="s">
        <v>182</v>
      </c>
      <c r="I2" s="565" t="s">
        <v>74</v>
      </c>
      <c r="J2" s="567" t="s">
        <v>472</v>
      </c>
    </row>
    <row r="3" spans="1:10" ht="15.75">
      <c r="A3" s="904" t="s">
        <v>284</v>
      </c>
      <c r="B3" s="904"/>
      <c r="C3" s="904"/>
      <c r="D3" s="904"/>
      <c r="E3" s="584"/>
      <c r="F3" s="584"/>
      <c r="G3" s="585"/>
      <c r="H3" s="586"/>
      <c r="I3" s="586"/>
      <c r="J3" s="586"/>
    </row>
    <row r="4" spans="1:10">
      <c r="A4" s="583" t="str">
        <f>'RFQ response'!C8</f>
        <v>C_ET_01_V</v>
      </c>
      <c r="B4" s="237" t="str">
        <f>'RFQ response'!E8</f>
        <v>Resistance to usual power supply voltages</v>
      </c>
      <c r="C4" s="74" t="str">
        <f>'RFQ response'!D8</f>
        <v>REQ-0945093</v>
      </c>
      <c r="D4" s="75">
        <f>'RFQ response'!F8</f>
        <v>0</v>
      </c>
      <c r="E4" s="246" t="str">
        <f>DV!K13</f>
        <v>OK</v>
      </c>
      <c r="F4" s="246" t="str">
        <f>'DV2'!K13</f>
        <v>OK</v>
      </c>
      <c r="G4" s="461"/>
      <c r="H4" s="246" t="str">
        <f>PPV!K13</f>
        <v>OK</v>
      </c>
      <c r="I4" s="246" t="str">
        <f>PV!K13</f>
        <v>OK</v>
      </c>
      <c r="J4" s="247"/>
    </row>
    <row r="5" spans="1:10">
      <c r="A5" s="583" t="str">
        <f>'RFQ response'!C9</f>
        <v>C_ET_02_V</v>
      </c>
      <c r="B5" s="237" t="str">
        <f>'RFQ response'!E9</f>
        <v xml:space="preserve">Resistance to exceptional supply voltage </v>
      </c>
      <c r="C5" s="74" t="str">
        <f>'RFQ response'!D9</f>
        <v>REQ-0945094</v>
      </c>
      <c r="D5" s="75">
        <f>'RFQ response'!F9</f>
        <v>0</v>
      </c>
      <c r="E5" s="246" t="str">
        <f>DV!K14</f>
        <v>NOK major</v>
      </c>
      <c r="F5" s="246" t="str">
        <f>'DV2'!K14</f>
        <v>NOK major</v>
      </c>
      <c r="G5" s="461"/>
      <c r="H5" s="246" t="str">
        <f>PPV!K14</f>
        <v>NOK major</v>
      </c>
      <c r="I5" s="246" t="str">
        <f>PV!K14</f>
        <v>NOK major</v>
      </c>
      <c r="J5" s="247"/>
    </row>
    <row r="6" spans="1:10" ht="22.5">
      <c r="A6" s="583" t="str">
        <f>'RFQ response'!C10</f>
        <v>C_ET_03_V</v>
      </c>
      <c r="B6" s="237" t="str">
        <f>'RFQ response'!E10</f>
        <v>Resistance to unusual power supply voltages (U=24V)
Resistance to unusual power supply voltages (U=-14V)</v>
      </c>
      <c r="C6" s="74" t="str">
        <f>'RFQ response'!D10</f>
        <v>REQ-0945095
REQ-0945096</v>
      </c>
      <c r="D6" s="75">
        <f>'RFQ response'!F10</f>
        <v>0</v>
      </c>
      <c r="E6" s="246" t="str">
        <f>DV!K15</f>
        <v>Deviation</v>
      </c>
      <c r="F6" s="246" t="str">
        <f>'DV2'!K15</f>
        <v>Deviation</v>
      </c>
      <c r="G6" s="461"/>
      <c r="H6" s="246" t="str">
        <f>PPV!K15</f>
        <v>Deviation</v>
      </c>
      <c r="I6" s="246" t="str">
        <f>PV!K15</f>
        <v>Deviation</v>
      </c>
      <c r="J6" s="247"/>
    </row>
    <row r="7" spans="1:10">
      <c r="A7" s="583" t="str">
        <f>'RFQ response'!C11</f>
        <v>C_ET_04_V</v>
      </c>
      <c r="B7" s="237" t="str">
        <f>'RFQ response'!E11</f>
        <v xml:space="preserve">Resistance to slow decrease and increase of supply voltage </v>
      </c>
      <c r="C7" s="74" t="str">
        <f>'RFQ response'!D11</f>
        <v>REQ-0945097</v>
      </c>
      <c r="D7" s="75">
        <f>'RFQ response'!F11</f>
        <v>0</v>
      </c>
      <c r="E7" s="246" t="str">
        <f>DV!K16</f>
        <v>NOK Minor</v>
      </c>
      <c r="F7" s="246" t="str">
        <f>'DV2'!K16</f>
        <v>NOK Minor</v>
      </c>
      <c r="G7" s="461"/>
      <c r="H7" s="246" t="str">
        <f>PPV!K16</f>
        <v>NOK Minor</v>
      </c>
      <c r="I7" s="246" t="str">
        <f>PV!K16</f>
        <v>NOK Minor</v>
      </c>
      <c r="J7" s="247"/>
    </row>
    <row r="8" spans="1:10">
      <c r="A8" s="583" t="str">
        <f>'RFQ response'!C12</f>
        <v>C_ET_05_V</v>
      </c>
      <c r="B8" s="237" t="str">
        <f>'RFQ response'!E12</f>
        <v>Reset behavior at voltage drop</v>
      </c>
      <c r="C8" s="74" t="str">
        <f>'RFQ response'!D12</f>
        <v>REQ-0945098</v>
      </c>
      <c r="D8" s="75">
        <f>'RFQ response'!F12</f>
        <v>0</v>
      </c>
      <c r="E8" s="246" t="str">
        <f>DV!K17</f>
        <v>In analysis</v>
      </c>
      <c r="F8" s="246" t="str">
        <f>'DV2'!K17</f>
        <v>In analysis</v>
      </c>
      <c r="G8" s="461"/>
      <c r="H8" s="246" t="str">
        <f>PPV!K17</f>
        <v>In analysis</v>
      </c>
      <c r="I8" s="246" t="str">
        <f>PV!K17</f>
        <v>In analysis</v>
      </c>
      <c r="J8" s="247"/>
    </row>
    <row r="9" spans="1:10">
      <c r="A9" s="583" t="str">
        <f>'RFQ response'!C13</f>
        <v>C_ET_06_V</v>
      </c>
      <c r="B9" s="237" t="str">
        <f>'RFQ response'!E13</f>
        <v>Supply voltage drop out</v>
      </c>
      <c r="C9" s="74" t="str">
        <f>'RFQ response'!D13</f>
        <v>REQ-0945099</v>
      </c>
      <c r="D9" s="75">
        <f>'RFQ response'!F13</f>
        <v>0</v>
      </c>
      <c r="E9" s="246" t="str">
        <f>DV!K18</f>
        <v>NA</v>
      </c>
      <c r="F9" s="246" t="str">
        <f>'DV2'!K18</f>
        <v>NA</v>
      </c>
      <c r="G9" s="461"/>
      <c r="H9" s="246" t="str">
        <f>PPV!K18</f>
        <v>NA</v>
      </c>
      <c r="I9" s="246" t="str">
        <f>PV!K18</f>
        <v>NA</v>
      </c>
      <c r="J9" s="247"/>
    </row>
    <row r="10" spans="1:10">
      <c r="A10" s="583" t="str">
        <f>'RFQ response'!C14</f>
        <v>C_ET_07_V</v>
      </c>
      <c r="B10" s="237" t="str">
        <f>'RFQ response'!E14</f>
        <v>Supply voltage dips</v>
      </c>
      <c r="C10" s="74" t="str">
        <f>'RFQ response'!D14</f>
        <v>REQ-0945100</v>
      </c>
      <c r="D10" s="75">
        <f>'RFQ response'!F14</f>
        <v>0</v>
      </c>
      <c r="E10" s="246" t="str">
        <f>DV!K19</f>
        <v>On going</v>
      </c>
      <c r="F10" s="246" t="str">
        <f>'DV2'!K19</f>
        <v>On going</v>
      </c>
      <c r="G10" s="461"/>
      <c r="H10" s="246" t="str">
        <f>PPV!K19</f>
        <v>On going</v>
      </c>
      <c r="I10" s="246" t="str">
        <f>PV!K19</f>
        <v>On going</v>
      </c>
      <c r="J10" s="247"/>
    </row>
    <row r="11" spans="1:10">
      <c r="A11" s="583" t="str">
        <f>'RFQ response'!C15</f>
        <v>C_ET_08_V</v>
      </c>
      <c r="B11" s="237" t="str">
        <f>'RFQ response'!E15</f>
        <v>Supply voltage ripple</v>
      </c>
      <c r="C11" s="74" t="str">
        <f>'RFQ response'!D15</f>
        <v>REQ-0945101</v>
      </c>
      <c r="D11" s="75">
        <f>'RFQ response'!F15</f>
        <v>0</v>
      </c>
      <c r="E11" s="246">
        <f>DV!K20</f>
        <v>0</v>
      </c>
      <c r="F11" s="246">
        <f>'DV2'!K20</f>
        <v>0</v>
      </c>
      <c r="G11" s="461"/>
      <c r="H11" s="246">
        <f>PPV!K20</f>
        <v>0</v>
      </c>
      <c r="I11" s="246">
        <f>PV!K20</f>
        <v>0</v>
      </c>
      <c r="J11" s="247"/>
    </row>
    <row r="12" spans="1:10">
      <c r="A12" s="583" t="str">
        <f>'RFQ response'!C16</f>
        <v>C_ET_09_V</v>
      </c>
      <c r="B12" s="237" t="str">
        <f>'RFQ response'!E16</f>
        <v>Resistance to the “Volt Control” voltage pulse</v>
      </c>
      <c r="C12" s="74" t="str">
        <f>'RFQ response'!D16</f>
        <v>REQ-0945102</v>
      </c>
      <c r="D12" s="75">
        <f>'RFQ response'!F16</f>
        <v>0</v>
      </c>
      <c r="E12" s="246">
        <f>DV!K21</f>
        <v>0</v>
      </c>
      <c r="F12" s="246">
        <f>'DV2'!K21</f>
        <v>0</v>
      </c>
      <c r="G12" s="461"/>
      <c r="H12" s="246">
        <f>PPV!K21</f>
        <v>0</v>
      </c>
      <c r="I12" s="246">
        <f>PV!K21</f>
        <v>0</v>
      </c>
      <c r="J12" s="247"/>
    </row>
    <row r="13" spans="1:10">
      <c r="A13" s="583" t="str">
        <f>'RFQ response'!C17</f>
        <v>C_ET_10_V</v>
      </c>
      <c r="B13" s="237" t="str">
        <f>'RFQ response'!E17</f>
        <v>Ignition off draw (IOD)</v>
      </c>
      <c r="C13" s="74" t="str">
        <f>'RFQ response'!D17</f>
        <v>REQ-0945103</v>
      </c>
      <c r="D13" s="75">
        <f>'RFQ response'!F17</f>
        <v>0</v>
      </c>
      <c r="E13" s="246">
        <f>DV!K22</f>
        <v>0</v>
      </c>
      <c r="F13" s="246">
        <f>'DV2'!K22</f>
        <v>0</v>
      </c>
      <c r="G13" s="461"/>
      <c r="H13" s="246">
        <f>PPV!K22</f>
        <v>0</v>
      </c>
      <c r="I13" s="246">
        <f>PV!K22</f>
        <v>0</v>
      </c>
      <c r="J13" s="247"/>
    </row>
    <row r="14" spans="1:10">
      <c r="A14" s="583" t="str">
        <f>'RFQ response'!C18</f>
        <v>C_ET_11_V</v>
      </c>
      <c r="B14" s="237" t="str">
        <f>'RFQ response'!E18</f>
        <v>Immunity to potential difference between power supply</v>
      </c>
      <c r="C14" s="74" t="str">
        <f>'RFQ response'!D18</f>
        <v xml:space="preserve"> -</v>
      </c>
      <c r="D14" s="75" t="str">
        <f>'RFQ response'!F18</f>
        <v>NA</v>
      </c>
      <c r="E14" s="246">
        <f>DV!K23</f>
        <v>0</v>
      </c>
      <c r="F14" s="246">
        <f>'DV2'!K23</f>
        <v>0</v>
      </c>
      <c r="G14" s="461"/>
      <c r="H14" s="246">
        <f>PPV!K23</f>
        <v>0</v>
      </c>
      <c r="I14" s="246">
        <f>PV!K23</f>
        <v>0</v>
      </c>
      <c r="J14" s="247"/>
    </row>
    <row r="15" spans="1:10">
      <c r="A15" s="583" t="str">
        <f>'RFQ response'!C19</f>
        <v>C_ET_12_V</v>
      </c>
      <c r="B15" s="237" t="str">
        <f>'RFQ response'!E19</f>
        <v>Immunity to ground and supply voltage short circuit</v>
      </c>
      <c r="C15" s="74" t="str">
        <f>'RFQ response'!D19</f>
        <v>REQ-0945105</v>
      </c>
      <c r="D15" s="75">
        <f>'RFQ response'!F19</f>
        <v>0</v>
      </c>
      <c r="E15" s="246">
        <f>DV!K24</f>
        <v>0</v>
      </c>
      <c r="F15" s="246">
        <f>'DV2'!K24</f>
        <v>0</v>
      </c>
      <c r="G15" s="461"/>
      <c r="H15" s="246">
        <f>PPV!K24</f>
        <v>0</v>
      </c>
      <c r="I15" s="246">
        <f>PV!K24</f>
        <v>0</v>
      </c>
      <c r="J15" s="247"/>
    </row>
    <row r="16" spans="1:10">
      <c r="A16" s="583" t="str">
        <f>'RFQ response'!C20</f>
        <v>C_TE_01_V</v>
      </c>
      <c r="B16" s="237" t="str">
        <f>'RFQ response'!E20</f>
        <v>Conducted transient emission</v>
      </c>
      <c r="C16" s="74" t="str">
        <f>'RFQ response'!D20</f>
        <v xml:space="preserve"> -</v>
      </c>
      <c r="D16" s="75" t="str">
        <f>'RFQ response'!F20</f>
        <v>NA</v>
      </c>
      <c r="E16" s="246">
        <f>DV!K25</f>
        <v>0</v>
      </c>
      <c r="F16" s="246">
        <f>'DV2'!K25</f>
        <v>0</v>
      </c>
      <c r="G16" s="461"/>
      <c r="H16" s="246">
        <f>PPV!K25</f>
        <v>0</v>
      </c>
      <c r="I16" s="246">
        <f>PV!K25</f>
        <v>0</v>
      </c>
      <c r="J16" s="247"/>
    </row>
    <row r="17" spans="1:10">
      <c r="A17" s="583" t="str">
        <f>'RFQ response'!C21</f>
        <v>C_TI_01_V</v>
      </c>
      <c r="B17" s="237" t="str">
        <f>'RFQ response'!E21</f>
        <v xml:space="preserve">Transient pulses - Pulses 1 and 2a </v>
      </c>
      <c r="C17" s="74" t="str">
        <f>'RFQ response'!D21</f>
        <v>REQ-0945106</v>
      </c>
      <c r="D17" s="75">
        <f>'RFQ response'!F21</f>
        <v>0</v>
      </c>
      <c r="E17" s="246">
        <f>DV!K26</f>
        <v>0</v>
      </c>
      <c r="F17" s="246">
        <f>'DV2'!K26</f>
        <v>0</v>
      </c>
      <c r="G17" s="461"/>
      <c r="H17" s="246">
        <f>PPV!K26</f>
        <v>0</v>
      </c>
      <c r="I17" s="246">
        <f>PV!K26</f>
        <v>0</v>
      </c>
      <c r="J17" s="247"/>
    </row>
    <row r="18" spans="1:10">
      <c r="A18" s="583" t="str">
        <f>'RFQ response'!C22</f>
        <v>C_TI_02_V</v>
      </c>
      <c r="B18" s="237" t="str">
        <f>'RFQ response'!E22</f>
        <v xml:space="preserve">Transient pulses - Pulses 3a and 3b </v>
      </c>
      <c r="C18" s="74" t="str">
        <f>'RFQ response'!D22</f>
        <v>REQ-0945107</v>
      </c>
      <c r="D18" s="75">
        <f>'RFQ response'!F22</f>
        <v>0</v>
      </c>
      <c r="E18" s="246">
        <f>DV!K27</f>
        <v>0</v>
      </c>
      <c r="F18" s="246">
        <f>'DV2'!K27</f>
        <v>0</v>
      </c>
      <c r="G18" s="461"/>
      <c r="H18" s="246">
        <f>PPV!K27</f>
        <v>0</v>
      </c>
      <c r="I18" s="246">
        <f>PV!K27</f>
        <v>0</v>
      </c>
      <c r="J18" s="247"/>
    </row>
    <row r="19" spans="1:10">
      <c r="A19" s="583" t="str">
        <f>'RFQ response'!C23</f>
        <v>C_TI_03_V</v>
      </c>
      <c r="B19" s="237" t="str">
        <f>'RFQ response'!E23</f>
        <v>Engine cold and warm cranking – Pulse 4 bis</v>
      </c>
      <c r="C19" s="74" t="str">
        <f>'RFQ response'!D23</f>
        <v>REQ-0945108</v>
      </c>
      <c r="D19" s="75">
        <f>'RFQ response'!F23</f>
        <v>0</v>
      </c>
      <c r="E19" s="246">
        <f>DV!K28</f>
        <v>0</v>
      </c>
      <c r="F19" s="246">
        <f>'DV2'!K28</f>
        <v>0</v>
      </c>
      <c r="G19" s="461"/>
      <c r="H19" s="246">
        <f>PPV!K28</f>
        <v>0</v>
      </c>
      <c r="I19" s="246">
        <f>PV!K28</f>
        <v>0</v>
      </c>
      <c r="J19" s="247"/>
    </row>
    <row r="20" spans="1:10">
      <c r="A20" s="583" t="str">
        <f>'RFQ response'!C24</f>
        <v>C_TI_04_V</v>
      </c>
      <c r="B20" s="237" t="str">
        <f>'RFQ response'!E24</f>
        <v xml:space="preserve">Resistance to load dump </v>
      </c>
      <c r="C20" s="74" t="str">
        <f>'RFQ response'!D24</f>
        <v>REQ-0945109</v>
      </c>
      <c r="D20" s="75">
        <f>'RFQ response'!F24</f>
        <v>0</v>
      </c>
      <c r="E20" s="246">
        <f>DV!K29</f>
        <v>0</v>
      </c>
      <c r="F20" s="246">
        <f>'DV2'!K29</f>
        <v>0</v>
      </c>
      <c r="G20" s="461"/>
      <c r="H20" s="246">
        <f>PPV!K29</f>
        <v>0</v>
      </c>
      <c r="I20" s="246">
        <f>PV!K29</f>
        <v>0</v>
      </c>
      <c r="J20" s="247"/>
    </row>
    <row r="21" spans="1:10">
      <c r="A21" s="583" t="str">
        <f>'RFQ response'!C25</f>
        <v>C_TI_05_V</v>
      </c>
      <c r="B21" s="237" t="str">
        <f>'RFQ response'!E25</f>
        <v xml:space="preserve">Immunity to transients on signal lines – CCC method </v>
      </c>
      <c r="C21" s="74" t="str">
        <f>'RFQ response'!D25</f>
        <v>REQ-0945110</v>
      </c>
      <c r="D21" s="75">
        <f>'RFQ response'!F25</f>
        <v>0</v>
      </c>
      <c r="E21" s="246">
        <f>DV!K30</f>
        <v>0</v>
      </c>
      <c r="F21" s="246">
        <f>'DV2'!K30</f>
        <v>0</v>
      </c>
      <c r="G21" s="461"/>
      <c r="H21" s="246">
        <f>PPV!K30</f>
        <v>0</v>
      </c>
      <c r="I21" s="246">
        <f>PV!K30</f>
        <v>0</v>
      </c>
      <c r="J21" s="247"/>
    </row>
    <row r="22" spans="1:10" ht="22.5">
      <c r="A22" s="583" t="str">
        <f>'RFQ response'!C26</f>
        <v>C_TI_06_V</v>
      </c>
      <c r="B22" s="237" t="str">
        <f>'RFQ response'!E26</f>
        <v>Transient pulses – Immunity of input / outputs connected to inductive and / or locally grounded load - Pulses A2-1 and A2-2</v>
      </c>
      <c r="C22" s="74" t="str">
        <f>'RFQ response'!D26</f>
        <v>REQ-0945111</v>
      </c>
      <c r="D22" s="75" t="str">
        <f>'RFQ response'!F26</f>
        <v>NA</v>
      </c>
      <c r="E22" s="246">
        <f>DV!K31</f>
        <v>0</v>
      </c>
      <c r="F22" s="246">
        <f>'DV2'!K31</f>
        <v>0</v>
      </c>
      <c r="G22" s="461"/>
      <c r="H22" s="246">
        <f>PPV!K31</f>
        <v>0</v>
      </c>
      <c r="I22" s="246">
        <f>PV!K31</f>
        <v>0</v>
      </c>
      <c r="J22" s="247"/>
    </row>
    <row r="23" spans="1:10">
      <c r="A23" s="583" t="str">
        <f>'RFQ response'!C27</f>
        <v>C_TI_07_V</v>
      </c>
      <c r="B23" s="237" t="str">
        <f>'RFQ response'!E27</f>
        <v>Transient pulses – Immunity to the transients with wire to wire coupling</v>
      </c>
      <c r="C23" s="74" t="str">
        <f>'RFQ response'!D27</f>
        <v>REQ-0945112</v>
      </c>
      <c r="D23" s="75">
        <f>'RFQ response'!F27</f>
        <v>0</v>
      </c>
      <c r="E23" s="246">
        <f>DV!K32</f>
        <v>0</v>
      </c>
      <c r="F23" s="246">
        <f>'DV2'!K32</f>
        <v>0</v>
      </c>
      <c r="G23" s="461"/>
      <c r="H23" s="246">
        <f>PPV!K32</f>
        <v>0</v>
      </c>
      <c r="I23" s="246">
        <f>PV!K32</f>
        <v>0</v>
      </c>
      <c r="J23" s="247"/>
    </row>
    <row r="24" spans="1:10">
      <c r="A24" s="583" t="str">
        <f>'RFQ response'!C28</f>
        <v>C_TI_01_R</v>
      </c>
      <c r="B24" s="237" t="str">
        <f>'RFQ response'!E28</f>
        <v>Immunity to the transients on the signal line</v>
      </c>
      <c r="C24" s="74" t="str">
        <f>'RFQ response'!D28</f>
        <v xml:space="preserve"> -</v>
      </c>
      <c r="D24" s="75" t="str">
        <f>'RFQ response'!F28</f>
        <v>NA</v>
      </c>
      <c r="E24" s="246">
        <f>DV!K33</f>
        <v>0</v>
      </c>
      <c r="F24" s="246">
        <f>'DV2'!K33</f>
        <v>0</v>
      </c>
      <c r="G24" s="461"/>
      <c r="H24" s="246">
        <f>PPV!K33</f>
        <v>0</v>
      </c>
      <c r="I24" s="246">
        <f>PV!K33</f>
        <v>0</v>
      </c>
      <c r="J24" s="247"/>
    </row>
    <row r="25" spans="1:10">
      <c r="A25" s="583" t="str">
        <f>'RFQ response'!C29</f>
        <v>C_TE_01_R</v>
      </c>
      <c r="B25" s="237" t="str">
        <f>'RFQ response'!E29</f>
        <v>Conducted Transient Emission</v>
      </c>
      <c r="C25" s="74" t="str">
        <f>'RFQ response'!D29</f>
        <v xml:space="preserve"> -</v>
      </c>
      <c r="D25" s="75" t="str">
        <f>'RFQ response'!F29</f>
        <v>NA</v>
      </c>
      <c r="E25" s="246">
        <f>DV!K34</f>
        <v>0</v>
      </c>
      <c r="F25" s="246">
        <f>'DV2'!K34</f>
        <v>0</v>
      </c>
      <c r="G25" s="461"/>
      <c r="H25" s="246">
        <f>PPV!K34</f>
        <v>0</v>
      </c>
      <c r="I25" s="246">
        <f>PV!K34</f>
        <v>0</v>
      </c>
      <c r="J25" s="247"/>
    </row>
    <row r="26" spans="1:10">
      <c r="A26" s="583" t="str">
        <f>'RFQ response'!C30</f>
        <v>C_CI_01_V</v>
      </c>
      <c r="B26" s="237" t="str">
        <f>'RFQ response'!E30</f>
        <v>Bulk current injection (BCI)</v>
      </c>
      <c r="C26" s="74" t="str">
        <f>'RFQ response'!D30</f>
        <v>REQ-0945113</v>
      </c>
      <c r="D26" s="75">
        <f>'RFQ response'!F30</f>
        <v>0</v>
      </c>
      <c r="E26" s="246">
        <f>DV!K35</f>
        <v>0</v>
      </c>
      <c r="F26" s="246">
        <f>'DV2'!K35</f>
        <v>0</v>
      </c>
      <c r="G26" s="461"/>
      <c r="H26" s="246">
        <f>PPV!K35</f>
        <v>0</v>
      </c>
      <c r="I26" s="246">
        <f>PV!K35</f>
        <v>0</v>
      </c>
      <c r="J26" s="247"/>
    </row>
    <row r="27" spans="1:10">
      <c r="A27" s="583" t="str">
        <f>'RFQ response'!C31</f>
        <v>C_RI_01_V</v>
      </c>
      <c r="B27" s="237" t="str">
        <f>'RFQ response'!E31</f>
        <v>Immunity to external sources – ALSE (Absorber Line Shielded Enclosure)</v>
      </c>
      <c r="C27" s="74" t="str">
        <f>'RFQ response'!D31</f>
        <v>REQ-0945114</v>
      </c>
      <c r="D27" s="75">
        <f>'RFQ response'!F31</f>
        <v>0</v>
      </c>
      <c r="E27" s="246">
        <f>DV!K36</f>
        <v>0</v>
      </c>
      <c r="F27" s="246">
        <f>'DV2'!K36</f>
        <v>0</v>
      </c>
      <c r="G27" s="461"/>
      <c r="H27" s="246">
        <f>PPV!K36</f>
        <v>0</v>
      </c>
      <c r="I27" s="246">
        <f>PV!K36</f>
        <v>0</v>
      </c>
      <c r="J27" s="247"/>
    </row>
    <row r="28" spans="1:10">
      <c r="A28" s="583" t="str">
        <f>'RFQ response'!C32</f>
        <v>C_RI_02_V</v>
      </c>
      <c r="B28" s="237" t="str">
        <f>'RFQ response'!E32</f>
        <v>Immunity to external sources – Reverberation chamber</v>
      </c>
      <c r="C28" s="74" t="str">
        <f>'RFQ response'!D32</f>
        <v>REQ-0945115</v>
      </c>
      <c r="D28" s="75">
        <f>'RFQ response'!F32</f>
        <v>0</v>
      </c>
      <c r="E28" s="246">
        <f>DV!K37</f>
        <v>0</v>
      </c>
      <c r="F28" s="246">
        <f>'DV2'!K37</f>
        <v>0</v>
      </c>
      <c r="G28" s="461"/>
      <c r="H28" s="246">
        <f>PPV!K37</f>
        <v>0</v>
      </c>
      <c r="I28" s="246">
        <f>PV!K37</f>
        <v>0</v>
      </c>
      <c r="J28" s="247"/>
    </row>
    <row r="29" spans="1:10">
      <c r="A29" s="583" t="str">
        <f>'RFQ response'!C33</f>
        <v>C_RI_03_V</v>
      </c>
      <c r="B29" s="237" t="str">
        <f>'RFQ response'!E33</f>
        <v>Immunity to portable transmitters</v>
      </c>
      <c r="C29" s="74" t="str">
        <f>'RFQ response'!D33</f>
        <v>REQ-0945116</v>
      </c>
      <c r="D29" s="75">
        <f>'RFQ response'!F33</f>
        <v>0</v>
      </c>
      <c r="E29" s="246">
        <f>DV!K38</f>
        <v>0</v>
      </c>
      <c r="F29" s="246">
        <f>'DV2'!K38</f>
        <v>0</v>
      </c>
      <c r="G29" s="461"/>
      <c r="H29" s="246">
        <f>PPV!K38</f>
        <v>0</v>
      </c>
      <c r="I29" s="246">
        <f>PV!K38</f>
        <v>0</v>
      </c>
      <c r="J29" s="247"/>
    </row>
    <row r="30" spans="1:10">
      <c r="A30" s="583" t="str">
        <f>'RFQ response'!C34</f>
        <v>C_RI_04_V</v>
      </c>
      <c r="B30" s="237" t="str">
        <f>'RFQ response'!E34</f>
        <v xml:space="preserve">Immunity to magnetic field </v>
      </c>
      <c r="C30" s="74" t="str">
        <f>'RFQ response'!D34</f>
        <v>REQ-0945117</v>
      </c>
      <c r="D30" s="75">
        <f>'RFQ response'!F34</f>
        <v>0</v>
      </c>
      <c r="E30" s="246">
        <f>DV!K39</f>
        <v>0</v>
      </c>
      <c r="F30" s="246">
        <f>'DV2'!K39</f>
        <v>0</v>
      </c>
      <c r="G30" s="461"/>
      <c r="H30" s="246">
        <f>PPV!K39</f>
        <v>0</v>
      </c>
      <c r="I30" s="246">
        <f>PV!K39</f>
        <v>0</v>
      </c>
      <c r="J30" s="247"/>
    </row>
    <row r="31" spans="1:10">
      <c r="A31" s="583" t="str">
        <f>'RFQ response'!C35</f>
        <v>C_RI_05_R</v>
      </c>
      <c r="B31" s="237" t="str">
        <f>'RFQ response'!E35</f>
        <v>Immunity to electromagnetic radiation</v>
      </c>
      <c r="C31" s="74" t="str">
        <f>'RFQ response'!D35</f>
        <v xml:space="preserve"> -</v>
      </c>
      <c r="D31" s="75" t="str">
        <f>'RFQ response'!F35</f>
        <v>NA</v>
      </c>
      <c r="E31" s="246">
        <f>DV!K40</f>
        <v>0</v>
      </c>
      <c r="F31" s="246">
        <f>'DV2'!K40</f>
        <v>0</v>
      </c>
      <c r="G31" s="461"/>
      <c r="H31" s="246">
        <f>PPV!K40</f>
        <v>0</v>
      </c>
      <c r="I31" s="246">
        <f>PV!K40</f>
        <v>0</v>
      </c>
      <c r="J31" s="247"/>
    </row>
    <row r="32" spans="1:10">
      <c r="A32" s="583" t="str">
        <f>'RFQ response'!C36</f>
        <v>C_CE_01_V</v>
      </c>
      <c r="B32" s="237" t="str">
        <f>'RFQ response'!E36</f>
        <v>RF conducted emission on power supply inputs – AN voltage measurement</v>
      </c>
      <c r="C32" s="74" t="str">
        <f>'RFQ response'!D36</f>
        <v>REQ-0945121</v>
      </c>
      <c r="D32" s="75">
        <f>'RFQ response'!F36</f>
        <v>0</v>
      </c>
      <c r="E32" s="246">
        <f>DV!K41</f>
        <v>0</v>
      </c>
      <c r="F32" s="246">
        <f>'DV2'!K41</f>
        <v>0</v>
      </c>
      <c r="G32" s="461"/>
      <c r="H32" s="246">
        <f>PPV!K41</f>
        <v>0</v>
      </c>
      <c r="I32" s="246">
        <f>PV!K41</f>
        <v>0</v>
      </c>
      <c r="J32" s="247"/>
    </row>
    <row r="33" spans="1:10">
      <c r="A33" s="583" t="str">
        <f>'RFQ response'!C37</f>
        <v>C_CE_02_V</v>
      </c>
      <c r="B33" s="237" t="str">
        <f>'RFQ response'!E37</f>
        <v>RF conducted emission on wiring – Current probe measurement</v>
      </c>
      <c r="C33" s="74" t="str">
        <f>'RFQ response'!D37</f>
        <v>REQ-0945122</v>
      </c>
      <c r="D33" s="75">
        <f>'RFQ response'!F37</f>
        <v>0</v>
      </c>
      <c r="E33" s="246">
        <f>DV!K42</f>
        <v>0</v>
      </c>
      <c r="F33" s="246">
        <f>'DV2'!K42</f>
        <v>0</v>
      </c>
      <c r="G33" s="461"/>
      <c r="H33" s="246">
        <f>PPV!K42</f>
        <v>0</v>
      </c>
      <c r="I33" s="246">
        <f>PV!K42</f>
        <v>0</v>
      </c>
      <c r="J33" s="247"/>
    </row>
    <row r="34" spans="1:10">
      <c r="A34" s="583" t="str">
        <f>'RFQ response'!C38</f>
        <v>C_RE_01_V</v>
      </c>
      <c r="B34" s="237" t="str">
        <f>'RFQ response'!E38</f>
        <v>Electric field radiated emission – ALSE (Absorber Line Shielded Enclosure)</v>
      </c>
      <c r="C34" s="74" t="str">
        <f>'RFQ response'!D38</f>
        <v>REQ-0945123</v>
      </c>
      <c r="D34" s="75">
        <f>'RFQ response'!F38</f>
        <v>0</v>
      </c>
      <c r="E34" s="246">
        <f>DV!K43</f>
        <v>0</v>
      </c>
      <c r="F34" s="246">
        <f>'DV2'!K43</f>
        <v>0</v>
      </c>
      <c r="G34" s="461"/>
      <c r="H34" s="246">
        <f>PPV!K43</f>
        <v>0</v>
      </c>
      <c r="I34" s="246">
        <f>PV!K43</f>
        <v>0</v>
      </c>
      <c r="J34" s="247"/>
    </row>
    <row r="35" spans="1:10">
      <c r="A35" s="583" t="str">
        <f>'RFQ response'!C39</f>
        <v>C_RE_02_V</v>
      </c>
      <c r="B35" s="237" t="str">
        <f>'RFQ response'!E39</f>
        <v xml:space="preserve">Keyless entry - Magnetic field </v>
      </c>
      <c r="C35" s="74" t="str">
        <f>'RFQ response'!D39</f>
        <v>REQ-0945124</v>
      </c>
      <c r="D35" s="75">
        <f>'RFQ response'!F39</f>
        <v>0</v>
      </c>
      <c r="E35" s="246">
        <f>DV!K44</f>
        <v>0</v>
      </c>
      <c r="F35" s="246">
        <f>'DV2'!K44</f>
        <v>0</v>
      </c>
      <c r="G35" s="461"/>
      <c r="H35" s="246">
        <f>PPV!K44</f>
        <v>0</v>
      </c>
      <c r="I35" s="246">
        <f>PV!K44</f>
        <v>0</v>
      </c>
      <c r="J35" s="247"/>
    </row>
    <row r="36" spans="1:10">
      <c r="A36" s="583" t="str">
        <f>'RFQ response'!C40</f>
        <v>C_RE_03_R</v>
      </c>
      <c r="B36" s="237" t="str">
        <f>'RFQ response'!E40</f>
        <v>Broadband radiated emission</v>
      </c>
      <c r="C36" s="74" t="str">
        <f>'RFQ response'!D40</f>
        <v xml:space="preserve"> -</v>
      </c>
      <c r="D36" s="75" t="str">
        <f>'RFQ response'!F40</f>
        <v>NA</v>
      </c>
      <c r="E36" s="246">
        <f>DV!K45</f>
        <v>0</v>
      </c>
      <c r="F36" s="246">
        <f>'DV2'!K45</f>
        <v>0</v>
      </c>
      <c r="G36" s="461"/>
      <c r="H36" s="246">
        <f>PPV!K45</f>
        <v>0</v>
      </c>
      <c r="I36" s="246">
        <f>PV!K45</f>
        <v>0</v>
      </c>
      <c r="J36" s="247"/>
    </row>
    <row r="37" spans="1:10">
      <c r="A37" s="583" t="str">
        <f>'RFQ response'!C41</f>
        <v>C_RE_04_R</v>
      </c>
      <c r="B37" s="237" t="str">
        <f>'RFQ response'!E41</f>
        <v>Narrowband radiated emission</v>
      </c>
      <c r="C37" s="74" t="str">
        <f>'RFQ response'!D41</f>
        <v xml:space="preserve"> -</v>
      </c>
      <c r="D37" s="75" t="str">
        <f>'RFQ response'!F41</f>
        <v>NA</v>
      </c>
      <c r="E37" s="246">
        <f>DV!K46</f>
        <v>0</v>
      </c>
      <c r="F37" s="246">
        <f>'DV2'!K46</f>
        <v>0</v>
      </c>
      <c r="G37" s="461"/>
      <c r="H37" s="246">
        <f>PPV!K46</f>
        <v>0</v>
      </c>
      <c r="I37" s="246">
        <f>PV!K46</f>
        <v>0</v>
      </c>
      <c r="J37" s="247"/>
    </row>
    <row r="38" spans="1:10">
      <c r="A38" s="583" t="str">
        <f>'RFQ response'!C42</f>
        <v>C_ESD_01_V</v>
      </c>
      <c r="B38" s="237" t="str">
        <f>'RFQ response'!E42</f>
        <v xml:space="preserve">Component not connected - Handling </v>
      </c>
      <c r="C38" s="74" t="str">
        <f>'RFQ response'!D42</f>
        <v>REQ-0945125</v>
      </c>
      <c r="D38" s="75">
        <f>'RFQ response'!F42</f>
        <v>0</v>
      </c>
      <c r="E38" s="246">
        <f>DV!K47</f>
        <v>0</v>
      </c>
      <c r="F38" s="246">
        <f>'DV2'!K47</f>
        <v>0</v>
      </c>
      <c r="G38" s="461"/>
      <c r="H38" s="246">
        <f>PPV!K47</f>
        <v>0</v>
      </c>
      <c r="I38" s="246">
        <f>PV!K47</f>
        <v>0</v>
      </c>
      <c r="J38" s="247"/>
    </row>
    <row r="39" spans="1:10">
      <c r="A39" s="583" t="str">
        <f>'RFQ response'!C43</f>
        <v>C_ESD_02_V</v>
      </c>
      <c r="B39" s="237" t="str">
        <f>'RFQ response'!E43</f>
        <v xml:space="preserve">Operating </v>
      </c>
      <c r="C39" s="74" t="str">
        <f>'RFQ response'!D43</f>
        <v>REQ-0945126</v>
      </c>
      <c r="D39" s="75">
        <f>'RFQ response'!F43</f>
        <v>0</v>
      </c>
      <c r="E39" s="246">
        <f>DV!K48</f>
        <v>0</v>
      </c>
      <c r="F39" s="246">
        <f>'DV2'!K48</f>
        <v>0</v>
      </c>
      <c r="G39" s="461"/>
      <c r="H39" s="246">
        <f>PPV!K48</f>
        <v>0</v>
      </c>
      <c r="I39" s="246">
        <f>PV!K48</f>
        <v>0</v>
      </c>
      <c r="J39" s="247"/>
    </row>
    <row r="40" spans="1:10">
      <c r="A40" s="583" t="str">
        <f>'RFQ response'!C44</f>
        <v>SET1</v>
      </c>
      <c r="B40" s="237" t="str">
        <f>'RFQ response'!E44</f>
        <v>Electrical consumptions measurement</v>
      </c>
      <c r="C40" s="74" t="str">
        <f>'RFQ response'!D44</f>
        <v>REQ-0994080</v>
      </c>
      <c r="D40" s="75">
        <f>'RFQ response'!F44</f>
        <v>0</v>
      </c>
      <c r="E40" s="246">
        <f>DV!K49</f>
        <v>0</v>
      </c>
      <c r="F40" s="246">
        <f>'DV2'!K49</f>
        <v>0</v>
      </c>
      <c r="G40" s="461"/>
      <c r="H40" s="246">
        <f>PPV!K49</f>
        <v>0</v>
      </c>
      <c r="I40" s="246">
        <f>PV!K49</f>
        <v>0</v>
      </c>
      <c r="J40" s="247"/>
    </row>
    <row r="41" spans="1:10" ht="15.75">
      <c r="A41" s="898" t="s">
        <v>551</v>
      </c>
      <c r="B41" s="898"/>
      <c r="C41" s="898"/>
      <c r="D41" s="898"/>
      <c r="E41" s="323"/>
      <c r="F41" s="323"/>
      <c r="G41" s="568"/>
      <c r="H41" s="324"/>
      <c r="I41" s="324"/>
      <c r="J41" s="324"/>
    </row>
    <row r="42" spans="1:10">
      <c r="A42" s="557" t="str">
        <f>'RFQ response'!C46</f>
        <v>-</v>
      </c>
      <c r="B42" s="237" t="str">
        <f>'RFQ response'!E46</f>
        <v>Connectors tests</v>
      </c>
      <c r="C42" s="74" t="str">
        <f>'RFQ response'!D46</f>
        <v xml:space="preserve">REQ-0994082 </v>
      </c>
      <c r="D42" s="75">
        <f>'RFQ response'!F46</f>
        <v>0</v>
      </c>
      <c r="E42" s="246">
        <f>DV!K51</f>
        <v>0</v>
      </c>
      <c r="F42" s="246">
        <f>'DV2'!K51</f>
        <v>0</v>
      </c>
      <c r="G42" s="461"/>
      <c r="H42" s="246">
        <f>PPV!K51</f>
        <v>0</v>
      </c>
      <c r="I42" s="246">
        <f>PV!K51</f>
        <v>0</v>
      </c>
      <c r="J42" s="247"/>
    </row>
    <row r="43" spans="1:10" ht="15.75">
      <c r="A43" s="899" t="s">
        <v>450</v>
      </c>
      <c r="B43" s="899"/>
      <c r="C43" s="899"/>
      <c r="D43" s="899"/>
      <c r="E43" s="325"/>
      <c r="F43" s="325"/>
      <c r="G43" s="569"/>
      <c r="H43" s="326"/>
      <c r="I43" s="326"/>
      <c r="J43" s="326"/>
    </row>
    <row r="44" spans="1:10">
      <c r="A44" s="556" t="str">
        <f>'RFQ response'!C48</f>
        <v xml:space="preserve"> -</v>
      </c>
      <c r="B44" s="237" t="str">
        <f>'RFQ response'!E48</f>
        <v>Requirements on connectors &amp; wiring harness</v>
      </c>
      <c r="C44" s="74" t="str">
        <f>'RFQ response'!D48</f>
        <v>REQ-0945120</v>
      </c>
      <c r="D44" s="75">
        <f>'RFQ response'!F48</f>
        <v>0</v>
      </c>
      <c r="E44" s="246">
        <f>DV!K53</f>
        <v>0</v>
      </c>
      <c r="F44" s="246">
        <f>'DV2'!K53</f>
        <v>0</v>
      </c>
      <c r="G44" s="461"/>
      <c r="H44" s="246">
        <f>PPV!K53</f>
        <v>0</v>
      </c>
      <c r="I44" s="246">
        <f>PV!K53</f>
        <v>0</v>
      </c>
      <c r="J44" s="247"/>
    </row>
    <row r="45" spans="1:10">
      <c r="A45" s="556" t="str">
        <f>'RFQ response'!C49</f>
        <v xml:space="preserve"> -</v>
      </c>
      <c r="B45" s="237" t="str">
        <f>'RFQ response'!E49</f>
        <v>Device restraint performance</v>
      </c>
      <c r="C45" s="74" t="str">
        <f>'RFQ response'!D49</f>
        <v>REQ-0945142</v>
      </c>
      <c r="D45" s="75">
        <f>'RFQ response'!F49</f>
        <v>0</v>
      </c>
      <c r="E45" s="246">
        <f>DV!K54</f>
        <v>0</v>
      </c>
      <c r="F45" s="246">
        <f>'DV2'!K54</f>
        <v>0</v>
      </c>
      <c r="G45" s="461"/>
      <c r="H45" s="246">
        <f>PPV!K54</f>
        <v>0</v>
      </c>
      <c r="I45" s="246">
        <f>PV!K54</f>
        <v>0</v>
      </c>
      <c r="J45" s="247"/>
    </row>
    <row r="46" spans="1:10">
      <c r="A46" s="556" t="str">
        <f>'RFQ response'!C50</f>
        <v xml:space="preserve"> -</v>
      </c>
      <c r="B46" s="237" t="str">
        <f>'RFQ response'!E50</f>
        <v>Terminals mechanical resistance</v>
      </c>
      <c r="C46" s="74" t="str">
        <f>'RFQ response'!D50</f>
        <v>REQ-0945143</v>
      </c>
      <c r="D46" s="75">
        <f>'RFQ response'!F50</f>
        <v>0</v>
      </c>
      <c r="E46" s="246">
        <f>DV!K55</f>
        <v>0</v>
      </c>
      <c r="F46" s="246">
        <f>'DV2'!K55</f>
        <v>0</v>
      </c>
      <c r="G46" s="461"/>
      <c r="H46" s="246">
        <f>PPV!K55</f>
        <v>0</v>
      </c>
      <c r="I46" s="246">
        <f>PV!K55</f>
        <v>0</v>
      </c>
      <c r="J46" s="247"/>
    </row>
    <row r="47" spans="1:10">
      <c r="A47" s="556" t="str">
        <f>'RFQ response'!C51</f>
        <v xml:space="preserve"> -</v>
      </c>
      <c r="B47" s="237" t="str">
        <f>'RFQ response'!E51</f>
        <v>Mechanical vibration</v>
      </c>
      <c r="C47" s="74" t="str">
        <f>'RFQ response'!D51</f>
        <v>REQ-0945144</v>
      </c>
      <c r="D47" s="75">
        <f>'RFQ response'!F51</f>
        <v>0</v>
      </c>
      <c r="E47" s="246">
        <f>DV!K56</f>
        <v>0</v>
      </c>
      <c r="F47" s="246">
        <f>'DV2'!K56</f>
        <v>0</v>
      </c>
      <c r="G47" s="461"/>
      <c r="H47" s="246">
        <f>PPV!K56</f>
        <v>0</v>
      </c>
      <c r="I47" s="246">
        <f>PV!K56</f>
        <v>0</v>
      </c>
      <c r="J47" s="247"/>
    </row>
    <row r="48" spans="1:10">
      <c r="A48" s="556" t="str">
        <f>'RFQ response'!C52</f>
        <v xml:space="preserve"> -</v>
      </c>
      <c r="B48" s="237" t="str">
        <f>'RFQ response'!E52</f>
        <v>Mechanical shock</v>
      </c>
      <c r="C48" s="74" t="str">
        <f>'RFQ response'!D52</f>
        <v>REQ-0945149</v>
      </c>
      <c r="D48" s="75">
        <f>'RFQ response'!F52</f>
        <v>0</v>
      </c>
      <c r="E48" s="246">
        <f>DV!K57</f>
        <v>0</v>
      </c>
      <c r="F48" s="246">
        <f>'DV2'!K57</f>
        <v>0</v>
      </c>
      <c r="G48" s="461"/>
      <c r="H48" s="246">
        <f>PPV!K57</f>
        <v>0</v>
      </c>
      <c r="I48" s="246">
        <f>PV!K57</f>
        <v>0</v>
      </c>
      <c r="J48" s="247"/>
    </row>
    <row r="49" spans="1:10">
      <c r="A49" s="556" t="str">
        <f>'RFQ response'!C53</f>
        <v xml:space="preserve"> -</v>
      </c>
      <c r="B49" s="546" t="str">
        <f>'RFQ response'!E53</f>
        <v>Mechanical shock endurance</v>
      </c>
      <c r="C49" s="547" t="str">
        <f>'RFQ response'!D53</f>
        <v xml:space="preserve"> -</v>
      </c>
      <c r="D49" s="570" t="str">
        <f>'RFQ response'!F53</f>
        <v>NA</v>
      </c>
      <c r="E49" s="571">
        <f>DV!K58</f>
        <v>0</v>
      </c>
      <c r="F49" s="571">
        <f>'DV2'!K58</f>
        <v>0</v>
      </c>
      <c r="G49" s="572"/>
      <c r="H49" s="571">
        <f>PPV!K58</f>
        <v>0</v>
      </c>
      <c r="I49" s="571">
        <f>PV!K58</f>
        <v>0</v>
      </c>
      <c r="J49" s="551"/>
    </row>
    <row r="50" spans="1:10">
      <c r="A50" s="556" t="str">
        <f>'RFQ response'!C54</f>
        <v xml:space="preserve"> -</v>
      </c>
      <c r="B50" s="237" t="str">
        <f>'RFQ response'!E54</f>
        <v>Handling drop</v>
      </c>
      <c r="C50" s="74" t="str">
        <f>'RFQ response'!D54</f>
        <v>REQ-0945119</v>
      </c>
      <c r="D50" s="75">
        <f>'RFQ response'!F54</f>
        <v>0</v>
      </c>
      <c r="E50" s="246">
        <f>DV!K59</f>
        <v>0</v>
      </c>
      <c r="F50" s="246">
        <f>'DV2'!K59</f>
        <v>0</v>
      </c>
      <c r="G50" s="461"/>
      <c r="H50" s="246">
        <f>PPV!K59</f>
        <v>0</v>
      </c>
      <c r="I50" s="246">
        <f>PV!K59</f>
        <v>0</v>
      </c>
      <c r="J50" s="247"/>
    </row>
    <row r="51" spans="1:10">
      <c r="A51" s="556" t="str">
        <f>'RFQ response'!C55</f>
        <v>MEAE</v>
      </c>
      <c r="B51" s="237" t="str">
        <f>'RFQ response'!E55</f>
        <v>Mechanical (hydraulic) and electrical activation endurance</v>
      </c>
      <c r="C51" s="74" t="str">
        <f>'RFQ response'!D55</f>
        <v>REQ-0945118</v>
      </c>
      <c r="D51" s="75">
        <f>'RFQ response'!F55</f>
        <v>0</v>
      </c>
      <c r="E51" s="246">
        <f>DV!K60</f>
        <v>0</v>
      </c>
      <c r="F51" s="246">
        <f>'DV2'!K60</f>
        <v>0</v>
      </c>
      <c r="G51" s="461"/>
      <c r="H51" s="246">
        <f>PPV!K60</f>
        <v>0</v>
      </c>
      <c r="I51" s="246">
        <f>PV!K60</f>
        <v>0</v>
      </c>
      <c r="J51" s="247"/>
    </row>
    <row r="52" spans="1:10">
      <c r="A52" s="556" t="str">
        <f>'RFQ response'!C56</f>
        <v xml:space="preserve"> -</v>
      </c>
      <c r="B52" s="546" t="str">
        <f>'RFQ response'!E56</f>
        <v>Gravel bombardment</v>
      </c>
      <c r="C52" s="547" t="str">
        <f>'RFQ response'!D56</f>
        <v xml:space="preserve"> -</v>
      </c>
      <c r="D52" s="570" t="str">
        <f>'RFQ response'!F56</f>
        <v>NA</v>
      </c>
      <c r="E52" s="571">
        <f>DV!K61</f>
        <v>0</v>
      </c>
      <c r="F52" s="571">
        <f>'DV2'!K61</f>
        <v>0</v>
      </c>
      <c r="G52" s="572"/>
      <c r="H52" s="571">
        <f>PPV!K61</f>
        <v>0</v>
      </c>
      <c r="I52" s="571">
        <f>PV!K61</f>
        <v>0</v>
      </c>
      <c r="J52" s="551"/>
    </row>
    <row r="53" spans="1:10">
      <c r="A53" s="556" t="str">
        <f>'RFQ response'!C57</f>
        <v>SMT1.1</v>
      </c>
      <c r="B53" s="237" t="str">
        <f>'RFQ response'!E57</f>
        <v>Pull Test (200N)</v>
      </c>
      <c r="C53" s="74" t="str">
        <f>'RFQ response'!D57</f>
        <v>REQ-0945079</v>
      </c>
      <c r="D53" s="75">
        <f>'RFQ response'!F57</f>
        <v>0</v>
      </c>
      <c r="E53" s="246">
        <f>DV!K62</f>
        <v>0</v>
      </c>
      <c r="F53" s="246">
        <f>'DV2'!K62</f>
        <v>0</v>
      </c>
      <c r="G53" s="461"/>
      <c r="H53" s="246">
        <f>PPV!K62</f>
        <v>0</v>
      </c>
      <c r="I53" s="246">
        <f>PV!K62</f>
        <v>0</v>
      </c>
      <c r="J53" s="247"/>
    </row>
    <row r="54" spans="1:10">
      <c r="A54" s="556" t="str">
        <f>'RFQ response'!C58</f>
        <v>SMT1.2</v>
      </c>
      <c r="B54" s="237" t="str">
        <f>'RFQ response'!E58</f>
        <v>Pull Test (400N)</v>
      </c>
      <c r="C54" s="74" t="str">
        <f>'RFQ response'!D58</f>
        <v>REQ-0945090</v>
      </c>
      <c r="D54" s="75">
        <f>'RFQ response'!F58</f>
        <v>0</v>
      </c>
      <c r="E54" s="246">
        <f>DV!K63</f>
        <v>0</v>
      </c>
      <c r="F54" s="246">
        <f>'DV2'!K63</f>
        <v>0</v>
      </c>
      <c r="G54" s="461"/>
      <c r="H54" s="246">
        <f>PPV!K63</f>
        <v>0</v>
      </c>
      <c r="I54" s="246">
        <f>PV!K63</f>
        <v>0</v>
      </c>
      <c r="J54" s="247"/>
    </row>
    <row r="55" spans="1:10">
      <c r="A55" s="556" t="str">
        <f>'RFQ response'!C59</f>
        <v>SMT2.2</v>
      </c>
      <c r="B55" s="237" t="str">
        <f>'RFQ response'!E59</f>
        <v>Folding, unfolding and adjustment noise</v>
      </c>
      <c r="C55" s="74" t="str">
        <f>'RFQ response'!D59</f>
        <v>REQ-0945146</v>
      </c>
      <c r="D55" s="75" t="str">
        <f>'RFQ response'!F59</f>
        <v>NA</v>
      </c>
      <c r="E55" s="246">
        <f>DV!K64</f>
        <v>0</v>
      </c>
      <c r="F55" s="246">
        <f>'DV2'!K64</f>
        <v>0</v>
      </c>
      <c r="G55" s="461"/>
      <c r="H55" s="246">
        <f>PPV!K64</f>
        <v>0</v>
      </c>
      <c r="I55" s="246">
        <f>PV!K64</f>
        <v>0</v>
      </c>
      <c r="J55" s="247"/>
    </row>
    <row r="56" spans="1:10">
      <c r="A56" s="556" t="str">
        <f>'RFQ response'!C60</f>
        <v>SMT2.3</v>
      </c>
      <c r="B56" s="237" t="str">
        <f>'RFQ response'!E60</f>
        <v>Electronic noise</v>
      </c>
      <c r="C56" s="74" t="str">
        <f>'RFQ response'!D60</f>
        <v>REQ-0945147</v>
      </c>
      <c r="D56" s="75">
        <f>'RFQ response'!F60</f>
        <v>0</v>
      </c>
      <c r="E56" s="246">
        <f>DV!K65</f>
        <v>0</v>
      </c>
      <c r="F56" s="246">
        <f>'DV2'!K65</f>
        <v>0</v>
      </c>
      <c r="G56" s="461"/>
      <c r="H56" s="246">
        <f>PPV!K65</f>
        <v>0</v>
      </c>
      <c r="I56" s="246">
        <f>PV!K65</f>
        <v>0</v>
      </c>
      <c r="J56" s="247"/>
    </row>
    <row r="57" spans="1:10">
      <c r="A57" s="556" t="str">
        <f>'RFQ response'!C61</f>
        <v>SMT3</v>
      </c>
      <c r="B57" s="237" t="str">
        <f>'RFQ response'!E61</f>
        <v>Unwanted noise – Vibratory organic test</v>
      </c>
      <c r="C57" s="74" t="str">
        <f>'RFQ response'!D61</f>
        <v>REQ-0945148</v>
      </c>
      <c r="D57" s="75">
        <f>'RFQ response'!F61</f>
        <v>0</v>
      </c>
      <c r="E57" s="246">
        <f>DV!K66</f>
        <v>0</v>
      </c>
      <c r="F57" s="246">
        <f>'DV2'!K66</f>
        <v>0</v>
      </c>
      <c r="G57" s="461"/>
      <c r="H57" s="246">
        <f>PPV!K66</f>
        <v>0</v>
      </c>
      <c r="I57" s="246">
        <f>PV!K66</f>
        <v>0</v>
      </c>
      <c r="J57" s="247"/>
    </row>
    <row r="58" spans="1:10">
      <c r="A58" s="556" t="str">
        <f>'RFQ response'!C62</f>
        <v>SMT5</v>
      </c>
      <c r="B58" s="237" t="str">
        <f>'RFQ response'!E62</f>
        <v>Endurance test of folding/unfolding of the combiner</v>
      </c>
      <c r="C58" s="74" t="str">
        <f>'RFQ response'!D62</f>
        <v>REQ-0945151</v>
      </c>
      <c r="D58" s="75" t="str">
        <f>'RFQ response'!F62</f>
        <v>NA</v>
      </c>
      <c r="E58" s="246">
        <f>DV!K67</f>
        <v>0</v>
      </c>
      <c r="F58" s="246">
        <f>'DV2'!K67</f>
        <v>0</v>
      </c>
      <c r="G58" s="461"/>
      <c r="H58" s="246">
        <f>PPV!K67</f>
        <v>0</v>
      </c>
      <c r="I58" s="246">
        <f>PV!K67</f>
        <v>0</v>
      </c>
      <c r="J58" s="247"/>
    </row>
    <row r="59" spans="1:10">
      <c r="A59" s="556" t="str">
        <f>'RFQ response'!C63</f>
        <v>SMT6.1</v>
      </c>
      <c r="B59" s="237" t="str">
        <f>'RFQ response'!E63</f>
        <v>Capacitive detection test without gloves</v>
      </c>
      <c r="C59" s="74" t="str">
        <f>'RFQ response'!D63</f>
        <v>REQ-0945152</v>
      </c>
      <c r="D59" s="75">
        <f>'RFQ response'!F63</f>
        <v>0</v>
      </c>
      <c r="E59" s="246">
        <f>DV!K68</f>
        <v>0</v>
      </c>
      <c r="F59" s="246">
        <f>'DV2'!K68</f>
        <v>0</v>
      </c>
      <c r="G59" s="461"/>
      <c r="H59" s="246">
        <f>PPV!K68</f>
        <v>0</v>
      </c>
      <c r="I59" s="246">
        <f>PV!K68</f>
        <v>0</v>
      </c>
      <c r="J59" s="247"/>
    </row>
    <row r="60" spans="1:10">
      <c r="A60" s="556" t="str">
        <f>'RFQ response'!C64</f>
        <v>SMT6.2</v>
      </c>
      <c r="B60" s="237" t="str">
        <f>'RFQ response'!E64</f>
        <v>Capacitive detection test with thin gloves</v>
      </c>
      <c r="C60" s="74" t="str">
        <f>'RFQ response'!D64</f>
        <v>REQ-0945153</v>
      </c>
      <c r="D60" s="75">
        <f>'RFQ response'!F64</f>
        <v>0</v>
      </c>
      <c r="E60" s="246">
        <f>DV!K69</f>
        <v>0</v>
      </c>
      <c r="F60" s="246">
        <f>'DV2'!K69</f>
        <v>0</v>
      </c>
      <c r="G60" s="461"/>
      <c r="H60" s="246">
        <f>PPV!K69</f>
        <v>0</v>
      </c>
      <c r="I60" s="246">
        <f>PV!K69</f>
        <v>0</v>
      </c>
      <c r="J60" s="247"/>
    </row>
    <row r="61" spans="1:10">
      <c r="A61" s="556" t="str">
        <f>'RFQ response'!C65</f>
        <v>SMT7</v>
      </c>
      <c r="B61" s="237" t="str">
        <f>'RFQ response'!E65</f>
        <v>Edge cover lens hardness test (falling ball)</v>
      </c>
      <c r="C61" s="74" t="str">
        <f>'RFQ response'!D65</f>
        <v>REQ-0945154</v>
      </c>
      <c r="D61" s="75">
        <f>'RFQ response'!F65</f>
        <v>0</v>
      </c>
      <c r="E61" s="246">
        <f>DV!K70</f>
        <v>0</v>
      </c>
      <c r="F61" s="246">
        <f>'DV2'!K70</f>
        <v>0</v>
      </c>
      <c r="G61" s="461"/>
      <c r="H61" s="246">
        <f>PPV!K70</f>
        <v>0</v>
      </c>
      <c r="I61" s="246">
        <f>PV!K70</f>
        <v>0</v>
      </c>
      <c r="J61" s="247"/>
    </row>
    <row r="62" spans="1:10">
      <c r="A62" s="556" t="str">
        <f>'RFQ response'!C66</f>
        <v>SMT8.1</v>
      </c>
      <c r="B62" s="237" t="str">
        <f>'RFQ response'!E66</f>
        <v>Indentation</v>
      </c>
      <c r="C62" s="74" t="str">
        <f>'RFQ response'!D66</f>
        <v>REQ-0945091</v>
      </c>
      <c r="D62" s="75">
        <f>'RFQ response'!F66</f>
        <v>0</v>
      </c>
      <c r="E62" s="246">
        <f>DV!K71</f>
        <v>0</v>
      </c>
      <c r="F62" s="246">
        <f>'DV2'!K71</f>
        <v>0</v>
      </c>
      <c r="G62" s="461"/>
      <c r="H62" s="246">
        <f>PPV!K71</f>
        <v>0</v>
      </c>
      <c r="I62" s="246">
        <f>PV!K71</f>
        <v>0</v>
      </c>
      <c r="J62" s="247"/>
    </row>
    <row r="63" spans="1:10" ht="33.75">
      <c r="A63" s="556" t="str">
        <f>'RFQ response'!C67</f>
        <v>SMT8.2</v>
      </c>
      <c r="B63" s="237" t="str">
        <f>'RFQ response'!E67</f>
        <v>Rigidity of the frontage</v>
      </c>
      <c r="C63" s="74" t="str">
        <f>'RFQ response'!D67</f>
        <v>REQ-0945162
REQ-0945180
REQ-0945181</v>
      </c>
      <c r="D63" s="75">
        <f>'RFQ response'!F67</f>
        <v>0</v>
      </c>
      <c r="E63" s="246">
        <f>DV!K72</f>
        <v>0</v>
      </c>
      <c r="F63" s="246">
        <f>'DV2'!K72</f>
        <v>0</v>
      </c>
      <c r="G63" s="461"/>
      <c r="H63" s="246">
        <f>PPV!K72</f>
        <v>0</v>
      </c>
      <c r="I63" s="246">
        <f>PV!K72</f>
        <v>0</v>
      </c>
      <c r="J63" s="247"/>
    </row>
    <row r="64" spans="1:10">
      <c r="A64" s="556" t="str">
        <f>'RFQ response'!C68</f>
        <v>SMT8.4</v>
      </c>
      <c r="B64" s="237" t="str">
        <f>'RFQ response'!E68</f>
        <v>Exceptional effort on the floating display</v>
      </c>
      <c r="C64" s="74" t="str">
        <f>'RFQ response'!D68</f>
        <v>REQ-0945184</v>
      </c>
      <c r="D64" s="75">
        <f>'RFQ response'!F68</f>
        <v>0</v>
      </c>
      <c r="E64" s="246">
        <f>DV!K73</f>
        <v>0</v>
      </c>
      <c r="F64" s="246">
        <f>'DV2'!K73</f>
        <v>0</v>
      </c>
      <c r="G64" s="461"/>
      <c r="H64" s="246">
        <f>PPV!K73</f>
        <v>0</v>
      </c>
      <c r="I64" s="246">
        <f>PV!K73</f>
        <v>0</v>
      </c>
      <c r="J64" s="247"/>
    </row>
    <row r="65" spans="1:10" ht="22.5">
      <c r="A65" s="556" t="str">
        <f>'RFQ response'!C69</f>
        <v>SMT8.5</v>
      </c>
      <c r="B65" s="237" t="str">
        <f>'RFQ response'!E69</f>
        <v>Rigidity of the finger rest</v>
      </c>
      <c r="C65" s="74" t="str">
        <f>'RFQ response'!D69</f>
        <v>REQ-0945185
REQ-0945186</v>
      </c>
      <c r="D65" s="75" t="str">
        <f>'RFQ response'!F69</f>
        <v>NA</v>
      </c>
      <c r="E65" s="246">
        <f>DV!K74</f>
        <v>0</v>
      </c>
      <c r="F65" s="246">
        <f>'DV2'!K74</f>
        <v>0</v>
      </c>
      <c r="G65" s="461"/>
      <c r="H65" s="246">
        <f>PPV!K74</f>
        <v>0</v>
      </c>
      <c r="I65" s="246">
        <f>PV!K74</f>
        <v>0</v>
      </c>
      <c r="J65" s="247"/>
    </row>
    <row r="66" spans="1:10">
      <c r="A66" s="556" t="str">
        <f>'RFQ response'!C70</f>
        <v>SMT9</v>
      </c>
      <c r="B66" s="237" t="str">
        <f>'RFQ response'!E70</f>
        <v>Coatings performance tests for display cover lenses</v>
      </c>
      <c r="C66" s="74" t="str">
        <f>'RFQ response'!D70</f>
        <v>REQ-0945179</v>
      </c>
      <c r="D66" s="75">
        <f>'RFQ response'!F70</f>
        <v>0</v>
      </c>
      <c r="E66" s="246">
        <f>DV!K75</f>
        <v>0</v>
      </c>
      <c r="F66" s="246">
        <f>'DV2'!K75</f>
        <v>0</v>
      </c>
      <c r="G66" s="461"/>
      <c r="H66" s="246">
        <f>PPV!K75</f>
        <v>0</v>
      </c>
      <c r="I66" s="246">
        <f>PV!K75</f>
        <v>0</v>
      </c>
      <c r="J66" s="247"/>
    </row>
    <row r="67" spans="1:10" ht="15.75">
      <c r="A67" s="900" t="s">
        <v>458</v>
      </c>
      <c r="B67" s="900"/>
      <c r="C67" s="900"/>
      <c r="D67" s="900"/>
      <c r="E67" s="327"/>
      <c r="F67" s="327"/>
      <c r="G67" s="573"/>
      <c r="H67" s="328"/>
      <c r="I67" s="328"/>
      <c r="J67" s="328"/>
    </row>
    <row r="68" spans="1:10">
      <c r="A68" s="555" t="str">
        <f>'RFQ response'!C72</f>
        <v>SSTE</v>
      </c>
      <c r="B68" s="237" t="str">
        <f>'RFQ response'!E72</f>
        <v>Shipping / Storage Temperature Exposure</v>
      </c>
      <c r="C68" s="74" t="str">
        <f>'RFQ response'!D72</f>
        <v>REQ-0945155</v>
      </c>
      <c r="D68" s="75">
        <f>'RFQ response'!F72</f>
        <v>0</v>
      </c>
      <c r="E68" s="246">
        <f>DV!K77</f>
        <v>0</v>
      </c>
      <c r="F68" s="246">
        <f>'DV2'!K77</f>
        <v>0</v>
      </c>
      <c r="G68" s="461"/>
      <c r="H68" s="246">
        <f>PPV!K77</f>
        <v>0</v>
      </c>
      <c r="I68" s="246">
        <f>PV!K77</f>
        <v>0</v>
      </c>
      <c r="J68" s="247"/>
    </row>
    <row r="69" spans="1:10">
      <c r="A69" s="555" t="str">
        <f>'RFQ response'!C73</f>
        <v>LTOE</v>
      </c>
      <c r="B69" s="237" t="str">
        <f>'RFQ response'!E73</f>
        <v>Low Temperature Operating Endurance</v>
      </c>
      <c r="C69" s="74" t="str">
        <f>'RFQ response'!D73</f>
        <v>REQ-0945156</v>
      </c>
      <c r="D69" s="75">
        <f>'RFQ response'!F73</f>
        <v>0</v>
      </c>
      <c r="E69" s="246">
        <f>DV!K78</f>
        <v>0</v>
      </c>
      <c r="F69" s="246">
        <f>'DV2'!K78</f>
        <v>0</v>
      </c>
      <c r="G69" s="461"/>
      <c r="H69" s="246">
        <f>PPV!K78</f>
        <v>0</v>
      </c>
      <c r="I69" s="246">
        <f>PV!K78</f>
        <v>0</v>
      </c>
      <c r="J69" s="247"/>
    </row>
    <row r="70" spans="1:10">
      <c r="A70" s="555" t="str">
        <f>'RFQ response'!C74</f>
        <v>-</v>
      </c>
      <c r="B70" s="237" t="str">
        <f>'RFQ response'!E74</f>
        <v>Temperature Step</v>
      </c>
      <c r="C70" s="74" t="str">
        <f>'RFQ response'!D74</f>
        <v>REQ-0945157</v>
      </c>
      <c r="D70" s="75">
        <f>'RFQ response'!F74</f>
        <v>0</v>
      </c>
      <c r="E70" s="246">
        <f>DV!K79</f>
        <v>0</v>
      </c>
      <c r="F70" s="246">
        <f>'DV2'!K79</f>
        <v>0</v>
      </c>
      <c r="G70" s="461"/>
      <c r="H70" s="246">
        <f>PPV!K79</f>
        <v>0</v>
      </c>
      <c r="I70" s="246">
        <f>PV!K79</f>
        <v>0</v>
      </c>
      <c r="J70" s="247"/>
    </row>
    <row r="71" spans="1:10">
      <c r="A71" s="555" t="str">
        <f>'RFQ response'!C75</f>
        <v>HTOE</v>
      </c>
      <c r="B71" s="237" t="str">
        <f>'RFQ response'!E75</f>
        <v>High Temperature Operating Endurance</v>
      </c>
      <c r="C71" s="74" t="str">
        <f>'RFQ response'!D75</f>
        <v>REQ-0945158</v>
      </c>
      <c r="D71" s="75">
        <f>'RFQ response'!F75</f>
        <v>0</v>
      </c>
      <c r="E71" s="246">
        <f>DV!K80</f>
        <v>0</v>
      </c>
      <c r="F71" s="246">
        <f>'DV2'!K80</f>
        <v>0</v>
      </c>
      <c r="G71" s="461"/>
      <c r="H71" s="246">
        <f>PPV!K80</f>
        <v>0</v>
      </c>
      <c r="I71" s="246">
        <f>PV!K80</f>
        <v>0</v>
      </c>
      <c r="J71" s="247"/>
    </row>
    <row r="72" spans="1:10">
      <c r="A72" s="555" t="str">
        <f>'RFQ response'!C76</f>
        <v>PTCE</v>
      </c>
      <c r="B72" s="237" t="str">
        <f>'RFQ response'!E76</f>
        <v>Power Thermal Cycle Endurance</v>
      </c>
      <c r="C72" s="74" t="str">
        <f>'RFQ response'!D76</f>
        <v>REQ-0945163</v>
      </c>
      <c r="D72" s="75">
        <f>'RFQ response'!F76</f>
        <v>0</v>
      </c>
      <c r="E72" s="246">
        <f>DV!K81</f>
        <v>0</v>
      </c>
      <c r="F72" s="246">
        <f>'DV2'!K81</f>
        <v>0</v>
      </c>
      <c r="G72" s="461"/>
      <c r="H72" s="246">
        <f>PPV!K81</f>
        <v>0</v>
      </c>
      <c r="I72" s="246">
        <f>PV!K81</f>
        <v>0</v>
      </c>
      <c r="J72" s="247"/>
    </row>
    <row r="73" spans="1:10">
      <c r="A73" s="555" t="str">
        <f>'RFQ response'!C77</f>
        <v>TS</v>
      </c>
      <c r="B73" s="237" t="str">
        <f>'RFQ response'!E77</f>
        <v>Thermal Shock</v>
      </c>
      <c r="C73" s="74" t="str">
        <f>'RFQ response'!D77</f>
        <v>REQ-0945159</v>
      </c>
      <c r="D73" s="75">
        <f>'RFQ response'!F77</f>
        <v>0</v>
      </c>
      <c r="E73" s="246">
        <f>DV!K82</f>
        <v>0</v>
      </c>
      <c r="F73" s="246">
        <f>'DV2'!K82</f>
        <v>0</v>
      </c>
      <c r="G73" s="461"/>
      <c r="H73" s="246">
        <f>PPV!K82</f>
        <v>0</v>
      </c>
      <c r="I73" s="246">
        <f>PV!K82</f>
        <v>0</v>
      </c>
      <c r="J73" s="247"/>
    </row>
    <row r="74" spans="1:10">
      <c r="A74" s="555" t="str">
        <f>'RFQ response'!C78</f>
        <v>THC</v>
      </c>
      <c r="B74" s="237" t="str">
        <f>'RFQ response'!E78</f>
        <v>Thermal Humidity Cycle</v>
      </c>
      <c r="C74" s="74" t="str">
        <f>'RFQ response'!D78</f>
        <v>REQ-0945160</v>
      </c>
      <c r="D74" s="75">
        <f>'RFQ response'!F78</f>
        <v>0</v>
      </c>
      <c r="E74" s="246">
        <f>DV!K83</f>
        <v>0</v>
      </c>
      <c r="F74" s="246">
        <f>'DV2'!K83</f>
        <v>0</v>
      </c>
      <c r="G74" s="461"/>
      <c r="H74" s="246">
        <f>PPV!K83</f>
        <v>0</v>
      </c>
      <c r="I74" s="246">
        <f>PV!K83</f>
        <v>0</v>
      </c>
      <c r="J74" s="247"/>
    </row>
    <row r="75" spans="1:10">
      <c r="A75" s="555" t="str">
        <f>'RFQ response'!C79</f>
        <v>HTHE</v>
      </c>
      <c r="B75" s="237" t="str">
        <f>'RFQ response'!E79</f>
        <v>High Temperature &amp; High Humidity Endurance</v>
      </c>
      <c r="C75" s="74" t="str">
        <f>'RFQ response'!D79</f>
        <v>REQ-0945161</v>
      </c>
      <c r="D75" s="75">
        <f>'RFQ response'!F79</f>
        <v>0</v>
      </c>
      <c r="E75" s="246">
        <f>DV!K84</f>
        <v>0</v>
      </c>
      <c r="F75" s="246">
        <f>'DV2'!K84</f>
        <v>0</v>
      </c>
      <c r="G75" s="461"/>
      <c r="H75" s="246">
        <f>PPV!K84</f>
        <v>0</v>
      </c>
      <c r="I75" s="246">
        <f>PV!K84</f>
        <v>0</v>
      </c>
      <c r="J75" s="247"/>
    </row>
    <row r="76" spans="1:10">
      <c r="A76" s="555" t="str">
        <f>'RFQ response'!C80</f>
        <v>CL06</v>
      </c>
      <c r="B76" s="237" t="str">
        <f>'RFQ response'!E80</f>
        <v>Self-heating measurement</v>
      </c>
      <c r="C76" s="74" t="str">
        <f>'RFQ response'!D80</f>
        <v>REQ-0945127</v>
      </c>
      <c r="D76" s="75">
        <f>'RFQ response'!F80</f>
        <v>0</v>
      </c>
      <c r="E76" s="246">
        <f>DV!K85</f>
        <v>0</v>
      </c>
      <c r="F76" s="246">
        <f>'DV2'!K85</f>
        <v>0</v>
      </c>
      <c r="G76" s="461"/>
      <c r="H76" s="246">
        <f>PPV!K85</f>
        <v>0</v>
      </c>
      <c r="I76" s="246">
        <f>PV!K85</f>
        <v>0</v>
      </c>
      <c r="J76" s="247"/>
    </row>
    <row r="77" spans="1:10">
      <c r="A77" s="555" t="str">
        <f>'RFQ response'!C81</f>
        <v>SCT1</v>
      </c>
      <c r="B77" s="237" t="str">
        <f>'RFQ response'!E81</f>
        <v>Resistance test of the displays to the ultraviolet rays</v>
      </c>
      <c r="C77" s="74" t="str">
        <f>'RFQ response'!D81</f>
        <v>REQ-0945164</v>
      </c>
      <c r="D77" s="75">
        <f>'RFQ response'!F81</f>
        <v>0</v>
      </c>
      <c r="E77" s="246">
        <f>DV!K86</f>
        <v>0</v>
      </c>
      <c r="F77" s="246">
        <f>'DV2'!K86</f>
        <v>0</v>
      </c>
      <c r="G77" s="461"/>
      <c r="H77" s="246">
        <f>PPV!K86</f>
        <v>0</v>
      </c>
      <c r="I77" s="246">
        <f>PV!K86</f>
        <v>0</v>
      </c>
      <c r="J77" s="247"/>
    </row>
    <row r="78" spans="1:10">
      <c r="A78" s="555" t="str">
        <f>'RFQ response'!C82</f>
        <v>SCT2</v>
      </c>
      <c r="B78" s="237" t="str">
        <f>'RFQ response'!E82</f>
        <v>Resistance test of the displays to corrosive liquids</v>
      </c>
      <c r="C78" s="74" t="str">
        <f>'RFQ response'!D82</f>
        <v>REQ-0945165</v>
      </c>
      <c r="D78" s="75">
        <f>'RFQ response'!F82</f>
        <v>0</v>
      </c>
      <c r="E78" s="246">
        <f>DV!K87</f>
        <v>0</v>
      </c>
      <c r="F78" s="246">
        <f>'DV2'!K87</f>
        <v>0</v>
      </c>
      <c r="G78" s="461"/>
      <c r="H78" s="246">
        <f>PPV!K87</f>
        <v>0</v>
      </c>
      <c r="I78" s="246">
        <f>PV!K87</f>
        <v>0</v>
      </c>
      <c r="J78" s="247"/>
    </row>
    <row r="79" spans="1:10">
      <c r="A79" s="555" t="str">
        <f>'RFQ response'!C83</f>
        <v>SCT3</v>
      </c>
      <c r="B79" s="237" t="str">
        <f>'RFQ response'!E83</f>
        <v>Sun resistance</v>
      </c>
      <c r="C79" s="74" t="str">
        <f>'RFQ response'!D83</f>
        <v>REQ-0945166</v>
      </c>
      <c r="D79" s="75">
        <f>'RFQ response'!F83</f>
        <v>0</v>
      </c>
      <c r="E79" s="246">
        <f>DV!K88</f>
        <v>0</v>
      </c>
      <c r="F79" s="246">
        <f>'DV2'!K88</f>
        <v>0</v>
      </c>
      <c r="G79" s="461"/>
      <c r="H79" s="246">
        <f>PPV!K88</f>
        <v>0</v>
      </c>
      <c r="I79" s="246">
        <f>PV!K88</f>
        <v>0</v>
      </c>
      <c r="J79" s="247"/>
    </row>
    <row r="80" spans="1:10">
      <c r="A80" s="555" t="str">
        <f>'RFQ response'!C84</f>
        <v>SCT4</v>
      </c>
      <c r="B80" s="237" t="str">
        <f>'RFQ response'!E84</f>
        <v>Resistance to pullout of glued parts</v>
      </c>
      <c r="C80" s="74" t="str">
        <f>'RFQ response'!D84</f>
        <v>REQ-0945167</v>
      </c>
      <c r="D80" s="75">
        <f>'RFQ response'!F84</f>
        <v>0</v>
      </c>
      <c r="E80" s="246">
        <f>DV!K89</f>
        <v>0</v>
      </c>
      <c r="F80" s="246">
        <f>'DV2'!K89</f>
        <v>0</v>
      </c>
      <c r="G80" s="461"/>
      <c r="H80" s="246">
        <f>PPV!K89</f>
        <v>0</v>
      </c>
      <c r="I80" s="246">
        <f>PV!K89</f>
        <v>0</v>
      </c>
      <c r="J80" s="247"/>
    </row>
    <row r="81" spans="1:10">
      <c r="A81" s="555" t="str">
        <f>'RFQ response'!C85</f>
        <v>SCT5</v>
      </c>
      <c r="B81" s="237" t="str">
        <f>'RFQ response'!E85</f>
        <v>Fingerprint affinity and cleanability test on displays</v>
      </c>
      <c r="C81" s="74" t="str">
        <f>'RFQ response'!D85</f>
        <v>REQ-0945168</v>
      </c>
      <c r="D81" s="75">
        <f>'RFQ response'!F85</f>
        <v>0</v>
      </c>
      <c r="E81" s="246">
        <f>DV!K90</f>
        <v>0</v>
      </c>
      <c r="F81" s="246">
        <f>'DV2'!K90</f>
        <v>0</v>
      </c>
      <c r="G81" s="461"/>
      <c r="H81" s="246">
        <f>PPV!K90</f>
        <v>0</v>
      </c>
      <c r="I81" s="246">
        <f>PV!K90</f>
        <v>0</v>
      </c>
      <c r="J81" s="247"/>
    </row>
    <row r="82" spans="1:10">
      <c r="A82" s="555" t="str">
        <f>'RFQ response'!C86</f>
        <v>SCT6.1</v>
      </c>
      <c r="B82" s="237" t="str">
        <f>'RFQ response'!E86</f>
        <v>Resistance to climatic ageing (not exposed to direct sun)</v>
      </c>
      <c r="C82" s="74" t="str">
        <f>'RFQ response'!D86</f>
        <v>REQ-0945169</v>
      </c>
      <c r="D82" s="75" t="str">
        <f>'RFQ response'!F86</f>
        <v>NA</v>
      </c>
      <c r="E82" s="246">
        <f>DV!K91</f>
        <v>0</v>
      </c>
      <c r="F82" s="246">
        <f>'DV2'!K91</f>
        <v>0</v>
      </c>
      <c r="G82" s="461"/>
      <c r="H82" s="246">
        <f>PPV!K91</f>
        <v>0</v>
      </c>
      <c r="I82" s="246">
        <f>PV!K91</f>
        <v>0</v>
      </c>
      <c r="J82" s="247"/>
    </row>
    <row r="83" spans="1:10">
      <c r="A83" s="555" t="str">
        <f>'RFQ response'!C87</f>
        <v>SCT6.2</v>
      </c>
      <c r="B83" s="237" t="str">
        <f>'RFQ response'!E87</f>
        <v>Resistance to climatic ageing (exposed to direct sun)</v>
      </c>
      <c r="C83" s="74" t="str">
        <f>'RFQ response'!D87</f>
        <v>REQ-0945170</v>
      </c>
      <c r="D83" s="75">
        <f>'RFQ response'!F87</f>
        <v>0</v>
      </c>
      <c r="E83" s="246">
        <f>DV!K92</f>
        <v>0</v>
      </c>
      <c r="F83" s="246">
        <f>'DV2'!K92</f>
        <v>0</v>
      </c>
      <c r="G83" s="461"/>
      <c r="H83" s="246">
        <f>PPV!K92</f>
        <v>0</v>
      </c>
      <c r="I83" s="246">
        <f>PV!K92</f>
        <v>0</v>
      </c>
      <c r="J83" s="247"/>
    </row>
    <row r="84" spans="1:10">
      <c r="A84" s="555" t="str">
        <f>'RFQ response'!C88</f>
        <v>SCT7</v>
      </c>
      <c r="B84" s="237" t="str">
        <f>'RFQ response'!E88</f>
        <v>Surface temperature test of the tactile displays</v>
      </c>
      <c r="C84" s="74" t="str">
        <f>'RFQ response'!D88</f>
        <v>REQ-0994059</v>
      </c>
      <c r="D84" s="75">
        <f>'RFQ response'!F88</f>
        <v>0</v>
      </c>
      <c r="E84" s="246">
        <f>DV!K93</f>
        <v>0</v>
      </c>
      <c r="F84" s="246">
        <f>'DV2'!K93</f>
        <v>0</v>
      </c>
      <c r="G84" s="461"/>
      <c r="H84" s="246">
        <f>PPV!K93</f>
        <v>0</v>
      </c>
      <c r="I84" s="246">
        <f>PV!K93</f>
        <v>0</v>
      </c>
      <c r="J84" s="247"/>
    </row>
    <row r="85" spans="1:10" ht="15.75">
      <c r="A85" s="901" t="s">
        <v>453</v>
      </c>
      <c r="B85" s="901"/>
      <c r="C85" s="901"/>
      <c r="D85" s="901"/>
      <c r="E85" s="549"/>
      <c r="F85" s="549"/>
      <c r="G85" s="574"/>
      <c r="H85" s="550"/>
      <c r="I85" s="550"/>
      <c r="J85" s="550"/>
    </row>
    <row r="86" spans="1:10" ht="45">
      <c r="A86" s="558" t="str">
        <f>'RFQ response'!C90</f>
        <v xml:space="preserve"> -</v>
      </c>
      <c r="B86" s="237" t="str">
        <f>'RFQ response'!E90</f>
        <v>Dust intrusion</v>
      </c>
      <c r="C86" s="74" t="str">
        <f>'RFQ response'!D90</f>
        <v>REQ-0945171
REQ-0945172
REQ-0945173
REQ-0945174</v>
      </c>
      <c r="D86" s="75">
        <f>'RFQ response'!F90</f>
        <v>0</v>
      </c>
      <c r="E86" s="246">
        <f>DV!K95</f>
        <v>0</v>
      </c>
      <c r="F86" s="246">
        <f>'DV2'!K95</f>
        <v>0</v>
      </c>
      <c r="G86" s="461"/>
      <c r="H86" s="246">
        <f>PPV!K95</f>
        <v>0</v>
      </c>
      <c r="I86" s="246">
        <f>PV!K95</f>
        <v>0</v>
      </c>
      <c r="J86" s="247"/>
    </row>
    <row r="87" spans="1:10">
      <c r="A87" s="558" t="str">
        <f>'RFQ response'!C91</f>
        <v xml:space="preserve"> -</v>
      </c>
      <c r="B87" s="546" t="str">
        <f>'RFQ response'!E91</f>
        <v>Mud resistance</v>
      </c>
      <c r="C87" s="547" t="str">
        <f>'RFQ response'!D91</f>
        <v xml:space="preserve"> -</v>
      </c>
      <c r="D87" s="570" t="str">
        <f>'RFQ response'!F91</f>
        <v>NA</v>
      </c>
      <c r="E87" s="571">
        <f>DV!K96</f>
        <v>0</v>
      </c>
      <c r="F87" s="571">
        <f>'DV2'!K96</f>
        <v>0</v>
      </c>
      <c r="G87" s="572"/>
      <c r="H87" s="571">
        <f>PPV!K96</f>
        <v>0</v>
      </c>
      <c r="I87" s="571">
        <f>PV!K96</f>
        <v>0</v>
      </c>
      <c r="J87" s="551"/>
    </row>
    <row r="88" spans="1:10" ht="45">
      <c r="A88" s="558" t="str">
        <f>'RFQ response'!C92</f>
        <v xml:space="preserve"> -</v>
      </c>
      <c r="B88" s="237" t="str">
        <f>'RFQ response'!E92</f>
        <v>Water or steam intrusion</v>
      </c>
      <c r="C88" s="74" t="str">
        <f>'RFQ response'!D92</f>
        <v>REQ-0945175
REQ-0945176
REQ-0945086
REQ-0945083</v>
      </c>
      <c r="D88" s="75">
        <f>'RFQ response'!F92</f>
        <v>0</v>
      </c>
      <c r="E88" s="246">
        <f>DV!K97</f>
        <v>0</v>
      </c>
      <c r="F88" s="246">
        <f>'DV2'!K97</f>
        <v>0</v>
      </c>
      <c r="G88" s="461"/>
      <c r="H88" s="246">
        <f>PPV!K97</f>
        <v>0</v>
      </c>
      <c r="I88" s="246">
        <f>PV!K97</f>
        <v>0</v>
      </c>
      <c r="J88" s="247"/>
    </row>
    <row r="89" spans="1:10">
      <c r="A89" s="558" t="str">
        <f>'RFQ response'!C93</f>
        <v xml:space="preserve"> -</v>
      </c>
      <c r="B89" s="546" t="str">
        <f>'RFQ response'!E93</f>
        <v>Iced salt water immersion/splash</v>
      </c>
      <c r="C89" s="547" t="str">
        <f>'RFQ response'!D93</f>
        <v xml:space="preserve"> -</v>
      </c>
      <c r="D89" s="570" t="str">
        <f>'RFQ response'!F93</f>
        <v>NA</v>
      </c>
      <c r="E89" s="571">
        <f>DV!K98</f>
        <v>0</v>
      </c>
      <c r="F89" s="571">
        <f>'DV2'!K98</f>
        <v>0</v>
      </c>
      <c r="G89" s="572"/>
      <c r="H89" s="571">
        <f>PPV!K98</f>
        <v>0</v>
      </c>
      <c r="I89" s="571">
        <f>PV!K98</f>
        <v>0</v>
      </c>
      <c r="J89" s="551"/>
    </row>
    <row r="90" spans="1:10" ht="15.75">
      <c r="A90" s="902" t="s">
        <v>455</v>
      </c>
      <c r="B90" s="902"/>
      <c r="C90" s="902"/>
      <c r="D90" s="902"/>
      <c r="E90" s="552"/>
      <c r="F90" s="552"/>
      <c r="G90" s="553"/>
      <c r="H90" s="554"/>
      <c r="I90" s="554"/>
      <c r="J90" s="554"/>
    </row>
    <row r="91" spans="1:10">
      <c r="A91" s="559" t="str">
        <f>'RFQ response'!C95</f>
        <v xml:space="preserve"> -</v>
      </c>
      <c r="B91" s="237" t="str">
        <f>'RFQ response'!E95</f>
        <v>Material housing corrosion</v>
      </c>
      <c r="C91" s="74" t="str">
        <f>'RFQ response'!D95</f>
        <v>-</v>
      </c>
      <c r="D91" s="75" t="str">
        <f>'RFQ response'!F95</f>
        <v>NA</v>
      </c>
      <c r="E91" s="246">
        <f>DV!K100</f>
        <v>0</v>
      </c>
      <c r="F91" s="246">
        <f>'DV2'!K100</f>
        <v>0</v>
      </c>
      <c r="G91" s="461"/>
      <c r="H91" s="246">
        <f>PPV!K100</f>
        <v>0</v>
      </c>
      <c r="I91" s="246">
        <f>PV!K100</f>
        <v>0</v>
      </c>
      <c r="J91" s="247"/>
    </row>
    <row r="92" spans="1:10">
      <c r="A92" s="559" t="str">
        <f>'RFQ response'!C96</f>
        <v xml:space="preserve"> -</v>
      </c>
      <c r="B92" s="237" t="str">
        <f>'RFQ response'!E96</f>
        <v>Salt fog</v>
      </c>
      <c r="C92" s="74" t="str">
        <f>'RFQ response'!D96</f>
        <v>REQ-0945076</v>
      </c>
      <c r="D92" s="75">
        <f>'RFQ response'!F96</f>
        <v>0</v>
      </c>
      <c r="E92" s="246">
        <f>DV!K101</f>
        <v>0</v>
      </c>
      <c r="F92" s="246">
        <f>'DV2'!K101</f>
        <v>0</v>
      </c>
      <c r="G92" s="461"/>
      <c r="H92" s="246">
        <f>PPV!K101</f>
        <v>0</v>
      </c>
      <c r="I92" s="246">
        <f>PV!K101</f>
        <v>0</v>
      </c>
      <c r="J92" s="247"/>
    </row>
    <row r="93" spans="1:10">
      <c r="A93" s="559" t="str">
        <f>'RFQ response'!C97</f>
        <v xml:space="preserve"> -</v>
      </c>
      <c r="B93" s="546" t="str">
        <f>'RFQ response'!E97</f>
        <v>Mixed flowing gas</v>
      </c>
      <c r="C93" s="547" t="str">
        <f>'RFQ response'!D97</f>
        <v xml:space="preserve"> -</v>
      </c>
      <c r="D93" s="570" t="str">
        <f>'RFQ response'!F97</f>
        <v>NA</v>
      </c>
      <c r="E93" s="571">
        <f>DV!K102</f>
        <v>0</v>
      </c>
      <c r="F93" s="571">
        <f>'DV2'!K102</f>
        <v>0</v>
      </c>
      <c r="G93" s="572"/>
      <c r="H93" s="571">
        <f>PPV!K102</f>
        <v>0</v>
      </c>
      <c r="I93" s="571">
        <f>PV!K102</f>
        <v>0</v>
      </c>
      <c r="J93" s="551"/>
    </row>
    <row r="94" spans="1:10">
      <c r="A94" s="559" t="str">
        <f>'RFQ response'!C98</f>
        <v xml:space="preserve"> -</v>
      </c>
      <c r="B94" s="237" t="str">
        <f>'RFQ response'!E98</f>
        <v>Chemical exposure</v>
      </c>
      <c r="C94" s="74" t="str">
        <f>'RFQ response'!D98</f>
        <v>REQ-0945077</v>
      </c>
      <c r="D94" s="75">
        <f>'RFQ response'!F98</f>
        <v>0</v>
      </c>
      <c r="E94" s="246">
        <f>DV!K103</f>
        <v>0</v>
      </c>
      <c r="F94" s="246">
        <f>'DV2'!K103</f>
        <v>0</v>
      </c>
      <c r="G94" s="461"/>
      <c r="H94" s="246">
        <f>PPV!K103</f>
        <v>0</v>
      </c>
      <c r="I94" s="246">
        <f>PV!K103</f>
        <v>0</v>
      </c>
      <c r="J94" s="247"/>
    </row>
    <row r="95" spans="1:10" ht="15.75">
      <c r="A95" s="903" t="s">
        <v>457</v>
      </c>
      <c r="B95" s="903"/>
      <c r="C95" s="903"/>
      <c r="D95" s="903"/>
      <c r="E95" s="560"/>
      <c r="F95" s="560"/>
      <c r="G95" s="561"/>
      <c r="H95" s="562"/>
      <c r="I95" s="562"/>
      <c r="J95" s="562"/>
    </row>
    <row r="96" spans="1:10">
      <c r="A96" s="563" t="str">
        <f>'RFQ response'!C100</f>
        <v>TTF</v>
      </c>
      <c r="B96" s="237" t="str">
        <f>'RFQ response'!E100</f>
        <v xml:space="preserve">Test-To-Failure </v>
      </c>
      <c r="C96" s="74" t="str">
        <f>'RFQ response'!D100</f>
        <v>-</v>
      </c>
      <c r="D96" s="75" t="str">
        <f>'RFQ response'!F100</f>
        <v>NA</v>
      </c>
      <c r="E96" s="246">
        <f>DV!K105</f>
        <v>0</v>
      </c>
      <c r="F96" s="246">
        <f>'DV2'!K105</f>
        <v>0</v>
      </c>
      <c r="G96" s="461"/>
      <c r="H96" s="246">
        <f>PPV!K105</f>
        <v>0</v>
      </c>
      <c r="I96" s="246">
        <f>PV!K105</f>
        <v>0</v>
      </c>
      <c r="J96" s="247"/>
    </row>
    <row r="97" spans="2:10">
      <c r="B97" s="454"/>
      <c r="C97" s="455"/>
      <c r="D97" s="456"/>
      <c r="E97" s="457"/>
      <c r="F97" s="459"/>
      <c r="G97" s="460"/>
      <c r="H97" s="458"/>
      <c r="I97" s="329"/>
      <c r="J97" s="247"/>
    </row>
    <row r="98" spans="2:10">
      <c r="F98" s="894" t="s">
        <v>248</v>
      </c>
      <c r="G98" s="894"/>
      <c r="I98" s="894" t="s">
        <v>249</v>
      </c>
      <c r="J98" s="894"/>
    </row>
    <row r="99" spans="2:10">
      <c r="F99" s="244" t="s">
        <v>57</v>
      </c>
      <c r="G99" s="245">
        <f>COUNTIF($G$4:$G$96,F99)</f>
        <v>0</v>
      </c>
      <c r="I99" s="244" t="s">
        <v>57</v>
      </c>
      <c r="J99" s="244">
        <f>COUNTIF($J$4:$J$96,I99)</f>
        <v>0</v>
      </c>
    </row>
    <row r="100" spans="2:10">
      <c r="F100" s="244" t="s">
        <v>63</v>
      </c>
      <c r="G100" s="245">
        <f>COUNTIF($G$4:$G$96,F100)</f>
        <v>0</v>
      </c>
      <c r="I100" s="244" t="s">
        <v>63</v>
      </c>
      <c r="J100" s="244">
        <f>COUNTIF($J$4:$J$96,I100)</f>
        <v>0</v>
      </c>
    </row>
    <row r="101" spans="2:10">
      <c r="F101" s="244" t="s">
        <v>245</v>
      </c>
      <c r="G101" s="245">
        <f>COUNTIF($G$4:$G$96,F101)</f>
        <v>0</v>
      </c>
      <c r="I101" s="244" t="s">
        <v>245</v>
      </c>
      <c r="J101" s="244">
        <f>COUNTIF($J$4:$J$96,I101)</f>
        <v>0</v>
      </c>
    </row>
  </sheetData>
  <autoFilter ref="E2:I83" xr:uid="{00000000-0009-0000-0000-00000E000000}"/>
  <mergeCells count="15">
    <mergeCell ref="F98:G98"/>
    <mergeCell ref="I98:J98"/>
    <mergeCell ref="A1:A2"/>
    <mergeCell ref="I1:J1"/>
    <mergeCell ref="E1:G1"/>
    <mergeCell ref="B1:B2"/>
    <mergeCell ref="C1:C2"/>
    <mergeCell ref="D1:D2"/>
    <mergeCell ref="A41:D41"/>
    <mergeCell ref="A43:D43"/>
    <mergeCell ref="A67:D67"/>
    <mergeCell ref="A85:D85"/>
    <mergeCell ref="A90:D90"/>
    <mergeCell ref="A95:D95"/>
    <mergeCell ref="A3:D3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6"/>
  <dimension ref="A1:H23"/>
  <sheetViews>
    <sheetView zoomScaleNormal="100" zoomScaleSheetLayoutView="100" workbookViewId="0">
      <selection activeCell="J12" sqref="J12"/>
    </sheetView>
  </sheetViews>
  <sheetFormatPr baseColWidth="10" defaultRowHeight="15"/>
  <cols>
    <col min="1" max="5" width="12.7109375" customWidth="1"/>
    <col min="6" max="6" width="56.7109375" customWidth="1"/>
    <col min="7" max="7" width="38" customWidth="1"/>
    <col min="8" max="8" width="15.140625" customWidth="1"/>
  </cols>
  <sheetData>
    <row r="1" spans="1:8" ht="37.5" customHeight="1">
      <c r="A1" s="905" t="s">
        <v>215</v>
      </c>
      <c r="B1" s="905"/>
      <c r="C1" s="905"/>
      <c r="D1" s="905"/>
      <c r="E1" s="905"/>
      <c r="F1" s="905"/>
      <c r="G1" s="905"/>
      <c r="H1" s="905"/>
    </row>
    <row r="2" spans="1:8" ht="30">
      <c r="A2" s="52" t="s">
        <v>216</v>
      </c>
      <c r="B2" s="52" t="s">
        <v>285</v>
      </c>
      <c r="C2" s="52" t="s">
        <v>243</v>
      </c>
      <c r="D2" s="52" t="s">
        <v>217</v>
      </c>
      <c r="E2" s="52" t="s">
        <v>286</v>
      </c>
      <c r="F2" s="52" t="s">
        <v>273</v>
      </c>
      <c r="G2" s="52" t="s">
        <v>287</v>
      </c>
      <c r="H2" s="52" t="s">
        <v>288</v>
      </c>
    </row>
    <row r="3" spans="1:8">
      <c r="A3" s="53"/>
      <c r="B3" s="11"/>
      <c r="C3" s="11"/>
      <c r="D3" s="11"/>
      <c r="E3" s="54"/>
      <c r="F3" s="11"/>
      <c r="G3" s="11"/>
      <c r="H3" s="60"/>
    </row>
    <row r="4" spans="1:8">
      <c r="A4" s="53"/>
      <c r="B4" s="11"/>
      <c r="C4" s="11"/>
      <c r="D4" s="11"/>
      <c r="E4" s="54"/>
      <c r="F4" s="11"/>
      <c r="G4" s="11"/>
      <c r="H4" s="60"/>
    </row>
    <row r="5" spans="1:8">
      <c r="A5" s="53"/>
      <c r="B5" s="11"/>
      <c r="C5" s="11"/>
      <c r="D5" s="11"/>
      <c r="E5" s="54"/>
      <c r="F5" s="11"/>
      <c r="G5" s="11"/>
      <c r="H5" s="60"/>
    </row>
    <row r="6" spans="1:8">
      <c r="A6" s="53"/>
      <c r="B6" s="11"/>
      <c r="C6" s="11"/>
      <c r="D6" s="11"/>
      <c r="E6" s="54"/>
      <c r="F6" s="11"/>
      <c r="G6" s="11"/>
      <c r="H6" s="60"/>
    </row>
    <row r="7" spans="1:8">
      <c r="A7" s="53"/>
      <c r="B7" s="11"/>
      <c r="C7" s="11"/>
      <c r="D7" s="11"/>
      <c r="E7" s="54"/>
      <c r="F7" s="11"/>
      <c r="G7" s="11"/>
      <c r="H7" s="60"/>
    </row>
    <row r="8" spans="1:8">
      <c r="A8" s="53"/>
      <c r="B8" s="11"/>
      <c r="C8" s="11"/>
      <c r="D8" s="11"/>
      <c r="E8" s="54"/>
      <c r="F8" s="11"/>
      <c r="G8" s="11"/>
      <c r="H8" s="60"/>
    </row>
    <row r="9" spans="1:8">
      <c r="A9" s="53"/>
      <c r="B9" s="11"/>
      <c r="C9" s="11"/>
      <c r="D9" s="11"/>
      <c r="E9" s="54"/>
      <c r="F9" s="11"/>
      <c r="G9" s="11"/>
      <c r="H9" s="60"/>
    </row>
    <row r="10" spans="1:8">
      <c r="A10" s="53"/>
      <c r="B10" s="11"/>
      <c r="C10" s="11"/>
      <c r="D10" s="11"/>
      <c r="E10" s="54"/>
      <c r="F10" s="11"/>
      <c r="G10" s="11"/>
      <c r="H10" s="60"/>
    </row>
    <row r="11" spans="1:8">
      <c r="A11" s="53"/>
      <c r="B11" s="11"/>
      <c r="C11" s="11"/>
      <c r="D11" s="11"/>
      <c r="E11" s="54"/>
      <c r="F11" s="11"/>
      <c r="G11" s="11"/>
      <c r="H11" s="60"/>
    </row>
    <row r="12" spans="1:8">
      <c r="A12" s="53"/>
      <c r="B12" s="11"/>
      <c r="C12" s="11"/>
      <c r="D12" s="11"/>
      <c r="E12" s="54"/>
      <c r="F12" s="11"/>
      <c r="G12" s="11"/>
      <c r="H12" s="60"/>
    </row>
    <row r="13" spans="1:8">
      <c r="A13" s="53"/>
      <c r="B13" s="11"/>
      <c r="C13" s="11"/>
      <c r="D13" s="11"/>
      <c r="E13" s="54"/>
      <c r="F13" s="11"/>
      <c r="G13" s="11"/>
      <c r="H13" s="60"/>
    </row>
    <row r="14" spans="1:8">
      <c r="A14" s="53"/>
      <c r="B14" s="11"/>
      <c r="C14" s="11"/>
      <c r="D14" s="11"/>
      <c r="E14" s="54"/>
      <c r="F14" s="11"/>
      <c r="G14" s="11"/>
      <c r="H14" s="60"/>
    </row>
    <row r="15" spans="1:8">
      <c r="A15" s="53"/>
      <c r="B15" s="11"/>
      <c r="C15" s="11"/>
      <c r="D15" s="11"/>
      <c r="E15" s="54"/>
      <c r="F15" s="11"/>
      <c r="G15" s="11"/>
      <c r="H15" s="60"/>
    </row>
    <row r="16" spans="1:8">
      <c r="A16" s="53"/>
      <c r="B16" s="11"/>
      <c r="C16" s="11"/>
      <c r="D16" s="11"/>
      <c r="E16" s="54"/>
      <c r="F16" s="11"/>
      <c r="G16" s="11"/>
      <c r="H16" s="60"/>
    </row>
    <row r="17" spans="1:8">
      <c r="A17" s="53"/>
      <c r="B17" s="11"/>
      <c r="C17" s="11"/>
      <c r="D17" s="11"/>
      <c r="E17" s="54"/>
      <c r="F17" s="11"/>
      <c r="G17" s="11"/>
      <c r="H17" s="60"/>
    </row>
    <row r="18" spans="1:8">
      <c r="A18" s="53"/>
      <c r="B18" s="11"/>
      <c r="C18" s="11"/>
      <c r="D18" s="11"/>
      <c r="E18" s="54"/>
      <c r="F18" s="11"/>
      <c r="G18" s="11"/>
      <c r="H18" s="60"/>
    </row>
    <row r="19" spans="1:8">
      <c r="A19" s="53"/>
      <c r="B19" s="11"/>
      <c r="C19" s="11"/>
      <c r="D19" s="11"/>
      <c r="E19" s="54"/>
      <c r="F19" s="11"/>
      <c r="G19" s="11"/>
      <c r="H19" s="60"/>
    </row>
    <row r="20" spans="1:8">
      <c r="A20" s="53"/>
      <c r="B20" s="11"/>
      <c r="C20" s="11"/>
      <c r="D20" s="11"/>
      <c r="E20" s="54"/>
      <c r="F20" s="11"/>
      <c r="G20" s="11"/>
      <c r="H20" s="60"/>
    </row>
    <row r="21" spans="1:8">
      <c r="A21" s="53"/>
      <c r="B21" s="11"/>
      <c r="C21" s="11"/>
      <c r="D21" s="11"/>
      <c r="E21" s="54"/>
      <c r="F21" s="11"/>
      <c r="G21" s="11"/>
      <c r="H21" s="60"/>
    </row>
    <row r="22" spans="1:8">
      <c r="A22" s="53"/>
      <c r="B22" s="11"/>
      <c r="C22" s="11"/>
      <c r="D22" s="11"/>
      <c r="E22" s="54"/>
      <c r="F22" s="11"/>
      <c r="G22" s="11"/>
      <c r="H22" s="60"/>
    </row>
    <row r="23" spans="1:8">
      <c r="A23" s="53"/>
      <c r="B23" s="11"/>
      <c r="C23" s="11"/>
      <c r="D23" s="11"/>
      <c r="E23" s="54"/>
      <c r="F23" s="11"/>
      <c r="G23" s="11"/>
      <c r="H23" s="60"/>
    </row>
  </sheetData>
  <mergeCells count="1">
    <mergeCell ref="A1:H1"/>
  </mergeCells>
  <dataValidations count="2">
    <dataValidation type="list" allowBlank="1" showInputMessage="1" showErrorMessage="1" sqref="D3:D23" xr:uid="{00000000-0002-0000-0F00-000000000000}">
      <formula1>"Mineure,Gênante,Bloquante,Pas de fiche"</formula1>
    </dataValidation>
    <dataValidation type="list" allowBlank="1" showInputMessage="1" showErrorMessage="1" sqref="C3:C23" xr:uid="{00000000-0002-0000-0F00-000001000000}">
      <formula1>"Fermé, En cours"</formula1>
    </dataValidation>
  </dataValidations>
  <pageMargins left="0.7" right="0.7" top="0.75" bottom="0.75" header="0.3" footer="0.3"/>
  <pageSetup paperSize="9" scale="46" orientation="portrait" r:id="rId1"/>
  <tableParts count="1">
    <tablePart r:id="rId2"/>
  </tableParts>
</worksheet>
</file>

<file path=customXml/_rels/item1.xml.rels><?xml version="1.0" encoding="UTF-8"?>

<Relationships xmlns="http://schemas.openxmlformats.org/package/2006/relationships">
  <Relationship Id="rId1" Type="http://schemas.openxmlformats.org/officeDocument/2006/relationships/customXmlProps" Target="itemProps1.xml"/>
</Relationships>

</file>

<file path=customXml/_rels/item2.xml.rels><?xml version="1.0" encoding="UTF-8"?>

<Relationships xmlns="http://schemas.openxmlformats.org/package/2006/relationships">
  <Relationship Id="rId1" Type="http://schemas.openxmlformats.org/officeDocument/2006/relationships/customXmlProps" Target="itemProps2.xml"/>
</Relationships>

</file>

<file path=customXml/_rels/item3.xml.rels><?xml version="1.0" encoding="UTF-8"?>

<Relationships xmlns="http://schemas.openxmlformats.org/package/2006/relationships">
  <Relationship Id="rId1" Type="http://schemas.openxmlformats.org/officeDocument/2006/relationships/customXmlProps" Target="itemProps3.xml"/>
</Relationships>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91980C5C918C4684F59D2494840182" ma:contentTypeVersion="17" ma:contentTypeDescription="Crée un document." ma:contentTypeScope="" ma:versionID="b64f3825dedef745799e815778a3a450">
  <xsd:schema xmlns:xsd="http://www.w3.org/2001/XMLSchema" xmlns:xs="http://www.w3.org/2001/XMLSchema" xmlns:p="http://schemas.microsoft.com/office/2006/metadata/properties" xmlns:ns2="4c2767fa-af50-448b-be2e-f65ce6607914" xmlns:ns3="8919c726-fcca-4e26-901c-b5f9cceed740" targetNamespace="http://schemas.microsoft.com/office/2006/metadata/properties" ma:root="true" ma:fieldsID="be7a93383acc94020a60dce7576d233c" ns2:_="" ns3:_="">
    <xsd:import namespace="4c2767fa-af50-448b-be2e-f65ce6607914"/>
    <xsd:import namespace="8919c726-fcca-4e26-901c-b5f9cceed74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  <xsd:element ref="ns3:SharedWithUsers" minOccurs="0"/>
                <xsd:element ref="ns3:SharedWithDetails" minOccurs="0"/>
                <xsd:element ref="ns2:Comments" minOccurs="0"/>
                <xsd:element ref="ns2:MediaServiceBillingMetadata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2767fa-af50-448b-be2e-f65ce66079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Balises d’image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Comments" ma:index="21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19c726-fcca-4e26-901c-b5f9cceed740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s xmlns="4c2767fa-af50-448b-be2e-f65ce6607914" xsi:nil="true"/>
    <lcf76f155ced4ddcb4097134ff3c332f xmlns="4c2767fa-af50-448b-be2e-f65ce660791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BF7A32D-EEF4-4D9F-90A8-A708AA9E2B97}"/>
</file>

<file path=customXml/itemProps2.xml><?xml version="1.0" encoding="utf-8"?>
<ds:datastoreItem xmlns:ds="http://schemas.openxmlformats.org/officeDocument/2006/customXml" ds:itemID="{370905FB-6C2B-4A50-BAB1-C3BB7266FBCB}"/>
</file>

<file path=customXml/itemProps3.xml><?xml version="1.0" encoding="utf-8"?>
<ds:datastoreItem xmlns:ds="http://schemas.openxmlformats.org/officeDocument/2006/customXml" ds:itemID="{56C584B2-754C-44A1-816C-1CEA497237F7}"/>
</file>

<file path=docMetadata/LabelInfo.xml><?xml version="1.0" encoding="utf-8"?>
<clbl:labelList xmlns:clbl="http://schemas.microsoft.com/office/2020/mipLabelMetadata">
  <clbl:label id="{2fd53d93-3f4c-4b90-b511-bd6bdbb4fba9}" enabled="1" method="Standard" siteId="{d852d5cd-724c-4128-8812-ffa5db3f850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6</vt:i4>
      </vt:variant>
    </vt:vector>
  </HeadingPairs>
  <TitlesOfParts>
    <vt:vector size="22" baseType="lpstr">
      <vt:lpstr>Cover page</vt:lpstr>
      <vt:lpstr>Documents</vt:lpstr>
      <vt:lpstr>RFQ response</vt:lpstr>
      <vt:lpstr>DV</vt:lpstr>
      <vt:lpstr>DVbis - MEKA</vt:lpstr>
      <vt:lpstr>DV2</vt:lpstr>
      <vt:lpstr>DV2 Test flow</vt:lpstr>
      <vt:lpstr>PPV</vt:lpstr>
      <vt:lpstr>PPV Test flow</vt:lpstr>
      <vt:lpstr>Synthese piece B3</vt:lpstr>
      <vt:lpstr>PV</vt:lpstr>
      <vt:lpstr>PV Test flow</vt:lpstr>
      <vt:lpstr>Generic Test flow</vt:lpstr>
      <vt:lpstr>Template</vt:lpstr>
      <vt:lpstr>Validation synthesis</vt:lpstr>
      <vt:lpstr>ISSUE</vt:lpstr>
      <vt:lpstr>DV!Zone_d_impression</vt:lpstr>
      <vt:lpstr>'DV2'!Zone_d_impression</vt:lpstr>
      <vt:lpstr>'DVbis - MEKA'!Zone_d_impression</vt:lpstr>
      <vt:lpstr>PPV!Zone_d_impression</vt:lpstr>
      <vt:lpstr>PV!Zone_d_impression</vt:lpstr>
      <vt:lpstr>Template!Zone_d_impression</vt:lpstr>
    </vt:vector>
  </TitlesOfParts>
  <Company>PSA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e397652</dc:creator>
  <cp:lastModifiedBy>FREDERIC LIPP</cp:lastModifiedBy>
  <cp:lastPrinted>2011-10-26T10:50:42Z</cp:lastPrinted>
  <dcterms:created xsi:type="dcterms:W3CDTF">2011-10-26T10:50:42Z</dcterms:created>
  <dcterms:modified xsi:type="dcterms:W3CDTF">2025-12-10T07:56:10Z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sa_titre">
    <vt:lpwstr>APQP G1-10 PRODUCT VALIDATION</vt:lpwstr>
  </property>
  <property fmtid="{D5CDD505-2E9C-101B-9397-08002B2CF9AE}" pid="3" name="psa_reference">
    <vt:lpwstr>20931_26_00265</vt:lpwstr>
  </property>
  <property fmtid="{D5CDD505-2E9C-101B-9397-08002B2CF9AE}" pid="4" name="psa_date_creation">
    <vt:lpwstr>14/04/2026 15:56</vt:lpwstr>
  </property>
  <property fmtid="{D5CDD505-2E9C-101B-9397-08002B2CF9AE}" pid="5" name="psa_date_modification">
    <vt:lpwstr>27/04/2026 13:55</vt:lpwstr>
  </property>
  <property fmtid="{D5CDD505-2E9C-101B-9397-08002B2CF9AE}" pid="6" name="psa_auteur">
    <vt:lpwstr>LE BLEGUET CHRISTOPHE - V178340 (TIANMA EUROPE GMBH) </vt:lpwstr>
  </property>
  <property fmtid="{D5CDD505-2E9C-101B-9397-08002B2CF9AE}" pid="7" name="psa_emetteur">
    <vt:lpwstr>LE BLEGUET CHRISTOPHE - V178340 (TIANMA EUROPE GMBH) </vt:lpwstr>
  </property>
  <property fmtid="{D5CDD505-2E9C-101B-9397-08002B2CF9AE}" pid="8" name="psa_version">
    <vt:lpwstr>0.2</vt:lpwstr>
  </property>
  <property fmtid="{D5CDD505-2E9C-101B-9397-08002B2CF9AE}" pid="9" name="psa_langue_principale">
    <vt:lpwstr>Français</vt:lpwstr>
  </property>
  <property fmtid="{D5CDD505-2E9C-101B-9397-08002B2CF9AE}" pid="10" name="psa_status">
    <vt:lpwstr>brouillon</vt:lpwstr>
  </property>
  <property fmtid="{D5CDD505-2E9C-101B-9397-08002B2CF9AE}" pid="11" name="psa_type_doc">
    <vt:lpwstr/>
  </property>
  <property fmtid="{D5CDD505-2E9C-101B-9397-08002B2CF9AE}" pid="12" name="psa_communaute">
    <vt:lpwstr>z - Ext amont Thème Conception et Développement 13</vt:lpwstr>
  </property>
  <property fmtid="{D5CDD505-2E9C-101B-9397-08002B2CF9AE}" pid="13" name="psa_niveau_confidentialite">
    <vt:lpwstr>C1 - Public</vt:lpwstr>
  </property>
  <property fmtid="{D5CDD505-2E9C-101B-9397-08002B2CF9AE}" pid="14" name="psa_lecteurs">
    <vt:lpwstr/>
  </property>
  <property fmtid="{D5CDD505-2E9C-101B-9397-08002B2CF9AE}" pid="15" name="psa_classements">
    <vt:lpwstr/>
  </property>
  <property fmtid="{D5CDD505-2E9C-101B-9397-08002B2CF9AE}" pid="16" name="psa_commentaire">
    <vt:lpwstr/>
  </property>
  <property fmtid="{D5CDD505-2E9C-101B-9397-08002B2CF9AE}" pid="17" name="psa_url_fiche">
    <vt:lpwstr>https://docinfogroupe.inetpsa.com/ead/doc/ref.20931_26_00265/v.0.2</vt:lpwstr>
  </property>
  <property fmtid="{D5CDD505-2E9C-101B-9397-08002B2CF9AE}" pid="18" name="psa_url_modification">
    <vt:lpwstr>https://docinfogroupe.inetpsa.com/ead/doc/modif/ref.20931_26_00265/fiche</vt:lpwstr>
  </property>
  <property fmtid="{D5CDD505-2E9C-101B-9397-08002B2CF9AE}" pid="19" name="psa_date_publication">
    <vt:lpwstr/>
  </property>
  <property fmtid="{D5CDD505-2E9C-101B-9397-08002B2CF9AE}" pid="20" name="MSIP_Label_2fd53d93-3f4c-4b90-b511-bd6bdbb4fba9_Enabled">
    <vt:lpwstr>true</vt:lpwstr>
  </property>
  <property fmtid="{D5CDD505-2E9C-101B-9397-08002B2CF9AE}" pid="21" name="MSIP_Label_2fd53d93-3f4c-4b90-b511-bd6bdbb4fba9_SetDate">
    <vt:lpwstr>2021-03-15T23:01:11Z</vt:lpwstr>
  </property>
  <property fmtid="{D5CDD505-2E9C-101B-9397-08002B2CF9AE}" pid="22" name="MSIP_Label_2fd53d93-3f4c-4b90-b511-bd6bdbb4fba9_Method">
    <vt:lpwstr>Standard</vt:lpwstr>
  </property>
  <property fmtid="{D5CDD505-2E9C-101B-9397-08002B2CF9AE}" pid="23" name="MSIP_Label_2fd53d93-3f4c-4b90-b511-bd6bdbb4fba9_Name">
    <vt:lpwstr>2fd53d93-3f4c-4b90-b511-bd6bdbb4fba9</vt:lpwstr>
  </property>
  <property fmtid="{D5CDD505-2E9C-101B-9397-08002B2CF9AE}" pid="24" name="MSIP_Label_2fd53d93-3f4c-4b90-b511-bd6bdbb4fba9_SiteId">
    <vt:lpwstr>d852d5cd-724c-4128-8812-ffa5db3f8507</vt:lpwstr>
  </property>
  <property fmtid="{D5CDD505-2E9C-101B-9397-08002B2CF9AE}" pid="25" name="MSIP_Label_2fd53d93-3f4c-4b90-b511-bd6bdbb4fba9_ActionId">
    <vt:lpwstr/>
  </property>
  <property fmtid="{D5CDD505-2E9C-101B-9397-08002B2CF9AE}" pid="26" name="MSIP_Label_2fd53d93-3f4c-4b90-b511-bd6bdbb4fba9_ContentBits">
    <vt:lpwstr>0</vt:lpwstr>
  </property>
  <property fmtid="{D5CDD505-2E9C-101B-9397-08002B2CF9AE}" pid="27" name="ContentTypeId">
    <vt:lpwstr>0x0101005A91980C5C918C4684F59D2494840182</vt:lpwstr>
  </property>
  <property fmtid="{D5CDD505-2E9C-101B-9397-08002B2CF9AE}" pid="28" name="MediaServiceImageTags">
    <vt:lpwstr/>
  </property>
</Properties>
</file>