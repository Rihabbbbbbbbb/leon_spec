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ppt" ContentType="application/vnd.ms-powerpoint"/>
  <Default Extension="rels" ContentType="application/vnd.openxmlformats-package.relationships+xml"/>
  <Default Extension="vml" ContentType="application/vnd.openxmlformats-officedocument.vmlDrawing"/>
  <Default Extension="xml" ContentType="applicati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alcChain.xml" ContentType="application/vnd.openxmlformats-officedocument.spreadsheetml.calcChain+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qile_li\Downloads\RFQ\04. Deliverables\Docinfo 8\"/>
    </mc:Choice>
  </mc:AlternateContent>
  <bookViews>
    <workbookView xWindow="0" yWindow="0" windowWidth="32500" windowHeight="16620" tabRatio="773" activeTab="1"/>
  </bookViews>
  <sheets>
    <sheet name="First page" sheetId="2" r:id="rId1"/>
    <sheet name="Application &amp; Conformity matrix" sheetId="1" r:id="rId2"/>
    <sheet name="Check" sheetId="8" r:id="rId3"/>
    <sheet name="Specific Parameters" sheetId="5" r:id="rId4"/>
    <sheet name="Help1" sheetId="3" r:id="rId5"/>
    <sheet name="Help2" sheetId="6" r:id="rId6"/>
    <sheet name="Audit_MDC" sheetId="9" r:id="rId7"/>
    <sheet name="CONFIG" sheetId="7" r:id="rId8"/>
  </sheets>
  <externalReferences>
    <externalReference r:id="rId9"/>
    <externalReference r:id="rId10"/>
  </externalReferences>
  <definedNames>
    <definedName name="_xlnm._FilterDatabase" localSheetId="1" hidden="1">'Application &amp; Conformity matrix'!$A$36:$R$556</definedName>
    <definedName name="_xlnm._FilterDatabase" localSheetId="0" hidden="1">'First page'!#REF!</definedName>
    <definedName name="_Hlk194206330" localSheetId="1">'Application &amp; Conformity matrix'!#REF!</definedName>
    <definedName name="Liste1">[1]Version!$I$14:$I$16</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3" i="1" l="1"/>
  <c r="K32" i="1"/>
  <c r="K31" i="1"/>
  <c r="L31" i="1" s="1"/>
  <c r="K30" i="1"/>
  <c r="L30" i="1" s="1"/>
  <c r="K29" i="1"/>
  <c r="K28" i="1"/>
  <c r="D43" i="2"/>
  <c r="F36" i="2"/>
  <c r="E36" i="2"/>
  <c r="D36" i="2"/>
  <c r="L32" i="1" l="1"/>
  <c r="L33" i="1"/>
  <c r="L29" i="1"/>
  <c r="L28" i="1"/>
</calcChain>
</file>

<file path=xl/sharedStrings.xml><?xml version="1.0" encoding="utf-8"?>
<sst xmlns="http://schemas.openxmlformats.org/spreadsheetml/2006/main" count="2806" uniqueCount="1384">
  <si>
    <r>
      <rPr>
        <b/>
        <sz val="10"/>
        <rFont val="Arial"/>
        <family val="2"/>
      </rPr>
      <t>Référence/</t>
    </r>
    <r>
      <rPr>
        <b/>
        <sz val="10"/>
        <color indexed="12"/>
        <rFont val="Arial"/>
        <family val="2"/>
      </rPr>
      <t>Reference</t>
    </r>
    <r>
      <rPr>
        <b/>
        <sz val="10"/>
        <rFont val="Arial"/>
        <family val="2"/>
      </rPr>
      <t> :</t>
    </r>
  </si>
  <si>
    <t>01843_25_00534</t>
  </si>
  <si>
    <r>
      <rPr>
        <b/>
        <sz val="10"/>
        <rFont val="Arial"/>
        <family val="2"/>
      </rPr>
      <t>Fournisseur/</t>
    </r>
    <r>
      <rPr>
        <b/>
        <sz val="10"/>
        <color indexed="12"/>
        <rFont val="Arial"/>
        <family val="2"/>
      </rPr>
      <t>Supplier</t>
    </r>
    <r>
      <rPr>
        <b/>
        <sz val="10"/>
        <rFont val="Arial"/>
        <family val="2"/>
      </rPr>
      <t> :</t>
    </r>
  </si>
  <si>
    <r>
      <rPr>
        <sz val="9"/>
        <rFont val="Arial"/>
        <family val="2"/>
      </rPr>
      <t xml:space="preserve">DIRECTION RECHERCHE ET DEVELOPPEMENT
</t>
    </r>
    <r>
      <rPr>
        <sz val="9"/>
        <color indexed="12"/>
        <rFont val="Arial"/>
        <family val="2"/>
      </rPr>
      <t>RESEARCH AND DEVELOPMENT DIVISION</t>
    </r>
    <r>
      <rPr>
        <sz val="9"/>
        <rFont val="Arial"/>
        <family val="2"/>
      </rPr>
      <t xml:space="preserve">
</t>
    </r>
  </si>
  <si>
    <t>xxxxxxxx</t>
  </si>
  <si>
    <r>
      <rPr>
        <b/>
        <sz val="14"/>
        <rFont val="Arial"/>
        <family val="2"/>
      </rPr>
      <t xml:space="preserve">MATRICE DE CONFORMITE
</t>
    </r>
    <r>
      <rPr>
        <b/>
        <i/>
        <sz val="14"/>
        <color indexed="12"/>
        <rFont val="Arial"/>
        <family val="2"/>
      </rPr>
      <t>CONFORMITY MATRIX</t>
    </r>
  </si>
  <si>
    <t>DM17F (CD DGT)</t>
  </si>
  <si>
    <r>
      <rPr>
        <sz val="10"/>
        <rFont val="Arial"/>
        <family val="2"/>
      </rPr>
      <t xml:space="preserve">Rédacteur / </t>
    </r>
    <r>
      <rPr>
        <i/>
        <sz val="10"/>
        <color indexed="12"/>
        <rFont val="Arial"/>
        <family val="2"/>
      </rPr>
      <t>Writer</t>
    </r>
  </si>
  <si>
    <r>
      <rPr>
        <sz val="10"/>
        <rFont val="Arial"/>
        <family val="2"/>
      </rPr>
      <t xml:space="preserve">Vérificateur / </t>
    </r>
    <r>
      <rPr>
        <i/>
        <sz val="10"/>
        <color indexed="12"/>
        <rFont val="Arial"/>
        <family val="2"/>
      </rPr>
      <t>Verifier</t>
    </r>
  </si>
  <si>
    <r>
      <rPr>
        <sz val="10"/>
        <rFont val="Arial"/>
        <family val="2"/>
      </rPr>
      <t xml:space="preserve">Approbateur / </t>
    </r>
    <r>
      <rPr>
        <i/>
        <sz val="10"/>
        <color indexed="12"/>
        <rFont val="Arial"/>
        <family val="2"/>
      </rPr>
      <t>Approved by</t>
    </r>
  </si>
  <si>
    <r>
      <rPr>
        <sz val="10"/>
        <rFont val="Arial"/>
        <family val="2"/>
      </rPr>
      <t>Nom/</t>
    </r>
    <r>
      <rPr>
        <sz val="10"/>
        <color indexed="12"/>
        <rFont val="Arial"/>
        <family val="2"/>
      </rPr>
      <t>Name</t>
    </r>
    <r>
      <rPr>
        <sz val="10"/>
        <rFont val="Arial"/>
        <family val="2"/>
      </rPr>
      <t xml:space="preserve"> : SOUAD NISSABOURI </t>
    </r>
  </si>
  <si>
    <r>
      <rPr>
        <sz val="10"/>
        <rFont val="Arial"/>
        <family val="2"/>
      </rPr>
      <t>Nom/</t>
    </r>
    <r>
      <rPr>
        <sz val="10"/>
        <color indexed="12"/>
        <rFont val="Arial"/>
        <family val="2"/>
      </rPr>
      <t>Name</t>
    </r>
    <r>
      <rPr>
        <sz val="10"/>
        <rFont val="Arial"/>
        <family val="2"/>
      </rPr>
      <t xml:space="preserve"> : Melissa BONNARDEL</t>
    </r>
  </si>
  <si>
    <r>
      <rPr>
        <sz val="10"/>
        <rFont val="Arial"/>
        <family val="2"/>
      </rPr>
      <t>Nom/</t>
    </r>
    <r>
      <rPr>
        <sz val="10"/>
        <color indexed="12"/>
        <rFont val="Arial"/>
        <family val="2"/>
      </rPr>
      <t>Name</t>
    </r>
    <r>
      <rPr>
        <sz val="10"/>
        <rFont val="Arial"/>
        <family val="2"/>
      </rPr>
      <t xml:space="preserve"> : SEBASTIEN WEBER</t>
    </r>
  </si>
  <si>
    <r>
      <rPr>
        <sz val="10"/>
        <rFont val="Arial"/>
        <family val="2"/>
      </rPr>
      <t>Entité/</t>
    </r>
    <r>
      <rPr>
        <sz val="10"/>
        <color indexed="12"/>
        <rFont val="Arial"/>
        <family val="2"/>
      </rPr>
      <t>Entity</t>
    </r>
    <r>
      <rPr>
        <sz val="10"/>
        <rFont val="Arial"/>
        <family val="2"/>
      </rPr>
      <t xml:space="preserve"> :</t>
    </r>
    <r>
      <rPr>
        <b/>
        <sz val="10"/>
        <rFont val="Arial"/>
        <family val="2"/>
      </rPr>
      <t xml:space="preserve"> </t>
    </r>
    <r>
      <rPr>
        <sz val="10"/>
        <rFont val="Arial"/>
        <family val="2"/>
      </rPr>
      <t>EXE/PDT/SWE/CKPT/CIDI</t>
    </r>
  </si>
  <si>
    <r>
      <rPr>
        <sz val="10"/>
        <rFont val="Arial"/>
        <family val="2"/>
      </rPr>
      <t>Entité/</t>
    </r>
    <r>
      <rPr>
        <sz val="10"/>
        <color indexed="12"/>
        <rFont val="Arial"/>
        <family val="2"/>
      </rPr>
      <t>Entity</t>
    </r>
    <r>
      <rPr>
        <sz val="10"/>
        <rFont val="Arial"/>
        <family val="2"/>
      </rPr>
      <t xml:space="preserve"> :</t>
    </r>
    <r>
      <rPr>
        <b/>
        <sz val="10"/>
        <rFont val="Arial"/>
        <family val="2"/>
      </rPr>
      <t xml:space="preserve"> </t>
    </r>
    <r>
      <rPr>
        <sz val="10"/>
        <rFont val="Arial"/>
        <family val="2"/>
      </rPr>
      <t>EXE/PDT/SWE/CKPT/CIDI/DICD</t>
    </r>
  </si>
  <si>
    <r>
      <rPr>
        <sz val="10"/>
        <rFont val="Arial"/>
        <family val="2"/>
      </rPr>
      <t>Date/</t>
    </r>
    <r>
      <rPr>
        <sz val="10"/>
        <color indexed="12"/>
        <rFont val="Arial"/>
        <family val="2"/>
      </rPr>
      <t>Date</t>
    </r>
    <r>
      <rPr>
        <sz val="10"/>
        <rFont val="Arial"/>
        <family val="2"/>
      </rPr>
      <t xml:space="preserve"> :</t>
    </r>
  </si>
  <si>
    <r>
      <rPr>
        <sz val="10"/>
        <rFont val="Arial"/>
        <family val="2"/>
      </rPr>
      <t>Signature/</t>
    </r>
    <r>
      <rPr>
        <sz val="10"/>
        <color indexed="12"/>
        <rFont val="Arial"/>
        <family val="2"/>
      </rPr>
      <t>Signature</t>
    </r>
    <r>
      <rPr>
        <sz val="10"/>
        <rFont val="Arial"/>
        <family val="2"/>
      </rPr>
      <t xml:space="preserve"> :</t>
    </r>
  </si>
  <si>
    <r>
      <rPr>
        <sz val="10"/>
        <rFont val="Arial"/>
        <family val="2"/>
      </rPr>
      <t>Nom/</t>
    </r>
    <r>
      <rPr>
        <sz val="10"/>
        <color indexed="12"/>
        <rFont val="Arial"/>
        <family val="2"/>
      </rPr>
      <t>Name</t>
    </r>
    <r>
      <rPr>
        <sz val="10"/>
        <rFont val="Arial"/>
        <family val="2"/>
      </rPr>
      <t xml:space="preserve"> : </t>
    </r>
  </si>
  <si>
    <r>
      <rPr>
        <sz val="10"/>
        <rFont val="Arial"/>
        <family val="2"/>
      </rPr>
      <t>Entité/</t>
    </r>
    <r>
      <rPr>
        <sz val="10"/>
        <color indexed="12"/>
        <rFont val="Arial"/>
        <family val="2"/>
      </rPr>
      <t>Entity</t>
    </r>
    <r>
      <rPr>
        <sz val="10"/>
        <rFont val="Arial"/>
        <family val="2"/>
      </rPr>
      <t xml:space="preserve"> :</t>
    </r>
  </si>
  <si>
    <r>
      <rPr>
        <sz val="10"/>
        <rFont val="Arial"/>
        <family val="2"/>
      </rPr>
      <t>Entité/</t>
    </r>
    <r>
      <rPr>
        <sz val="10"/>
        <color indexed="12"/>
        <rFont val="Arial"/>
        <family val="2"/>
      </rPr>
      <t>Entity</t>
    </r>
    <r>
      <rPr>
        <sz val="10"/>
        <rFont val="Arial"/>
        <family val="2"/>
      </rPr>
      <t xml:space="preserve"> :</t>
    </r>
    <r>
      <rPr>
        <b/>
        <sz val="10"/>
        <rFont val="Arial"/>
        <family val="2"/>
      </rPr>
      <t xml:space="preserve"> </t>
    </r>
  </si>
  <si>
    <r>
      <rPr>
        <b/>
        <u/>
        <sz val="10"/>
        <rFont val="Arial"/>
        <family val="2"/>
      </rPr>
      <t xml:space="preserve">HISTORIQUE / </t>
    </r>
    <r>
      <rPr>
        <b/>
        <u/>
        <sz val="10"/>
        <color indexed="12"/>
        <rFont val="Arial"/>
        <family val="2"/>
      </rPr>
      <t>HISTORY</t>
    </r>
  </si>
  <si>
    <r>
      <rPr>
        <sz val="10"/>
        <rFont val="Arial"/>
        <family val="2"/>
      </rPr>
      <t xml:space="preserve">Indice / </t>
    </r>
    <r>
      <rPr>
        <sz val="10"/>
        <color indexed="12"/>
        <rFont val="Arial"/>
        <family val="2"/>
      </rPr>
      <t>Index</t>
    </r>
  </si>
  <si>
    <r>
      <rPr>
        <sz val="10"/>
        <rFont val="Arial"/>
        <family val="2"/>
      </rPr>
      <t xml:space="preserve">Date / </t>
    </r>
    <r>
      <rPr>
        <sz val="10"/>
        <color indexed="12"/>
        <rFont val="Arial"/>
        <family val="2"/>
      </rPr>
      <t>Date</t>
    </r>
  </si>
  <si>
    <r>
      <rPr>
        <sz val="10"/>
        <rFont val="Arial"/>
        <family val="2"/>
      </rPr>
      <t xml:space="preserve">Nature des modifications / </t>
    </r>
    <r>
      <rPr>
        <sz val="10"/>
        <color indexed="12"/>
        <rFont val="Arial"/>
        <family val="2"/>
      </rPr>
      <t>Nature of the modifications</t>
    </r>
  </si>
  <si>
    <r>
      <rPr>
        <b/>
        <sz val="10"/>
        <rFont val="Arial"/>
        <family val="2"/>
      </rPr>
      <t>Matrice de Conformité</t>
    </r>
    <r>
      <rPr>
        <b/>
        <sz val="10"/>
        <color indexed="12"/>
        <rFont val="Arial"/>
        <family val="2"/>
      </rPr>
      <t xml:space="preserve">
Conformity matrix
</t>
    </r>
  </si>
  <si>
    <r>
      <rPr>
        <sz val="8"/>
        <rFont val="Arial"/>
        <family val="2"/>
      </rPr>
      <t xml:space="preserve">Référence / 
</t>
    </r>
    <r>
      <rPr>
        <sz val="8"/>
        <color indexed="12"/>
        <rFont val="Arial"/>
        <family val="2"/>
      </rPr>
      <t>Reference</t>
    </r>
  </si>
  <si>
    <r>
      <rPr>
        <sz val="8"/>
        <rFont val="Arial"/>
        <family val="2"/>
      </rPr>
      <t xml:space="preserve">Version / 
</t>
    </r>
    <r>
      <rPr>
        <sz val="8"/>
        <color indexed="12"/>
        <rFont val="Arial"/>
        <family val="2"/>
      </rPr>
      <t>Version</t>
    </r>
  </si>
  <si>
    <r>
      <rPr>
        <sz val="8"/>
        <rFont val="Arial"/>
        <family val="2"/>
      </rPr>
      <t xml:space="preserve">Confidentialité / </t>
    </r>
    <r>
      <rPr>
        <sz val="8"/>
        <color indexed="12"/>
        <rFont val="Arial"/>
        <family val="2"/>
      </rPr>
      <t>Confidentiality</t>
    </r>
  </si>
  <si>
    <t>1.0</t>
  </si>
  <si>
    <r>
      <rPr>
        <sz val="8"/>
        <rFont val="Arial"/>
        <family val="2"/>
      </rPr>
      <t xml:space="preserve">Usage interne / 
</t>
    </r>
    <r>
      <rPr>
        <sz val="8"/>
        <color indexed="12"/>
        <rFont val="Arial"/>
        <family val="2"/>
      </rPr>
      <t>Internal use</t>
    </r>
  </si>
  <si>
    <r>
      <rPr>
        <sz val="8"/>
        <rFont val="Arial"/>
        <family val="2"/>
      </rPr>
      <t xml:space="preserve">Projet(s) / 
</t>
    </r>
    <r>
      <rPr>
        <sz val="8"/>
        <color indexed="12"/>
        <rFont val="Arial"/>
        <family val="2"/>
      </rPr>
      <t>Project(s)</t>
    </r>
  </si>
  <si>
    <r>
      <rPr>
        <sz val="8"/>
        <rFont val="Arial"/>
        <family val="2"/>
      </rPr>
      <t xml:space="preserve">Découpage PSA / 
</t>
    </r>
    <r>
      <rPr>
        <sz val="8"/>
        <color indexed="12"/>
        <rFont val="Arial"/>
        <family val="2"/>
      </rPr>
      <t>PSA Breakdown</t>
    </r>
  </si>
  <si>
    <r>
      <rPr>
        <sz val="8"/>
        <rFont val="Arial"/>
        <family val="2"/>
      </rPr>
      <t xml:space="preserve">Site / 
</t>
    </r>
    <r>
      <rPr>
        <sz val="8"/>
        <color indexed="12"/>
        <rFont val="Arial"/>
        <family val="2"/>
      </rPr>
      <t>Site</t>
    </r>
  </si>
  <si>
    <r>
      <rPr>
        <sz val="8"/>
        <rFont val="Arial"/>
        <family val="2"/>
      </rPr>
      <t xml:space="preserve">Page / 
</t>
    </r>
    <r>
      <rPr>
        <sz val="8"/>
        <color indexed="12"/>
        <rFont val="Arial"/>
        <family val="2"/>
      </rPr>
      <t>Page</t>
    </r>
  </si>
  <si>
    <r>
      <rPr>
        <b/>
        <sz val="9"/>
        <rFont val="Arial"/>
        <family val="2"/>
      </rPr>
      <t>Tout projet</t>
    </r>
    <r>
      <rPr>
        <b/>
        <sz val="9"/>
        <color indexed="12"/>
        <rFont val="Arial"/>
        <family val="2"/>
      </rPr>
      <t xml:space="preserve"> </t>
    </r>
    <r>
      <rPr>
        <b/>
        <sz val="9"/>
        <rFont val="Arial"/>
        <family val="2"/>
      </rPr>
      <t>/</t>
    </r>
    <r>
      <rPr>
        <b/>
        <sz val="9"/>
        <color indexed="12"/>
        <rFont val="Arial"/>
        <family val="2"/>
      </rPr>
      <t xml:space="preserve"> 
Any project</t>
    </r>
  </si>
  <si>
    <t>/</t>
  </si>
  <si>
    <t>SX/VV</t>
  </si>
  <si>
    <r>
      <rPr>
        <sz val="7"/>
        <rFont val="Arial Narrow"/>
        <family val="2"/>
      </rPr>
      <t xml:space="preserve">CE DOCUMENT EST LA PROPRIETE DU GROUPE STELLANTIS ET NE PEUT ETRE REPRODUIT OU COMMUNIQUE SANS SON AUTORISATION
</t>
    </r>
    <r>
      <rPr>
        <sz val="7"/>
        <color indexed="12"/>
        <rFont val="Arial Narrow"/>
        <family val="2"/>
      </rPr>
      <t xml:space="preserve">THIS DOCUMENT IS THE PROPERTY OF STELLANTIS GROUP AND MAY NOT BE REPRODUCED OR DISCLOSED WITHOUT ITS AUTHORIZATION </t>
    </r>
  </si>
  <si>
    <t>Template 02017_12_05435 V7.7</t>
  </si>
  <si>
    <t>Fin Figeage (ne pas supprimer!)</t>
  </si>
  <si>
    <t>STOP</t>
  </si>
  <si>
    <t>OK</t>
  </si>
  <si>
    <t>Chargé de développement</t>
  </si>
  <si>
    <t>NOK</t>
  </si>
  <si>
    <t>Spécialiste métier HW</t>
  </si>
  <si>
    <t>NA</t>
  </si>
  <si>
    <t>Spécialiste métier Méca</t>
  </si>
  <si>
    <t>EN ATTENTE</t>
  </si>
  <si>
    <t>DEVIATION</t>
  </si>
  <si>
    <t>Spécialiste métier Optique</t>
  </si>
  <si>
    <t xml:space="preserve">Spécialiste métier Logiciel embarqué </t>
  </si>
  <si>
    <t>ATT_RESP@FULL</t>
  </si>
  <si>
    <t>Spécialiste métier Matériaux</t>
  </si>
  <si>
    <t>ATT_RESP@SW</t>
  </si>
  <si>
    <t>Spécialiste métier Accoustique</t>
  </si>
  <si>
    <t>ATT_RESP@DEV</t>
  </si>
  <si>
    <t>Spécialiste métier Thermique</t>
  </si>
  <si>
    <t>ATT_RESP@DEV
ATT_RESP@SW</t>
  </si>
  <si>
    <t>Spécialiste métier CCA</t>
  </si>
  <si>
    <t>ATT_RESP@NONE</t>
  </si>
  <si>
    <t>Spécialiste métier SDF</t>
  </si>
  <si>
    <t>Expert prestation Optique</t>
  </si>
  <si>
    <t>Expert prestation Audio</t>
  </si>
  <si>
    <t>ATT_RESP@INT</t>
  </si>
  <si>
    <t>Expert prestation Tactile</t>
  </si>
  <si>
    <t>ATT_RESP@INT
ATT_RESP@PTF</t>
  </si>
  <si>
    <t>Expert prestation Navigation</t>
  </si>
  <si>
    <t>ATT_RESP@PTF</t>
  </si>
  <si>
    <t>Garant Qualité (GAQO)</t>
  </si>
  <si>
    <t>Chargé de Validation Fonctionnelle</t>
  </si>
  <si>
    <t>ATT_RESP@DEV
ATT_RESP@PTF</t>
  </si>
  <si>
    <t>Chargé de Validation Couches Basses</t>
  </si>
  <si>
    <t>Chargé de Validation Diagnostic</t>
  </si>
  <si>
    <t>ATT_RESP@DEV_INT</t>
  </si>
  <si>
    <t>Chargé de Validation EE et CEM</t>
  </si>
  <si>
    <t>ATT_RESP@DEV_INT
ATT_RESP@PTF</t>
  </si>
  <si>
    <t>Chargé de Validation PHYS</t>
  </si>
  <si>
    <r>
      <rPr>
        <b/>
        <sz val="10"/>
        <rFont val="Arial"/>
        <family val="2"/>
      </rPr>
      <t xml:space="preserve">Dates figeage spécifications
</t>
    </r>
    <r>
      <rPr>
        <b/>
        <sz val="10"/>
        <color rgb="FF0000FF"/>
        <rFont val="Arial"/>
        <family val="2"/>
      </rPr>
      <t>Frozen dates specification</t>
    </r>
  </si>
  <si>
    <t>DM17F</t>
  </si>
  <si>
    <t>Matrice de conformité Validation par livraison de pièces</t>
  </si>
  <si>
    <t>Validation conformity matrix by part delivery</t>
  </si>
  <si>
    <t>Pour mettre à jour une MdC avec ce modèle, activer les macros et appuyer sur CTRL+m</t>
  </si>
  <si>
    <t>25Q4 - 02/12/2025
02017_17_01029 25.0
RSP-0001038 V15</t>
  </si>
  <si>
    <r>
      <rPr>
        <sz val="10"/>
        <rFont val="Arial"/>
        <family val="2"/>
      </rPr>
      <t xml:space="preserve">Descriptif de la dernière version de l'exigence pour information uniquement (optionnel)
</t>
    </r>
    <r>
      <rPr>
        <i/>
        <sz val="10"/>
        <color indexed="12"/>
        <rFont val="Arial"/>
        <family val="2"/>
      </rPr>
      <t>Description of the  last requirement version for information only (optional)</t>
    </r>
  </si>
  <si>
    <t>25Q4 - 12/12/2025</t>
  </si>
  <si>
    <r>
      <rPr>
        <sz val="10"/>
        <rFont val="Arial"/>
        <family val="2"/>
      </rPr>
      <t xml:space="preserve">Descriptif de la dernière version de la déviation le cas échéant
</t>
    </r>
    <r>
      <rPr>
        <i/>
        <sz val="10"/>
        <color indexed="12"/>
        <rFont val="Arial"/>
        <family val="2"/>
      </rPr>
      <t>Description of the  last version of the deviation if necessary</t>
    </r>
  </si>
  <si>
    <r>
      <rPr>
        <b/>
        <sz val="10"/>
        <rFont val="Arial"/>
        <family val="2"/>
      </rPr>
      <t xml:space="preserve">Version Software / </t>
    </r>
    <r>
      <rPr>
        <i/>
        <sz val="10"/>
        <color indexed="12"/>
        <rFont val="Arial"/>
        <family val="2"/>
      </rPr>
      <t>Software version</t>
    </r>
    <r>
      <rPr>
        <b/>
        <sz val="10"/>
        <rFont val="Arial"/>
        <family val="2"/>
      </rPr>
      <t xml:space="preserve"> : SW1.0
Version Hardware / </t>
    </r>
    <r>
      <rPr>
        <i/>
        <sz val="10"/>
        <color indexed="12"/>
        <rFont val="Arial"/>
        <family val="2"/>
      </rPr>
      <t>Hardware version</t>
    </r>
    <r>
      <rPr>
        <b/>
        <sz val="10"/>
        <rFont val="Arial"/>
        <family val="2"/>
      </rPr>
      <t xml:space="preserve"> : HW1.0</t>
    </r>
  </si>
  <si>
    <r>
      <rPr>
        <b/>
        <sz val="10"/>
        <rFont val="Arial"/>
        <family val="2"/>
      </rPr>
      <t xml:space="preserve">Version Software / </t>
    </r>
    <r>
      <rPr>
        <i/>
        <sz val="10"/>
        <color indexed="12"/>
        <rFont val="Arial"/>
        <family val="2"/>
      </rPr>
      <t>Software version</t>
    </r>
    <r>
      <rPr>
        <b/>
        <sz val="10"/>
        <rFont val="Arial"/>
        <family val="2"/>
      </rPr>
      <t xml:space="preserve"> : SW2.0
Version Hardware / </t>
    </r>
    <r>
      <rPr>
        <i/>
        <sz val="10"/>
        <color indexed="12"/>
        <rFont val="Arial"/>
        <family val="2"/>
      </rPr>
      <t>Hardware version</t>
    </r>
    <r>
      <rPr>
        <b/>
        <sz val="10"/>
        <rFont val="Arial"/>
        <family val="2"/>
      </rPr>
      <t xml:space="preserve"> : HW1.0</t>
    </r>
  </si>
  <si>
    <t>Applicable version</t>
  </si>
  <si>
    <t>Justification</t>
  </si>
  <si>
    <r>
      <rPr>
        <b/>
        <sz val="10"/>
        <rFont val="Arial"/>
        <family val="2"/>
      </rPr>
      <t xml:space="preserve">Matrice de conformité /  </t>
    </r>
    <r>
      <rPr>
        <b/>
        <i/>
        <sz val="10"/>
        <color indexed="12"/>
        <rFont val="Arial"/>
        <family val="2"/>
      </rPr>
      <t>Conformity matrix</t>
    </r>
  </si>
  <si>
    <t>Nb of req. to conv.</t>
  </si>
  <si>
    <r>
      <rPr>
        <b/>
        <sz val="10"/>
        <rFont val="Arial"/>
        <family val="2"/>
      </rPr>
      <t xml:space="preserve">Validation FNR
</t>
    </r>
    <r>
      <rPr>
        <i/>
        <sz val="10"/>
        <color indexed="12"/>
        <rFont val="Arial"/>
        <family val="2"/>
      </rPr>
      <t>Validation status from supplier, to be completed by supplier</t>
    </r>
  </si>
  <si>
    <t>BLOCK</t>
  </si>
  <si>
    <t>CONVERGED</t>
  </si>
  <si>
    <t>NOT CONVERGED</t>
  </si>
  <si>
    <t>No STELLANTIS Answer</t>
  </si>
  <si>
    <t>No SUPLIER Answer</t>
  </si>
  <si>
    <r>
      <rPr>
        <b/>
        <sz val="10"/>
        <rFont val="Arial"/>
        <family val="2"/>
      </rPr>
      <t xml:space="preserve">Liste des documents et exigences applicables
</t>
    </r>
    <r>
      <rPr>
        <b/>
        <i/>
        <sz val="10"/>
        <color indexed="12"/>
        <rFont val="Arial"/>
        <family val="2"/>
      </rPr>
      <t>List of applicable documents and requirements</t>
    </r>
  </si>
  <si>
    <t>Feature</t>
  </si>
  <si>
    <t>Version</t>
  </si>
  <si>
    <r>
      <rPr>
        <sz val="10"/>
        <rFont val="Arial"/>
        <family val="2"/>
      </rPr>
      <t xml:space="preserve">Conformité
</t>
    </r>
    <r>
      <rPr>
        <i/>
        <sz val="10"/>
        <color indexed="12"/>
        <rFont val="Arial"/>
        <family val="2"/>
      </rPr>
      <t>Conformity</t>
    </r>
  </si>
  <si>
    <r>
      <rPr>
        <sz val="10"/>
        <rFont val="Arial"/>
        <family val="2"/>
      </rPr>
      <t xml:space="preserve">Commentaires
</t>
    </r>
    <r>
      <rPr>
        <i/>
        <sz val="10"/>
        <color indexed="12"/>
        <rFont val="Arial"/>
        <family val="2"/>
      </rPr>
      <t>Comments</t>
    </r>
  </si>
  <si>
    <r>
      <rPr>
        <sz val="10"/>
        <rFont val="Arial"/>
        <family val="2"/>
      </rPr>
      <t xml:space="preserve">Statut STELLANTIS
</t>
    </r>
    <r>
      <rPr>
        <i/>
        <sz val="10"/>
        <color indexed="12"/>
        <rFont val="Arial"/>
        <family val="2"/>
      </rPr>
      <t>STELLANTIS's status</t>
    </r>
  </si>
  <si>
    <r>
      <rPr>
        <sz val="10"/>
        <rFont val="Arial"/>
        <family val="2"/>
      </rPr>
      <t xml:space="preserve">Version appliquée
</t>
    </r>
    <r>
      <rPr>
        <i/>
        <sz val="10"/>
        <color indexed="12"/>
        <rFont val="Arial"/>
        <family val="2"/>
      </rPr>
      <t>Applied version</t>
    </r>
  </si>
  <si>
    <r>
      <rPr>
        <sz val="10"/>
        <rFont val="Arial"/>
        <family val="2"/>
      </rPr>
      <t xml:space="preserve">Statut Test FNR
</t>
    </r>
    <r>
      <rPr>
        <i/>
        <sz val="10"/>
        <color indexed="12"/>
        <rFont val="Arial"/>
        <family val="2"/>
      </rPr>
      <t>Supplier Test's status</t>
    </r>
  </si>
  <si>
    <r>
      <rPr>
        <sz val="10"/>
        <rFont val="Arial"/>
        <family val="2"/>
      </rPr>
      <t xml:space="preserve">Référence Test
</t>
    </r>
    <r>
      <rPr>
        <i/>
        <sz val="10"/>
        <color indexed="12"/>
        <rFont val="Arial"/>
        <family val="2"/>
      </rPr>
      <t>Test ID</t>
    </r>
  </si>
  <si>
    <t>Début Exigences (ne pas supprimer!)</t>
  </si>
  <si>
    <t>02017_17_01029_v25_RSP-0001038_FCT_GEN_CD_DGT_EN.dox</t>
  </si>
  <si>
    <t xml:space="preserve"> </t>
  </si>
  <si>
    <t>V15</t>
  </si>
  <si>
    <t>REQ-0615158</t>
  </si>
  <si>
    <t>D</t>
  </si>
  <si>
    <t>DAT_DG_DGT_DIVERSITY
(NoUpstreamRequest)
Att_var@ DIAG_R.DIVERSITY.(AEE_2020+AEE_2022)</t>
  </si>
  <si>
    <t>REQ-0835905</t>
  </si>
  <si>
    <t>DAT_DG_DGT_DIVERSITY
(NoUpstreamRequest)
Att_var@ DIAG_R.DIVERSITY.AEE_BRAIN</t>
  </si>
  <si>
    <t>REQ-0615159</t>
  </si>
  <si>
    <t>C</t>
  </si>
  <si>
    <t>The value of this parameter is driven by the supplier in internally in function of the type of DGT._x000D_
If _x000D_
The DGT is in CLUSTER_DISPLAY mode_x000D_
Then _x000D_
DAT_DG_DGT_DIVERSITY = CLUSTER_DISPLAY_x000D_
Else _x000D_
DAT_DG_DGT_DIVERSITY = CENTRAL_DISPLAY
Att_var@ DIVERSITY.(AEE_2020+AEE_2022)</t>
  </si>
  <si>
    <t>REQ-0615160</t>
  </si>
  <si>
    <t>If _x000D_
DAT_DG_DGT_DIVERSITY = CLUSTER_DISPLAY_x000D_
Then_x000D_
All requirements handling with the tactile will be not applicable.
Att_var@ DIVERSITY</t>
  </si>
  <si>
    <t>REQ-0835906</t>
  </si>
  <si>
    <t>B</t>
  </si>
  <si>
    <t>If _x000D_
The DGT is in CLUSTER_DISPLAY mode_x000D_
Then _x000D_
DAT_DG_DGT_DIVERSITY = CLUSTER_DISPLAY_x000D_
Else _x000D_
DAT_DG_DGT_DIVERSITY = INFOTAINEMENT_DISPLAY
Att_var@ DIVERSITY.AEE_BRAIN</t>
  </si>
  <si>
    <t>REQ-0302903</t>
  </si>
  <si>
    <t>F</t>
  </si>
  <si>
    <t>DAT_LI_DGT_ENABLE
(DGT_ENABLE)
Att_var@ CAN_IN.PUSH</t>
  </si>
  <si>
    <t>REQ-0302909</t>
  </si>
  <si>
    <t>DAT_LI_DGT_ENABLE
(DGT_ENABLE)
Att_var@ LVDS_IN.LVDS1.PUSH</t>
  </si>
  <si>
    <t>REQ-0302911</t>
  </si>
  <si>
    <t>E</t>
  </si>
  <si>
    <t>DAT_LI_DGT_ENABLE
(2ND_DISP_ENABLE)
Att_var@ LVDS_IN.LVDS2.PUSH</t>
  </si>
  <si>
    <t>REQ-0597018</t>
  </si>
  <si>
    <t>DAT_LI_DGT_ENABLE
(DGT_ENABLE/ DISPLAY_CLUSTER)
Att_var@ LVDS_IN.LVDS3.PUSH</t>
  </si>
  <si>
    <t>REQ-0824775</t>
  </si>
  <si>
    <t>DAT_LI_DGT_ENABLE_DISPLAY
(NotFound)
Att_var@ LVDS_5.LVDS_IN</t>
  </si>
  <si>
    <t>REQ-0824777</t>
  </si>
  <si>
    <t>DAT_LI_DGT_ENABLE_DISPLAY
(CDMDisplayEnable/ ICDDisplayEnable)
Att_var@ LVDS_1_0.LVDS_IN</t>
  </si>
  <si>
    <t>REQ-0824778</t>
  </si>
  <si>
    <t>DAT_LI_DGT_ENABLE_DISPLAY
(NotFound)
Att_var@ LVDS_2_0.LVDS_IN</t>
  </si>
  <si>
    <t>REQ-0302904</t>
  </si>
  <si>
    <t>DAT_LO_DGT_COORDONATE_X_1
(COORDONNEE_X_ETACT)
Att_var@ CAN_OUT.PUSH</t>
  </si>
  <si>
    <t>REQ-0302912</t>
  </si>
  <si>
    <t>DAT_LO_DGT_COORDONATE_X_1
(COORDONNEE_X_ETACT)
Att_var@ LVDS_OUT.LVDS1.PUSH</t>
  </si>
  <si>
    <t>REQ-0302925</t>
  </si>
  <si>
    <t>DAT_LO_DGT_COORDONATE_X_1
(COORDONNEE_X_ETACT_2ND_DISP)
Att_var@ LVDS_OUT.LVDS2.PUSH</t>
  </si>
  <si>
    <t>REQ-0597019</t>
  </si>
  <si>
    <t>DAT_LO_DGT_COORDONATE_X_1
(COORDONNEE_X_ETACT)
Att_var@ LVDS_OUT.LVDS3.PUSH.WIDE</t>
  </si>
  <si>
    <t>REQ-0302935</t>
  </si>
  <si>
    <t>DAT_LO_DGT_COORDONATE_X_2
(COORDONNEE_X_ETACT)
Att_var@ CAN_OUT.PUSH</t>
  </si>
  <si>
    <t>REQ-0302947</t>
  </si>
  <si>
    <t>DAT_LO_DGT_COORDONATE_X_2
(COORDONNEE_X_ETACT_2)
Att_var@ LVDS_OUT.LVDS1.PUSH</t>
  </si>
  <si>
    <t>REQ-0302956</t>
  </si>
  <si>
    <t>DAT_LO_DGT_COORDONATE_X_2
(COORDONNEE_X_ETACT_2_2ND_DISP)
Att_var@ LVDS_OUT.LVDS2.PUSH</t>
  </si>
  <si>
    <t>REQ-0597020</t>
  </si>
  <si>
    <t>DAT_LO_DGT_COORDONATE_X_2
(COORDONNEE_X_ETACT_2)
Att_var@ LVDS_OUT.LVDS3.PUSH.WIDE</t>
  </si>
  <si>
    <t>REQ-0302959</t>
  </si>
  <si>
    <t>DAT_LO_DGT_COORDONATE_X_3
(COORDONNEE_X_ETACT_3)
Att_var@ CAN_OUT.PUSH</t>
  </si>
  <si>
    <t>REQ-0302962</t>
  </si>
  <si>
    <t>DAT_LO_DGT_COORDONATE_X_3
(COORDONNEE_X_ETACT_3)
Att_var@ LVDS_OUT.LVDS1.PUSH</t>
  </si>
  <si>
    <t>REQ-0302967</t>
  </si>
  <si>
    <t>DAT_LO_DGT_COORDONATE_X_3
(COORDONNEE_X_ETACT_3_2ND_DISP)
Att_var@ LVDS_OUT.LVDS2.PUSH</t>
  </si>
  <si>
    <t>REQ-0597021</t>
  </si>
  <si>
    <t>DAT_LO_DGT_COORDONATE_X_3
(COORDONNEE_X_ETACT_3)
Att_var@ LVDS_OUT.LVDS3.PUSH.WIDE</t>
  </si>
  <si>
    <t>REQ-0302968</t>
  </si>
  <si>
    <t>DAT_LO_DGT_COORDONATE_X_4
(COORDONNEE_X_ETACT_4)
Att_var@ CAN_OUT.PUSH</t>
  </si>
  <si>
    <t>REQ-0302969</t>
  </si>
  <si>
    <t>DAT_LO_DGT_COORDONATE_X_4
(COORDONNEE_X_ETACT_4)
Att_var@ LVDS_OUT.LVDS1.PUSH</t>
  </si>
  <si>
    <t>REQ-0302971</t>
  </si>
  <si>
    <t>DAT_LO_DGT_COORDONATE_X_4
(COORDONNEE_X_ETACT_4_2ND_DISP)
Att_var@ LVDS_OUT.LVDS2.PUSH</t>
  </si>
  <si>
    <t>REQ-0597022</t>
  </si>
  <si>
    <t>DAT_LO_DGT_COORDONATE_X_4
(COORDONNEE_X_ETACT_4)
Att_var@ LVDS_OUT.LVDS3.PUSH.WIDE</t>
  </si>
  <si>
    <t>REQ-0302972</t>
  </si>
  <si>
    <t>DAT_LO_DGT_COORDONATE_X_5
(COORDONNEE_X_ETACT_5)
Att_var@ CAN_OUT.PUSH</t>
  </si>
  <si>
    <t>REQ-0302975</t>
  </si>
  <si>
    <t>DAT_LO_DGT_COORDONATE_X_5
(COORDONNEE_X_ETACT_5)
Att_var@ LVDS_OUT.LVDS1.PUSH</t>
  </si>
  <si>
    <t>REQ-0302980</t>
  </si>
  <si>
    <t>DAT_LO_DGT_COORDONATE_X_5
(COORDONNEE_X_ETACT_5_2ND_DISP)
Att_var@ LVDS_OUT.LVDS2.PUSH</t>
  </si>
  <si>
    <t>REQ-0597023</t>
  </si>
  <si>
    <t>DAT_LO_DGT_COORDONATE_X_5
(COORDONNEE_X_ETACT_5_2ND_DISP)
Att_var@ LVDS_OUT.LVDS3.PUSH.WIDE</t>
  </si>
  <si>
    <t>REQ-0302982</t>
  </si>
  <si>
    <t>DAT_LO_DGT_COORDONATE_Y_1
(COORDONNEE_Y_ETACT)
Att_var@ CAN_OUT.PUSH</t>
  </si>
  <si>
    <t>REQ-0302985</t>
  </si>
  <si>
    <t>DAT_LO_DGT_COORDONATE_Y_1
(COORDONNEE_Y_ETACT)
Att_var@ LVDS_OUT.LVDS1.PUSH</t>
  </si>
  <si>
    <t>REQ-0302988</t>
  </si>
  <si>
    <t>DAT_LO_DGT_COORDONATE_Y_1
(COORDONNEE_Y_ETACT_1_2ND_DISP)
Att_var@ LVDS_OUT.LVDS2.PUSH</t>
  </si>
  <si>
    <t>REQ-0597024</t>
  </si>
  <si>
    <t>DAT_LO_DGT_COORDONATE_Y_1
(COORDONNEE_Y_ETACT)
Att_var@ LVDS_OUT.LVDS3.PUSH.WIDE</t>
  </si>
  <si>
    <t>REQ-0302991</t>
  </si>
  <si>
    <t>DAT_LO_DGT_COORDONATE_Y_2
(COORDONNEE_Y_ETACT_2)
Att_var@ CAN_OUT.PUSH</t>
  </si>
  <si>
    <t>REQ-0302994</t>
  </si>
  <si>
    <t>DAT_LO_DGT_COORDONATE_Y_2
(COORDONNEE_Y_ETACT_2)
Att_var@ LVDS_OUT.LVDS1.PUSH</t>
  </si>
  <si>
    <t>REQ-0302996</t>
  </si>
  <si>
    <t>DAT_LO_DGT_COORDONATE_Y_2
(COORDONNEE_Y_ETACT_2_2ND_DISP)
Att_var@ LVDS_OUT.LVDS2.PUSH</t>
  </si>
  <si>
    <t>REQ-0597025</t>
  </si>
  <si>
    <t>DAT_LO_DGT_COORDONATE_Y_2
(COORDONNEE_Y_ETACT_2)
Att_var@ LVDS_OUT.LVDS3.PUSH.WIDE</t>
  </si>
  <si>
    <t>REQ-0302998</t>
  </si>
  <si>
    <t>DAT_LO_DGT_COORDONATE_Y_3
(COORDONNEE_Y_ETACT_3)
Att_var@ CAN_OUT.PUSH</t>
  </si>
  <si>
    <t>REQ-0302999</t>
  </si>
  <si>
    <t>DAT_LO_DGT_COORDONATE_Y_3
(COORDONNEE_Y_ETACT_3)
Att_var@ LVDS_OUT.LVDS1.PUSH</t>
  </si>
  <si>
    <t>REQ-0303000</t>
  </si>
  <si>
    <t>DAT_LO_DGT_COORDONATE_Y_3
(COORDONNEE_Y_ETACT_3_2ND_DISP)
Att_var@ LVDS_OUT.LVDS2.PUSH</t>
  </si>
  <si>
    <t>REQ-0597026</t>
  </si>
  <si>
    <t>DAT_LO_DGT_COORDONATE_Y_3
(COORDONNEE_Y_ETACT_3)
Att_var@ LVDS_OUT.LVDS3.PUSH.WIDE</t>
  </si>
  <si>
    <t>REQ-0303001</t>
  </si>
  <si>
    <t>H</t>
  </si>
  <si>
    <t>DAT_LO_DGT_COORDONATE_Y_4
(COORDONNEE_Y_ETACT_4)
Att_var@ CAN_OUT.PUSH</t>
  </si>
  <si>
    <t>REQ-0303002</t>
  </si>
  <si>
    <t>DAT_LO_DGT_COORDONATE_Y_4
(COORDONNEE_Y_ETACT_4)
Att_var@ LVDS_OUT.LVDS1.PUSH</t>
  </si>
  <si>
    <t>REQ-0303003</t>
  </si>
  <si>
    <t>DAT_LO_DGT_COORDONATE_Y_4
(COORDONNEE_Y_ETACT_4_2ND_DISP)
Att_var@ LVDS_OUT.LVDS2.PUSH</t>
  </si>
  <si>
    <t>REQ-0597027</t>
  </si>
  <si>
    <t>DAT_LO_DGT_COORDONATE_Y_4
(COORDONNEE_Y_ETACT_4)
Att_var@ LVDS_OUT.LVDS3.PUSH.WIDE</t>
  </si>
  <si>
    <t>REQ-0303004</t>
  </si>
  <si>
    <t>DAT_LO_DGT_COORDONATE_Y_5
(COORDONNEE_Y_ETACT_5)
Att_var@ CAN_OUT.PUSH</t>
  </si>
  <si>
    <t>REQ-0303005</t>
  </si>
  <si>
    <t>DAT_LO_DGT_COORDONATE_Y_5
(COORDONNEE_Y_ETACT_5)
Att_var@ LVDS_OUT.LVDS1.PUSH</t>
  </si>
  <si>
    <t>REQ-0303006</t>
  </si>
  <si>
    <t>DAT_LO_DGT_COORDONATE_Y_5
(COORDONNEE_Y_ETACT_5_2ND_DISP)
Att_var@ LVDS_OUT.LVDS2.PUSH</t>
  </si>
  <si>
    <t>REQ-0597028</t>
  </si>
  <si>
    <t>DAT_LO_DGT_COORDONATE_Y_5
(COORDONNEE_Y_ETACT_5_2ND_DISP)
Att_var@ LVDS_OUT.LVDS3.PUSH.WIDE</t>
  </si>
  <si>
    <t>REQ-0303007</t>
  </si>
  <si>
    <t>DAT_LO_DGT_INFO_PUSH_1
(INFO_APPUI_ETACT)
Att_var@ CAN_OUT.PUSH</t>
  </si>
  <si>
    <t>REQ-0303008</t>
  </si>
  <si>
    <t>DAT_LO_DGT_INFO_PUSH_1
(INFO_APPUI_ETACT)
Att_var@ LVDS_OUT.LVDS1.PUSH</t>
  </si>
  <si>
    <t>REQ-0303009</t>
  </si>
  <si>
    <t>DAT_LO_DGT_INFO_PUSH_1
(INFO_APPUI_ETACT_1_2ND_DISP)
Att_var@ LVDS_OUT.LVDS2.PUSH</t>
  </si>
  <si>
    <t>REQ-0597029</t>
  </si>
  <si>
    <t>DAT_LO_DGT_INFO_PUSH_1
(INFO_APPUI_ETACT)
Att_var@ LVDS_OUT.LVDS3.PUSH.WIDE</t>
  </si>
  <si>
    <t>REQ-0303010</t>
  </si>
  <si>
    <t>DAT_LO_DGT_INFO_PUSH_2
(INFO_APPUI_ETACT_2)
Att_var@ CAN_OUT.PUSH</t>
  </si>
  <si>
    <t>REQ-0303011</t>
  </si>
  <si>
    <t>DAT_LO_DGT_INFO_PUSH_2
(INFO_APPUI_ETACT_2)
Att_var@ LVDS_OUT.LVDS1.PUSH</t>
  </si>
  <si>
    <t>REQ-0303012</t>
  </si>
  <si>
    <t>DAT_LO_DGT_INFO_PUSH_2
(INFO_APPUI_ETACT_2_2ND_DISP)
Att_var@ LVDS_OUT.LVDS2.PUSH</t>
  </si>
  <si>
    <t>REQ-0597030</t>
  </si>
  <si>
    <t>DAT_LO_DGT_INFO_PUSH_2
(INFO_APPUI_ETACT_2)
Att_var@ LVDS_OUT.LVDS3.PUSH.WIDE</t>
  </si>
  <si>
    <t>REQ-0303013</t>
  </si>
  <si>
    <t>DAT_LO_DGT_INFO_PUSH_3
(INFO_APPUI_ETACT_3)
Att_var@ CAN_OUT.PUSH</t>
  </si>
  <si>
    <t>REQ-0303014</t>
  </si>
  <si>
    <t>DAT_LO_DGT_INFO_PUSH_3
(INFO_APPUI_ETACT_3)
Att_var@ LVDS_OUT.LVDS1.PUSH</t>
  </si>
  <si>
    <t>REQ-0303015</t>
  </si>
  <si>
    <t>DAT_LO_DGT_INFO_PUSH_3
(INFO_APPUI_ETACT_3_2ND_DISP)
Att_var@ LVDS_OUT.LVDS2.PUSH</t>
  </si>
  <si>
    <t>REQ-0597031</t>
  </si>
  <si>
    <t>DAT_LO_DGT_INFO_PUSH_3
(INFO_APPUI_ETACT_3)
Att_var@ LVDS_OUT.LVDS3.PUSH.WIDE</t>
  </si>
  <si>
    <t>REQ-0303016</t>
  </si>
  <si>
    <t>DAT_LO_DGT_INFO_PUSH_4
(INFO_APPUI_ETACT_4)
Att_var@ CAN_OUT.PUSH</t>
  </si>
  <si>
    <t>REQ-0303017</t>
  </si>
  <si>
    <t>DAT_LO_DGT_INFO_PUSH_4
(INFO_APPUI_ETACT_4)
Att_var@ LVDS_OUT.LVDS1.PUSH</t>
  </si>
  <si>
    <t>REQ-0303018</t>
  </si>
  <si>
    <t>DAT_LO_DGT_INFO_PUSH_4
(INFO_APPUI_ETACT_4_2ND_DISP)
Att_var@ LVDS_OUT.LVDS2.PUSH</t>
  </si>
  <si>
    <t>REQ-0597032</t>
  </si>
  <si>
    <t>DAT_LO_DGT_INFO_PUSH_4
(INFO_APPUI_ETACT_4)
Att_var@ LVDS_OUT.LVDS3.PUSH.WIDE</t>
  </si>
  <si>
    <t>REQ-0303019</t>
  </si>
  <si>
    <t>DAT_LO_DGT_INFO_PUSH_5
(INFO_APPUI_ETACT_5)
Att_var@ CAN_OUT.PUSH</t>
  </si>
  <si>
    <t>REQ-0303020</t>
  </si>
  <si>
    <t>DAT_LO_DGT_INFO_PUSH_5
(INFO_APPUI_ETACT_5)
Att_var@ LVDS_OUT.LVDS1.PUSH</t>
  </si>
  <si>
    <t>REQ-0303021</t>
  </si>
  <si>
    <t>DAT_LO_DGT_INFO_PUSH_5
(INFO_APPUI_ETACT_5_2ND_DISP)
Att_var@ LVDS_OUT.LVDS2.PUSH</t>
  </si>
  <si>
    <t>REQ-0597033</t>
  </si>
  <si>
    <t>DAT_LO_DGT_INFO_PUSH_5
(INFO_APPUI_ETACT_5)
Att_var@ LVDS_OUT.LVDS3.PUSH.WIDE</t>
  </si>
  <si>
    <t>REQ-0303022</t>
  </si>
  <si>
    <t>DAT_LO_DGT_DATATION_PUSH
(DATATION_APPUI_ETACT)
Att_var@ CAN_OUT.PUSH</t>
  </si>
  <si>
    <t>REQ-0303023</t>
  </si>
  <si>
    <t>DAT_LO_DGT_DATATION_PUSH
(DATATION_APPUI_ETACT)
Att_var@ LVDS_OUT.LVDS1.PUSH</t>
  </si>
  <si>
    <t>REQ-0303024</t>
  </si>
  <si>
    <t>DAT_LO_DGT_DATATION_PUSH
(DATATION_APPUI_2ND_DISP)
Att_var@ LVDS_OUT.LVDS2.PUSH</t>
  </si>
  <si>
    <t>REQ-0597034</t>
  </si>
  <si>
    <t>DAT_LO_DGT_DATATION_PUSH
(DATATION_APPUI_ETACT)
Att_var@ LVDS_OUT.LVDS3.PUSH.WIDE</t>
  </si>
  <si>
    <t>REQ-0824779</t>
  </si>
  <si>
    <t>DAT_LO_DGT_COORDINATE_X_TACT1
(CoordinateXEtact1CDM)
Att_var@ LVDS_1_0.LVDS_OUT.PUSH_1</t>
  </si>
  <si>
    <t>REQ-0824780</t>
  </si>
  <si>
    <t>DAT_LO_DGT_COORDINATE_X_TACT1
(NotApplicable)
Att_var@ LVDS_2_0.LVDS_OUT.PUSH_1</t>
  </si>
  <si>
    <t>REQ-0824781</t>
  </si>
  <si>
    <t>DAT_LO_DGT_COORDINATE_X_TACT2
(CoordinateXEtact2CDM)
Att_var@ LVDS_1_0.LVDS_OUT.PUSH_1</t>
  </si>
  <si>
    <t>REQ-0824782</t>
  </si>
  <si>
    <t>DAT_LO_DGT_COORDINATE_X_TACT2
(NotApplicable)
Att_var@ LVDS_2_0.LVDS_OUT.PUSH_1</t>
  </si>
  <si>
    <t>REQ-0824783</t>
  </si>
  <si>
    <t>DAT_LO_DGT_COORDINATE_X_TACT3
(CoordinateXEtact3CDM)
Att_var@ LVDS_1_0.LVDS_OUT.PUSH_1</t>
  </si>
  <si>
    <t>REQ-0824784</t>
  </si>
  <si>
    <t>DAT_LO_DGT_COORDINATE_X_TACT3
(NotApplicable)
Att_var@ LVDS_2_0.LVDS_OUT.PUSH_1</t>
  </si>
  <si>
    <t>REQ-0824785</t>
  </si>
  <si>
    <t>DAT_LO_DGT_COORDINATE_X_TACT4
(CoordinateXEtact4CDM)
Att_var@ LVDS_1_0.LVDS_OUT.PUSH_1</t>
  </si>
  <si>
    <t>REQ-0824786</t>
  </si>
  <si>
    <t>DAT_LO_DGT_COORDINATE_X_TACT4
(NotApplicable)
Att_var@ LVDS_2_0.LVDS_OUT.PUSH_1</t>
  </si>
  <si>
    <t>REQ-0824787</t>
  </si>
  <si>
    <t>DAT_LO_DGT_COORDINATE_X_TACT5
(CoordinateXEtact5CDM)
Att_var@ LVDS_1_0.LVDS_OUT.PUSH_1</t>
  </si>
  <si>
    <t>REQ-0824788</t>
  </si>
  <si>
    <t>DAT_LO_DGT_COORDINATE_X_TACT5
(NotApplicable)
Att_var@ LVDS_2_0.LVDS_OUT.PUSH_1</t>
  </si>
  <si>
    <t>REQ-0824789</t>
  </si>
  <si>
    <t>DAT_LO_DGT_COORDINATE_Y_TACT1
(CoordinateYEtact1CDM)
Att_var@ LVDS_1_0.LVDS_OUT.PUSH_1</t>
  </si>
  <si>
    <t>REQ-0824790</t>
  </si>
  <si>
    <t>DAT_LO_DGT_COORDINATE_Y_TACT1
(NotApplicable)
Att_var@ LVDS_2_0.LVDS_OUT.PUSH_1</t>
  </si>
  <si>
    <t>REQ-0824791</t>
  </si>
  <si>
    <t>DAT_LO_DGT_COORDINATE_Y_TACT2
(CoordinateYEtact2CDM)
Att_var@ LVDS_1_0.LVDS_OUT.PUSH_1</t>
  </si>
  <si>
    <t>REQ-0824795</t>
  </si>
  <si>
    <t>DAT_LO_DGT_COORDINATE_Y_TACT2
(NotApplicable)
Att_var@ LVDS_2_0.LVDS_OUT.PUSH_1</t>
  </si>
  <si>
    <t>REQ-0824796</t>
  </si>
  <si>
    <t>DAT_LO_DGT_COORDINATE_Y_TACT3
(CoordinateYEtact3CDM)
Att_var@ LVDS_1_0.LVDS_OUT.PUSH_1</t>
  </si>
  <si>
    <t>REQ-0824797</t>
  </si>
  <si>
    <t>DAT_LO_DGT_COORDINATE_Y_TACT3
(NotApplicable)
Att_var@ LVDS_2_0.LVDS_OUT.PUSH_1</t>
  </si>
  <si>
    <t>REQ-0824798</t>
  </si>
  <si>
    <t>DAT_LO_DGT_COORDINATE_Y_TACT4
(NotApplicable)
Att_var@ LVDS_2_0.LVDS_OUT.PUSH_1</t>
  </si>
  <si>
    <t>REQ-0824799</t>
  </si>
  <si>
    <t>DAT_LO_DGT_COORDINATE_Y_TACT4
(CoordinateYEtact4CDM)
Att_var@ LVDS_1_0.LVDS_OUT.PUSH_1</t>
  </si>
  <si>
    <t>REQ-0824800</t>
  </si>
  <si>
    <t>DAT_LO_DGT_COORDINATE_Y_TACT5
(CoordinateYEtact5CDM)
Att_var@ LVDS_1_0.LVDS_OUT.PUSH_1</t>
  </si>
  <si>
    <t>REQ-0824801</t>
  </si>
  <si>
    <t>DAT_LO_DGT_COORDINATE_Y_TACT5
(NotApplicable)
Att_var@ LVDS_2_0.LVDS_OUT.PUSH_1</t>
  </si>
  <si>
    <t>REQ-0824803</t>
  </si>
  <si>
    <t>DAT_LO_DGT_PUSH_INFO_TACT1
(PushInfoEtact1CDM)
Att_var@ LVDS_1_0.LVDS_OUT.PUSH_1</t>
  </si>
  <si>
    <t>REQ-0824808</t>
  </si>
  <si>
    <t>DAT_LO_DGT_PUSH_INFO_TACT1
(NotApplicable)
Att_var@ LVDS_2_0.LVDS_OUT.PUSH_1</t>
  </si>
  <si>
    <t>REQ-0824809</t>
  </si>
  <si>
    <t>DAT_LO_DGT_PUSH_INFO_TACT2
(PushInfoEtact2CDM)
Att_var@ LVDS_1_0.LVDS_OUT.PUSH_1</t>
  </si>
  <si>
    <t>REQ-0824810</t>
  </si>
  <si>
    <t>DAT_LO_DGT_PUSH_INFO_TACT2
(NotApplicable)
Att_var@ LVDS_2_0.LVDS_OUT.PUSH_1</t>
  </si>
  <si>
    <t>REQ-0824811</t>
  </si>
  <si>
    <t>DAT_LO_DGT_PUSH_INFO_TACT3
(NotApplicable)
Att_var@ LVDS_2_0.LVDS_OUT.PUSH_1</t>
  </si>
  <si>
    <t>REQ-0824812</t>
  </si>
  <si>
    <t>DAT_LO_DGT_PUSH_INFO_TACT3
(PushInfoEtact3CDM)
Att_var@ LVDS_1_0.LVDS_OUT.PUSH_1</t>
  </si>
  <si>
    <t>REQ-0824813</t>
  </si>
  <si>
    <t>DAT_LO_DGT_PUSH_INFO_TACT4
(PushInfoEtact4CDM)
Att_var@ LVDS_1_0.LVDS_OUT.PUSH_1</t>
  </si>
  <si>
    <t>REQ-0824814</t>
  </si>
  <si>
    <t>DAT_LO_DGT_PUSH_INFO_TACT4
(NotApplicable)
Att_var@ LVDS_2_0.LVDS_OUT.PUSH_1</t>
  </si>
  <si>
    <t>REQ-0826222</t>
  </si>
  <si>
    <t>DAT_LO_DGT_PUSH_INFO_TACT5
(PushInfoEtact5CDM)
Att_var@ LVDS_1_0.LVDS_OUT.PUSH_1</t>
  </si>
  <si>
    <t>REQ-0826223</t>
  </si>
  <si>
    <t>DAT_LO_DGT_PUSH_INFO_TACT5
(NotApplicable)
Att_var@ LVDS_2_0.LVDS_OUT.PUSH_1</t>
  </si>
  <si>
    <t>REQ-0826227</t>
  </si>
  <si>
    <t>DAT_LO_DGT_PUSHX_DATING
(PushCDMDating)
Att_var@ LVDS_1_0.LVDS_OUT.PUSH_1</t>
  </si>
  <si>
    <t>REQ-0826228</t>
  </si>
  <si>
    <t>DAT_LO_DGT_PUSHX_DATING
(NotApplicable)
Att_var@ LVDS_2_0.LVDS_OUT.PUSH_1</t>
  </si>
  <si>
    <t>G</t>
  </si>
  <si>
    <t>DAT_DG_DGT_T_DETECTION_PUSH
(PUSH_DTECTION_TIME)
Att_var@ DIAG_R.(PUSH+PUSH_1)</t>
  </si>
  <si>
    <t>REQ-0302923</t>
  </si>
  <si>
    <t>DAT_DG_DGT_T_DETECTION_RELEASE
(RELEASE_DTECTION_TIME)
Att_var@ DIAG_R.(PUSH+PUSH_1)</t>
  </si>
  <si>
    <t>REQ-0302946</t>
  </si>
  <si>
    <t>DAT_DG_DGT_MAJ_FRAME_FCT
(NoUpstreamRequest)
Att_var@ DIAG_R.(PUSH+PUSH_1)</t>
  </si>
  <si>
    <t>REQ-0302951</t>
  </si>
  <si>
    <t>DAT_DG_DGT_MAJ_TRAME_EMPTY
(NoUpstreamRequest)
Att_var@ DIAG_R.(PUSH+PUSH_1)</t>
  </si>
  <si>
    <t>REQ-0600275</t>
  </si>
  <si>
    <t>DAT_DG_DGT_COORDONATE_X_1
(NoUpstreamRequest)
Att_var@ DIAG_R.PUSH</t>
  </si>
  <si>
    <t>REQ-0600276</t>
  </si>
  <si>
    <t>DAT_DG_DGT_COORDONATE_X_2
(NoUpstreamRequest)
Att_var@ DIAG_R.PUSH</t>
  </si>
  <si>
    <t>REQ-0600277</t>
  </si>
  <si>
    <t>DAT_DG_DGT_COORDONATE_X_3
(NoUpstreamRequest)
Att_var@ DIAG_R.PUSH</t>
  </si>
  <si>
    <t>REQ-0600278</t>
  </si>
  <si>
    <t>DAT_DG_DGT_COORDONATE_X_4
(NoUpstreamRequest)
Att_var@ DIAG_R.PUSH</t>
  </si>
  <si>
    <t>REQ-0600279</t>
  </si>
  <si>
    <t>DAT_DG_DGT_COORDONATE_X_5
(NoUpstreamRequest)
Att_var@ DIAG_R.PUSH</t>
  </si>
  <si>
    <t>REQ-0600280</t>
  </si>
  <si>
    <t>DAT_DG_DGT_COORDONATE_Y_1
(NoUpstreamRequest)
Att_var@ DIAG_R.PUSH</t>
  </si>
  <si>
    <t>REQ-0600281</t>
  </si>
  <si>
    <t>DAT_DG_DGT_COORDONATE_Y_2
(NoUpstreamRequest)
Att_var@ DIAG_R.PUSH</t>
  </si>
  <si>
    <t>REQ-0600282</t>
  </si>
  <si>
    <t>DAT_DG_DGT_COORDONATE_Y_3
(NoUpstreamRequest)
Att_var@ DIAG_R.PUSH</t>
  </si>
  <si>
    <t>REQ-0600283</t>
  </si>
  <si>
    <t>DAT_DG_DGT_COORDONATE_Y_4
(NoUpstreamRequest)
Att_var@ DIAG_R.PUSH</t>
  </si>
  <si>
    <t>REQ-0600284</t>
  </si>
  <si>
    <t>DAT_DG_DGT_COORDONATE_Y_5
(NoUpstreamRequest)
Att_var@ DIAG_R.PUSH</t>
  </si>
  <si>
    <t>REQ-0600285</t>
  </si>
  <si>
    <t>DAT_DG_DGT_INFO_PUSH_1
(NoUpstreamRequest)
Att_var@ DIAG_R.(PUSH+PUSH_1)</t>
  </si>
  <si>
    <t>REQ-0600286</t>
  </si>
  <si>
    <t>DAT_DG_DGT_INFO_PUSH_2
(NoUpstreamRequest)
Att_var@ DIAG_R.(PUSH+PUSH_1)</t>
  </si>
  <si>
    <t>REQ-0600287</t>
  </si>
  <si>
    <t>DAT_DG_DGT_INFO_PUSH_3
(NoUpstreamRequest)
Att_var@ DIAG_R.(PUSH+PUSH_1)</t>
  </si>
  <si>
    <t>REQ-0600288</t>
  </si>
  <si>
    <t>DAT_DG_DGT_INFO_PUSH_4
(NoUpstreamRequest)
Att_var@ DIAG_R.(PUSH+PUSH_1)</t>
  </si>
  <si>
    <t>REQ-0600289</t>
  </si>
  <si>
    <t>DAT_DG_DGT_INFO_PUSH_5
(NoUpstreamRequest)
Att_var@ DIAG_R.(PUSH+PUSH_1)</t>
  </si>
  <si>
    <t>REQ-0600290</t>
  </si>
  <si>
    <t>DAT_DG_DGT_DATATION_PUSH
(NoUpstreamRequest)
Att_var@ DIAG_R.(PUSH+PUSH_1)</t>
  </si>
  <si>
    <t>REQ-1012012</t>
  </si>
  <si>
    <t>A</t>
  </si>
  <si>
    <t>DAT_DG_DGT_COORDONATE_X_1
(NoUpstreamRequest)
Att_var@ DIAG_R.PUSH_1</t>
  </si>
  <si>
    <t>REQ-1012020</t>
  </si>
  <si>
    <t>DAT_DG_DGT_COORDONATE_X_2
(NoUpstreamRequest)
Att_var@ DIAG_R.PUSH_1</t>
  </si>
  <si>
    <t>REQ-1012021</t>
  </si>
  <si>
    <t>DAT_DG_DGT_COORDONATE_X_3
(NoUpstreamRequest)
Att_var@ DIAG_R.PUSH_1</t>
  </si>
  <si>
    <t>REQ-1012022</t>
  </si>
  <si>
    <t>DAT_DG_DGT_COORDONATE_X_4
(NoUpstreamRequest)
Att_var@ DIAG_R.PUSH_1</t>
  </si>
  <si>
    <t>REQ-1012037</t>
  </si>
  <si>
    <t>DAT_DG_DGT_COORDONATE_X_5
(NoUpstreamRequest)
Att_var@ DIAG_R.PUSH_1</t>
  </si>
  <si>
    <t>REQ-1012038</t>
  </si>
  <si>
    <t>DAT_DG_DGT_COORDONATE_Y_1
(NoUpstreamRequest)
Att_var@ DIAG_R.PUSH_1</t>
  </si>
  <si>
    <t>REQ-1012039</t>
  </si>
  <si>
    <t>DAT_DG_DGT_COORDONATE_Y_2
(NoUpstreamRequest)
Att_var@ DIAG_R.PUSH_1</t>
  </si>
  <si>
    <t>REQ-1012040</t>
  </si>
  <si>
    <t>DAT_DG_DGT_COORDONATE_Y_3
(NoUpstreamRequest)
Att_var@ DIAG_R.PUSH_1</t>
  </si>
  <si>
    <t>REQ-1012041</t>
  </si>
  <si>
    <t>DAT_DG_DGT_COORDONATE_Y_4
(NoUpstreamRequest)
Att_var@ DIAG_R.PUSH_1</t>
  </si>
  <si>
    <t>REQ-1012042</t>
  </si>
  <si>
    <t>DAT_DG_DGT_COORDONATE_Y_5
(NoUpstreamRequest)
Att_var@ DIAG_R.PUSH_1</t>
  </si>
  <si>
    <t>Specification flow name_x000D_
Description_x000D_
Specification flow Values_x000D_
 Network signal values_x000D_
Network Signal name_x000D_
Network Frame name_x000D_
DAT_PHY_DGT_GPE_PUSH_USER_&lt;n&gt;_x000D_
User physical push on the tactile screen._x000D_
N is related to the number of finger on the screen. (N=1 to 5)_x000D_
RELEASED_x000D_
PUSHED_x000D_
NA_x000D_
NA_x000D_
NA
Att_var@ PUSH+PUSH_1</t>
  </si>
  <si>
    <t>REQ-0597035</t>
  </si>
  <si>
    <t>For the tactile coordinates, the reference position is in landscape format.
Att_var@ PUSH+PUSH_1</t>
  </si>
  <si>
    <t>REQ-0302907</t>
  </si>
  <si>
    <t>The origin of abscissa is located at the left end of the active tactile area (DAT_LO_DGT_COORDONATE_X_&lt;n&gt; = 0)
Att_var@ PUSH</t>
  </si>
  <si>
    <t>REQ-0302918</t>
  </si>
  <si>
    <t>The origin of the ordinates is located at the lower end of the active tactile area (DAT_LO_DGT_COORDONATE_Y_&lt;n&gt; = 0)
Att_var@ PUSH</t>
  </si>
  <si>
    <t>REQ-0302930</t>
  </si>
  <si>
    <t>The tactile coordinates are expressed in percent according to the origin of the coordinates and on the whole tactile area dimensioning._x000D_
Example (No :The resolution is 0.125. If the signal COORDONNEE_Y_ETACT takes for example the value 0x0F0 (240), the percentage of the touch coordinate is 240x0.125 = 30% of the Y axe.
Att_var@ PUSH</t>
  </si>
  <si>
    <t>REQ-0302931</t>
  </si>
  <si>
    <t>At the initialization, DAT_LO_DGT_INFO_PUSH_&lt;n&gt; = NO_PUSH
Att_var@ PUSH</t>
  </si>
  <si>
    <t>REQ-0302939</t>
  </si>
  <si>
    <t>At the initialization, DAT_LO_DGT_COORDONATE_X_&lt;n&gt; = UNAVAILABLE
Att_var@ PUSH</t>
  </si>
  <si>
    <t>REQ-0302943</t>
  </si>
  <si>
    <t>At the initialization, DAT_LO_DGT_COORDONATE_Y_&lt;n&gt; = UNAVAILABLE
Att_var@ PUSH</t>
  </si>
  <si>
    <t>REQ-0302950</t>
  </si>
  <si>
    <t>At the initialization, DAT_LO_DGT_DATATION_PUSH = 0
Att_var@ PUSH</t>
  </si>
  <si>
    <t>REQ-0826260</t>
  </si>
  <si>
    <t>The origin of abscissa is located at the left end of the active tactile area (DAT_LO_DGT_COORDINATE_X_TACT = 0)
Att_var@ PUSH_1</t>
  </si>
  <si>
    <t>REQ-0826261</t>
  </si>
  <si>
    <t>The origin of the ordinates is located at the lower end of the active tactile area (DAT_LO_DGT_COORDINATE_Y_TACT = 0)
Att_var@ PUSH_1</t>
  </si>
  <si>
    <t>REQ-0826262</t>
  </si>
  <si>
    <t>The tactile coordinates are expressed in percent according to the origin of the coordinates and on the whole tactile area dimensioning._x000D_
Example (No :The resolution is 0.0125. If the signal COORDINATE_Y_TACT takes for example the value 0x0F0 (240), the percentage of the touch coordinate is 240x0.0125 = 3% of the Y axe.
Att_var@ PUSH_1</t>
  </si>
  <si>
    <t>REQ-0826263</t>
  </si>
  <si>
    <t>At the initialization, DAT_LO_DGT_PUSH_INFO_TACT&lt;n&gt; = NO_PUSH
Att_var@ PUSH_1</t>
  </si>
  <si>
    <t>REQ-0826264</t>
  </si>
  <si>
    <t>At the initialization DAT_LO_DGT_COORDINATE_X_TACT&lt;n&gt; = UNAVAILABLE
Att_var@ PUSH_1</t>
  </si>
  <si>
    <t>REQ-0826266</t>
  </si>
  <si>
    <t>At the initialization DAT_LO_DGT_COORDINATE_Y_TACT&lt;n&gt; = UNAVAILABLE
Att_var@ PUSH_1</t>
  </si>
  <si>
    <t>REQ-0826267</t>
  </si>
  <si>
    <t>At the initialization, DAT_LO_DGT_PUSHX_DATING = 0
Att_var@ PUSH_1</t>
  </si>
  <si>
    <t>REQ-0302924</t>
  </si>
  <si>
    <t>IF_x000D_
DAT_LI_DGT_ENABLE = ACTIVATED _x000D_
THEN_x000D_
The function ACQUIRE_USER_COMMAND produces the flows below :_x000D_
DAT_LO_DGT_COORDONATE_X_&lt;n&gt;_x000D_
DAT_LO_DGT_COORDONATE_Y_&lt;n&gt;_x000D_
DAT_LO_DGT_INFO_PUSH_&lt;n&gt;_x000D_
DAT_LO_DGT_DATATION_PUSH
Att_var@ PUSH</t>
  </si>
  <si>
    <t>REQ-0302929</t>
  </si>
  <si>
    <t>IF_x000D_
DAT_PHY_DGT_GPE_PUSH_USER_&lt;n&gt;switches from RELEASED to PUSHED _x000D_
And keep PUSHED for a time over DAT_DG_DGT_T_DETECTION_PUSH_x000D_
THEN_x000D_
DAT_LO_DGT_INFO_PUSH_&lt;n&gt;  = PUSH
Att_var@ PUSH</t>
  </si>
  <si>
    <t>REQ-0302938</t>
  </si>
  <si>
    <t>IF_x000D_
DAT_PHY_DGT_GPE_PUSH_USER_&lt;n&gt;switches from PUSHED to RELEASED _x000D_
And keep RELEASED for a time over DAT_DG_DGT_T_DETECTION_RELEASE_x000D_
THEN_x000D_
DAT_LO_DGT_INFO_PUSH_&lt;n&gt; = NO_PUSH
Att_var@ PUSH</t>
  </si>
  <si>
    <t>REQ-0388321</t>
  </si>
  <si>
    <t>IF _x000D_
DAT_LO_DGT_INFO_PUSH_&lt;n&gt; = PUSH_x000D_
THEN _x000D_
DAT_LO_DGT_DATATION_PUSH is updated_x000D_
ELSE _x000D_
DAT_LO_DGT_DATATION_PUSH is frozen.
Att_var@ PUSH</t>
  </si>
  <si>
    <t>REQ-0302955</t>
  </si>
  <si>
    <t>IF_x000D_
DAT_LO_DGT_INFO_PUSH_&lt;n&gt;= PUSH _x000D_
THEN_x000D_
DAT_LO_DGT_COORDONATE_X_&lt;n&gt; takes the value of the position X (Abscissa) touch on the active area.
Att_var@ PUSH</t>
  </si>
  <si>
    <t>REQ-0302961</t>
  </si>
  <si>
    <t>IF_x000D_
DAT_LO_DGT_INFO_PUSH_&lt;n&gt; = NO_PUSH _x000D_
THEN_x000D_
DAT_LO_DGT_COORDONATE_X_&lt;n&gt; takes the value UNAVAILABLE
Att_var@ PUSH</t>
  </si>
  <si>
    <t>REQ-0302964</t>
  </si>
  <si>
    <t>IF_x000D_
DAT_LO_DGT_INFO_PUSH_&lt;n&gt; = PUSH _x000D_
THEN_x000D_
DAT_LO_DGT_COORDONATE_Y_&lt;n&gt; takes the value of the position Y touch on the active area.
Att_var@ PUSH</t>
  </si>
  <si>
    <t>REQ-0302973</t>
  </si>
  <si>
    <t>IF_x000D_
DAT_LO_DGT_INFO_PUSH_&lt;n&gt; = NO_PUSH _x000D_
THEN_x000D_
DAT_LO_DGT_COORDONATE_Y_&lt;n&gt; takes the value : UNAVAILABLE
Att_var@ PUSH</t>
  </si>
  <si>
    <t>REQ-0302987</t>
  </si>
  <si>
    <t>The reading of flows _x000D_
DAT_DG_DGT_COORDONATE_X_&lt;n&gt; = DAT_LO_DGT_COORDONATE_X_&lt;n&gt;_x000D_
DAT_DG_DGT_COORDONATE_Y_&lt;n&gt; = DAT_LO_DGT_COORDONATE_Y_&lt;n&gt;_x000D_
DAT_DG_DGT_DATATION_PUSH  = DAT_LO_DGT_DATATION_PUSH _x000D_
DAT_DG_DGT_INFO_PUSH_&lt;n&gt; = DAT_LO_DGT_INFO_PUSH_&lt;n&gt;_x000D_
is to give tools of diagnosis manufacture and after-sales service.
Att_var@ PUSH</t>
  </si>
  <si>
    <t>REQ-0302990</t>
  </si>
  <si>
    <t>TO ensure detection performance touch (DAT_LO_DGT_COORDONATE_X_&lt;n&gt;, DAT_LO_DGT_COORDONATE_Y_&lt;n&gt;, DAT_LO_DGT_INFO_PUSH_&lt;n&gt;) and to ensure good system responsiveness in a pressure or a drag on the touch screen_x000D_
-&gt; the sampling rates required is DAT_DG_DGT_MAJ_FRAME_FCT for each finger pressure.
Att_var@ PUSH</t>
  </si>
  <si>
    <t>REQ-0302993</t>
  </si>
  <si>
    <t>IF_x000D_
no Touch is detected on the tactile mean_x000D_
THEN_x000D_
the information (DAT_LO_DGT_COORDONATE_X_&lt;n&gt;, DAT_LO_DGT_COORDONATE_Y_&lt;n&gt;, DAT_LO_DGT_INFO_PUSH_&lt;n&gt;) are updated every DAT_DG_DGT_MAJ_TRAME_EMPTY
Att_var@ PUSH</t>
  </si>
  <si>
    <t>REQ-0826268</t>
  </si>
  <si>
    <t>IF_x000D_
DAT_LI_DGT_ENABLE_DISPLAY = ACTIVATED _x000D_
THEN_x000D_
The function ACQUIRE_USER_COMMAND produces the flows below :_x000D_
DAT_LO_DGT_COORDINATE_X_TACT&lt;n&gt;_x000D_
DAT_LO_DGT_COORDINATE_Y_TACT&lt;n&gt;_x000D_
DAT_LO_DGT_PUSH_INFO_TACT&lt;n&gt;_x000D_
DAT_LO_DGT_PUSHX_DATING
Att_var@ PUSH_1</t>
  </si>
  <si>
    <t>REQ-0826269</t>
  </si>
  <si>
    <t>IF_x000D_
DAT_PHY_DGT_GPE_PUSH_USER_&lt;n&gt;switches from RELEASED to PUSHED _x000D_
And keep PUSHED for a time over DAT_DG_DGT_T_DETECTION_PUSH_x000D_
THEN_x000D_
DAT_LO_DGT_PUSH_INFO_TACT&lt;n&gt;  = PUSH
Att_var@ PUSH_1</t>
  </si>
  <si>
    <t>REQ-0826270</t>
  </si>
  <si>
    <t>IF_x000D_
DAT_PHY_DGT_GPE_PUSH_USER_&lt;n&gt;switches from PUSHED to RELEASED _x000D_
And keep RELEASED for a time over DAT_DG_DGT_T_DETECTION_RELEASE_x000D_
THEN_x000D_
DAT_LO_DGT_PUSH_INFO_TACT&lt;n&gt;  =  NO PUSH
Att_var@ PUSH_1</t>
  </si>
  <si>
    <t>REQ-0826271</t>
  </si>
  <si>
    <t>IF _x000D_
DAT_LO_DGT_PUSH_INFO_TACT&lt;n&gt;  =  PUSH_x000D_
THEN _x000D_
            DAT_LO_DGT_PUSHX_DATING is updated_x000D_
ELSE _x000D_
DAT_LO_DGT_PUSHX_DATING is frozen.
Att_var@ PUSH_1</t>
  </si>
  <si>
    <t>REQ-0826275</t>
  </si>
  <si>
    <t>IF_x000D_
DAT_LO_DGT_PUSH_INFO_TACT&lt;n&gt;  =  PUSH_x000D_
THEN_x000D_
DAT_LO_DGT_COORDINATE_X_TACT&lt;n&gt; takes the value of the position X (Abscissa) touch on the active area.
Att_var@ PUSH_1</t>
  </si>
  <si>
    <t>REQ-0826277</t>
  </si>
  <si>
    <t>IF_x000D_
DAT_LO_DGT_PUSH_INFO_TACT&lt;n&gt;  = NO_PUSH _x000D_
THEN_x000D_
DAT_LO_DGT_COORDINATE_X_TACT&lt;n&gt;  takes the value UNAVAILABLE
Att_var@ PUSH_1</t>
  </si>
  <si>
    <t>REQ-0826279</t>
  </si>
  <si>
    <t>IF_x000D_
DAT_LO_DGT_PUSH_INFO_TACT&lt;n&gt; = PUSH _x000D_
THEN_x000D_
DAT_LO_DGT_COORDINATE_Y_TACT&lt;n&gt; takes the value of the position Y touch on the active area.
Att_var@ PUSH_1</t>
  </si>
  <si>
    <t>REQ-0826280</t>
  </si>
  <si>
    <t>IF_x000D_
DAT_LO_DGT_PUSH_INFO_TACT&lt;n&gt; = NO_PUSH _x000D_
THEN_x000D_
DAT_LO_DGT_COORDINATE_Y_TACT&lt;n&gt; takes the value : UNAVAILABLE
Att_var@ PUSH_1</t>
  </si>
  <si>
    <t>REQ-0826281</t>
  </si>
  <si>
    <t>The reading of flows _x000D_
DAT_DG_DGT_COORDONATE_X_&lt;n&gt; = DAT_LO_DGT_COORDINATE_X_TACT&lt;n&gt;_x000D_
DAT_DG_DGT_COORDONATE_Y_&lt;n&gt; = DAT_LO_DGT_COORDINATE_Y_TACT&lt;n&gt;_x000D_
DAT_DG_DGT_DATATION_PUSH = DAT_LO_DGT_PUSHX_DATING_x000D_
DAT_DG_DGT_INFO_PUSH_&lt;n&gt; = DAT_LO_DGT_PUSH_INFO_TACT&lt;n&gt;_x000D_
is to give tools of diagnosis manufacture and after-sales service.
Att_var@ PUSH_1</t>
  </si>
  <si>
    <t>REQ-0826282</t>
  </si>
  <si>
    <t>TO ensure detection performance touch (DAT_LO_DGT_COORDINATE_X_TACT&lt;n&gt;, DAT_LO_DGT_COORDINATE_Y_TACT&lt;n&gt;, DAT_LO_DGT_PUSH_INFO_TACT&lt;n&gt; ) and to ensure good system responsiveness in a pressure or a drag on the touch screen_x000D_
-&gt; the sampling rates required is DAT_DG_DGT_MAJ_FRAME_FCT for each finger pressure.
Att_var@ PUSH_1</t>
  </si>
  <si>
    <t>REQ-0826283</t>
  </si>
  <si>
    <t>IF_x000D_
no Touch is detected on the tactile mean_x000D_
THEN_x000D_
the information (DAT_LO_DGT_COORDINATE_X_TACT&lt;n&gt;, DAT_LO_DGT_COORDINATE_Y_TACT&lt;n&gt;, DAT_LO_DGT_PUSH_INFO_TACT&lt;n&gt;) are updated every DAT_DG_DGT_MAJ_TRAME_EMPTY
Att_var@ PUSH_1</t>
  </si>
  <si>
    <t>REQ-0302908</t>
  </si>
  <si>
    <t>K</t>
  </si>
  <si>
    <t>DAT_LI_DGT_IMAGE_SCREEN_MULTIFONCTION
(IMAGE_ECRAN_MULTIFONCTION_BTEL)
Att_var@ CAN_IN.AEE_2010.DISPLAY+LVDS_IN.(LVDS1+LVDS2+LVDS3).(AEE_2020+AEE_2022).DISPLAY</t>
  </si>
  <si>
    <t>DAT_LI_DGT_IMAGE_SCREEN_MULTIFONCTION
(ImageICD/ImageCDM/ImageFPD/ImageCDR)
Att_var@ LVDS_IN.(LVDS_2_0+LVDS_1_0+LVDS_5+LVDS_1_1+LVDS_4_0).AEE_BRAIN.DISPLAY</t>
  </si>
  <si>
    <t>REQ-0995718</t>
  </si>
  <si>
    <t>INFO_IMAGE_SCREEN_USER
(IMAGE_ECRAN_MULTIFONCTION_BTEL)
Att_var@ HMI.DISPLAY</t>
  </si>
  <si>
    <t>INFO_IMAGE_SCREEN_USER
(PhO_ImageICD/ PhO_ImageCDM/ PhO_ImageFPD/ PhO_ImageCDR)
Att_var@ HMI.DISPLAY.AEE_BRAIN</t>
  </si>
  <si>
    <t>REQ-0302940</t>
  </si>
  <si>
    <t>IF_x000D_
DAT_LI_DGT_ENABLE = ACTIVATED_x000D_
THEN_x000D_
The screen is functional_x000D_
AND_x000D_
INFO_IMAGE_SCREEN_USER = DAT_LI_DGT_IMAGE_SCREEN_MULTIFONCTION
Att_var@ DISPLAY.(AEE_2010+AEE_2020+AEE_2022)</t>
  </si>
  <si>
    <t>REQ-0302941</t>
  </si>
  <si>
    <t>IF_x000D_
DAT_LI_DGT_ENABLE = DEACTIVATED_x000D_
THEN_x000D_
The screen is not functional (backlight and tactile off)
Att_var@ DISPLAY.(AEE_2010+AEE_2020+AEE_2022)</t>
  </si>
  <si>
    <t>IF_x000D_
DAT_LI_DGT_ENABLE_DISPLAY = ACTIVATED_x000D_
THEN_x000D_
The screen is functional_x000D_
AND_x000D_
INFO_IMAGE_SCREEN_USER = DAT_LI_DGT_IMAGE_SCREEN_MULTIFONCTION
Att_var@ DISPLAY.AEE_BRAIN</t>
  </si>
  <si>
    <t>REQ-0826290</t>
  </si>
  <si>
    <t>IF_x000D_
DAT_LI_DGT_ENABLE_DISPLAY = DEACTIVATED_x000D_
THEN_x000D_
The screen is not functional (backlight and tactile off)
Att_var@ DISPLAY.AEE_BRAIN</t>
  </si>
  <si>
    <t>REQ-0302914</t>
  </si>
  <si>
    <t>DAT_LO_DGT_DEFAULT_TIMING_VIDEO
(DEFAUT_TIMING_VIDEO)
Att_var@ CAN_OUT.DEFAULT</t>
  </si>
  <si>
    <t>REQ-0302920</t>
  </si>
  <si>
    <t>DAT_LO_DGT_DEFAULT_TIMING_VIDEO
(DEFAUT_TIMING_VIDEO)
Att_var@ LVDS_OUT.LVDS1.DEFAULT</t>
  </si>
  <si>
    <t>REQ-0302922</t>
  </si>
  <si>
    <t>DAT_LO_DGT_DEFAULT_TIMING_VIDEO
(DEFAUT_TIMING_VIDEO_2ND_DISP)
Att_var@ LVDS_OUT.LVDS2.DEFAULT</t>
  </si>
  <si>
    <t>REQ-0597039</t>
  </si>
  <si>
    <t>DAT_LO_DGT_DEFAULT_TIMING_VIDEO
(DEFAUT_TIMING_VIDEO_CLUSTER)
Att_var@ LVDS_OUT.LVDS3.DEFAULT</t>
  </si>
  <si>
    <t>REQ-0302927</t>
  </si>
  <si>
    <t>DAT_LO_DGT_DEFAULT_INFO_TACTILE
(DEFAUT_INFO_TACTILE)
Att_var@ CAN_OUT.DEFAULT</t>
  </si>
  <si>
    <t>REQ-0302937</t>
  </si>
  <si>
    <t>DAT_LO_DGT_DEFAULT_INFO_TACTILE
(DEFAUT_INFO_TACTILE)
Att_var@ LVDS_OUT.LVDS1.DEFAULT</t>
  </si>
  <si>
    <t>REQ-0302948</t>
  </si>
  <si>
    <t>DAT_LO_DGT_DEFAULT_INFO_TACTILE
(DEFAUT_INFO_TACTILE_2ND_DISP)
Att_var@ LVDS_OUT.LVDS2.DEFAULT</t>
  </si>
  <si>
    <t>REQ-0597040</t>
  </si>
  <si>
    <t>DAT_LO_DGT_DEFAULT_INFO_TACTILE
(DEFAUT_INFO_TACTILE)
Att_var@ LVDS_OUT.LVDS3.DEFAULT.WIDE</t>
  </si>
  <si>
    <t>REQ-0826291</t>
  </si>
  <si>
    <t>DAT_LO_DGT_VIDEO_FAULT
(VideofaultCDM/ VideofaultICD/ VideofaultCDM/ VideofaultFPD)
Att_var@ LVDS_1_0.LVDS_OUT.DEFAULT_VIDEO</t>
  </si>
  <si>
    <t>REQ-0826292</t>
  </si>
  <si>
    <t>DAT_LO_DGT_VIDEO_FAULT
(VideofaultCDR)
Att_var@ LVDS_2_0.LVDS_OUT.DEFAULT_VIDEO</t>
  </si>
  <si>
    <t>REQ-0826293</t>
  </si>
  <si>
    <t>DAT_LO_DGT_VIDEO_FAULT
(VideofaultICD)
Att_var@ LVDS_5.LVDS_OUT.DEFAULT_VIDEO</t>
  </si>
  <si>
    <t>REQ-0826294</t>
  </si>
  <si>
    <t>DAT_LO_DGT_TACTILE_FAULT
(TactileFaultCDM)
Att_var@ LVDS_1_0.LVDS_OUT.DEFAULT_TACTILE</t>
  </si>
  <si>
    <t>REQ-0826295</t>
  </si>
  <si>
    <t>DAT_LO_DGT_TACTILE_FAULT
(TactileFaultCDR)
Att_var@ LVDS_2_0.LVDS_OUT.DEFAULT_TACTILE</t>
  </si>
  <si>
    <t>REQ-0302934</t>
  </si>
  <si>
    <t>DAT_DG_DGT_T_DEFAULT_FILTRING
(NoUpstreamRequest)
Att_var@ DIAG_R.(DEFAULT+DEFAULT_TACTILE)</t>
  </si>
  <si>
    <t>REQ-0302944</t>
  </si>
  <si>
    <t>J</t>
  </si>
  <si>
    <t>DAT_DG_DGT_FILTRING_DEF_INFO_TACTILE
(prm_CDMTactileFaultTimeDetection/ prm_CDRTactileFaultTimeDetection/ prm_FPDVideoFaultTimeDetection/ prm_ICDVideoFaultTimeDetection)
Att_var@ DIAG_R.(DEFAULT+DEFAULT_TACTILE)</t>
  </si>
  <si>
    <t>REQ-0302949</t>
  </si>
  <si>
    <t>DAT_DG_DGT_FILTRING_DEF_TIMING_VIDEO_DGT
(prm_CDMVideoFaultTimeDetection/ prm_CDRVideoFaultTimeDetection/  prm_FPDVideoFaultTimeDetection/ prm_ICDVideoFaultTimeDetection)
Att_var@ DIAG_R.(DEFAULT+DEFAULT_VIDEO)</t>
  </si>
  <si>
    <t>REQ-0618341</t>
  </si>
  <si>
    <t>DAT_DG_DGT_CAL_VER_INTEGER
(NoUpstreamRequest)
Att_var@ DIAG_R.CAL_VER</t>
  </si>
  <si>
    <t>REQ-0618342</t>
  </si>
  <si>
    <t>DAT_DG_DGT_CAL_VER_DECIMAL
(NoUpstreamRequest)
Att_var@ DIAG_R.CAL_VER</t>
  </si>
  <si>
    <t>REQ-0302932</t>
  </si>
  <si>
    <t>At the initialization, DAT_LO_DGT_DEFAULT_TIMING_VIDEO = DIAGNOSTIC NOT YET PERFORMED
Att_var@ DEFAULT</t>
  </si>
  <si>
    <t>REQ-0302945</t>
  </si>
  <si>
    <t>At the initialization, DAT_LO_DGT_DEFAULT_INFO_TACTILE = DIAGNOSTIC NOT YET PERFORMED
Att_var@ DEFAULT</t>
  </si>
  <si>
    <t>REQ-0826302</t>
  </si>
  <si>
    <t>At the initialization, DAT_LO_DGT_VIDEO_FAULT = NOT DETECTED
Att_var@ DEFAULT_VIDEO</t>
  </si>
  <si>
    <t>REQ-0826303</t>
  </si>
  <si>
    <t>At the initialization, DAT_LO_DGT_TACTILE_FAULT = NOT DETECTED
Att_var@ DEFAULT_TACTILE</t>
  </si>
  <si>
    <t>REQ-0302954</t>
  </si>
  <si>
    <t>At activation of the DGT, the diagnosis is not yet performed_x000D_
IF_x000D_
DAT_LI_DGT_ENABLE switches from DEACTIVATED to ACTIVATED_x000D_
THEN_x000D_
DAT_LO_DGT_DEFAULT_TIMING_VIDEO = DIAGNOSTIC NOT YET PERFORMED
Att_var@ DEFAULT</t>
  </si>
  <si>
    <t>REQ-0302957</t>
  </si>
  <si>
    <t>The flow DAT_LO_DGT_DEFAULT_TIMING_VIDEO must keep the initialization value as long as the default is not confirmed :_x000D_
IF_x000D_
DAT_LI_DGT_ENABLE = ACTIVATED for less than DAT_DG_DGT_FILTRING_DEF_TIMING_VIDEO_DGT_x000D_
THEN_x000D_
DAT_LO_DGT_DEFAULT_TIMING_VIDEO = DIAGNOSTIC NOT YET PERFORMED
Att_var@ DEFAULT</t>
  </si>
  <si>
    <t>REQ-0302960</t>
  </si>
  <si>
    <t>The flow DAT_LO_DGT_DEFAULT_TIMING_VIDEO takes the value NO DEFAULT' if no default is confirmed_x000D_
IF_x000D_
DAT_LI_DGT_ENABLE = ACTIVATED_x000D_
AND_x000D_
There is no default for more than DAT_DG_DGT_FILTRING_DEF_TIMING_VIDEO_DGT_x000D_
THEN_x000D_
DAT_LO_DGT_DEFAULT_TIMING_VIDEO = NO DEFAULT
Att_var@ DEFAULT</t>
  </si>
  <si>
    <t>REQ-0302966</t>
  </si>
  <si>
    <t>If a default is detected over the video link then the flow DAT_LO_DGT_DEFAULT_TIMING_VIDEO takes the value associated to the detected default_x000D_
IF _x000D_
DAT_LI_DGT_ENABLE = ACTIVATED _x000D_
THEN_x000D_
IF _x000D_
There is no LVDS video signal for more than DAT_DG_DGT_FILTRING_DEF_TIMING_VIDEO_DGT_x000D_
THEN _x000D_
DAT_LO_DGT_DEFAULT_TIMING_VIDEO = NO SIGNAL_x000D_
Else IF _x000D_
The horizontal synchronization is wrong for more than DAT_DG_DGT_FILTRING_DEF_TIMING_VIDEO_DGT_x000D_
THEN _x000D_
DAT_LO_DGT_DEFAULT_TIMING_VIDEO = HSYNC off scale_x000D_
Else IF _x000D_
The vertical synchronization is wrong for more than DAT_DG_DGT_FILTRING_DEF_TIMING_VIDEO_DGT_x000D_
THEN _x000D_
DAT_LO_DGT_DEFAULT_TIMING_VIDEO = VSYNC off scale_x000D_
ELSE _x000D_
DAT_LO_DGT_DEFAULT_TIMING_VIDEO = NO DEFAULT_x000D_
Remark : (The failure range will be proposed by the provider and validated par PSA)
Att_var@ DEFAULT</t>
  </si>
  <si>
    <t>REQ-0302970</t>
  </si>
  <si>
    <t>At activation of the DGT, the diagnosis is not yet performed_x000D_
IF_x000D_
DAT_LI_DGT_ENABLE switches from DEACTIVATED to ACTIVATED_x000D_
THEN_x000D_
DAT_LO_DGT_DEFAULT_INFO_TACTILE = DIAGNOSTIC NOT YET PERFORMED
Att_var@ DEFAULT</t>
  </si>
  <si>
    <t>REQ-0302974</t>
  </si>
  <si>
    <t>The flow DAT_LO_DGT_DEFAULT_INFO_TACTILE must keep the initialization value as long as the default is not confirmed :_x000D_
IF_x000D_
DAT_LI_DGT_ENABLE = ACTIVATED for less than DAT_DG_DGT_FILTRING_DEF_INFO_TACTILE_x000D_
THEN_x000D_
DAT_LO_DGT_DEFAULT_INFO_TACTILE = DIAGNOSTIC NOT YET PERFORMED
Att_var@ DEFAULT</t>
  </si>
  <si>
    <t>REQ-0302976</t>
  </si>
  <si>
    <t>The flow DAT_LO_DGT_DEFAULT_INFO_TACTILE takes the value NO DEFAULT' if no default is confirmed_x000D_
IF_x000D_
DAT_LI_DGT_ENABLE = ACTIVATED_x000D_
AND_x000D_
There is no default for more than DAT_DG_DGT_FILTRING_DEF_INFO_TACTILE _x000D_
THEN_x000D_
DAT_LO_DGT_DEFAULT_INFO_TACTILE = NO DEFAULT
Att_var@ DEFAULT</t>
  </si>
  <si>
    <t>REQ-0302978</t>
  </si>
  <si>
    <t>If a default is detected over the ribbon cable of the touchscreen then the flow DAT_LO_DGT_DEFAULT_INFO_TACTILE takes the value associated to the detected default_x000D_
IF_x000D_
DAT_LI_DGT_ENABLE = ACTIVATED _x000D_
THEN_x000D_
IF_x000D_
A wire is broken over the ribbon cable and an absence of signal is detected for more than DAT_DG_DGT_FILTRING_DEF_INFO_TACTILE_x000D_
THEN_x000D_
DAT_LO_DGT_DEFAULT_INFO_TACTILE =  NO SIGNAL_x000D_
Else IF_x000D_
[Data X and Y are out of range for more than DAT_DG_DGT_FILTRING_DEF_INFO_TACTILE OR A short-circuit over the ribbon cable is detected for more than DAT_DG_DGT_T_DEFAULT_FILTRING]_x000D_
THEN_x000D_
DAT_LO_DGT_DEFAULT_INFO_TACTILE =  “Data X or Y Out of scale” (depending on the concerned axis)_x000D_
Else IF_x000D_
The polarization X or Y is inadequate for more than DAT_DG_DGT_FILTRING_DEF_INFO_TACTILE_x000D_
THEN_x000D_
DAT_LO_DGT_DEFAULT_INFO_TACTILE =  “Polarization X Failing” OR Polarization Y Failing” (depending on the concerned axis)_x000D_
Else IF_x000D_
Another default appears over the ribbon cable for more than DAT_DG_DGT_FILTRING_DEF_INFO_TACTILE_x000D_
THEN_x000D_
DAT_LO_DGT_DEFAULT_INFO_TACTILE =  Default not characterized_x000D_
ELSE_x000D_
DAT_LO_DGT_DEFAULT_INFO_TACTILE = « NO DEFAULT »
Att_var@ DEFAULT</t>
  </si>
  <si>
    <t>REQ-0302997</t>
  </si>
  <si>
    <t>In case of display problems detected by screen (DEFAUT_TIMING_VIDEO different from no default and diagnostic not yet performed) _x000D_
Then_x000D_
The frame ETAT_DGT is sent by initializing the following signals: _x000D_
DAT_LO_DGT_INFO_PUSH_x000D_
DAT_LO_DGT_COORDONATE_X_1_x000D_
DAT_LO_DGT_COORDONATE_X_2_x000D_
DAT_LO_DGT_COORDONATE_X_3_x000D_
DAT_LO_DGT_COORDONATE_X_4_x000D_
DAT_LO_DGT_COORDONATE_X_5_x000D_
DAT_LO_DGT_COORDONATE_Y_1_x000D_
DAT_LO_DGT_COORDONATE_Y_2_x000D_
DAT_LO_DGT_COORDONATE_Y_3_x000D_
DAT_LO_DGT_COORDONATE_Y_4_x000D_
DAT_LO_DGT_COORDONATE_Y_5_x000D_
DAT_LO_DGT_DATATION_PUSH
Att_var@ PUSH.DEFAULT</t>
  </si>
  <si>
    <t>REQ-0618343</t>
  </si>
  <si>
    <t>The touch panel calibration version is clarified in the STELLANTIS  SW documents release. This version  will be able to be requested readable in diagnostic._x000D_
DAT_DG_DGT_CAL_VER_INTEGER = Interger part of calibration version_x000D_
DAT_DG_DGT_CAL_VER_DECIMAL = Decimal part of calibration version
Att_var@ CAL_VER</t>
  </si>
  <si>
    <t>REQ-0826304</t>
  </si>
  <si>
    <t>At activation of the DGT, the diagnosis is not yet performed_x000D_
IF_x000D_
DAT_LI_DGT_ENABLE_DISPLAY switches from DEACTIVATED to ACTIVATED_x000D_
THEN_x000D_
DAT_LO_DGT_VIDEO_FAULT= NOT DETECTED
Att_var@ DEFAULT_VIDEO</t>
  </si>
  <si>
    <t>REQ-0826306</t>
  </si>
  <si>
    <t>The flow DAT_LO_DGT_VIDEO_FAULT must keep the initialization value as long as the defect is not confirmed :_x000D_
IF_x000D_
DAT_LI_DGT_ENABLE_DISPLAY = ACTIVATED for less than DAT_DG_DGT_FILTRING_DEF_TIMING_VIDEO_DGT_x000D_
THEN_x000D_
DAT_LO_DGT_VIDEO_FAULT = NOT DETECTED
Att_var@ DEFAULT_VIDEO</t>
  </si>
  <si>
    <t>REQ-0826307</t>
  </si>
  <si>
    <t>The flow DAT_LO_DGT_VIDEO_FAULT takes the value NOT DETECTED  if no defect is confirmed_x000D_
IF_x000D_
DAT_LI_DGT_ENABLE_DISPLAY = ACTIVATED_x000D_
AND_x000D_
There is no defect for more than DAT_DG_DGT_FILTRING_DEF_TIMING_VIDEO_DGT_x000D_
THEN_x000D_
DAT_LO_DGT_VIDEO_FAULT= NOT DETECTED
Att_var@ DEFAULT_VIDEO</t>
  </si>
  <si>
    <t>REQ-0826311</t>
  </si>
  <si>
    <t>If a defect is detected over the video link then :_x000D_
IF _x000D_
DAT_LI_DGT_ENABLE_DISPLAY = ACTIVATED _x000D_
THEN_x000D_
DAT_LO_DGT_VIDEO_FAULT = DETECTED_x000D_
ELSE _x000D_
DAT_LO_DGT_VIDEO_FAULT = NOT DETECTED_x000D_
Remark : (The failure types and threshold will be proposed by the provider and validated by STELLANTIS)
Att_var@ DEFAULT_VIDEO</t>
  </si>
  <si>
    <t>REQ-0826313</t>
  </si>
  <si>
    <t>At activation of the DGT, the diagnosis is not yet performed_x000D_
IF_x000D_
DAT_LI_DGT_ENABLE_DISPLAY switches from DEACTIVATED to ACTIVATED_x000D_
THEN_x000D_
DAT_LO_DGT_TACTILE_FAULT = NOT DETECTED
Att_var@ DEFAULT_TACTILE</t>
  </si>
  <si>
    <t>REQ-0826314</t>
  </si>
  <si>
    <t>The flow DAT_LO_DGT_TACTILE_FAULT must keep the initialization value as long as the defect is not confirmed :_x000D_
IF_x000D_
DAT_LI_DGT_ENABLE_DISPLAY = ACTIVATED for less than DAT_DG_DGT_FILTRING_DEF_INFO_TACTILE_x000D_
THEN_x000D_
DAT_LO_DGT_TACTILE_FAULT = NOT DETECTED
Att_var@ DEFAULT_TACTILE</t>
  </si>
  <si>
    <t>REQ-0826315</t>
  </si>
  <si>
    <t>The flow DAT_LO_DGT_TACTILE_FAULT takes the value NOT DETECTED if no defect is confirmed_x000D_
IF_x000D_
DAT_LI_DGT_ENABLE_DISPLAY = ACTIVATED_x000D_
AND_x000D_
There is no defect for more than DAT_DG_DGT_FILTRING_DEF_INFO_TACTILE _x000D_
THEN_x000D_
DAT_LO_DGT_TACTILE_FAULT = NOT DETECTED
Att_var@ DEFAULT_TACTILE</t>
  </si>
  <si>
    <t>REQ-0826316</t>
  </si>
  <si>
    <t>If a tactile defect is detected of the touchscreen then :_x000D_
IF_x000D_
DAT_LI_DGT_ENABLE_DISPLAY = ACTIVATED _x000D_
THEN_x000D_
DAT_LO_DGT_TACTILE_FAULT = DETECTED_x000D_
ELSE_x000D_
DAT_LO_DGT_TACTILE_FAULT = NOT DETECTED_x000D_
Remark : (The failure types and threshold will be proposed by the provider and validated by STELLANTIS)
Att_var@ DEFAULT_TACTILE</t>
  </si>
  <si>
    <t>REQ-0826318</t>
  </si>
  <si>
    <t>In case of display problems detected by screen (VIDEO_FAULT_X, X= CDSR/DISPLAY) _x000D_
Then_x000D_
The frame DMD_CDSR (in case CDSR) or the frame DMD_DISPLAY (in case of CDM, FPD, ICD)   is sent by initializing the following signals: _x000D_
DAT_LO_DGT_PUSH_INFO_TACT1_x000D_
DAT_LO_DGT_COORDINATE_X_TACT1_x000D_
DAT_LO_DGT_COORDINATE_X_TACT2_x000D_
DAT_LO_DGT_COORDINATE_X_TACT3_x000D_
DAT_LO_DGT_COORDINATE_X_TACT4_x000D_
DAT_LO_DGT_COORDINATE_X_TACT5_x000D_
DAT_LO_DGT_COORDINATE_Y_TACT1_x000D_
DAT_LO_DGT_COORDINATE_Y_TACT2_x000D_
DAT_LO_DGT_COORDINATE_Y_TACT3_x000D_
DAT_LO_DGT_COORDINATE_Y_TACT4_x000D_
DAT_LO_DGT_COORDINATE_Y_TACT5_x000D_
DAT_LO_DGT_PUSHX_DATING
Att_var@ PUSH_1.DEFAULT_TACTILE</t>
  </si>
  <si>
    <t>REQ-0302916</t>
  </si>
  <si>
    <t>DAT_LI_DARK_MODE
(D_DARK_SMEG/DMD_DARK_RNEG_2010/DMD_DARK_CIR/DMD_DARK_Famille_MATT)
Att_var@ CAN_IN.BRIGHTNESS</t>
  </si>
  <si>
    <t>REQ-0302921</t>
  </si>
  <si>
    <t>DAT_LI_DARK_MODE
(DMD_DARK_CIR)
Att_var@ LVDS_IN.LVDS1.BRIGHTNESS</t>
  </si>
  <si>
    <t>REQ-0302926</t>
  </si>
  <si>
    <t>DAT_LI_DARK_MODE
(DMD_DARK_CIR_2ND_DISP)
Att_var@ LVDS_IN.LVDS2.BRIGHTNESS</t>
  </si>
  <si>
    <t>REQ-0597041</t>
  </si>
  <si>
    <t>DAT_LI_DARK_MODE
(DMD_DARK_CIR_CLUSTER)
Att_var@ LVDS_IN.LVDS3.BRIGHTNESS</t>
  </si>
  <si>
    <t>REQ-0302928</t>
  </si>
  <si>
    <t>DAT_LI_LUMINOSITY_PCENT
(RHEOSTATAGE_CIR)
Att_var@ CAN_IN.BRIGHTNESS</t>
  </si>
  <si>
    <t>REQ-0302933</t>
  </si>
  <si>
    <t>DAT_LI_LUMINOSITY_PCENT
(RHEOSTATAGE_CIR)
Att_var@ LVDS_IN.LVDS1.BRIGHTNESS</t>
  </si>
  <si>
    <t>REQ-0302936</t>
  </si>
  <si>
    <t>DAT_LI_LUMINOSITY_PCENT
(RHEOSTATAGE_CIR_2ND_DISP)
Att_var@ LVDS_IN.LVDS2.BRIGHTNESS</t>
  </si>
  <si>
    <t>REQ-0597042</t>
  </si>
  <si>
    <t>DAT_LI_LUMINOSITY_PCENT
(RHEOSTATAGE_CLUSTER)
Att_var@ LVDS_IN.LVDS3.BRIGHTNESS</t>
  </si>
  <si>
    <t>REQ-0826320</t>
  </si>
  <si>
    <t>DAT_LI_DGT_STANDBY_DISPLAY
(NotFound)
Att_var@ LVDS_1_0.LVDS_IN.BRIGHTNESS</t>
  </si>
  <si>
    <t>REQ-0826321</t>
  </si>
  <si>
    <t>DAT_LI_DGT_STANDBY_DISPLAY
(NotFound)
Att_var@ LVDS_5.LVDS_IN.BRIGHTNESS</t>
  </si>
  <si>
    <t>REQ-0826322</t>
  </si>
  <si>
    <t>DAT_LI_DGT_STANDBY_DISPLAY
(NotApplicable)
Att_var@ LVDS_2_0.LVDS_IN.BRIGHTNESS</t>
  </si>
  <si>
    <t>REQ-0826326</t>
  </si>
  <si>
    <t>DAT_LI_DGT_DIMMING_DISPLAY
(LuminanceCDM/ LuminanceICD)
Att_var@ LVDS_1_0.LVDS_IN.(BRIGHTNESS+BRIGHTNESS_WIDE)</t>
  </si>
  <si>
    <t>REQ-0826327</t>
  </si>
  <si>
    <t>DAT_LI_DGT_DIMMING_DISPLAY
(NotFound)
Att_var@ LVDS_5.LVDS_IN.BRIGHTNESS</t>
  </si>
  <si>
    <t>REQ-0826328</t>
  </si>
  <si>
    <t>DAT_LI_DGT_DIMMING_DISPLAY
(NotApplicable)
Att_var@ LVDS_2_0.LVDS_IN.BRIGHTNESS</t>
  </si>
  <si>
    <t>REQ-0302913</t>
  </si>
  <si>
    <t>OUTPUT_LUMINOSITY_SLAVE
Att_var@ DIAG_R.(BRIGHTNESS+BRIGHTNESS_WIDE)</t>
  </si>
  <si>
    <t>REQ-0602843</t>
  </si>
  <si>
    <t>DAT_DG_DGT_LUMINOSITY
(NoUpstreamRequest)
Att_var@ DIAG_R.(BRIGHTNESS+BRIGHTNESS_WIDE)</t>
  </si>
  <si>
    <t>REQ-0302917</t>
  </si>
  <si>
    <t>In case of  Display Slave Dark mode diversity,_x000D_
Dimming is performed between the minimum and maximum luminance values ​​of the display, by calculating the PWM OUTPUT_LUMINOSITY_SLAVE based on the selected step DAT_LI_LUMINOSITY_PCENT, according to an exponential law :_x000D_
If_x000D_
DAT_LI_DARK_MODE = Dark0_x000D_
Then_x000D_
OUTPUT_LUMINOSITY_SLAVE =a (/) + c_x000D_
DAT_DG_DGT_LUMINOSITY = DAT_LI_LUMINOSITY_PCENT_x000D_
The values ​​of a and c have a minimum precision of 9 decimal places and will be determined by STLA (according to document [DIMMING_LAW]), during development based on supplier converged optical performances (example: a = 0.011713167; c = -0.010614266). The values ​​a and c can be configured in the supplier DIAG session only during the development phase._x000D_
ElseIf_x000D_
DAT_LI_DARK_MODE = Dark2_x000D_
Then_x000D_
OUTPUT_LUMINOSITY_SLAVEis not piloted*_x000D_
DAT_DG_DGT_LUMINOSITY = 255_x000D_
ElseIf_x000D_
DAT_LI_DARK_MODE = Not of request_x000D_
Then_x000D_
OUTPUT_LUMINOSITY_SLAVEdon’t change_x000D_
DAT_DG_DGT_LUMINOSITYdon’t change_x000D_
*This case corresponds to the displaying of a black image by the deactivation of the backlighting. The display thus operates in reduced consumption mode, but all tactile functionalities stay active.
Att_var@ BRIGHTNESS.DARK_MODE_1</t>
  </si>
  <si>
    <t>REQ-0692291</t>
  </si>
  <si>
    <t>In case of Cluster Slave Dark mode diversity,_x000D_
Dimming is performed between the minimum and maximum luminance values ​​of the display, by calculating the PWM OUTPUT_LUMINOSITY_SLAVE based on the selected step DAT_LI_LUMINOSITY_PCENT, according to an exponential law :_x000D_
If_x000D_
DAT_LI_DARK_MODE = Dark0 Or Dark2_x000D_
Then_x000D_
OUTPUT_LUMINOSITY_SLAVE = a (/) + c DAT_DG_DGT_LUMINOSITY = DAT_LI_LUMINOSITY_PCENT_x000D_
The values ​​of a and c have a minimum precision of 9 decimal places and will be determined by STLA(according to document [DIMMING_LAW]), during development based on supplier converged optical performances (example: a = 0.011713167; c = -0.010614266). The values ​​a and c can be configured in the supplier DIAG session only during the development phase._x000D_
ElseIf_x000D_
DAT_LI_DARK_MODE = Not of request_x000D_
Then_x000D_
OUTPUT_LUMINOSITY_SLAVEdon’t change_x000D_
DAT_DG_DGT_LUMINOSITYdon’t change
Att_var@ BRIGHTNESS.DARK_MODE_0</t>
  </si>
  <si>
    <t>REQ-0826374</t>
  </si>
  <si>
    <t>The Dimming function is managed as describe below:_x000D_
Dimming is performed between the minimum and maximum luminance values ​​of the display, by calculating the PWM OUTPUT_LUMINOSITY_SLAVE based on the selected step DAT_LI_DGT_DIMMING_DISPLAY, according to an exponential law :_x000D_
If   DAT_DG_DGT_DIVERSITY = CLUSTER_DISPLAY_x000D_
Then_x000D_
           OUTPUT_LUMINOSITY_SLAVE = a (/) + c   _x000D_
DAT_DG_DGT_LUMINOSITY = DAT_LI_DGT_DIMMING_DISPLAY_x000D_
Else_x000D_
if_x000D_
DAT_DG_DGT_DIVERSITY = INFOTAINEMENT_DISPLAY_x000D_
If_x000D_
DAT_LI_DGT_STANDBY_DISPLAY = no request_x000D_
Then_x000D_
OUTPUT_LUMINOSITY_SLAVE = a (/) + c   _x000D_
DAT_DG_DGT_LUMINOSITY = DAT_LI_DGT_DIMMING_DISPLAY_x000D_
The values ​​of a and c have a minimum precision of 9 decimal places and will be determined by STLA (according to document [DIMMING_LAW]), during development based on supplier converged optical performances (example: a = 0.011713167; c = -0.010614266). The values ​​a and c can be configured in the supplier DIAG session only during the development phase._x000D_
ElseIf_x000D_
DAT_LI_DGT_STANDBY_DISPLAY = request_x000D_
Then_x000D_
OUTPUT_LUMINOSITY_SLAVEis not piloted*_x000D_
DAT_DG_DGT_LUMINOSITY = 255_x000D_
*This case corresponds to the displaying of a black image by the deactivation of the backlighting. The display thus operates in reduced consumption mode, but all tactile functionalities stay active.
Att_var@ BRIGHTNESS.AEE_BRAIN</t>
  </si>
  <si>
    <t>REQ-1014460</t>
  </si>
  <si>
    <t>The Dimming function is managed as describe below:_x000D_
Dimming is performed between the minimum and maximum luminance values ​​of the display, by calculating the PWM OUTPUT_LUMINOSITY_SLAVE based on the selected step DAT_LI_DGT_DIMMING_DISPLAY, according to an exponential law :_x000D_
OUTPUT_LUMINOSITY_SLAVE = a (/) + c   _x000D_
DAT_DG_DGT_LUMINOSITY = DAT_LI_DGT_DIMMING_DISPLAY
Att_var@ BRIGHTNESS_WIDE</t>
  </si>
  <si>
    <t>REQ-0826539</t>
  </si>
  <si>
    <t>DAT_LI_DGT_PUSH_DIMMING
(NotFound)
Att_var@ LVDS_1_0.LVDS_IN.PUSH_WIRED</t>
  </si>
  <si>
    <t>REQ-0826540</t>
  </si>
  <si>
    <t>DAT_LI_DGT_PUSH_DIMMING
(NotApplicable)
Att_var@ LVDS_2_0.LVDS_IN.PUSH_WIRED</t>
  </si>
  <si>
    <t>REQ-0826388</t>
  </si>
  <si>
    <t>DAT_LO_DGT_BTNPSD_DISPLAY_1
(NotApplicable)
Att_var@ LVDS_1_0.LVDS_OUT.PUSH_WIRED</t>
  </si>
  <si>
    <t>REQ-0826389</t>
  </si>
  <si>
    <t>DAT_LO_DGT_BTNPSD_DISPLAY_1
(NotApplicable)
Att_var@ LVDS_2_0.LVDS_OUT.PUSH_WIRED</t>
  </si>
  <si>
    <t>REQ-0826390</t>
  </si>
  <si>
    <t>DAT_LO_DGT_BTNPSD_DISPLAY_2
(NotApplicable)
Att_var@ LVDS_1_0.LVDS_OUT.PUSH_WIRED</t>
  </si>
  <si>
    <t>REQ-0826391</t>
  </si>
  <si>
    <t>DAT_LO_DGT_BTNPSD_DISPLAY_2
(NotApplicable)
Att_var@ LVDS_2_0.LVDS_OUT.PUSH_WIRED</t>
  </si>
  <si>
    <t>REQ-0826392</t>
  </si>
  <si>
    <t>DAT_LO_DGT_BTNPSD_DISPLAY_3
(NotApplicable)
Att_var@ LVDS_1_0.LVDS_OUT.PUSH_WIRED</t>
  </si>
  <si>
    <t>REQ-0826393</t>
  </si>
  <si>
    <t>DAT_LO_DGT_BTNPSD_DISPLAY_3
(NotApplicable)
Att_var@ LVDS_2_0.LVDS_OUT.PUSH_WIRED</t>
  </si>
  <si>
    <t>REQ-0826394</t>
  </si>
  <si>
    <t>DAT_LO_DGT_BTNPSD_DISPLAY_4
(NotApplicable)
Att_var@ LVDS_1_0.LVDS_OUT.PUSH_WIRED</t>
  </si>
  <si>
    <t>REQ-0826395</t>
  </si>
  <si>
    <t>DAT_LO_DGT_BTNPSD_DISPLAY_4
(NotApplicable)
Att_var@ LVDS_2_0.LVDS_OUT.PUSH_WIRED</t>
  </si>
  <si>
    <t>REQ-0826396</t>
  </si>
  <si>
    <t>DAT_LO_DGT_BTNPSD_DISPLAY_5
(NotApplicable)
Att_var@ LVDS_1_0.LVDS_OUT.PUSH_WIRED</t>
  </si>
  <si>
    <t>REQ-0826397</t>
  </si>
  <si>
    <t>DAT_LO_DGT_BTNPSD_DISPLAY_5
(NotApplicable)
Att_var@ LVDS_2_0.LVDS_OUT.PUSH_WIRED</t>
  </si>
  <si>
    <t>REQ-0826398</t>
  </si>
  <si>
    <t>DAT_LO_DGT_BTNPSD_DISPLAY_6
(NotApplicable)
Att_var@ LVDS_1_0.LVDS_OUT.PUSH_WIRED</t>
  </si>
  <si>
    <t>REQ-0826399</t>
  </si>
  <si>
    <t>DAT_LO_DGT_BTNPSD_DISPLAY_6
(NotApplicable)
Att_var@ LVDS_2_0.LVDS_OUT.PUSH_WIRED</t>
  </si>
  <si>
    <t>REQ-0826401</t>
  </si>
  <si>
    <t>INPUT_DGT_VOL_PLUS_LEFT_PUSH
Att_var@ INTERNAL.PUSH_WIRED</t>
  </si>
  <si>
    <t>REQ-0826402</t>
  </si>
  <si>
    <t>INPUT_DGT_VOL_MINUS_LEFT_PUSH
Att_var@ INTERNAL.PUSH_WIRED</t>
  </si>
  <si>
    <t>REQ-0826404</t>
  </si>
  <si>
    <t>INPUT_DGT_VOL_PLUS_RIGHT_PUSH
Att_var@ INTERNAL.PUSH_WIRED</t>
  </si>
  <si>
    <t>REQ-0826405</t>
  </si>
  <si>
    <t>INPUT_DGT_VOL_MINUS_RIGHT_PUSH
Att_var@ INTERNAL.PUSH_WIRED</t>
  </si>
  <si>
    <t>REQ-0826406</t>
  </si>
  <si>
    <t>INPUT_DGT_MUTE_RIGHT_PUSH
Att_var@ INTERNAL.PUSH_WIRED</t>
  </si>
  <si>
    <t>REQ-0826407</t>
  </si>
  <si>
    <t>INPUT_DGT_MUTE_LEFT_PUSH
Att_var@ INTERNAL.PUSH_WIRED</t>
  </si>
  <si>
    <t>REQ-0826587</t>
  </si>
  <si>
    <t>OUTPUT_DGT_DIMMING_PUSH_1
Att_var@ INTERNAL.PUSH_WIRED</t>
  </si>
  <si>
    <t>REQ-0826588</t>
  </si>
  <si>
    <t>OUTPUT_DGT_DIMMING_PUSH_2
Att_var@ INTERNAL.PUSH_WIRED</t>
  </si>
  <si>
    <t>REQ-0826589</t>
  </si>
  <si>
    <t>OUTPUT_DGT_DIMMING_PUSH_3
Att_var@ INTERNAL.PUSH_WIRED</t>
  </si>
  <si>
    <t>REQ-0826590</t>
  </si>
  <si>
    <t>OUTPUT_DGT_DIMMING_PUSH_4
Att_var@ INTERNAL.PUSH_WIRED</t>
  </si>
  <si>
    <t>REQ-0826591</t>
  </si>
  <si>
    <t>OUTPUT_DGT_DIMMING_PUSH_5
Att_var@ INTERNAL.PUSH_WIRED</t>
  </si>
  <si>
    <t>REQ-0826592</t>
  </si>
  <si>
    <t>OUTPUT_DGT_DIMMING_PUSH_6
Att_var@ INTERNAL.PUSH_WIRED</t>
  </si>
  <si>
    <t>REQ-0826408</t>
  </si>
  <si>
    <t>For VOLUME_PLUS_LEFT_PUSH Wire input information,_x000D_
Follow the table below :_x000D_
Input:_x000D_
INPUT_DGT_VOL_PLUS_LEFT_PUSH_x000D_
Output:_x000D_
DAT_LO_DGT_BTNPSD_DISPLAY_1_x000D_
INPUT_DGT_VOL_PLUS_LEFT_PUSH_x000D_
DAT_LO_DGT_BTNPSD_DISPLAY_1_x000D_
Pressed_x000D_
Pressed_x000D_
Upressed_x000D_
Upressed
Att_var@ PUSH_WIRED</t>
  </si>
  <si>
    <t>REQ-0826409</t>
  </si>
  <si>
    <t>For VOLUME_MINUS_LEFT_PUSH Wire input information,_x000D_
Follow the table below :_x000D_
Input:_x000D_
INPUT_DGT_VOL_MINUS_LEFT_PUSH _x000D_
Output:_x000D_
DAT_LO_DGT_BTNPSD_DISPLAY_2_x000D_
INPUT_DGT_VOL_MINUS_LEFT_PUSH_x000D_
DAT_LO_DGT_BTNPSD_DISPLAY_2_x000D_
Pressed_x000D_
Pressed_x000D_
Upressed_x000D_
Upressed
Att_var@ PUSH_WIRED</t>
  </si>
  <si>
    <t>REQ-0826415</t>
  </si>
  <si>
    <t>For MUTED_PUSH Wire input information,_x000D_
Follow the table below :_x000D_
Input:_x000D_
INPUT_DGT_MUTE_RIGHT_PUSH _x000D_
Output:_x000D_
DAT_LO_DGT_BTNPSD_DISPLAY_3_x000D_
INPUT_DGT_MUTE_RIGHT_PUSH_x000D_
DAT_LO_DGT_BTNPSD_DISPLAY_3_x000D_
Pressed_x000D_
Pressed_x000D_
Upressed_x000D_
Upressed
Att_var@ PUSH_WIRED</t>
  </si>
  <si>
    <t>REQ-0826416</t>
  </si>
  <si>
    <t>For VOLUME_PLUS_RIGHT_PUSH Wire input information,_x000D_
Follow the table below :_x000D_
Input:_x000D_
INPUT_DGT_VOL_PLUS_RIGHT_PUSH_x000D_
Output:_x000D_
DAT_LO_DGT_BTNPSD_DISPLAY_4_x000D_
INPUT_DGT_VOL_PLUS_RIGHT_PUSH_x000D_
DAT_LO_DGT_BTNPSD_DISPLAY_4_x000D_
Pressed_x000D_
Pressed_x000D_
Upressed_x000D_
Upressed
Att_var@ PUSH_WIRED</t>
  </si>
  <si>
    <t>REQ-0826418</t>
  </si>
  <si>
    <t>For VOLUME_MINUS_RIGHT_PUSH Wire input information,_x000D_
Follow the table below :_x000D_
Input:_x000D_
INPUT_DGT_VOL_MINUS_RIGHT_PUSH _x000D_
Output:_x000D_
DAT_LO_DGT_BTNPSD_DISPLAY_5_x000D_
INPUT_DGT_VOL_MINUS_RIGHT_PUSH_x000D_
DAT_LO_DGT_BTNPSD_DISPLAY_5_x000D_
Pressed_x000D_
Pressed_x000D_
Upressed_x000D_
Upressed
Att_var@ PUSH_WIRED</t>
  </si>
  <si>
    <t>REQ-0826419</t>
  </si>
  <si>
    <t>For MUTED_PUSH Wire input information,_x000D_
Follow the table below :_x000D_
Input:_x000D_
INPUT_DGT_MUTE_LEFT_PUSH _x000D_
Output:_x000D_
DAT_LO_DGT_BTNPSD_DISPLAY_6_x000D_
INPUT_DGT_MUTE_LEFT_PUSH_x000D_
DAT_LO_DGT_BTNPSD_DISPLAY_6_x000D_
Pressed_x000D_
Pressed_x000D_
Upressed_x000D_
Upressed
Att_var@ PUSH_WIRED</t>
  </si>
  <si>
    <t>REQ-0826613</t>
  </si>
  <si>
    <t>For the pushbutton dimming management function :_x000D_
Dimming is performed between the minimum and maximum luminance values ​​of the push, by calculating the PWM OUTPUT_DGT_DIMMING_PUSH_X based on the selected step DAT_LI_DGT_PUSH_DIMMING, according to an exponential law :_x000D_
OUTPUT_DGT_DIMMING_PUSH_X =  a (/) + c   _x000D_
The values ​​of a and c have a minimum precision of 9 decimal places and will be determined by STLA (according to document [DIMMING_LAW]), during development based on supplier converged optical performances (example: a = 0.011713167; c = -0.010614266). The values ​​a and c can be configured in the supplier DIAG session only during the development phase._x000D_
X = [1 to 6]
Att_var@ PUSH_WIRED</t>
  </si>
  <si>
    <t>REQ-0897490</t>
  </si>
  <si>
    <t>DAT_LI_DGT_SAFETY_TELLTALES_MASTER_SYSTEM_SWITCH
(SAFETY_TELLTALES_MASTER_SYSTEM_SWITCH)
Att_var@ LVDS_IN.SAFETY_TELLTALES</t>
  </si>
  <si>
    <t>REQ-0894129</t>
  </si>
  <si>
    <t>DAT_LI_DGT_SAFETY_TELLTALES_ONGOING_SYSTEM_STATE
(SafetyTelltalesOngoingSystemStateICD)
Att_var@ LVDS_IN.SAFETY_TELLTALES</t>
  </si>
  <si>
    <t>REQ-0894130</t>
  </si>
  <si>
    <t>DAT_LI_DGT_GOLDEN_CRC_FIRST_X_DIAGONAL_COORDINATES
(SafetyTelltalesGoldenCRCFirstXDiagonalCoordinatesICD)
Att_var@ LVDS_IN.SAFETY_TELLTALES</t>
  </si>
  <si>
    <t>REQ-0894131</t>
  </si>
  <si>
    <t>DAT_LI_DGT_GOLDEN_CRC_FIRST_Y_DIAGONAL_COORDINATES
(SafetyTelltalesGoldenCRCFirstYDiagonalCoordinatesICD)
Att_var@ LVDS_IN.SAFETY_TELLTALES</t>
  </si>
  <si>
    <t>REQ-0894132</t>
  </si>
  <si>
    <t>DAT_LI_DGT_GOLDEN_CRC_LAST_X_DIAGONAL_COORDINATES
(SafetyTelltalesGoldenCRCLastXDiagonalCoordinatesICD)
Att_var@ LVDS_IN.SAFETY_TELLTALES</t>
  </si>
  <si>
    <t>REQ-0894133</t>
  </si>
  <si>
    <t>DAT_LI_DGT_GOLDEN_CRC_LAST_Y_DIAGONAL_COORDINATES
(SafetyTelltalesGoldenCRCLastYDiagonalCoordinatesICD)
Att_var@ LVDS_IN.SAFETY_TELLTALES</t>
  </si>
  <si>
    <t>DAT_LI_DGT_SAFETY_TELLTALES_GOLDEN_CRC_RGB_VALUE
(SafetyTelltalesGoldenRGBCRCValueICD)
Att_var@ LVDS_IN.SAFETY_TELLTALES</t>
  </si>
  <si>
    <t>REQ-0986348</t>
  </si>
  <si>
    <t>DAT_LI_DGT_SAFETY_TELLTALES_GOLDEN_CRC_R_VALUE
(SafetyTelltalesGoldenRedCRCValueICD)
Att_var@ LVDS_IN.SAFETY_TELLTALES</t>
  </si>
  <si>
    <t>REQ-0986349</t>
  </si>
  <si>
    <t>DAT_LI_DGT_SAFETY_TELLTALES_GOLDEN_CRC_G_VALUE
(SafetyTelltalesGoldenGreenCRCValueICD)
Att_var@ LVDS_IN.SAFETY_TELLTALES</t>
  </si>
  <si>
    <t>REQ-0986350</t>
  </si>
  <si>
    <t>DAT_LI_DGT_SAFETY_TELLTALES_GOLDEN_CRC_B_VALUE
(SafetyTelltalesGoldenBlueCRCValueICD)
Att_var@ LVDS_IN.SAFETY_TELLTALES</t>
  </si>
  <si>
    <t>REQ-0894134</t>
  </si>
  <si>
    <t>DAT_LI_DGT_RUNTIME_CRC_ROI_1_FIRST_X_DIAGONAL_COORDINATES
(SafetyTelltalesRuntimeCRCROI1FirstXDiagonalCoordinatesICD)
Att_var@ LVDS_IN.SAFETY_TELLTALES</t>
  </si>
  <si>
    <t>REQ-0894135</t>
  </si>
  <si>
    <t>DAT_LI_DGT_RUNTIME_CRC_ROI_1_FIRST_Y_DIAGONAL_COORDINATES
(SafetyTelltalesRuntimeCRCROI1FirstYDiagonalCoordinatesICD)
Att_var@ LVDS_IN.SAFETY_TELLTALES</t>
  </si>
  <si>
    <t>REQ-0894136</t>
  </si>
  <si>
    <t>DAT_LI_DGT_RUNTIME_CRC_ROI_1_LAST_X_DIAGONAL_COORDINATES
(SafetyTelltalesRuntimeCRCROI1LastXDiagonalCoordinatesICD)
Att_var@ LVDS_IN.SAFETY_TELLTALES</t>
  </si>
  <si>
    <t>REQ-0894137</t>
  </si>
  <si>
    <t>DAT_LI_DGT_RUNTIME_CRC_ROI_1_LAST_Y_DIAGONAL_COORDINATES
(SafetyTelltalesRuntimeCRCROI1LastYDiagonalCoordinatesICD)
Att_var@ LVDS_IN.SAFETY_TELLTALES</t>
  </si>
  <si>
    <t>REQ-0894138</t>
  </si>
  <si>
    <t>DAT_LI_DGT_RUNTIME_CRC_RGB_ROI_1_VALUE
(SafetyTelltalesRuntimeRGBCRCROI1ValueICD)
Att_var@ LVDS_IN.SAFETY_TELLTALES</t>
  </si>
  <si>
    <t>REQ-0986369</t>
  </si>
  <si>
    <t>DAT_LI_DGT_RUNTIME_CRC_R_ROI_1_VALUE
(SafetyTelltalesRuntimeRedCRCROI1ValueICD)
Att_var@ LVDS_IN.SAFETY_TELLTALES</t>
  </si>
  <si>
    <t>REQ-0986371</t>
  </si>
  <si>
    <t>DAT_LI_DGT_RUNTIME_CRC_G_ROI_1_VALUE
(SafetyTelltalesRuntimeGreenCRCROI1ValueICD)
Att_var@ LVDS_IN.SAFETY_TELLTALES</t>
  </si>
  <si>
    <t>REQ-0986372</t>
  </si>
  <si>
    <t>DAT_LI_DGT_RUNTIME_CRC_B_ROI_1_VALUE
(SafetyTelltalesRuntimeBlueCRCROI1ValueICD)
Att_var@ LVDS_IN.SAFETY_TELLTALES</t>
  </si>
  <si>
    <t>REQ-0894418</t>
  </si>
  <si>
    <t>DAT_LI_DGT_RUNTIME_CRC_ROI_2_FIRST_X_DIAGONAL_COORDINATES
(SafetyTelltalesRuntimeCRCROI2FirstXDiagonalCoordinatesICD)
Att_var@ LVDS_IN.SAFETY_TELLTALES</t>
  </si>
  <si>
    <t>REQ-0894419</t>
  </si>
  <si>
    <t>DAT_LI_DGT_RUNTIME_CRC_ROI_2_FIRST_Y_DIAGONAL_COORDINATES
(SafetyTelltalesRuntimeCRCROI2FirstYDiagonalCoordinatesICD)
Att_var@ LVDS_IN.SAFETY_TELLTALES</t>
  </si>
  <si>
    <t>REQ-0894420</t>
  </si>
  <si>
    <t>DAT_LI_DGT_RUNTIME_CRC_ROI_2_LAST_X_DIAGONAL_COORDINATES
(SafetyTelltalesRuntimeCRCROI2LastXDiagonalCoordinatesICD)
Att_var@ LVDS_IN.SAFETY_TELLTALES</t>
  </si>
  <si>
    <t>REQ-0894421</t>
  </si>
  <si>
    <t>DAT_LI_DGT_RUNTIME_CRC_ROI_2_LAST_Y_DIAGONAL_COORDINATES
(SafetyTelltalesRuntimeCRCROI2LastYDiagonalCoordinatesICD)
Att_var@ LVDS_IN.SAFETY_TELLTALES</t>
  </si>
  <si>
    <t>REQ-0894422</t>
  </si>
  <si>
    <t>DAT_LI_DGT_RUNTIME_CRC_RGB_ROI_2_VALUE
(SafetyTelltalesRuntimeRGBCRCROI2ValueICD)
Att_var@ LVDS_IN.SAFETY_TELLTALES</t>
  </si>
  <si>
    <t>REQ-0986375</t>
  </si>
  <si>
    <t>DAT_LI_DGT_RUNTIME_CRC_R_ROI_2_VALUE
(SafetyTelltalesRuntimeRedCRCROI2ValueICD)
Att_var@ LVDS_IN.SAFETY_TELLTALES</t>
  </si>
  <si>
    <t>REQ-0986376</t>
  </si>
  <si>
    <t>DAT_LI_DGT_RUNTIME_CRC_G_ROI_2_VALUE
(SafetyTelltalesRuntimeGreenCRCROI2ValueICD)
Att_var@ LVDS_IN.SAFETY_TELLTALES</t>
  </si>
  <si>
    <t>REQ-0986377</t>
  </si>
  <si>
    <t>DAT_LI_DGT_RUNTIME_CRC_B_ROI_2_VALUE
(SafetyTelltalesRuntimeBlueCRCROI2ValueICD)
Att_var@ LVDS_IN.SAFETY_TELLTALES</t>
  </si>
  <si>
    <t>REQ-0894425</t>
  </si>
  <si>
    <t>DAT_LO_DGT_SAFETY_TELLTALES_DISPLAY_STATUS
(SafetyTelltalesDisplayStatusICD)
Att_var@ LVDS_OUT.SAFETY_TELLTALES</t>
  </si>
  <si>
    <t>REQ-0908458</t>
  </si>
  <si>
    <t>DAT_DG_DGT_TIMEOUT_FRAME_CRC
(NoUpstreamRequest)
Att_var@ DIAG_RW.SAFETY_TELLTALES</t>
  </si>
  <si>
    <t>REQ-0908459</t>
  </si>
  <si>
    <t>DAT_DG_DGT_TIMEOUT_VIDEO
(NoUpstreamRequest)
Att_var@ DIAG_RW.SAFETY_TELLTALES</t>
  </si>
  <si>
    <t>REQ-0908460</t>
  </si>
  <si>
    <t>DAT_DG_DGT_TIMEOUT_ROI_CRC
(NoUpstreamRequest)
Att_var@ DIAG_RW.SAFETY_TELLTALES</t>
  </si>
  <si>
    <t>REQ-0908465</t>
  </si>
  <si>
    <t>DAT_DG_DGT_SAFETY_TELLTALES_GOLDEN_CRC_RGB_VALUE
(NoUpstreamRequest)
Att_var@ DIAG_RW.SAFETY_TELLTALES</t>
  </si>
  <si>
    <t>REQ-0986386</t>
  </si>
  <si>
    <t>DAT_DG_DGT_SAFETY_TELLTALES_GOLDEN_CRC_R_VALUE
(NoUpstreamRequest)
Att_var@ DIAG_RW.SAFETY_TELLTALES</t>
  </si>
  <si>
    <t>REQ-0986389</t>
  </si>
  <si>
    <t>DAT_DG_DGT_SAFETY_TELLTALES_GOLDEN_CRC_G_VALUE
(NoUpstreamRequest)
Att_var@ DIAG_RW.SAFETY_TELLTALES</t>
  </si>
  <si>
    <t>REQ-0986390</t>
  </si>
  <si>
    <t>DAT_DG_DGT_SAFETY_TELLTALES_GOLDEN_CRC_B_VALUE
(NoUpstreamRequest)
Att_var@ DIAG_RW.SAFETY_TELLTALES</t>
  </si>
  <si>
    <t>REQ-0986393</t>
  </si>
  <si>
    <t>DAT_DG_DGT_COUNTER_ROI_1_CRC_ERROR
(NoUpstreamRequest)
Att_var@ DIAG_R.SAFETY_TELLTALES</t>
  </si>
  <si>
    <t>REQ-0986394</t>
  </si>
  <si>
    <t>DAT_DG_DGT_COUNTER_ROI_2_CRC_ERROR
(NoUpstreamRequest)
Att_var@ DIAG_R.SAFETY_TELLTALES</t>
  </si>
  <si>
    <t>REQ-1028444</t>
  </si>
  <si>
    <t>VAR_DISPLAYS_STATUS
(NoUpstreamRequest)
Att_var@ INTERNAL.SAFETY_TELLTALES</t>
  </si>
  <si>
    <t>REQ-0898523</t>
  </si>
  <si>
    <t>For SAFETY_DISPLAY_IMAGE Function, there is six states detailed in the diagram below:_x000D_
Input :_x000D_
DAT_LI_DGT_SAFETY_TELLTALES_ONGOING_SYSTEM_STATE_x000D_
State : _x000D_
STATE_SAFETY_TELLTALES_INIT _x000D_
STATE_SAFETY_TELLTALES_OFF_x000D_
STATE_SAFETY_TELLTALES_GOLDEN_CHECK_x000D_
STATE_SAFETY_TELLTALES_GOLDEN_CHECK_OK_x000D_
STATE_SAFETY_TELLTALES_SAFE_STATE_x000D_
STATE_SAFETY_TELLTALES_RUNTIME_x000D_
Output :_x000D_
DAT_LO_DGT_SAFETY_TELLTALES_DISPLAY_STATUS
Att_var@ SAFETY_TELLTALES</t>
  </si>
  <si>
    <t>REQ-1029306</t>
  </si>
  <si>
    <t>For Transition 1: Deactivation of Safety Telltales mechanism_x000D_
The SAFETY_DISPLAY_IMAGE function shall use this transition_x000D_
IF_x000D_
The display receives a request from Master ECU to deactivate the Safety Telltales mechanism _x000D_
DAT_LI_DGT_SAFETY_TELLTALES_MASTER_SYSTEM_SWITCH = Not Requested
Att_var@ SAFETY_TELLTALES</t>
  </si>
  <si>
    <t>REQ-0908500</t>
  </si>
  <si>
    <t>For Transition 2 : Verification of Golden CRC_x000D_
The SAFETY_DISPLAY_IMAGE function shall use this transition_x000D_
IF_x000D_
The Display is ready for golden check verification_x000D_
AND _x000D_
It receives_x000D_
DAT_LI_DGT_SAFETY_TELLTALES_ONGOING_SYSTEM_STATE = Golden Check
Att_var@ SAFETY_TELLTALES</t>
  </si>
  <si>
    <t>REQ-0908502</t>
  </si>
  <si>
    <t>For Transition 3 : golden CRC is passed _x000D_
“For the Displays that need a calculation of CRC for each color channel separately”_x000D_
The SAFETY_DISPLAY_IMAGE function shall use this transition _x000D_
IF_x000D_
The calculated values of Golden CRC are equal to the received values by Head Unit _x000D_
(_x000D_
Calculated value of  the RED golden CRC = DAT_DG_DGT_SAFETY_TELLTALES_GOLDEN_CRC_R_VALUE_x000D_
AND_x000D_
Calculated value of the GREEN golden CRC = DAT_DG_DGT_SAFETY_TELLTALES_GOLDEN_CRC_G_VALUE_x000D_
AND_x000D_
Calculated value of the BLUE golden CRC = DAT_DG_DGT_SAFETY_TELLTALES_GOLDEN_CRC_B_VALUE_x000D_
)_x000D_
“For the Displays that need a calculation of one CRC for the entire zone ”_x000D_
The SAFETY_DISPLAY_IMAGE function shall use this transition :_x000D_
IF_x000D_
The calculated value of RGB Golden CRC is equal to the received value by Head Unit :_x000D_
Calculated value of  the RGB golden CRC = DAT_DG_DGT_SAFETY_TELLTALES_GOLDEN_CRC_RGB_VALUE
Att_var@ SAFETY_TELLTALES</t>
  </si>
  <si>
    <t>REQ-0908503</t>
  </si>
  <si>
    <t>For Transition 4 : Runtime is requested_x000D_
The SAFETY_DISPLAY_IMAGE function shall use this transition_x000D_
IF_x000D_
Display receives _x000D_
DAT_LI_DGT_SAFETY_TELLTALES_ONGOING_SYSTEM_STATE = Runtime
Att_var@ SAFETY_TELLTALES</t>
  </si>
  <si>
    <t>REQ-0908507</t>
  </si>
  <si>
    <t>For Transition 5: Display has a problem_x000D_
The SAFETY_DISPLAY_IMAGE function shall use this transition_x000D_
IF_x000D_
The display is raising a problem or defect video_x000D_
VAR_DISPLAYS_STATUS = Video Defect_x000D_
OR_x000D_
There is an issue in the calculation of the ROIs CRCs _x000D_
VAR_DISPLAYS_STATUS = CRC Issue_x000D_
OR_x000D_
The display is raising a problem in the control channel_x000D_
VAR_DISPLAYS_STATUS = Control Channel Defect
Att_var@ SAFETY_TELLTALES</t>
  </si>
  <si>
    <t>REQ-0908508</t>
  </si>
  <si>
    <t>For Transition 6 : Display recovery_x000D_
“For the type of displays which need a calculation of CRC for each Color separately “_x000D_
The SAFETY_DISPLAY_IMAGE function shall use this transition_x000D_
IF_x000D_
The Display no longer detects defect (video, control….)_x000D_
AND _x000D_
No Freezed values detected during Runtime Check _x000D_
Both calculated values of CRC on ROI 1 and ROI 2 have changed since DAT_DG_DGT_TIMEOUT_FRAME_CRC_x000D_
AND_x000D_
The calculated values of CRC on ROI 1 are equals to the reference CRC values of ROI 1 _x000D_
(_x000D_
Locally computed value of RED CRC of ROI 1= DAT_LI_DGT_RUNTIME_CRC_R_ROI_1_VALUE_x000D_
AND_x000D_
Locally computed value of GREEN CRC of ROI 1= DAT_LI_DGT_RUNTIME_CRC_G_ROI_1_VALUE_x000D_
AND_x000D_
Locally computed value of BLUE CRC of ROI 1  = DAT_LI_DGT_RUNTIME_CRC_B_ROI_1_VALUE_x000D_
)_x000D_
AND_x000D_
The calculated values of CRC on ROI 2 are equals to the reference CRC values of ROI 2_x000D_
(_x000D_
Locally computed value of RED CRC of ROI 2  = DAT_LI_DGT_RUNTIME_CRC_R_ROI_2_VALUE_x000D_
AND_x000D_
Locally computed value of GREEN CRC of ROI 2 = DAT_LI_DGT_RUNTIME_CRC_G_ROI_2_VALUE_x000D_
AND_x000D_
Locally computed value of BLUE CRC of ROI 2 = DAT_LI_DGT_RUNTIME_CRC_B_ROI_2_VALUE_x000D_
)_x000D_
“For the type of displays which need a calculation of one CRC for each zones of the display  “_x000D_
The SAFETY_DISPLAY_IMAGE function shall use this transition_x000D_
IF_x000D_
The Display no longer detects defect (video, control….)_x000D_
AND _x000D_
No Freezed values detected during Runtime Check _x000D_
Both calculated values of CRC on ROI 1 and ROI 2 have changed since DAT_DG_DGT_TIMEOUT_FRAME_CRC_x000D_
AND_x000D_
The calculated value of CRC on ROI 1 is equal to the reference CRC value of ROI 1_x000D_
(_x000D_
Locally computed value of RGB CRC of ROI 1= DAT_LI_DGT_RUNTIME_CRC_RGB_ROI_1_VALUE_x000D_
)_x000D_
AND_x000D_
The calculated value of CRC on ROI 2 is equal to the reference CRC value of ROI 2_x000D_
(_x000D_
Locally computed value of RGB CRC of ROI 2  = DAT_LI_DGT_RUNTIME_CRC_RGB_ROI_2_VALUE_x000D_
)
Att_var@ SAFETY_TELLTALES</t>
  </si>
  <si>
    <t>REQ-1029307</t>
  </si>
  <si>
    <t>For Transition 7 : Unexpected Master ECU reset _x000D_
The SAFETY_DISPLAY_IMAGE function shall use this transition_x000D_
IF_x000D_
The Display receives_x000D_
DAT_LI_DGT_SAFETY_TELLTALES_ONGOING_SYSTEM_STATE = Initialization
Att_var@ SAFETY_TELLTALES</t>
  </si>
  <si>
    <t>REQ-1014284</t>
  </si>
  <si>
    <t>The slave ECU (Display) should calculate the CRC 16 using the mathematical polynomial formula / (0x8005 in hexadecimal) with these specific values below :_x000D_
/
Att_var@ SAFETY_TELLTALES</t>
  </si>
  <si>
    <t>REQ-1029308</t>
  </si>
  <si>
    <t>When SAFETY_DISPLAY_IMAGE function is in STATE_SAFETY_TELLTALES_OFF state_x000D_
The function shall inform the master ECU about the non activation of safety mechanism _x000D_
DAT_LO_DGT_SAFETY_TELLTALES_DISPLAY_STATUS = Not Requested
Att_var@ SAFETY_TELLTALES</t>
  </si>
  <si>
    <t>REQ-0898526</t>
  </si>
  <si>
    <t>When SAFETY_DISPLAY_IMAGE function is in STATE_SAFETY_TELLTALES_INIT state_x000D_
The function shall inform the master ECU of its initialization_x000D_
DAT_LO_DGT_SAFETY_TELLTALES_DISPLAY_STATUS= Display Initialization_x000D_
AND _x000D_
The slave ECU (Display) must keep the control of backlight as off and it start the permanent listening of onboard devices that detect defects (video, control …) and the internal memorization of defects for other state’s usage
Att_var@ SAFETY_TELLTALES</t>
  </si>
  <si>
    <t>REQ-0898529</t>
  </si>
  <si>
    <t>When SAFETY_DISPLAY_IMAGE function is in STATE_SAFETY_TELLTALES_GOLDEN_CHECK state_x000D_
The function shall memorise the golden CRC values received from the master ECU :_x000D_
IF_x000D_
DAT_LI_DGT_SAFETY_TELLTALES_ONGOING_SYSTEM_STATE = Initialization_x000D_
THEN_x000D_
DAT_DG_DGT_SAFETY_TELLTALES_GOLDEN_CRC_RGB_VALUE =DAT_LI_DGT_SAFETY_TELLTALES_GOLDEN_CRC_RGB_VALUE_x000D_
AND_x000D_
DAT_DG_DGT_SAFETY_TELLTALES_GOLDEN_CRC_R_VALUE =DAT_LI_DGT_SAFETY_TELLTALES_GOLDEN_CRC_R_VALUE_x000D_
AND_x000D_
DAT_DG_DGT_SAFETY_TELLTALES_GOLDEN_CRC_G_VALUE =DAT_LI_DGT_SAFETY_TELLTALES_GOLDEN_CRC_G_VALUE_x000D_
AND_x000D_
DAT_DG_DGT_SAFETY_TELLTALES_GOLDEN_CRC_B_VALUE =DAT_LI_DGT_SAFETY_TELLTALES_GOLDEN_CRC_B_VALUE_x000D_
For the rest of the cycle, the Display must consider these values as the last memorized values.
Att_var@ SAFETY_TELLTALES</t>
  </si>
  <si>
    <t>REQ-0898528</t>
  </si>
  <si>
    <t>From these parameters, the display provider should cover the maximum possible zone that can be checked :_x000D_
DAT_LI_DGT_GOLDEN_CRC_FIRST_X_DIAGONAL_COORDINATES_x000D_
DAT_LI_DGT_GOLDEN_CRC_FIRST_Y_DIAGONAL_COORDINATES_x000D_
DAT_LI_DGT_GOLDEN_CRC_LAST_X_DIAGONAL_COORDINATES_x000D_
DAT_LI_DGT_GOLDEN_CRC_LAST_Y_DIAGONAL_COORDINATES_x000D_
/
Att_var@ SAFETY_TELLTALES</t>
  </si>
  <si>
    <t>REQ-0904544</t>
  </si>
  <si>
    <t>Regardless of the screen shape, the reference points must be considered with the rectangle that contains all the pixels and take as initial cartesian the rectangle (0,0) at the top left corner as shown in the figure below._x000D_
_x0001__x000D_
NB: Each zone where the CRC is applied will always have an even number of pixels, meaning its size will be a multiple of 2
Att_var@ SAFETY_TELLTALES</t>
  </si>
  <si>
    <t>REQ-0908501</t>
  </si>
  <si>
    <t>When SAFETY_DISPLAY_IMAGE function is in STATE_SAFETY_TELLTALES_GOLDEN_CHECK state_x000D_
IF_x000D_
DAT_LI_DGT_GOLDEN_CRC_FIRST_X_DIAGONAL_COORDINATES != Invalid_x000D_
AND_x000D_
DAT_LI_DGT_GOLDEN_CRC_FIRST_Y_DIAGONAL_COORDINATES != Invalid_x000D_
AND_x000D_
DAT_LI_DGT_GOLDEN_CRC_LAST_X_DIAGONAL_COORDINATES!= Invalid_x000D_
AND_x000D_
DAT_LI_DGT_GOLDEN_CRC_LAST_Y_DIAGONAL_COORDINATES!= Invalid_x000D_
THEN_x000D_
The slave ECU (Display) should calculate the golden CRC 16 on the golden zone using the mathematical polynomial formula (See REQ-1014284) and using these parametres that provide the image of the golden zone (see REQ-0898528)
Att_var@ SAFETY_TELLTALES</t>
  </si>
  <si>
    <t>REQ-0987391</t>
  </si>
  <si>
    <t>When SAFETY_DISPLAY_IMAGE function is in STATE_SAFETY_TELLTALES_GOLDEN_CHECK state_x000D_
“For the displays which each color channel (Red,Green,Blue) requires its own computed CRC to check the integrity of each color separately” :_x000D_
For Red Channel:_x000D_
CRC is calculated only using data in the Red channel and compared to DAT_DG_DGT_SAFETY_TELLTALES_GOLDEN_CRC_R_VALUE._x000D_
For Green Channel: _x000D_
CRC is calculated only using data in the Green channel and compared to DAT_DG_DGT_SAFETY_TELLTALES_GOLDEN_CRC_G_VALUE._x000D_
For Blue Channel: _x000D_
CRC is calculated only using data in the Blue channel and compared to DAT_DG_DGT_SAFETY_TELLTALES_GOLDEN_CRC_B_VALUE._x000D_
“For the displays where the separate color validation is unnecessary and it requires a  calculation of one CRC for the entire display zone”_x000D_
The display will calculate the value of the golden CRC and compare it to the value of DAT_DG_DGT_SAFETY_TELLTALES_GOLDEN_CRC_RGB_VALUE
Att_var@ SAFETY_TELLTALES</t>
  </si>
  <si>
    <t>REQ-0910837</t>
  </si>
  <si>
    <t>When SAFETY_DISPLAY_IMAGE function is in STATE_SAFETY_TELLTALES_GOLDEN_CHECK_OK state_x000D_
The function shall inform the master ECU about the result of the check_x000D_
DAT_LO_DGT_SAFETY_TELLTALES_DISPLAY_STATUS = Golden CRC OK **_x000D_
** In this state the golden check is successfully completed and the Display become ready for Runtime
Att_var@ SAFETY_TELLTALES</t>
  </si>
  <si>
    <t>REQ-0908505</t>
  </si>
  <si>
    <t>When SAFETY_DISPLAY_IMAGE function is in STATE_SAFETY_TELLTALES_RUNTIME state_x000D_
From these parameters, the display provider should consider two zones ROI1 and ROI2 : _x000D_
Head unit keep switching randomly the values inside each ROI and cluster monitors and compares:_x000D_
/_x000D_
DAT_LI_DGT_RUNTIME_CRC_ROI_1_FIRST_X_DIAGONAL_COORDINATES_x000D_
DAT_LI_DGT_RUNTIME_CRC_ROI_1_FIRST_Y_DIAGONAL_COORDINATES_x000D_
DAT_LI_DGT_RUNTIME_CRC_ROI_1_LAST_X_DIAGONAL_COORDINATES_x000D_
DAT_LI_DGT_RUNTIME_CRC_ROI_1_LAST_Y_DIAGONAL_COORDINATES_x000D_
DAT_LI_DGT_RUNTIME_CRC_R_ROI_1_VALUE_x000D_
DAT_LI_DGT_RUNTIME_CRC_G_ROI_1_VALUE_x000D_
DAT_LI_DGT_RUNTIME_CRC_B_ROI_1_VALUE_x000D_
DAT_LI_DGT_RUNTIME_CRC_RGB_ROI_1_VALUE_x000D_
DAT_LI_DGT_RUNTIME_CRC_ROI_2_FIRST_X_DIAGONAL_COORDINATES_x000D_
DAT_LI_DGT_RUNTIME_CRC_ROI_2_FIRST_Y_DIAGONAL_COORDINATES_x000D_
DAT_LI_DGT_RUNTIME_CRC_ROI_2_LAST_X_DIAGONAL_COORDINATES_x000D_
DAT_LI_DGT_RUNTIME_CRC_ROI_2_LAST_Y_DIAGONAL_COORDINATES_x000D_
DAT_LI_DGT_RUNTIME_CRC_R_ROI_2_VALUE_x000D_
DAT_LI_DGT_RUNTIME_CRC_G_ROI_2_VALUE_x000D_
DAT_LI_DGT_RUNTIME_CRC_B_ROI_2_VALUE_x000D_
DAT_LI_DGT_RUNTIME_CRC_RGB_ROI_2_VALUE
Att_var@ SAFETY_TELLTALES</t>
  </si>
  <si>
    <t>REQ-0987424</t>
  </si>
  <si>
    <t>When SAFETY_DISPLAY_IMAGE function is in STATE_SAFETY_TELLTALES_RUNTIME state_x000D_
The function shall inform the master ECU that Runtime checks are active_x000D_
DAT_LO_DGT_SAFETY_TELLTALES_DISPLAY_STATUS = Runtime_x000D_
AND_x000D_
for each ROI &lt;N&gt;=1,2 _x000D_
IF_x000D_
DAT_LI_DGT_RUNTIME_CRC_ROI_&lt;N&gt;_FIRST_X_DIAGONAL_COORDINATES =! Invalid_x000D_
AND_x000D_
DAT_LI_DGT_RUNTIME_CRC_ROI_&lt;N&gt;_FIRST_Y_DIAGONAL_COORDINATES =! Invalid_x000D_
AND_x000D_
DAT_LI_DGT_RUNTIME_CRC_ROI_&lt;N&gt;_LAST_X_DIAGONAL_COORDINATES =! Invalid_x000D_
AND_x000D_
DAT_LI_DGT_RUNTIME_CRC_ROI_&lt;N&gt;_LAST_Y_DIAGONAL_COORDINATES =! Invalid_x000D_
THEN_x000D_
From these parameters for each ROI &lt;N&gt;=1,2 :_x000D_
The slave ECU (Display) should calculate the CRC 16 on the ROI using the mathematical polynomial (See REQ-1014284).
Att_var@ SAFETY_TELLTALES</t>
  </si>
  <si>
    <t>REQ-0908506</t>
  </si>
  <si>
    <t>When SAFETY_DISPLAY_IMAGE function is in STATE_SAFETY_TELLTALES_RUNTIME state_x000D_
“For the displays which each color channel (Red, Green, Blue) requires its own CRC to check the integrity of each color individually for ROI&lt;N&gt;=1,2  by using the polynomial formula (See REQ-1014284)“_x000D_
For Red Channel: _x000D_
CRC is calculated only using data in the red channel and compared to DAT_LI_DGT_RUNTIME_CRC_R_ROI_&lt;N&gt;_VALUE._x000D_
For Green Channel: _x000D_
Calculates only using data in the green channel and the calculated value will be compared to DAT_LI_DGT_RUNTIME_CRC_G_ROI_&lt;N&gt;_VALUE._x000D_
For Blue Channel: _x000D_
CRC is calculated only using data in the blue channel and the calculated value will be compared to DAT_LI_DGT_RUNTIME_CRC_B_ROI_&lt;N&gt;_VALUE._x000D_
For each color channel in ROI 1 and ROI  2 _x000D_
IF_x000D_
The calculated values of CRC on ROI 1 and ROI 2 are equal to the received values _x000D_
(      _x000D_
Calculated value of  RED CRC on ROI 1 = DAT_LI_DGT_RUNTIME_CRC_R_ROI_1_VALUE_x000D_
AND_x000D_
Calculated value of  GREEN CRC on ROI 1 =_x000D_
DAT_LI_DGT_RUNTIME_CRC_G_ROI_1_VALUE_x000D_
AND_x000D_
Calculated value of  BLUE CRC on ROI 1 = DAT_LI_DGT_RUNTIME_CRC_B_ROI_1_VALUE_x000D_
)_x000D_
AND_x000D_
(_x000D_
Calculated value of  RED CRC on ROI 2 = DAT_LI_DGT_RUNTIME_CRC_R_ROI_2_VALUE_x000D_
AND_x000D_
Calculated value of  GREEN CRC on ROI 2 =_x000D_
DAT_LI_DGT_RUNTIME_CRC_G_ROI_2_VALUE_x000D_
AND_x000D_
Calculated value of  BLUE CRC on ROI 2 = DAT_LI_DGT_RUNTIME_CRC_B_ROI_2_VALUE_x000D_
)_x000D_
THEN _x000D_
The state STATE_SAFETY_TELLTALES_RUNTIME is maintained_x000D_
AND_x000D_
DAT_LO_DGT_SAFETY_TELLTALES_DISPLAY_STATUS = Runtime_x000D_
AND_x000D_
DAT_DG_DGT_COUNTER_ROI_1_CRC_ERROR = 0_x000D_
AND_x000D_
DAT_DG_DGT_COUNTER_ROI_2_CRC_ERROR = 0_x000D_
ELSEIF_x000D_
At  least one of the calculated values of CRC on ROI 1 is not equal to the received values _x000D_
(_x000D_
Calculated value of  RED CRC on ROI 1 != DAT_LI_DGT_RUNTIME_CRC_R_ROI_1_VALUE_x000D_
OR_x000D_
Calculated value of  GREEN CRC on ROI 1 !=_x000D_
DAT_LI_DGT_RUNTIME_CRC_G_ROI_1_VALUE_x000D_
OR_x000D_
Calculated value of  BLUE CRC on ROI 1 != DAT_LI_DGT_RUNTIME_CRC_B_ROI_1_VALUE_x000D_
THEN_x000D_
DAT_DG_DGT_COUNTER_ROI_1_CRC_ERROR = DAT_DG_DGT_COUNTER_ROI_1_CRC_ERROR  + 1_x000D_
ELSEIF_x000D_
At least one of the calculated values of CRC on ROI 2 is not equals to the received values _x000D_
(_x000D_
Calculated value of  RED CRC on ROI 2 != DAT_LI_DGT_RUNTIME_CRC_R_ROI_2_VALUE_x000D_
OR_x000D_
Calculated value of  GREEN CRC on ROI 2 !=_x000D_
DAT_LI_DGT_RUNTIME_CRC_G_ROI_2_VALUE_x000D_
OR_x000D_
Calculated value of  BLUE CRC on ROI 2 != DAT_LI_DGT_RUNTIME_CRC_B_ROI_2_VALUE_x000D_
)_x000D_
THEN _x000D_
DAT_DG_DGT_COUNTER_ROI_2_CRC_ERROR = DAT_DG_DGT_COUNTER_ROI_2_CRC_ERROR  + 1_x000D_
During the CRC check the function shall verify the number of  CRC errors detected or the frozen values of CRC :_x000D_
IF      _x000D_
DAT_DG_DGT_COUNTER_ROI_1_CRC_ERROR  = 10_x000D_
OR_x000D_
DAT_DG_DGT_COUNTER_ROI_2_CRC_ERROR  = 10_x000D_
OR_x000D_
The calculated values didn’t change for more than DAT_DG_DGT_TIMEOUT_ROI_CRC_x000D_
THEN _x000D_
The state STATE_SAFETY_TELLTALES_SAFE_STATE shall be raised and decided_x000D_
AND_x000D_
VAR_DISPLAYS_STATUS = CRC Issue**_x000D_
** It means that safe state is decided due to an issue in the calculation of Stellantis CRC ( inconsistant ROI CRC, golden mixer check inconsistency, or ROI not changing value for more than DAT_DG_DGT_TIMEOUT_ROI_CRC
Att_var@ SAFETY_TELLTALES</t>
  </si>
  <si>
    <t>REQ-0987425</t>
  </si>
  <si>
    <t>When SAFETY_DISPLAY_IMAGE function is in STATE_SAFETY_TELLTALES_RUNTIME state_x000D_
“For displays where the separate color validation is unnecessary, we need to calculate only one CRC for the entire display zone for each ROI by using the polynomial formula (See REQ-1014284)”_x000D_
The calculated values of CRC on RO1 or ROI 2  will be compared to the received values values of CRC_x000D_
IF_x000D_
The calculated values of CRC on ROI 1 and ROI 2 are equals to the received values _x000D_
(      _x000D_
Calculated value of  RGB CRC on ROI 1 = DAT_LI_DGT_RUNTIME_CRC_RGB_ROI_1_VALUE_x000D_
AND_x000D_
Calculated value of  RGB CRC on ROI 2 = DAT_LI_DGT_RUNTIME_CRC_RGB_ROI_2_VALUE_x000D_
THEN _x000D_
The state STATE_SAFETY_TELLTALES_RUNTIME is maintained_x000D_
AND _x000D_
DAT_LO_DGT_SAFETY_TELLTALES_DISPLAY_STATUS = Runtime _x000D_
AND_x000D_
DAT_DG_DGT_COUNTER_ROI_1_CRC_ERROR = 0_x000D_
AND_x000D_
DAT_DG_DGT_COUNTER_ROI_2_CRC_ERROR = 0_x000D_
ELSEIF_x000D_
The calculated value of CRC on ROI 1 is not equal to the received value_x000D_
Calculated value of  RGB CRC on ROI 1 != DAT_LI_DGT_RUNTIME_CRC_RGB_ROI_1_VALUE_x000D_
THEN _x000D_
DAT_DG_DGT_COUNTER_ROI_1_CRC_ERROR = DAT_DG_DGT_COUNTER_ROI_1_CRC_ERROR + 1_x000D_
ELSEIF_x000D_
The calculated value of CRC on ROI 2 is not equal to the received value_x000D_
Calculated value of  RGB CRC on ROI 2 != DAT_LI_DGT_RUNTIME_CRC_RGB_ROI_2_VALUE_x000D_
THEN _x000D_
DAT_DG_DGT_COUNTER_ROI_1_CRC_ERROR = DAT_DG_DGT_COUNTER_ROI_1_CRC_ERROR + 1_x000D_
During the CRC check the function shall verify the number of  CRC errors detected or the frozen values of CRC :_x000D_
IF      _x000D_
DAT_DG_DGT_COUNTER_CRC_ERROR = 10_x000D_
OR_x000D_
The calculated value didn’t change for more than DAT_DG_DGT_TIMEOUT_ROI_CRC_x000D_
THEN _x000D_
The state STATE_SAFETY_TELLTALES_SAFE_STATE shall be raised and decided_x000D_
AND_x000D_
VAR_DISPLAYS_STATUS = CRC Issue**_x000D_
** It means that safe state is decided due to an issue in the calculation of Stellantis CRC (inconsistantt ROI CRC, golden mixer check inconsistency, or ROI not changing value for more than DAT_DG_DGT_TIMEOUT_ROI_CRC
Att_var@ SAFETY_TELLTALES</t>
  </si>
  <si>
    <t>REQ-0908510</t>
  </si>
  <si>
    <t>When SAFETY_DISPLAY_IMAGE function is in STATE_SAFETY_TELLTALES_RUNTIME state_x000D_
The function shall verify from these frames :_x000D_
SAFETY_TELLTALES_GOLDEN_DISPLAY_x000D_
SAFETY_TELLTALES_1_DISPLAY_x000D_
SAFETY_TELLTALES_2_DISPLAY_x000D_
SAFETY_DMD_DISPLAY_x000D_
IF _x000D_
There is any frame loss for a DAT_DG_DGT_TIMEOUT_FRAME_CRC_x000D_
THEN _x000D_
VAR_DISPLAYS_STATUS = Control Channel Defect **_x000D_
AND_x000D_
The state STATE_SAFETY_TELLTALES_SAFE_STATE is raised and decided._x000D_
 ** It means the safe state is decided due to an issue in the control channel frame CRC.
Att_var@ SAFETY_TELLTALES</t>
  </si>
  <si>
    <t>REQ-0908511</t>
  </si>
  <si>
    <t>When SAFETY_DISPLAY_IMAGE function is in STATE_SAFETY_TELLTALES_RUNTIME state_x000D_
The function shall verify according to the flag video received on the video IC _x000D_
IF _x000D_
There is any loss of frame for more than DAT_DG_DGT_TIMEOUT_VIDEO_x000D_
THEN  _x000D_
VAR_DISPLAYS_STATUS = Video Defect **_x000D_
AND_x000D_
The state STATE_SAFETY_TELLTALES_SAFE_STATE is raised and decided._x000D_
** It means the safe state is decided due to a Video error flag raised by the deserializer.
Att_var@ SAFETY_TELLTALES</t>
  </si>
  <si>
    <t>REQ-1029310</t>
  </si>
  <si>
    <t>When SAFETY_DISPLAY_IMAGE function is in STATE_SAFETY_TELLTALES_SAFE_STATE state_x000D_
The function shall inform the master ECU about the display defect :_x000D_
IF _x000D_
VAR_DISPLAYS_STATUS = CRC Issue (1)_x000D_
THEN_x000D_
DAT_LO_DGT_SAFETY_TELLTALES_DISPLAY_STATUS = Display Safe State CRC_x000D_
ELSEIF_x000D_
VAR_DISPLAYS_STATUS = Control Channel Defect (2)_x000D_
THEN_x000D_
DAT_LO_DGT_SAFETY_TELLTALES_DISPLAY_STATUS =Display Safe State Control_x000D_
ELSEIF_x000D_
VAR_DISPLAYS_STATUS = Video Defect (3)_x000D_
THEN_x000D_
DAT_LO_DGT_SAFETY_TELLTALES_DISPLAY_STATUS =Display Safe State Video_x000D_
AND_x000D_
It shall continue the calculation and the check of the CRC on the ROI 1 and ROI 2 areas using  ROIs image data provided by the Master and the polynomial formula (See REQ-1014284).
Att_var@ SAFETY_TELLTALES</t>
  </si>
  <si>
    <t>REQ-0909671</t>
  </si>
  <si>
    <t>DAT_LI_DGT_SAFETY_TACTILE_ONGOING_SYSTEM_STATE
(SafetyTactileOngoingSystemStateCDM)
Att_var@ LVDS_IN.SAFETY_TACTILE</t>
  </si>
  <si>
    <t>REQ-0909672</t>
  </si>
  <si>
    <t>DAT_LI_DGT_SAFETY_TACTILE_ROI_1_START_X_PERCENTAGE
(SafetyTactileROI1StartXPercentageCDM)
Att_var@ LVDS_IN.SAFETY_TACTILE</t>
  </si>
  <si>
    <t>REQ-0909703</t>
  </si>
  <si>
    <t>DAT_LI_DGT_SAFETY_TACTILE_ROI_1_START_Y_PERCENTAGE
(SafetyTactileROI1StartYPercentageCDM)
Att_var@ LVDS_IN.SAFETY_TACTILE</t>
  </si>
  <si>
    <t>REQ-0909704</t>
  </si>
  <si>
    <t>DAT_LI_DGT_SAFETY_TACTILE_ROI_1_END_X_PERCENTAGE
(SafetyTactileROI1EndXPercentageCDM)
Att_var@ LVDS_IN.SAFETY_TACTILE</t>
  </si>
  <si>
    <t>REQ-0909734</t>
  </si>
  <si>
    <t>DAT_LI_DGT_SAFETY_TACTILE_ROI_1_END_Y_PERCENTAGE
(SafetyTactileROI1EndYPercentageCDM)
Att_var@ LVDS_IN.SAFETY_TACTILE</t>
  </si>
  <si>
    <t>REQ-0909735</t>
  </si>
  <si>
    <t>DAT_LI_DGT_SAFETY_TACTILE_ROI_1_ACKNOWLEDGMENT
(SafetyTactileROI1AcknowledgeCDM)
Att_var@ LVDS_IN.SAFETY_TACTILE</t>
  </si>
  <si>
    <t>REQ-0909736</t>
  </si>
  <si>
    <t>DAT_LI_DGT_SAFETY_TACTILE_ROI_2_START_X_PERCENTAGE
(SafetyTactileROI2StartXPercentageCDM)
Att_var@ LVDS_IN.SAFETY_TACTILE</t>
  </si>
  <si>
    <t>REQ-0909812</t>
  </si>
  <si>
    <t>DAT_LI_DGT_SAFETY_TACTILE_ROI_2_START_Y_PERCENTAGE
(SafetyTactileROI2StartYPercentageCDM)
Att_var@ LVDS_IN.SAFETY_TACTILE</t>
  </si>
  <si>
    <t>REQ-0909738</t>
  </si>
  <si>
    <t>DAT_LI_DGT_SAFETY_TACTILE_ROI_2_END_X_PERCENTAGE
(SafetyTactileROI2EndXPercentageCDM)
Att_var@ LVDS_IN.SAFETY_TACTILE</t>
  </si>
  <si>
    <t>REQ-0909813</t>
  </si>
  <si>
    <t>DAT_LI_DGT_SAFETY_TACTILE_ROI_2_END_Y_PERCENTAGE
(SafetyTactileROI2EndYPercentageCDM)
Att_var@ LVDS_IN.SAFETY_TACTILE</t>
  </si>
  <si>
    <t>REQ-0909740</t>
  </si>
  <si>
    <t>DAT_LI_DGT_SAFETY_TACTILE_ROI_2_ACKNOWLEDGMENT
(SafetyTactileROI2AcknowledgeCDM)
Att_var@ LVDS_IN.SAFETY_TACTILE</t>
  </si>
  <si>
    <t>REQ-0909741</t>
  </si>
  <si>
    <t>DAT_LI_DGT_SAFETY_TACTILE_ROI_3_START_X_PERCENTAGE
(SafetyTactileROI3StartXPercentageCDM)
Att_var@ LVDS_IN.SAFETY_TACTILE</t>
  </si>
  <si>
    <t>REQ-0909742</t>
  </si>
  <si>
    <t>DAT_LI_DGT_SAFETY_TACTILE_ROI_3_START_Y_PERCENTAGE
(SafetyTactileROI3StartYPercentageCDM)
Att_var@ LVDS_IN.SAFETY_TACTILE</t>
  </si>
  <si>
    <t>REQ-0909814</t>
  </si>
  <si>
    <t>DAT_LI_DGT_SAFETY_TACTILE_ROI_3_END_X_PERCENTAGE
(SafetyTactileROI3EndXPercentageCDM)
Att_var@ LVDS_IN.SAFETY_TACTILE</t>
  </si>
  <si>
    <t>REQ-0909743</t>
  </si>
  <si>
    <t>DAT_LI_DGT_SAFETY_TACTILE_ROI_3_END_Y_PERCENTAGE
(SafetyTactileROI3EndYPercentageCDM)
Att_var@ LVDS_IN.SAFETY_TACTILE</t>
  </si>
  <si>
    <t>REQ-0909744</t>
  </si>
  <si>
    <t>DAT_LI_DGT_SAFETY_TACTILE_ROI_3_ACKNOWLEDGMENT
(SafetyTactileROI3AcknowledgeCDM)
Att_var@ LVDS_IN.SAFETY_TACTILE</t>
  </si>
  <si>
    <t>REQ-0909746</t>
  </si>
  <si>
    <t>DAT_LI_DGT_SAFETY_TACTILE_ROI_4_START_X_PERCENTAGE
(SafetyTactileROI4StartXPercentageCDM)
Att_var@ LVDS_IN.SAFETY_TACTILE</t>
  </si>
  <si>
    <t>REQ-0909800</t>
  </si>
  <si>
    <t>DAT_LI_DGT_SAFETY_TACTILE_ROI_4_START_Y_PERCENTAGE
(SafetyTactileROI4StartYPercentageCDM)
Att_var@ LVDS_IN.SAFETY_TACTILE</t>
  </si>
  <si>
    <t>REQ-0909801</t>
  </si>
  <si>
    <t>DAT_LI_DGT_SAFETY_TACTILE_ROI_4_END_X_PERCENTAGE
(SafetyTactileROI4EndXPercentageCDM)
Att_var@ LVDS_IN.SAFETY_TACTILE</t>
  </si>
  <si>
    <t>REQ-0909802</t>
  </si>
  <si>
    <t>DAT_LI_DGT_SAFETY_TACTILE_ROI_4_END_Y_PERCENTAGE
(SafetyTactileROI4EndYPercentageCDM)
Att_var@ LVDS_IN.SAFETY_TACTILE</t>
  </si>
  <si>
    <t>REQ-0909803</t>
  </si>
  <si>
    <t>DAT_LI_DGT_SAFETY_TACTILE_ROI_4_ACKNOWLEDGMENT
(SafetyTactileROI4AcknowledgeCDM)
Att_var@ LVDS_IN.SAFETY_TACTILE</t>
  </si>
  <si>
    <t>REQ-0997106</t>
  </si>
  <si>
    <t>DAT_LI_DGT_SAFETY_TACTILE_ROI_1_COUN_ACKNOWLEDG
(ROI1CounterAcknowledgementCDM)
Att_var@ LVDS_IN.SAFETY_TACTILE</t>
  </si>
  <si>
    <t>REQ-0997107</t>
  </si>
  <si>
    <t>DAT_LI_DGT_SAFETY_TACTILE_ROI_2_COUN_ACKNOWLEDG
(ROI2CounterAcknowledgementCDM)
Att_var@ LVDS_IN.SAFETY_TACTILE</t>
  </si>
  <si>
    <t>REQ-0997108</t>
  </si>
  <si>
    <t>DAT_LI_DGT_SAFETY_TACTILE_ROI_3_COUN_ACKNOWLEDG
(ROI3CounterAcknowledgementCDM)
Att_var@ LVDS_IN.SAFETY_TACTILE</t>
  </si>
  <si>
    <t>REQ-0997109</t>
  </si>
  <si>
    <t>DAT_LI_DGT_SAFETY_TACTILE_ROI_4_COUN_ACKNOWLEDG
(ROI4CounterAcknowledgementCDM)
Att_var@ LVDS_IN.SAFETY_TACTILE</t>
  </si>
  <si>
    <t>REQ-0897494</t>
  </si>
  <si>
    <t>DAT_LO_DGT_SAFETY_TACTILE_DISPLAY_STATUS
(SafetyTactileDisplayStatusCDM)
Att_var@ LVDS_OUT.SAFETY_TACTILE</t>
  </si>
  <si>
    <t>REQ-0898038</t>
  </si>
  <si>
    <t>DAT_LO_DGT_SAFETY_TACTILE_ROI_1_PUSH_COUNTER_DEFINITION
(SafetyTactileROI1PushCounterDefinitionCDM)
Att_var@ LVDS_OUT.SAFETY_TACTILE</t>
  </si>
  <si>
    <t>REQ-0898043</t>
  </si>
  <si>
    <t>DAT_LO_DGT_SAFETY_TACTILE_ROI_2_PUSH_COUNTER_DEFINITION
(SafetyTactileROI2PushCounterDefinitionCDM)
Att_var@ LVDS_OUT.SAFETY_TACTILE</t>
  </si>
  <si>
    <t>REQ-0898039</t>
  </si>
  <si>
    <t>DAT_LO_DGT_SAFETY_TACTILE_ROI_3_PUSH_COUNTER_DEFINITION
(SafetyTactileROI3PushCounterDefinitionCDM)
Att_var@ LVDS_OUT.SAFETY_TACTILE</t>
  </si>
  <si>
    <t>REQ-0898044</t>
  </si>
  <si>
    <t>DAT_LO_DGT_SAFETY_TACTILE_ROI_4_PUSH_COUNTER_DEFINITION
(SafetyTactileROI4PushCounterDefinitionCDM)
Att_var@ LVDS_OUT.SAFETY_TACTILE</t>
  </si>
  <si>
    <t>REQ-0898040</t>
  </si>
  <si>
    <t>DAT_LO_DGT_SAFETY_TACTILE_ROI_1_MISSED_INTERACTION
(SafetyTactileROI1MissedInteractionCDM)
Att_var@ LVDS_OUT.SAFETY_TACTILE</t>
  </si>
  <si>
    <t>REQ-0898045</t>
  </si>
  <si>
    <t>DAT_LO_DGT_SAFETY_TACTILE_ROI_2_MISSED_INTERACTION
(SafetyTactileROI2MissedInteractionCDM)
Att_var@ LVDS_OUT.SAFETY_TACTILE</t>
  </si>
  <si>
    <t>REQ-0898041</t>
  </si>
  <si>
    <t>DAT_LO_DGT_SAFETY_TACTILE_ROI_3_MISSED_INTERACTION
(SafetyTactileROI3MissedInteractionCDM)
Att_var@ LVDS_OUT.SAFETY_TACTILE</t>
  </si>
  <si>
    <t>REQ-0898046</t>
  </si>
  <si>
    <t>DAT_LO_DGT_SAFETY_TACTILE_ROI_4_MISSED_INTERACTION
(SafetyTactileROI4MissedInteractionCDM)
Att_var@ LVDS_OUT.SAFETY_TACTILE</t>
  </si>
  <si>
    <t>REQ-0997111</t>
  </si>
  <si>
    <t>DAT_LO_DGT_SAFETY_TACTILE_ROI_1_COUN_MISSED_INTER
(ROI1CounterMissedInteractionCDM)
Att_var@ LVDS_OUT.SAFETY_TACTILE</t>
  </si>
  <si>
    <t>REQ-0997112</t>
  </si>
  <si>
    <t>DAT_LO_DGT_SAFETY_TACTILE_ROI_2_COUN_MISSED_INTER
(ROI2CounterMissedInteractionCDM)
Att_var@ LVDS_OUT.SAFETY_TACTILE</t>
  </si>
  <si>
    <t>REQ-0997113</t>
  </si>
  <si>
    <t>DAT_LO_DGT_SAFETY_TACTILE_ROI_3_COUN_MISSED_INTER
(ROI3CounterMissedInteractionCDM)
Att_var@ LVDS_OUT.SAFETY_TACTILE</t>
  </si>
  <si>
    <t>REQ-0997114</t>
  </si>
  <si>
    <t>DAT_LO_DGT_SAFETY_TACTILE_ROI_4_COUN_MISSED_INTER
(ROI4CounterMissedInteractionCDM)
Att_var@ LVDS_OUT.SAFETY_TACTILE</t>
  </si>
  <si>
    <t>REQ-0904221</t>
  </si>
  <si>
    <t>DAT_DG_DGT_INFO_PUSH_1
Att_var@ INTERNAL.SAFETY_TACTILE</t>
  </si>
  <si>
    <t>REQ-0904222</t>
  </si>
  <si>
    <t>DAT_DG_DGT_INFO_PUSH_2
Att_var@ INTERNAL.SAFETY_TACTILE</t>
  </si>
  <si>
    <t>REQ-0904223</t>
  </si>
  <si>
    <t>DAT_DG_DGT_INFO_PUSH_3
Att_var@ INTERNAL.SAFETY_TACTILE</t>
  </si>
  <si>
    <t>REQ-0904224</t>
  </si>
  <si>
    <t>DAT_DG_DGT_INFO_PUSH_4
Att_var@ INTERNAL.SAFETY_TACTILE</t>
  </si>
  <si>
    <t>REQ-0904225</t>
  </si>
  <si>
    <t>DAT_DG_DGT_INFO_PUSH_5
Att_var@ INTERNAL.SAFETY_TACTILE</t>
  </si>
  <si>
    <t>REQ-0908479</t>
  </si>
  <si>
    <t>DAT_DG_DGT_SAFETY_TACTILE_ROI_1_START_X_PERC
(NoUpstreamRequest)
Att_var@ DIAG_RW.SAFETY_TACTILE</t>
  </si>
  <si>
    <t>REQ-0908480</t>
  </si>
  <si>
    <t>DAT_DG_DGT_SAFETY_TACTILE_ROI_1_START_Y_PERC
(NoUpstreamRequest)
Att_var@ DIAG_RW.SAFETY_TACTILE</t>
  </si>
  <si>
    <t>REQ-0908481</t>
  </si>
  <si>
    <t>DAT_DG_DGT_SAFETY_TACTILE_ROI_1_END_X_PERC
(NoUpstreamRequest)
Att_var@ DIAG_RW.SAFETY_TACTILE</t>
  </si>
  <si>
    <t>REQ-0908482</t>
  </si>
  <si>
    <t>DAT_DG_DGT_SAFETY_TACTILE_ROI_1_END_Y_PERC
(NoUpstreamRequest)
Att_var@ DIAG_RW.SAFETY_TACTILE</t>
  </si>
  <si>
    <t>REQ-0908483</t>
  </si>
  <si>
    <t>DAT_DG_DGT_SAFETY_TACTILE_ROI_2_START_X_PERC
(NoUpstreamRequest)
Att_var@ DIAG_RW.SAFETY_TACTILE</t>
  </si>
  <si>
    <t>REQ-0908484</t>
  </si>
  <si>
    <t>DAT_DG_DGT_SAFETY_TACTILE_ROI_2_START_Y_PERC
(NoUpstreamRequest)
Att_var@ DIAG_RW.SAFETY_TACTILE</t>
  </si>
  <si>
    <t>REQ-0908485</t>
  </si>
  <si>
    <t>DAT_DG_DGT_SAFETY_TACTILE_ROI_2_END_X_PERC
(NoUpstreamRequest)
Att_var@ DIAG_RW.SAFETY_TACTILE</t>
  </si>
  <si>
    <t>REQ-0908308</t>
  </si>
  <si>
    <t>DAT_DG_DGT_SAFETY_TACTILE_ROI_2_END_Y_PERC
(NoUpstreamRequest)
Att_var@ DIAG_RW.SAFETY_TACTILE</t>
  </si>
  <si>
    <t>REQ-0908486</t>
  </si>
  <si>
    <t>DAT_DG_DGT_SAFETY_TACTILE_ROI_3_START_X_PERC
(NoUpstreamRequest)
Att_var@ DIAG_RW.SAFETY_TACTILE</t>
  </si>
  <si>
    <t>REQ-0908487</t>
  </si>
  <si>
    <t>DAT_DG_DGT_SAFETY_TACTILE_ROI_3_START_Y_PERC
(NoUpstreamRequest)
Att_var@ DIAG_RW.SAFETY_TACTILE</t>
  </si>
  <si>
    <t>REQ-0908488</t>
  </si>
  <si>
    <t>DAT_DG_DGT_SAFETY_TACTILE_ROI_3_END_X_PERC
(NoUpstreamRequest)
Att_var@ DIAG_RW.SAFETY_TACTILE</t>
  </si>
  <si>
    <t>REQ-0908489</t>
  </si>
  <si>
    <t>DAT_DG_DGT_SAFETY_TACTILE_ROI_3_END_Y_PERC
(NoUpstreamRequest)
Att_var@ DIAG_RW.SAFETY_TACTILE</t>
  </si>
  <si>
    <t>REQ-0908490</t>
  </si>
  <si>
    <t>DAT_DG_DGT_SAFETY_TACTILE_ROI_4_START_X_PERC
(NoUpstreamRequest)
Att_var@ DIAG_RW.SAFETY_TACTILE</t>
  </si>
  <si>
    <t>REQ-0908491</t>
  </si>
  <si>
    <t>DAT_DG_DGT_SAFETY_TACTILE_ROI_4_START_Y_PERC
(NoUpstreamRequest)
Att_var@ DIAG_RW.SAFETY_TACTILE</t>
  </si>
  <si>
    <t>REQ-0908492</t>
  </si>
  <si>
    <t>DAT_DG_DGT_SAFETY_TACTILE_ROI_4_END_X_PERC
(NoUpstreamRequest)
Att_var@ DIAG_RW.SAFETY_TACTILE</t>
  </si>
  <si>
    <t>REQ-0908493</t>
  </si>
  <si>
    <t>DAT_DG_DGT_SAFETY_TACTILE_ROI_4_END_Y_PERC
(NoUpstreamRequest)
Att_var@ DIAG_RW.SAFETY_TACTILE</t>
  </si>
  <si>
    <t>REQ-0908494</t>
  </si>
  <si>
    <t>DAT_DG_DGT_SAFETY_TACTILE_ROI_1_PUSH_COUNTER_DEF
(MemROI1CounterSendCDM)
Att_var@ DIAG_RW.SAFETY_TACTILE</t>
  </si>
  <si>
    <t>REQ-0908495</t>
  </si>
  <si>
    <t>DAT_DG_DGT_SAFETY_TACTILE_ROI_2_PUSH_COUNTER_DEF
(MemROI2CounterSendCDM)
Att_var@ DIAG_RW.SAFETY_TACTILE</t>
  </si>
  <si>
    <t>REQ-0908496</t>
  </si>
  <si>
    <t>DAT_DG_DGT_SAFETY_TACTILE_ROI_3_PUSH_COUNTER_DEF
(MemROI3CounterSendCDM)
Att_var@ DIAG_RW.SAFETY_TACTILE</t>
  </si>
  <si>
    <t>REQ-0908497</t>
  </si>
  <si>
    <t>DAT_DG_DGT_SAFETY_TACTILE_ROI_4_PUSH_COUNTER_DEF
(MemROI4CounterSendCDM)
Att_var@ DIAG_RW.SAFETY_TACTILE</t>
  </si>
  <si>
    <t>REQ-0997133</t>
  </si>
  <si>
    <t>DAT_DG_DGT_TIMEOUT_HANDSHAKE
(ParamSftTactAcqHandShakeTimeOut)
Att_var@ DIAG_RW.SAFETY_TACTILE</t>
  </si>
  <si>
    <t>REQ-0903510</t>
  </si>
  <si>
    <t>DAT_DG_DGT_COUNTER_STACK_TIMEOUT
(ParamSftTactCounterStackTimeOut)
Att_var@ DIAG_RW.SAFETY_TACTILE</t>
  </si>
  <si>
    <t>REQ-0997124</t>
  </si>
  <si>
    <t>VAR_CounterStackROI2 [i]
(NoUpstreamRequest)
Att_var@ INTERNAL.SAFETY_TACTILE</t>
  </si>
  <si>
    <t>REQ-0997125</t>
  </si>
  <si>
    <t>VAR_CounterStackROI3 [i]
(NoUpstreamRequest)
Att_var@ INTERNAL.SAFETY_TACTILE</t>
  </si>
  <si>
    <t>REQ-0997126</t>
  </si>
  <si>
    <t>VAR_CounterStackROI4 [i
(NoUpstreamRequest)
Att_var@ INTERNAL.SAFETY_TACTILE</t>
  </si>
  <si>
    <t>REQ-0997128</t>
  </si>
  <si>
    <t>VAR_TimerCounterROI1 [i]
(NoUpstreamRequest)
Att_var@ INTERNAL.SAFETY_TACTILE</t>
  </si>
  <si>
    <t>REQ-0997129</t>
  </si>
  <si>
    <t>VAR_TimerCounterROI2 [i]
(NoUpstreamRequest)
Att_var@ INTERNAL.SAFETY_TACTILE</t>
  </si>
  <si>
    <t>REQ-0997130</t>
  </si>
  <si>
    <t>VAR_TimerCounterROI3 [i]
(NoUpstreamRequest)
Att_var@ INTERNAL.SAFETY_TACTILE</t>
  </si>
  <si>
    <t>REQ-0997131</t>
  </si>
  <si>
    <t>VAR_TimerCounterROI4 [i]
(NoUpstreamRequest)
Att_var@ INTERNAL.SAFETY_TACTILE</t>
  </si>
  <si>
    <t>REQ-0908072</t>
  </si>
  <si>
    <t>DAT_LO_DGT_COORDINATE_X_TACT1
Att_var@ INTERNAL.SAFETY_TACTILE</t>
  </si>
  <si>
    <t>REQ-0908073</t>
  </si>
  <si>
    <t>DAT_LO_DGT_COORDINATE_X_TACT2
Att_var@ INTERNAL.SAFETY_TACTILE</t>
  </si>
  <si>
    <t>REQ-0908085</t>
  </si>
  <si>
    <t>DAT_LO_DGT_COORDINATE_X_TACT3
Att_var@ INTERNAL.SAFETY_TACTILE</t>
  </si>
  <si>
    <t>REQ-0908086</t>
  </si>
  <si>
    <t>DAT_LO_DGT_COORDINATE_X_TACT4
Att_var@ INTERNAL.SAFETY_TACTILE</t>
  </si>
  <si>
    <t>REQ-0908087</t>
  </si>
  <si>
    <t>DAT_LO_DGT_COORDINATE_X_TACT5
Att_var@ INTERNAL.SAFETY_TACTILE</t>
  </si>
  <si>
    <t>REQ-0908088</t>
  </si>
  <si>
    <t>Specification flow name
Att_var@ INTERNAL.SAFETY_TACTILE</t>
  </si>
  <si>
    <t>REQ-0908089</t>
  </si>
  <si>
    <t>DAT_LO_DGT_COORDINATE_Y_TACT2
Att_var@ INTERNAL.SAFETY_TACTILE</t>
  </si>
  <si>
    <t>REQ-0908090</t>
  </si>
  <si>
    <t>DAT_LO_DGT_COORDINATE_Y_TACT3
Att_var@ INTERNAL.SAFETY_TACTILE</t>
  </si>
  <si>
    <t>REQ-0908091</t>
  </si>
  <si>
    <t>DAT_LO_DGT_COORDINATE_Y_TACT4
Att_var@ INTERNAL.SAFETY_TACTILE</t>
  </si>
  <si>
    <t>REQ-0908092</t>
  </si>
  <si>
    <t>DAT_LO_DGT_COORDINATE_Y_TACT5
Att_var@ INTERNAL.SAFETY_TACTILE</t>
  </si>
  <si>
    <t>REQ-0997115</t>
  </si>
  <si>
    <t>VAR_PRESS_FOUND_ROI1
(NoUpstreamRequest)
Att_var@ INTERNAL.SAFETY_TACTILE</t>
  </si>
  <si>
    <t>REQ-0997120</t>
  </si>
  <si>
    <t>VAR_PRESS_FOUND_ROI2
(NoUpstreamRequest)
Att_var@ INTERNAL.SAFETY_TACTILE</t>
  </si>
  <si>
    <t>REQ-0997121</t>
  </si>
  <si>
    <t>VAR_PRESS_FOUND_ROI3
(NoUpstreamRequest)
Att_var@ INTERNAL.SAFETY_TACTILE</t>
  </si>
  <si>
    <t>REQ-0997122</t>
  </si>
  <si>
    <t>VAR_PRESS_FOUND_ROI4
(NoUpstreamRequest)
Att_var@ INTERNAL.SAFETY_TACTILE</t>
  </si>
  <si>
    <t>REQ-0997123</t>
  </si>
  <si>
    <t>VAR_CounterStackROI1 [i]
(NoUpstreamRequest)
Att_var@ INTERNAL.SAFETY_TACTILE</t>
  </si>
  <si>
    <t>REQ-0997136</t>
  </si>
  <si>
    <t>The function shall manage four stacks to be used for each existing ROI named VAR_CounterStackROI&lt;N&gt; in the requirements._x000D_
&lt;N&gt; belong to {1;2;3;4}_x000D_
Item stored in these stacks are current values of the flows DAT_LO_DGT_SAFETY_TACTILE_ROI_&lt;N&gt;_PUSH_COUNTER_DEFINITION_x000D_
Stacks must be fitted with a feature allowing to know the presence duration of each item in stacks VAR_TimerCounterROI&lt;N&gt; [i]_x000D_
To prevent overflow, stacks must be sized to contains enough items in function of the maximum presence duration given by DAT_DG_DGT_COUNTER_STACK_TIMEOUT and the periodicity of the entry of
Att_var@ SAFETY_TACTILE</t>
  </si>
  <si>
    <t>REQ-0908084</t>
  </si>
  <si>
    <t>For the SAFETY_ACQUIRE_USER_COMMAND function the diagram below manages the nominal use case :_x000D_
INPUT_x000D_
DAT_LI_DGT_SAFETY_TACTILE_ONGOING_SYSTEM_STATE_x000D_
STATES_x000D_
STATE_SAFETY_TACTILE_INIT_x000D_
STATE_SAFETY_TACTILE_RUNTIME_x000D_
STATE_SAFETY_TACTILE_HANDSHAKE_x000D_
STATE_SAFETY_TACTILE_FAILURE_x000D_
OUTPUT_x000D_
DAT_LO_DGT_SAFETY_TACTILE_DISPLAY_STATUS _x000D_
/
Att_var@ SAFETY_TACTILE</t>
  </si>
  <si>
    <t>REQ-0908498</t>
  </si>
  <si>
    <t>Transition 1 :  Runtime is requested_x000D_
The SAFETY_ACQUIRE_USER_COMMAND function shall use this transition_x000D_
IF _x000D_
The Master ECU is ready for runtime_x000D_
DAT_LI_DGT_SAFETY_TACTILE_ONGOING_SYSTEM_STATE = Runtime_x000D_
AND  _x000D_
The display is ready (fully operational)
Att_var@ SAFETY_TACTILE</t>
  </si>
  <si>
    <t>REQ-0997364</t>
  </si>
  <si>
    <t>Transition 2 :  Tactile Failure detected_x000D_
The SAFETY_ACQUIRE_USER_COMMAND function shall use this transition_x000D_
IF _x000D_
The display detects fatal tactile error concluding that the tactile system can not be trusted _x000D_
OR_x000D_
DAT_LI_DGT_SAFETY_TACTILE_ONGOING_SYSTEM_STATE = Invalid
Att_var@ SAFETY_TACTILE</t>
  </si>
  <si>
    <t>REQ-0997367</t>
  </si>
  <si>
    <t>Transition 3 :  No internal issues and No Master ECU problem_x000D_
The SAFETY_ACQUIRE_USER_COMMAND function shall use this transition_x000D_
IF _x000D_
The display has no longer internal issues _x000D_
AND_x000D_
DAT_LI_DGT_SAFETY_TACTILE_ONGOING_SYSTEM_STATE = Runtime
Att_var@ SAFETY_TACTILE</t>
  </si>
  <si>
    <t>REQ-0902539</t>
  </si>
  <si>
    <t>Transition 4 : Unexpected Master ECU reset_x000D_
The SAFETY_ACQUIRE_USER_COMMAND function shall use this transition _x000D_
IF_x000D_
the Display receives _x000D_
DAT_LI_DGT_SAFETY_TACTILE_ONGOING_SYSTEM_STATE = Initialization
Att_var@ SAFETY_TACTILE</t>
  </si>
  <si>
    <t>REQ-0997368</t>
  </si>
  <si>
    <t>Transition 5 :  Master ECU is ready_x000D_
The SAFETY_ACQUIRE_USER_COMMAND function shall use this transition_x000D_
IF _x000D_
The display receives _x000D_
DAT_LI_DGT_SAFETY_TACTILE_ONGOING_SYSTEM_STATE = Runtime
Att_var@ SAFETY_TACTILE</t>
  </si>
  <si>
    <t>REQ-0997369</t>
  </si>
  <si>
    <t>Transition 6 :  Runtime activation is too long _x000D_
The SAFETY_ACQUIRE_USER_COMMAND function shall use this transition_x000D_
IF _x000D_
The display did not receive _x000D_
DAT_LI_DGT_SAFETY_TACTILE_ONGOING_SYSTEM_STATE = Runtime  _x000D_
AND_x000D_
The time out counter DAT_DG_DGT_TIMEOUT_HANDSHAKE_x000D_
started by the STATE_SAFETY_TACTILE_HANDSHAKE state has ran out
Att_var@ SAFETY_TACTILE</t>
  </si>
  <si>
    <t>REQ-0910838</t>
  </si>
  <si>
    <t>When SAFETY_ACQUIRE_USER_COMMAND function is in STATE_SAFETY_TACTILE_INIT state_x000D_
The function shall inform the master ECU of slave device mechanism initialization_x000D_
DAT_LO_SAFETY_TACTILE_DISPLAY_STATUS = Display Initialisation_x000D_
AND_x000D_
The following flows which are produced  by display shall be set  to the given values_x000D_
(_x000D_
DAT_LO_DGT_SAFETY_TACTILE_ROI_&lt;N&gt;_PUSH_COUNTER_DEFINITION = Unavailable_x000D_
AND_x000D_
DAT_LO_DGT_SAFETY_TACTILE_ROI_&lt;N&gt;_COUN_MISSED_INTER = Unavailable_x000D_
AND_x000D_
DAT_LO_DGT_SAFETY_TACTILE_ROI_&lt;N&gt;_MISSED_INTERACTION = False_x000D_
) _x000D_
AND_x000D_
The internal counter of valid presses shall be set to 0_x000D_
VAR_ROI&lt;N&gt;_PRESS_FOUND = 0_x000D_
For ROI &lt;N&gt; belong to ={1,2,3, 4}
Att_var@ SAFETY_TACTILE</t>
  </si>
  <si>
    <t>REQ-0910839</t>
  </si>
  <si>
    <t>When SAFETY_ACQUIRE_USER_COMMAND function is in STATE_SAFETY_TACTILE_RUNTIME state_x000D_
The display shall inform the master ECU that runtime is ongoing_x000D_
DAT_LO_SAFETY_TACTILE_DISPLAY_STATUS = Runtime  _x000D_
AND_x000D_
It Start or continue the “Press counter process”
Att_var@ SAFETY_TACTILE</t>
  </si>
  <si>
    <t>REQ-0997375</t>
  </si>
  <si>
    <t>When SAFETY_ACQUIRE_USER_COMMAND function is in STATE_SAFETY_TACTILE_HANDSHAKE state_x000D_
The function shall start a time out counter of DAT_DG_DGT_TIMEOUT_HANDSHAKE ms_x000D_
AND_x000D_
Inform the master ECU that runtime of display is ongoing_x000D_
DAT_LO_DGT_SAFETY_TACTILE_DISPLAY_STATUS = Runtime
Att_var@ SAFETY_TACTILE</t>
  </si>
  <si>
    <t>REQ-0902540</t>
  </si>
  <si>
    <t>When SAFETY_ACQUIRE_USER_COMMAND function is in STATE_SAFETY_TACTILE_FAILURE state_x000D_
The display shall inform the master ECU that tactile failure is ongoing_x000D_
DAT_LO_DGT_SAFETY_TACTILE_DISPLAY_STATUS = Tactile failure_x000D_
AND_x000D_
It continue the “press counting process” _x000D_
PS :  provider to detail strategy regarding the tactile failure
Att_var@ SAFETY_TACTILE</t>
  </si>
  <si>
    <t>REQ-0908079</t>
  </si>
  <si>
    <t>Deleted requirement
Att_var@ NULL</t>
  </si>
  <si>
    <t>REQ-0902541</t>
  </si>
  <si>
    <t>Regardless of the screen shape, the reference points must be considered with the rectangle that contains all the pixels and take as initial cartisien the rectangle (0,0) at the top left corner  as shown in the figure below._x000D_
_x0001__x000D_
NB: Each zone must have a size that is multiple of 2 (even size)
Att_var@ SAFETY_TACTILE</t>
  </si>
  <si>
    <t>REQ-0908080</t>
  </si>
  <si>
    <t>From the parameters below, the provider must consider 4 zones ROIs : _x000D_
DAT_LI_DGT_SAFETY_TACTILE_ROI_1_START_X_PERCENTAGE_x000D_
DAT_LI_DGT_SAFETY_TACTILE_ROI_1_START_Y_PERCENTAGE_x000D_
DAT_LI_DGT_SAFETY_TACTILE_ROI_1_END_X_PERCENTAGE_x000D_
DAT_LI_DGT_SAFETY_TACTILE_ROI_1_END_Y_PERCENTAGE_x000D_
DAT_LI_DGT_SAFETY_TACTILE_ROI_2_START_X_PERCENTAGE_x000D_
DAT_LI_DGT_SAFETY_TACTILE_ROI_2_START_Y_PERCENTAGE_x000D_
DAT_LI_DGT_SAFETY_TACTILE_ROI_2_END_X_PERCENTAGE_x000D_
DAT_LI_DGT_SAFETY_TACTILE_ROI_2_END_Y_PERCENTAGE_x000D_
DAT_LI_DGT_SAFETY_TACTILE_ROI_3_START_X_PERCENTAGE_x000D_
DAT_LI_DGT_SAFETY_TACTILE_ROI_3_START_Y_PERCENTAGE_x000D_
DAT_LI_DGT_SAFETY_TACTILE_ROI_3_END_X_PERCENTAGE_x000D_
DAT_LI_DGT_SAFETY_TACTILE_ROI_3_END_Y_PERCENTAGE_x000D_
DAT_LI_DGT_SAFETY_TACTILE_ROI_4_START_X_PERCENTAGE _x000D_
DAT_LI_DGT_SAFETY_TACTILE_ROI_4_START_Y_PERCENTAGE_x000D_
DAT_LI_DGT_SAFETY_TACTILE_ROI_4_END_X_PERCENTAGE_x000D_
DAT_LI_DGT_SAFETY_TACTILE_ROI_4_END_Y_PERCENTAGE_x000D_
/
Att_var@ SAFETY_TACTILE</t>
  </si>
  <si>
    <t>REQ-0908081</t>
  </si>
  <si>
    <t>The following parameters received from the master ECU for each ROI (N= 1-4) must be stored (Tuning during development phase ) :_x000D_
DAT_DG_DGT_SAFETY_TACTILE_ROI_N_START_X_PERC = DAT_LI_DGT_SAFETY_TACTILE_ROI_N_START_X_PERCENTAGE_x000D_
DAT_DG_DGT_SAFETY_TACTILE_ROI_N_START_Y_PERC = DAT_LI_DGT_SAFETY_TACTILE_ROI_N_START_Y_PERCENTAGE_x000D_
DAT_DG_DGT_SAFETY_TACTILE_ROI_N_END_X_PERC = DAT_LI_DGT_SAFETY_TACTILE_ROI_N_END_X_PERCENTAGE_x000D_
DAT_DG_DGT_SAFETY_TACTILE_ROI_N_END_Y_PERC = DAT_LI_DGT_SAFETY_TACTILE_ROI_N_END_Y_PERCENTAGE_x000D_
DAT_DG_DGT_SAFETY_TACTILE_ROI_N_PUSH_COUNTER_DEF = DAT_LO_DGT_SAFETY_TACTILE_ROI_N_PUSH_COUNTER_DEFINITION
Att_var@ SAFETY_TACTILE</t>
  </si>
  <si>
    <t>REQ-0908082</t>
  </si>
  <si>
    <t>The SAFETY_ACQUIRE_USER_COMMAND function shall manage the “Press counter process”  as described below _x000D_
for Stack filling : _x000D_
Before sending the press information to the Master ECU  the display will do the following actions for each ROI_x000D_
For ROI &lt;N&gt; belong to {1; 2; 3; 4}_x000D_
For the fingers contacts, &lt;n&gt; belongs to {1; 2; 3; 4; 5 }_x000D_
IF _x000D_
There is a press detected in ROI &lt;N&gt;_x000D_
DAT_DG_DGT_INFO_PUSH_&lt;n&gt; = PUSH_x000D_
AND_x000D_
DAT_LI_DGT_SAFETY_TACTILE_ROI_&lt;N&gt;_START_X_PERCENTAGE  ≤ DAT_LO_DGT_COORDINATE_X_TACT&lt;n&gt;_x000D_
≤ DAT_LI_DGT_SAFETY_TACTILE_ROI_&lt;N&gt;_END_X_PERCENTAGE_x000D_
AND_x000D_
DAT_LI_DGT_SAFETY_TACTILE_ROI_&lt;N&gt;_END_Y_PERCENTAGE  ≤ DAT_LO_DGT_COORDINATE_Y_TACT&lt;n&gt;_x000D_
≤ DAT_LI_DGT_SAFETY_TACTILE_ROI_&lt;N&gt;_START_Y_PERCENTAGE_x000D_
AND_x000D_
DAT_LI_DGT_SAFETY_TACTILE_ROI_&lt;N&gt;_START_X_PERCENTAGE=! Invalid_x000D_
AND_x000D_
DAT_LI_DGT_SAFETY_TACTILE_ROI_&lt;N&gt;_END_X_PERCENTAGE  =! Invalid_x000D_
AND_x000D_
DAT_LI_DGT_SAFETY_TACTILE_ROI_&lt;N&gt;_START_Y_PERCENTAGE =! Invalid_x000D_
AND_x000D_
DAT_LI_DGT_SAFETY_TACTILE_ROI_&lt;N&gt;_END_Y_PERCENTAGE =! Invalid_x000D_
THEN_x000D_
VAR_PRESS_FOUND_ROI&lt;N&gt; = VAR_PRESS_FOUND_ROI&lt;N&gt; + 1 *_x000D_
* For each active ROI &lt;N&gt;, every time a press is detected, the counter is incremented,  and at this moment a timer VAR_TimerCounterROI&lt;N&gt; for each ROI at each tactile interaction is initialized with the counter incrementation_x000D_
AND_x000D_
The display set the counter to provide the number of press to master ECU_x000D_
DAT_LO_DGT_SAFETY_TACTILE_ROI_&lt;N&gt;_PUSH_COUNTER_DEFINITION = DAT_DG_DGT_SAFETY_TACTILE_ROI_&lt;N&gt;_PUSH_COUNTER_DEFINITION + VAR_PRESS_FOUND_ROI&lt;N&gt;_x000D_
AND_x000D_
the emitted value is inserted in the stack_x000D_
DAT_LO_DGT_SAFETY_TACTILE_ROI_&lt;N&gt;_PUSH_COUNTER_DEFINITION is inserted in VAR_CounterStackROI&lt;N&gt;_x000D_
AND_x000D_
the last emitted value of the events counter is memorized_x000D_
DAT_DG_DGT_SAFETY_TACTILE_ROI_&lt;N&gt;_PUSH_COUNTER_DEFINITION = DAT_LO_DGT_SAFETY_TACTILE_ROI_&lt;N&gt;_PUSH_COUNTER_DEFINITION_x000D_
ELSEIF_x000D_
There is no press detected_x000D_
DAT_DG_DGT_INFO_PUSH_&lt;n&gt; =  NO PUSH_x000D_
OR_x000D_
There is a press detected that is outside of the ROIx_x000D_
(_x000D_
DAT_DG_DGT_INFO_PUSH_&lt;n&gt; =  PUSH_x000D_
AND_x000D_
(_x000D_
 DAT_LO_DGT_COORDINATE_X_TACT&lt;n&gt; _x000D_
&lt; DAT_LI_DGT_SAFETY_TACTILE_ROI_&lt;N&gt;_START_X_PERCENTAGE_x000D_
OR_x000D_
DAT_LO_DGT_COORDINATE_X_TACT&lt;n&gt; _x000D_
&gt; DAT_LI_DGT_SAFETY_TACTILE_ROI_&lt;N&gt;_END_X_PERCENTAGE_x000D_
) _x000D_
OR_x000D_
(_x000D_
DAT_LO_DGT_COORDINATE_Y_TACT&lt;n&gt;_x000D_
&lt;_x000D_
DAT_LI_DGT_SAFETY_TACTILE_ROI_&lt;N&gt;_END_Y_PERCENTAGE_x000D_
OR_x000D_
DAT_LO_DGT_COORDINATE_Y_TACT&lt;n&gt;_x000D_
&gt;_x000D_
DAT_LI_DGT_SAFETY_TACTILE_ROI_&lt;N&gt;_START_Y_PERCENTAGE  _x000D_
)_x000D_
)_x000D_
THEN _x000D_
VAR_PRESS_FOUND_ROI&lt;N&gt; = 0_x000D_
AND_x000D_
The display set the counter to inform the master ECU that no event is detected_x000D_
DAT_LO_DGT_SAFETY_TACTILE_ROI_&lt;N&gt;_PUSH_COUNTER_DEFINITION = Unavailable_x000D_
These parameters:_x000D_
DAT_LO_DGT_SAFETY_TACTILE_ROI_1_PUSH_COUNTER_DEFINITION_x000D_
DAT_LO_DGT_SAFETY_TACTILE_ROI_2_PUSH_COUNTER_DEFINITION_x000D_
DAT_LO_DGT_SAFETY_TACTILE_ROI_3_PUSH_COUNTER_DEFINITION_x000D_
DAT_LO_DGT_SAFETY_TACTILE_ROI_4_PUSH_COUNTER_DEFINITION_x000D_
Are sent in synchronized timing with the coordinates below:_x000D_
DAT_LO_DGT_COORDINATE_X_TACT&lt;n&gt;_x000D_
DAT_LO_DGT_COORDINATE_Y_TACT&lt;n&gt;
Att_var@ SAFETY_TACTILE</t>
  </si>
  <si>
    <t>REQ-0908083</t>
  </si>
  <si>
    <t>The SAFETY_ACQUIRE_USER_COMMAND function shall manage the “Press counter process”  as described below :_x000D_
"Stack dump on maximum presence duration (no acknowledgement back from master ECU)"_x000D_
For each tactile interaction on the ROI &lt;N&gt; belong to {1; 2; 3; 4}_x000D_
IF_x000D_
There is no acknowledgement back from the master ECU_x000D_
In stacks VAR_CounterStackROI&lt;N&gt;, search for items whose presence duration is longer than DAT_DG_DGT_COUNTER_STACK_TIMEOUT ms._x000D_
VAR_TimerCounterROI&lt;N&gt; [i] &gt; DAT_DG_DGT_COUNTER_STACK_TIMEOUT_x000D_
THEN_x000D_
For each of them, send one time a “missed” to master ECU for each ROI&lt;N&gt; by setting_x000D_
DAT_LO_DGT_SAFETY_TACTILE_ROI_N_MISSED_INTERACTION = True_x000D_
AND_x000D_
Send the value of the item  &lt;i&gt; which has a too long presence duration_x000D_
DAT_LO_DGT_SAFETY_TACTILE_ROI_&lt;N&gt;_COUN_MISSED_INTER = VAR_CounterStackROI&lt;N&gt; [i]_x000D_
 _x000D_
Once done,_x000D_
The display report about the missed interaction to the master ECU, it set_x000D_
DAT_LO_DGT_SAFETY_TACTILE_ROI_N_MISSED_INTERACTION = False_x000D_
AND_x000D_
DAT_LO_DGT_SAFETY_TACTILE_ROI_&lt;N&gt;_COUN_MISSED_INTER = Unavailable _x000D_
AND_x000D_
 The item VAR_CounterStackROI&lt;N&gt;[i] is deleted from  the stack VAR_CounterStackROI&lt;N&gt;
Att_var@ SAFETY_TACTILE</t>
  </si>
  <si>
    <t>REQ-0997377</t>
  </si>
  <si>
    <t>The SAFETY_ACQUIRE_USER_COMMAND function shall manage the “Press counter process”  as described below :
"Stack dump on acknowledgement reception from master ECU"
For each tactile interaction on the ROI&lt;N&gt; (X=1,2,3,4) : 
IF
The acknowledgement is received by display
DAT_LI_DGT_SAFETY_TACTILE_ROI_&lt;N&gt;_ACKNOWLEDGMENT = True
AND
DAT_LI_DGT_SAFETY_TACTILE_ROI_&lt;N&gt;_COUN_ACKNOWLEDG &lt;&gt; (Invalid OR Unavailable)
THEN
Search in stack VAR_CounterStackROI&lt;N&gt;  the item DAT_LI_DGT_SAFETY_TACTILE_ROI_&lt;N&gt;_COUN_ACKNOWLEDG and delete it.
Att_var@ SAFETY_TACTILE</t>
  </si>
  <si>
    <t>REQ-0476870</t>
  </si>
  <si>
    <t>DAT_LI_DEM_EFFAC_DEF
(DEM_EFFAC_DEF_CENTRAL)
Att_var@ LVDS_IN.LVDS1.TRACEABILITY</t>
  </si>
  <si>
    <t>REQ-0476869</t>
  </si>
  <si>
    <t>DAT_LI_DEM_EFFAC_DEF
(DEM_EFFAC_DEF_2ND_DISP)
Att_var@ LVDS_IN.LVDS2.TRACEABILITY</t>
  </si>
  <si>
    <t>REQ-0597050</t>
  </si>
  <si>
    <t>DAT_LI_DEM_EFFAC_DEF
(REQ_GLOBAL_DELETE_INTERNAL_DEF_ON_NETWORKS)
Att_var@ LVDS_IN.LVDS3.TRACEABILITY</t>
  </si>
  <si>
    <t>REQ-0476872</t>
  </si>
  <si>
    <t>DAT_LI_DGT_INFO_COM_OFF_LVDS
(INFO_COM_OFF_LVDS_CENTRAL)
Att_var@ LVDS_IN.LVDS1.TRACEABILITY</t>
  </si>
  <si>
    <t>REQ-0476871</t>
  </si>
  <si>
    <t>DAT_LI_DGT_INFO_COM_OFF_LVDS
(INFO_COM_OFF_2ND_DISP)
Att_var@ LVDS_IN.LVDS2.TRACEABILITY</t>
  </si>
  <si>
    <t>REQ-0597052</t>
  </si>
  <si>
    <t>DAT_LI_DGT_INFO_COM_OFF_LVDS
(INFO_COM_OFF_LVDS_CLUSTER)
Att_var@ LVDS_IN.LVDS3.TRACEABILITY</t>
  </si>
  <si>
    <t>REQ-0476874</t>
  </si>
  <si>
    <t>DAT_LI_INTERD_MEMO_DEF
(INTERD_MEMO_DEF_CENTRAL)
Att_var@ LVDS_IN.LVDS1.TRACEABILITY</t>
  </si>
  <si>
    <t>REQ-0476873</t>
  </si>
  <si>
    <t>DAT_LI_INTERD_MEMO_DEF
(INTERD_MEMO_DEF_2ND_DISP)
Att_var@ LVDS_IN.LVDS2.TRACEABILITY</t>
  </si>
  <si>
    <t>REQ-0597053</t>
  </si>
  <si>
    <t>DAT_LI_INTERD_MEMO_DEF
(NotFound)
Att_var@ LVDS_IN.LVDS3.TRACEABILITY</t>
  </si>
  <si>
    <t>REQ-0476858</t>
  </si>
  <si>
    <t>I</t>
  </si>
  <si>
    <t>DAT_LO_DEFAUT
(FAULT_INFO_FRAME(1)
Att_var@ LVDS_OUT.LVDS1.TRACEABILITY</t>
  </si>
  <si>
    <t>REQ-0476857</t>
  </si>
  <si>
    <t>DAT_LO_DEFAUT
(FAULT_INFO_FRAME(1)
Att_var@ LVDS_OUT.LVDS2.TRACEABILITY</t>
  </si>
  <si>
    <t>REQ-0597044</t>
  </si>
  <si>
    <t>DAT_LO_DEFAUT
(FAULT_INFO_FRAME(1)
Att_var@ LVDS_OUT.LVDS3.TRACEABILITY</t>
  </si>
  <si>
    <t>REQ-0476860</t>
  </si>
  <si>
    <t>DAT_LO_DEGRADE
(DEGRADE_CENTRAL)
Att_var@ LVDS_OUT.LVDS1.TRACEABILITY</t>
  </si>
  <si>
    <t>REQ-0476859</t>
  </si>
  <si>
    <t>DAT_LO_DEGRADE
(DEGRADE_2ND_DISP)
Att_var@ LVDS_OUT.LVDS2.TRACEABILITY</t>
  </si>
  <si>
    <t>REQ-0597045</t>
  </si>
  <si>
    <t>DAT_LO_DEGRADE
(NotFound)
Att_var@ LVDS_OUT.LVDS3.TRACEABILITY</t>
  </si>
  <si>
    <t>REQ-0476862</t>
  </si>
  <si>
    <t>DAT_LO_LIMP_HOME_MODE
(LIMP_HOME_MODE_CENTRAL)
Att_var@ LVDS_OUT.LVDS1.TRACEABILITY</t>
  </si>
  <si>
    <t>REQ-0476861</t>
  </si>
  <si>
    <t>DAT_LO_LIMP_HOME_MODE
(LIMP_HOME_MODE_2ND_DISP)
Att_var@ LVDS_OUT.LVDS2.TRACEABILITY</t>
  </si>
  <si>
    <t>REQ-0597046</t>
  </si>
  <si>
    <t>DAT_LO_LIMP_HOME_MODE
(NotFound)
Att_var@ LVDS_OUT.LVDS3.TRACEABILITY</t>
  </si>
  <si>
    <t>REQ-0476863</t>
  </si>
  <si>
    <t>DAT_LO_PERT_CTX_BSI
(PERT_CTX_BSI_CENTRAL)
Att_var@ LVDS_OUT.LVDS1.TRACEABILITY</t>
  </si>
  <si>
    <t>REQ-0476864</t>
  </si>
  <si>
    <t>DAT_LO_PERT_CTX_BSI
(PERTE_CTX_BSI_2ND_DISP)
Att_var@ LVDS_OUT.LVDS2.TRACEABILITY</t>
  </si>
  <si>
    <t>REQ-0597047</t>
  </si>
  <si>
    <t>DAT_LO_PERT_CTX_BSI
(NotFound)
Att_var@ LVDS_OUT.LVDS3.TRACEABILITY</t>
  </si>
  <si>
    <t>REQ-0476866</t>
  </si>
  <si>
    <t>DAT_LO_RESP_ERROR_DGT
(RESP_ERROR_DGT)
Att_var@ LVDS_OUT.LVDS1.TRACEABILITY</t>
  </si>
  <si>
    <t>REQ-0476865</t>
  </si>
  <si>
    <t>DAT_LO_RESP_ERROR_DGT
(RESP_ERROR_2ND_DISP)
Att_var@ LVDS_OUT.LVDS2.TRACEABILITY</t>
  </si>
  <si>
    <t>REQ-0597048</t>
  </si>
  <si>
    <t>DAT_LO_RESP_ERROR_DGT
(NotFound)
Att_var@ LVDS_OUT.LVDS3.TRACEABILITY</t>
  </si>
  <si>
    <t>REQ-0476867</t>
  </si>
  <si>
    <t>DAT_LO_TYPE_EVT
(FAULT_INFO_FRAME(1)
Att_var@ LVDS_OUT.LVDS1.TRACEABILITY</t>
  </si>
  <si>
    <t>REQ-0476868</t>
  </si>
  <si>
    <t>DAT_LO_TYPE_EVT
(FAULT_INFO_FRAME(1)
Att_var@ LVDS_OUT.LVDS2.TRACEABILITY</t>
  </si>
  <si>
    <t>REQ-0597049</t>
  </si>
  <si>
    <t>DAT_LO_TYPE_EVT
(FAULT_INFO_FRAME(1)
Att_var@ LVDS_OUT.LVDS3.TRACEABILITY</t>
  </si>
  <si>
    <t>REQ-0826376</t>
  </si>
  <si>
    <t>DAT_LO_DGT_LIMP_HOME_MODE
(NotFound)
Att_var@ LVDS_5.LVDS_OUT.TRACEABILITY</t>
  </si>
  <si>
    <t>REQ-0828311</t>
  </si>
  <si>
    <t>DAT_LO_DGT_LIMP_HOME_MODE
(NotFound)
Att_var@ LVDS_1_0.LVDS_OUT.TRACEABILITY</t>
  </si>
  <si>
    <t>REQ-0826377</t>
  </si>
  <si>
    <t>DAT_LO_DGT_LIMP_HOME_MODE
(NotApplicable)
Att_var@ LVDS_2_0.LVDS_OUT.TRACEABILITY</t>
  </si>
  <si>
    <t>REQ-0826378</t>
  </si>
  <si>
    <t>DAT_LO_DGT_RESPONSE_ERROR
(NotFound)
Att_var@ LVDS_1_0.LVDS_OUT.TRACEABILITY</t>
  </si>
  <si>
    <t>REQ-0826379</t>
  </si>
  <si>
    <t>DAT_LO_DGT_RESPONSE_ERROR
(NotFound)
Att_var@ LVDS_5.LVDS_OUT.TRACEABILITY</t>
  </si>
  <si>
    <t>REQ-0826380</t>
  </si>
  <si>
    <t>DAT_LO_DGT_RESPONSE_ERROR
(NotApplicable)
Att_var@ LVDS_2_0.LVDS_OUT.TRACEABILITY</t>
  </si>
  <si>
    <t>REQ-0302906</t>
  </si>
  <si>
    <t>Requirement deleted
Att_var@ NULL</t>
  </si>
  <si>
    <t>REQ-0302979</t>
  </si>
  <si>
    <t>REQ-0302981</t>
  </si>
  <si>
    <t>REQ-0302915</t>
  </si>
  <si>
    <t>REQ-0302952</t>
  </si>
  <si>
    <t>REQ-0302958</t>
  </si>
  <si>
    <t>REQ-0302942</t>
  </si>
  <si>
    <t>REQ-0302953</t>
  </si>
  <si>
    <t>REQ-0302977</t>
  </si>
  <si>
    <t>REQ-0302984</t>
  </si>
  <si>
    <t>REQ-0302965</t>
  </si>
  <si>
    <t>REQ-0302983</t>
  </si>
  <si>
    <t>REQ-0302986</t>
  </si>
  <si>
    <t>REQ-0302989</t>
  </si>
  <si>
    <t>REQ-0302992</t>
  </si>
  <si>
    <t>REQ-0302995</t>
  </si>
  <si>
    <t>REQ-0826317</t>
  </si>
  <si>
    <t>REQ-0908499</t>
  </si>
  <si>
    <t>REQ-0908509</t>
  </si>
  <si>
    <t>REQ-0908461</t>
  </si>
  <si>
    <t>REQ-0908462</t>
  </si>
  <si>
    <t>REQ-0908463</t>
  </si>
  <si>
    <t>REQ-0908464</t>
  </si>
  <si>
    <t>REQ-0908466</t>
  </si>
  <si>
    <t>REQ-0908467</t>
  </si>
  <si>
    <t>REQ-0908468</t>
  </si>
  <si>
    <t>REQ-0908469</t>
  </si>
  <si>
    <t>REQ-0908470</t>
  </si>
  <si>
    <t>REQ-0908471</t>
  </si>
  <si>
    <t>REQ-0908473</t>
  </si>
  <si>
    <t>REQ-0908472</t>
  </si>
  <si>
    <t>REQ-0908474</t>
  </si>
  <si>
    <t>REQ-0908475</t>
  </si>
  <si>
    <t>REQ-0908476</t>
  </si>
  <si>
    <t>REQ-0908477</t>
  </si>
  <si>
    <t>REQ-0908478</t>
  </si>
  <si>
    <t>REQ-0898524</t>
  </si>
  <si>
    <t>REQ-0986497</t>
  </si>
  <si>
    <t>REQ-0997091</t>
  </si>
  <si>
    <t>REQ-0987392</t>
  </si>
  <si>
    <t>REQ-0997376</t>
  </si>
  <si>
    <t>REQ-0986499</t>
  </si>
  <si>
    <t>Description des fichiers analysés</t>
  </si>
  <si>
    <t>Analyse de la conformité du format et données de la MdC</t>
  </si>
  <si>
    <r>
      <rPr>
        <b/>
        <sz val="11"/>
        <color theme="1"/>
        <rFont val="宋体"/>
        <charset val="134"/>
        <scheme val="minor"/>
      </rPr>
      <t>Description de la spécification Technique</t>
    </r>
    <r>
      <rPr>
        <sz val="10"/>
        <rFont val="Arial"/>
        <family val="2"/>
      </rPr>
      <t xml:space="preserve"> (partie Orange de la MDC)</t>
    </r>
  </si>
  <si>
    <r>
      <rPr>
        <b/>
        <sz val="11"/>
        <color theme="1"/>
        <rFont val="宋体"/>
        <charset val="134"/>
        <scheme val="minor"/>
      </rPr>
      <t>Analyse de l'allocation des exigences</t>
    </r>
    <r>
      <rPr>
        <sz val="10"/>
        <rFont val="Arial"/>
        <family val="2"/>
      </rPr>
      <t xml:space="preserve"> (partie verte de la MdC)</t>
    </r>
  </si>
  <si>
    <t>Analyse des retours FNR et PSA
Pack N</t>
  </si>
  <si>
    <t>Analyse des retours FNR et PSA
Pack N-1</t>
  </si>
  <si>
    <t xml:space="preserve">Liste fichiers trouvés : </t>
  </si>
  <si>
    <t>Titre DocInfo</t>
  </si>
  <si>
    <t>Référence</t>
  </si>
  <si>
    <t>Version Template</t>
  </si>
  <si>
    <t>Conformité Tag "Pack", 'Début", "Fin"</t>
  </si>
  <si>
    <t>Conformité mnémonique de la ST</t>
  </si>
  <si>
    <t>Conformité version du  Pack</t>
  </si>
  <si>
    <t>Conformité NA</t>
  </si>
  <si>
    <t>Version de la ST "N"</t>
  </si>
  <si>
    <t>Pack de la ST "N"</t>
  </si>
  <si>
    <t>Nombre d'exigence ST "N"</t>
  </si>
  <si>
    <t>Version ST du pack précédent "N-1"</t>
  </si>
  <si>
    <t>Pack de la ST précédente "N-1"</t>
  </si>
  <si>
    <t>Pack N</t>
  </si>
  <si>
    <t>Pack N-1</t>
  </si>
  <si>
    <t>Exigence Applicable</t>
  </si>
  <si>
    <t>Exigence Nouvelle</t>
  </si>
  <si>
    <t>Exigence Modifiée</t>
  </si>
  <si>
    <t>Exigence Supprimée</t>
  </si>
  <si>
    <t>Exigence non renseignée</t>
  </si>
  <si>
    <t>Applibilité OK</t>
  </si>
  <si>
    <t>Applibilité WAIT</t>
  </si>
  <si>
    <t>Applibilité DEVIATION</t>
  </si>
  <si>
    <t>Applibilité BLOCKING</t>
  </si>
  <si>
    <t>Applibilité Not clear</t>
  </si>
  <si>
    <t>Retour</t>
  </si>
  <si>
    <t>Aide Générale</t>
  </si>
  <si>
    <t>Le rôle de la matrice d'application/conformité PSA</t>
  </si>
  <si>
    <t>Elle permet de centraliser dans un ou plusieurs fichiers l'ensemble des exigences et documents applicables à un organe/projet donné et également d'avoir un retour de la part du fournisseur sur la conformité et la validation de chacune de ces exigences/documents.</t>
  </si>
  <si>
    <r>
      <rPr>
        <sz val="10"/>
        <rFont val="Arial"/>
        <charset val="178"/>
      </rPr>
      <t xml:space="preserve">La syntaxe du fichier informatique sera la suivante : 
</t>
    </r>
    <r>
      <rPr>
        <b/>
        <sz val="10"/>
        <rFont val="Arial"/>
        <family val="2"/>
      </rPr>
      <t>xxxxx_xx_xxxxx_v1_Matrice_application_conformité_specifications_FUNCTIONy_DEVICEz.xls</t>
    </r>
  </si>
  <si>
    <t>Le mode de fonctionnement</t>
  </si>
  <si>
    <t>Localisation</t>
  </si>
  <si>
    <r>
      <rPr>
        <sz val="10"/>
        <rFont val="Arial"/>
        <charset val="178"/>
      </rPr>
      <t xml:space="preserve">La/Les matrices d'application/conformité sont référencées et stockées sous </t>
    </r>
    <r>
      <rPr>
        <b/>
        <sz val="10"/>
        <rFont val="Arial"/>
        <family val="2"/>
      </rPr>
      <t xml:space="preserve">DocInfo.
L'officialisation sous SAP </t>
    </r>
    <r>
      <rPr>
        <sz val="10"/>
        <rFont val="Arial"/>
        <family val="2"/>
      </rPr>
      <t xml:space="preserve">de l'ensemble des matrices d'application/conformité d'un organe avec une référence 98M est de la responsabilité du Chargé de développement. </t>
    </r>
  </si>
  <si>
    <t>Fonctionnement</t>
  </si>
  <si>
    <t>La matrice d'application/conformité sera officialisée à chaque pack de livraison (envoi de spécifications) sous : 
- SAP par le Chargé de développement, 
- DocInfo (version publiée) par le rédacteur de la/des ST concernées</t>
  </si>
  <si>
    <t>Aide "First page"</t>
  </si>
  <si>
    <t>Le rôle de la page de garde</t>
  </si>
  <si>
    <t>La page de garde permet de renseigner l'historique des modifications.</t>
  </si>
  <si>
    <t>Les évolutions (dans les grandes lignes) sont mentionnées dans la colonne "Nature des modifications" à chaque diffusion du document vers le fournisseur.</t>
  </si>
  <si>
    <t>Aide "Application &amp; Conformity matrix"</t>
  </si>
  <si>
    <t>Le rôle de l'onglet "Application &amp; Conformity matrix"</t>
  </si>
  <si>
    <t>Cet onglet contient 2 parties :
- Une partie « Etat réel » (Photo) des documents (liste des exigences avec indice, indice de normes, indice des documents amonts applicables (CAN, DIAG)) à chaque date de figeage pour livraison (partie Orange)
- Une partie « Applicative Projet » à chaque date de figeage pour livraison -&gt; indice des exigences et documents à réellement appliquer sur l‘organe. Cette partie est encore scindée en deux parties : une correspondant à la matrice d'application des exigences et documents (partie Verte) et l'autre correspondant à la matrice de conformité (partie Jaune).</t>
  </si>
  <si>
    <t xml:space="preserve">Le nombre de matrice d'application/conformité propre à un organe donné, dependra de l'organe et du nombre de référents fonctions ISD impliqués.
Chaque rédacteur de STO remplira conjointement avec le CD la partie applicative de la matrice d’application/conformité correspondante à la STO avant livraison.
Le CD est pilote et garant du remplissage de chacune des matrices par tous les contributeurs PSA à la date de livraison. </t>
  </si>
  <si>
    <t>Description des lignes</t>
  </si>
  <si>
    <t>Lignes</t>
  </si>
  <si>
    <t xml:space="preserve">Description des lignes </t>
  </si>
  <si>
    <t>Service PSA contributeur</t>
  </si>
  <si>
    <t>02017_16_05371_ComplianceMatrixProcess</t>
  </si>
  <si>
    <t>GEN</t>
  </si>
  <si>
    <t>Liste des exigences de la ST Générique de l'organe. 
Les exigences taguées en Violet sont des exigences avec paramètres propre à chaque projet applicateur dont les valeurs sont spécifiées sous forme d'exigences dans l'onglet "Specific parameters"</t>
  </si>
  <si>
    <t>Current version : 1.0</t>
  </si>
  <si>
    <t>3.2 Documents applicables (ST GEN)</t>
  </si>
  <si>
    <t>Liste de tous les documents applicables à l'organe (Normes, STE, …)</t>
  </si>
  <si>
    <t>FCT</t>
  </si>
  <si>
    <t>Liste de toutes les exigences d'une ou plusieurs ST Fonctionnelles applicables à l'organe</t>
  </si>
  <si>
    <t>Messageries réseaux (CAN, LIN, DIAG)</t>
  </si>
  <si>
    <t>Liste des messageries appliquées à l'organe</t>
  </si>
  <si>
    <t>Libellés</t>
  </si>
  <si>
    <t>Fichier contenant l'ensemble des libellés de l'organe (traduit ou non)</t>
  </si>
  <si>
    <t>IHM</t>
  </si>
  <si>
    <t>Liste de toutes les exigences d'une ou plusieurs ST IHM applicables à l'organe</t>
  </si>
  <si>
    <t>Extract :</t>
  </si>
  <si>
    <t>Base graphique IHM</t>
  </si>
  <si>
    <t>Liste de toutes les exigences ou documents correspondant à la base graphique IHM de l'organe</t>
  </si>
  <si>
    <t>Polices</t>
  </si>
  <si>
    <t>Référence des polices utilisées</t>
  </si>
  <si>
    <t>Description des colonnes</t>
  </si>
  <si>
    <t>Colonnes</t>
  </si>
  <si>
    <t xml:space="preserve">Description des colonnes </t>
  </si>
  <si>
    <t>Contributeur</t>
  </si>
  <si>
    <t>Liste des documents et exigences applicables</t>
  </si>
  <si>
    <t>Cette colonne liste toutes les exigences (sans version) de tous les documents applicables ainsi que les documents applicables à l'organe</t>
  </si>
  <si>
    <t>PSA</t>
  </si>
  <si>
    <t>Référence des documents</t>
  </si>
  <si>
    <t>Responsable PSA de validation</t>
  </si>
  <si>
    <t>Permet de renseigner l'entité responsable de la validation de l'exigence/document en question afin de facilité la création du Plan de Validation Organe (PVO).</t>
  </si>
  <si>
    <t xml:space="preserve">Indique la version "réelle" de chaque exigence à la date de figeage des spécifications. </t>
  </si>
  <si>
    <t>Descriptif de la dernière version de l'exigence pour information uniquement (optionnel)</t>
  </si>
  <si>
    <t xml:space="preserve">Cette colonne permet de renseigner, à titre informatif uniquement, un extrait du descriptif de la dernière version de l'exigence. Le remplissage de cette colonne est optionnel et libre choix est donné au référent de la ST concernée de la renseigner ou non. </t>
  </si>
  <si>
    <t>Version applicable</t>
  </si>
  <si>
    <t>Indique la version applicable de chaque exigence ou de chaque document (Norme, …).
Le Statut "NA" devra être renseigné pour les exigences supprimées</t>
  </si>
  <si>
    <t>Conformité / Commentaires</t>
  </si>
  <si>
    <t>Le fournisseur indique son engagement sur la tenue de chaque exigence ou l'applicabilité de chaque document (Statut OK ou NOK). Des commentaires / justifications doivent être rajoutés à chaque statut.</t>
  </si>
  <si>
    <t>FNR</t>
  </si>
  <si>
    <t>Statut PSA / Commentaires</t>
  </si>
  <si>
    <t>PSA indique son statut (OK, NOK, NA, DEVIATION, EN ATTENTE) en face de chaque statut "Conformité" renseigné par le fournisseur. Des commentaires peuvent être rajoutés à chaque statut.
En cas de DEVIATION, le champ Commentaires contiendra le lien DocInfo vers la note technique de justification du fournisseur</t>
  </si>
  <si>
    <t>Version appliquée / Statut Test FNR / Référence Test / Commentaires</t>
  </si>
  <si>
    <t>Le fournisseur renseignera ces colonnes à chaque livraison de pièces à PSA . Le fournisseur indique les versions d'exigences et de documents appliqués et si elles ont été testées ou non et renseigne sa référence de test interne. Des commentaires peuvent être rajoutés à chaque statut.</t>
  </si>
  <si>
    <r>
      <rPr>
        <b/>
        <sz val="8"/>
        <rFont val="Arial"/>
        <family val="2"/>
      </rPr>
      <t xml:space="preserve">Code couleur / </t>
    </r>
    <r>
      <rPr>
        <b/>
        <sz val="8"/>
        <color indexed="12"/>
        <rFont val="Arial"/>
        <family val="2"/>
      </rPr>
      <t xml:space="preserve">Color code </t>
    </r>
    <r>
      <rPr>
        <sz val="8"/>
        <rFont val="Arial"/>
        <family val="2"/>
      </rPr>
      <t xml:space="preserve">(Colonne "Version" et "Version applicable" / </t>
    </r>
    <r>
      <rPr>
        <sz val="8"/>
        <color indexed="12"/>
        <rFont val="Arial"/>
        <family val="2"/>
      </rPr>
      <t>"Version" and "Applicable version" Column</t>
    </r>
    <r>
      <rPr>
        <sz val="8"/>
        <rFont val="Arial"/>
        <family val="2"/>
      </rPr>
      <t>)</t>
    </r>
  </si>
  <si>
    <r>
      <rPr>
        <sz val="8"/>
        <rFont val="Arial"/>
        <family val="2"/>
      </rPr>
      <t xml:space="preserve">Erreur de régression dans la version de l'exigence/document par rapport à la précédente livraison
</t>
    </r>
    <r>
      <rPr>
        <sz val="8"/>
        <color indexed="12"/>
        <rFont val="Arial"/>
        <family val="2"/>
      </rPr>
      <t>Error of regression in the version of the requirement/document compared to the preceding consignment</t>
    </r>
  </si>
  <si>
    <r>
      <rPr>
        <sz val="8"/>
        <rFont val="Arial"/>
        <family val="2"/>
      </rPr>
      <t xml:space="preserve">Exigence/document supprimé ou non applicable
</t>
    </r>
    <r>
      <rPr>
        <sz val="8"/>
        <color indexed="12"/>
        <rFont val="Arial"/>
        <family val="2"/>
      </rPr>
      <t xml:space="preserve">Requirement/document not applicable or removed </t>
    </r>
  </si>
  <si>
    <r>
      <rPr>
        <sz val="8"/>
        <rFont val="Arial"/>
        <family val="2"/>
      </rPr>
      <t xml:space="preserve">Evolution de la version d'exigence/document par rapport à la précédente livraison
</t>
    </r>
    <r>
      <rPr>
        <sz val="8"/>
        <color indexed="12"/>
        <rFont val="Arial"/>
        <family val="2"/>
      </rPr>
      <t>Evolution of the version of requirement/document compared to the preceding consignment</t>
    </r>
  </si>
  <si>
    <t>Aide "Specific Parameters"</t>
  </si>
  <si>
    <t>Cet onglet contient des exigences applicatives à un projet donné qui précisent les paramètres.</t>
  </si>
  <si>
    <t>AUDIT MdC</t>
  </si>
  <si>
    <t>jeudi 24 octobre 2013</t>
  </si>
  <si>
    <t xml:space="preserve">Note </t>
  </si>
  <si>
    <t>Document de référence</t>
  </si>
  <si>
    <t>Matrice de conformité - modèle AISL  (TEMPLATE)</t>
  </si>
  <si>
    <t>http://docinfogroupe.inetpsa.com/ead/doc/ref.02017_12_05435/v.vc/fiche</t>
  </si>
  <si>
    <t>Outil de contrôle des matrice de conformité</t>
  </si>
  <si>
    <t>http://docinfogroupe.inetpsa.com/ead/doc/ref.02017_13_09769/v.vc/fiche</t>
  </si>
  <si>
    <t>Note - Matrice de conformité mode d'emploi</t>
  </si>
  <si>
    <t>Processus de création/mise à jour de matrice de conformité.</t>
  </si>
  <si>
    <t>http://docinfogroupe.inetpsa.com/ead/doc/ref.02017_12_01062/v.dp/fiche</t>
  </si>
  <si>
    <t>[AISL] Trame type Revue Technique</t>
  </si>
  <si>
    <t>http://docinfogroupe.inetpsa.com/ead/doc/ref.02017_13_01490/v.vc/fiche</t>
  </si>
  <si>
    <t>Quand faut-il mettre à jour la matrice de conformité ?</t>
  </si>
  <si>
    <t>Une MdC est modifiée en version si au moins 1 exigence de la STO a été modifié (suppression,  ajout, modification (d’indice))  ou si l’applicabilité à évoluée (indice d’exigence, NA). Ces mises à jour doivent apparaitre :</t>
  </si>
  <si>
    <t>- Dans la partie Référentiel (image de la STO courante) – pack de livraison en cours</t>
  </si>
  <si>
    <t>- Dans la partie applicabilité (image de l’application à l’organe) – pack de livraison en cours</t>
  </si>
  <si>
    <t>Une MdC est modifiée pour y reporter les évaluations /Commentaire Fournisseur.</t>
  </si>
  <si>
    <t>Note : on n'ajoute pas la colonne de « pack de livraison » courant,  si aucune modification n'a été apportée à la MdC.</t>
  </si>
  <si>
    <t>Par conséquent, une MDC ne trace pas l'ensemble des pack de livraison mais seulement les mises à jour de la STO.</t>
  </si>
  <si>
    <r>
      <rPr>
        <sz val="11"/>
        <rFont val="Calibri"/>
        <family val="2"/>
      </rPr>
      <t> </t>
    </r>
    <r>
      <rPr>
        <b/>
        <sz val="13"/>
        <color rgb="FF366092"/>
        <rFont val="Calibri"/>
        <family val="2"/>
      </rPr>
      <t xml:space="preserve">ue faut-il contrôler dans la matrice d'application ? </t>
    </r>
  </si>
  <si>
    <t>Contrôle sur le format de la MdC</t>
  </si>
  <si>
    <t>Statistique sur MdC en cours</t>
  </si>
  <si>
    <t>Statistique sur le Delta MDC Pack N et M (ou N et N-1)</t>
  </si>
  <si>
    <t xml:space="preserve"> Qui ? </t>
  </si>
  <si>
    <t>1) Le rédacteur de la STO doit veiller à la conformité de la matrice d'application.</t>
  </si>
  <si>
    <t>2) L'administrateur lors des livraisons de Pack</t>
  </si>
  <si>
    <t xml:space="preserve">Annexe : </t>
  </si>
  <si>
    <t>L'outil réalise l'analyse suivante</t>
  </si>
  <si>
    <t>Conformité du format de la MdC</t>
  </si>
  <si>
    <t>modèle du fichier MdC. La matrice d'application doit être conforme au modèle AISL. (cellule 1,1)</t>
  </si>
  <si>
    <t>Ligne 1, présence du  Tag "Fin Figeage (ne pas supprimer!)"  et "STOP"</t>
  </si>
  <si>
    <t>Colonne 1, Le tag "début exigence"Version du pack. La version du pack doit être renseignée selon le modèle 1xVx (13V2)</t>
  </si>
  <si>
    <t>Valeur (ex: NA). La syntaxe "NA" doit être respectée (syntaxe refusée N/A)</t>
  </si>
  <si>
    <r>
      <rPr>
        <sz val="11"/>
        <color rgb="FF000000"/>
        <rFont val="Calibri"/>
        <family val="2"/>
      </rPr>
      <t xml:space="preserve"> TS name (</t>
    </r>
    <r>
      <rPr>
        <i/>
        <sz val="11"/>
        <color rgb="FF000000"/>
        <rFont val="Calibri"/>
        <family val="2"/>
      </rPr>
      <t>mnémonique organe. Il doit être conforme à la liste de référence (voir Référentiel))</t>
    </r>
  </si>
  <si>
    <t>TS last version + pack</t>
  </si>
  <si>
    <t>TS previous version + pack</t>
  </si>
  <si>
    <t>Contenu de référentiel</t>
  </si>
  <si>
    <t>Nom du Pack N</t>
  </si>
  <si>
    <t>Version de la ST du pack N</t>
  </si>
  <si>
    <t>Nombre d'exigence de la ST du pack N</t>
  </si>
  <si>
    <t>Nom du Pack N-1</t>
  </si>
  <si>
    <t>Version de la ST du pack N-1</t>
  </si>
  <si>
    <t>Analyse de l'allocation</t>
  </si>
  <si>
    <t>Nom du pack N-1</t>
  </si>
  <si>
    <r>
      <rPr>
        <sz val="11"/>
        <color rgb="FF000000"/>
        <rFont val="Calibri"/>
        <family val="2"/>
      </rPr>
      <t xml:space="preserve">Nombre d'exigences </t>
    </r>
    <r>
      <rPr>
        <i/>
        <sz val="11"/>
        <color rgb="FF000000"/>
        <rFont val="Calibri"/>
        <family val="2"/>
      </rPr>
      <t>Applicables</t>
    </r>
    <r>
      <rPr>
        <sz val="11"/>
        <color rgb="FF000000"/>
        <rFont val="Calibri"/>
        <family val="2"/>
      </rPr>
      <t xml:space="preserve">  du pack N</t>
    </r>
  </si>
  <si>
    <r>
      <rPr>
        <sz val="11"/>
        <color rgb="FF000000"/>
        <rFont val="Calibri"/>
        <family val="2"/>
      </rPr>
      <t xml:space="preserve">Nombre d'exigences </t>
    </r>
    <r>
      <rPr>
        <i/>
        <sz val="11"/>
        <color rgb="FF000000"/>
        <rFont val="Calibri"/>
        <family val="2"/>
      </rPr>
      <t>Nouvelles</t>
    </r>
    <r>
      <rPr>
        <sz val="11"/>
        <color rgb="FF000000"/>
        <rFont val="Calibri"/>
        <family val="2"/>
      </rPr>
      <t xml:space="preserve">  du pack N</t>
    </r>
  </si>
  <si>
    <t>Nombre d'exigences Modifiées du pack N</t>
  </si>
  <si>
    <r>
      <rPr>
        <sz val="11"/>
        <color rgb="FF000000"/>
        <rFont val="Calibri"/>
        <family val="2"/>
      </rPr>
      <t xml:space="preserve">Nombre d'exigences </t>
    </r>
    <r>
      <rPr>
        <i/>
        <sz val="11"/>
        <color rgb="FF000000"/>
        <rFont val="Calibri"/>
        <family val="2"/>
      </rPr>
      <t>Supprimées</t>
    </r>
    <r>
      <rPr>
        <sz val="11"/>
        <color rgb="FF000000"/>
        <rFont val="Calibri"/>
        <family val="2"/>
      </rPr>
      <t xml:space="preserve"> du pack N</t>
    </r>
  </si>
  <si>
    <r>
      <rPr>
        <sz val="11"/>
        <color rgb="FF000000"/>
        <rFont val="Calibri"/>
        <family val="2"/>
      </rPr>
      <t xml:space="preserve">Nombre d'exigences </t>
    </r>
    <r>
      <rPr>
        <i/>
        <sz val="11"/>
        <color rgb="FF000000"/>
        <rFont val="Calibri"/>
        <family val="2"/>
      </rPr>
      <t>Non Allouées</t>
    </r>
    <r>
      <rPr>
        <sz val="11"/>
        <color rgb="FF000000"/>
        <rFont val="Calibri"/>
        <family val="2"/>
      </rPr>
      <t xml:space="preserve"> du pack N</t>
    </r>
  </si>
  <si>
    <t>Analyse des retours FNR / PSA</t>
  </si>
  <si>
    <r>
      <rPr>
        <sz val="11"/>
        <color rgb="FF000000"/>
        <rFont val="Calibri"/>
        <family val="2"/>
      </rPr>
      <t xml:space="preserve">Nombre d'exigences </t>
    </r>
    <r>
      <rPr>
        <i/>
        <sz val="11"/>
        <color rgb="FF000000"/>
        <rFont val="Calibri"/>
        <family val="2"/>
      </rPr>
      <t xml:space="preserve">Applicabilité OK </t>
    </r>
    <r>
      <rPr>
        <sz val="11"/>
        <color rgb="FF000000"/>
        <rFont val="Calibri"/>
        <family val="2"/>
      </rPr>
      <t>du pack N</t>
    </r>
  </si>
  <si>
    <t>Avis FNR</t>
  </si>
  <si>
    <t>Avis PSA</t>
  </si>
  <si>
    <t>Vide</t>
  </si>
  <si>
    <r>
      <rPr>
        <sz val="11"/>
        <color rgb="FF000000"/>
        <rFont val="Calibri"/>
        <family val="2"/>
      </rPr>
      <t xml:space="preserve">Nombre d'exigences </t>
    </r>
    <r>
      <rPr>
        <i/>
        <sz val="11"/>
        <color rgb="FF000000"/>
        <rFont val="Calibri"/>
        <family val="2"/>
      </rPr>
      <t xml:space="preserve">Applicabilité EN ATTENTE </t>
    </r>
    <r>
      <rPr>
        <sz val="11"/>
        <color rgb="FF000000"/>
        <rFont val="Calibri"/>
        <family val="2"/>
      </rPr>
      <t>du pack N</t>
    </r>
  </si>
  <si>
    <r>
      <rPr>
        <sz val="11"/>
        <color rgb="FF000000"/>
        <rFont val="Calibri"/>
        <family val="2"/>
      </rPr>
      <t xml:space="preserve">Nombre d'exigences </t>
    </r>
    <r>
      <rPr>
        <i/>
        <sz val="11"/>
        <color rgb="FF000000"/>
        <rFont val="Calibri"/>
        <family val="2"/>
      </rPr>
      <t xml:space="preserve">Applicabilité en DEVIATION </t>
    </r>
    <r>
      <rPr>
        <sz val="11"/>
        <color rgb="FF000000"/>
        <rFont val="Calibri"/>
        <family val="2"/>
      </rPr>
      <t>du pack N</t>
    </r>
  </si>
  <si>
    <r>
      <rPr>
        <sz val="11"/>
        <color rgb="FF000000"/>
        <rFont val="Calibri"/>
        <family val="2"/>
      </rPr>
      <t xml:space="preserve">Nombre d'exigences </t>
    </r>
    <r>
      <rPr>
        <i/>
        <sz val="11"/>
        <color rgb="FF000000"/>
        <rFont val="Calibri"/>
        <family val="2"/>
      </rPr>
      <t xml:space="preserve">Applicabilité en BLOCAGE </t>
    </r>
    <r>
      <rPr>
        <sz val="11"/>
        <color rgb="FF000000"/>
        <rFont val="Calibri"/>
        <family val="2"/>
      </rPr>
      <t>du pack N</t>
    </r>
  </si>
  <si>
    <r>
      <rPr>
        <sz val="11"/>
        <color rgb="FF000000"/>
        <rFont val="Calibri"/>
        <family val="2"/>
      </rPr>
      <t xml:space="preserve">Nombre d'exigences </t>
    </r>
    <r>
      <rPr>
        <i/>
        <sz val="11"/>
        <color rgb="FF000000"/>
        <rFont val="Calibri"/>
        <family val="2"/>
      </rPr>
      <t>Applicabilité NON CONFORME</t>
    </r>
    <r>
      <rPr>
        <sz val="11"/>
        <color rgb="FF000000"/>
        <rFont val="Calibri"/>
        <family val="2"/>
      </rPr>
      <t xml:space="preserve"> du pack N</t>
    </r>
  </si>
  <si>
    <t>vide</t>
  </si>
  <si>
    <t>Liste Organes</t>
  </si>
  <si>
    <t>AIDA2020</t>
  </si>
  <si>
    <t>[FCT_GEN_TS_ONOFF]</t>
  </si>
  <si>
    <t>[FCT_GEN_TS_ALARMS] Gestionnaire alertes BSI</t>
  </si>
  <si>
    <t xml:space="preserve">[FCT_GEN_TS_ALARMS_TAB] Tableau des alertes BSI </t>
  </si>
  <si>
    <t>[FCT_GEN_TS_AQIPS] Audio Quality In Phone Source</t>
  </si>
  <si>
    <t>[FCT_GEN_TS_AUDIO_PARAM]</t>
  </si>
  <si>
    <t>[FCT_GEN_TS_BRIGHTNESS]</t>
  </si>
  <si>
    <t>[FCT_GEN_TS_CEDC] Consumer Electronics Device Control</t>
  </si>
  <si>
    <t>[FCT_GEN_TS_CLIMATE]</t>
  </si>
  <si>
    <t>[FCT_GEN_TS_CONNECT]</t>
  </si>
  <si>
    <t>[FCT_GEN_TS_DOUBLE_PHONE]</t>
  </si>
  <si>
    <t>[FCT_GEN_TS_DRIVE]</t>
  </si>
  <si>
    <t>[FCT_GEN_TS_DRIVE_SPEED_CONTROL]</t>
  </si>
  <si>
    <t>[FCT_GEN_TS_ENGINE_MODE] TS ENGINEERING MODE</t>
  </si>
  <si>
    <t>[FCT_GEN_TS_HYBRID]</t>
  </si>
  <si>
    <t>[FCT_GEN_TS_LVDS_BIDIR_NETWORK_DATA_OF_FUNCTIONAL_MANAGEMENT]</t>
  </si>
  <si>
    <t>[FCT_GEN_TS_MEDIA]</t>
  </si>
  <si>
    <t>[FCT_GEN_TS_MESS_SERVICES]</t>
  </si>
  <si>
    <t>[FCT_GEN_TS_MOBILE_OFFICE]</t>
  </si>
  <si>
    <t>[FCT_GEN_TS_NAV]</t>
  </si>
  <si>
    <t>[FCT_GEN_TS_OBC] On_Board Computer</t>
  </si>
  <si>
    <t>[FCT_GEN_TS_PAS] Parking and Aid System</t>
  </si>
  <si>
    <t>[FCT_GEN_TS_PHONE]</t>
  </si>
  <si>
    <t>[FCT_GEN_TS_RADIO_RECEPT]</t>
  </si>
  <si>
    <t>[FCT_GEN_TS_SERVICE_MANAGEMENT]</t>
  </si>
  <si>
    <t>[FCT_GEN_TS_SETTINGS] Vehicle Settings</t>
  </si>
  <si>
    <t>[FCT_GEN_TS_TIM] ST interprétation cdes écran tactile</t>
  </si>
  <si>
    <t>[FCT_GEN_TS_USER_CMD]</t>
  </si>
  <si>
    <t>[FCT_GEN_TS_VHLF_CAN] CAN for Vehicle function</t>
  </si>
  <si>
    <t>[FCT_GEN_TS_VOICE_RECO_SMARTPHONE] Voice Recognition Smartphone</t>
  </si>
  <si>
    <t>[FCT_RCC_TS_DIAG_DEF_MAT] Matrice des défauts RCC</t>
  </si>
  <si>
    <t>[HMI_GEN_TS_HYPHENATION_TEXT_RULES] ST IHM Régle de césure automatique</t>
  </si>
  <si>
    <t>[Services] FCT_GEN_TS_UPGRADE</t>
  </si>
  <si>
    <t>[Services] FCT_GEN_TS_WEB</t>
  </si>
  <si>
    <t>02017_12_01302_TS_SMARTAPPS</t>
  </si>
  <si>
    <t>Application Framework Software Requirements Specifications</t>
  </si>
  <si>
    <t>CDC Connect pour BTEL</t>
  </si>
  <si>
    <t>Complément règles de com CAN_LS pour les organes multimédia</t>
  </si>
  <si>
    <t>Enhanced Positioning Software Requirements Specification</t>
  </si>
  <si>
    <t>GEN-BTEL-ST-HANDWRITING</t>
  </si>
  <si>
    <t>GEN-BTEL-ST-HMI</t>
  </si>
  <si>
    <t>GEN-BTEL-ST-SPEECHRECO</t>
  </si>
  <si>
    <t>Generic HMI</t>
  </si>
  <si>
    <t>HMI Framework Software Requirements Specifications</t>
  </si>
  <si>
    <t>HMI-OVIP-ST-ADDRBOOK</t>
  </si>
  <si>
    <t>HMI-OVIP-ST-AUDIO</t>
  </si>
  <si>
    <t>HMI-OVIP-ST-CLIMATE</t>
  </si>
  <si>
    <t>HMI-OVIP-ST-CONNECTIVITY</t>
  </si>
  <si>
    <t>HMI-OVIP-ST-CUSTOM</t>
  </si>
  <si>
    <t>HMI-OVIP-ST-DIAGNOSIS</t>
  </si>
  <si>
    <t>HMI-OVIP-ST-DRIVE</t>
  </si>
  <si>
    <t>HMI-OVIP-ST-INPUTDEV</t>
  </si>
  <si>
    <t>HMI-OVIP-ST-INSTRUCTIONS</t>
  </si>
  <si>
    <t>HMI-OVIP-ST-INTERNET</t>
  </si>
  <si>
    <t>HMI-OVIP-ST-MEDIA</t>
  </si>
  <si>
    <t>HMI-OVIP-ST-ONOFF</t>
  </si>
  <si>
    <t>HMI-OVIP-ST-PHONE</t>
  </si>
  <si>
    <t>HMI-OVIP-ST-PICTURE</t>
  </si>
  <si>
    <t>HMI-OVIP-ST-RADIO</t>
  </si>
  <si>
    <t>HMI-OVIP-ST-SETTINGS</t>
  </si>
  <si>
    <t>HMI-OVIP-ST-SYSUPDATE</t>
  </si>
  <si>
    <t>HMI-OVIP-ST-VIDEO_TV</t>
  </si>
  <si>
    <t>Platform Software Requirements Specification</t>
  </si>
  <si>
    <t>ST_DATA_EXCHANGE_MECHANISMS Over USB link</t>
  </si>
  <si>
    <t>ST_GEN_USB</t>
  </si>
  <si>
    <t>TS DATA FLOWS PROTOCOLS BTEL</t>
  </si>
  <si>
    <t>Visio Park Core Software Requirements Specification</t>
  </si>
  <si>
    <t>HMI_CMBNUM_TS_Alert</t>
  </si>
  <si>
    <t>HMI_CMBNUM_TS_Climate</t>
  </si>
  <si>
    <t>HMI_CMBNUM_TS_Drive</t>
  </si>
  <si>
    <t>HMI_CMBNUM_TS_Gauge</t>
  </si>
  <si>
    <t>HMI_CMBNUM_TS_Gearbox</t>
  </si>
  <si>
    <t>HMI_CMBNUM_TS_Hybrid</t>
  </si>
  <si>
    <t>HMI_CMBNUM_TS_OBC</t>
  </si>
  <si>
    <t>HMI_CMBNUM_TS_Park</t>
  </si>
  <si>
    <t>HMI_CMBNUM_TS_Settings</t>
  </si>
  <si>
    <t>HMI_CMBNUM_TS_Telltales</t>
  </si>
  <si>
    <t>HMI_CMBNUM_TS_AUDIO</t>
  </si>
  <si>
    <t>HMI_CMBNUM_TS_PHONE</t>
  </si>
  <si>
    <t>HMI-CMBNUM-TS-NAVIGATION</t>
  </si>
  <si>
    <t>HMI-CMBNUM-TS-ONOFF</t>
  </si>
  <si>
    <t>HMI-CMBNUM-TS-INPUTDEV</t>
  </si>
  <si>
    <t>HMI_VHL_ST_GEN</t>
  </si>
  <si>
    <t>HMI-CMBNUM-TS-GEN</t>
  </si>
  <si>
    <t>HMI-CMB-TS-GEARBOX</t>
  </si>
  <si>
    <t>HMI-CMB-TS-GAUGE</t>
  </si>
  <si>
    <t>HMI-CMB-TS-TELLTALE</t>
  </si>
  <si>
    <t>HMI-CMB-TS-DRIVE</t>
  </si>
  <si>
    <t>HMI-CMB-TS-OBC</t>
  </si>
  <si>
    <t>HMI-CMB-TS-ALERT</t>
  </si>
  <si>
    <t>HMI-CMB-TS-SETTINGS</t>
  </si>
  <si>
    <t>HMI-CMB-TS-PARK</t>
  </si>
  <si>
    <t>HMI-CMB-TS-NAVIGATION</t>
  </si>
  <si>
    <t>HMI-CMB-TS-ONOFF</t>
  </si>
  <si>
    <t>HMI-CMB_MOD-ST-GEN</t>
  </si>
  <si>
    <t>HMI-CMB_MOD-ST-INPUTDEV</t>
  </si>
  <si>
    <t>REQ-0302910</t>
    <phoneticPr fontId="14" type="noConversion"/>
  </si>
  <si>
    <t>REQ-0302905</t>
    <phoneticPr fontId="14" type="noConversion"/>
  </si>
  <si>
    <t>REQ-0894140</t>
    <phoneticPr fontId="14" type="noConversion"/>
  </si>
  <si>
    <t>REQ-0302919</t>
    <phoneticPr fontId="14" type="noConversion"/>
  </si>
  <si>
    <t>REQ-0995719</t>
    <phoneticPr fontId="14" type="noConversion"/>
  </si>
  <si>
    <t>REQ-0826289</t>
    <phoneticPr fontId="14" type="noConversion"/>
  </si>
  <si>
    <t>we use seperate R,G,B CRC calculation, the overall RGB CRC algorithm is not applicable, on clarification with customer in DM14.9 project.</t>
  </si>
  <si>
    <t>we use seperate R,G,B CRC calculation, the overall RGB CRC algorithm is not applicable, on clarification with customer in DM14.9 project.</t>
    <phoneticPr fontId="14" type="noConversion"/>
  </si>
  <si>
    <t>we use seperate R,G,B CRC calculation, the overall RGB CRC algorithm is not applicable, on clarification with customer in DM14.9 project.</t>
    <phoneticPr fontId="14" type="noConversion"/>
  </si>
  <si>
    <t>Currently, CRC check is performed using the G, R, B separate method.</t>
    <phoneticPr fontId="14" type="noConversion"/>
  </si>
  <si>
    <t>The requirements need to be clarified. Also on clarification with customer in DM14.9 project.</t>
    <phoneticPr fontId="14" type="noConversion"/>
  </si>
  <si>
    <t>The requirements need to be clarified. Also on clarification with customer in DM14.9 project.</t>
    <phoneticPr fontId="1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</si>
</sst>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59">
    <font>
      <sz val="10"/>
      <name val="Arial"/>
      <charset val="134"/>
    </font>
    <font>
      <sz val="11"/>
      <color theme="1"/>
      <name val="宋体"/>
      <charset val="134"/>
      <scheme val="minor"/>
    </font>
    <font>
      <b/>
      <sz val="11"/>
      <color theme="1"/>
      <name val="宋体"/>
      <charset val="134"/>
      <scheme val="minor"/>
    </font>
    <font>
      <sz val="17"/>
      <name val="Calibri"/>
      <family val="2"/>
    </font>
    <font>
      <sz val="10"/>
      <color rgb="FF808080"/>
      <name val="Calibri"/>
      <family val="2"/>
    </font>
    <font>
      <b/>
      <sz val="16"/>
      <color rgb="FF17365D"/>
      <name val="Calibri"/>
      <family val="2"/>
    </font>
    <font>
      <sz val="11"/>
      <name val="Calibri"/>
      <family val="2"/>
    </font>
    <font>
      <b/>
      <i/>
      <sz val="11"/>
      <name val="Calibri"/>
      <family val="2"/>
    </font>
    <font>
      <u/>
      <sz val="10"/>
      <color indexed="12"/>
      <name val="Arial"/>
      <family val="2"/>
    </font>
    <font>
      <b/>
      <sz val="13"/>
      <color rgb="FF366092"/>
      <name val="Calibri"/>
      <family val="2"/>
    </font>
    <font>
      <b/>
      <sz val="11"/>
      <color rgb="FF366092"/>
      <name val="Calibri"/>
      <family val="2"/>
    </font>
    <font>
      <sz val="11"/>
      <color rgb="FF000000"/>
      <name val="Calibri"/>
      <family val="2"/>
    </font>
    <font>
      <i/>
      <sz val="11"/>
      <name val="Calibri"/>
      <family val="2"/>
    </font>
    <font>
      <sz val="10"/>
      <name val="Arial"/>
      <charset val="178"/>
    </font>
    <font>
      <sz val="9"/>
      <name val="Arial"/>
      <family val="2"/>
    </font>
    <font>
      <b/>
      <sz val="12"/>
      <name val="Arial"/>
      <family val="2"/>
    </font>
    <font>
      <i/>
      <sz val="10"/>
      <name val="Arial"/>
      <family val="2"/>
    </font>
    <font>
      <b/>
      <sz val="9"/>
      <color indexed="8"/>
      <name val="Arial"/>
      <family val="2"/>
    </font>
    <font>
      <b/>
      <sz val="8.5"/>
      <color indexed="8"/>
      <name val="Arial"/>
      <family val="2"/>
    </font>
    <font>
      <sz val="8"/>
      <color indexed="8"/>
      <name val="Arial"/>
      <family val="2"/>
    </font>
    <font>
      <sz val="9"/>
      <color indexed="10"/>
      <name val="Arial"/>
      <family val="2"/>
    </font>
    <font>
      <b/>
      <sz val="9"/>
      <color indexed="10"/>
      <name val="Arial"/>
      <family val="2"/>
    </font>
    <font>
      <b/>
      <sz val="8"/>
      <color indexed="8"/>
      <name val="Arial"/>
      <family val="2"/>
    </font>
    <font>
      <sz val="8"/>
      <name val="Arial"/>
      <family val="2"/>
    </font>
    <font>
      <b/>
      <sz val="8"/>
      <name val="Arial"/>
      <family val="2"/>
    </font>
    <font>
      <b/>
      <sz val="11"/>
      <color rgb="FFFF0000"/>
      <name val="宋体"/>
      <charset val="134"/>
      <scheme val="minor"/>
    </font>
    <font>
      <sz val="11"/>
      <color rgb="FFFF0000"/>
      <name val="宋体"/>
      <charset val="134"/>
      <scheme val="minor"/>
    </font>
    <font>
      <b/>
      <i/>
      <sz val="11"/>
      <color theme="1"/>
      <name val="宋体"/>
      <charset val="134"/>
      <scheme val="minor"/>
    </font>
    <font>
      <b/>
      <sz val="11"/>
      <name val="宋体"/>
      <charset val="134"/>
      <scheme val="minor"/>
    </font>
    <font>
      <sz val="10"/>
      <color rgb="FFFF0000"/>
      <name val="Arial"/>
      <family val="2"/>
    </font>
    <font>
      <b/>
      <sz val="11"/>
      <color rgb="FF00B050"/>
      <name val="宋体"/>
      <charset val="134"/>
      <scheme val="minor"/>
    </font>
    <font>
      <sz val="10"/>
      <color indexed="22"/>
      <name val="Arial"/>
      <family val="2"/>
    </font>
    <font>
      <b/>
      <sz val="10"/>
      <name val="Arial"/>
      <family val="2"/>
    </font>
    <font>
      <sz val="10"/>
      <name val="Arial"/>
      <family val="2"/>
    </font>
    <font>
      <sz val="8"/>
      <name val="Tahoma"/>
      <family val="2"/>
    </font>
    <font>
      <b/>
      <sz val="10"/>
      <color indexed="22"/>
      <name val="Arial"/>
      <family val="2"/>
    </font>
    <font>
      <sz val="10"/>
      <color indexed="12"/>
      <name val="Arial"/>
      <family val="2"/>
    </font>
    <font>
      <sz val="10"/>
      <color indexed="10"/>
      <name val="Arial"/>
      <family val="2"/>
    </font>
    <font>
      <i/>
      <sz val="10"/>
      <color indexed="12"/>
      <name val="Arial"/>
      <family val="2"/>
    </font>
    <font>
      <b/>
      <i/>
      <sz val="10"/>
      <color indexed="12"/>
      <name val="Arial"/>
      <family val="2"/>
    </font>
    <font>
      <b/>
      <sz val="10"/>
      <color indexed="10"/>
      <name val="Arial"/>
      <family val="2"/>
    </font>
    <font>
      <sz val="7"/>
      <name val="Arial"/>
      <family val="2"/>
    </font>
    <font>
      <b/>
      <sz val="14"/>
      <name val="Arial"/>
      <family val="2"/>
    </font>
    <font>
      <b/>
      <sz val="14"/>
      <color indexed="10"/>
      <name val="Arial"/>
      <family val="2"/>
    </font>
    <font>
      <b/>
      <sz val="10"/>
      <color indexed="12"/>
      <name val="Arial"/>
      <family val="2"/>
    </font>
    <font>
      <b/>
      <sz val="9"/>
      <name val="Arial"/>
      <family val="2"/>
    </font>
    <font>
      <b/>
      <u/>
      <sz val="10"/>
      <name val="Arial"/>
      <family val="2"/>
    </font>
    <font>
      <sz val="7"/>
      <name val="Arial Narrow"/>
      <family val="2"/>
    </font>
    <font>
      <u/>
      <sz val="10"/>
      <name val="Arial"/>
      <family val="2"/>
    </font>
    <font>
      <b/>
      <i/>
      <sz val="14"/>
      <name val="Arial"/>
      <family val="2"/>
    </font>
    <font>
      <i/>
      <sz val="11"/>
      <color rgb="FF000000"/>
      <name val="Calibri"/>
      <family val="2"/>
    </font>
    <font>
      <sz val="8"/>
      <color indexed="12"/>
      <name val="Arial"/>
      <family val="2"/>
    </font>
    <font>
      <b/>
      <i/>
      <sz val="14"/>
      <color indexed="12"/>
      <name val="Arial"/>
      <family val="2"/>
    </font>
    <font>
      <b/>
      <sz val="10"/>
      <color rgb="FF0000FF"/>
      <name val="Arial"/>
      <family val="2"/>
    </font>
    <font>
      <b/>
      <sz val="9"/>
      <color indexed="12"/>
      <name val="Arial"/>
      <family val="2"/>
    </font>
    <font>
      <sz val="9"/>
      <color indexed="12"/>
      <name val="Arial"/>
      <family val="2"/>
    </font>
    <font>
      <b/>
      <sz val="8"/>
      <color indexed="12"/>
      <name val="Arial"/>
      <family val="2"/>
    </font>
    <font>
      <b/>
      <u/>
      <sz val="10"/>
      <color indexed="12"/>
      <name val="Arial"/>
      <family val="2"/>
    </font>
    <font>
      <sz val="7"/>
      <color indexed="12"/>
      <name val="Arial Narrow"/>
      <family val="2"/>
    </font>
  </fonts>
  <fills count="23">
    <fill>
      <patternFill patternType="none"/>
    </fill>
    <fill>
      <patternFill patternType="gray125"/>
    </fill>
    <fill>
      <patternFill patternType="solid">
        <fgColor theme="2" tint="-0.249977111117893"/>
        <bgColor indexed="64"/>
      </patternFill>
    </fill>
    <fill>
      <patternFill patternType="solid">
        <fgColor indexed="13"/>
        <bgColor indexed="64"/>
      </patternFill>
    </fill>
    <fill>
      <patternFill patternType="solid">
        <fgColor indexed="42"/>
        <bgColor indexed="64"/>
      </patternFill>
    </fill>
    <fill>
      <patternFill patternType="solid">
        <fgColor indexed="22"/>
        <bgColor indexed="64"/>
      </patternFill>
    </fill>
    <fill>
      <patternFill patternType="solid">
        <fgColor indexed="9"/>
        <bgColor indexed="64"/>
      </patternFill>
    </fill>
    <fill>
      <patternFill patternType="solid">
        <fgColor indexed="10"/>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9" tint="-0.249977111117893"/>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indexed="47"/>
        <bgColor indexed="64"/>
      </patternFill>
    </fill>
    <fill>
      <patternFill patternType="solid">
        <fgColor indexed="51"/>
        <bgColor indexed="64"/>
      </patternFill>
    </fill>
    <fill>
      <patternFill patternType="solid">
        <fgColor indexed="41"/>
        <bgColor indexed="64"/>
      </patternFill>
    </fill>
    <fill>
      <patternFill patternType="solid">
        <fgColor indexed="45"/>
        <bgColor indexed="64"/>
      </patternFill>
    </fill>
    <fill>
      <patternFill patternType="solid">
        <fgColor indexed="43"/>
        <bgColor indexed="64"/>
      </patternFill>
    </fill>
    <fill>
      <patternFill patternType="solid">
        <fgColor rgb="FFFF0000"/>
        <bgColor indexed="64"/>
      </patternFill>
    </fill>
    <fill>
      <patternFill patternType="solid">
        <fgColor rgb="FF00FF00"/>
        <bgColor indexed="64"/>
      </patternFill>
    </fill>
    <fill>
      <patternFill patternType="solid">
        <fgColor rgb="FFFFC000"/>
        <bgColor indexed="64"/>
      </patternFill>
    </fill>
    <fill>
      <patternFill patternType="solid">
        <fgColor theme="8" tint="0.79995117038483843"/>
        <bgColor indexed="64"/>
      </patternFill>
    </fill>
    <fill>
      <patternFill patternType="solid">
        <fgColor rgb="FFFFFFE0"/>
        <bgColor indexed="64"/>
      </patternFill>
    </fill>
  </fills>
  <borders count="30">
    <border>
      <left/>
      <right/>
      <top/>
      <bottom/>
      <diagonal/>
    </border>
    <border>
      <left style="medium">
        <color rgb="FFA3A3A3"/>
      </left>
      <right style="medium">
        <color rgb="FFA3A3A3"/>
      </right>
      <top style="medium">
        <color rgb="FFA3A3A3"/>
      </top>
      <bottom style="medium">
        <color rgb="FFA3A3A3"/>
      </bottom>
      <diagonal/>
    </border>
    <border>
      <left/>
      <right/>
      <top style="thin">
        <color auto="1"/>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top/>
      <bottom/>
      <diagonal/>
    </border>
    <border>
      <left/>
      <right style="thin">
        <color auto="1"/>
      </right>
      <top/>
      <bottom style="thin">
        <color auto="1"/>
      </bottom>
      <diagonal/>
    </border>
    <border>
      <left/>
      <right style="thin">
        <color auto="1"/>
      </right>
      <top style="thin">
        <color auto="1"/>
      </top>
      <bottom/>
      <diagonal/>
    </border>
    <border>
      <left/>
      <right style="thin">
        <color auto="1"/>
      </right>
      <top/>
      <bottom/>
      <diagonal/>
    </border>
    <border>
      <left style="thin">
        <color rgb="FFD3D3D3"/>
      </left>
      <right style="thin">
        <color rgb="FFD3D3D3"/>
      </right>
      <top style="thin">
        <color rgb="FFD3D3D3"/>
      </top>
      <bottom style="thin">
        <color rgb="FFD3D3D3"/>
      </bottom>
      <diagonal/>
    </border>
    <border>
      <left/>
      <right/>
      <top/>
      <bottom style="thick">
        <color indexed="10"/>
      </bottom>
      <diagonal/>
    </border>
  </borders>
  <cellStyleXfs count="32">
    <xf numFmtId="0" fontId="0" fillId="0" borderId="0"/>
    <xf numFmtId="9" fontId="33" fillId="0" borderId="0" applyFont="0" applyFill="0" applyBorder="0" applyAlignment="0" applyProtection="0"/>
    <xf numFmtId="0" fontId="8" fillId="0" borderId="0" applyNumberFormat="0" applyFill="0" applyBorder="0" applyAlignment="0" applyProtection="0">
      <alignment vertical="top"/>
      <protection locked="0"/>
    </xf>
    <xf numFmtId="0" fontId="32" fillId="0" borderId="0" applyNumberFormat="0" applyFill="0" applyBorder="0" applyAlignment="0" applyProtection="0"/>
    <xf numFmtId="0" fontId="33" fillId="0" borderId="4"/>
    <xf numFmtId="0" fontId="33" fillId="0" borderId="4"/>
    <xf numFmtId="0" fontId="8" fillId="0" borderId="0" applyNumberFormat="0" applyFill="0" applyBorder="0" applyAlignment="0" applyProtection="0">
      <alignment vertical="top"/>
      <protection locked="0"/>
    </xf>
    <xf numFmtId="0" fontId="1" fillId="0" borderId="0"/>
    <xf numFmtId="0" fontId="33" fillId="0" borderId="0"/>
    <xf numFmtId="0" fontId="1" fillId="0" borderId="0"/>
    <xf numFmtId="0" fontId="33" fillId="0" borderId="0"/>
    <xf numFmtId="49" fontId="33" fillId="22" borderId="28" applyAlignment="0" applyProtection="0"/>
    <xf numFmtId="0" fontId="33" fillId="0" borderId="0"/>
    <xf numFmtId="0" fontId="16" fillId="0" borderId="0" applyNumberFormat="0" applyFill="0" applyBorder="0" applyAlignment="0" applyProtection="0"/>
    <xf numFmtId="0" fontId="15" fillId="0" borderId="0">
      <alignment horizontal="center"/>
    </xf>
    <xf numFmtId="0" fontId="15" fillId="0" borderId="0"/>
    <xf numFmtId="0" fontId="32" fillId="0" borderId="0"/>
    <xf numFmtId="0" fontId="48"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2" fillId="0" borderId="4"/>
    <xf numFmtId="0" fontId="49" fillId="0" borderId="29"/>
  </cellStyleXfs>
  <cellXfs count="341">
    <xf numFmtId="0" fontId="0" fillId="0" borderId="0" xfId="0"/>
    <xf numFmtId="0" fontId="1" fillId="2" borderId="0" xfId="7" applyFill="1"/>
    <xf numFmtId="0" fontId="1" fillId="0" borderId="0" xfId="7"/>
    <xf numFmtId="0" fontId="2" fillId="2" borderId="0" xfId="7" applyFont="1" applyFill="1" applyAlignment="1">
      <alignment horizontal="center"/>
    </xf>
    <xf numFmtId="0" fontId="1" fillId="2" borderId="0" xfId="7" applyFill="1" applyAlignment="1">
      <alignment horizontal="center"/>
    </xf>
    <xf numFmtId="0" fontId="1" fillId="0" borderId="0" xfId="7" applyAlignment="1">
      <alignment horizontal="center"/>
    </xf>
    <xf numFmtId="0" fontId="3" fillId="0" borderId="0" xfId="0" applyFont="1" applyAlignment="1">
      <alignment vertical="center"/>
    </xf>
    <xf numFmtId="0" fontId="4" fillId="0" borderId="0" xfId="0" applyFont="1" applyAlignment="1">
      <alignment vertical="center"/>
    </xf>
    <xf numFmtId="20" fontId="4" fillId="0" borderId="0" xfId="0" applyNumberFormat="1" applyFont="1" applyAlignment="1">
      <alignment vertical="center"/>
    </xf>
    <xf numFmtId="0" fontId="5" fillId="0" borderId="0" xfId="0" applyFont="1" applyAlignment="1">
      <alignment vertical="center"/>
    </xf>
    <xf numFmtId="0" fontId="6" fillId="0" borderId="0" xfId="0" applyFont="1" applyAlignment="1">
      <alignment vertical="center"/>
    </xf>
    <xf numFmtId="0" fontId="7" fillId="0" borderId="1" xfId="0" applyFont="1" applyBorder="1" applyAlignment="1">
      <alignment vertical="center" wrapText="1"/>
    </xf>
    <xf numFmtId="0" fontId="6" fillId="0" borderId="1" xfId="0" applyFont="1" applyBorder="1" applyAlignment="1">
      <alignment vertical="center" wrapText="1"/>
    </xf>
    <xf numFmtId="0" fontId="8" fillId="0" borderId="1" xfId="2" applyBorder="1" applyAlignment="1" applyProtection="1">
      <alignment vertical="center"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vertical="center"/>
    </xf>
    <xf numFmtId="0" fontId="12" fillId="0" borderId="1" xfId="0" applyFont="1" applyBorder="1" applyAlignment="1">
      <alignment vertical="center" wrapText="1"/>
    </xf>
    <xf numFmtId="0" fontId="13" fillId="0" borderId="0" xfId="0" applyFont="1"/>
    <xf numFmtId="0" fontId="8" fillId="0" borderId="0" xfId="6" applyBorder="1" applyAlignment="1" applyProtection="1">
      <alignment horizontal="left" vertical="center" wrapText="1"/>
    </xf>
    <xf numFmtId="0" fontId="14" fillId="0" borderId="2" xfId="0" applyFont="1" applyBorder="1" applyAlignment="1">
      <alignment horizontal="center" vertical="center" wrapText="1"/>
    </xf>
    <xf numFmtId="0" fontId="14" fillId="0" borderId="0" xfId="0" applyFont="1" applyBorder="1" applyAlignment="1">
      <alignment horizontal="left" vertical="center" wrapText="1"/>
    </xf>
    <xf numFmtId="0" fontId="14" fillId="0" borderId="0" xfId="0" applyFont="1" applyBorder="1" applyAlignment="1">
      <alignment horizontal="center" vertical="center" wrapText="1"/>
    </xf>
    <xf numFmtId="0" fontId="14" fillId="0" borderId="0" xfId="0" applyFont="1" applyFill="1" applyBorder="1" applyAlignment="1">
      <alignment horizontal="left" vertical="center" wrapText="1"/>
    </xf>
    <xf numFmtId="0" fontId="13" fillId="4" borderId="0" xfId="0" applyFont="1" applyFill="1"/>
    <xf numFmtId="0" fontId="16" fillId="4" borderId="0" xfId="0" applyFont="1" applyFill="1"/>
    <xf numFmtId="14" fontId="17" fillId="5" borderId="4" xfId="0" applyNumberFormat="1" applyFont="1" applyFill="1" applyBorder="1" applyAlignment="1">
      <alignment horizontal="center" vertical="center" wrapText="1"/>
    </xf>
    <xf numFmtId="14" fontId="17" fillId="5" borderId="4" xfId="0" applyNumberFormat="1" applyFont="1" applyFill="1" applyBorder="1" applyAlignment="1">
      <alignment vertical="center"/>
    </xf>
    <xf numFmtId="0" fontId="18" fillId="5" borderId="8" xfId="0" applyFont="1" applyFill="1" applyBorder="1" applyAlignment="1">
      <alignment horizontal="center" vertical="center" wrapText="1"/>
    </xf>
    <xf numFmtId="0" fontId="14" fillId="0" borderId="4" xfId="0" applyFont="1" applyBorder="1" applyAlignment="1">
      <alignment horizontal="left" vertical="center"/>
    </xf>
    <xf numFmtId="0" fontId="20" fillId="0" borderId="0" xfId="0" applyFont="1" applyFill="1" applyBorder="1" applyAlignment="1">
      <alignment vertical="center"/>
    </xf>
    <xf numFmtId="0" fontId="21" fillId="0" borderId="0" xfId="0" applyFont="1" applyFill="1" applyBorder="1" applyAlignment="1">
      <alignment vertical="center"/>
    </xf>
    <xf numFmtId="0" fontId="18" fillId="5" borderId="4" xfId="0" applyFont="1" applyFill="1" applyBorder="1" applyAlignment="1">
      <alignment horizontal="center" vertical="center" wrapText="1"/>
    </xf>
    <xf numFmtId="0" fontId="14" fillId="0" borderId="0" xfId="0" applyFont="1" applyBorder="1" applyAlignment="1">
      <alignment vertical="center"/>
    </xf>
    <xf numFmtId="0" fontId="14" fillId="0" borderId="0" xfId="0" applyFont="1" applyFill="1" applyBorder="1" applyAlignment="1">
      <alignment horizontal="center" vertical="center"/>
    </xf>
    <xf numFmtId="0" fontId="18" fillId="0" borderId="0" xfId="0" applyFont="1" applyFill="1" applyBorder="1" applyAlignment="1">
      <alignment horizontal="center" vertical="center" wrapText="1"/>
    </xf>
    <xf numFmtId="0" fontId="19" fillId="0" borderId="0" xfId="0" applyFont="1" applyFill="1" applyBorder="1" applyAlignment="1">
      <alignment vertical="center"/>
    </xf>
    <xf numFmtId="0" fontId="22" fillId="0" borderId="0" xfId="0" applyFont="1" applyFill="1" applyBorder="1" applyAlignment="1">
      <alignment vertical="center"/>
    </xf>
    <xf numFmtId="0" fontId="14" fillId="0" borderId="0" xfId="0" applyFont="1" applyFill="1" applyBorder="1" applyAlignment="1">
      <alignment horizontal="right" vertical="center"/>
    </xf>
    <xf numFmtId="0" fontId="14" fillId="0" borderId="0" xfId="0" applyFont="1" applyAlignment="1">
      <alignment vertical="center"/>
    </xf>
    <xf numFmtId="0" fontId="23" fillId="3" borderId="4" xfId="0" applyFont="1" applyFill="1" applyBorder="1" applyAlignment="1">
      <alignment horizontal="justify"/>
    </xf>
    <xf numFmtId="0" fontId="23" fillId="5" borderId="4" xfId="0" applyFont="1" applyFill="1" applyBorder="1" applyAlignment="1">
      <alignment horizontal="justify"/>
    </xf>
    <xf numFmtId="0" fontId="23" fillId="7" borderId="4" xfId="0" applyFont="1" applyFill="1" applyBorder="1" applyAlignment="1">
      <alignment horizontal="justify"/>
    </xf>
    <xf numFmtId="0" fontId="8" fillId="0" borderId="0" xfId="6" applyAlignment="1" applyProtection="1">
      <alignment horizontal="left" vertical="center" wrapText="1"/>
    </xf>
    <xf numFmtId="0" fontId="14" fillId="0" borderId="0" xfId="0" applyFont="1" applyAlignment="1">
      <alignment horizontal="left" vertical="center" wrapText="1"/>
    </xf>
    <xf numFmtId="0" fontId="8" fillId="0" borderId="9" xfId="2" applyBorder="1" applyAlignment="1" applyProtection="1"/>
    <xf numFmtId="0" fontId="13" fillId="0" borderId="10" xfId="0" applyFont="1" applyBorder="1"/>
    <xf numFmtId="0" fontId="0" fillId="0" borderId="10" xfId="0" applyBorder="1"/>
    <xf numFmtId="0" fontId="13" fillId="0" borderId="11" xfId="0" applyFont="1" applyBorder="1"/>
    <xf numFmtId="0" fontId="14" fillId="0" borderId="0" xfId="0" applyFont="1" applyBorder="1" applyAlignment="1">
      <alignment horizontal="left" vertical="center"/>
    </xf>
    <xf numFmtId="0" fontId="13" fillId="0" borderId="0" xfId="0" applyFont="1" applyBorder="1"/>
    <xf numFmtId="0" fontId="0" fillId="0" borderId="0" xfId="0" applyBorder="1"/>
    <xf numFmtId="0" fontId="20" fillId="0" borderId="11" xfId="0" applyFont="1" applyFill="1" applyBorder="1" applyAlignment="1">
      <alignment vertical="center"/>
    </xf>
    <xf numFmtId="0" fontId="14" fillId="0" borderId="11" xfId="0" applyFont="1" applyBorder="1" applyAlignment="1">
      <alignment vertical="center"/>
    </xf>
    <xf numFmtId="0" fontId="13" fillId="0" borderId="12" xfId="0" applyFont="1" applyBorder="1"/>
    <xf numFmtId="0" fontId="13" fillId="0" borderId="13" xfId="0" applyFont="1" applyBorder="1"/>
    <xf numFmtId="0" fontId="0" fillId="0" borderId="13" xfId="0" applyBorder="1"/>
    <xf numFmtId="0" fontId="0" fillId="0" borderId="14" xfId="0" applyBorder="1"/>
    <xf numFmtId="0" fontId="0" fillId="0" borderId="15" xfId="0" applyBorder="1"/>
    <xf numFmtId="0" fontId="0" fillId="0" borderId="16" xfId="0" applyBorder="1"/>
    <xf numFmtId="0" fontId="8" fillId="0" borderId="0" xfId="2" applyBorder="1" applyAlignment="1" applyProtection="1">
      <alignment horizontal="left" vertical="center" wrapText="1"/>
    </xf>
    <xf numFmtId="0" fontId="13" fillId="0" borderId="0" xfId="0" applyFont="1" applyAlignment="1">
      <alignment wrapText="1"/>
    </xf>
    <xf numFmtId="0" fontId="0" fillId="0" borderId="0" xfId="0" applyAlignment="1">
      <alignment vertical="center"/>
    </xf>
    <xf numFmtId="0" fontId="25" fillId="8" borderId="0" xfId="0" applyFont="1" applyFill="1" applyAlignment="1">
      <alignment horizontal="right" vertical="center"/>
    </xf>
    <xf numFmtId="0" fontId="2" fillId="8" borderId="0" xfId="0" applyFont="1" applyFill="1" applyBorder="1" applyAlignment="1">
      <alignment horizontal="center"/>
    </xf>
    <xf numFmtId="0" fontId="0" fillId="8" borderId="0" xfId="0" applyFill="1" applyAlignment="1">
      <alignment horizontal="right"/>
    </xf>
    <xf numFmtId="0" fontId="26" fillId="8" borderId="0" xfId="0" applyFont="1" applyFill="1" applyAlignment="1">
      <alignment vertical="center"/>
    </xf>
    <xf numFmtId="0" fontId="27" fillId="9" borderId="17" xfId="0" applyFont="1" applyFill="1" applyBorder="1" applyAlignment="1">
      <alignment horizontal="center" vertical="center"/>
    </xf>
    <xf numFmtId="0" fontId="27" fillId="9" borderId="18" xfId="0" applyFont="1" applyFill="1" applyBorder="1" applyAlignment="1">
      <alignment horizontal="center" vertical="center"/>
    </xf>
    <xf numFmtId="0" fontId="27" fillId="9" borderId="19" xfId="0" applyFont="1" applyFill="1" applyBorder="1" applyAlignment="1">
      <alignment horizontal="center" vertical="center"/>
    </xf>
    <xf numFmtId="0" fontId="2" fillId="8" borderId="20" xfId="0" applyFont="1" applyFill="1" applyBorder="1" applyAlignment="1">
      <alignment horizontal="center" vertical="center" wrapText="1"/>
    </xf>
    <xf numFmtId="0" fontId="28" fillId="10" borderId="20" xfId="0" applyFont="1" applyFill="1" applyBorder="1" applyAlignment="1">
      <alignment horizontal="center" vertical="center" textRotation="90" wrapText="1"/>
    </xf>
    <xf numFmtId="0" fontId="2" fillId="10" borderId="20" xfId="0" applyFont="1" applyFill="1" applyBorder="1" applyAlignment="1">
      <alignment horizontal="center" vertical="center" textRotation="90" wrapText="1"/>
    </xf>
    <xf numFmtId="0" fontId="2" fillId="10" borderId="20" xfId="0" applyFont="1" applyFill="1" applyBorder="1" applyAlignment="1">
      <alignment horizontal="left" vertical="center" textRotation="90" wrapText="1"/>
    </xf>
    <xf numFmtId="0" fontId="29" fillId="0" borderId="0" xfId="0" applyFont="1"/>
    <xf numFmtId="4" fontId="1" fillId="0" borderId="0" xfId="7" applyNumberFormat="1"/>
    <xf numFmtId="0" fontId="0" fillId="8" borderId="0" xfId="0" applyFill="1" applyAlignment="1">
      <alignment horizontal="center"/>
    </xf>
    <xf numFmtId="0" fontId="2" fillId="12" borderId="17" xfId="0" applyFont="1" applyFill="1" applyBorder="1" applyAlignment="1">
      <alignment vertical="center"/>
    </xf>
    <xf numFmtId="0" fontId="2" fillId="12" borderId="18" xfId="0" applyFont="1" applyFill="1" applyBorder="1" applyAlignment="1">
      <alignment vertical="center"/>
    </xf>
    <xf numFmtId="0" fontId="2" fillId="11" borderId="20" xfId="0" applyFont="1" applyFill="1" applyBorder="1" applyAlignment="1">
      <alignment horizontal="center" vertical="center" textRotation="90" wrapText="1"/>
    </xf>
    <xf numFmtId="0" fontId="2" fillId="11" borderId="21" xfId="0" applyFont="1" applyFill="1" applyBorder="1" applyAlignment="1">
      <alignment horizontal="center" vertical="center" textRotation="90" wrapText="1"/>
    </xf>
    <xf numFmtId="0" fontId="2" fillId="12" borderId="21" xfId="0" applyFont="1" applyFill="1" applyBorder="1" applyAlignment="1">
      <alignment horizontal="center" vertical="center" textRotation="90" wrapText="1"/>
    </xf>
    <xf numFmtId="0" fontId="2" fillId="12" borderId="20" xfId="0" applyFont="1" applyFill="1" applyBorder="1" applyAlignment="1">
      <alignment horizontal="center" vertical="center" textRotation="90" wrapText="1"/>
    </xf>
    <xf numFmtId="0" fontId="0" fillId="0" borderId="0" xfId="0" applyAlignment="1">
      <alignment wrapText="1"/>
    </xf>
    <xf numFmtId="0" fontId="0" fillId="12" borderId="18" xfId="0" applyFill="1" applyBorder="1" applyAlignment="1">
      <alignment vertical="center"/>
    </xf>
    <xf numFmtId="0" fontId="2" fillId="12" borderId="19" xfId="0" applyFont="1" applyFill="1" applyBorder="1" applyAlignment="1">
      <alignment vertical="center"/>
    </xf>
    <xf numFmtId="0" fontId="30" fillId="12" borderId="20" xfId="0" applyFont="1" applyFill="1" applyBorder="1" applyAlignment="1">
      <alignment horizontal="center" vertical="center" textRotation="90" wrapText="1"/>
    </xf>
    <xf numFmtId="0" fontId="25" fillId="12" borderId="20" xfId="0" applyFont="1" applyFill="1" applyBorder="1" applyAlignment="1">
      <alignment horizontal="center" vertical="center" textRotation="90" wrapText="1"/>
    </xf>
    <xf numFmtId="0" fontId="28" fillId="12" borderId="20" xfId="0" applyFont="1" applyFill="1" applyBorder="1" applyAlignment="1">
      <alignment horizontal="center" vertical="center" textRotation="90" wrapText="1"/>
    </xf>
    <xf numFmtId="0" fontId="0" fillId="0" borderId="0" xfId="0" applyFill="1" applyAlignment="1">
      <alignment horizontal="center" vertical="top"/>
    </xf>
    <xf numFmtId="0" fontId="31" fillId="5" borderId="0" xfId="0" applyFont="1" applyFill="1" applyAlignment="1">
      <alignment horizontal="left" vertical="top"/>
    </xf>
    <xf numFmtId="0" fontId="16" fillId="0" borderId="0" xfId="13" applyFill="1" applyAlignment="1">
      <alignment horizontal="left" vertical="top"/>
    </xf>
    <xf numFmtId="0" fontId="0" fillId="0" borderId="0" xfId="0" applyFill="1" applyAlignment="1">
      <alignment horizontal="left" vertical="top"/>
    </xf>
    <xf numFmtId="0" fontId="0" fillId="0" borderId="0" xfId="0" applyFill="1" applyAlignment="1">
      <alignment horizontal="left" vertical="top" wrapText="1"/>
    </xf>
    <xf numFmtId="1" fontId="32" fillId="0" borderId="0" xfId="3" applyNumberFormat="1" applyFill="1" applyBorder="1" applyAlignment="1">
      <alignment horizontal="left" vertical="top"/>
    </xf>
    <xf numFmtId="1" fontId="32" fillId="5" borderId="0" xfId="3" applyNumberFormat="1" applyFill="1" applyBorder="1" applyAlignment="1">
      <alignment horizontal="left" vertical="top"/>
    </xf>
    <xf numFmtId="0" fontId="32" fillId="5" borderId="0" xfId="3" applyFill="1" applyAlignment="1">
      <alignment horizontal="left" vertical="top"/>
    </xf>
    <xf numFmtId="1" fontId="0" fillId="0" borderId="0" xfId="0" applyNumberFormat="1" applyFill="1" applyBorder="1" applyAlignment="1">
      <alignment horizontal="left" vertical="top"/>
    </xf>
    <xf numFmtId="49" fontId="33" fillId="0" borderId="11" xfId="0" applyNumberFormat="1" applyFont="1" applyFill="1" applyBorder="1" applyAlignment="1">
      <alignment horizontal="left" vertical="top"/>
    </xf>
    <xf numFmtId="49" fontId="0" fillId="0" borderId="11" xfId="0" applyNumberFormat="1" applyFill="1" applyBorder="1" applyAlignment="1">
      <alignment horizontal="left" vertical="top"/>
    </xf>
    <xf numFmtId="0" fontId="34" fillId="0" borderId="0" xfId="0" applyFont="1" applyAlignment="1">
      <alignment horizontal="left" vertical="top"/>
    </xf>
    <xf numFmtId="1" fontId="35" fillId="5" borderId="0" xfId="3" applyNumberFormat="1" applyFont="1" applyFill="1" applyBorder="1" applyAlignment="1">
      <alignment horizontal="left" vertical="top"/>
    </xf>
    <xf numFmtId="49" fontId="32" fillId="0" borderId="0" xfId="3" applyNumberFormat="1" applyFill="1" applyBorder="1" applyAlignment="1">
      <alignment horizontal="left" vertical="top"/>
    </xf>
    <xf numFmtId="49" fontId="0" fillId="0" borderId="0" xfId="0" applyNumberFormat="1" applyFill="1" applyBorder="1" applyAlignment="1">
      <alignment horizontal="left" vertical="top"/>
    </xf>
    <xf numFmtId="0" fontId="33" fillId="0" borderId="0" xfId="0" applyFont="1" applyAlignment="1">
      <alignment horizontal="left" vertical="top"/>
    </xf>
    <xf numFmtId="0" fontId="36" fillId="0" borderId="0" xfId="0" applyFont="1" applyAlignment="1">
      <alignment horizontal="left" vertical="top" wrapText="1"/>
    </xf>
    <xf numFmtId="1" fontId="33" fillId="0" borderId="0" xfId="0" applyNumberFormat="1" applyFont="1" applyFill="1" applyBorder="1" applyAlignment="1">
      <alignment horizontal="left" vertical="top"/>
    </xf>
    <xf numFmtId="0" fontId="0" fillId="0" borderId="0" xfId="0" applyAlignment="1">
      <alignment horizontal="left" vertical="top" wrapText="1"/>
    </xf>
    <xf numFmtId="0" fontId="33" fillId="0" borderId="0" xfId="0" applyFont="1" applyAlignment="1">
      <alignment horizontal="left"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32" fillId="13" borderId="4" xfId="0" applyFont="1" applyFill="1" applyBorder="1" applyAlignment="1">
      <alignment horizontal="center" vertical="top" wrapText="1"/>
    </xf>
    <xf numFmtId="0" fontId="0" fillId="0" borderId="0" xfId="0" applyFill="1" applyAlignment="1">
      <alignment horizontal="center" vertical="top" wrapText="1"/>
    </xf>
    <xf numFmtId="0" fontId="37" fillId="0" borderId="0" xfId="0" applyFont="1" applyFill="1" applyAlignment="1">
      <alignment horizontal="center" vertical="top" wrapText="1"/>
    </xf>
    <xf numFmtId="14" fontId="32" fillId="5" borderId="24" xfId="0" applyNumberFormat="1" applyFont="1" applyFill="1" applyBorder="1" applyAlignment="1">
      <alignment horizontal="center" vertical="top" wrapText="1"/>
    </xf>
    <xf numFmtId="14" fontId="32" fillId="5" borderId="0" xfId="0" applyNumberFormat="1" applyFont="1" applyFill="1" applyBorder="1" applyAlignment="1">
      <alignment horizontal="center" vertical="top" wrapText="1"/>
    </xf>
    <xf numFmtId="1" fontId="33" fillId="13" borderId="5" xfId="3" applyNumberFormat="1" applyFont="1" applyFill="1" applyBorder="1" applyAlignment="1">
      <alignment horizontal="center" vertical="top" wrapText="1"/>
    </xf>
    <xf numFmtId="1" fontId="33" fillId="13" borderId="4" xfId="3" applyNumberFormat="1" applyFont="1" applyFill="1" applyBorder="1" applyAlignment="1">
      <alignment horizontal="center" vertical="top" wrapText="1"/>
    </xf>
    <xf numFmtId="1" fontId="33" fillId="5" borderId="3" xfId="3" applyNumberFormat="1" applyFont="1" applyFill="1" applyBorder="1" applyAlignment="1">
      <alignment horizontal="center" vertical="top" wrapText="1"/>
    </xf>
    <xf numFmtId="0" fontId="35" fillId="5" borderId="4" xfId="0" applyFont="1" applyFill="1" applyBorder="1" applyAlignment="1">
      <alignment horizontal="left" vertical="top" wrapText="1"/>
    </xf>
    <xf numFmtId="1" fontId="31" fillId="5" borderId="4" xfId="3" applyNumberFormat="1" applyFont="1" applyFill="1" applyBorder="1" applyAlignment="1">
      <alignment horizontal="left" vertical="top" wrapText="1"/>
    </xf>
    <xf numFmtId="1" fontId="31" fillId="5" borderId="25" xfId="3" applyNumberFormat="1" applyFont="1" applyFill="1" applyBorder="1" applyAlignment="1">
      <alignment horizontal="left" vertical="top" wrapText="1"/>
    </xf>
    <xf numFmtId="49" fontId="32" fillId="5" borderId="25" xfId="3" applyNumberFormat="1" applyFill="1" applyBorder="1" applyAlignment="1">
      <alignment horizontal="left" vertical="top" wrapText="1"/>
    </xf>
    <xf numFmtId="49" fontId="0" fillId="5" borderId="25" xfId="0" applyNumberFormat="1" applyFill="1" applyBorder="1" applyAlignment="1">
      <alignment horizontal="left" vertical="top" wrapText="1"/>
    </xf>
    <xf numFmtId="0" fontId="16" fillId="15" borderId="4" xfId="13" applyFont="1" applyFill="1" applyBorder="1" applyAlignment="1">
      <alignment horizontal="left" vertical="top" wrapText="1"/>
    </xf>
    <xf numFmtId="0" fontId="16" fillId="15" borderId="5" xfId="13" applyFont="1" applyFill="1" applyBorder="1" applyAlignment="1">
      <alignment horizontal="left" vertical="top" wrapText="1"/>
    </xf>
    <xf numFmtId="0" fontId="33" fillId="0" borderId="4" xfId="3" applyNumberFormat="1" applyFont="1" applyFill="1" applyBorder="1" applyAlignment="1">
      <alignment horizontal="left" vertical="top"/>
    </xf>
    <xf numFmtId="0" fontId="33" fillId="5" borderId="4" xfId="3" applyNumberFormat="1" applyFont="1" applyFill="1" applyBorder="1" applyAlignment="1">
      <alignment horizontal="left" vertical="top"/>
    </xf>
    <xf numFmtId="0" fontId="0" fillId="0" borderId="4" xfId="4" applyFont="1" applyAlignment="1">
      <alignment horizontal="left" vertical="top"/>
    </xf>
    <xf numFmtId="0" fontId="33" fillId="0" borderId="4" xfId="4" applyAlignment="1">
      <alignment horizontal="left" vertical="top"/>
    </xf>
    <xf numFmtId="0" fontId="0" fillId="0" borderId="4" xfId="4" applyFont="1" applyAlignment="1">
      <alignment horizontal="left" vertical="top" wrapText="1"/>
    </xf>
    <xf numFmtId="0" fontId="33" fillId="0" borderId="4" xfId="4" applyFill="1" applyAlignment="1">
      <alignment horizontal="left" vertical="top"/>
    </xf>
    <xf numFmtId="0" fontId="33" fillId="0" borderId="4" xfId="3" applyNumberFormat="1" applyFont="1" applyFill="1" applyBorder="1" applyAlignment="1">
      <alignment horizontal="left" vertical="top" wrapText="1"/>
    </xf>
    <xf numFmtId="0" fontId="32" fillId="0" borderId="4" xfId="3" applyBorder="1" applyAlignment="1">
      <alignment horizontal="left" vertical="top"/>
    </xf>
    <xf numFmtId="0" fontId="0" fillId="0" borderId="4" xfId="0" applyBorder="1" applyAlignment="1">
      <alignment horizontal="left" vertical="top"/>
    </xf>
    <xf numFmtId="49" fontId="33" fillId="0" borderId="0" xfId="0" applyNumberFormat="1" applyFont="1" applyFill="1" applyBorder="1" applyAlignment="1">
      <alignment horizontal="left" vertical="top"/>
    </xf>
    <xf numFmtId="0" fontId="0" fillId="5" borderId="0" xfId="0" applyFill="1" applyAlignment="1">
      <alignment horizontal="left" vertical="top"/>
    </xf>
    <xf numFmtId="0" fontId="0" fillId="5" borderId="24" xfId="0" applyFill="1" applyBorder="1" applyAlignment="1">
      <alignment horizontal="center" vertical="top"/>
    </xf>
    <xf numFmtId="0" fontId="0" fillId="5" borderId="0" xfId="0" applyFill="1" applyBorder="1" applyAlignment="1">
      <alignment horizontal="center" vertical="top"/>
    </xf>
    <xf numFmtId="0" fontId="32" fillId="17" borderId="4" xfId="0" applyNumberFormat="1" applyFont="1" applyFill="1" applyBorder="1" applyAlignment="1">
      <alignment horizontal="center" vertical="top" wrapText="1"/>
    </xf>
    <xf numFmtId="9" fontId="32" fillId="17" borderId="4" xfId="1" applyFont="1" applyFill="1" applyBorder="1" applyAlignment="1">
      <alignment horizontal="center" vertical="top" wrapText="1"/>
    </xf>
    <xf numFmtId="0" fontId="0" fillId="5" borderId="0" xfId="0" applyFill="1" applyAlignment="1">
      <alignment horizontal="center" vertical="top"/>
    </xf>
    <xf numFmtId="0" fontId="33" fillId="18" borderId="4" xfId="0" applyFont="1" applyFill="1" applyBorder="1" applyAlignment="1">
      <alignment horizontal="center" vertical="top" wrapText="1"/>
    </xf>
    <xf numFmtId="9" fontId="33" fillId="18" borderId="4" xfId="1" applyFont="1" applyFill="1" applyBorder="1" applyAlignment="1">
      <alignment horizontal="center" vertical="top" wrapText="1"/>
    </xf>
    <xf numFmtId="0" fontId="33" fillId="19" borderId="4" xfId="0" applyFont="1" applyFill="1" applyBorder="1" applyAlignment="1">
      <alignment horizontal="center" vertical="top" wrapText="1"/>
    </xf>
    <xf numFmtId="9" fontId="33" fillId="19" borderId="4" xfId="1" applyFont="1" applyFill="1" applyBorder="1" applyAlignment="1">
      <alignment horizontal="center" vertical="top" wrapText="1"/>
    </xf>
    <xf numFmtId="0" fontId="33" fillId="20" borderId="4" xfId="0" applyFont="1" applyFill="1" applyBorder="1" applyAlignment="1">
      <alignment horizontal="center" vertical="top" wrapText="1"/>
    </xf>
    <xf numFmtId="9" fontId="33" fillId="20" borderId="4" xfId="1" applyFont="1" applyFill="1" applyBorder="1" applyAlignment="1">
      <alignment horizontal="center" vertical="top" wrapText="1"/>
    </xf>
    <xf numFmtId="0" fontId="33" fillId="21" borderId="4" xfId="0" applyFont="1" applyFill="1" applyBorder="1" applyAlignment="1">
      <alignment horizontal="center" vertical="top" wrapText="1"/>
    </xf>
    <xf numFmtId="9" fontId="33" fillId="21" borderId="4" xfId="1" applyFont="1" applyFill="1" applyBorder="1" applyAlignment="1">
      <alignment horizontal="center" vertical="top" wrapText="1"/>
    </xf>
    <xf numFmtId="49" fontId="0" fillId="17" borderId="4" xfId="0" applyNumberFormat="1" applyFill="1" applyBorder="1" applyAlignment="1">
      <alignment horizontal="center" vertical="top" wrapText="1"/>
    </xf>
    <xf numFmtId="49" fontId="33" fillId="17" borderId="4" xfId="0" applyNumberFormat="1" applyFont="1" applyFill="1" applyBorder="1" applyAlignment="1">
      <alignment horizontal="center" vertical="top" wrapText="1"/>
    </xf>
    <xf numFmtId="49" fontId="33" fillId="16" borderId="4" xfId="0" applyNumberFormat="1" applyFont="1" applyFill="1" applyBorder="1" applyAlignment="1">
      <alignment horizontal="center" vertical="top" wrapText="1"/>
    </xf>
    <xf numFmtId="49" fontId="31" fillId="5" borderId="7" xfId="0" applyNumberFormat="1" applyFont="1" applyFill="1" applyBorder="1" applyAlignment="1">
      <alignment horizontal="left" vertical="top" wrapText="1"/>
    </xf>
    <xf numFmtId="49" fontId="31" fillId="5" borderId="4" xfId="0" applyNumberFormat="1" applyFont="1" applyFill="1" applyBorder="1" applyAlignment="1">
      <alignment horizontal="left" vertical="top" wrapText="1"/>
    </xf>
    <xf numFmtId="49" fontId="16" fillId="15" borderId="4" xfId="13" applyNumberFormat="1" applyFont="1" applyFill="1" applyBorder="1" applyAlignment="1">
      <alignment horizontal="left" vertical="top"/>
    </xf>
    <xf numFmtId="0" fontId="33" fillId="0" borderId="4" xfId="0" applyFont="1" applyFill="1" applyBorder="1" applyAlignment="1" applyProtection="1">
      <alignment horizontal="left" vertical="top"/>
      <protection locked="0"/>
    </xf>
    <xf numFmtId="0" fontId="33" fillId="0" borderId="4" xfId="4" applyFill="1" applyBorder="1" applyAlignment="1" applyProtection="1">
      <alignment horizontal="left" vertical="top" wrapText="1"/>
      <protection locked="0"/>
    </xf>
    <xf numFmtId="0" fontId="33" fillId="0" borderId="4" xfId="0" applyFont="1" applyBorder="1" applyAlignment="1" applyProtection="1">
      <alignment horizontal="left" vertical="top"/>
      <protection locked="0"/>
    </xf>
    <xf numFmtId="0" fontId="33" fillId="0" borderId="4" xfId="4" applyFont="1" applyFill="1" applyBorder="1" applyAlignment="1" applyProtection="1">
      <alignment horizontal="left" vertical="top" wrapText="1"/>
      <protection locked="0"/>
    </xf>
    <xf numFmtId="0" fontId="33" fillId="0" borderId="4" xfId="3" applyNumberFormat="1" applyFont="1" applyFill="1" applyBorder="1" applyAlignment="1" applyProtection="1">
      <alignment horizontal="left" vertical="top"/>
      <protection locked="0"/>
    </xf>
    <xf numFmtId="0" fontId="33" fillId="0" borderId="4" xfId="4" applyFill="1" applyBorder="1" applyAlignment="1">
      <alignment horizontal="left" vertical="top"/>
    </xf>
    <xf numFmtId="0" fontId="33" fillId="0" borderId="4" xfId="0" applyFont="1" applyBorder="1" applyAlignment="1">
      <alignment horizontal="left" vertical="top"/>
    </xf>
    <xf numFmtId="49" fontId="0" fillId="16" borderId="4" xfId="0" applyNumberFormat="1" applyFill="1" applyBorder="1" applyAlignment="1">
      <alignment horizontal="center" vertical="top" wrapText="1"/>
    </xf>
    <xf numFmtId="49" fontId="16" fillId="15" borderId="4" xfId="13" applyNumberFormat="1" applyFill="1" applyBorder="1" applyAlignment="1">
      <alignment horizontal="left" vertical="top"/>
    </xf>
    <xf numFmtId="0" fontId="32" fillId="0" borderId="4" xfId="3" applyFont="1" applyBorder="1" applyAlignment="1">
      <alignment horizontal="left" vertical="top"/>
    </xf>
    <xf numFmtId="0" fontId="0" fillId="5" borderId="0" xfId="0" applyFill="1"/>
    <xf numFmtId="0" fontId="0" fillId="6" borderId="22" xfId="0" applyFill="1" applyBorder="1"/>
    <xf numFmtId="0" fontId="0" fillId="6" borderId="2" xfId="0" applyFill="1" applyBorder="1"/>
    <xf numFmtId="0" fontId="37" fillId="6" borderId="24" xfId="0" applyFont="1" applyFill="1" applyBorder="1" applyAlignment="1">
      <alignment horizontal="center"/>
    </xf>
    <xf numFmtId="0" fontId="0" fillId="6" borderId="0" xfId="0" applyFill="1" applyBorder="1" applyAlignment="1"/>
    <xf numFmtId="0" fontId="0" fillId="6" borderId="0" xfId="0" applyFill="1" applyBorder="1"/>
    <xf numFmtId="0" fontId="41" fillId="6" borderId="0" xfId="0" applyFont="1" applyFill="1" applyBorder="1" applyAlignment="1">
      <alignment vertical="top" wrapText="1"/>
    </xf>
    <xf numFmtId="0" fontId="0" fillId="6" borderId="23" xfId="0" applyFill="1" applyBorder="1" applyAlignment="1"/>
    <xf numFmtId="0" fontId="38" fillId="6" borderId="0" xfId="0" applyFont="1" applyFill="1" applyBorder="1" applyAlignment="1">
      <alignment horizontal="center" vertical="center"/>
    </xf>
    <xf numFmtId="0" fontId="0" fillId="6" borderId="0" xfId="0" applyFill="1"/>
    <xf numFmtId="0" fontId="33" fillId="6" borderId="8" xfId="0" applyFont="1" applyFill="1" applyBorder="1" applyAlignment="1">
      <alignment vertical="top" wrapText="1"/>
    </xf>
    <xf numFmtId="0" fontId="33" fillId="6" borderId="0" xfId="0" applyFont="1" applyFill="1" applyBorder="1" applyAlignment="1">
      <alignment vertical="top" wrapText="1"/>
    </xf>
    <xf numFmtId="0" fontId="33" fillId="6" borderId="20" xfId="0" applyFont="1" applyFill="1" applyBorder="1" applyAlignment="1">
      <alignment vertical="top" wrapText="1"/>
    </xf>
    <xf numFmtId="0" fontId="33" fillId="0" borderId="20" xfId="0" applyFont="1" applyBorder="1" applyAlignment="1">
      <alignment vertical="top" wrapText="1"/>
    </xf>
    <xf numFmtId="0" fontId="33" fillId="0" borderId="0" xfId="0" applyFont="1" applyBorder="1" applyAlignment="1">
      <alignment vertical="top" wrapText="1"/>
    </xf>
    <xf numFmtId="0" fontId="33" fillId="6" borderId="22" xfId="0" applyFont="1" applyFill="1" applyBorder="1" applyAlignment="1">
      <alignment vertical="top" wrapText="1"/>
    </xf>
    <xf numFmtId="0" fontId="33" fillId="6" borderId="2" xfId="0" applyFont="1" applyFill="1" applyBorder="1" applyAlignment="1">
      <alignment vertical="top" wrapText="1"/>
    </xf>
    <xf numFmtId="0" fontId="33" fillId="6" borderId="24" xfId="0" applyFont="1" applyFill="1" applyBorder="1" applyAlignment="1">
      <alignment vertical="top" wrapText="1"/>
    </xf>
    <xf numFmtId="0" fontId="33" fillId="6" borderId="23" xfId="0" applyFont="1" applyFill="1" applyBorder="1" applyAlignment="1">
      <alignment vertical="top" wrapText="1"/>
    </xf>
    <xf numFmtId="0" fontId="33" fillId="6" borderId="21" xfId="0" applyFont="1" applyFill="1" applyBorder="1" applyAlignment="1">
      <alignment vertical="top" wrapText="1"/>
    </xf>
    <xf numFmtId="0" fontId="33" fillId="6" borderId="3" xfId="0" applyFont="1" applyFill="1" applyBorder="1" applyAlignment="1">
      <alignment vertical="top" wrapText="1"/>
    </xf>
    <xf numFmtId="0" fontId="44" fillId="6" borderId="0" xfId="0" applyFont="1" applyFill="1" applyBorder="1" applyAlignment="1">
      <alignment horizontal="center" vertical="center" wrapText="1"/>
    </xf>
    <xf numFmtId="0" fontId="45" fillId="6" borderId="0" xfId="0" applyFont="1" applyFill="1" applyBorder="1" applyAlignment="1">
      <alignment horizontal="center" vertical="center" wrapText="1"/>
    </xf>
    <xf numFmtId="49" fontId="23" fillId="6" borderId="0" xfId="0" applyNumberFormat="1" applyFont="1" applyFill="1" applyBorder="1" applyAlignment="1">
      <alignment horizontal="center" vertical="center" wrapText="1"/>
    </xf>
    <xf numFmtId="0" fontId="24" fillId="6" borderId="0" xfId="0" applyFont="1" applyFill="1" applyBorder="1" applyAlignment="1">
      <alignment horizontal="center" vertical="center" wrapText="1"/>
    </xf>
    <xf numFmtId="0" fontId="33" fillId="5" borderId="4" xfId="0" applyFont="1" applyFill="1" applyBorder="1" applyAlignment="1">
      <alignment horizontal="center" vertical="center" wrapText="1"/>
    </xf>
    <xf numFmtId="0" fontId="14" fillId="6" borderId="4" xfId="0" applyFont="1" applyFill="1" applyBorder="1" applyAlignment="1">
      <alignment horizontal="center" vertical="center" wrapText="1"/>
    </xf>
    <xf numFmtId="14" fontId="20" fillId="6" borderId="4" xfId="0" applyNumberFormat="1" applyFont="1" applyFill="1" applyBorder="1" applyAlignment="1">
      <alignment horizontal="center" vertical="center" wrapText="1"/>
    </xf>
    <xf numFmtId="14" fontId="14" fillId="6" borderId="4" xfId="0" applyNumberFormat="1" applyFont="1" applyFill="1" applyBorder="1" applyAlignment="1">
      <alignment horizontal="center" vertical="center" wrapText="1"/>
    </xf>
    <xf numFmtId="0" fontId="23" fillId="5" borderId="4" xfId="0" applyFont="1" applyFill="1" applyBorder="1" applyAlignment="1">
      <alignment horizontal="center" vertical="center" wrapText="1"/>
    </xf>
    <xf numFmtId="0" fontId="45" fillId="17" borderId="4" xfId="0" applyFont="1" applyFill="1" applyBorder="1" applyAlignment="1">
      <alignment horizontal="center" vertical="center" wrapText="1"/>
    </xf>
    <xf numFmtId="0" fontId="44" fillId="17" borderId="24" xfId="0" applyFont="1" applyFill="1" applyBorder="1" applyAlignment="1">
      <alignment vertical="center" wrapText="1"/>
    </xf>
    <xf numFmtId="0" fontId="44" fillId="17" borderId="27" xfId="0" applyFont="1" applyFill="1" applyBorder="1" applyAlignment="1">
      <alignment vertical="center" wrapText="1"/>
    </xf>
    <xf numFmtId="0" fontId="44" fillId="17" borderId="23" xfId="0" applyFont="1" applyFill="1" applyBorder="1" applyAlignment="1">
      <alignment vertical="center" wrapText="1"/>
    </xf>
    <xf numFmtId="0" fontId="44" fillId="17" borderId="25" xfId="0" applyFont="1" applyFill="1" applyBorder="1" applyAlignment="1">
      <alignment vertical="center" wrapText="1"/>
    </xf>
    <xf numFmtId="49" fontId="23" fillId="17" borderId="4" xfId="0" applyNumberFormat="1" applyFont="1" applyFill="1" applyBorder="1" applyAlignment="1">
      <alignment horizontal="center" vertical="center" wrapText="1"/>
    </xf>
    <xf numFmtId="0" fontId="23" fillId="17" borderId="4" xfId="0" applyFont="1" applyFill="1" applyBorder="1" applyAlignment="1">
      <alignment horizontal="center" vertical="center" wrapText="1"/>
    </xf>
    <xf numFmtId="0" fontId="0" fillId="6" borderId="26" xfId="0" applyFill="1" applyBorder="1"/>
    <xf numFmtId="0" fontId="0" fillId="6" borderId="27" xfId="0" applyFill="1" applyBorder="1" applyAlignment="1"/>
    <xf numFmtId="0" fontId="41" fillId="6" borderId="27" xfId="0" applyFont="1" applyFill="1" applyBorder="1" applyAlignment="1">
      <alignment vertical="top" wrapText="1"/>
    </xf>
    <xf numFmtId="49" fontId="45" fillId="6" borderId="0" xfId="0" applyNumberFormat="1" applyFont="1" applyFill="1" applyBorder="1" applyAlignment="1">
      <alignment horizontal="center" vertical="center" wrapText="1"/>
    </xf>
    <xf numFmtId="0" fontId="32" fillId="5" borderId="0" xfId="0" applyFont="1" applyFill="1" applyBorder="1" applyAlignment="1">
      <alignment vertical="center" wrapText="1"/>
    </xf>
    <xf numFmtId="0" fontId="33" fillId="5" borderId="0" xfId="0" applyFont="1" applyFill="1" applyBorder="1" applyAlignment="1">
      <alignment vertical="center" wrapText="1"/>
    </xf>
    <xf numFmtId="49" fontId="45" fillId="17" borderId="4" xfId="0" applyNumberFormat="1" applyFont="1" applyFill="1" applyBorder="1" applyAlignment="1">
      <alignment horizontal="center" vertical="center" wrapText="1"/>
    </xf>
    <xf numFmtId="0" fontId="33" fillId="0" borderId="4" xfId="4" applyFont="1" applyAlignment="1">
      <alignment horizontal="left" vertical="top"/>
    </xf>
    <xf numFmtId="0" fontId="44" fillId="17" borderId="24" xfId="0" applyFont="1" applyFill="1" applyBorder="1" applyAlignment="1">
      <alignment horizontal="center" vertical="center" wrapText="1"/>
    </xf>
    <xf numFmtId="0" fontId="44" fillId="17" borderId="27" xfId="0" applyFont="1" applyFill="1" applyBorder="1" applyAlignment="1">
      <alignment horizontal="center" vertical="center" wrapText="1"/>
    </xf>
    <xf numFmtId="0" fontId="21" fillId="17" borderId="4" xfId="0" applyFont="1" applyFill="1" applyBorder="1" applyAlignment="1">
      <alignment horizontal="center" vertical="center" wrapText="1"/>
    </xf>
    <xf numFmtId="0" fontId="47" fillId="0" borderId="4" xfId="0" applyFont="1" applyBorder="1" applyAlignment="1">
      <alignment horizontal="center" wrapText="1"/>
    </xf>
    <xf numFmtId="0" fontId="41" fillId="0" borderId="4" xfId="0" applyFont="1" applyBorder="1" applyAlignment="1"/>
    <xf numFmtId="0" fontId="14" fillId="6" borderId="25" xfId="0" applyFont="1" applyFill="1" applyBorder="1" applyAlignment="1">
      <alignment horizontal="right" vertical="top" wrapText="1"/>
    </xf>
    <xf numFmtId="0" fontId="14" fillId="6" borderId="21" xfId="0" applyFont="1" applyFill="1" applyBorder="1" applyAlignment="1">
      <alignment horizontal="right" vertical="top" wrapText="1"/>
    </xf>
    <xf numFmtId="0" fontId="14" fillId="6" borderId="7" xfId="0" applyFont="1" applyFill="1" applyBorder="1" applyAlignment="1">
      <alignment horizontal="right" vertical="top" wrapText="1"/>
    </xf>
    <xf numFmtId="0" fontId="14" fillId="6" borderId="4" xfId="0" applyFont="1" applyFill="1" applyBorder="1" applyAlignment="1">
      <alignment horizontal="right" vertical="top" wrapText="1"/>
    </xf>
    <xf numFmtId="0" fontId="43" fillId="6" borderId="0" xfId="0" applyFont="1" applyFill="1" applyBorder="1" applyAlignment="1">
      <alignment horizontal="center" vertical="center" wrapText="1"/>
    </xf>
    <xf numFmtId="0" fontId="0" fillId="6" borderId="0" xfId="0" applyFill="1" applyBorder="1" applyAlignment="1">
      <alignment horizontal="center" vertical="center"/>
    </xf>
    <xf numFmtId="0" fontId="42" fillId="6" borderId="0" xfId="0" applyFont="1" applyFill="1" applyBorder="1" applyAlignment="1">
      <alignment horizontal="center" vertical="center" wrapText="1"/>
    </xf>
    <xf numFmtId="0" fontId="14" fillId="6" borderId="4" xfId="0" applyFont="1" applyFill="1" applyBorder="1" applyAlignment="1">
      <alignment vertical="center" wrapText="1"/>
    </xf>
    <xf numFmtId="0" fontId="32" fillId="17" borderId="22" xfId="0" applyFont="1" applyFill="1" applyBorder="1" applyAlignment="1">
      <alignment horizontal="center" vertical="center" wrapText="1"/>
    </xf>
    <xf numFmtId="0" fontId="32" fillId="17" borderId="26" xfId="0" applyFont="1" applyFill="1" applyBorder="1" applyAlignment="1">
      <alignment horizontal="center" vertical="center" wrapText="1"/>
    </xf>
    <xf numFmtId="0" fontId="23" fillId="5" borderId="4" xfId="0" applyFont="1" applyFill="1" applyBorder="1" applyAlignment="1">
      <alignment horizontal="center" vertical="center" wrapText="1"/>
    </xf>
    <xf numFmtId="0" fontId="46" fillId="6" borderId="0" xfId="0" applyFont="1" applyFill="1" applyBorder="1" applyAlignment="1">
      <alignment horizontal="left" vertical="center" wrapText="1"/>
    </xf>
    <xf numFmtId="0" fontId="33" fillId="5" borderId="4" xfId="0" applyFont="1" applyFill="1" applyBorder="1" applyAlignment="1">
      <alignment horizontal="center" vertical="center" wrapText="1"/>
    </xf>
    <xf numFmtId="0" fontId="14" fillId="6" borderId="5" xfId="0" applyFont="1" applyFill="1" applyBorder="1" applyAlignment="1">
      <alignment vertical="center" wrapText="1"/>
    </xf>
    <xf numFmtId="0" fontId="14" fillId="6" borderId="6" xfId="0" applyFont="1" applyFill="1" applyBorder="1" applyAlignment="1">
      <alignment vertical="center" wrapText="1"/>
    </xf>
    <xf numFmtId="0" fontId="14" fillId="6" borderId="7" xfId="0" applyFont="1" applyFill="1" applyBorder="1" applyAlignment="1">
      <alignment vertical="center" wrapText="1"/>
    </xf>
    <xf numFmtId="0" fontId="33" fillId="0" borderId="4" xfId="0" applyFont="1" applyBorder="1" applyAlignment="1">
      <alignment vertical="top" wrapText="1"/>
    </xf>
    <xf numFmtId="0" fontId="0" fillId="0" borderId="4" xfId="0" applyBorder="1" applyAlignment="1">
      <alignment vertical="top" wrapText="1"/>
    </xf>
    <xf numFmtId="0" fontId="33" fillId="0" borderId="4" xfId="0" applyFont="1" applyBorder="1" applyAlignment="1">
      <alignment wrapText="1"/>
    </xf>
    <xf numFmtId="0" fontId="0" fillId="0" borderId="4" xfId="0" applyBorder="1" applyAlignment="1">
      <alignment wrapText="1"/>
    </xf>
    <xf numFmtId="0" fontId="33" fillId="0" borderId="23" xfId="10" applyFont="1" applyBorder="1" applyAlignment="1">
      <alignment wrapText="1"/>
    </xf>
    <xf numFmtId="0" fontId="33" fillId="0" borderId="25" xfId="10" applyBorder="1" applyAlignment="1">
      <alignment wrapText="1"/>
    </xf>
    <xf numFmtId="0" fontId="33" fillId="5" borderId="4" xfId="0" applyFont="1" applyFill="1" applyBorder="1" applyAlignment="1">
      <alignment horizontal="center" vertical="top" wrapText="1"/>
    </xf>
    <xf numFmtId="0" fontId="33" fillId="0" borderId="4" xfId="0" applyFont="1" applyBorder="1" applyAlignment="1">
      <alignment horizontal="center" vertical="top" wrapText="1"/>
    </xf>
    <xf numFmtId="0" fontId="32" fillId="6" borderId="23" xfId="0" applyFont="1" applyFill="1" applyBorder="1" applyAlignment="1">
      <alignment horizontal="left" vertical="top" wrapText="1"/>
    </xf>
    <xf numFmtId="0" fontId="32" fillId="6" borderId="3" xfId="0" applyFont="1" applyFill="1" applyBorder="1" applyAlignment="1">
      <alignment horizontal="left" vertical="top" wrapText="1"/>
    </xf>
    <xf numFmtId="0" fontId="33" fillId="5" borderId="5" xfId="0" applyFont="1" applyFill="1" applyBorder="1" applyAlignment="1">
      <alignment horizontal="center" vertical="top" wrapText="1"/>
    </xf>
    <xf numFmtId="0" fontId="33" fillId="0" borderId="7" xfId="0" applyFont="1" applyBorder="1" applyAlignment="1">
      <alignment horizontal="center" vertical="top" wrapText="1"/>
    </xf>
    <xf numFmtId="0" fontId="33" fillId="5" borderId="22" xfId="0" applyFont="1" applyFill="1" applyBorder="1" applyAlignment="1">
      <alignment horizontal="center" vertical="top" wrapText="1"/>
    </xf>
    <xf numFmtId="0" fontId="33" fillId="0" borderId="26" xfId="0" applyFont="1" applyBorder="1" applyAlignment="1">
      <alignment horizontal="center" vertical="top" wrapText="1"/>
    </xf>
    <xf numFmtId="0" fontId="33" fillId="0" borderId="5" xfId="10" applyFont="1" applyBorder="1" applyAlignment="1">
      <alignment vertical="top" wrapText="1"/>
    </xf>
    <xf numFmtId="0" fontId="33" fillId="0" borderId="7" xfId="10" applyBorder="1" applyAlignment="1">
      <alignment vertical="top" wrapText="1"/>
    </xf>
    <xf numFmtId="0" fontId="33" fillId="0" borderId="4" xfId="10" applyFont="1" applyBorder="1" applyAlignment="1">
      <alignment vertical="top" wrapText="1"/>
    </xf>
    <xf numFmtId="0" fontId="33" fillId="0" borderId="4" xfId="10" applyBorder="1" applyAlignment="1">
      <alignment vertical="top" wrapText="1"/>
    </xf>
    <xf numFmtId="0" fontId="32" fillId="6" borderId="22" xfId="0" applyFont="1" applyFill="1" applyBorder="1" applyAlignment="1">
      <alignment horizontal="center" vertical="top" wrapText="1"/>
    </xf>
    <xf numFmtId="0" fontId="32" fillId="6" borderId="2" xfId="0" applyFont="1" applyFill="1" applyBorder="1" applyAlignment="1">
      <alignment horizontal="center" vertical="top" wrapText="1"/>
    </xf>
    <xf numFmtId="0" fontId="40" fillId="6" borderId="24" xfId="0" applyFont="1" applyFill="1" applyBorder="1" applyAlignment="1">
      <alignment horizontal="center" vertical="top" wrapText="1"/>
    </xf>
    <xf numFmtId="0" fontId="40" fillId="6" borderId="0" xfId="0" applyFont="1" applyFill="1" applyBorder="1" applyAlignment="1">
      <alignment horizontal="center" vertical="top" wrapText="1"/>
    </xf>
    <xf numFmtId="0" fontId="32" fillId="6" borderId="24" xfId="0" applyFont="1" applyFill="1" applyBorder="1" applyAlignment="1">
      <alignment horizontal="left" vertical="top" wrapText="1"/>
    </xf>
    <xf numFmtId="0" fontId="32" fillId="6" borderId="0" xfId="0" applyFont="1" applyFill="1" applyBorder="1" applyAlignment="1">
      <alignment horizontal="left" vertical="top" wrapText="1"/>
    </xf>
    <xf numFmtId="0" fontId="40" fillId="0" borderId="24" xfId="0" applyFont="1" applyFill="1" applyBorder="1" applyAlignment="1">
      <alignment horizontal="center" vertical="top" wrapText="1"/>
    </xf>
    <xf numFmtId="0" fontId="40" fillId="0" borderId="27" xfId="0" applyFont="1" applyFill="1" applyBorder="1" applyAlignment="1">
      <alignment horizontal="center" vertical="top" wrapText="1"/>
    </xf>
    <xf numFmtId="14" fontId="32" fillId="13" borderId="8" xfId="0" applyNumberFormat="1" applyFont="1" applyFill="1" applyBorder="1" applyAlignment="1">
      <alignment horizontal="center" vertical="center" wrapText="1"/>
    </xf>
    <xf numFmtId="14" fontId="32" fillId="13" borderId="20" xfId="0" applyNumberFormat="1" applyFont="1" applyFill="1" applyBorder="1" applyAlignment="1">
      <alignment horizontal="center" vertical="center" wrapText="1"/>
    </xf>
    <xf numFmtId="14" fontId="32" fillId="13" borderId="21" xfId="0" applyNumberFormat="1" applyFont="1" applyFill="1" applyBorder="1" applyAlignment="1">
      <alignment horizontal="center" vertical="center" wrapText="1"/>
    </xf>
    <xf numFmtId="14" fontId="33" fillId="14" borderId="4" xfId="0" applyNumberFormat="1" applyFont="1" applyFill="1" applyBorder="1" applyAlignment="1">
      <alignment horizontal="center" vertical="top" wrapText="1"/>
    </xf>
    <xf numFmtId="0" fontId="32" fillId="5" borderId="8" xfId="0" applyFont="1" applyFill="1" applyBorder="1" applyAlignment="1">
      <alignment horizontal="center" vertical="top"/>
    </xf>
    <xf numFmtId="0" fontId="32" fillId="5" borderId="21" xfId="0" applyFont="1" applyFill="1" applyBorder="1" applyAlignment="1">
      <alignment horizontal="center" vertical="top"/>
    </xf>
    <xf numFmtId="49" fontId="32" fillId="4" borderId="8" xfId="3" applyNumberFormat="1" applyFill="1" applyBorder="1" applyAlignment="1">
      <alignment horizontal="center" vertical="top" wrapText="1"/>
    </xf>
    <xf numFmtId="49" fontId="32" fillId="4" borderId="20" xfId="3" applyNumberFormat="1" applyFill="1" applyBorder="1" applyAlignment="1">
      <alignment horizontal="center" vertical="top" wrapText="1"/>
    </xf>
    <xf numFmtId="49" fontId="32" fillId="4" borderId="21" xfId="3" applyNumberFormat="1" applyFill="1" applyBorder="1" applyAlignment="1">
      <alignment horizontal="center" vertical="top" wrapText="1"/>
    </xf>
    <xf numFmtId="49" fontId="38" fillId="4" borderId="8" xfId="0" applyNumberFormat="1" applyFont="1" applyFill="1" applyBorder="1" applyAlignment="1">
      <alignment horizontal="center" vertical="top" wrapText="1"/>
    </xf>
    <xf numFmtId="49" fontId="33" fillId="4" borderId="20" xfId="0" applyNumberFormat="1" applyFont="1" applyFill="1" applyBorder="1" applyAlignment="1">
      <alignment horizontal="center" vertical="top" wrapText="1"/>
    </xf>
    <xf numFmtId="49" fontId="33" fillId="4" borderId="21" xfId="0" applyNumberFormat="1" applyFont="1" applyFill="1" applyBorder="1" applyAlignment="1">
      <alignment horizontal="center" vertical="top" wrapText="1"/>
    </xf>
    <xf numFmtId="0" fontId="32" fillId="13" borderId="4" xfId="0" applyFont="1" applyFill="1" applyBorder="1" applyAlignment="1">
      <alignment horizontal="center" vertical="top" wrapText="1"/>
    </xf>
    <xf numFmtId="0" fontId="32" fillId="4" borderId="22" xfId="3" applyFill="1" applyBorder="1" applyAlignment="1">
      <alignment horizontal="center" vertical="center"/>
    </xf>
    <xf numFmtId="0" fontId="32" fillId="4" borderId="2" xfId="3" applyFill="1" applyBorder="1" applyAlignment="1">
      <alignment horizontal="center" vertical="center"/>
    </xf>
    <xf numFmtId="0" fontId="32" fillId="4" borderId="26" xfId="3" applyFill="1" applyBorder="1" applyAlignment="1">
      <alignment horizontal="center" vertical="center"/>
    </xf>
    <xf numFmtId="0" fontId="32" fillId="4" borderId="23" xfId="3" applyFill="1" applyBorder="1" applyAlignment="1">
      <alignment horizontal="center" vertical="center"/>
    </xf>
    <xf numFmtId="0" fontId="32" fillId="4" borderId="3" xfId="3" applyFill="1" applyBorder="1" applyAlignment="1">
      <alignment horizontal="center" vertical="center"/>
    </xf>
    <xf numFmtId="0" fontId="32" fillId="4" borderId="25" xfId="3" applyFill="1" applyBorder="1" applyAlignment="1">
      <alignment horizontal="center" vertical="center"/>
    </xf>
    <xf numFmtId="0" fontId="33" fillId="18" borderId="5" xfId="0" applyFont="1" applyFill="1" applyBorder="1" applyAlignment="1">
      <alignment horizontal="center" vertical="top" wrapText="1"/>
    </xf>
    <xf numFmtId="0" fontId="33" fillId="18" borderId="7" xfId="0" applyFont="1" applyFill="1" applyBorder="1" applyAlignment="1">
      <alignment horizontal="center" vertical="top" wrapText="1"/>
    </xf>
    <xf numFmtId="0" fontId="33" fillId="19" borderId="5" xfId="0" applyFont="1" applyFill="1" applyBorder="1" applyAlignment="1">
      <alignment horizontal="center" vertical="top" wrapText="1"/>
    </xf>
    <xf numFmtId="0" fontId="33" fillId="19" borderId="7" xfId="0" applyFont="1" applyFill="1" applyBorder="1" applyAlignment="1">
      <alignment horizontal="center" vertical="top" wrapText="1"/>
    </xf>
    <xf numFmtId="0" fontId="33" fillId="20" borderId="5" xfId="0" applyFont="1" applyFill="1" applyBorder="1" applyAlignment="1">
      <alignment horizontal="center" vertical="top"/>
    </xf>
    <xf numFmtId="0" fontId="33" fillId="20" borderId="7" xfId="0" applyFont="1" applyFill="1" applyBorder="1" applyAlignment="1">
      <alignment horizontal="center" vertical="top"/>
    </xf>
    <xf numFmtId="0" fontId="33" fillId="21" borderId="5" xfId="0" applyFont="1" applyFill="1" applyBorder="1" applyAlignment="1">
      <alignment horizontal="center" vertical="top"/>
    </xf>
    <xf numFmtId="0" fontId="33" fillId="21" borderId="7" xfId="0" applyFont="1" applyFill="1" applyBorder="1" applyAlignment="1">
      <alignment horizontal="center" vertical="top"/>
    </xf>
    <xf numFmtId="0" fontId="32" fillId="16" borderId="2" xfId="0" applyFont="1" applyFill="1" applyBorder="1" applyAlignment="1">
      <alignment horizontal="center" vertical="top" wrapText="1"/>
    </xf>
    <xf numFmtId="0" fontId="0" fillId="0" borderId="2" xfId="0" applyBorder="1" applyAlignment="1">
      <alignment horizontal="center" vertical="top"/>
    </xf>
    <xf numFmtId="0" fontId="0" fillId="0" borderId="26" xfId="0" applyBorder="1" applyAlignment="1">
      <alignment horizontal="center" vertical="top"/>
    </xf>
    <xf numFmtId="0" fontId="39" fillId="16" borderId="3" xfId="0" applyFont="1" applyFill="1" applyBorder="1" applyAlignment="1">
      <alignment horizontal="center" vertical="top" wrapText="1"/>
    </xf>
    <xf numFmtId="0" fontId="0" fillId="0" borderId="3" xfId="0" applyBorder="1" applyAlignment="1">
      <alignment horizontal="center" vertical="top"/>
    </xf>
    <xf numFmtId="0" fontId="0" fillId="0" borderId="25" xfId="0" applyBorder="1" applyAlignment="1">
      <alignment horizontal="center" vertical="top"/>
    </xf>
    <xf numFmtId="49" fontId="32" fillId="4" borderId="5" xfId="3" applyNumberFormat="1" applyFill="1" applyBorder="1" applyAlignment="1">
      <alignment horizontal="center" vertical="center" wrapText="1"/>
    </xf>
    <xf numFmtId="49" fontId="32" fillId="4" borderId="6" xfId="3" applyNumberFormat="1" applyFill="1" applyBorder="1" applyAlignment="1">
      <alignment horizontal="center" vertical="center" wrapText="1"/>
    </xf>
    <xf numFmtId="49" fontId="32" fillId="4" borderId="7" xfId="3" applyNumberFormat="1" applyFill="1" applyBorder="1" applyAlignment="1">
      <alignment horizontal="center" vertical="center" wrapText="1"/>
    </xf>
    <xf numFmtId="49" fontId="32" fillId="17" borderId="5" xfId="0" applyNumberFormat="1" applyFont="1" applyFill="1" applyBorder="1" applyAlignment="1">
      <alignment horizontal="center" vertical="top" wrapText="1"/>
    </xf>
    <xf numFmtId="49" fontId="32" fillId="17" borderId="6" xfId="0" applyNumberFormat="1" applyFont="1" applyFill="1" applyBorder="1" applyAlignment="1">
      <alignment horizontal="center" vertical="top" wrapText="1"/>
    </xf>
    <xf numFmtId="49" fontId="32" fillId="17" borderId="7" xfId="0" applyNumberFormat="1" applyFont="1" applyFill="1" applyBorder="1" applyAlignment="1">
      <alignment horizontal="center" vertical="top" wrapText="1"/>
    </xf>
    <xf numFmtId="0" fontId="32" fillId="13" borderId="8" xfId="0" applyFont="1" applyFill="1" applyBorder="1" applyAlignment="1">
      <alignment horizontal="center" vertical="top"/>
    </xf>
    <xf numFmtId="0" fontId="0" fillId="0" borderId="21" xfId="0" applyBorder="1" applyAlignment="1">
      <alignment horizontal="center" vertical="top"/>
    </xf>
    <xf numFmtId="14" fontId="33" fillId="14" borderId="8" xfId="0" applyNumberFormat="1" applyFont="1" applyFill="1" applyBorder="1" applyAlignment="1">
      <alignment horizontal="center" vertical="top" wrapText="1"/>
    </xf>
    <xf numFmtId="14" fontId="33" fillId="14" borderId="20" xfId="0" applyNumberFormat="1" applyFont="1" applyFill="1" applyBorder="1" applyAlignment="1">
      <alignment horizontal="center" vertical="top" wrapText="1"/>
    </xf>
    <xf numFmtId="14" fontId="33" fillId="14" borderId="21" xfId="0" applyNumberFormat="1" applyFont="1" applyFill="1" applyBorder="1" applyAlignment="1">
      <alignment horizontal="center" vertical="top" wrapText="1"/>
    </xf>
    <xf numFmtId="0" fontId="32" fillId="16" borderId="24" xfId="0" applyFont="1" applyFill="1" applyBorder="1" applyAlignment="1">
      <alignment horizontal="center" vertical="top" wrapText="1"/>
    </xf>
    <xf numFmtId="0" fontId="32" fillId="16" borderId="0" xfId="0" applyFont="1" applyFill="1" applyBorder="1" applyAlignment="1">
      <alignment horizontal="center" vertical="top" wrapText="1"/>
    </xf>
    <xf numFmtId="0" fontId="32" fillId="16" borderId="27" xfId="0" applyFont="1" applyFill="1" applyBorder="1" applyAlignment="1">
      <alignment horizontal="center" vertical="top" wrapText="1"/>
    </xf>
    <xf numFmtId="0" fontId="32" fillId="16" borderId="23" xfId="0" applyFont="1" applyFill="1" applyBorder="1" applyAlignment="1">
      <alignment horizontal="center" vertical="top" wrapText="1"/>
    </xf>
    <xf numFmtId="0" fontId="32" fillId="16" borderId="3" xfId="0" applyFont="1" applyFill="1" applyBorder="1" applyAlignment="1">
      <alignment horizontal="center" vertical="top" wrapText="1"/>
    </xf>
    <xf numFmtId="0" fontId="32" fillId="16" borderId="25" xfId="0" applyFont="1" applyFill="1" applyBorder="1" applyAlignment="1">
      <alignment horizontal="center" vertical="top" wrapText="1"/>
    </xf>
    <xf numFmtId="0" fontId="32" fillId="16" borderId="22" xfId="0" applyFont="1" applyFill="1" applyBorder="1" applyAlignment="1">
      <alignment horizontal="center" vertical="top" wrapText="1"/>
    </xf>
    <xf numFmtId="0" fontId="32" fillId="16" borderId="26" xfId="0" applyFont="1" applyFill="1" applyBorder="1" applyAlignment="1">
      <alignment horizontal="center" vertical="top" wrapText="1"/>
    </xf>
    <xf numFmtId="0" fontId="28" fillId="10" borderId="17" xfId="0" applyFont="1" applyFill="1" applyBorder="1" applyAlignment="1">
      <alignment horizontal="center" vertical="center"/>
    </xf>
    <xf numFmtId="0" fontId="28" fillId="10" borderId="18" xfId="0" applyFont="1" applyFill="1" applyBorder="1" applyAlignment="1">
      <alignment horizontal="center" vertical="center"/>
    </xf>
    <xf numFmtId="0" fontId="28" fillId="10" borderId="19" xfId="0" applyFont="1" applyFill="1" applyBorder="1" applyAlignment="1">
      <alignment horizontal="center" vertical="center"/>
    </xf>
    <xf numFmtId="0" fontId="2" fillId="11" borderId="17" xfId="0" applyFont="1" applyFill="1" applyBorder="1" applyAlignment="1">
      <alignment horizontal="center" vertical="center" wrapText="1"/>
    </xf>
    <xf numFmtId="0" fontId="2" fillId="11" borderId="18" xfId="0" applyFont="1" applyFill="1" applyBorder="1" applyAlignment="1">
      <alignment horizontal="center" vertical="center" wrapText="1"/>
    </xf>
    <xf numFmtId="0" fontId="2" fillId="11" borderId="19" xfId="0" applyFont="1" applyFill="1" applyBorder="1" applyAlignment="1">
      <alignment horizontal="center" vertical="center" wrapText="1"/>
    </xf>
    <xf numFmtId="0" fontId="28" fillId="12" borderId="17" xfId="0" applyFont="1" applyFill="1" applyBorder="1" applyAlignment="1">
      <alignment horizontal="center" vertical="center" wrapText="1"/>
    </xf>
    <xf numFmtId="0" fontId="28" fillId="12" borderId="18" xfId="0" applyFont="1" applyFill="1" applyBorder="1" applyAlignment="1">
      <alignment horizontal="center" vertical="center" wrapText="1"/>
    </xf>
    <xf numFmtId="0" fontId="28" fillId="12" borderId="19" xfId="0" applyFont="1" applyFill="1" applyBorder="1" applyAlignment="1">
      <alignment horizontal="center" vertical="center" wrapText="1"/>
    </xf>
    <xf numFmtId="14" fontId="15" fillId="3" borderId="2" xfId="0" applyNumberFormat="1" applyFont="1" applyFill="1" applyBorder="1" applyAlignment="1">
      <alignment horizontal="center" vertical="center" wrapText="1"/>
    </xf>
    <xf numFmtId="14" fontId="15" fillId="3" borderId="3" xfId="0" applyNumberFormat="1" applyFont="1" applyFill="1" applyBorder="1" applyAlignment="1">
      <alignment horizontal="center" vertical="center" wrapText="1"/>
    </xf>
    <xf numFmtId="0" fontId="13" fillId="0" borderId="0" xfId="0" applyFont="1" applyAlignment="1">
      <alignment vertical="top" wrapText="1"/>
    </xf>
    <xf numFmtId="0" fontId="13" fillId="0" borderId="0" xfId="0" applyFont="1" applyAlignment="1">
      <alignment horizontal="left" wrapText="1"/>
    </xf>
    <xf numFmtId="0" fontId="19" fillId="5" borderId="4" xfId="0" applyFont="1" applyFill="1" applyBorder="1" applyAlignment="1">
      <alignment horizontal="left" vertical="center" wrapText="1"/>
    </xf>
    <xf numFmtId="0" fontId="24" fillId="6" borderId="5" xfId="0" applyFont="1" applyFill="1" applyBorder="1" applyAlignment="1">
      <alignment horizontal="left"/>
    </xf>
    <xf numFmtId="0" fontId="24" fillId="6" borderId="6" xfId="0" applyFont="1" applyFill="1" applyBorder="1" applyAlignment="1">
      <alignment horizontal="left"/>
    </xf>
    <xf numFmtId="0" fontId="24" fillId="6" borderId="7" xfId="0" applyFont="1" applyFill="1" applyBorder="1" applyAlignment="1">
      <alignment horizontal="left"/>
    </xf>
    <xf numFmtId="0" fontId="23" fillId="6" borderId="4" xfId="0" applyFont="1" applyFill="1" applyBorder="1" applyAlignment="1">
      <alignment horizontal="left" wrapText="1"/>
    </xf>
    <xf numFmtId="14" fontId="19" fillId="5" borderId="4" xfId="0" applyNumberFormat="1" applyFont="1" applyFill="1" applyBorder="1" applyAlignment="1">
      <alignment horizontal="left" vertical="center" wrapText="1"/>
    </xf>
    <xf numFmtId="14" fontId="19" fillId="5" borderId="5" xfId="0" applyNumberFormat="1" applyFont="1" applyFill="1" applyBorder="1" applyAlignment="1">
      <alignment horizontal="left" vertical="center" wrapText="1"/>
    </xf>
    <xf numFmtId="14" fontId="19" fillId="5" borderId="6" xfId="0" applyNumberFormat="1" applyFont="1" applyFill="1" applyBorder="1" applyAlignment="1">
      <alignment horizontal="left" vertical="center" wrapText="1"/>
    </xf>
    <xf numFmtId="14" fontId="19" fillId="5" borderId="7" xfId="0" applyNumberFormat="1" applyFont="1" applyFill="1" applyBorder="1" applyAlignment="1">
      <alignment horizontal="left" vertical="center" wrapText="1"/>
    </xf>
    <xf numFmtId="0" fontId="23" fillId="5" borderId="4" xfId="0" applyFont="1" applyFill="1" applyBorder="1" applyAlignment="1">
      <alignment horizontal="left" vertical="top" wrapText="1"/>
    </xf>
    <xf numFmtId="0" fontId="23" fillId="5" borderId="6" xfId="0" applyFont="1" applyFill="1" applyBorder="1" applyAlignment="1">
      <alignment horizontal="left" vertical="top" wrapText="1"/>
    </xf>
    <xf numFmtId="0" fontId="23" fillId="5" borderId="7" xfId="0" applyFont="1" applyFill="1" applyBorder="1" applyAlignment="1">
      <alignment horizontal="left" vertical="top" wrapText="1"/>
    </xf>
    <xf numFmtId="0" fontId="19" fillId="5" borderId="5" xfId="0" applyFont="1" applyFill="1" applyBorder="1" applyAlignment="1">
      <alignment horizontal="left" vertical="center" wrapText="1"/>
    </xf>
    <xf numFmtId="0" fontId="19" fillId="5" borderId="6" xfId="0" applyFont="1" applyFill="1" applyBorder="1" applyAlignment="1">
      <alignment horizontal="left" vertical="center" wrapText="1"/>
    </xf>
    <xf numFmtId="0" fontId="19" fillId="5" borderId="7" xfId="0" applyFont="1" applyFill="1" applyBorder="1" applyAlignment="1">
      <alignment horizontal="left" vertical="center" wrapText="1"/>
    </xf>
    <xf numFmtId="14" fontId="17" fillId="5" borderId="5" xfId="0" applyNumberFormat="1" applyFont="1" applyFill="1" applyBorder="1" applyAlignment="1">
      <alignment horizontal="left" vertical="center"/>
    </xf>
    <xf numFmtId="14" fontId="17" fillId="5" borderId="6" xfId="0" applyNumberFormat="1" applyFont="1" applyFill="1" applyBorder="1" applyAlignment="1">
      <alignment horizontal="left" vertical="center"/>
    </xf>
    <xf numFmtId="14" fontId="17" fillId="5" borderId="7" xfId="0" applyNumberFormat="1" applyFont="1" applyFill="1" applyBorder="1" applyAlignment="1">
      <alignment horizontal="left" vertical="center"/>
    </xf>
  </cellXfs>
  <cellStyles count="32">
    <cellStyle name="ColLevel_1" xfId="3"/>
    <cellStyle name="entry" xfId="4"/>
    <cellStyle name="entry 2" xfId="5"/>
    <cellStyle name="Lien hypertexte 2" xfId="6"/>
    <cellStyle name="Normal 2" xfId="7"/>
    <cellStyle name="Normal 3" xfId="8"/>
    <cellStyle name="Normal 4" xfId="9"/>
    <cellStyle name="Normal 5" xfId="10"/>
    <cellStyle name="p::v Condition Cells" xfId="11"/>
    <cellStyle name="para" xfId="12"/>
    <cellStyle name="RowLevel_2" xfId="13"/>
    <cellStyle name="sect" xfId="14"/>
    <cellStyle name="sect1" xfId="15"/>
    <cellStyle name="sect2" xfId="16"/>
    <cellStyle name="sect3" xfId="17"/>
    <cellStyle name="sect4" xfId="18"/>
    <cellStyle name="sect4 2" xfId="19"/>
    <cellStyle name="sect5" xfId="20"/>
    <cellStyle name="sect5 2" xfId="21"/>
    <cellStyle name="sect6" xfId="22"/>
    <cellStyle name="sect6 2" xfId="23"/>
    <cellStyle name="sect7" xfId="24"/>
    <cellStyle name="sect7 2" xfId="25"/>
    <cellStyle name="sect8" xfId="26"/>
    <cellStyle name="sect8 2" xfId="27"/>
    <cellStyle name="sect9" xfId="28"/>
    <cellStyle name="sect9 2" xfId="29"/>
    <cellStyle name="tableTitle" xfId="30"/>
    <cellStyle name="title" xfId="31"/>
    <cellStyle name="百分比" xfId="1" builtinId="5"/>
    <cellStyle name="常规" xfId="0" builtinId="0"/>
    <cellStyle name="超链接" xfId="2" builtinId="8"/>
  </cellStyles>
  <dxfs count="89">
    <dxf>
      <fill>
        <patternFill patternType="solid">
          <bgColor rgb="FFFFC000"/>
        </patternFill>
      </fill>
    </dxf>
    <dxf>
      <font>
        <b val="0"/>
        <i val="0"/>
      </font>
      <fill>
        <patternFill patternType="solid">
          <bgColor indexed="11"/>
        </patternFill>
      </fill>
    </dxf>
    <dxf>
      <font>
        <b val="0"/>
        <i val="0"/>
        <color auto="1"/>
      </font>
      <fill>
        <patternFill patternType="solid">
          <bgColor indexed="10"/>
        </patternFill>
      </fill>
    </dxf>
    <dxf>
      <font>
        <b val="0"/>
        <i val="0"/>
        <color auto="1"/>
      </font>
      <fill>
        <patternFill patternType="solid">
          <bgColor indexed="10"/>
        </patternFill>
      </fill>
    </dxf>
    <dxf>
      <font>
        <b val="0"/>
        <i val="0"/>
      </font>
      <fill>
        <patternFill patternType="solid">
          <bgColor indexed="11"/>
        </patternFill>
      </fill>
    </dxf>
    <dxf>
      <fill>
        <patternFill patternType="solid">
          <bgColor indexed="52"/>
        </patternFill>
      </fill>
    </dxf>
    <dxf>
      <font>
        <b val="0"/>
        <i val="0"/>
      </font>
      <fill>
        <patternFill patternType="solid">
          <bgColor indexed="11"/>
        </patternFill>
      </fill>
    </dxf>
    <dxf>
      <font>
        <b val="0"/>
        <i val="0"/>
        <color auto="1"/>
      </font>
      <fill>
        <patternFill patternType="solid">
          <bgColor indexed="10"/>
        </patternFill>
      </fill>
    </dxf>
    <dxf>
      <font>
        <b val="0"/>
        <i val="0"/>
      </font>
      <fill>
        <patternFill patternType="solid">
          <bgColor indexed="11"/>
        </patternFill>
      </fill>
    </dxf>
    <dxf>
      <font>
        <b val="0"/>
        <i val="0"/>
        <color auto="1"/>
      </font>
      <fill>
        <patternFill patternType="solid">
          <bgColor indexed="10"/>
        </patternFill>
      </fill>
    </dxf>
    <dxf>
      <fill>
        <patternFill patternType="solid">
          <bgColor rgb="FFFF0000"/>
        </patternFill>
      </fill>
    </dxf>
    <dxf>
      <fill>
        <patternFill patternType="solid">
          <bgColor rgb="FF00FF00"/>
        </patternFill>
      </fill>
    </dxf>
    <dxf>
      <fill>
        <patternFill patternType="solid">
          <bgColor rgb="FF00FF00"/>
        </patternFill>
      </fill>
    </dxf>
    <dxf>
      <fill>
        <patternFill patternType="solid">
          <bgColor rgb="FF00FF00"/>
        </patternFill>
      </fill>
    </dxf>
    <dxf>
      <fill>
        <patternFill patternType="solid">
          <bgColor rgb="FF00FF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b val="0"/>
        <i val="0"/>
      </font>
      <fill>
        <patternFill patternType="solid">
          <bgColor indexed="11"/>
        </patternFill>
      </fill>
    </dxf>
    <dxf>
      <font>
        <b val="0"/>
        <i val="0"/>
        <color auto="1"/>
      </font>
      <fill>
        <patternFill patternType="solid">
          <bgColor indexed="10"/>
        </patternFill>
      </fill>
    </dxf>
    <dxf>
      <font>
        <b val="0"/>
        <i val="0"/>
        <color auto="1"/>
      </font>
      <fill>
        <patternFill patternType="solid">
          <bgColor indexed="10"/>
        </patternFill>
      </fill>
    </dxf>
    <dxf>
      <font>
        <b val="0"/>
        <i val="0"/>
      </font>
      <fill>
        <patternFill patternType="solid">
          <bgColor indexed="11"/>
        </patternFill>
      </fill>
    </dxf>
    <dxf>
      <fill>
        <patternFill patternType="solid">
          <bgColor indexed="13"/>
        </patternFill>
      </fill>
    </dxf>
    <dxf>
      <fill>
        <patternFill patternType="solid">
          <bgColor indexed="22"/>
        </patternFill>
      </fill>
    </dxf>
    <dxf>
      <fill>
        <patternFill patternType="solid">
          <bgColor indexed="10"/>
        </patternFill>
      </fill>
    </dxf>
    <dxf>
      <fill>
        <patternFill patternType="solid">
          <bgColor indexed="52"/>
        </patternFill>
      </fill>
    </dxf>
    <dxf>
      <font>
        <b val="0"/>
        <i val="0"/>
      </font>
      <fill>
        <patternFill patternType="solid">
          <bgColor indexed="11"/>
        </patternFill>
      </fill>
    </dxf>
    <dxf>
      <font>
        <b val="0"/>
        <i val="0"/>
        <color auto="1"/>
      </font>
      <fill>
        <patternFill patternType="solid">
          <bgColor indexed="10"/>
        </patternFill>
      </fill>
    </dxf>
    <dxf>
      <font>
        <b val="0"/>
        <i val="0"/>
      </font>
      <fill>
        <patternFill patternType="solid">
          <bgColor indexed="11"/>
        </patternFill>
      </fill>
    </dxf>
    <dxf>
      <font>
        <b val="0"/>
        <i val="0"/>
        <color auto="1"/>
      </font>
      <fill>
        <patternFill patternType="solid">
          <bgColor indexed="10"/>
        </patternFill>
      </fill>
    </dxf>
    <dxf>
      <fill>
        <patternFill patternType="solid">
          <bgColor indexed="13"/>
        </patternFill>
      </fill>
    </dxf>
    <dxf>
      <fill>
        <patternFill patternType="solid">
          <bgColor indexed="22"/>
        </patternFill>
      </fill>
    </dxf>
    <dxf>
      <fill>
        <patternFill patternType="solid">
          <bgColor indexed="10"/>
        </patternFill>
      </fill>
    </dxf>
    <dxf>
      <fill>
        <patternFill patternType="solid">
          <bgColor rgb="FFFFC000"/>
        </patternFill>
      </fill>
    </dxf>
    <dxf>
      <font>
        <b val="0"/>
        <i val="0"/>
      </font>
      <fill>
        <patternFill patternType="solid">
          <bgColor indexed="11"/>
        </patternFill>
      </fill>
    </dxf>
    <dxf>
      <font>
        <b val="0"/>
        <i val="0"/>
        <color auto="1"/>
      </font>
      <fill>
        <patternFill patternType="solid">
          <bgColor indexed="10"/>
        </patternFill>
      </fill>
    </dxf>
    <dxf>
      <font>
        <b val="0"/>
        <i val="0"/>
        <color auto="1"/>
      </font>
      <fill>
        <patternFill patternType="solid">
          <bgColor indexed="10"/>
        </patternFill>
      </fill>
    </dxf>
    <dxf>
      <font>
        <b val="0"/>
        <i val="0"/>
      </font>
      <fill>
        <patternFill patternType="solid">
          <bgColor indexed="11"/>
        </patternFill>
      </fill>
    </dxf>
    <dxf>
      <fill>
        <patternFill patternType="solid">
          <bgColor theme="0" tint="-0.24994659260841701"/>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00FF00"/>
        </patternFill>
      </fill>
    </dxf>
    <dxf>
      <fill>
        <patternFill patternType="solid">
          <bgColor rgb="FF00FF00"/>
        </patternFill>
      </fill>
    </dxf>
    <dxf>
      <fill>
        <patternFill patternType="solid">
          <bgColor rgb="FF00FF00"/>
        </patternFill>
      </fill>
    </dxf>
    <dxf>
      <fill>
        <patternFill patternType="solid">
          <bgColor rgb="FF00FF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b val="0"/>
        <i val="0"/>
      </font>
      <fill>
        <patternFill patternType="solid">
          <bgColor indexed="11"/>
        </patternFill>
      </fill>
    </dxf>
    <dxf>
      <font>
        <b val="0"/>
        <i val="0"/>
        <color auto="1"/>
      </font>
      <fill>
        <patternFill patternType="solid">
          <bgColor indexed="10"/>
        </patternFill>
      </fill>
    </dxf>
    <dxf>
      <font>
        <b val="0"/>
        <i val="0"/>
        <color auto="1"/>
      </font>
      <fill>
        <patternFill patternType="solid">
          <bgColor indexed="10"/>
        </patternFill>
      </fill>
    </dxf>
    <dxf>
      <font>
        <b val="0"/>
        <i val="0"/>
      </font>
      <fill>
        <patternFill patternType="solid">
          <bgColor indexed="11"/>
        </patternFill>
      </fill>
    </dxf>
    <dxf>
      <fill>
        <patternFill patternType="solid">
          <bgColor rgb="FFFFC000"/>
        </patternFill>
      </fill>
    </dxf>
    <dxf>
      <font>
        <b val="0"/>
        <i val="0"/>
      </font>
      <fill>
        <patternFill patternType="solid">
          <bgColor indexed="11"/>
        </patternFill>
      </fill>
    </dxf>
    <dxf>
      <font>
        <b val="0"/>
        <i val="0"/>
        <color auto="1"/>
      </font>
      <fill>
        <patternFill patternType="solid">
          <bgColor indexed="10"/>
        </patternFill>
      </fill>
    </dxf>
    <dxf>
      <font>
        <b val="0"/>
        <i val="0"/>
        <color auto="1"/>
      </font>
      <fill>
        <patternFill patternType="solid">
          <bgColor indexed="10"/>
        </patternFill>
      </fill>
    </dxf>
    <dxf>
      <font>
        <b val="0"/>
        <i val="0"/>
      </font>
      <fill>
        <patternFill patternType="solid">
          <bgColor indexed="11"/>
        </patternFill>
      </fill>
    </dxf>
    <dxf>
      <fill>
        <patternFill patternType="solid">
          <bgColor rgb="FFFFC000"/>
        </patternFill>
      </fill>
    </dxf>
    <dxf>
      <font>
        <b val="0"/>
        <i val="0"/>
      </font>
      <fill>
        <patternFill patternType="solid">
          <bgColor indexed="11"/>
        </patternFill>
      </fill>
    </dxf>
    <dxf>
      <font>
        <b val="0"/>
        <i val="0"/>
        <color auto="1"/>
      </font>
      <fill>
        <patternFill patternType="solid">
          <bgColor indexed="10"/>
        </patternFill>
      </fill>
    </dxf>
    <dxf>
      <font>
        <b val="0"/>
        <i val="0"/>
        <color auto="1"/>
      </font>
      <fill>
        <patternFill patternType="solid">
          <bgColor indexed="10"/>
        </patternFill>
      </fill>
    </dxf>
    <dxf>
      <font>
        <b val="0"/>
        <i val="0"/>
      </font>
      <fill>
        <patternFill patternType="solid">
          <bgColor indexed="11"/>
        </patternFill>
      </fill>
    </dxf>
    <dxf>
      <fill>
        <patternFill patternType="solid">
          <bgColor rgb="FFFFC000"/>
        </patternFill>
      </fill>
    </dxf>
    <dxf>
      <font>
        <b val="0"/>
        <i val="0"/>
      </font>
      <fill>
        <patternFill patternType="solid">
          <bgColor indexed="11"/>
        </patternFill>
      </fill>
    </dxf>
    <dxf>
      <font>
        <b val="0"/>
        <i val="0"/>
        <color auto="1"/>
      </font>
      <fill>
        <patternFill patternType="solid">
          <bgColor indexed="10"/>
        </patternFill>
      </fill>
    </dxf>
    <dxf>
      <font>
        <b val="0"/>
        <i val="0"/>
        <color auto="1"/>
      </font>
      <fill>
        <patternFill patternType="solid">
          <bgColor indexed="10"/>
        </patternFill>
      </fill>
    </dxf>
    <dxf>
      <font>
        <b val="0"/>
        <i val="0"/>
      </font>
      <fill>
        <patternFill patternType="solid">
          <bgColor indexed="11"/>
        </patternFill>
      </fill>
    </dxf>
    <dxf>
      <fill>
        <patternFill patternType="solid">
          <bgColor rgb="FFFF0000"/>
        </patternFill>
      </fill>
    </dxf>
    <dxf>
      <fill>
        <patternFill patternType="solid">
          <bgColor rgb="FF00FF00"/>
        </patternFill>
      </fill>
    </dxf>
    <dxf>
      <fill>
        <patternFill patternType="solid">
          <bgColor rgb="FF00FF00"/>
        </patternFill>
      </fill>
    </dxf>
    <dxf>
      <fill>
        <patternFill patternType="solid">
          <bgColor rgb="FF00FF00"/>
        </patternFill>
      </fill>
    </dxf>
    <dxf>
      <fill>
        <patternFill patternType="solid">
          <bgColor rgb="FF00FF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b val="0"/>
        <i val="0"/>
      </font>
      <fill>
        <patternFill patternType="solid">
          <bgColor indexed="11"/>
        </patternFill>
      </fill>
    </dxf>
    <dxf>
      <font>
        <b val="0"/>
        <i val="0"/>
      </font>
      <fill>
        <patternFill patternType="solid">
          <bgColor indexed="11"/>
        </patternFill>
      </fill>
    </dxf>
    <dxf>
      <font>
        <b val="0"/>
        <i val="0"/>
        <color auto="1"/>
      </font>
      <fill>
        <patternFill patternType="solid">
          <bgColor indexed="10"/>
        </patternFill>
      </fill>
    </dxf>
    <dxf>
      <fill>
        <patternFill patternType="solid">
          <bgColor rgb="FFFFC000"/>
        </patternFill>
      </fill>
    </dxf>
    <dxf>
      <font>
        <b val="0"/>
        <i val="0"/>
        <color auto="1"/>
      </font>
      <fill>
        <patternFill patternType="solid">
          <bgColor indexed="10"/>
        </patternFill>
      </fill>
    </dxf>
  </dxfs>
  <tableStyles count="0" defaultTableStyle="TableStyleMedium2" defaultPivotStyle="PivotStyleLight16"/>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10" Type="http://schemas.openxmlformats.org/officeDocument/2006/relationships/externalLink" Target="externalLinks/externalLink2.xml"/>
  <Relationship Id="rId11" Type="http://schemas.openxmlformats.org/officeDocument/2006/relationships/theme" Target="theme/theme1.xml"/>
  <Relationship Id="rId12" Type="http://schemas.openxmlformats.org/officeDocument/2006/relationships/styles" Target="styles.xml"/>
  <Relationship Id="rId13" Type="http://schemas.openxmlformats.org/officeDocument/2006/relationships/sharedStrings" Target="sharedStrings.xml"/>
  <Relationship Id="rId14" Type="http://schemas.openxmlformats.org/officeDocument/2006/relationships/calcChain" Target="calcChain.xml"/>
  <Relationship Id="rId15" Type="http://schemas.openxmlformats.org/officeDocument/2006/relationships/customXml" Target="../customXml/item1.xml"/>
  <Relationship Id="rId16" Type="http://schemas.openxmlformats.org/officeDocument/2006/relationships/customXml" Target="../customXml/item2.xml"/>
  <Relationship Id="rId17" Type="http://schemas.openxmlformats.org/officeDocument/2006/relationships/customXml" Target="../customXml/item3.xml"/>
  <Relationship Id="rId18" Type="http://schemas.microsoft.com/office/2006/relationships/vbaProject" Target="vbaProject.bin"/>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externalLink" Target="externalLinks/externalLink1.xml"/>
</Relationships>

</file>

<file path=xl/drawings/_rels/drawing1.xml.rels><?xml version="1.0" encoding="UTF-8"?>

<Relationships xmlns="http://schemas.openxmlformats.org/package/2006/relationships">
  <Relationship Id="rId1" Type="http://schemas.openxmlformats.org/officeDocument/2006/relationships/image" Target="../media/image1.png"/>
</Relationships>

</file>

<file path=xl/drawings/_rels/drawing2.xml.rels><?xml version="1.0" encoding="UTF-8"?>

<Relationships xmlns="http://schemas.openxmlformats.org/package/2006/relationships">
  <Relationship Id="rId1" Type="http://schemas.openxmlformats.org/officeDocument/2006/relationships/image" Target="../media/image3.png"/>
</Relationships>

</file>

<file path=xl/drawings/_rels/vmlDrawing1.vml.rels><?xml version="1.0" encoding="UTF-8"?>

<Relationships xmlns="http://schemas.openxmlformats.org/package/2006/relationships">
  <Relationship Id="rId1" Type="http://schemas.openxmlformats.org/officeDocument/2006/relationships/image" Target="../media/image2.emf"/>
</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grpSp>
      <xdr:nvGrpSpPr>
        <xdr:cNvPr id="9700" name="Group 1"/>
        <xdr:cNvGrpSpPr/>
      </xdr:nvGrpSpPr>
      <xdr:grpSpPr>
        <a:xfrm>
          <a:off x="0" y="0"/>
          <a:ext cx="0" cy="0"/>
          <a:chOff x="6768" y="1440"/>
          <a:chExt cx="3888" cy="1008"/>
        </a:xfrm>
      </xdr:grpSpPr>
      <xdr:grpSp>
        <xdr:nvGrpSpPr>
          <xdr:cNvPr id="9702" name="Group 2"/>
          <xdr:cNvGrpSpPr/>
        </xdr:nvGrpSpPr>
        <xdr:grpSpPr>
          <a:xfrm>
            <a:off x="9648" y="1440"/>
            <a:ext cx="976" cy="720"/>
            <a:chOff x="5359" y="2448"/>
            <a:chExt cx="1840" cy="1705"/>
          </a:xfrm>
        </xdr:grpSpPr>
        <xdr:sp macro="" textlink="">
          <xdr:nvSpPr>
            <xdr:cNvPr id="9704" name="Freeform 3"/>
            <xdr:cNvSpPr/>
          </xdr:nvSpPr>
          <xdr:spPr>
            <a:xfrm>
              <a:off x="5359" y="2449"/>
              <a:ext cx="1705" cy="143"/>
            </a:xfrm>
            <a:custGeom>
              <a:avLst/>
              <a:gdLst>
                <a:gd name="T0" fmla="*/ 0 w 20000"/>
                <a:gd name="T1" fmla="*/ 0 h 20000"/>
                <a:gd name="T2" fmla="*/ 0 w 20000"/>
                <a:gd name="T3" fmla="*/ 0 h 20000"/>
                <a:gd name="T4" fmla="*/ 0 w 20000"/>
                <a:gd name="T5" fmla="*/ 0 h 20000"/>
                <a:gd name="T6" fmla="*/ 0 w 20000"/>
                <a:gd name="T7" fmla="*/ 0 h 20000"/>
                <a:gd name="T8" fmla="*/ 0 w 20000"/>
                <a:gd name="T9" fmla="*/ 0 h 2000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20000" h="20000">
                  <a:moveTo>
                    <a:pt x="19988" y="0"/>
                  </a:moveTo>
                  <a:lnTo>
                    <a:pt x="19988" y="19860"/>
                  </a:lnTo>
                  <a:lnTo>
                    <a:pt x="1666" y="19860"/>
                  </a:lnTo>
                  <a:lnTo>
                    <a:pt x="0" y="0"/>
                  </a:lnTo>
                  <a:lnTo>
                    <a:pt x="19988" y="0"/>
                  </a:lnTo>
                  <a:close/>
                </a:path>
              </a:pathLst>
            </a:custGeom>
            <a:solidFill>
              <a:srgbClr val="0000FF"/>
            </a:solidFill>
            <a:ln>
              <a:noFill/>
            </a:ln>
            <a:extLst>
              <a:ext uri="{91240B29-F687-4F45-9708-019B960494DF}">
                <a14:hiddenLine xmlns:a14="http://schemas.microsoft.com/office/drawing/2010/main" w="12700">
                  <a:solidFill>
                    <a:srgbClr val="000000"/>
                  </a:solidFill>
                  <a:round/>
                  <a:headEnd type="none" w="sm" len="lg"/>
                  <a:tailEnd type="none" w="sm" len="lg"/>
                </a14:hiddenLine>
              </a:ext>
            </a:extLst>
          </xdr:spPr>
        </xdr:sp>
        <xdr:sp macro="" textlink="">
          <xdr:nvSpPr>
            <xdr:cNvPr id="9705" name="Freeform 4"/>
            <xdr:cNvSpPr/>
          </xdr:nvSpPr>
          <xdr:spPr>
            <a:xfrm>
              <a:off x="7056" y="2448"/>
              <a:ext cx="143" cy="1705"/>
            </a:xfrm>
            <a:custGeom>
              <a:avLst/>
              <a:gdLst>
                <a:gd name="T0" fmla="*/ 0 w 20000"/>
                <a:gd name="T1" fmla="*/ 0 h 20000"/>
                <a:gd name="T2" fmla="*/ 0 w 20000"/>
                <a:gd name="T3" fmla="*/ 0 h 20000"/>
                <a:gd name="T4" fmla="*/ 0 w 20000"/>
                <a:gd name="T5" fmla="*/ 0 h 20000"/>
                <a:gd name="T6" fmla="*/ 0 w 20000"/>
                <a:gd name="T7" fmla="*/ 0 h 20000"/>
                <a:gd name="T8" fmla="*/ 0 w 20000"/>
                <a:gd name="T9" fmla="*/ 0 h 2000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20000" h="20000">
                  <a:moveTo>
                    <a:pt x="0" y="0"/>
                  </a:moveTo>
                  <a:lnTo>
                    <a:pt x="19860" y="0"/>
                  </a:lnTo>
                  <a:lnTo>
                    <a:pt x="19860" y="18323"/>
                  </a:lnTo>
                  <a:lnTo>
                    <a:pt x="0" y="19988"/>
                  </a:lnTo>
                  <a:lnTo>
                    <a:pt x="0" y="0"/>
                  </a:lnTo>
                  <a:close/>
                </a:path>
              </a:pathLst>
            </a:custGeom>
            <a:solidFill>
              <a:srgbClr val="FF0000"/>
            </a:solidFill>
            <a:ln>
              <a:noFill/>
            </a:ln>
            <a:extLst>
              <a:ext uri="{91240B29-F687-4F45-9708-019B960494DF}">
                <a14:hiddenLine xmlns:a14="http://schemas.microsoft.com/office/drawing/2010/main" w="12700">
                  <a:solidFill>
                    <a:srgbClr val="000000"/>
                  </a:solidFill>
                  <a:round/>
                  <a:headEnd type="none" w="sm" len="lg"/>
                  <a:tailEnd type="none" w="sm" len="lg"/>
                </a14:hiddenLine>
              </a:ext>
            </a:extLst>
          </xdr:spPr>
        </xdr:sp>
      </xdr:grpSp>
      <xdr:sp macro="" textlink="">
        <xdr:nvSpPr>
          <xdr:cNvPr id="2053" name="Text Box 5"/>
          <xdr:cNvSpPr txBox="1">
            <a:spLocks noChangeArrowheads="1"/>
          </xdr:cNvSpPr>
        </xdr:nvSpPr>
        <xdr:spPr>
          <a:xfrm>
            <a:off x="0" y="0"/>
            <a:ext cx="0" cy="0"/>
          </a:xfrm>
          <a:prstGeom prst="rect">
            <a:avLst/>
          </a:prstGeom>
          <a:noFill/>
          <a:ln>
            <a:noFill/>
          </a:ln>
          <a:extLst>
            <a:ext uri="{909E8E84-426E-40DD-AFC4-6F175D3DCCD1}">
              <a14:hiddenFill xmlns:a14="http://schemas.microsoft.com/office/drawing/2010/main">
                <a:solidFill>
                  <a:srgbClr val="FFFFFF">
                    <a:alpha val="50000"/>
                  </a:srgbClr>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fr-FR" sz="1400" b="0" i="0" u="none" strike="noStrike" baseline="0">
                <a:solidFill>
                  <a:srgbClr val="000000"/>
                </a:solidFill>
                <a:latin typeface="Arial" panose="020B0604020202020204"/>
                <a:cs typeface="Arial" panose="020B0604020202020204"/>
              </a:rPr>
              <a:t>PSA PEUGEOT CITROEN</a:t>
            </a:r>
          </a:p>
        </xdr:txBody>
      </xdr:sp>
    </xdr:grpSp>
    <xdr:clientData/>
  </xdr:twoCellAnchor>
  <xdr:twoCellAnchor editAs="oneCell">
    <xdr:from>
      <xdr:col>7</xdr:col>
      <xdr:colOff>560297</xdr:colOff>
      <xdr:row>0</xdr:row>
      <xdr:rowOff>33616</xdr:rowOff>
    </xdr:from>
    <xdr:to>
      <xdr:col>8</xdr:col>
      <xdr:colOff>1165414</xdr:colOff>
      <xdr:row>3</xdr:row>
      <xdr:rowOff>11205</xdr:rowOff>
    </xdr:to>
    <xdr:pic>
      <xdr:nvPicPr>
        <xdr:cNvPr id="8" name="Image 7" descr="Logo_Stellantis_Signature_RGB-02"/>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6383020" y="33020"/>
          <a:ext cx="1913255" cy="46990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84669</xdr:colOff>
      <xdr:row>19</xdr:row>
      <xdr:rowOff>44091</xdr:rowOff>
    </xdr:from>
    <xdr:to>
      <xdr:col>17</xdr:col>
      <xdr:colOff>419589</xdr:colOff>
      <xdr:row>39</xdr:row>
      <xdr:rowOff>1</xdr:rowOff>
    </xdr:to>
    <xdr:pic>
      <xdr:nvPicPr>
        <xdr:cNvPr id="2" name="Image 1"/>
        <xdr:cNvPicPr>
          <a:picLocks noChangeAspect="1"/>
        </xdr:cNvPicPr>
      </xdr:nvPicPr>
      <xdr:blipFill>
        <a:blip xmlns:r="http://schemas.openxmlformats.org/officeDocument/2006/relationships" r:embed="rId1"/>
        <a:stretch>
          <a:fillRect/>
        </a:stretch>
      </xdr:blipFill>
      <xdr:spPr>
        <a:xfrm>
          <a:off x="8733155" y="3469640"/>
          <a:ext cx="8938895" cy="53822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374650</xdr:colOff>
          <xdr:row>13</xdr:row>
          <xdr:rowOff>76200</xdr:rowOff>
        </xdr:from>
        <xdr:to>
          <xdr:col>10</xdr:col>
          <xdr:colOff>527050</xdr:colOff>
          <xdr:row>16</xdr:row>
          <xdr:rowOff>114300</xdr:rowOff>
        </xdr:to>
        <xdr:sp macro="" textlink="">
          <xdr:nvSpPr>
            <xdr:cNvPr id="6145" name="Object 1" hidden="1">
              <a:extLst>
                <a:ext uri="{63B3BB69-23CF-44E3-9099-C40C66FF867C}">
                  <a14:compatExt spid="_x0000_s6145"/>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externalLinks/_rels/externalLink1.xml.rels><?xml version="1.0" encoding="UTF-8"?>

<Relationships xmlns="http://schemas.openxmlformats.org/package/2006/relationships">
  <Relationship Id="rId1" Type="http://schemas.openxmlformats.org/officeDocument/2006/relationships/externalLinkPath" TargetMode="External" Target="/Users/u336688/AppData/Local/Temp/notesDF67E6/01255_10_01271_matrice_conformit&#233;_ST_Alertes_SMEGplus.xls"/>
</Relationships>

</file>

<file path=xl/externalLinks/_rels/externalLink2.xml.rels><?xml version="1.0" encoding="UTF-8"?>

<Relationships xmlns="http://schemas.openxmlformats.org/package/2006/relationships">
  <Relationship Id="rId1" Type="http://schemas.openxmlformats.org/officeDocument/2006/relationships/externalLinkPath" TargetMode="External" Target="file:///P:/DM17/01843_25_00535_v1_FCT_CD_DEH_CONFMAT_DM17F_FR_EN.xlsm"/>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uv"/>
      <sheetName val="Version"/>
      <sheetName val="Matrice"/>
      <sheetName val="List"/>
    </sheetNames>
    <sheetDataSet>
      <sheetData sheetId="0" refreshError="1"/>
      <sheetData sheetId="1">
        <row r="14">
          <cell r="I14" t="str">
            <v>OK</v>
          </cell>
        </row>
        <row r="15">
          <cell r="I15" t="str">
            <v>N/OK</v>
          </cell>
        </row>
        <row r="16">
          <cell r="I16" t="str">
            <v>Partiel</v>
          </cell>
        </row>
      </sheetData>
      <sheetData sheetId="2" refreshError="1"/>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rst page"/>
      <sheetName val="Application &amp; Conformity matrix"/>
      <sheetName val="Check"/>
      <sheetName val="Specific Parameters"/>
      <sheetName val="Help1"/>
      <sheetName val="Help2"/>
      <sheetName val="Audit_MDC"/>
      <sheetName val="CONFIG"/>
    </sheetNames>
    <sheetDataSet>
      <sheetData sheetId="0">
        <row r="36">
          <cell r="D36" t="str">
            <v>1.0</v>
          </cell>
          <cell r="E36">
            <v>46003</v>
          </cell>
          <cell r="F36" t="str">
            <v>CCB_BRAIN_0060_A_00 : Pack RFQ v1 DM17F
- DM17F</v>
          </cell>
        </row>
      </sheetData>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Relationships xmlns="http://schemas.openxmlformats.org/package/2006/relationships">
  <Relationship Id="rId1" Type="http://schemas.openxmlformats.org/officeDocument/2006/relationships/drawing" Target="../drawings/drawing1.xml"/>
</Relationships>

</file>

<file path=xl/worksheets/_rels/sheet2.xml.rels><?xml version="1.0" encoding="UTF-8"?>

<Relationships xmlns="http://schemas.openxmlformats.org/package/2006/relationships">
  <Relationship Id="rId1" Type="http://schemas.openxmlformats.org/officeDocument/2006/relationships/hyperlink" TargetMode="External" Target="mailto:ATT_RESP@SW"/>
  <Relationship Id="rId10" Type="http://schemas.openxmlformats.org/officeDocument/2006/relationships/hyperlink" TargetMode="External" Target="mailto:ATT_RESP@NONE"/>
  <Relationship Id="rId11" Type="http://schemas.openxmlformats.org/officeDocument/2006/relationships/hyperlink" TargetMode="External" Target="mailto:ATT_RESP@NONE"/>
  <Relationship Id="rId12" Type="http://schemas.openxmlformats.org/officeDocument/2006/relationships/hyperlink" TargetMode="External" Target="mailto:ATT_RESP@DEV_INT"/>
  <Relationship Id="rId13" Type="http://schemas.openxmlformats.org/officeDocument/2006/relationships/hyperlink" TargetMode="External" Target="mailto:ATT_RESP@PTF"/>
  <Relationship Id="rId14" Type="http://schemas.openxmlformats.org/officeDocument/2006/relationships/printerSettings" Target="../printerSettings/printerSettings1.bin"/>
  <Relationship Id="rId2" Type="http://schemas.openxmlformats.org/officeDocument/2006/relationships/hyperlink" TargetMode="External" Target="mailto:ATT_RESP@DEV"/>
  <Relationship Id="rId3" Type="http://schemas.openxmlformats.org/officeDocument/2006/relationships/hyperlink" TargetMode="External" Target="mailto:ATT_RESP@FULL"/>
  <Relationship Id="rId4" Type="http://schemas.openxmlformats.org/officeDocument/2006/relationships/hyperlink" TargetMode="External" Target="mailto:ATT_RESP@SW"/>
  <Relationship Id="rId5" Type="http://schemas.openxmlformats.org/officeDocument/2006/relationships/hyperlink" TargetMode="External" Target="mailto:ATT_RESP@FULL"/>
  <Relationship Id="rId6" Type="http://schemas.openxmlformats.org/officeDocument/2006/relationships/hyperlink" TargetMode="External" Target="mailto:ATT_RESP@DEV"/>
  <Relationship Id="rId7" Type="http://schemas.openxmlformats.org/officeDocument/2006/relationships/hyperlink" TargetMode="External" Target="mailto:ATT_RESP@PTF"/>
  <Relationship Id="rId8" Type="http://schemas.openxmlformats.org/officeDocument/2006/relationships/hyperlink" TargetMode="External" Target="mailto:ATT_RESP@INT"/>
  <Relationship Id="rId9" Type="http://schemas.openxmlformats.org/officeDocument/2006/relationships/hyperlink" TargetMode="External" Target="mailto:ATT_RESP@PTF"/>
</Relationships>

</file>

<file path=xl/worksheets/_rels/sheet6.xml.rels><?xml version="1.0" encoding="UTF-8"?>

<Relationships xmlns="http://schemas.openxmlformats.org/package/2006/relationships">
  <Relationship Id="rId1" Type="http://schemas.openxmlformats.org/officeDocument/2006/relationships/hyperlink" TargetMode="External" Target="http://docinfogroupe.inetpsa.com/ead/doc/ref.02017_16_05371/v.1.0/pj"/>
  <Relationship Id="rId2" Type="http://schemas.openxmlformats.org/officeDocument/2006/relationships/drawing" Target="../drawings/drawing2.xml"/>
  <Relationship Id="rId3" Type="http://schemas.openxmlformats.org/officeDocument/2006/relationships/vmlDrawing" Target="../drawings/vmlDrawing1.vml"/>
  <Relationship Id="rId4" Type="http://schemas.openxmlformats.org/officeDocument/2006/relationships/oleObject" Target="../embeddings/Microsoft_PowerPoint_97-2003_____1.ppt"/>
  <Relationship Id="rId5" Type="http://schemas.openxmlformats.org/officeDocument/2006/relationships/image" Target="../media/image2.emf"/>
</Relationships>

</file>

<file path=xl/worksheets/_rels/sheet7.xml.rels><?xml version="1.0" encoding="UTF-8"?>

<Relationships xmlns="http://schemas.openxmlformats.org/package/2006/relationships">
  <Relationship Id="rId1" Type="http://schemas.openxmlformats.org/officeDocument/2006/relationships/hyperlink" TargetMode="External" Target="http://docinfogroupe.inetpsa.com/ead/doc/ref.02017_12_05435/v.vc/fiche"/>
  <Relationship Id="rId2" Type="http://schemas.openxmlformats.org/officeDocument/2006/relationships/hyperlink" TargetMode="External" Target="http://docinfogroupe.inetpsa.com/ead/doc/ref.02017_13_09769/v.vc/fiche"/>
  <Relationship Id="rId3" Type="http://schemas.openxmlformats.org/officeDocument/2006/relationships/hyperlink" TargetMode="External" Target="http://docinfogroupe.inetpsa.com/ead/doc/ref.02017_13_09769/v.vc/fiche"/>
  <Relationship Id="rId4" Type="http://schemas.openxmlformats.org/officeDocument/2006/relationships/hyperlink" TargetMode="External" Target="http://docinfogroupe.inetpsa.com/ead/doc/ref.02017_12_01062/v.dp/fiche"/>
  <Relationship Id="rId5" Type="http://schemas.openxmlformats.org/officeDocument/2006/relationships/hyperlink" TargetMode="External" Target="http://docinfogroupe.inetpsa.com/ead/doc/ref.02017_13_01490/v.vc/fiche"/>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D1:K47"/>
  <sheetViews>
    <sheetView zoomScale="85" zoomScaleNormal="85" workbookViewId="0">
      <selection activeCell="D19" sqref="D19:I19"/>
    </sheetView>
  </sheetViews>
  <sheetFormatPr defaultColWidth="11.453125" defaultRowHeight="12.5"/>
  <cols>
    <col min="1" max="3" width="2.81640625" style="166" customWidth="1"/>
    <col min="4" max="9" width="18.7265625" style="166" customWidth="1"/>
    <col min="10" max="16384" width="11.453125" style="166"/>
  </cols>
  <sheetData>
    <row r="1" spans="4:9">
      <c r="D1" s="250" t="s">
        <v>0</v>
      </c>
      <c r="E1" s="251"/>
      <c r="F1" s="167"/>
      <c r="G1" s="168"/>
      <c r="H1" s="168"/>
      <c r="I1" s="203"/>
    </row>
    <row r="2" spans="4:9">
      <c r="D2" s="252" t="s">
        <v>1</v>
      </c>
      <c r="E2" s="253"/>
      <c r="F2" s="169"/>
      <c r="G2" s="170"/>
      <c r="H2" s="170"/>
      <c r="I2" s="204"/>
    </row>
    <row r="3" spans="4:9" ht="12.75" customHeight="1">
      <c r="D3" s="254"/>
      <c r="E3" s="255"/>
      <c r="F3" s="169"/>
      <c r="G3" s="171"/>
      <c r="H3" s="172"/>
      <c r="I3" s="205"/>
    </row>
    <row r="4" spans="4:9">
      <c r="D4" s="250" t="s">
        <v>2</v>
      </c>
      <c r="E4" s="251"/>
      <c r="F4" s="169"/>
      <c r="G4" s="216" t="s">
        <v>3</v>
      </c>
      <c r="H4" s="217"/>
      <c r="I4" s="217"/>
    </row>
    <row r="5" spans="4:9">
      <c r="D5" s="256" t="s">
        <v>4</v>
      </c>
      <c r="E5" s="257"/>
      <c r="F5" s="169"/>
      <c r="G5" s="218"/>
      <c r="H5" s="219"/>
      <c r="I5" s="219"/>
    </row>
    <row r="6" spans="4:9">
      <c r="D6" s="240"/>
      <c r="E6" s="241"/>
      <c r="F6" s="173"/>
      <c r="G6" s="218"/>
      <c r="H6" s="219"/>
      <c r="I6" s="219"/>
    </row>
    <row r="7" spans="4:9">
      <c r="D7" s="174"/>
      <c r="E7" s="174"/>
      <c r="F7" s="174"/>
      <c r="G7" s="174"/>
      <c r="H7" s="174"/>
      <c r="I7" s="174"/>
    </row>
    <row r="8" spans="4:9">
      <c r="D8" s="174"/>
      <c r="E8" s="174"/>
      <c r="F8" s="174"/>
      <c r="G8" s="174"/>
      <c r="H8" s="174"/>
      <c r="I8" s="174"/>
    </row>
    <row r="9" spans="4:9">
      <c r="D9" s="174"/>
      <c r="E9" s="174"/>
      <c r="F9" s="174"/>
      <c r="G9" s="174"/>
      <c r="H9" s="174"/>
      <c r="I9" s="174"/>
    </row>
    <row r="10" spans="4:9">
      <c r="D10" s="171"/>
      <c r="E10" s="222" t="s">
        <v>5</v>
      </c>
      <c r="F10" s="222"/>
      <c r="G10" s="222"/>
      <c r="H10" s="222"/>
      <c r="I10" s="171"/>
    </row>
    <row r="11" spans="4:9">
      <c r="D11" s="171"/>
      <c r="E11" s="222"/>
      <c r="F11" s="222"/>
      <c r="G11" s="222"/>
      <c r="H11" s="222"/>
      <c r="I11" s="171"/>
    </row>
    <row r="12" spans="4:9">
      <c r="D12" s="171"/>
      <c r="E12" s="222"/>
      <c r="F12" s="222"/>
      <c r="G12" s="222"/>
      <c r="H12" s="222"/>
      <c r="I12" s="171"/>
    </row>
    <row r="13" spans="4:9">
      <c r="D13" s="171"/>
      <c r="E13" s="220" t="s">
        <v>6</v>
      </c>
      <c r="F13" s="221"/>
      <c r="G13" s="221"/>
      <c r="H13" s="221"/>
      <c r="I13" s="171"/>
    </row>
    <row r="14" spans="4:9">
      <c r="D14" s="171"/>
      <c r="E14" s="221"/>
      <c r="F14" s="221"/>
      <c r="G14" s="221"/>
      <c r="H14" s="221"/>
      <c r="I14" s="171"/>
    </row>
    <row r="15" spans="4:9">
      <c r="D15" s="174"/>
      <c r="E15" s="174"/>
      <c r="F15" s="174"/>
      <c r="G15" s="174"/>
      <c r="H15" s="174"/>
      <c r="I15" s="174"/>
    </row>
    <row r="16" spans="4:9">
      <c r="D16" s="175"/>
      <c r="E16" s="175"/>
      <c r="F16" s="175"/>
      <c r="G16" s="175"/>
      <c r="H16" s="175"/>
      <c r="I16" s="175"/>
    </row>
    <row r="17" spans="4:9">
      <c r="D17" s="242" t="s">
        <v>7</v>
      </c>
      <c r="E17" s="243"/>
      <c r="F17" s="244" t="s">
        <v>8</v>
      </c>
      <c r="G17" s="245"/>
      <c r="H17" s="238" t="s">
        <v>9</v>
      </c>
      <c r="I17" s="239"/>
    </row>
    <row r="18" spans="4:9" ht="12.75" customHeight="1">
      <c r="D18" s="246" t="s">
        <v>10</v>
      </c>
      <c r="E18" s="247"/>
      <c r="F18" s="246" t="s">
        <v>11</v>
      </c>
      <c r="G18" s="247"/>
      <c r="H18" s="248" t="s">
        <v>12</v>
      </c>
      <c r="I18" s="249"/>
    </row>
    <row r="19" spans="4:9" ht="12.75" customHeight="1">
      <c r="D19" s="236" t="s">
        <v>13</v>
      </c>
      <c r="E19" s="237"/>
      <c r="F19" s="236" t="s">
        <v>14</v>
      </c>
      <c r="G19" s="237"/>
      <c r="H19" s="236" t="s">
        <v>13</v>
      </c>
      <c r="I19" s="237"/>
    </row>
    <row r="20" spans="4:9">
      <c r="D20" s="176" t="s">
        <v>15</v>
      </c>
      <c r="E20" s="176" t="s">
        <v>16</v>
      </c>
      <c r="F20" s="176" t="s">
        <v>15</v>
      </c>
      <c r="G20" s="177" t="s">
        <v>16</v>
      </c>
      <c r="H20" s="176" t="s">
        <v>15</v>
      </c>
      <c r="I20" s="176" t="s">
        <v>16</v>
      </c>
    </row>
    <row r="21" spans="4:9">
      <c r="D21" s="178"/>
      <c r="E21" s="178"/>
      <c r="F21" s="178"/>
      <c r="G21" s="177"/>
      <c r="H21" s="178"/>
      <c r="I21" s="178"/>
    </row>
    <row r="22" spans="4:9">
      <c r="D22" s="178"/>
      <c r="E22" s="178"/>
      <c r="F22" s="178"/>
      <c r="G22" s="177"/>
      <c r="H22" s="178"/>
      <c r="I22" s="178"/>
    </row>
    <row r="23" spans="4:9">
      <c r="D23" s="178"/>
      <c r="E23" s="178"/>
      <c r="F23" s="179"/>
      <c r="G23" s="180"/>
      <c r="H23" s="178"/>
      <c r="I23" s="178"/>
    </row>
    <row r="24" spans="4:9" ht="13.5" customHeight="1">
      <c r="D24" s="238" t="s">
        <v>7</v>
      </c>
      <c r="E24" s="239"/>
      <c r="F24" s="238" t="s">
        <v>8</v>
      </c>
      <c r="G24" s="239"/>
      <c r="H24" s="238" t="s">
        <v>9</v>
      </c>
      <c r="I24" s="239"/>
    </row>
    <row r="25" spans="4:9">
      <c r="D25" s="232" t="s">
        <v>17</v>
      </c>
      <c r="E25" s="233"/>
      <c r="F25" s="232" t="s">
        <v>17</v>
      </c>
      <c r="G25" s="233"/>
      <c r="H25" s="232" t="s">
        <v>17</v>
      </c>
      <c r="I25" s="233"/>
    </row>
    <row r="26" spans="4:9">
      <c r="D26" s="234" t="s">
        <v>18</v>
      </c>
      <c r="E26" s="235"/>
      <c r="F26" s="234" t="s">
        <v>19</v>
      </c>
      <c r="G26" s="235"/>
      <c r="H26" s="234" t="s">
        <v>19</v>
      </c>
      <c r="I26" s="235"/>
    </row>
    <row r="27" spans="4:9">
      <c r="D27" s="181" t="s">
        <v>15</v>
      </c>
      <c r="E27" s="176" t="s">
        <v>16</v>
      </c>
      <c r="F27" s="182" t="s">
        <v>15</v>
      </c>
      <c r="G27" s="176" t="s">
        <v>16</v>
      </c>
      <c r="H27" s="182" t="s">
        <v>15</v>
      </c>
      <c r="I27" s="176" t="s">
        <v>16</v>
      </c>
    </row>
    <row r="28" spans="4:9">
      <c r="D28" s="183"/>
      <c r="E28" s="178"/>
      <c r="F28" s="177"/>
      <c r="G28" s="178"/>
      <c r="H28" s="177"/>
      <c r="I28" s="178"/>
    </row>
    <row r="29" spans="4:9">
      <c r="D29" s="183"/>
      <c r="E29" s="178"/>
      <c r="F29" s="177"/>
      <c r="G29" s="178"/>
      <c r="H29" s="177"/>
      <c r="I29" s="178"/>
    </row>
    <row r="30" spans="4:9">
      <c r="D30" s="184"/>
      <c r="E30" s="185"/>
      <c r="F30" s="186"/>
      <c r="G30" s="185"/>
      <c r="H30" s="186"/>
      <c r="I30" s="185"/>
    </row>
    <row r="31" spans="4:9">
      <c r="D31" s="177"/>
      <c r="E31" s="177"/>
      <c r="F31" s="177"/>
      <c r="G31" s="177"/>
      <c r="H31" s="177"/>
      <c r="I31" s="177"/>
    </row>
    <row r="32" spans="4:9">
      <c r="D32" s="187"/>
      <c r="E32" s="187"/>
      <c r="F32" s="188"/>
      <c r="G32" s="189"/>
      <c r="H32" s="190"/>
      <c r="I32" s="206"/>
    </row>
    <row r="33" spans="4:11">
      <c r="D33" s="227" t="s">
        <v>20</v>
      </c>
      <c r="E33" s="227"/>
      <c r="F33" s="227"/>
      <c r="G33" s="227"/>
      <c r="H33" s="227"/>
      <c r="I33" s="227"/>
    </row>
    <row r="34" spans="4:11">
      <c r="D34" s="187"/>
      <c r="E34" s="187"/>
      <c r="F34" s="188"/>
      <c r="G34" s="189"/>
      <c r="H34" s="190"/>
      <c r="I34" s="206"/>
    </row>
    <row r="35" spans="4:11" ht="13.5" customHeight="1">
      <c r="D35" s="191" t="s">
        <v>21</v>
      </c>
      <c r="E35" s="191" t="s">
        <v>22</v>
      </c>
      <c r="F35" s="228" t="s">
        <v>23</v>
      </c>
      <c r="G35" s="228"/>
      <c r="H35" s="228"/>
      <c r="I35" s="228"/>
      <c r="J35" s="207"/>
      <c r="K35" s="207"/>
    </row>
    <row r="36" spans="4:11" ht="47.25" customHeight="1">
      <c r="D36" s="192" t="str">
        <f>'[2]First page'!D36</f>
        <v>1.0</v>
      </c>
      <c r="E36" s="193">
        <f>'[2]First page'!E36</f>
        <v>46003</v>
      </c>
      <c r="F36" s="229" t="str">
        <f>'[2]First page'!F36</f>
        <v>CCB_BRAIN_0060_A_00 : Pack RFQ v1 DM17F
- DM17F</v>
      </c>
      <c r="G36" s="230"/>
      <c r="H36" s="230"/>
      <c r="I36" s="231"/>
      <c r="J36" s="208"/>
      <c r="K36" s="208"/>
    </row>
    <row r="37" spans="4:11">
      <c r="D37" s="192"/>
      <c r="E37" s="194"/>
      <c r="F37" s="229"/>
      <c r="G37" s="230"/>
      <c r="H37" s="230"/>
      <c r="I37" s="231"/>
      <c r="J37" s="208"/>
      <c r="K37" s="208"/>
    </row>
    <row r="38" spans="4:11">
      <c r="D38" s="192"/>
      <c r="E38" s="194"/>
      <c r="F38" s="223"/>
      <c r="G38" s="223"/>
      <c r="H38" s="223"/>
      <c r="I38" s="223"/>
      <c r="J38" s="208"/>
      <c r="K38" s="208"/>
    </row>
    <row r="39" spans="4:11">
      <c r="D39" s="192"/>
      <c r="E39" s="194"/>
      <c r="F39" s="223"/>
      <c r="G39" s="223"/>
      <c r="H39" s="223"/>
      <c r="I39" s="223"/>
      <c r="J39" s="208"/>
      <c r="K39" s="208"/>
    </row>
    <row r="40" spans="4:11">
      <c r="D40" s="192"/>
      <c r="E40" s="194"/>
      <c r="F40" s="223"/>
      <c r="G40" s="223"/>
      <c r="H40" s="223"/>
      <c r="I40" s="223"/>
      <c r="J40" s="208"/>
      <c r="K40" s="208"/>
    </row>
    <row r="41" spans="4:11">
      <c r="D41" s="192"/>
      <c r="E41" s="194"/>
      <c r="F41" s="223"/>
      <c r="G41" s="223"/>
      <c r="H41" s="223"/>
      <c r="I41" s="223"/>
    </row>
    <row r="42" spans="4:11" ht="39" customHeight="1">
      <c r="D42" s="224" t="s">
        <v>24</v>
      </c>
      <c r="E42" s="225"/>
      <c r="F42" s="226" t="s">
        <v>25</v>
      </c>
      <c r="G42" s="226"/>
      <c r="H42" s="195" t="s">
        <v>26</v>
      </c>
      <c r="I42" s="195" t="s">
        <v>27</v>
      </c>
    </row>
    <row r="43" spans="4:11" ht="20">
      <c r="D43" s="211" t="str">
        <f>E13</f>
        <v>DM17F (CD DGT)</v>
      </c>
      <c r="E43" s="212"/>
      <c r="F43" s="213" t="s">
        <v>1</v>
      </c>
      <c r="G43" s="213"/>
      <c r="H43" s="196" t="s">
        <v>28</v>
      </c>
      <c r="I43" s="202" t="s">
        <v>29</v>
      </c>
    </row>
    <row r="44" spans="4:11" ht="20">
      <c r="D44" s="197"/>
      <c r="E44" s="198"/>
      <c r="F44" s="195" t="s">
        <v>30</v>
      </c>
      <c r="G44" s="195" t="s">
        <v>31</v>
      </c>
      <c r="H44" s="195" t="s">
        <v>32</v>
      </c>
      <c r="I44" s="195" t="s">
        <v>33</v>
      </c>
    </row>
    <row r="45" spans="4:11" ht="23">
      <c r="D45" s="199"/>
      <c r="E45" s="200"/>
      <c r="F45" s="196" t="s">
        <v>34</v>
      </c>
      <c r="G45" s="201" t="s">
        <v>35</v>
      </c>
      <c r="H45" s="202" t="s">
        <v>36</v>
      </c>
      <c r="I45" s="209" t="s">
        <v>35</v>
      </c>
    </row>
    <row r="46" spans="4:11">
      <c r="D46" s="187"/>
      <c r="E46" s="187"/>
      <c r="F46" s="188"/>
      <c r="G46" s="189"/>
      <c r="H46" s="190"/>
      <c r="I46" s="206"/>
    </row>
    <row r="47" spans="4:11" ht="21" customHeight="1">
      <c r="D47" s="214" t="s">
        <v>37</v>
      </c>
      <c r="E47" s="215"/>
      <c r="F47" s="215"/>
      <c r="G47" s="215"/>
      <c r="H47" s="215"/>
      <c r="I47" s="215"/>
    </row>
  </sheetData>
  <mergeCells count="40">
    <mergeCell ref="D1:E1"/>
    <mergeCell ref="D2:E2"/>
    <mergeCell ref="D3:E3"/>
    <mergeCell ref="D4:E4"/>
    <mergeCell ref="D5:E5"/>
    <mergeCell ref="D6:E6"/>
    <mergeCell ref="D17:E17"/>
    <mergeCell ref="F17:G17"/>
    <mergeCell ref="H17:I17"/>
    <mergeCell ref="D18:E18"/>
    <mergeCell ref="F18:G18"/>
    <mergeCell ref="H18:I18"/>
    <mergeCell ref="D19:E19"/>
    <mergeCell ref="F19:G19"/>
    <mergeCell ref="H19:I19"/>
    <mergeCell ref="D24:E24"/>
    <mergeCell ref="F24:G24"/>
    <mergeCell ref="H24:I24"/>
    <mergeCell ref="D25:E25"/>
    <mergeCell ref="F25:G25"/>
    <mergeCell ref="H25:I25"/>
    <mergeCell ref="D26:E26"/>
    <mergeCell ref="F26:G26"/>
    <mergeCell ref="H26:I26"/>
    <mergeCell ref="D43:E43"/>
    <mergeCell ref="F43:G43"/>
    <mergeCell ref="D47:I47"/>
    <mergeCell ref="G4:I6"/>
    <mergeCell ref="E13:H14"/>
    <mergeCell ref="E10:H12"/>
    <mergeCell ref="F39:I39"/>
    <mergeCell ref="F40:I40"/>
    <mergeCell ref="F41:I41"/>
    <mergeCell ref="D42:E42"/>
    <mergeCell ref="F42:G42"/>
    <mergeCell ref="D33:I33"/>
    <mergeCell ref="F35:I35"/>
    <mergeCell ref="F36:I36"/>
    <mergeCell ref="F37:I37"/>
    <mergeCell ref="F38:I38"/>
  </mergeCells>
  <phoneticPr fontId="14" type="noConversion"/>
  <pageMargins left="0.78740157499999996" right="0.78740157499999996" top="0.984251969" bottom="0.984251969" header="0.4921259845" footer="0.4921259845"/>
  <pageSetup paperSize="9" orientation="portrait"/>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filterMode="1">
    <outlinePr applyStyles="1" summaryBelow="0" summaryRight="0"/>
  </sheetPr>
  <dimension ref="A1:V556"/>
  <sheetViews>
    <sheetView tabSelected="1" zoomScale="40" zoomScaleNormal="40" workbookViewId="0">
      <pane xSplit="3" ySplit="36" topLeftCell="D37" activePane="bottomRight" state="frozenSplit"/>
      <selection pane="topRight"/>
      <selection pane="bottomLeft"/>
      <selection pane="bottomRight" activeCell="I337" sqref="I337"/>
    </sheetView>
  </sheetViews>
  <sheetFormatPr defaultColWidth="11.453125" defaultRowHeight="12.5" outlineLevelCol="1"/>
  <cols>
    <col min="1" max="1" width="47.26953125" style="92" customWidth="1"/>
    <col min="2" max="2" width="14.26953125" style="92" customWidth="1"/>
    <col min="3" max="3" width="32.1796875" style="93" customWidth="1"/>
    <col min="4" max="4" width="21.26953125" style="94" customWidth="1"/>
    <col min="5" max="5" width="69.31640625" style="94" customWidth="1"/>
    <col min="6" max="6" width="3.26953125" style="95" customWidth="1"/>
    <col min="7" max="7" width="17" style="96" customWidth="1"/>
    <col min="8" max="8" width="29" style="97" customWidth="1" outlineLevel="1"/>
    <col min="9" max="9" width="12.81640625" style="98" customWidth="1" outlineLevel="1"/>
    <col min="10" max="10" width="68.81640625" style="98" customWidth="1" outlineLevel="1"/>
    <col min="11" max="11" width="12.81640625" style="98" customWidth="1" outlineLevel="1"/>
    <col min="12" max="12" width="12.81640625" style="99" customWidth="1" outlineLevel="1"/>
    <col min="13" max="15" width="12.81640625" style="98" customWidth="1"/>
    <col min="16" max="16" width="12.81640625" style="99" customWidth="1"/>
    <col min="17" max="18" width="7.1796875" style="92" customWidth="1"/>
    <col min="19" max="16384" width="11.453125" style="92"/>
  </cols>
  <sheetData>
    <row r="1" spans="1:22" ht="12.75" hidden="1" customHeight="1">
      <c r="A1" s="100" t="s">
        <v>38</v>
      </c>
      <c r="F1" s="101" t="s">
        <v>39</v>
      </c>
      <c r="G1" s="102"/>
      <c r="H1" s="103"/>
      <c r="I1" s="135"/>
      <c r="J1" s="103"/>
      <c r="K1" s="135"/>
      <c r="L1" s="103"/>
      <c r="M1" s="136" t="s">
        <v>40</v>
      </c>
      <c r="N1" s="94"/>
      <c r="O1" s="135"/>
      <c r="P1" s="135"/>
      <c r="Q1" s="135"/>
      <c r="R1" s="103"/>
      <c r="S1" s="135"/>
      <c r="T1" s="135"/>
      <c r="U1" s="135"/>
      <c r="V1" s="103"/>
    </row>
    <row r="2" spans="1:22" ht="12.75" hidden="1" customHeight="1">
      <c r="A2" s="104" t="s">
        <v>41</v>
      </c>
      <c r="B2" s="104"/>
      <c r="C2" s="105" t="s">
        <v>42</v>
      </c>
      <c r="D2" s="106"/>
      <c r="G2" s="102"/>
      <c r="H2" s="103"/>
      <c r="I2" s="135"/>
      <c r="J2" s="103"/>
      <c r="K2" s="135"/>
      <c r="L2" s="103"/>
      <c r="M2" s="136"/>
      <c r="N2" s="94"/>
      <c r="O2" s="135"/>
      <c r="P2" s="135"/>
      <c r="Q2" s="135"/>
      <c r="R2" s="103"/>
      <c r="S2" s="135"/>
      <c r="T2" s="135"/>
      <c r="U2" s="135"/>
      <c r="V2" s="103"/>
    </row>
    <row r="3" spans="1:22" ht="12.75" hidden="1" customHeight="1">
      <c r="A3" s="104" t="s">
        <v>43</v>
      </c>
      <c r="B3" s="104"/>
      <c r="C3" s="105" t="s">
        <v>44</v>
      </c>
      <c r="D3" s="106"/>
      <c r="G3" s="102"/>
      <c r="H3" s="103"/>
      <c r="I3" s="135"/>
      <c r="J3" s="103"/>
      <c r="K3" s="135"/>
      <c r="L3" s="103"/>
      <c r="M3" s="136"/>
      <c r="N3" s="94"/>
      <c r="O3" s="135"/>
      <c r="P3" s="135"/>
      <c r="Q3" s="135"/>
      <c r="R3" s="103"/>
      <c r="S3" s="135"/>
      <c r="T3" s="135"/>
      <c r="U3" s="135"/>
      <c r="V3" s="103"/>
    </row>
    <row r="4" spans="1:22" ht="12.75" hidden="1" customHeight="1">
      <c r="A4" s="104" t="s">
        <v>45</v>
      </c>
      <c r="B4" s="104"/>
      <c r="C4" s="105" t="s">
        <v>46</v>
      </c>
      <c r="D4" s="106"/>
      <c r="G4" s="102"/>
      <c r="H4" s="103"/>
      <c r="I4" s="135"/>
      <c r="J4" s="103"/>
      <c r="K4" s="135"/>
      <c r="L4" s="103"/>
      <c r="M4" s="136"/>
      <c r="N4" s="94"/>
      <c r="O4" s="135"/>
      <c r="P4" s="135"/>
      <c r="Q4" s="135"/>
      <c r="R4" s="103"/>
      <c r="S4" s="135"/>
      <c r="T4" s="135"/>
      <c r="U4" s="135"/>
      <c r="V4" s="103"/>
    </row>
    <row r="5" spans="1:22" ht="12.75" hidden="1" customHeight="1">
      <c r="A5" s="104" t="s">
        <v>47</v>
      </c>
      <c r="B5" s="104"/>
      <c r="C5" s="105"/>
      <c r="D5" s="106"/>
      <c r="G5" s="102"/>
      <c r="H5" s="103"/>
      <c r="I5" s="135"/>
      <c r="J5" s="103"/>
      <c r="K5" s="135"/>
      <c r="L5" s="103"/>
      <c r="M5" s="136"/>
      <c r="N5" s="94"/>
      <c r="O5" s="135"/>
      <c r="P5" s="135"/>
      <c r="Q5" s="135"/>
      <c r="R5" s="103"/>
      <c r="S5" s="135"/>
      <c r="T5" s="135"/>
      <c r="U5" s="135"/>
      <c r="V5" s="103"/>
    </row>
    <row r="6" spans="1:22" ht="12.75" hidden="1" customHeight="1">
      <c r="A6" s="104" t="s">
        <v>48</v>
      </c>
      <c r="B6" s="104"/>
      <c r="C6" s="105" t="s">
        <v>49</v>
      </c>
      <c r="D6" s="106"/>
      <c r="G6" s="102"/>
      <c r="H6" s="103"/>
      <c r="I6" s="135"/>
      <c r="J6" s="103"/>
      <c r="K6" s="135"/>
      <c r="L6" s="103"/>
      <c r="M6" s="136"/>
      <c r="N6" s="94"/>
      <c r="O6" s="135"/>
      <c r="P6" s="135"/>
      <c r="Q6" s="135"/>
      <c r="R6" s="103"/>
      <c r="S6" s="135"/>
      <c r="T6" s="135"/>
      <c r="U6" s="135"/>
      <c r="V6" s="103"/>
    </row>
    <row r="7" spans="1:22" ht="25.5" hidden="1" customHeight="1">
      <c r="A7" s="104"/>
      <c r="B7" s="104"/>
      <c r="C7" s="105" t="s">
        <v>50</v>
      </c>
      <c r="D7" s="106"/>
      <c r="G7" s="102"/>
      <c r="H7" s="103"/>
      <c r="I7" s="135"/>
      <c r="J7" s="103"/>
      <c r="K7" s="135"/>
      <c r="L7" s="103"/>
      <c r="M7" s="136"/>
      <c r="N7" s="94"/>
      <c r="O7" s="135"/>
      <c r="P7" s="135"/>
      <c r="Q7" s="135"/>
      <c r="R7" s="103"/>
      <c r="S7" s="135"/>
      <c r="T7" s="135"/>
      <c r="U7" s="135"/>
      <c r="V7" s="103"/>
    </row>
    <row r="8" spans="1:22" ht="12.75" hidden="1" customHeight="1">
      <c r="A8" s="107" t="s">
        <v>51</v>
      </c>
      <c r="B8" s="104"/>
      <c r="C8" s="105" t="s">
        <v>52</v>
      </c>
      <c r="D8" s="106"/>
      <c r="G8" s="102"/>
      <c r="H8" s="103"/>
      <c r="I8" s="135"/>
      <c r="J8" s="103"/>
      <c r="K8" s="135"/>
      <c r="L8" s="103"/>
      <c r="M8" s="136"/>
      <c r="N8" s="94"/>
      <c r="O8" s="135"/>
      <c r="P8" s="135"/>
      <c r="Q8" s="135"/>
      <c r="R8" s="103"/>
      <c r="S8" s="135"/>
      <c r="T8" s="135"/>
      <c r="U8" s="135"/>
      <c r="V8" s="103"/>
    </row>
    <row r="9" spans="1:22" ht="12.75" hidden="1" customHeight="1">
      <c r="A9" s="107" t="s">
        <v>53</v>
      </c>
      <c r="B9" s="104"/>
      <c r="C9" s="105" t="s">
        <v>54</v>
      </c>
      <c r="D9" s="106"/>
      <c r="G9" s="102"/>
      <c r="H9" s="103"/>
      <c r="I9" s="135"/>
      <c r="J9" s="103"/>
      <c r="K9" s="135"/>
      <c r="L9" s="103"/>
      <c r="M9" s="136"/>
      <c r="N9" s="94"/>
      <c r="O9" s="135"/>
      <c r="P9" s="135"/>
      <c r="Q9" s="135"/>
      <c r="R9" s="103"/>
      <c r="S9" s="135"/>
      <c r="T9" s="135"/>
      <c r="U9" s="135"/>
      <c r="V9" s="103"/>
    </row>
    <row r="10" spans="1:22" ht="12.75" hidden="1" customHeight="1">
      <c r="A10" s="107" t="s">
        <v>55</v>
      </c>
      <c r="B10" s="104"/>
      <c r="C10" s="105" t="s">
        <v>56</v>
      </c>
      <c r="D10" s="107"/>
      <c r="G10" s="102"/>
      <c r="H10" s="103"/>
      <c r="I10" s="135"/>
      <c r="J10" s="103"/>
      <c r="K10" s="135"/>
      <c r="L10" s="103"/>
      <c r="M10" s="136"/>
      <c r="N10" s="94"/>
      <c r="O10" s="135"/>
      <c r="P10" s="135"/>
      <c r="Q10" s="135"/>
      <c r="R10" s="103"/>
      <c r="S10" s="135"/>
      <c r="T10" s="135"/>
      <c r="U10" s="135"/>
      <c r="V10" s="103"/>
    </row>
    <row r="11" spans="1:22" ht="25.5" hidden="1" customHeight="1">
      <c r="A11" s="107" t="s">
        <v>57</v>
      </c>
      <c r="B11" s="104"/>
      <c r="C11" s="105" t="s">
        <v>58</v>
      </c>
      <c r="D11" s="107"/>
      <c r="G11" s="102"/>
      <c r="H11" s="103"/>
      <c r="I11" s="135"/>
      <c r="J11" s="103"/>
      <c r="K11" s="135"/>
      <c r="L11" s="103"/>
      <c r="M11" s="136"/>
      <c r="N11" s="94"/>
      <c r="O11" s="135"/>
      <c r="P11" s="135"/>
      <c r="Q11" s="135"/>
      <c r="R11" s="103"/>
      <c r="S11" s="135"/>
      <c r="T11" s="135"/>
      <c r="U11" s="135"/>
      <c r="V11" s="103"/>
    </row>
    <row r="12" spans="1:22" ht="25.5" hidden="1" customHeight="1">
      <c r="A12" s="107" t="s">
        <v>59</v>
      </c>
      <c r="B12" s="104"/>
      <c r="C12" s="105" t="s">
        <v>60</v>
      </c>
      <c r="D12" s="107"/>
      <c r="G12" s="102"/>
      <c r="H12" s="103"/>
      <c r="I12" s="135"/>
      <c r="J12" s="103"/>
      <c r="K12" s="135"/>
      <c r="L12" s="103"/>
      <c r="M12" s="136"/>
      <c r="N12" s="94"/>
      <c r="O12" s="135"/>
      <c r="P12" s="135"/>
      <c r="Q12" s="135"/>
      <c r="R12" s="103"/>
      <c r="S12" s="135"/>
      <c r="T12" s="135"/>
      <c r="U12" s="135"/>
      <c r="V12" s="103"/>
    </row>
    <row r="13" spans="1:22" ht="12.75" hidden="1" customHeight="1">
      <c r="A13" s="107"/>
      <c r="B13" s="104"/>
      <c r="C13" s="105" t="s">
        <v>61</v>
      </c>
      <c r="D13" s="107"/>
      <c r="G13" s="102"/>
      <c r="H13" s="103"/>
      <c r="I13" s="135"/>
      <c r="J13" s="103"/>
      <c r="K13" s="135"/>
      <c r="L13" s="103"/>
      <c r="M13" s="136"/>
      <c r="N13" s="94"/>
      <c r="O13" s="135"/>
      <c r="P13" s="135"/>
      <c r="Q13" s="135"/>
      <c r="R13" s="103"/>
      <c r="S13" s="135"/>
      <c r="T13" s="135"/>
      <c r="U13" s="135"/>
      <c r="V13" s="103"/>
    </row>
    <row r="14" spans="1:22" ht="25.5" hidden="1" customHeight="1">
      <c r="A14" s="107" t="s">
        <v>51</v>
      </c>
      <c r="B14" s="104"/>
      <c r="C14" s="105" t="s">
        <v>62</v>
      </c>
      <c r="D14" s="107"/>
      <c r="G14" s="102"/>
      <c r="H14" s="103"/>
      <c r="I14" s="135"/>
      <c r="J14" s="103"/>
      <c r="K14" s="135"/>
      <c r="L14" s="103"/>
      <c r="M14" s="136"/>
      <c r="N14" s="94"/>
      <c r="O14" s="135"/>
      <c r="P14" s="135"/>
      <c r="Q14" s="135"/>
      <c r="R14" s="103"/>
      <c r="S14" s="135"/>
      <c r="T14" s="135"/>
      <c r="U14" s="135"/>
      <c r="V14" s="103"/>
    </row>
    <row r="15" spans="1:22" ht="12.75" hidden="1" customHeight="1">
      <c r="A15" s="107" t="s">
        <v>63</v>
      </c>
      <c r="B15" s="104"/>
      <c r="C15" s="105" t="s">
        <v>64</v>
      </c>
      <c r="D15" s="107"/>
      <c r="G15" s="102"/>
      <c r="H15" s="103"/>
      <c r="I15" s="135"/>
      <c r="J15" s="103"/>
      <c r="K15" s="135"/>
      <c r="L15" s="103"/>
      <c r="M15" s="136"/>
      <c r="N15" s="94"/>
      <c r="O15" s="135"/>
      <c r="P15" s="135"/>
      <c r="Q15" s="135"/>
      <c r="R15" s="103"/>
      <c r="S15" s="135"/>
      <c r="T15" s="135"/>
      <c r="U15" s="135"/>
      <c r="V15" s="103"/>
    </row>
    <row r="16" spans="1:22" ht="25.5" hidden="1" customHeight="1">
      <c r="A16" s="107" t="s">
        <v>65</v>
      </c>
      <c r="B16" s="104"/>
      <c r="C16" s="105" t="s">
        <v>66</v>
      </c>
      <c r="D16" s="107"/>
      <c r="G16" s="102"/>
      <c r="H16" s="103"/>
      <c r="I16" s="135"/>
      <c r="J16" s="103"/>
      <c r="K16" s="135"/>
      <c r="L16" s="103"/>
      <c r="M16" s="136"/>
      <c r="N16" s="94"/>
      <c r="O16" s="135"/>
      <c r="P16" s="135"/>
      <c r="Q16" s="135"/>
      <c r="R16" s="103"/>
      <c r="S16" s="135"/>
      <c r="T16" s="135"/>
      <c r="U16" s="135"/>
      <c r="V16" s="103"/>
    </row>
    <row r="17" spans="1:22" ht="12.75" hidden="1" customHeight="1">
      <c r="A17" s="107" t="s">
        <v>67</v>
      </c>
      <c r="B17" s="104"/>
      <c r="C17" s="105" t="s">
        <v>68</v>
      </c>
      <c r="D17" s="107"/>
      <c r="G17" s="102"/>
      <c r="H17" s="103"/>
      <c r="I17" s="135"/>
      <c r="J17" s="103"/>
      <c r="K17" s="135"/>
      <c r="L17" s="103"/>
      <c r="M17" s="136"/>
      <c r="N17" s="94"/>
      <c r="O17" s="135"/>
      <c r="P17" s="135"/>
      <c r="Q17" s="135"/>
      <c r="R17" s="103"/>
      <c r="S17" s="135"/>
      <c r="T17" s="135"/>
      <c r="U17" s="135"/>
      <c r="V17" s="103"/>
    </row>
    <row r="18" spans="1:22" ht="25.5" hidden="1" customHeight="1">
      <c r="A18" s="107" t="s">
        <v>55</v>
      </c>
      <c r="B18" s="104"/>
      <c r="C18" s="108" t="s">
        <v>69</v>
      </c>
      <c r="D18" s="107"/>
      <c r="G18" s="102"/>
      <c r="H18" s="103"/>
      <c r="I18" s="135"/>
      <c r="J18" s="103"/>
      <c r="K18" s="135"/>
      <c r="L18" s="103"/>
      <c r="M18" s="136"/>
      <c r="N18" s="94"/>
      <c r="O18" s="135"/>
      <c r="P18" s="135"/>
      <c r="Q18" s="135"/>
      <c r="R18" s="103"/>
      <c r="S18" s="135"/>
      <c r="T18" s="135"/>
      <c r="U18" s="135"/>
      <c r="V18" s="103"/>
    </row>
    <row r="19" spans="1:22" ht="25.5" hidden="1" customHeight="1">
      <c r="A19" s="107" t="s">
        <v>70</v>
      </c>
      <c r="B19" s="104"/>
      <c r="C19" s="108" t="s">
        <v>71</v>
      </c>
      <c r="D19" s="107"/>
      <c r="G19" s="102"/>
      <c r="H19" s="103"/>
      <c r="I19" s="135"/>
      <c r="J19" s="103"/>
      <c r="K19" s="135"/>
      <c r="L19" s="103"/>
      <c r="M19" s="136"/>
      <c r="N19" s="94"/>
      <c r="O19" s="135"/>
      <c r="P19" s="135"/>
      <c r="Q19" s="135"/>
      <c r="R19" s="103"/>
      <c r="S19" s="135"/>
      <c r="T19" s="135"/>
      <c r="U19" s="135"/>
      <c r="V19" s="103"/>
    </row>
    <row r="20" spans="1:22" ht="25.5" hidden="1" customHeight="1">
      <c r="A20" s="107" t="s">
        <v>59</v>
      </c>
      <c r="B20" s="104"/>
      <c r="C20" s="108" t="s">
        <v>72</v>
      </c>
      <c r="D20" s="107"/>
      <c r="G20" s="102"/>
      <c r="H20" s="103"/>
      <c r="I20" s="135"/>
      <c r="J20" s="103"/>
      <c r="K20" s="135"/>
      <c r="L20" s="103"/>
      <c r="M20" s="136"/>
      <c r="N20" s="94"/>
      <c r="O20" s="135"/>
      <c r="P20" s="135"/>
      <c r="Q20" s="135"/>
      <c r="R20" s="103"/>
      <c r="S20" s="135"/>
      <c r="T20" s="135"/>
      <c r="U20" s="135"/>
      <c r="V20" s="103"/>
    </row>
    <row r="21" spans="1:22" ht="12.75" hidden="1" customHeight="1">
      <c r="A21" s="107" t="s">
        <v>73</v>
      </c>
      <c r="B21" s="104"/>
      <c r="C21" s="108" t="s">
        <v>74</v>
      </c>
      <c r="D21" s="106"/>
      <c r="G21" s="102"/>
      <c r="H21" s="103"/>
      <c r="I21" s="135"/>
      <c r="J21" s="103"/>
      <c r="K21" s="135"/>
      <c r="L21" s="103"/>
      <c r="M21" s="136"/>
      <c r="N21" s="94"/>
      <c r="O21" s="135"/>
      <c r="P21" s="135"/>
      <c r="Q21" s="135"/>
      <c r="R21" s="103"/>
      <c r="S21" s="135"/>
      <c r="T21" s="135"/>
      <c r="U21" s="135"/>
      <c r="V21" s="103"/>
    </row>
    <row r="22" spans="1:22" ht="25.5" hidden="1" customHeight="1">
      <c r="A22" s="107" t="s">
        <v>75</v>
      </c>
      <c r="B22" s="104"/>
      <c r="C22" s="108" t="s">
        <v>76</v>
      </c>
      <c r="D22" s="106"/>
      <c r="G22" s="102"/>
      <c r="H22" s="103"/>
      <c r="I22" s="135"/>
      <c r="J22" s="103"/>
      <c r="K22" s="135"/>
      <c r="L22" s="103"/>
      <c r="M22" s="136"/>
      <c r="N22" s="94"/>
      <c r="O22" s="135"/>
      <c r="P22" s="135"/>
      <c r="Q22" s="135"/>
      <c r="R22" s="103"/>
      <c r="S22" s="135"/>
      <c r="T22" s="135"/>
      <c r="U22" s="135"/>
      <c r="V22" s="103"/>
    </row>
    <row r="23" spans="1:22" ht="12.75" hidden="1" customHeight="1">
      <c r="B23" s="104"/>
      <c r="C23" s="108"/>
      <c r="D23" s="106"/>
      <c r="G23" s="102"/>
      <c r="H23" s="103"/>
      <c r="I23" s="135"/>
      <c r="J23" s="103"/>
      <c r="K23" s="135"/>
      <c r="L23" s="103"/>
      <c r="M23" s="136"/>
      <c r="N23" s="94"/>
      <c r="O23" s="135"/>
      <c r="P23" s="135"/>
      <c r="Q23" s="135"/>
      <c r="R23" s="103"/>
      <c r="S23" s="135"/>
      <c r="T23" s="135"/>
      <c r="U23" s="135"/>
      <c r="V23" s="103"/>
    </row>
    <row r="24" spans="1:22" s="89" customFormat="1" ht="12.75" customHeight="1">
      <c r="A24" s="109"/>
      <c r="B24" s="109"/>
      <c r="C24" s="110"/>
      <c r="D24" s="270" t="s">
        <v>77</v>
      </c>
      <c r="E24" s="270"/>
      <c r="F24" s="262"/>
      <c r="G24" s="271" t="s">
        <v>78</v>
      </c>
      <c r="H24" s="272"/>
      <c r="I24" s="272"/>
      <c r="J24" s="272"/>
      <c r="K24" s="272"/>
      <c r="L24" s="273"/>
      <c r="M24" s="137"/>
      <c r="N24" s="297"/>
      <c r="O24" s="285" t="s">
        <v>79</v>
      </c>
      <c r="P24" s="285"/>
      <c r="Q24" s="285"/>
      <c r="R24" s="285"/>
      <c r="S24" s="286"/>
      <c r="T24" s="286"/>
      <c r="U24" s="286"/>
      <c r="V24" s="287"/>
    </row>
    <row r="25" spans="1:22" s="89" customFormat="1">
      <c r="C25" s="112"/>
      <c r="D25" s="270"/>
      <c r="E25" s="270"/>
      <c r="F25" s="263"/>
      <c r="G25" s="274"/>
      <c r="H25" s="275"/>
      <c r="I25" s="275"/>
      <c r="J25" s="275"/>
      <c r="K25" s="275"/>
      <c r="L25" s="276"/>
      <c r="M25" s="137"/>
      <c r="N25" s="298"/>
      <c r="O25" s="288" t="s">
        <v>80</v>
      </c>
      <c r="P25" s="288"/>
      <c r="Q25" s="288"/>
      <c r="R25" s="288"/>
      <c r="S25" s="289"/>
      <c r="T25" s="289"/>
      <c r="U25" s="289"/>
      <c r="V25" s="290"/>
    </row>
    <row r="26" spans="1:22" s="89" customFormat="1" ht="25.5" customHeight="1">
      <c r="A26" s="113" t="s">
        <v>81</v>
      </c>
      <c r="C26" s="112"/>
      <c r="D26" s="258" t="s">
        <v>82</v>
      </c>
      <c r="E26" s="261" t="s">
        <v>83</v>
      </c>
      <c r="F26" s="114"/>
      <c r="G26" s="291" t="s">
        <v>84</v>
      </c>
      <c r="H26" s="292"/>
      <c r="I26" s="292"/>
      <c r="J26" s="292"/>
      <c r="K26" s="292"/>
      <c r="L26" s="293"/>
      <c r="M26" s="137"/>
      <c r="N26" s="299" t="s">
        <v>85</v>
      </c>
      <c r="O26" s="302" t="s">
        <v>86</v>
      </c>
      <c r="P26" s="303"/>
      <c r="Q26" s="303"/>
      <c r="R26" s="304"/>
      <c r="S26" s="302" t="s">
        <v>87</v>
      </c>
      <c r="T26" s="303"/>
      <c r="U26" s="303"/>
      <c r="V26" s="304"/>
    </row>
    <row r="27" spans="1:22" s="89" customFormat="1" ht="12.75" customHeight="1">
      <c r="A27" s="113"/>
      <c r="D27" s="259"/>
      <c r="E27" s="261"/>
      <c r="F27" s="114"/>
      <c r="G27" s="264" t="s">
        <v>88</v>
      </c>
      <c r="H27" s="267" t="s">
        <v>89</v>
      </c>
      <c r="I27" s="294" t="s">
        <v>90</v>
      </c>
      <c r="J27" s="295"/>
      <c r="K27" s="295"/>
      <c r="L27" s="296"/>
      <c r="M27" s="138"/>
      <c r="N27" s="300"/>
      <c r="O27" s="305"/>
      <c r="P27" s="306"/>
      <c r="Q27" s="306"/>
      <c r="R27" s="307"/>
      <c r="S27" s="305"/>
      <c r="T27" s="306"/>
      <c r="U27" s="306"/>
      <c r="V27" s="307"/>
    </row>
    <row r="28" spans="1:22" s="89" customFormat="1" ht="12.75" customHeight="1">
      <c r="A28" s="112"/>
      <c r="D28" s="259"/>
      <c r="E28" s="261"/>
      <c r="F28" s="114"/>
      <c r="G28" s="265"/>
      <c r="H28" s="268"/>
      <c r="I28" s="294" t="s">
        <v>91</v>
      </c>
      <c r="J28" s="296"/>
      <c r="K28" s="139">
        <f>COUNTIFS(G37:G1048576,"&lt;&gt;",G37:G1048576,"&lt;&gt;NA")</f>
        <v>256</v>
      </c>
      <c r="L28" s="140">
        <f>SUM(L29:L31)</f>
        <v>1</v>
      </c>
      <c r="M28" s="141"/>
      <c r="N28" s="300"/>
      <c r="O28" s="308" t="s">
        <v>92</v>
      </c>
      <c r="P28" s="285"/>
      <c r="Q28" s="285"/>
      <c r="R28" s="309"/>
      <c r="S28" s="308" t="s">
        <v>92</v>
      </c>
      <c r="T28" s="285"/>
      <c r="U28" s="285"/>
      <c r="V28" s="309"/>
    </row>
    <row r="29" spans="1:22" s="89" customFormat="1">
      <c r="D29" s="259"/>
      <c r="E29" s="261"/>
      <c r="F29" s="114"/>
      <c r="G29" s="265"/>
      <c r="H29" s="268"/>
      <c r="I29" s="277" t="s">
        <v>93</v>
      </c>
      <c r="J29" s="278"/>
      <c r="K29" s="142">
        <f>COUNTIFS(G37:G1048576,"&lt;&gt;",G37:G1048576,"&lt;&gt;NA",I37:I1048576,"NOK",K37:K1048576,"NOK")</f>
        <v>0</v>
      </c>
      <c r="L29" s="143">
        <f>K29/K$28</f>
        <v>0</v>
      </c>
      <c r="M29" s="141"/>
      <c r="N29" s="300"/>
      <c r="O29" s="302"/>
      <c r="P29" s="303"/>
      <c r="Q29" s="303"/>
      <c r="R29" s="304"/>
      <c r="S29" s="302"/>
      <c r="T29" s="303"/>
      <c r="U29" s="303"/>
      <c r="V29" s="304"/>
    </row>
    <row r="30" spans="1:22" s="89" customFormat="1">
      <c r="D30" s="259"/>
      <c r="E30" s="261"/>
      <c r="F30" s="114"/>
      <c r="G30" s="265"/>
      <c r="H30" s="268"/>
      <c r="I30" s="279" t="s">
        <v>94</v>
      </c>
      <c r="J30" s="280"/>
      <c r="K30" s="144">
        <f>COUNTIFS(G37:G1048576,"&lt;&gt;",G37:G1048576,"&lt;&gt;NA",I37:I1048576,"OK",K37:K1048576,"NA")+COUNTIFS(G37:G1048576,"&lt;&gt;",G37:G1048576,"&lt;&gt;NA",I37:I1048576,"OK",K37:K1048576,"OK")+COUNTIFS(G37:G1048576,"&lt;&gt;",G37:G1048576,"&lt;&gt;NA",I37:I1048576,"NOK",K37:K1048576,"NA")+COUNTIFS(G37:G1048576,"&lt;&gt;",G37:G1048576,"&lt;&gt;NA",I37:I1048576,"NOK",K37:K1048576,"DEVIATION")</f>
        <v>0</v>
      </c>
      <c r="L30" s="145">
        <f>K30/K$28</f>
        <v>0</v>
      </c>
      <c r="M30" s="141"/>
      <c r="N30" s="300"/>
      <c r="O30" s="302"/>
      <c r="P30" s="303"/>
      <c r="Q30" s="303"/>
      <c r="R30" s="304"/>
      <c r="S30" s="302"/>
      <c r="T30" s="303"/>
      <c r="U30" s="303"/>
      <c r="V30" s="304"/>
    </row>
    <row r="31" spans="1:22" s="89" customFormat="1">
      <c r="D31" s="259"/>
      <c r="E31" s="261"/>
      <c r="F31" s="115"/>
      <c r="G31" s="265"/>
      <c r="H31" s="268"/>
      <c r="I31" s="281" t="s">
        <v>95</v>
      </c>
      <c r="J31" s="282"/>
      <c r="K31" s="146">
        <f>COUNTIFS(G37:G1048576,"&lt;&gt;",G37:G1048576,"&lt;&gt;NA",I37:I1048576,"OK",K37:K1048576,"NOK")+COUNTIFS(G37:G1048576,"&lt;&gt;",G37:G1048576,"&lt;&gt;NA",I37:I1048576,"OK",K37:K1048576,"EN ATTENTE")+COUNTIFS(G37:G1048576,"&lt;&gt;",G37:G1048576,"&lt;&gt;NA",I37:I1048576,"NOK",K37:K1048576,"EN ATTENTE")+COUNTIFS(G37:G1048576,"&lt;&gt;",G37:G1048576,"&lt;&gt;NA",I37:I1048576,"=")+COUNTIFS(G37:G1048576,"&lt;&gt;",G37:G1048576,"&lt;&gt;NA",I37:I1048576,"&lt;&gt;",K37:K1048576,"=")</f>
        <v>256</v>
      </c>
      <c r="L31" s="147">
        <f>K31/K$28</f>
        <v>1</v>
      </c>
      <c r="M31" s="141"/>
      <c r="N31" s="300"/>
      <c r="O31" s="302"/>
      <c r="P31" s="303"/>
      <c r="Q31" s="303"/>
      <c r="R31" s="304"/>
      <c r="S31" s="302"/>
      <c r="T31" s="303"/>
      <c r="U31" s="303"/>
      <c r="V31" s="304"/>
    </row>
    <row r="32" spans="1:22" s="89" customFormat="1">
      <c r="D32" s="259"/>
      <c r="E32" s="261"/>
      <c r="F32" s="115"/>
      <c r="G32" s="265"/>
      <c r="H32" s="268"/>
      <c r="I32" s="283" t="s">
        <v>96</v>
      </c>
      <c r="J32" s="284"/>
      <c r="K32" s="148">
        <f>COUNTIFS(G37:G1048576,"&lt;&gt;",G37:G1048576,"&lt;&gt;NA",I37:I1048576,"&lt;&gt;",K37:K1048576,"=")</f>
        <v>256</v>
      </c>
      <c r="L32" s="149">
        <f>K32/K$28</f>
        <v>1</v>
      </c>
      <c r="M32" s="141"/>
      <c r="N32" s="300"/>
      <c r="O32" s="302"/>
      <c r="P32" s="303"/>
      <c r="Q32" s="303"/>
      <c r="R32" s="304"/>
      <c r="S32" s="302"/>
      <c r="T32" s="303"/>
      <c r="U32" s="303"/>
      <c r="V32" s="304"/>
    </row>
    <row r="33" spans="1:22" s="89" customFormat="1">
      <c r="D33" s="260"/>
      <c r="E33" s="261"/>
      <c r="F33" s="115"/>
      <c r="G33" s="265"/>
      <c r="H33" s="268"/>
      <c r="I33" s="283" t="s">
        <v>97</v>
      </c>
      <c r="J33" s="284"/>
      <c r="K33" s="148">
        <f>COUNTIFS(G37:G1048576,"&lt;&gt;",G37:G1048576,"&lt;&gt;NA",I37:I1048576,"=")</f>
        <v>0</v>
      </c>
      <c r="L33" s="149">
        <f>K33/K$28</f>
        <v>0</v>
      </c>
      <c r="M33" s="141"/>
      <c r="N33" s="300"/>
      <c r="O33" s="305"/>
      <c r="P33" s="306"/>
      <c r="Q33" s="306"/>
      <c r="R33" s="307"/>
      <c r="S33" s="305"/>
      <c r="T33" s="306"/>
      <c r="U33" s="306"/>
      <c r="V33" s="307"/>
    </row>
    <row r="34" spans="1:22" s="89" customFormat="1" ht="50">
      <c r="A34" s="111" t="s">
        <v>98</v>
      </c>
      <c r="B34" s="116"/>
      <c r="C34" s="116" t="s">
        <v>99</v>
      </c>
      <c r="D34" s="117" t="s">
        <v>100</v>
      </c>
      <c r="E34" s="261"/>
      <c r="F34" s="118"/>
      <c r="G34" s="266"/>
      <c r="H34" s="269"/>
      <c r="I34" s="150" t="s">
        <v>101</v>
      </c>
      <c r="J34" s="150" t="s">
        <v>102</v>
      </c>
      <c r="K34" s="151" t="s">
        <v>103</v>
      </c>
      <c r="L34" s="150" t="s">
        <v>102</v>
      </c>
      <c r="M34" s="141"/>
      <c r="N34" s="301"/>
      <c r="O34" s="152" t="s">
        <v>104</v>
      </c>
      <c r="P34" s="152" t="s">
        <v>105</v>
      </c>
      <c r="Q34" s="152" t="s">
        <v>106</v>
      </c>
      <c r="R34" s="163" t="s">
        <v>102</v>
      </c>
      <c r="S34" s="152" t="s">
        <v>104</v>
      </c>
      <c r="T34" s="152" t="s">
        <v>105</v>
      </c>
      <c r="U34" s="152" t="s">
        <v>106</v>
      </c>
      <c r="V34" s="163" t="s">
        <v>102</v>
      </c>
    </row>
    <row r="35" spans="1:22" s="90" customFormat="1">
      <c r="A35" s="119" t="s">
        <v>107</v>
      </c>
      <c r="B35" s="120"/>
      <c r="C35" s="120"/>
      <c r="D35" s="121"/>
      <c r="E35" s="121"/>
      <c r="F35" s="121"/>
      <c r="G35" s="122"/>
      <c r="H35" s="123"/>
      <c r="I35" s="153"/>
      <c r="J35" s="153"/>
      <c r="K35" s="153"/>
      <c r="L35" s="153"/>
      <c r="M35" s="154"/>
      <c r="N35" s="121"/>
      <c r="O35" s="154"/>
      <c r="P35" s="154"/>
      <c r="Q35" s="153"/>
      <c r="R35" s="154"/>
      <c r="S35" s="154"/>
      <c r="T35" s="154"/>
      <c r="U35" s="153"/>
      <c r="V35" s="154"/>
    </row>
    <row r="36" spans="1:22" s="91" customFormat="1" ht="25">
      <c r="A36" s="124" t="s">
        <v>108</v>
      </c>
      <c r="B36" s="125"/>
      <c r="C36" s="125"/>
      <c r="D36" s="125"/>
      <c r="E36" s="126"/>
      <c r="F36" s="127" t="s">
        <v>109</v>
      </c>
      <c r="G36" s="122" t="s">
        <v>110</v>
      </c>
      <c r="H36" s="123"/>
      <c r="I36" s="153"/>
      <c r="J36" s="153"/>
      <c r="K36" s="153"/>
      <c r="L36" s="153"/>
      <c r="M36" s="127" t="s">
        <v>109</v>
      </c>
      <c r="N36" s="126"/>
      <c r="O36" s="155"/>
      <c r="P36" s="155"/>
      <c r="Q36" s="155"/>
      <c r="R36" s="164"/>
      <c r="S36" s="155"/>
      <c r="T36" s="155"/>
      <c r="U36" s="155"/>
      <c r="V36" s="164"/>
    </row>
    <row r="37" spans="1:22" ht="15" hidden="1" customHeight="1">
      <c r="A37" s="128" t="s">
        <v>111</v>
      </c>
      <c r="B37" s="129"/>
      <c r="C37" s="130"/>
      <c r="D37" s="131" t="s">
        <v>112</v>
      </c>
      <c r="E37" s="132" t="s">
        <v>113</v>
      </c>
      <c r="F37" s="127"/>
      <c r="G37" s="133" t="s">
        <v>45</v>
      </c>
      <c r="H37" s="134"/>
      <c r="I37" s="156"/>
      <c r="J37" s="157"/>
      <c r="K37" s="158"/>
      <c r="L37" s="159"/>
      <c r="M37" s="127"/>
      <c r="N37" s="160"/>
      <c r="O37" s="161"/>
      <c r="P37" s="162"/>
      <c r="Q37" s="162"/>
      <c r="R37" s="161"/>
      <c r="S37" s="161"/>
      <c r="T37" s="162"/>
      <c r="U37" s="162"/>
      <c r="V37" s="161"/>
    </row>
    <row r="38" spans="1:22" ht="15" customHeight="1">
      <c r="A38" s="128" t="s">
        <v>114</v>
      </c>
      <c r="B38" s="129"/>
      <c r="C38" s="130"/>
      <c r="D38" s="131" t="s">
        <v>112</v>
      </c>
      <c r="E38" s="132" t="s">
        <v>115</v>
      </c>
      <c r="F38" s="127"/>
      <c r="G38" s="133" t="s">
        <v>112</v>
      </c>
      <c r="H38" s="134"/>
      <c r="I38" s="156" t="s">
        <v>41</v>
      </c>
      <c r="J38" s="157"/>
      <c r="K38" s="158"/>
      <c r="L38" s="159"/>
      <c r="M38" s="127"/>
      <c r="N38" s="160"/>
      <c r="O38" s="161"/>
      <c r="P38" s="162"/>
      <c r="Q38" s="162"/>
      <c r="R38" s="161"/>
      <c r="S38" s="161"/>
      <c r="T38" s="162"/>
      <c r="U38" s="162"/>
      <c r="V38" s="161"/>
    </row>
    <row r="39" spans="1:22" ht="15" hidden="1" customHeight="1">
      <c r="A39" s="128" t="s">
        <v>116</v>
      </c>
      <c r="B39" s="129"/>
      <c r="C39" s="130"/>
      <c r="D39" s="131" t="s">
        <v>117</v>
      </c>
      <c r="E39" s="132" t="s">
        <v>118</v>
      </c>
      <c r="F39" s="127"/>
      <c r="G39" s="133" t="s">
        <v>45</v>
      </c>
      <c r="H39" s="134"/>
      <c r="I39" s="156"/>
      <c r="J39" s="157"/>
      <c r="K39" s="158"/>
      <c r="L39" s="159"/>
      <c r="M39" s="127"/>
      <c r="N39" s="160"/>
      <c r="O39" s="161"/>
      <c r="P39" s="162"/>
      <c r="Q39" s="162"/>
      <c r="R39" s="161"/>
      <c r="S39" s="161"/>
      <c r="T39" s="162"/>
      <c r="U39" s="162"/>
      <c r="V39" s="161"/>
    </row>
    <row r="40" spans="1:22" ht="15" customHeight="1">
      <c r="A40" s="128" t="s">
        <v>119</v>
      </c>
      <c r="B40" s="129"/>
      <c r="C40" s="130"/>
      <c r="D40" s="131" t="s">
        <v>112</v>
      </c>
      <c r="E40" s="132" t="s">
        <v>120</v>
      </c>
      <c r="F40" s="127"/>
      <c r="G40" s="133" t="s">
        <v>112</v>
      </c>
      <c r="H40" s="134"/>
      <c r="I40" s="156" t="s">
        <v>41</v>
      </c>
      <c r="J40" s="157"/>
      <c r="K40" s="158"/>
      <c r="L40" s="159"/>
      <c r="M40" s="127"/>
      <c r="N40" s="160"/>
      <c r="O40" s="161"/>
      <c r="P40" s="162"/>
      <c r="Q40" s="162"/>
      <c r="R40" s="161"/>
      <c r="S40" s="161"/>
      <c r="T40" s="162"/>
      <c r="U40" s="162"/>
      <c r="V40" s="161"/>
    </row>
    <row r="41" spans="1:22" ht="15" customHeight="1">
      <c r="A41" s="128" t="s">
        <v>121</v>
      </c>
      <c r="B41" s="129"/>
      <c r="C41" s="130"/>
      <c r="D41" s="131" t="s">
        <v>122</v>
      </c>
      <c r="E41" s="132" t="s">
        <v>123</v>
      </c>
      <c r="F41" s="127"/>
      <c r="G41" s="133" t="s">
        <v>122</v>
      </c>
      <c r="H41" s="134"/>
      <c r="I41" s="156" t="s">
        <v>41</v>
      </c>
      <c r="J41" s="157"/>
      <c r="K41" s="158"/>
      <c r="L41" s="159"/>
      <c r="M41" s="127"/>
      <c r="N41" s="160"/>
      <c r="O41" s="161"/>
      <c r="P41" s="162"/>
      <c r="Q41" s="162"/>
      <c r="R41" s="161"/>
      <c r="S41" s="161"/>
      <c r="T41" s="162"/>
      <c r="U41" s="162"/>
      <c r="V41" s="161"/>
    </row>
    <row r="42" spans="1:22" ht="15" hidden="1" customHeight="1">
      <c r="A42" s="128" t="s">
        <v>124</v>
      </c>
      <c r="B42" s="129"/>
      <c r="C42" s="130"/>
      <c r="D42" s="131" t="s">
        <v>125</v>
      </c>
      <c r="E42" s="132" t="s">
        <v>126</v>
      </c>
      <c r="F42" s="127"/>
      <c r="G42" s="133" t="s">
        <v>45</v>
      </c>
      <c r="H42" s="134"/>
      <c r="I42" s="156"/>
      <c r="J42" s="157"/>
      <c r="K42" s="158"/>
      <c r="L42" s="159"/>
      <c r="M42" s="127"/>
      <c r="N42" s="160"/>
      <c r="O42" s="161"/>
      <c r="P42" s="162"/>
      <c r="Q42" s="162"/>
      <c r="R42" s="161"/>
      <c r="S42" s="161"/>
      <c r="T42" s="162"/>
      <c r="U42" s="162"/>
      <c r="V42" s="161"/>
    </row>
    <row r="43" spans="1:22" ht="15" hidden="1" customHeight="1">
      <c r="A43" s="128" t="s">
        <v>127</v>
      </c>
      <c r="B43" s="129"/>
      <c r="C43" s="130"/>
      <c r="D43" s="131" t="s">
        <v>125</v>
      </c>
      <c r="E43" s="132" t="s">
        <v>128</v>
      </c>
      <c r="F43" s="127"/>
      <c r="G43" s="133" t="s">
        <v>45</v>
      </c>
      <c r="H43" s="134"/>
      <c r="I43" s="156"/>
      <c r="J43" s="157"/>
      <c r="K43" s="158"/>
      <c r="L43" s="159"/>
      <c r="M43" s="127"/>
      <c r="N43" s="160"/>
      <c r="O43" s="161"/>
      <c r="P43" s="162"/>
      <c r="Q43" s="162"/>
      <c r="R43" s="161"/>
      <c r="S43" s="161"/>
      <c r="T43" s="162"/>
      <c r="U43" s="162"/>
      <c r="V43" s="161"/>
    </row>
    <row r="44" spans="1:22" ht="15" hidden="1" customHeight="1">
      <c r="A44" s="128" t="s">
        <v>129</v>
      </c>
      <c r="B44" s="129"/>
      <c r="C44" s="130"/>
      <c r="D44" s="131" t="s">
        <v>130</v>
      </c>
      <c r="E44" s="132" t="s">
        <v>131</v>
      </c>
      <c r="F44" s="127"/>
      <c r="G44" s="133" t="s">
        <v>45</v>
      </c>
      <c r="H44" s="134"/>
      <c r="I44" s="156"/>
      <c r="J44" s="157"/>
      <c r="K44" s="158"/>
      <c r="L44" s="159"/>
      <c r="M44" s="127"/>
      <c r="N44" s="160"/>
      <c r="O44" s="161"/>
      <c r="P44" s="162"/>
      <c r="Q44" s="162"/>
      <c r="R44" s="161"/>
      <c r="S44" s="161"/>
      <c r="T44" s="162"/>
      <c r="U44" s="162"/>
      <c r="V44" s="161"/>
    </row>
    <row r="45" spans="1:22" ht="15" hidden="1" customHeight="1">
      <c r="A45" s="128" t="s">
        <v>132</v>
      </c>
      <c r="B45" s="129"/>
      <c r="C45" s="130"/>
      <c r="D45" s="131" t="s">
        <v>125</v>
      </c>
      <c r="E45" s="132" t="s">
        <v>133</v>
      </c>
      <c r="F45" s="127"/>
      <c r="G45" s="133" t="s">
        <v>45</v>
      </c>
      <c r="H45" s="134"/>
      <c r="I45" s="156"/>
      <c r="J45" s="157"/>
      <c r="K45" s="158"/>
      <c r="L45" s="159"/>
      <c r="M45" s="127"/>
      <c r="N45" s="160"/>
      <c r="O45" s="161"/>
      <c r="P45" s="162"/>
      <c r="Q45" s="162"/>
      <c r="R45" s="161"/>
      <c r="S45" s="161"/>
      <c r="T45" s="162"/>
      <c r="U45" s="162"/>
      <c r="V45" s="161"/>
    </row>
    <row r="46" spans="1:22" ht="15" hidden="1" customHeight="1">
      <c r="A46" s="128" t="s">
        <v>134</v>
      </c>
      <c r="B46" s="129"/>
      <c r="C46" s="130"/>
      <c r="D46" s="131" t="s">
        <v>125</v>
      </c>
      <c r="E46" s="132" t="s">
        <v>135</v>
      </c>
      <c r="F46" s="127"/>
      <c r="G46" s="133" t="s">
        <v>45</v>
      </c>
      <c r="H46" s="134"/>
      <c r="I46" s="156"/>
      <c r="J46" s="157"/>
      <c r="K46" s="158"/>
      <c r="L46" s="159"/>
      <c r="M46" s="127"/>
      <c r="N46" s="160"/>
      <c r="O46" s="161"/>
      <c r="P46" s="162"/>
      <c r="Q46" s="162"/>
      <c r="R46" s="161"/>
      <c r="S46" s="161"/>
      <c r="T46" s="162"/>
      <c r="U46" s="162"/>
      <c r="V46" s="161"/>
    </row>
    <row r="47" spans="1:22" ht="15" customHeight="1">
      <c r="A47" s="128" t="s">
        <v>136</v>
      </c>
      <c r="B47" s="129"/>
      <c r="C47" s="130"/>
      <c r="D47" s="131" t="s">
        <v>125</v>
      </c>
      <c r="E47" s="132" t="s">
        <v>137</v>
      </c>
      <c r="F47" s="127"/>
      <c r="G47" s="133" t="s">
        <v>125</v>
      </c>
      <c r="H47" s="134"/>
      <c r="I47" s="156" t="s">
        <v>41</v>
      </c>
      <c r="J47" s="157"/>
      <c r="K47" s="158"/>
      <c r="L47" s="159"/>
      <c r="M47" s="127"/>
      <c r="N47" s="160"/>
      <c r="O47" s="161"/>
      <c r="P47" s="162"/>
      <c r="Q47" s="162"/>
      <c r="R47" s="161"/>
      <c r="S47" s="161"/>
      <c r="T47" s="162"/>
      <c r="U47" s="162"/>
      <c r="V47" s="161"/>
    </row>
    <row r="48" spans="1:22" ht="15" hidden="1" customHeight="1">
      <c r="A48" s="128" t="s">
        <v>138</v>
      </c>
      <c r="B48" s="129"/>
      <c r="C48" s="130"/>
      <c r="D48" s="131" t="s">
        <v>130</v>
      </c>
      <c r="E48" s="132" t="s">
        <v>139</v>
      </c>
      <c r="F48" s="127"/>
      <c r="G48" s="133" t="s">
        <v>45</v>
      </c>
      <c r="H48" s="134"/>
      <c r="I48" s="156"/>
      <c r="J48" s="157"/>
      <c r="K48" s="158"/>
      <c r="L48" s="159"/>
      <c r="M48" s="127"/>
      <c r="N48" s="160"/>
      <c r="O48" s="161"/>
      <c r="P48" s="162"/>
      <c r="Q48" s="162"/>
      <c r="R48" s="161"/>
      <c r="S48" s="161"/>
      <c r="T48" s="162"/>
      <c r="U48" s="162"/>
      <c r="V48" s="161"/>
    </row>
    <row r="49" spans="1:22" ht="15" hidden="1" customHeight="1">
      <c r="A49" s="128" t="s">
        <v>140</v>
      </c>
      <c r="B49" s="129"/>
      <c r="C49" s="130"/>
      <c r="D49" s="131" t="s">
        <v>125</v>
      </c>
      <c r="E49" s="132" t="s">
        <v>141</v>
      </c>
      <c r="F49" s="127"/>
      <c r="G49" s="133" t="s">
        <v>45</v>
      </c>
      <c r="H49" s="134"/>
      <c r="I49" s="156"/>
      <c r="J49" s="157"/>
      <c r="K49" s="158"/>
      <c r="L49" s="159"/>
      <c r="M49" s="127"/>
      <c r="N49" s="160"/>
      <c r="O49" s="161"/>
      <c r="P49" s="162"/>
      <c r="Q49" s="162"/>
      <c r="R49" s="161"/>
      <c r="S49" s="161"/>
      <c r="T49" s="162"/>
      <c r="U49" s="162"/>
      <c r="V49" s="161"/>
    </row>
    <row r="50" spans="1:22" ht="15" hidden="1" customHeight="1">
      <c r="A50" s="128" t="s">
        <v>142</v>
      </c>
      <c r="B50" s="129"/>
      <c r="C50" s="130"/>
      <c r="D50" s="131" t="s">
        <v>130</v>
      </c>
      <c r="E50" s="132" t="s">
        <v>143</v>
      </c>
      <c r="F50" s="127"/>
      <c r="G50" s="133" t="s">
        <v>45</v>
      </c>
      <c r="H50" s="134"/>
      <c r="I50" s="156"/>
      <c r="J50" s="157"/>
      <c r="K50" s="158"/>
      <c r="L50" s="159"/>
      <c r="M50" s="127"/>
      <c r="N50" s="160"/>
      <c r="O50" s="161"/>
      <c r="P50" s="162"/>
      <c r="Q50" s="162"/>
      <c r="R50" s="161"/>
      <c r="S50" s="161"/>
      <c r="T50" s="162"/>
      <c r="U50" s="162"/>
      <c r="V50" s="161"/>
    </row>
    <row r="51" spans="1:22" ht="15" hidden="1" customHeight="1">
      <c r="A51" s="128" t="s">
        <v>144</v>
      </c>
      <c r="B51" s="129"/>
      <c r="C51" s="130"/>
      <c r="D51" s="131" t="s">
        <v>125</v>
      </c>
      <c r="E51" s="132" t="s">
        <v>145</v>
      </c>
      <c r="F51" s="127"/>
      <c r="G51" s="133" t="s">
        <v>45</v>
      </c>
      <c r="H51" s="134"/>
      <c r="I51" s="156"/>
      <c r="J51" s="157"/>
      <c r="K51" s="158"/>
      <c r="L51" s="159"/>
      <c r="M51" s="127"/>
      <c r="N51" s="160"/>
      <c r="O51" s="161"/>
      <c r="P51" s="162"/>
      <c r="Q51" s="162"/>
      <c r="R51" s="161"/>
      <c r="S51" s="161"/>
      <c r="T51" s="162"/>
      <c r="U51" s="162"/>
      <c r="V51" s="161"/>
    </row>
    <row r="52" spans="1:22" ht="15" hidden="1" customHeight="1">
      <c r="A52" s="128" t="s">
        <v>146</v>
      </c>
      <c r="B52" s="129"/>
      <c r="C52" s="130"/>
      <c r="D52" s="131" t="s">
        <v>125</v>
      </c>
      <c r="E52" s="132" t="s">
        <v>147</v>
      </c>
      <c r="F52" s="127"/>
      <c r="G52" s="133" t="s">
        <v>45</v>
      </c>
      <c r="H52" s="134"/>
      <c r="I52" s="156"/>
      <c r="J52" s="157"/>
      <c r="K52" s="158"/>
      <c r="L52" s="159"/>
      <c r="M52" s="127"/>
      <c r="N52" s="160"/>
      <c r="O52" s="161"/>
      <c r="P52" s="162"/>
      <c r="Q52" s="162"/>
      <c r="R52" s="161"/>
      <c r="S52" s="161"/>
      <c r="T52" s="162"/>
      <c r="U52" s="162"/>
      <c r="V52" s="161"/>
    </row>
    <row r="53" spans="1:22" ht="15" hidden="1" customHeight="1">
      <c r="A53" s="128" t="s">
        <v>148</v>
      </c>
      <c r="B53" s="129"/>
      <c r="C53" s="130"/>
      <c r="D53" s="131" t="s">
        <v>125</v>
      </c>
      <c r="E53" s="132" t="s">
        <v>149</v>
      </c>
      <c r="F53" s="127"/>
      <c r="G53" s="133" t="s">
        <v>45</v>
      </c>
      <c r="H53" s="134"/>
      <c r="I53" s="156"/>
      <c r="J53" s="157"/>
      <c r="K53" s="158"/>
      <c r="L53" s="159"/>
      <c r="M53" s="127"/>
      <c r="N53" s="160"/>
      <c r="O53" s="161"/>
      <c r="P53" s="162"/>
      <c r="Q53" s="162"/>
      <c r="R53" s="161"/>
      <c r="S53" s="161"/>
      <c r="T53" s="162"/>
      <c r="U53" s="162"/>
      <c r="V53" s="161"/>
    </row>
    <row r="54" spans="1:22" ht="15" hidden="1" customHeight="1">
      <c r="A54" s="128" t="s">
        <v>150</v>
      </c>
      <c r="B54" s="129"/>
      <c r="C54" s="130"/>
      <c r="D54" s="131" t="s">
        <v>130</v>
      </c>
      <c r="E54" s="132" t="s">
        <v>151</v>
      </c>
      <c r="F54" s="127"/>
      <c r="G54" s="133" t="s">
        <v>45</v>
      </c>
      <c r="H54" s="134"/>
      <c r="I54" s="156"/>
      <c r="J54" s="157"/>
      <c r="K54" s="158"/>
      <c r="L54" s="159"/>
      <c r="M54" s="127"/>
      <c r="N54" s="160"/>
      <c r="O54" s="161"/>
      <c r="P54" s="162"/>
      <c r="Q54" s="162"/>
      <c r="R54" s="161"/>
      <c r="S54" s="161"/>
      <c r="T54" s="162"/>
      <c r="U54" s="162"/>
      <c r="V54" s="161"/>
    </row>
    <row r="55" spans="1:22" ht="15" hidden="1" customHeight="1">
      <c r="A55" s="128" t="s">
        <v>152</v>
      </c>
      <c r="B55" s="129"/>
      <c r="C55" s="130"/>
      <c r="D55" s="131" t="s">
        <v>125</v>
      </c>
      <c r="E55" s="132" t="s">
        <v>153</v>
      </c>
      <c r="F55" s="127"/>
      <c r="G55" s="133" t="s">
        <v>45</v>
      </c>
      <c r="H55" s="134"/>
      <c r="I55" s="156"/>
      <c r="J55" s="157"/>
      <c r="K55" s="158"/>
      <c r="L55" s="159"/>
      <c r="M55" s="127"/>
      <c r="N55" s="160"/>
      <c r="O55" s="161"/>
      <c r="P55" s="162"/>
      <c r="Q55" s="162"/>
      <c r="R55" s="161"/>
      <c r="S55" s="161"/>
      <c r="T55" s="162"/>
      <c r="U55" s="162"/>
      <c r="V55" s="161"/>
    </row>
    <row r="56" spans="1:22" ht="15" hidden="1" customHeight="1">
      <c r="A56" s="128" t="s">
        <v>154</v>
      </c>
      <c r="B56" s="129"/>
      <c r="C56" s="130"/>
      <c r="D56" s="131" t="s">
        <v>125</v>
      </c>
      <c r="E56" s="132" t="s">
        <v>155</v>
      </c>
      <c r="F56" s="127"/>
      <c r="G56" s="133" t="s">
        <v>45</v>
      </c>
      <c r="H56" s="134"/>
      <c r="I56" s="156"/>
      <c r="J56" s="157"/>
      <c r="K56" s="158"/>
      <c r="L56" s="159"/>
      <c r="M56" s="127"/>
      <c r="N56" s="160"/>
      <c r="O56" s="161"/>
      <c r="P56" s="162"/>
      <c r="Q56" s="162"/>
      <c r="R56" s="161"/>
      <c r="S56" s="161"/>
      <c r="T56" s="162"/>
      <c r="U56" s="162"/>
      <c r="V56" s="161"/>
    </row>
    <row r="57" spans="1:22" ht="15" hidden="1" customHeight="1">
      <c r="A57" s="128" t="s">
        <v>156</v>
      </c>
      <c r="B57" s="129"/>
      <c r="C57" s="130"/>
      <c r="D57" s="131" t="s">
        <v>125</v>
      </c>
      <c r="E57" s="132" t="s">
        <v>157</v>
      </c>
      <c r="F57" s="127"/>
      <c r="G57" s="133" t="s">
        <v>45</v>
      </c>
      <c r="H57" s="134"/>
      <c r="I57" s="156"/>
      <c r="J57" s="157"/>
      <c r="K57" s="158"/>
      <c r="L57" s="159"/>
      <c r="M57" s="127"/>
      <c r="N57" s="160"/>
      <c r="O57" s="161"/>
      <c r="P57" s="162"/>
      <c r="Q57" s="162"/>
      <c r="R57" s="161"/>
      <c r="S57" s="161"/>
      <c r="T57" s="162"/>
      <c r="U57" s="162"/>
      <c r="V57" s="161"/>
    </row>
    <row r="58" spans="1:22" ht="15" hidden="1" customHeight="1">
      <c r="A58" s="128" t="s">
        <v>158</v>
      </c>
      <c r="B58" s="129"/>
      <c r="C58" s="130"/>
      <c r="D58" s="131" t="s">
        <v>130</v>
      </c>
      <c r="E58" s="132" t="s">
        <v>159</v>
      </c>
      <c r="F58" s="127"/>
      <c r="G58" s="133" t="s">
        <v>45</v>
      </c>
      <c r="H58" s="134"/>
      <c r="I58" s="156"/>
      <c r="J58" s="157"/>
      <c r="K58" s="158"/>
      <c r="L58" s="159"/>
      <c r="M58" s="127"/>
      <c r="N58" s="160"/>
      <c r="O58" s="161"/>
      <c r="P58" s="162"/>
      <c r="Q58" s="162"/>
      <c r="R58" s="161"/>
      <c r="S58" s="161"/>
      <c r="T58" s="162"/>
      <c r="U58" s="162"/>
      <c r="V58" s="161"/>
    </row>
    <row r="59" spans="1:22" ht="15" hidden="1" customHeight="1">
      <c r="A59" s="128" t="s">
        <v>160</v>
      </c>
      <c r="B59" s="129"/>
      <c r="C59" s="130"/>
      <c r="D59" s="131" t="s">
        <v>125</v>
      </c>
      <c r="E59" s="132" t="s">
        <v>161</v>
      </c>
      <c r="F59" s="127"/>
      <c r="G59" s="133" t="s">
        <v>45</v>
      </c>
      <c r="H59" s="134"/>
      <c r="I59" s="156"/>
      <c r="J59" s="157"/>
      <c r="K59" s="158"/>
      <c r="L59" s="159"/>
      <c r="M59" s="127"/>
      <c r="N59" s="160"/>
      <c r="O59" s="161"/>
      <c r="P59" s="162"/>
      <c r="Q59" s="162"/>
      <c r="R59" s="161"/>
      <c r="S59" s="161"/>
      <c r="T59" s="162"/>
      <c r="U59" s="162"/>
      <c r="V59" s="161"/>
    </row>
    <row r="60" spans="1:22" ht="15" hidden="1" customHeight="1">
      <c r="A60" s="128" t="s">
        <v>162</v>
      </c>
      <c r="B60" s="129"/>
      <c r="C60" s="130"/>
      <c r="D60" s="131" t="s">
        <v>125</v>
      </c>
      <c r="E60" s="132" t="s">
        <v>163</v>
      </c>
      <c r="F60" s="127"/>
      <c r="G60" s="133" t="s">
        <v>45</v>
      </c>
      <c r="H60" s="134"/>
      <c r="I60" s="156"/>
      <c r="J60" s="157"/>
      <c r="K60" s="158"/>
      <c r="L60" s="159"/>
      <c r="M60" s="127"/>
      <c r="N60" s="160"/>
      <c r="O60" s="161"/>
      <c r="P60" s="162"/>
      <c r="Q60" s="162"/>
      <c r="R60" s="161"/>
      <c r="S60" s="161"/>
      <c r="T60" s="162"/>
      <c r="U60" s="162"/>
      <c r="V60" s="161"/>
    </row>
    <row r="61" spans="1:22" ht="15" hidden="1" customHeight="1">
      <c r="A61" s="128" t="s">
        <v>164</v>
      </c>
      <c r="B61" s="129"/>
      <c r="C61" s="130"/>
      <c r="D61" s="131" t="s">
        <v>125</v>
      </c>
      <c r="E61" s="132" t="s">
        <v>165</v>
      </c>
      <c r="F61" s="127"/>
      <c r="G61" s="133" t="s">
        <v>45</v>
      </c>
      <c r="H61" s="134"/>
      <c r="I61" s="156"/>
      <c r="J61" s="157"/>
      <c r="K61" s="158"/>
      <c r="L61" s="159"/>
      <c r="M61" s="127"/>
      <c r="N61" s="160"/>
      <c r="O61" s="161"/>
      <c r="P61" s="162"/>
      <c r="Q61" s="162"/>
      <c r="R61" s="161"/>
      <c r="S61" s="161"/>
      <c r="T61" s="162"/>
      <c r="U61" s="162"/>
      <c r="V61" s="161"/>
    </row>
    <row r="62" spans="1:22" ht="15" hidden="1" customHeight="1">
      <c r="A62" s="128" t="s">
        <v>166</v>
      </c>
      <c r="B62" s="129"/>
      <c r="C62" s="130"/>
      <c r="D62" s="131" t="s">
        <v>125</v>
      </c>
      <c r="E62" s="132" t="s">
        <v>167</v>
      </c>
      <c r="F62" s="127"/>
      <c r="G62" s="133" t="s">
        <v>45</v>
      </c>
      <c r="H62" s="134"/>
      <c r="I62" s="156"/>
      <c r="J62" s="157"/>
      <c r="K62" s="158"/>
      <c r="L62" s="159"/>
      <c r="M62" s="127"/>
      <c r="N62" s="160"/>
      <c r="O62" s="161"/>
      <c r="P62" s="162"/>
      <c r="Q62" s="162"/>
      <c r="R62" s="161"/>
      <c r="S62" s="161"/>
      <c r="T62" s="162"/>
      <c r="U62" s="162"/>
      <c r="V62" s="161"/>
    </row>
    <row r="63" spans="1:22" ht="15" hidden="1" customHeight="1">
      <c r="A63" s="128" t="s">
        <v>168</v>
      </c>
      <c r="B63" s="129"/>
      <c r="C63" s="130"/>
      <c r="D63" s="131" t="s">
        <v>125</v>
      </c>
      <c r="E63" s="132" t="s">
        <v>169</v>
      </c>
      <c r="F63" s="127"/>
      <c r="G63" s="133" t="s">
        <v>45</v>
      </c>
      <c r="H63" s="134"/>
      <c r="I63" s="156"/>
      <c r="J63" s="157"/>
      <c r="K63" s="158"/>
      <c r="L63" s="159"/>
      <c r="M63" s="127"/>
      <c r="N63" s="160"/>
      <c r="O63" s="161"/>
      <c r="P63" s="162"/>
      <c r="Q63" s="162"/>
      <c r="R63" s="161"/>
      <c r="S63" s="161"/>
      <c r="T63" s="162"/>
      <c r="U63" s="162"/>
      <c r="V63" s="161"/>
    </row>
    <row r="64" spans="1:22" ht="15" hidden="1" customHeight="1">
      <c r="A64" s="128" t="s">
        <v>170</v>
      </c>
      <c r="B64" s="129"/>
      <c r="C64" s="130"/>
      <c r="D64" s="131" t="s">
        <v>125</v>
      </c>
      <c r="E64" s="132" t="s">
        <v>171</v>
      </c>
      <c r="F64" s="127"/>
      <c r="G64" s="133" t="s">
        <v>45</v>
      </c>
      <c r="H64" s="134"/>
      <c r="I64" s="156"/>
      <c r="J64" s="157"/>
      <c r="K64" s="158"/>
      <c r="L64" s="159"/>
      <c r="M64" s="127"/>
      <c r="N64" s="160"/>
      <c r="O64" s="161"/>
      <c r="P64" s="162"/>
      <c r="Q64" s="162"/>
      <c r="R64" s="161"/>
      <c r="S64" s="161"/>
      <c r="T64" s="162"/>
      <c r="U64" s="162"/>
      <c r="V64" s="161"/>
    </row>
    <row r="65" spans="1:22" ht="15" hidden="1" customHeight="1">
      <c r="A65" s="128" t="s">
        <v>172</v>
      </c>
      <c r="B65" s="129"/>
      <c r="C65" s="130"/>
      <c r="D65" s="131" t="s">
        <v>125</v>
      </c>
      <c r="E65" s="132" t="s">
        <v>173</v>
      </c>
      <c r="F65" s="127"/>
      <c r="G65" s="133" t="s">
        <v>45</v>
      </c>
      <c r="H65" s="134"/>
      <c r="I65" s="156"/>
      <c r="J65" s="157"/>
      <c r="K65" s="158"/>
      <c r="L65" s="159"/>
      <c r="M65" s="127"/>
      <c r="N65" s="160"/>
      <c r="O65" s="161"/>
      <c r="P65" s="162"/>
      <c r="Q65" s="162"/>
      <c r="R65" s="161"/>
      <c r="S65" s="161"/>
      <c r="T65" s="162"/>
      <c r="U65" s="162"/>
      <c r="V65" s="161"/>
    </row>
    <row r="66" spans="1:22" ht="15" hidden="1" customHeight="1">
      <c r="A66" s="128" t="s">
        <v>174</v>
      </c>
      <c r="B66" s="129"/>
      <c r="C66" s="130"/>
      <c r="D66" s="131" t="s">
        <v>130</v>
      </c>
      <c r="E66" s="132" t="s">
        <v>175</v>
      </c>
      <c r="F66" s="127"/>
      <c r="G66" s="133" t="s">
        <v>45</v>
      </c>
      <c r="H66" s="134"/>
      <c r="I66" s="156"/>
      <c r="J66" s="157"/>
      <c r="K66" s="158"/>
      <c r="L66" s="159"/>
      <c r="M66" s="127"/>
      <c r="N66" s="160"/>
      <c r="O66" s="161"/>
      <c r="P66" s="162"/>
      <c r="Q66" s="162"/>
      <c r="R66" s="161"/>
      <c r="S66" s="161"/>
      <c r="T66" s="162"/>
      <c r="U66" s="162"/>
      <c r="V66" s="161"/>
    </row>
    <row r="67" spans="1:22" ht="15" hidden="1" customHeight="1">
      <c r="A67" s="128" t="s">
        <v>176</v>
      </c>
      <c r="B67" s="129"/>
      <c r="C67" s="130"/>
      <c r="D67" s="131" t="s">
        <v>125</v>
      </c>
      <c r="E67" s="132" t="s">
        <v>177</v>
      </c>
      <c r="F67" s="127"/>
      <c r="G67" s="133" t="s">
        <v>45</v>
      </c>
      <c r="H67" s="134"/>
      <c r="I67" s="156"/>
      <c r="J67" s="157"/>
      <c r="K67" s="158"/>
      <c r="L67" s="159"/>
      <c r="M67" s="127"/>
      <c r="N67" s="160"/>
      <c r="O67" s="161"/>
      <c r="P67" s="162"/>
      <c r="Q67" s="162"/>
      <c r="R67" s="161"/>
      <c r="S67" s="161"/>
      <c r="T67" s="162"/>
      <c r="U67" s="162"/>
      <c r="V67" s="161"/>
    </row>
    <row r="68" spans="1:22" ht="15" hidden="1" customHeight="1">
      <c r="A68" s="128" t="s">
        <v>178</v>
      </c>
      <c r="B68" s="129"/>
      <c r="C68" s="130"/>
      <c r="D68" s="131" t="s">
        <v>130</v>
      </c>
      <c r="E68" s="132" t="s">
        <v>179</v>
      </c>
      <c r="F68" s="127"/>
      <c r="G68" s="133" t="s">
        <v>45</v>
      </c>
      <c r="H68" s="134"/>
      <c r="I68" s="156"/>
      <c r="J68" s="157"/>
      <c r="K68" s="158"/>
      <c r="L68" s="159"/>
      <c r="M68" s="127"/>
      <c r="N68" s="160"/>
      <c r="O68" s="161"/>
      <c r="P68" s="162"/>
      <c r="Q68" s="162"/>
      <c r="R68" s="161"/>
      <c r="S68" s="161"/>
      <c r="T68" s="162"/>
      <c r="U68" s="162"/>
      <c r="V68" s="161"/>
    </row>
    <row r="69" spans="1:22" ht="15" hidden="1" customHeight="1">
      <c r="A69" s="128" t="s">
        <v>180</v>
      </c>
      <c r="B69" s="129"/>
      <c r="C69" s="130"/>
      <c r="D69" s="131" t="s">
        <v>125</v>
      </c>
      <c r="E69" s="132" t="s">
        <v>181</v>
      </c>
      <c r="F69" s="127"/>
      <c r="G69" s="133" t="s">
        <v>45</v>
      </c>
      <c r="H69" s="134"/>
      <c r="I69" s="156"/>
      <c r="J69" s="157"/>
      <c r="K69" s="158"/>
      <c r="L69" s="159"/>
      <c r="M69" s="127"/>
      <c r="N69" s="160"/>
      <c r="O69" s="161"/>
      <c r="P69" s="162"/>
      <c r="Q69" s="162"/>
      <c r="R69" s="161"/>
      <c r="S69" s="161"/>
      <c r="T69" s="162"/>
      <c r="U69" s="162"/>
      <c r="V69" s="161"/>
    </row>
    <row r="70" spans="1:22" ht="15" hidden="1" customHeight="1">
      <c r="A70" s="128" t="s">
        <v>182</v>
      </c>
      <c r="B70" s="129"/>
      <c r="C70" s="130"/>
      <c r="D70" s="131" t="s">
        <v>130</v>
      </c>
      <c r="E70" s="132" t="s">
        <v>183</v>
      </c>
      <c r="F70" s="127"/>
      <c r="G70" s="133" t="s">
        <v>45</v>
      </c>
      <c r="H70" s="134"/>
      <c r="I70" s="156"/>
      <c r="J70" s="157"/>
      <c r="K70" s="158"/>
      <c r="L70" s="159"/>
      <c r="M70" s="127"/>
      <c r="N70" s="160"/>
      <c r="O70" s="161"/>
      <c r="P70" s="162"/>
      <c r="Q70" s="162"/>
      <c r="R70" s="161"/>
      <c r="S70" s="161"/>
      <c r="T70" s="162"/>
      <c r="U70" s="162"/>
      <c r="V70" s="161"/>
    </row>
    <row r="71" spans="1:22" ht="15" hidden="1" customHeight="1">
      <c r="A71" s="128" t="s">
        <v>184</v>
      </c>
      <c r="B71" s="129"/>
      <c r="C71" s="130"/>
      <c r="D71" s="131" t="s">
        <v>125</v>
      </c>
      <c r="E71" s="132" t="s">
        <v>185</v>
      </c>
      <c r="F71" s="127"/>
      <c r="G71" s="133" t="s">
        <v>45</v>
      </c>
      <c r="H71" s="134"/>
      <c r="I71" s="156"/>
      <c r="J71" s="157"/>
      <c r="K71" s="158"/>
      <c r="L71" s="159"/>
      <c r="M71" s="127"/>
      <c r="N71" s="160"/>
      <c r="O71" s="161"/>
      <c r="P71" s="162"/>
      <c r="Q71" s="162"/>
      <c r="R71" s="161"/>
      <c r="S71" s="161"/>
      <c r="T71" s="162"/>
      <c r="U71" s="162"/>
      <c r="V71" s="161"/>
    </row>
    <row r="72" spans="1:22" ht="15" hidden="1" customHeight="1">
      <c r="A72" s="128" t="s">
        <v>186</v>
      </c>
      <c r="B72" s="129"/>
      <c r="C72" s="130"/>
      <c r="D72" s="131" t="s">
        <v>125</v>
      </c>
      <c r="E72" s="132" t="s">
        <v>187</v>
      </c>
      <c r="F72" s="127"/>
      <c r="G72" s="133" t="s">
        <v>45</v>
      </c>
      <c r="H72" s="134"/>
      <c r="I72" s="156"/>
      <c r="J72" s="157"/>
      <c r="K72" s="158"/>
      <c r="L72" s="159"/>
      <c r="M72" s="127"/>
      <c r="N72" s="160"/>
      <c r="O72" s="161"/>
      <c r="P72" s="162"/>
      <c r="Q72" s="162"/>
      <c r="R72" s="161"/>
      <c r="S72" s="161"/>
      <c r="T72" s="162"/>
      <c r="U72" s="162"/>
      <c r="V72" s="161"/>
    </row>
    <row r="73" spans="1:22" ht="15" hidden="1" customHeight="1">
      <c r="A73" s="128" t="s">
        <v>188</v>
      </c>
      <c r="B73" s="129"/>
      <c r="C73" s="130"/>
      <c r="D73" s="131" t="s">
        <v>125</v>
      </c>
      <c r="E73" s="132" t="s">
        <v>189</v>
      </c>
      <c r="F73" s="127"/>
      <c r="G73" s="133" t="s">
        <v>45</v>
      </c>
      <c r="H73" s="134"/>
      <c r="I73" s="156"/>
      <c r="J73" s="157"/>
      <c r="K73" s="158"/>
      <c r="L73" s="159"/>
      <c r="M73" s="127"/>
      <c r="N73" s="160"/>
      <c r="O73" s="161"/>
      <c r="P73" s="162"/>
      <c r="Q73" s="162"/>
      <c r="R73" s="161"/>
      <c r="S73" s="161"/>
      <c r="T73" s="162"/>
      <c r="U73" s="162"/>
      <c r="V73" s="161"/>
    </row>
    <row r="74" spans="1:22" ht="15" hidden="1" customHeight="1">
      <c r="A74" s="128" t="s">
        <v>190</v>
      </c>
      <c r="B74" s="129"/>
      <c r="C74" s="130"/>
      <c r="D74" s="131" t="s">
        <v>130</v>
      </c>
      <c r="E74" s="132" t="s">
        <v>191</v>
      </c>
      <c r="F74" s="127"/>
      <c r="G74" s="133" t="s">
        <v>45</v>
      </c>
      <c r="H74" s="134"/>
      <c r="I74" s="156"/>
      <c r="J74" s="157"/>
      <c r="K74" s="158"/>
      <c r="L74" s="159"/>
      <c r="M74" s="127"/>
      <c r="N74" s="160"/>
      <c r="O74" s="161"/>
      <c r="P74" s="162"/>
      <c r="Q74" s="162"/>
      <c r="R74" s="161"/>
      <c r="S74" s="161"/>
      <c r="T74" s="162"/>
      <c r="U74" s="162"/>
      <c r="V74" s="161"/>
    </row>
    <row r="75" spans="1:22" ht="15" hidden="1" customHeight="1">
      <c r="A75" s="128" t="s">
        <v>192</v>
      </c>
      <c r="B75" s="129"/>
      <c r="C75" s="130"/>
      <c r="D75" s="131" t="s">
        <v>125</v>
      </c>
      <c r="E75" s="132" t="s">
        <v>193</v>
      </c>
      <c r="F75" s="127"/>
      <c r="G75" s="133" t="s">
        <v>45</v>
      </c>
      <c r="H75" s="134"/>
      <c r="I75" s="156"/>
      <c r="J75" s="157"/>
      <c r="K75" s="158"/>
      <c r="L75" s="159"/>
      <c r="M75" s="127"/>
      <c r="N75" s="160"/>
      <c r="O75" s="161"/>
      <c r="P75" s="162"/>
      <c r="Q75" s="162"/>
      <c r="R75" s="161"/>
      <c r="S75" s="161"/>
      <c r="T75" s="162"/>
      <c r="U75" s="162"/>
      <c r="V75" s="161"/>
    </row>
    <row r="76" spans="1:22" ht="15" hidden="1" customHeight="1">
      <c r="A76" s="128" t="s">
        <v>194</v>
      </c>
      <c r="B76" s="129"/>
      <c r="C76" s="130"/>
      <c r="D76" s="131" t="s">
        <v>125</v>
      </c>
      <c r="E76" s="132" t="s">
        <v>195</v>
      </c>
      <c r="F76" s="127"/>
      <c r="G76" s="133" t="s">
        <v>45</v>
      </c>
      <c r="H76" s="134"/>
      <c r="I76" s="156"/>
      <c r="J76" s="157"/>
      <c r="K76" s="158"/>
      <c r="L76" s="159"/>
      <c r="M76" s="127"/>
      <c r="N76" s="160"/>
      <c r="O76" s="161"/>
      <c r="P76" s="162"/>
      <c r="Q76" s="162"/>
      <c r="R76" s="161"/>
      <c r="S76" s="161"/>
      <c r="T76" s="162"/>
      <c r="U76" s="162"/>
      <c r="V76" s="161"/>
    </row>
    <row r="77" spans="1:22" ht="15" hidden="1" customHeight="1">
      <c r="A77" s="128" t="s">
        <v>196</v>
      </c>
      <c r="B77" s="129"/>
      <c r="C77" s="130"/>
      <c r="D77" s="131" t="s">
        <v>125</v>
      </c>
      <c r="E77" s="132" t="s">
        <v>197</v>
      </c>
      <c r="F77" s="127"/>
      <c r="G77" s="133" t="s">
        <v>45</v>
      </c>
      <c r="H77" s="134"/>
      <c r="I77" s="156"/>
      <c r="J77" s="157"/>
      <c r="K77" s="158"/>
      <c r="L77" s="159"/>
      <c r="M77" s="127"/>
      <c r="N77" s="160"/>
      <c r="O77" s="161"/>
      <c r="P77" s="162"/>
      <c r="Q77" s="162"/>
      <c r="R77" s="161"/>
      <c r="S77" s="161"/>
      <c r="T77" s="162"/>
      <c r="U77" s="162"/>
      <c r="V77" s="161"/>
    </row>
    <row r="78" spans="1:22" ht="15" hidden="1" customHeight="1">
      <c r="A78" s="128" t="s">
        <v>198</v>
      </c>
      <c r="B78" s="129"/>
      <c r="C78" s="130"/>
      <c r="D78" s="131" t="s">
        <v>130</v>
      </c>
      <c r="E78" s="132" t="s">
        <v>199</v>
      </c>
      <c r="F78" s="127"/>
      <c r="G78" s="133" t="s">
        <v>45</v>
      </c>
      <c r="H78" s="134"/>
      <c r="I78" s="156"/>
      <c r="J78" s="157"/>
      <c r="K78" s="158"/>
      <c r="L78" s="159"/>
      <c r="M78" s="127"/>
      <c r="N78" s="160"/>
      <c r="O78" s="161"/>
      <c r="P78" s="162"/>
      <c r="Q78" s="162"/>
      <c r="R78" s="161"/>
      <c r="S78" s="161"/>
      <c r="T78" s="162"/>
      <c r="U78" s="162"/>
      <c r="V78" s="161"/>
    </row>
    <row r="79" spans="1:22" ht="15" hidden="1" customHeight="1">
      <c r="A79" s="128" t="s">
        <v>200</v>
      </c>
      <c r="B79" s="129"/>
      <c r="C79" s="130"/>
      <c r="D79" s="131" t="s">
        <v>125</v>
      </c>
      <c r="E79" s="132" t="s">
        <v>201</v>
      </c>
      <c r="F79" s="127"/>
      <c r="G79" s="133" t="s">
        <v>45</v>
      </c>
      <c r="H79" s="134"/>
      <c r="I79" s="156"/>
      <c r="J79" s="157"/>
      <c r="K79" s="158"/>
      <c r="L79" s="159"/>
      <c r="M79" s="127"/>
      <c r="N79" s="160"/>
      <c r="O79" s="161"/>
      <c r="P79" s="162"/>
      <c r="Q79" s="162"/>
      <c r="R79" s="161"/>
      <c r="S79" s="161"/>
      <c r="T79" s="162"/>
      <c r="U79" s="162"/>
      <c r="V79" s="161"/>
    </row>
    <row r="80" spans="1:22" ht="15" hidden="1" customHeight="1">
      <c r="A80" s="128" t="s">
        <v>202</v>
      </c>
      <c r="B80" s="129"/>
      <c r="C80" s="130"/>
      <c r="D80" s="131" t="s">
        <v>125</v>
      </c>
      <c r="E80" s="132" t="s">
        <v>203</v>
      </c>
      <c r="F80" s="127"/>
      <c r="G80" s="133" t="s">
        <v>45</v>
      </c>
      <c r="H80" s="134"/>
      <c r="I80" s="156"/>
      <c r="J80" s="157"/>
      <c r="K80" s="158"/>
      <c r="L80" s="159"/>
      <c r="M80" s="127"/>
      <c r="N80" s="160"/>
      <c r="O80" s="161"/>
      <c r="P80" s="162"/>
      <c r="Q80" s="162"/>
      <c r="R80" s="161"/>
      <c r="S80" s="161"/>
      <c r="T80" s="162"/>
      <c r="U80" s="162"/>
      <c r="V80" s="161"/>
    </row>
    <row r="81" spans="1:22" ht="15" hidden="1" customHeight="1">
      <c r="A81" s="128" t="s">
        <v>204</v>
      </c>
      <c r="B81" s="129"/>
      <c r="C81" s="130"/>
      <c r="D81" s="131" t="s">
        <v>205</v>
      </c>
      <c r="E81" s="132" t="s">
        <v>206</v>
      </c>
      <c r="F81" s="127"/>
      <c r="G81" s="133" t="s">
        <v>45</v>
      </c>
      <c r="H81" s="134"/>
      <c r="I81" s="156"/>
      <c r="J81" s="157"/>
      <c r="K81" s="158"/>
      <c r="L81" s="159"/>
      <c r="M81" s="127"/>
      <c r="N81" s="160"/>
      <c r="O81" s="161"/>
      <c r="P81" s="162"/>
      <c r="Q81" s="162"/>
      <c r="R81" s="161"/>
      <c r="S81" s="161"/>
      <c r="T81" s="162"/>
      <c r="U81" s="162"/>
      <c r="V81" s="161"/>
    </row>
    <row r="82" spans="1:22" ht="15" hidden="1" customHeight="1">
      <c r="A82" s="128" t="s">
        <v>207</v>
      </c>
      <c r="B82" s="129"/>
      <c r="C82" s="130"/>
      <c r="D82" s="131" t="s">
        <v>130</v>
      </c>
      <c r="E82" s="132" t="s">
        <v>208</v>
      </c>
      <c r="F82" s="127"/>
      <c r="G82" s="133" t="s">
        <v>45</v>
      </c>
      <c r="H82" s="134"/>
      <c r="I82" s="156"/>
      <c r="J82" s="157"/>
      <c r="K82" s="158"/>
      <c r="L82" s="159"/>
      <c r="M82" s="127"/>
      <c r="N82" s="160"/>
      <c r="O82" s="161"/>
      <c r="P82" s="162"/>
      <c r="Q82" s="162"/>
      <c r="R82" s="161"/>
      <c r="S82" s="161"/>
      <c r="T82" s="162"/>
      <c r="U82" s="162"/>
      <c r="V82" s="161"/>
    </row>
    <row r="83" spans="1:22" ht="15" hidden="1" customHeight="1">
      <c r="A83" s="128" t="s">
        <v>209</v>
      </c>
      <c r="B83" s="129"/>
      <c r="C83" s="130"/>
      <c r="D83" s="131" t="s">
        <v>125</v>
      </c>
      <c r="E83" s="132" t="s">
        <v>210</v>
      </c>
      <c r="F83" s="127"/>
      <c r="G83" s="133" t="s">
        <v>45</v>
      </c>
      <c r="H83" s="134"/>
      <c r="I83" s="156"/>
      <c r="J83" s="157"/>
      <c r="K83" s="158"/>
      <c r="L83" s="159"/>
      <c r="M83" s="127"/>
      <c r="N83" s="160"/>
      <c r="O83" s="161"/>
      <c r="P83" s="162"/>
      <c r="Q83" s="162"/>
      <c r="R83" s="161"/>
      <c r="S83" s="161"/>
      <c r="T83" s="162"/>
      <c r="U83" s="162"/>
      <c r="V83" s="161"/>
    </row>
    <row r="84" spans="1:22" ht="15" hidden="1" customHeight="1">
      <c r="A84" s="128" t="s">
        <v>211</v>
      </c>
      <c r="B84" s="129"/>
      <c r="C84" s="130"/>
      <c r="D84" s="131" t="s">
        <v>125</v>
      </c>
      <c r="E84" s="132" t="s">
        <v>212</v>
      </c>
      <c r="F84" s="127"/>
      <c r="G84" s="133" t="s">
        <v>45</v>
      </c>
      <c r="H84" s="134"/>
      <c r="I84" s="156"/>
      <c r="J84" s="157"/>
      <c r="K84" s="158"/>
      <c r="L84" s="159"/>
      <c r="M84" s="127"/>
      <c r="N84" s="160"/>
      <c r="O84" s="161"/>
      <c r="P84" s="162"/>
      <c r="Q84" s="162"/>
      <c r="R84" s="161"/>
      <c r="S84" s="161"/>
      <c r="T84" s="162"/>
      <c r="U84" s="162"/>
      <c r="V84" s="161"/>
    </row>
    <row r="85" spans="1:22" ht="15" hidden="1" customHeight="1">
      <c r="A85" s="128" t="s">
        <v>213</v>
      </c>
      <c r="B85" s="129"/>
      <c r="C85" s="130"/>
      <c r="D85" s="131" t="s">
        <v>125</v>
      </c>
      <c r="E85" s="132" t="s">
        <v>214</v>
      </c>
      <c r="F85" s="127"/>
      <c r="G85" s="133" t="s">
        <v>45</v>
      </c>
      <c r="H85" s="134"/>
      <c r="I85" s="156"/>
      <c r="J85" s="157"/>
      <c r="K85" s="158"/>
      <c r="L85" s="159"/>
      <c r="M85" s="127"/>
      <c r="N85" s="160"/>
      <c r="O85" s="161"/>
      <c r="P85" s="162"/>
      <c r="Q85" s="162"/>
      <c r="R85" s="161"/>
      <c r="S85" s="161"/>
      <c r="T85" s="162"/>
      <c r="U85" s="162"/>
      <c r="V85" s="161"/>
    </row>
    <row r="86" spans="1:22" ht="15" hidden="1" customHeight="1">
      <c r="A86" s="128" t="s">
        <v>215</v>
      </c>
      <c r="B86" s="129"/>
      <c r="C86" s="130"/>
      <c r="D86" s="131" t="s">
        <v>130</v>
      </c>
      <c r="E86" s="132" t="s">
        <v>216</v>
      </c>
      <c r="F86" s="127"/>
      <c r="G86" s="133" t="s">
        <v>45</v>
      </c>
      <c r="H86" s="134"/>
      <c r="I86" s="156"/>
      <c r="J86" s="157"/>
      <c r="K86" s="158"/>
      <c r="L86" s="159"/>
      <c r="M86" s="127"/>
      <c r="N86" s="160"/>
      <c r="O86" s="161"/>
      <c r="P86" s="162"/>
      <c r="Q86" s="162"/>
      <c r="R86" s="161"/>
      <c r="S86" s="161"/>
      <c r="T86" s="162"/>
      <c r="U86" s="162"/>
      <c r="V86" s="161"/>
    </row>
    <row r="87" spans="1:22" ht="15" hidden="1" customHeight="1">
      <c r="A87" s="128" t="s">
        <v>217</v>
      </c>
      <c r="B87" s="129"/>
      <c r="C87" s="130"/>
      <c r="D87" s="131" t="s">
        <v>125</v>
      </c>
      <c r="E87" s="132" t="s">
        <v>218</v>
      </c>
      <c r="F87" s="127"/>
      <c r="G87" s="133" t="s">
        <v>45</v>
      </c>
      <c r="H87" s="134"/>
      <c r="I87" s="156"/>
      <c r="J87" s="157"/>
      <c r="K87" s="158"/>
      <c r="L87" s="159"/>
      <c r="M87" s="127"/>
      <c r="N87" s="160"/>
      <c r="O87" s="161"/>
      <c r="P87" s="162"/>
      <c r="Q87" s="162"/>
      <c r="R87" s="161"/>
      <c r="S87" s="161"/>
      <c r="T87" s="162"/>
      <c r="U87" s="162"/>
      <c r="V87" s="161"/>
    </row>
    <row r="88" spans="1:22" ht="15" hidden="1" customHeight="1">
      <c r="A88" s="128" t="s">
        <v>219</v>
      </c>
      <c r="B88" s="129"/>
      <c r="C88" s="130"/>
      <c r="D88" s="131" t="s">
        <v>130</v>
      </c>
      <c r="E88" s="132" t="s">
        <v>220</v>
      </c>
      <c r="F88" s="127"/>
      <c r="G88" s="133" t="s">
        <v>45</v>
      </c>
      <c r="H88" s="134"/>
      <c r="I88" s="156"/>
      <c r="J88" s="157"/>
      <c r="K88" s="158"/>
      <c r="L88" s="159"/>
      <c r="M88" s="127"/>
      <c r="N88" s="160"/>
      <c r="O88" s="161"/>
      <c r="P88" s="162"/>
      <c r="Q88" s="162"/>
      <c r="R88" s="161"/>
      <c r="S88" s="161"/>
      <c r="T88" s="162"/>
      <c r="U88" s="162"/>
      <c r="V88" s="161"/>
    </row>
    <row r="89" spans="1:22" ht="15" hidden="1" customHeight="1">
      <c r="A89" s="128" t="s">
        <v>221</v>
      </c>
      <c r="B89" s="129"/>
      <c r="C89" s="130"/>
      <c r="D89" s="131" t="s">
        <v>125</v>
      </c>
      <c r="E89" s="132" t="s">
        <v>222</v>
      </c>
      <c r="F89" s="127"/>
      <c r="G89" s="133" t="s">
        <v>45</v>
      </c>
      <c r="H89" s="134"/>
      <c r="I89" s="156"/>
      <c r="J89" s="157"/>
      <c r="K89" s="158"/>
      <c r="L89" s="159"/>
      <c r="M89" s="127"/>
      <c r="N89" s="160"/>
      <c r="O89" s="161"/>
      <c r="P89" s="162"/>
      <c r="Q89" s="162"/>
      <c r="R89" s="161"/>
      <c r="S89" s="161"/>
      <c r="T89" s="162"/>
      <c r="U89" s="162"/>
      <c r="V89" s="161"/>
    </row>
    <row r="90" spans="1:22" ht="15" hidden="1" customHeight="1">
      <c r="A90" s="128" t="s">
        <v>223</v>
      </c>
      <c r="B90" s="129"/>
      <c r="C90" s="130"/>
      <c r="D90" s="131" t="s">
        <v>125</v>
      </c>
      <c r="E90" s="132" t="s">
        <v>224</v>
      </c>
      <c r="F90" s="127"/>
      <c r="G90" s="133" t="s">
        <v>45</v>
      </c>
      <c r="H90" s="134"/>
      <c r="I90" s="156"/>
      <c r="J90" s="157"/>
      <c r="K90" s="158"/>
      <c r="L90" s="159"/>
      <c r="M90" s="127"/>
      <c r="N90" s="160"/>
      <c r="O90" s="161"/>
      <c r="P90" s="162"/>
      <c r="Q90" s="162"/>
      <c r="R90" s="161"/>
      <c r="S90" s="161"/>
      <c r="T90" s="162"/>
      <c r="U90" s="162"/>
      <c r="V90" s="161"/>
    </row>
    <row r="91" spans="1:22" ht="15" hidden="1" customHeight="1">
      <c r="A91" s="128" t="s">
        <v>225</v>
      </c>
      <c r="B91" s="129"/>
      <c r="C91" s="130"/>
      <c r="D91" s="131" t="s">
        <v>125</v>
      </c>
      <c r="E91" s="132" t="s">
        <v>226</v>
      </c>
      <c r="F91" s="127"/>
      <c r="G91" s="133" t="s">
        <v>45</v>
      </c>
      <c r="H91" s="134"/>
      <c r="I91" s="156"/>
      <c r="J91" s="157"/>
      <c r="K91" s="158"/>
      <c r="L91" s="159"/>
      <c r="M91" s="127"/>
      <c r="N91" s="160"/>
      <c r="O91" s="161"/>
      <c r="P91" s="162"/>
      <c r="Q91" s="162"/>
      <c r="R91" s="161"/>
      <c r="S91" s="161"/>
      <c r="T91" s="162"/>
      <c r="U91" s="162"/>
      <c r="V91" s="161"/>
    </row>
    <row r="92" spans="1:22" ht="15" hidden="1" customHeight="1">
      <c r="A92" s="128" t="s">
        <v>227</v>
      </c>
      <c r="B92" s="129"/>
      <c r="C92" s="130"/>
      <c r="D92" s="131" t="s">
        <v>125</v>
      </c>
      <c r="E92" s="132" t="s">
        <v>228</v>
      </c>
      <c r="F92" s="127"/>
      <c r="G92" s="133" t="s">
        <v>45</v>
      </c>
      <c r="H92" s="134"/>
      <c r="I92" s="156"/>
      <c r="J92" s="157"/>
      <c r="K92" s="158"/>
      <c r="L92" s="159"/>
      <c r="M92" s="127"/>
      <c r="N92" s="160"/>
      <c r="O92" s="161"/>
      <c r="P92" s="162"/>
      <c r="Q92" s="162"/>
      <c r="R92" s="161"/>
      <c r="S92" s="161"/>
      <c r="T92" s="162"/>
      <c r="U92" s="162"/>
      <c r="V92" s="161"/>
    </row>
    <row r="93" spans="1:22" ht="15" hidden="1" customHeight="1">
      <c r="A93" s="128" t="s">
        <v>229</v>
      </c>
      <c r="B93" s="129"/>
      <c r="C93" s="130"/>
      <c r="D93" s="131" t="s">
        <v>125</v>
      </c>
      <c r="E93" s="132" t="s">
        <v>230</v>
      </c>
      <c r="F93" s="127"/>
      <c r="G93" s="133" t="s">
        <v>45</v>
      </c>
      <c r="H93" s="134"/>
      <c r="I93" s="156"/>
      <c r="J93" s="157"/>
      <c r="K93" s="158"/>
      <c r="L93" s="159"/>
      <c r="M93" s="127"/>
      <c r="N93" s="160"/>
      <c r="O93" s="161"/>
      <c r="P93" s="162"/>
      <c r="Q93" s="162"/>
      <c r="R93" s="161"/>
      <c r="S93" s="161"/>
      <c r="T93" s="162"/>
      <c r="U93" s="162"/>
      <c r="V93" s="161"/>
    </row>
    <row r="94" spans="1:22" ht="15" hidden="1" customHeight="1">
      <c r="A94" s="128" t="s">
        <v>231</v>
      </c>
      <c r="B94" s="129"/>
      <c r="C94" s="130"/>
      <c r="D94" s="131" t="s">
        <v>125</v>
      </c>
      <c r="E94" s="132" t="s">
        <v>232</v>
      </c>
      <c r="F94" s="127"/>
      <c r="G94" s="133" t="s">
        <v>45</v>
      </c>
      <c r="H94" s="134"/>
      <c r="I94" s="156"/>
      <c r="J94" s="157"/>
      <c r="K94" s="158"/>
      <c r="L94" s="159"/>
      <c r="M94" s="127"/>
      <c r="N94" s="160"/>
      <c r="O94" s="161"/>
      <c r="P94" s="162"/>
      <c r="Q94" s="162"/>
      <c r="R94" s="161"/>
      <c r="S94" s="161"/>
      <c r="T94" s="162"/>
      <c r="U94" s="162"/>
      <c r="V94" s="161"/>
    </row>
    <row r="95" spans="1:22" ht="15" hidden="1" customHeight="1">
      <c r="A95" s="128" t="s">
        <v>233</v>
      </c>
      <c r="B95" s="129"/>
      <c r="C95" s="130"/>
      <c r="D95" s="131" t="s">
        <v>125</v>
      </c>
      <c r="E95" s="132" t="s">
        <v>234</v>
      </c>
      <c r="F95" s="127"/>
      <c r="G95" s="133" t="s">
        <v>45</v>
      </c>
      <c r="H95" s="134"/>
      <c r="I95" s="156"/>
      <c r="J95" s="157"/>
      <c r="K95" s="158"/>
      <c r="L95" s="159"/>
      <c r="M95" s="127"/>
      <c r="N95" s="160"/>
      <c r="O95" s="161"/>
      <c r="P95" s="162"/>
      <c r="Q95" s="162"/>
      <c r="R95" s="161"/>
      <c r="S95" s="161"/>
      <c r="T95" s="162"/>
      <c r="U95" s="162"/>
      <c r="V95" s="161"/>
    </row>
    <row r="96" spans="1:22" ht="15" hidden="1" customHeight="1">
      <c r="A96" s="128" t="s">
        <v>235</v>
      </c>
      <c r="B96" s="129"/>
      <c r="C96" s="130"/>
      <c r="D96" s="131" t="s">
        <v>125</v>
      </c>
      <c r="E96" s="132" t="s">
        <v>236</v>
      </c>
      <c r="F96" s="127"/>
      <c r="G96" s="133" t="s">
        <v>45</v>
      </c>
      <c r="H96" s="134"/>
      <c r="I96" s="156"/>
      <c r="J96" s="157"/>
      <c r="K96" s="158"/>
      <c r="L96" s="159"/>
      <c r="M96" s="127"/>
      <c r="N96" s="160"/>
      <c r="O96" s="161"/>
      <c r="P96" s="162"/>
      <c r="Q96" s="162"/>
      <c r="R96" s="161"/>
      <c r="S96" s="161"/>
      <c r="T96" s="162"/>
      <c r="U96" s="162"/>
      <c r="V96" s="161"/>
    </row>
    <row r="97" spans="1:22" ht="15" hidden="1" customHeight="1">
      <c r="A97" s="128" t="s">
        <v>237</v>
      </c>
      <c r="B97" s="129"/>
      <c r="C97" s="130"/>
      <c r="D97" s="131" t="s">
        <v>125</v>
      </c>
      <c r="E97" s="132" t="s">
        <v>238</v>
      </c>
      <c r="F97" s="127"/>
      <c r="G97" s="133" t="s">
        <v>45</v>
      </c>
      <c r="H97" s="134"/>
      <c r="I97" s="156"/>
      <c r="J97" s="157"/>
      <c r="K97" s="158"/>
      <c r="L97" s="159"/>
      <c r="M97" s="127"/>
      <c r="N97" s="160"/>
      <c r="O97" s="161"/>
      <c r="P97" s="162"/>
      <c r="Q97" s="162"/>
      <c r="R97" s="161"/>
      <c r="S97" s="161"/>
      <c r="T97" s="162"/>
      <c r="U97" s="162"/>
      <c r="V97" s="161"/>
    </row>
    <row r="98" spans="1:22" ht="15" hidden="1" customHeight="1">
      <c r="A98" s="128" t="s">
        <v>239</v>
      </c>
      <c r="B98" s="129"/>
      <c r="C98" s="130"/>
      <c r="D98" s="131" t="s">
        <v>125</v>
      </c>
      <c r="E98" s="132" t="s">
        <v>240</v>
      </c>
      <c r="F98" s="127"/>
      <c r="G98" s="133" t="s">
        <v>45</v>
      </c>
      <c r="H98" s="134"/>
      <c r="I98" s="156"/>
      <c r="J98" s="157"/>
      <c r="K98" s="158"/>
      <c r="L98" s="159"/>
      <c r="M98" s="127"/>
      <c r="N98" s="160"/>
      <c r="O98" s="161"/>
      <c r="P98" s="162"/>
      <c r="Q98" s="162"/>
      <c r="R98" s="161"/>
      <c r="S98" s="161"/>
      <c r="T98" s="162"/>
      <c r="U98" s="162"/>
      <c r="V98" s="161"/>
    </row>
    <row r="99" spans="1:22" ht="15" hidden="1" customHeight="1">
      <c r="A99" s="128" t="s">
        <v>241</v>
      </c>
      <c r="B99" s="129"/>
      <c r="C99" s="130"/>
      <c r="D99" s="131" t="s">
        <v>125</v>
      </c>
      <c r="E99" s="132" t="s">
        <v>242</v>
      </c>
      <c r="F99" s="127"/>
      <c r="G99" s="133" t="s">
        <v>45</v>
      </c>
      <c r="H99" s="134"/>
      <c r="I99" s="156"/>
      <c r="J99" s="157"/>
      <c r="K99" s="158"/>
      <c r="L99" s="159"/>
      <c r="M99" s="127"/>
      <c r="N99" s="160"/>
      <c r="O99" s="161"/>
      <c r="P99" s="162"/>
      <c r="Q99" s="162"/>
      <c r="R99" s="161"/>
      <c r="S99" s="161"/>
      <c r="T99" s="162"/>
      <c r="U99" s="162"/>
      <c r="V99" s="161"/>
    </row>
    <row r="100" spans="1:22" ht="15" hidden="1" customHeight="1">
      <c r="A100" s="128" t="s">
        <v>243</v>
      </c>
      <c r="B100" s="129"/>
      <c r="C100" s="130"/>
      <c r="D100" s="131" t="s">
        <v>125</v>
      </c>
      <c r="E100" s="132" t="s">
        <v>244</v>
      </c>
      <c r="F100" s="127"/>
      <c r="G100" s="133" t="s">
        <v>45</v>
      </c>
      <c r="H100" s="134"/>
      <c r="I100" s="156"/>
      <c r="J100" s="157"/>
      <c r="K100" s="158"/>
      <c r="L100" s="159"/>
      <c r="M100" s="127"/>
      <c r="N100" s="160"/>
      <c r="O100" s="161"/>
      <c r="P100" s="162"/>
      <c r="Q100" s="162"/>
      <c r="R100" s="161"/>
      <c r="S100" s="161"/>
      <c r="T100" s="162"/>
      <c r="U100" s="162"/>
      <c r="V100" s="161"/>
    </row>
    <row r="101" spans="1:22" ht="15" hidden="1" customHeight="1">
      <c r="A101" s="128" t="s">
        <v>245</v>
      </c>
      <c r="B101" s="129"/>
      <c r="C101" s="130"/>
      <c r="D101" s="131" t="s">
        <v>125</v>
      </c>
      <c r="E101" s="132" t="s">
        <v>246</v>
      </c>
      <c r="F101" s="127"/>
      <c r="G101" s="133" t="s">
        <v>45</v>
      </c>
      <c r="H101" s="134"/>
      <c r="I101" s="156"/>
      <c r="J101" s="157"/>
      <c r="K101" s="158"/>
      <c r="L101" s="159"/>
      <c r="M101" s="127"/>
      <c r="N101" s="160"/>
      <c r="O101" s="161"/>
      <c r="P101" s="162"/>
      <c r="Q101" s="162"/>
      <c r="R101" s="161"/>
      <c r="S101" s="161"/>
      <c r="T101" s="162"/>
      <c r="U101" s="162"/>
      <c r="V101" s="161"/>
    </row>
    <row r="102" spans="1:22" ht="15" hidden="1" customHeight="1">
      <c r="A102" s="128" t="s">
        <v>247</v>
      </c>
      <c r="B102" s="129"/>
      <c r="C102" s="130"/>
      <c r="D102" s="131" t="s">
        <v>125</v>
      </c>
      <c r="E102" s="132" t="s">
        <v>248</v>
      </c>
      <c r="F102" s="127"/>
      <c r="G102" s="133" t="s">
        <v>45</v>
      </c>
      <c r="H102" s="134"/>
      <c r="I102" s="156"/>
      <c r="J102" s="157"/>
      <c r="K102" s="158"/>
      <c r="L102" s="159"/>
      <c r="M102" s="127"/>
      <c r="N102" s="160"/>
      <c r="O102" s="161"/>
      <c r="P102" s="162"/>
      <c r="Q102" s="162"/>
      <c r="R102" s="161"/>
      <c r="S102" s="161"/>
      <c r="T102" s="162"/>
      <c r="U102" s="162"/>
      <c r="V102" s="161"/>
    </row>
    <row r="103" spans="1:22" ht="15" hidden="1" customHeight="1">
      <c r="A103" s="128" t="s">
        <v>249</v>
      </c>
      <c r="B103" s="129"/>
      <c r="C103" s="130"/>
      <c r="D103" s="131" t="s">
        <v>125</v>
      </c>
      <c r="E103" s="132" t="s">
        <v>250</v>
      </c>
      <c r="F103" s="127"/>
      <c r="G103" s="133" t="s">
        <v>45</v>
      </c>
      <c r="H103" s="134"/>
      <c r="I103" s="156"/>
      <c r="J103" s="157"/>
      <c r="K103" s="158"/>
      <c r="L103" s="159"/>
      <c r="M103" s="127"/>
      <c r="N103" s="160"/>
      <c r="O103" s="161"/>
      <c r="P103" s="162"/>
      <c r="Q103" s="162"/>
      <c r="R103" s="161"/>
      <c r="S103" s="161"/>
      <c r="T103" s="162"/>
      <c r="U103" s="162"/>
      <c r="V103" s="161"/>
    </row>
    <row r="104" spans="1:22" ht="15" hidden="1" customHeight="1">
      <c r="A104" s="128" t="s">
        <v>251</v>
      </c>
      <c r="B104" s="129"/>
      <c r="C104" s="130"/>
      <c r="D104" s="131" t="s">
        <v>125</v>
      </c>
      <c r="E104" s="132" t="s">
        <v>252</v>
      </c>
      <c r="F104" s="127"/>
      <c r="G104" s="133" t="s">
        <v>45</v>
      </c>
      <c r="H104" s="134"/>
      <c r="I104" s="156"/>
      <c r="J104" s="157"/>
      <c r="K104" s="158"/>
      <c r="L104" s="159"/>
      <c r="M104" s="127"/>
      <c r="N104" s="160"/>
      <c r="O104" s="161"/>
      <c r="P104" s="162"/>
      <c r="Q104" s="162"/>
      <c r="R104" s="161"/>
      <c r="S104" s="161"/>
      <c r="T104" s="162"/>
      <c r="U104" s="162"/>
      <c r="V104" s="161"/>
    </row>
    <row r="105" spans="1:22" ht="15" hidden="1" customHeight="1">
      <c r="A105" s="128" t="s">
        <v>253</v>
      </c>
      <c r="B105" s="129"/>
      <c r="C105" s="130"/>
      <c r="D105" s="131" t="s">
        <v>125</v>
      </c>
      <c r="E105" s="132" t="s">
        <v>254</v>
      </c>
      <c r="F105" s="127"/>
      <c r="G105" s="133" t="s">
        <v>45</v>
      </c>
      <c r="H105" s="134"/>
      <c r="I105" s="156"/>
      <c r="J105" s="157"/>
      <c r="K105" s="158"/>
      <c r="L105" s="159"/>
      <c r="M105" s="127"/>
      <c r="N105" s="160"/>
      <c r="O105" s="161"/>
      <c r="P105" s="162"/>
      <c r="Q105" s="162"/>
      <c r="R105" s="161"/>
      <c r="S105" s="161"/>
      <c r="T105" s="162"/>
      <c r="U105" s="162"/>
      <c r="V105" s="161"/>
    </row>
    <row r="106" spans="1:22" ht="15" hidden="1" customHeight="1">
      <c r="A106" s="128" t="s">
        <v>255</v>
      </c>
      <c r="B106" s="129"/>
      <c r="C106" s="130"/>
      <c r="D106" s="131" t="s">
        <v>125</v>
      </c>
      <c r="E106" s="132" t="s">
        <v>256</v>
      </c>
      <c r="F106" s="127"/>
      <c r="G106" s="133" t="s">
        <v>45</v>
      </c>
      <c r="H106" s="134"/>
      <c r="I106" s="156"/>
      <c r="J106" s="157"/>
      <c r="K106" s="158"/>
      <c r="L106" s="159"/>
      <c r="M106" s="127"/>
      <c r="N106" s="160"/>
      <c r="O106" s="161"/>
      <c r="P106" s="162"/>
      <c r="Q106" s="162"/>
      <c r="R106" s="161"/>
      <c r="S106" s="161"/>
      <c r="T106" s="162"/>
      <c r="U106" s="162"/>
      <c r="V106" s="161"/>
    </row>
    <row r="107" spans="1:22" ht="15" hidden="1" customHeight="1">
      <c r="A107" s="128" t="s">
        <v>257</v>
      </c>
      <c r="B107" s="129"/>
      <c r="C107" s="130"/>
      <c r="D107" s="131" t="s">
        <v>125</v>
      </c>
      <c r="E107" s="132" t="s">
        <v>258</v>
      </c>
      <c r="F107" s="127"/>
      <c r="G107" s="133" t="s">
        <v>45</v>
      </c>
      <c r="H107" s="134"/>
      <c r="I107" s="156"/>
      <c r="J107" s="157"/>
      <c r="K107" s="158"/>
      <c r="L107" s="159"/>
      <c r="M107" s="127"/>
      <c r="N107" s="160"/>
      <c r="O107" s="161"/>
      <c r="P107" s="162"/>
      <c r="Q107" s="162"/>
      <c r="R107" s="161"/>
      <c r="S107" s="161"/>
      <c r="T107" s="162"/>
      <c r="U107" s="162"/>
      <c r="V107" s="161"/>
    </row>
    <row r="108" spans="1:22" ht="15" hidden="1" customHeight="1">
      <c r="A108" s="128" t="s">
        <v>259</v>
      </c>
      <c r="B108" s="129"/>
      <c r="C108" s="130"/>
      <c r="D108" s="131" t="s">
        <v>125</v>
      </c>
      <c r="E108" s="132" t="s">
        <v>260</v>
      </c>
      <c r="F108" s="127"/>
      <c r="G108" s="133" t="s">
        <v>45</v>
      </c>
      <c r="H108" s="134"/>
      <c r="I108" s="156"/>
      <c r="J108" s="157"/>
      <c r="K108" s="158"/>
      <c r="L108" s="159"/>
      <c r="M108" s="127"/>
      <c r="N108" s="160"/>
      <c r="O108" s="161"/>
      <c r="P108" s="162"/>
      <c r="Q108" s="162"/>
      <c r="R108" s="161"/>
      <c r="S108" s="161"/>
      <c r="T108" s="162"/>
      <c r="U108" s="162"/>
      <c r="V108" s="161"/>
    </row>
    <row r="109" spans="1:22" ht="15" hidden="1" customHeight="1">
      <c r="A109" s="128" t="s">
        <v>261</v>
      </c>
      <c r="B109" s="129"/>
      <c r="C109" s="130"/>
      <c r="D109" s="131" t="s">
        <v>125</v>
      </c>
      <c r="E109" s="132" t="s">
        <v>262</v>
      </c>
      <c r="F109" s="127"/>
      <c r="G109" s="133" t="s">
        <v>45</v>
      </c>
      <c r="H109" s="134"/>
      <c r="I109" s="156"/>
      <c r="J109" s="157"/>
      <c r="K109" s="158"/>
      <c r="L109" s="159"/>
      <c r="M109" s="127"/>
      <c r="N109" s="160"/>
      <c r="O109" s="161"/>
      <c r="P109" s="162"/>
      <c r="Q109" s="162"/>
      <c r="R109" s="161"/>
      <c r="S109" s="161"/>
      <c r="T109" s="162"/>
      <c r="U109" s="162"/>
      <c r="V109" s="161"/>
    </row>
    <row r="110" spans="1:22" ht="15" hidden="1" customHeight="1">
      <c r="A110" s="128" t="s">
        <v>263</v>
      </c>
      <c r="B110" s="129"/>
      <c r="C110" s="130"/>
      <c r="D110" s="131" t="s">
        <v>125</v>
      </c>
      <c r="E110" s="132" t="s">
        <v>264</v>
      </c>
      <c r="F110" s="127"/>
      <c r="G110" s="133" t="s">
        <v>45</v>
      </c>
      <c r="H110" s="134"/>
      <c r="I110" s="156"/>
      <c r="J110" s="157"/>
      <c r="K110" s="158"/>
      <c r="L110" s="159"/>
      <c r="M110" s="127"/>
      <c r="N110" s="160"/>
      <c r="O110" s="161"/>
      <c r="P110" s="162"/>
      <c r="Q110" s="162"/>
      <c r="R110" s="161"/>
      <c r="S110" s="161"/>
      <c r="T110" s="162"/>
      <c r="U110" s="162"/>
      <c r="V110" s="161"/>
    </row>
    <row r="111" spans="1:22" ht="15" hidden="1" customHeight="1">
      <c r="A111" s="128" t="s">
        <v>265</v>
      </c>
      <c r="B111" s="129"/>
      <c r="C111" s="130"/>
      <c r="D111" s="131" t="s">
        <v>125</v>
      </c>
      <c r="E111" s="132" t="s">
        <v>266</v>
      </c>
      <c r="F111" s="127"/>
      <c r="G111" s="133" t="s">
        <v>45</v>
      </c>
      <c r="H111" s="134"/>
      <c r="I111" s="156"/>
      <c r="J111" s="157"/>
      <c r="K111" s="158"/>
      <c r="L111" s="159"/>
      <c r="M111" s="127"/>
      <c r="N111" s="160"/>
      <c r="O111" s="161"/>
      <c r="P111" s="162"/>
      <c r="Q111" s="162"/>
      <c r="R111" s="161"/>
      <c r="S111" s="161"/>
      <c r="T111" s="162"/>
      <c r="U111" s="162"/>
      <c r="V111" s="161"/>
    </row>
    <row r="112" spans="1:22" ht="15" hidden="1" customHeight="1">
      <c r="A112" s="128" t="s">
        <v>267</v>
      </c>
      <c r="B112" s="129"/>
      <c r="C112" s="130"/>
      <c r="D112" s="131" t="s">
        <v>125</v>
      </c>
      <c r="E112" s="132" t="s">
        <v>268</v>
      </c>
      <c r="F112" s="127"/>
      <c r="G112" s="133" t="s">
        <v>45</v>
      </c>
      <c r="H112" s="134"/>
      <c r="I112" s="156"/>
      <c r="J112" s="157"/>
      <c r="K112" s="158"/>
      <c r="L112" s="159"/>
      <c r="M112" s="127"/>
      <c r="N112" s="160"/>
      <c r="O112" s="161"/>
      <c r="P112" s="162"/>
      <c r="Q112" s="162"/>
      <c r="R112" s="161"/>
      <c r="S112" s="161"/>
      <c r="T112" s="162"/>
      <c r="U112" s="162"/>
      <c r="V112" s="161"/>
    </row>
    <row r="113" spans="1:22" ht="15" customHeight="1">
      <c r="A113" s="128" t="s">
        <v>269</v>
      </c>
      <c r="B113" s="129"/>
      <c r="C113" s="130"/>
      <c r="D113" s="131" t="s">
        <v>130</v>
      </c>
      <c r="E113" s="132" t="s">
        <v>270</v>
      </c>
      <c r="F113" s="127"/>
      <c r="G113" s="133" t="s">
        <v>130</v>
      </c>
      <c r="H113" s="134"/>
      <c r="I113" s="156" t="s">
        <v>41</v>
      </c>
      <c r="J113" s="157"/>
      <c r="K113" s="158"/>
      <c r="L113" s="159"/>
      <c r="M113" s="127"/>
      <c r="N113" s="160"/>
      <c r="O113" s="161"/>
      <c r="P113" s="162"/>
      <c r="Q113" s="162"/>
      <c r="R113" s="161"/>
      <c r="S113" s="161"/>
      <c r="T113" s="162"/>
      <c r="U113" s="162"/>
      <c r="V113" s="161"/>
    </row>
    <row r="114" spans="1:22" ht="15" hidden="1" customHeight="1">
      <c r="A114" s="128" t="s">
        <v>271</v>
      </c>
      <c r="B114" s="129"/>
      <c r="C114" s="130"/>
      <c r="D114" s="131" t="s">
        <v>130</v>
      </c>
      <c r="E114" s="132" t="s">
        <v>272</v>
      </c>
      <c r="F114" s="127"/>
      <c r="G114" s="133" t="s">
        <v>45</v>
      </c>
      <c r="H114" s="134"/>
      <c r="I114" s="156"/>
      <c r="J114" s="157"/>
      <c r="K114" s="158"/>
      <c r="L114" s="159"/>
      <c r="M114" s="127"/>
      <c r="N114" s="160"/>
      <c r="O114" s="161"/>
      <c r="P114" s="162"/>
      <c r="Q114" s="162"/>
      <c r="R114" s="161"/>
      <c r="S114" s="161"/>
      <c r="T114" s="162"/>
      <c r="U114" s="162"/>
      <c r="V114" s="161"/>
    </row>
    <row r="115" spans="1:22" ht="15" customHeight="1">
      <c r="A115" s="128" t="s">
        <v>273</v>
      </c>
      <c r="B115" s="129"/>
      <c r="C115" s="130"/>
      <c r="D115" s="131" t="s">
        <v>130</v>
      </c>
      <c r="E115" s="132" t="s">
        <v>274</v>
      </c>
      <c r="F115" s="127"/>
      <c r="G115" s="133" t="s">
        <v>130</v>
      </c>
      <c r="H115" s="134"/>
      <c r="I115" s="156" t="s">
        <v>41</v>
      </c>
      <c r="J115" s="157"/>
      <c r="K115" s="158"/>
      <c r="L115" s="159"/>
      <c r="M115" s="127"/>
      <c r="N115" s="160"/>
      <c r="O115" s="161"/>
      <c r="P115" s="162"/>
      <c r="Q115" s="162"/>
      <c r="R115" s="161"/>
      <c r="S115" s="161"/>
      <c r="T115" s="162"/>
      <c r="U115" s="162"/>
      <c r="V115" s="161"/>
    </row>
    <row r="116" spans="1:22" ht="15" hidden="1" customHeight="1">
      <c r="A116" s="128" t="s">
        <v>275</v>
      </c>
      <c r="B116" s="129"/>
      <c r="C116" s="130"/>
      <c r="D116" s="131" t="s">
        <v>130</v>
      </c>
      <c r="E116" s="132" t="s">
        <v>276</v>
      </c>
      <c r="F116" s="127"/>
      <c r="G116" s="133" t="s">
        <v>45</v>
      </c>
      <c r="H116" s="134"/>
      <c r="I116" s="156"/>
      <c r="J116" s="157"/>
      <c r="K116" s="158"/>
      <c r="L116" s="159"/>
      <c r="M116" s="127"/>
      <c r="N116" s="160"/>
      <c r="O116" s="161"/>
      <c r="P116" s="162"/>
      <c r="Q116" s="162"/>
      <c r="R116" s="161"/>
      <c r="S116" s="161"/>
      <c r="T116" s="162"/>
      <c r="U116" s="162"/>
      <c r="V116" s="161"/>
    </row>
    <row r="117" spans="1:22" ht="15" customHeight="1">
      <c r="A117" s="128" t="s">
        <v>277</v>
      </c>
      <c r="B117" s="129"/>
      <c r="C117" s="130"/>
      <c r="D117" s="131" t="s">
        <v>130</v>
      </c>
      <c r="E117" s="132" t="s">
        <v>278</v>
      </c>
      <c r="F117" s="127"/>
      <c r="G117" s="133" t="s">
        <v>130</v>
      </c>
      <c r="H117" s="134"/>
      <c r="I117" s="156" t="s">
        <v>41</v>
      </c>
      <c r="J117" s="157"/>
      <c r="K117" s="158"/>
      <c r="L117" s="159"/>
      <c r="M117" s="127"/>
      <c r="N117" s="160"/>
      <c r="O117" s="161"/>
      <c r="P117" s="162"/>
      <c r="Q117" s="162"/>
      <c r="R117" s="161"/>
      <c r="S117" s="161"/>
      <c r="T117" s="162"/>
      <c r="U117" s="162"/>
      <c r="V117" s="161"/>
    </row>
    <row r="118" spans="1:22" ht="15" hidden="1" customHeight="1">
      <c r="A118" s="128" t="s">
        <v>279</v>
      </c>
      <c r="B118" s="129"/>
      <c r="C118" s="130"/>
      <c r="D118" s="131" t="s">
        <v>130</v>
      </c>
      <c r="E118" s="132" t="s">
        <v>280</v>
      </c>
      <c r="F118" s="127"/>
      <c r="G118" s="133" t="s">
        <v>45</v>
      </c>
      <c r="H118" s="134"/>
      <c r="I118" s="156"/>
      <c r="J118" s="157"/>
      <c r="K118" s="158"/>
      <c r="L118" s="159"/>
      <c r="M118" s="127"/>
      <c r="N118" s="160"/>
      <c r="O118" s="161"/>
      <c r="P118" s="162"/>
      <c r="Q118" s="162"/>
      <c r="R118" s="161"/>
      <c r="S118" s="161"/>
      <c r="T118" s="162"/>
      <c r="U118" s="162"/>
      <c r="V118" s="161"/>
    </row>
    <row r="119" spans="1:22" ht="15" customHeight="1">
      <c r="A119" s="128" t="s">
        <v>281</v>
      </c>
      <c r="B119" s="129"/>
      <c r="C119" s="130"/>
      <c r="D119" s="131" t="s">
        <v>130</v>
      </c>
      <c r="E119" s="132" t="s">
        <v>282</v>
      </c>
      <c r="F119" s="127"/>
      <c r="G119" s="133" t="s">
        <v>130</v>
      </c>
      <c r="H119" s="134"/>
      <c r="I119" s="156" t="s">
        <v>41</v>
      </c>
      <c r="J119" s="157"/>
      <c r="K119" s="158"/>
      <c r="L119" s="159"/>
      <c r="M119" s="127"/>
      <c r="N119" s="160"/>
      <c r="O119" s="161"/>
      <c r="P119" s="162"/>
      <c r="Q119" s="162"/>
      <c r="R119" s="161"/>
      <c r="S119" s="161"/>
      <c r="T119" s="162"/>
      <c r="U119" s="162"/>
      <c r="V119" s="161"/>
    </row>
    <row r="120" spans="1:22" ht="15" hidden="1" customHeight="1">
      <c r="A120" s="128" t="s">
        <v>283</v>
      </c>
      <c r="B120" s="129"/>
      <c r="C120" s="130"/>
      <c r="D120" s="131" t="s">
        <v>130</v>
      </c>
      <c r="E120" s="132" t="s">
        <v>284</v>
      </c>
      <c r="F120" s="127"/>
      <c r="G120" s="133" t="s">
        <v>45</v>
      </c>
      <c r="H120" s="134"/>
      <c r="I120" s="156"/>
      <c r="J120" s="157"/>
      <c r="K120" s="158"/>
      <c r="L120" s="159"/>
      <c r="M120" s="127"/>
      <c r="N120" s="160"/>
      <c r="O120" s="161"/>
      <c r="P120" s="162"/>
      <c r="Q120" s="162"/>
      <c r="R120" s="161"/>
      <c r="S120" s="161"/>
      <c r="T120" s="162"/>
      <c r="U120" s="162"/>
      <c r="V120" s="161"/>
    </row>
    <row r="121" spans="1:22" ht="15" customHeight="1">
      <c r="A121" s="128" t="s">
        <v>285</v>
      </c>
      <c r="B121" s="129"/>
      <c r="C121" s="130"/>
      <c r="D121" s="131" t="s">
        <v>130</v>
      </c>
      <c r="E121" s="132" t="s">
        <v>286</v>
      </c>
      <c r="F121" s="127"/>
      <c r="G121" s="133" t="s">
        <v>130</v>
      </c>
      <c r="H121" s="134"/>
      <c r="I121" s="156" t="s">
        <v>41</v>
      </c>
      <c r="J121" s="157"/>
      <c r="K121" s="158"/>
      <c r="L121" s="159"/>
      <c r="M121" s="127"/>
      <c r="N121" s="160"/>
      <c r="O121" s="161"/>
      <c r="P121" s="162"/>
      <c r="Q121" s="162"/>
      <c r="R121" s="161"/>
      <c r="S121" s="161"/>
      <c r="T121" s="162"/>
      <c r="U121" s="162"/>
      <c r="V121" s="161"/>
    </row>
    <row r="122" spans="1:22" ht="15" hidden="1" customHeight="1">
      <c r="A122" s="128" t="s">
        <v>287</v>
      </c>
      <c r="B122" s="129"/>
      <c r="C122" s="130"/>
      <c r="D122" s="131" t="s">
        <v>130</v>
      </c>
      <c r="E122" s="132" t="s">
        <v>288</v>
      </c>
      <c r="F122" s="127"/>
      <c r="G122" s="133" t="s">
        <v>45</v>
      </c>
      <c r="H122" s="134"/>
      <c r="I122" s="156"/>
      <c r="J122" s="157"/>
      <c r="K122" s="158"/>
      <c r="L122" s="159"/>
      <c r="M122" s="127"/>
      <c r="N122" s="160"/>
      <c r="O122" s="161"/>
      <c r="P122" s="162"/>
      <c r="Q122" s="162"/>
      <c r="R122" s="161"/>
      <c r="S122" s="161"/>
      <c r="T122" s="162"/>
      <c r="U122" s="162"/>
      <c r="V122" s="161"/>
    </row>
    <row r="123" spans="1:22" ht="15" customHeight="1">
      <c r="A123" s="128" t="s">
        <v>289</v>
      </c>
      <c r="B123" s="129"/>
      <c r="C123" s="130"/>
      <c r="D123" s="131" t="s">
        <v>130</v>
      </c>
      <c r="E123" s="132" t="s">
        <v>290</v>
      </c>
      <c r="F123" s="127"/>
      <c r="G123" s="133" t="s">
        <v>130</v>
      </c>
      <c r="H123" s="134"/>
      <c r="I123" s="156" t="s">
        <v>41</v>
      </c>
      <c r="J123" s="157"/>
      <c r="K123" s="158"/>
      <c r="L123" s="159"/>
      <c r="M123" s="127"/>
      <c r="N123" s="160"/>
      <c r="O123" s="161"/>
      <c r="P123" s="162"/>
      <c r="Q123" s="162"/>
      <c r="R123" s="161"/>
      <c r="S123" s="161"/>
      <c r="T123" s="162"/>
      <c r="U123" s="162"/>
      <c r="V123" s="161"/>
    </row>
    <row r="124" spans="1:22" ht="15" hidden="1" customHeight="1">
      <c r="A124" s="128" t="s">
        <v>291</v>
      </c>
      <c r="B124" s="129"/>
      <c r="C124" s="130"/>
      <c r="D124" s="131" t="s">
        <v>130</v>
      </c>
      <c r="E124" s="132" t="s">
        <v>292</v>
      </c>
      <c r="F124" s="127"/>
      <c r="G124" s="133" t="s">
        <v>45</v>
      </c>
      <c r="H124" s="134"/>
      <c r="I124" s="156"/>
      <c r="J124" s="157"/>
      <c r="K124" s="158"/>
      <c r="L124" s="159"/>
      <c r="M124" s="127"/>
      <c r="N124" s="160"/>
      <c r="O124" s="161"/>
      <c r="P124" s="162"/>
      <c r="Q124" s="162"/>
      <c r="R124" s="161"/>
      <c r="S124" s="161"/>
      <c r="T124" s="162"/>
      <c r="U124" s="162"/>
      <c r="V124" s="161"/>
    </row>
    <row r="125" spans="1:22" ht="15" customHeight="1">
      <c r="A125" s="128" t="s">
        <v>293</v>
      </c>
      <c r="B125" s="129"/>
      <c r="C125" s="130"/>
      <c r="D125" s="131" t="s">
        <v>130</v>
      </c>
      <c r="E125" s="132" t="s">
        <v>294</v>
      </c>
      <c r="F125" s="127"/>
      <c r="G125" s="133" t="s">
        <v>130</v>
      </c>
      <c r="H125" s="134"/>
      <c r="I125" s="156" t="s">
        <v>41</v>
      </c>
      <c r="J125" s="157"/>
      <c r="K125" s="158"/>
      <c r="L125" s="159"/>
      <c r="M125" s="127"/>
      <c r="N125" s="160"/>
      <c r="O125" s="161"/>
      <c r="P125" s="162"/>
      <c r="Q125" s="162"/>
      <c r="R125" s="161"/>
      <c r="S125" s="161"/>
      <c r="T125" s="162"/>
      <c r="U125" s="162"/>
      <c r="V125" s="161"/>
    </row>
    <row r="126" spans="1:22" ht="15" hidden="1" customHeight="1">
      <c r="A126" s="128" t="s">
        <v>295</v>
      </c>
      <c r="B126" s="129"/>
      <c r="C126" s="130"/>
      <c r="D126" s="131" t="s">
        <v>130</v>
      </c>
      <c r="E126" s="132" t="s">
        <v>296</v>
      </c>
      <c r="F126" s="127"/>
      <c r="G126" s="133" t="s">
        <v>45</v>
      </c>
      <c r="H126" s="134"/>
      <c r="I126" s="156"/>
      <c r="J126" s="157"/>
      <c r="K126" s="158"/>
      <c r="L126" s="159"/>
      <c r="M126" s="127"/>
      <c r="N126" s="160"/>
      <c r="O126" s="161"/>
      <c r="P126" s="162"/>
      <c r="Q126" s="162"/>
      <c r="R126" s="161"/>
      <c r="S126" s="161"/>
      <c r="T126" s="162"/>
      <c r="U126" s="162"/>
      <c r="V126" s="161"/>
    </row>
    <row r="127" spans="1:22" ht="15" customHeight="1">
      <c r="A127" s="128" t="s">
        <v>297</v>
      </c>
      <c r="B127" s="129"/>
      <c r="C127" s="130"/>
      <c r="D127" s="131" t="s">
        <v>130</v>
      </c>
      <c r="E127" s="132" t="s">
        <v>298</v>
      </c>
      <c r="F127" s="127"/>
      <c r="G127" s="133" t="s">
        <v>130</v>
      </c>
      <c r="H127" s="134"/>
      <c r="I127" s="156" t="s">
        <v>41</v>
      </c>
      <c r="J127" s="157"/>
      <c r="K127" s="158"/>
      <c r="L127" s="159"/>
      <c r="M127" s="127"/>
      <c r="N127" s="160"/>
      <c r="O127" s="161"/>
      <c r="P127" s="162"/>
      <c r="Q127" s="162"/>
      <c r="R127" s="161"/>
      <c r="S127" s="161"/>
      <c r="T127" s="162"/>
      <c r="U127" s="162"/>
      <c r="V127" s="161"/>
    </row>
    <row r="128" spans="1:22" ht="15" hidden="1" customHeight="1">
      <c r="A128" s="128" t="s">
        <v>299</v>
      </c>
      <c r="B128" s="129"/>
      <c r="C128" s="130"/>
      <c r="D128" s="131" t="s">
        <v>130</v>
      </c>
      <c r="E128" s="132" t="s">
        <v>300</v>
      </c>
      <c r="F128" s="127"/>
      <c r="G128" s="133" t="s">
        <v>45</v>
      </c>
      <c r="H128" s="134"/>
      <c r="I128" s="156"/>
      <c r="J128" s="157"/>
      <c r="K128" s="158"/>
      <c r="L128" s="159"/>
      <c r="M128" s="127"/>
      <c r="N128" s="160"/>
      <c r="O128" s="161"/>
      <c r="P128" s="162"/>
      <c r="Q128" s="162"/>
      <c r="R128" s="161"/>
      <c r="S128" s="161"/>
      <c r="T128" s="162"/>
      <c r="U128" s="162"/>
      <c r="V128" s="161"/>
    </row>
    <row r="129" spans="1:22" ht="15" hidden="1" customHeight="1">
      <c r="A129" s="128" t="s">
        <v>301</v>
      </c>
      <c r="B129" s="129"/>
      <c r="C129" s="130"/>
      <c r="D129" s="131" t="s">
        <v>130</v>
      </c>
      <c r="E129" s="132" t="s">
        <v>302</v>
      </c>
      <c r="F129" s="127"/>
      <c r="G129" s="133" t="s">
        <v>45</v>
      </c>
      <c r="H129" s="134"/>
      <c r="I129" s="156"/>
      <c r="J129" s="157"/>
      <c r="K129" s="158"/>
      <c r="L129" s="159"/>
      <c r="M129" s="127"/>
      <c r="N129" s="160"/>
      <c r="O129" s="161"/>
      <c r="P129" s="162"/>
      <c r="Q129" s="162"/>
      <c r="R129" s="161"/>
      <c r="S129" s="161"/>
      <c r="T129" s="162"/>
      <c r="U129" s="162"/>
      <c r="V129" s="161"/>
    </row>
    <row r="130" spans="1:22" ht="15" customHeight="1">
      <c r="A130" s="128" t="s">
        <v>303</v>
      </c>
      <c r="B130" s="129"/>
      <c r="C130" s="130"/>
      <c r="D130" s="131" t="s">
        <v>130</v>
      </c>
      <c r="E130" s="132" t="s">
        <v>304</v>
      </c>
      <c r="F130" s="127"/>
      <c r="G130" s="133" t="s">
        <v>130</v>
      </c>
      <c r="H130" s="134"/>
      <c r="I130" s="156" t="s">
        <v>41</v>
      </c>
      <c r="J130" s="157"/>
      <c r="K130" s="158"/>
      <c r="L130" s="159"/>
      <c r="M130" s="127"/>
      <c r="N130" s="160"/>
      <c r="O130" s="161"/>
      <c r="P130" s="162"/>
      <c r="Q130" s="162"/>
      <c r="R130" s="161"/>
      <c r="S130" s="161"/>
      <c r="T130" s="162"/>
      <c r="U130" s="162"/>
      <c r="V130" s="161"/>
    </row>
    <row r="131" spans="1:22" ht="15" customHeight="1">
      <c r="A131" s="128" t="s">
        <v>305</v>
      </c>
      <c r="B131" s="129"/>
      <c r="C131" s="130"/>
      <c r="D131" s="131" t="s">
        <v>130</v>
      </c>
      <c r="E131" s="132" t="s">
        <v>306</v>
      </c>
      <c r="F131" s="127"/>
      <c r="G131" s="133" t="s">
        <v>130</v>
      </c>
      <c r="H131" s="134"/>
      <c r="I131" s="156" t="s">
        <v>41</v>
      </c>
      <c r="J131" s="157"/>
      <c r="K131" s="158"/>
      <c r="L131" s="159"/>
      <c r="M131" s="127"/>
      <c r="N131" s="160"/>
      <c r="O131" s="161"/>
      <c r="P131" s="162"/>
      <c r="Q131" s="162"/>
      <c r="R131" s="161"/>
      <c r="S131" s="161"/>
      <c r="T131" s="162"/>
      <c r="U131" s="162"/>
      <c r="V131" s="161"/>
    </row>
    <row r="132" spans="1:22" ht="15" hidden="1" customHeight="1">
      <c r="A132" s="128" t="s">
        <v>307</v>
      </c>
      <c r="B132" s="129"/>
      <c r="C132" s="130"/>
      <c r="D132" s="131" t="s">
        <v>130</v>
      </c>
      <c r="E132" s="132" t="s">
        <v>308</v>
      </c>
      <c r="F132" s="127"/>
      <c r="G132" s="133" t="s">
        <v>45</v>
      </c>
      <c r="H132" s="134"/>
      <c r="I132" s="156"/>
      <c r="J132" s="157"/>
      <c r="K132" s="158"/>
      <c r="L132" s="159"/>
      <c r="M132" s="127"/>
      <c r="N132" s="160"/>
      <c r="O132" s="161"/>
      <c r="P132" s="162"/>
      <c r="Q132" s="162"/>
      <c r="R132" s="161"/>
      <c r="S132" s="161"/>
      <c r="T132" s="162"/>
      <c r="U132" s="162"/>
      <c r="V132" s="161"/>
    </row>
    <row r="133" spans="1:22" ht="15" customHeight="1">
      <c r="A133" s="128" t="s">
        <v>309</v>
      </c>
      <c r="B133" s="129"/>
      <c r="C133" s="130"/>
      <c r="D133" s="131" t="s">
        <v>130</v>
      </c>
      <c r="E133" s="132" t="s">
        <v>310</v>
      </c>
      <c r="F133" s="127"/>
      <c r="G133" s="133" t="s">
        <v>130</v>
      </c>
      <c r="H133" s="134"/>
      <c r="I133" s="156" t="s">
        <v>41</v>
      </c>
      <c r="J133" s="157"/>
      <c r="K133" s="158"/>
      <c r="L133" s="159"/>
      <c r="M133" s="127"/>
      <c r="N133" s="160"/>
      <c r="O133" s="161"/>
      <c r="P133" s="162"/>
      <c r="Q133" s="162"/>
      <c r="R133" s="161"/>
      <c r="S133" s="161"/>
      <c r="T133" s="162"/>
      <c r="U133" s="162"/>
      <c r="V133" s="161"/>
    </row>
    <row r="134" spans="1:22" ht="15" hidden="1" customHeight="1">
      <c r="A134" s="128" t="s">
        <v>311</v>
      </c>
      <c r="B134" s="129"/>
      <c r="C134" s="130"/>
      <c r="D134" s="131" t="s">
        <v>130</v>
      </c>
      <c r="E134" s="132" t="s">
        <v>312</v>
      </c>
      <c r="F134" s="127"/>
      <c r="G134" s="133" t="s">
        <v>45</v>
      </c>
      <c r="H134" s="134"/>
      <c r="I134" s="156"/>
      <c r="J134" s="157"/>
      <c r="K134" s="158"/>
      <c r="L134" s="159"/>
      <c r="M134" s="127"/>
      <c r="N134" s="160"/>
      <c r="O134" s="161"/>
      <c r="P134" s="162"/>
      <c r="Q134" s="162"/>
      <c r="R134" s="161"/>
      <c r="S134" s="161"/>
      <c r="T134" s="162"/>
      <c r="U134" s="162"/>
      <c r="V134" s="161"/>
    </row>
    <row r="135" spans="1:22" ht="15" customHeight="1">
      <c r="A135" s="128" t="s">
        <v>313</v>
      </c>
      <c r="B135" s="129"/>
      <c r="C135" s="130"/>
      <c r="D135" s="131" t="s">
        <v>130</v>
      </c>
      <c r="E135" s="132" t="s">
        <v>314</v>
      </c>
      <c r="F135" s="127"/>
      <c r="G135" s="133" t="s">
        <v>130</v>
      </c>
      <c r="H135" s="134"/>
      <c r="I135" s="156" t="s">
        <v>41</v>
      </c>
      <c r="J135" s="157"/>
      <c r="K135" s="158"/>
      <c r="L135" s="159"/>
      <c r="M135" s="127"/>
      <c r="N135" s="160"/>
      <c r="O135" s="161"/>
      <c r="P135" s="162"/>
      <c r="Q135" s="162"/>
      <c r="R135" s="161"/>
      <c r="S135" s="161"/>
      <c r="T135" s="162"/>
      <c r="U135" s="162"/>
      <c r="V135" s="161"/>
    </row>
    <row r="136" spans="1:22" ht="15" hidden="1" customHeight="1">
      <c r="A136" s="128" t="s">
        <v>315</v>
      </c>
      <c r="B136" s="129"/>
      <c r="C136" s="130"/>
      <c r="D136" s="131" t="s">
        <v>130</v>
      </c>
      <c r="E136" s="132" t="s">
        <v>316</v>
      </c>
      <c r="F136" s="127"/>
      <c r="G136" s="133" t="s">
        <v>45</v>
      </c>
      <c r="H136" s="134"/>
      <c r="I136" s="156"/>
      <c r="J136" s="157"/>
      <c r="K136" s="158"/>
      <c r="L136" s="159"/>
      <c r="M136" s="127"/>
      <c r="N136" s="160"/>
      <c r="O136" s="161"/>
      <c r="P136" s="162"/>
      <c r="Q136" s="162"/>
      <c r="R136" s="161"/>
      <c r="S136" s="161"/>
      <c r="T136" s="162"/>
      <c r="U136" s="162"/>
      <c r="V136" s="161"/>
    </row>
    <row r="137" spans="1:22" ht="15" hidden="1" customHeight="1">
      <c r="A137" s="128" t="s">
        <v>317</v>
      </c>
      <c r="B137" s="129"/>
      <c r="C137" s="130"/>
      <c r="D137" s="131" t="s">
        <v>130</v>
      </c>
      <c r="E137" s="132" t="s">
        <v>318</v>
      </c>
      <c r="F137" s="127"/>
      <c r="G137" s="133" t="s">
        <v>45</v>
      </c>
      <c r="H137" s="134"/>
      <c r="I137" s="156"/>
      <c r="J137" s="157"/>
      <c r="K137" s="158"/>
      <c r="L137" s="159"/>
      <c r="M137" s="127"/>
      <c r="N137" s="160"/>
      <c r="O137" s="161"/>
      <c r="P137" s="162"/>
      <c r="Q137" s="162"/>
      <c r="R137" s="161"/>
      <c r="S137" s="161"/>
      <c r="T137" s="162"/>
      <c r="U137" s="162"/>
      <c r="V137" s="161"/>
    </row>
    <row r="138" spans="1:22" ht="15" customHeight="1">
      <c r="A138" s="128" t="s">
        <v>319</v>
      </c>
      <c r="B138" s="129"/>
      <c r="C138" s="130"/>
      <c r="D138" s="131" t="s">
        <v>130</v>
      </c>
      <c r="E138" s="132" t="s">
        <v>320</v>
      </c>
      <c r="F138" s="127"/>
      <c r="G138" s="133" t="s">
        <v>130</v>
      </c>
      <c r="H138" s="134"/>
      <c r="I138" s="156" t="s">
        <v>41</v>
      </c>
      <c r="J138" s="157"/>
      <c r="K138" s="158"/>
      <c r="L138" s="159"/>
      <c r="M138" s="127"/>
      <c r="N138" s="160"/>
      <c r="O138" s="161"/>
      <c r="P138" s="162"/>
      <c r="Q138" s="162"/>
      <c r="R138" s="161"/>
      <c r="S138" s="161"/>
      <c r="T138" s="162"/>
      <c r="U138" s="162"/>
      <c r="V138" s="161"/>
    </row>
    <row r="139" spans="1:22" ht="15" customHeight="1">
      <c r="A139" s="128" t="s">
        <v>321</v>
      </c>
      <c r="B139" s="129"/>
      <c r="C139" s="130"/>
      <c r="D139" s="131" t="s">
        <v>130</v>
      </c>
      <c r="E139" s="132" t="s">
        <v>322</v>
      </c>
      <c r="F139" s="127"/>
      <c r="G139" s="133" t="s">
        <v>130</v>
      </c>
      <c r="H139" s="134"/>
      <c r="I139" s="156" t="s">
        <v>41</v>
      </c>
      <c r="J139" s="157"/>
      <c r="K139" s="158"/>
      <c r="L139" s="159"/>
      <c r="M139" s="127"/>
      <c r="N139" s="160"/>
      <c r="O139" s="161"/>
      <c r="P139" s="162"/>
      <c r="Q139" s="162"/>
      <c r="R139" s="161"/>
      <c r="S139" s="161"/>
      <c r="T139" s="162"/>
      <c r="U139" s="162"/>
      <c r="V139" s="161"/>
    </row>
    <row r="140" spans="1:22" ht="15" hidden="1" customHeight="1">
      <c r="A140" s="128" t="s">
        <v>323</v>
      </c>
      <c r="B140" s="129"/>
      <c r="C140" s="130"/>
      <c r="D140" s="131" t="s">
        <v>130</v>
      </c>
      <c r="E140" s="132" t="s">
        <v>324</v>
      </c>
      <c r="F140" s="127"/>
      <c r="G140" s="133" t="s">
        <v>45</v>
      </c>
      <c r="H140" s="134"/>
      <c r="I140" s="156"/>
      <c r="J140" s="157"/>
      <c r="K140" s="158"/>
      <c r="L140" s="159"/>
      <c r="M140" s="127"/>
      <c r="N140" s="160"/>
      <c r="O140" s="161"/>
      <c r="P140" s="162"/>
      <c r="Q140" s="162"/>
      <c r="R140" s="161"/>
      <c r="S140" s="161"/>
      <c r="T140" s="162"/>
      <c r="U140" s="162"/>
      <c r="V140" s="161"/>
    </row>
    <row r="141" spans="1:22" ht="15" customHeight="1">
      <c r="A141" s="128" t="s">
        <v>325</v>
      </c>
      <c r="B141" s="129"/>
      <c r="C141" s="130"/>
      <c r="D141" s="131" t="s">
        <v>130</v>
      </c>
      <c r="E141" s="132" t="s">
        <v>326</v>
      </c>
      <c r="F141" s="127"/>
      <c r="G141" s="133" t="s">
        <v>130</v>
      </c>
      <c r="H141" s="134"/>
      <c r="I141" s="156" t="s">
        <v>41</v>
      </c>
      <c r="J141" s="157"/>
      <c r="K141" s="158"/>
      <c r="L141" s="159"/>
      <c r="M141" s="127"/>
      <c r="N141" s="160"/>
      <c r="O141" s="161"/>
      <c r="P141" s="162"/>
      <c r="Q141" s="162"/>
      <c r="R141" s="161"/>
      <c r="S141" s="161"/>
      <c r="T141" s="162"/>
      <c r="U141" s="162"/>
      <c r="V141" s="161"/>
    </row>
    <row r="142" spans="1:22" ht="15" hidden="1" customHeight="1">
      <c r="A142" s="128" t="s">
        <v>327</v>
      </c>
      <c r="B142" s="129"/>
      <c r="C142" s="130"/>
      <c r="D142" s="131" t="s">
        <v>130</v>
      </c>
      <c r="E142" s="132" t="s">
        <v>328</v>
      </c>
      <c r="F142" s="127"/>
      <c r="G142" s="133" t="s">
        <v>45</v>
      </c>
      <c r="H142" s="134"/>
      <c r="I142" s="156"/>
      <c r="J142" s="157"/>
      <c r="K142" s="158"/>
      <c r="L142" s="159"/>
      <c r="M142" s="127"/>
      <c r="N142" s="160"/>
      <c r="O142" s="161"/>
      <c r="P142" s="162"/>
      <c r="Q142" s="162"/>
      <c r="R142" s="161"/>
      <c r="S142" s="161"/>
      <c r="T142" s="162"/>
      <c r="U142" s="162"/>
      <c r="V142" s="161"/>
    </row>
    <row r="143" spans="1:22" ht="15" customHeight="1">
      <c r="A143" s="128" t="s">
        <v>329</v>
      </c>
      <c r="B143" s="129"/>
      <c r="C143" s="130"/>
      <c r="D143" s="131" t="s">
        <v>130</v>
      </c>
      <c r="E143" s="132" t="s">
        <v>330</v>
      </c>
      <c r="F143" s="127"/>
      <c r="G143" s="133" t="s">
        <v>130</v>
      </c>
      <c r="H143" s="134"/>
      <c r="I143" s="156" t="s">
        <v>41</v>
      </c>
      <c r="J143" s="157"/>
      <c r="K143" s="158"/>
      <c r="L143" s="159"/>
      <c r="M143" s="127"/>
      <c r="N143" s="160"/>
      <c r="O143" s="161"/>
      <c r="P143" s="162"/>
      <c r="Q143" s="162"/>
      <c r="R143" s="161"/>
      <c r="S143" s="161"/>
      <c r="T143" s="162"/>
      <c r="U143" s="162"/>
      <c r="V143" s="161"/>
    </row>
    <row r="144" spans="1:22" ht="15" hidden="1" customHeight="1">
      <c r="A144" s="128" t="s">
        <v>331</v>
      </c>
      <c r="B144" s="129"/>
      <c r="C144" s="130"/>
      <c r="D144" s="131" t="s">
        <v>130</v>
      </c>
      <c r="E144" s="132" t="s">
        <v>332</v>
      </c>
      <c r="F144" s="127"/>
      <c r="G144" s="133" t="s">
        <v>45</v>
      </c>
      <c r="H144" s="134"/>
      <c r="I144" s="156"/>
      <c r="J144" s="157"/>
      <c r="K144" s="158"/>
      <c r="L144" s="159"/>
      <c r="M144" s="127"/>
      <c r="N144" s="160"/>
      <c r="O144" s="161"/>
      <c r="P144" s="162"/>
      <c r="Q144" s="162"/>
      <c r="R144" s="161"/>
      <c r="S144" s="161"/>
      <c r="T144" s="162"/>
      <c r="U144" s="162"/>
      <c r="V144" s="161"/>
    </row>
    <row r="145" spans="1:22" ht="15" customHeight="1">
      <c r="A145" s="210" t="s">
        <v>1372</v>
      </c>
      <c r="B145" s="129"/>
      <c r="C145" s="130"/>
      <c r="D145" s="131" t="s">
        <v>333</v>
      </c>
      <c r="E145" s="132" t="s">
        <v>334</v>
      </c>
      <c r="F145" s="127"/>
      <c r="G145" s="133" t="s">
        <v>333</v>
      </c>
      <c r="H145" s="134"/>
      <c r="I145" s="156" t="s">
        <v>41</v>
      </c>
      <c r="J145" s="157"/>
      <c r="K145" s="158"/>
      <c r="L145" s="159"/>
      <c r="M145" s="127"/>
      <c r="N145" s="160"/>
      <c r="O145" s="161"/>
      <c r="P145" s="162"/>
      <c r="Q145" s="162"/>
      <c r="R145" s="161"/>
      <c r="S145" s="161"/>
      <c r="T145" s="162"/>
      <c r="U145" s="162"/>
      <c r="V145" s="161"/>
    </row>
    <row r="146" spans="1:22" ht="15" customHeight="1">
      <c r="A146" s="128" t="s">
        <v>335</v>
      </c>
      <c r="B146" s="129"/>
      <c r="C146" s="130"/>
      <c r="D146" s="131" t="s">
        <v>333</v>
      </c>
      <c r="E146" s="132" t="s">
        <v>336</v>
      </c>
      <c r="F146" s="127"/>
      <c r="G146" s="133" t="s">
        <v>333</v>
      </c>
      <c r="H146" s="134"/>
      <c r="I146" s="156" t="s">
        <v>41</v>
      </c>
      <c r="J146" s="157"/>
      <c r="K146" s="158"/>
      <c r="L146" s="159"/>
      <c r="M146" s="127"/>
      <c r="N146" s="160"/>
      <c r="O146" s="161"/>
      <c r="P146" s="162"/>
      <c r="Q146" s="162"/>
      <c r="R146" s="161"/>
      <c r="S146" s="161"/>
      <c r="T146" s="162"/>
      <c r="U146" s="162"/>
      <c r="V146" s="161"/>
    </row>
    <row r="147" spans="1:22" ht="15" customHeight="1">
      <c r="A147" s="128" t="s">
        <v>337</v>
      </c>
      <c r="B147" s="129"/>
      <c r="C147" s="130"/>
      <c r="D147" s="131" t="s">
        <v>333</v>
      </c>
      <c r="E147" s="132" t="s">
        <v>338</v>
      </c>
      <c r="F147" s="127"/>
      <c r="G147" s="133" t="s">
        <v>333</v>
      </c>
      <c r="H147" s="134"/>
      <c r="I147" s="156" t="s">
        <v>41</v>
      </c>
      <c r="J147" s="157"/>
      <c r="K147" s="158"/>
      <c r="L147" s="159"/>
      <c r="M147" s="127"/>
      <c r="N147" s="160"/>
      <c r="O147" s="161"/>
      <c r="P147" s="162"/>
      <c r="Q147" s="162"/>
      <c r="R147" s="161"/>
      <c r="S147" s="161"/>
      <c r="T147" s="162"/>
      <c r="U147" s="162"/>
      <c r="V147" s="161"/>
    </row>
    <row r="148" spans="1:22" ht="15" customHeight="1">
      <c r="A148" s="128" t="s">
        <v>339</v>
      </c>
      <c r="B148" s="129"/>
      <c r="C148" s="130"/>
      <c r="D148" s="131" t="s">
        <v>333</v>
      </c>
      <c r="E148" s="132" t="s">
        <v>340</v>
      </c>
      <c r="F148" s="127"/>
      <c r="G148" s="133" t="s">
        <v>333</v>
      </c>
      <c r="H148" s="134"/>
      <c r="I148" s="156" t="s">
        <v>41</v>
      </c>
      <c r="J148" s="157"/>
      <c r="K148" s="158"/>
      <c r="L148" s="159"/>
      <c r="M148" s="127"/>
      <c r="N148" s="160"/>
      <c r="O148" s="161"/>
      <c r="P148" s="162"/>
      <c r="Q148" s="162"/>
      <c r="R148" s="161"/>
      <c r="S148" s="161"/>
      <c r="T148" s="162"/>
      <c r="U148" s="162"/>
      <c r="V148" s="161"/>
    </row>
    <row r="149" spans="1:22" ht="15" hidden="1" customHeight="1">
      <c r="A149" s="128" t="s">
        <v>341</v>
      </c>
      <c r="B149" s="129"/>
      <c r="C149" s="130"/>
      <c r="D149" s="131" t="s">
        <v>130</v>
      </c>
      <c r="E149" s="132" t="s">
        <v>342</v>
      </c>
      <c r="F149" s="127"/>
      <c r="G149" s="133" t="s">
        <v>45</v>
      </c>
      <c r="H149" s="134"/>
      <c r="I149" s="156"/>
      <c r="J149" s="157"/>
      <c r="K149" s="158"/>
      <c r="L149" s="159"/>
      <c r="M149" s="127"/>
      <c r="N149" s="160"/>
      <c r="O149" s="161"/>
      <c r="P149" s="162"/>
      <c r="Q149" s="162"/>
      <c r="R149" s="161"/>
      <c r="S149" s="161"/>
      <c r="T149" s="162"/>
      <c r="U149" s="162"/>
      <c r="V149" s="161"/>
    </row>
    <row r="150" spans="1:22" ht="15" hidden="1" customHeight="1">
      <c r="A150" s="128" t="s">
        <v>343</v>
      </c>
      <c r="B150" s="129"/>
      <c r="C150" s="130"/>
      <c r="D150" s="131" t="s">
        <v>130</v>
      </c>
      <c r="E150" s="132" t="s">
        <v>344</v>
      </c>
      <c r="F150" s="127"/>
      <c r="G150" s="133" t="s">
        <v>45</v>
      </c>
      <c r="H150" s="134"/>
      <c r="I150" s="156"/>
      <c r="J150" s="157"/>
      <c r="K150" s="158"/>
      <c r="L150" s="159"/>
      <c r="M150" s="127"/>
      <c r="N150" s="160"/>
      <c r="O150" s="161"/>
      <c r="P150" s="162"/>
      <c r="Q150" s="162"/>
      <c r="R150" s="161"/>
      <c r="S150" s="161"/>
      <c r="T150" s="162"/>
      <c r="U150" s="162"/>
      <c r="V150" s="161"/>
    </row>
    <row r="151" spans="1:22" ht="15" hidden="1" customHeight="1">
      <c r="A151" s="128" t="s">
        <v>345</v>
      </c>
      <c r="B151" s="129"/>
      <c r="C151" s="130"/>
      <c r="D151" s="131" t="s">
        <v>130</v>
      </c>
      <c r="E151" s="132" t="s">
        <v>346</v>
      </c>
      <c r="F151" s="127"/>
      <c r="G151" s="133" t="s">
        <v>45</v>
      </c>
      <c r="H151" s="134"/>
      <c r="I151" s="156"/>
      <c r="J151" s="157"/>
      <c r="K151" s="158"/>
      <c r="L151" s="159"/>
      <c r="M151" s="127"/>
      <c r="N151" s="160"/>
      <c r="O151" s="161"/>
      <c r="P151" s="162"/>
      <c r="Q151" s="162"/>
      <c r="R151" s="161"/>
      <c r="S151" s="161"/>
      <c r="T151" s="162"/>
      <c r="U151" s="162"/>
      <c r="V151" s="161"/>
    </row>
    <row r="152" spans="1:22" ht="15" hidden="1" customHeight="1">
      <c r="A152" s="128" t="s">
        <v>347</v>
      </c>
      <c r="B152" s="129"/>
      <c r="C152" s="130"/>
      <c r="D152" s="131" t="s">
        <v>130</v>
      </c>
      <c r="E152" s="132" t="s">
        <v>348</v>
      </c>
      <c r="F152" s="127"/>
      <c r="G152" s="133" t="s">
        <v>45</v>
      </c>
      <c r="H152" s="134"/>
      <c r="I152" s="156"/>
      <c r="J152" s="157"/>
      <c r="K152" s="158"/>
      <c r="L152" s="159"/>
      <c r="M152" s="127"/>
      <c r="N152" s="160"/>
      <c r="O152" s="161"/>
      <c r="P152" s="162"/>
      <c r="Q152" s="162"/>
      <c r="R152" s="161"/>
      <c r="S152" s="161"/>
      <c r="T152" s="162"/>
      <c r="U152" s="162"/>
      <c r="V152" s="161"/>
    </row>
    <row r="153" spans="1:22" ht="15" hidden="1" customHeight="1">
      <c r="A153" s="128" t="s">
        <v>349</v>
      </c>
      <c r="B153" s="129"/>
      <c r="C153" s="130"/>
      <c r="D153" s="131" t="s">
        <v>130</v>
      </c>
      <c r="E153" s="132" t="s">
        <v>350</v>
      </c>
      <c r="F153" s="127"/>
      <c r="G153" s="133" t="s">
        <v>45</v>
      </c>
      <c r="H153" s="134"/>
      <c r="I153" s="156"/>
      <c r="J153" s="157"/>
      <c r="K153" s="158"/>
      <c r="L153" s="159"/>
      <c r="M153" s="127"/>
      <c r="N153" s="160"/>
      <c r="O153" s="161"/>
      <c r="P153" s="162"/>
      <c r="Q153" s="162"/>
      <c r="R153" s="161"/>
      <c r="S153" s="161"/>
      <c r="T153" s="162"/>
      <c r="U153" s="162"/>
      <c r="V153" s="161"/>
    </row>
    <row r="154" spans="1:22" ht="15" hidden="1" customHeight="1">
      <c r="A154" s="128" t="s">
        <v>351</v>
      </c>
      <c r="B154" s="129"/>
      <c r="C154" s="130"/>
      <c r="D154" s="131" t="s">
        <v>130</v>
      </c>
      <c r="E154" s="132" t="s">
        <v>352</v>
      </c>
      <c r="F154" s="127"/>
      <c r="G154" s="133" t="s">
        <v>45</v>
      </c>
      <c r="H154" s="134"/>
      <c r="I154" s="156"/>
      <c r="J154" s="157"/>
      <c r="K154" s="158"/>
      <c r="L154" s="159"/>
      <c r="M154" s="127"/>
      <c r="N154" s="160"/>
      <c r="O154" s="161"/>
      <c r="P154" s="162"/>
      <c r="Q154" s="162"/>
      <c r="R154" s="161"/>
      <c r="S154" s="161"/>
      <c r="T154" s="162"/>
      <c r="U154" s="162"/>
      <c r="V154" s="161"/>
    </row>
    <row r="155" spans="1:22" ht="15" hidden="1" customHeight="1">
      <c r="A155" s="128" t="s">
        <v>353</v>
      </c>
      <c r="B155" s="129"/>
      <c r="C155" s="130"/>
      <c r="D155" s="131" t="s">
        <v>130</v>
      </c>
      <c r="E155" s="132" t="s">
        <v>354</v>
      </c>
      <c r="F155" s="127"/>
      <c r="G155" s="133" t="s">
        <v>45</v>
      </c>
      <c r="H155" s="134"/>
      <c r="I155" s="156"/>
      <c r="J155" s="157"/>
      <c r="K155" s="158"/>
      <c r="L155" s="159"/>
      <c r="M155" s="127"/>
      <c r="N155" s="160"/>
      <c r="O155" s="161"/>
      <c r="P155" s="162"/>
      <c r="Q155" s="162"/>
      <c r="R155" s="161"/>
      <c r="S155" s="161"/>
      <c r="T155" s="162"/>
      <c r="U155" s="162"/>
      <c r="V155" s="161"/>
    </row>
    <row r="156" spans="1:22" ht="15" hidden="1" customHeight="1">
      <c r="A156" s="128" t="s">
        <v>355</v>
      </c>
      <c r="B156" s="129"/>
      <c r="C156" s="130"/>
      <c r="D156" s="131" t="s">
        <v>130</v>
      </c>
      <c r="E156" s="132" t="s">
        <v>356</v>
      </c>
      <c r="F156" s="127"/>
      <c r="G156" s="133" t="s">
        <v>45</v>
      </c>
      <c r="H156" s="134"/>
      <c r="I156" s="156"/>
      <c r="J156" s="157"/>
      <c r="K156" s="158"/>
      <c r="L156" s="159"/>
      <c r="M156" s="127"/>
      <c r="N156" s="160"/>
      <c r="O156" s="161"/>
      <c r="P156" s="162"/>
      <c r="Q156" s="162"/>
      <c r="R156" s="161"/>
      <c r="S156" s="161"/>
      <c r="T156" s="162"/>
      <c r="U156" s="162"/>
      <c r="V156" s="161"/>
    </row>
    <row r="157" spans="1:22" ht="15" hidden="1" customHeight="1">
      <c r="A157" s="128" t="s">
        <v>357</v>
      </c>
      <c r="B157" s="129"/>
      <c r="C157" s="130"/>
      <c r="D157" s="131" t="s">
        <v>130</v>
      </c>
      <c r="E157" s="132" t="s">
        <v>358</v>
      </c>
      <c r="F157" s="127"/>
      <c r="G157" s="133" t="s">
        <v>45</v>
      </c>
      <c r="H157" s="134"/>
      <c r="I157" s="156"/>
      <c r="J157" s="157"/>
      <c r="K157" s="158"/>
      <c r="L157" s="159"/>
      <c r="M157" s="127"/>
      <c r="N157" s="160"/>
      <c r="O157" s="161"/>
      <c r="P157" s="162"/>
      <c r="Q157" s="162"/>
      <c r="R157" s="161"/>
      <c r="S157" s="161"/>
      <c r="T157" s="162"/>
      <c r="U157" s="162"/>
      <c r="V157" s="161"/>
    </row>
    <row r="158" spans="1:22" ht="15" hidden="1" customHeight="1">
      <c r="A158" s="128" t="s">
        <v>359</v>
      </c>
      <c r="B158" s="129"/>
      <c r="C158" s="130"/>
      <c r="D158" s="131" t="s">
        <v>130</v>
      </c>
      <c r="E158" s="132" t="s">
        <v>360</v>
      </c>
      <c r="F158" s="127"/>
      <c r="G158" s="133" t="s">
        <v>45</v>
      </c>
      <c r="H158" s="134"/>
      <c r="I158" s="156"/>
      <c r="J158" s="157"/>
      <c r="K158" s="158"/>
      <c r="L158" s="159"/>
      <c r="M158" s="127"/>
      <c r="N158" s="160"/>
      <c r="O158" s="161"/>
      <c r="P158" s="162"/>
      <c r="Q158" s="162"/>
      <c r="R158" s="161"/>
      <c r="S158" s="161"/>
      <c r="T158" s="162"/>
      <c r="U158" s="162"/>
      <c r="V158" s="161"/>
    </row>
    <row r="159" spans="1:22" ht="15" customHeight="1">
      <c r="A159" s="128" t="s">
        <v>361</v>
      </c>
      <c r="B159" s="129"/>
      <c r="C159" s="130"/>
      <c r="D159" s="131" t="s">
        <v>130</v>
      </c>
      <c r="E159" s="132" t="s">
        <v>362</v>
      </c>
      <c r="F159" s="127"/>
      <c r="G159" s="133" t="s">
        <v>130</v>
      </c>
      <c r="H159" s="134"/>
      <c r="I159" s="156" t="s">
        <v>41</v>
      </c>
      <c r="J159" s="157"/>
      <c r="K159" s="158"/>
      <c r="L159" s="159"/>
      <c r="M159" s="127"/>
      <c r="N159" s="160"/>
      <c r="O159" s="161"/>
      <c r="P159" s="162"/>
      <c r="Q159" s="162"/>
      <c r="R159" s="161"/>
      <c r="S159" s="161"/>
      <c r="T159" s="162"/>
      <c r="U159" s="162"/>
      <c r="V159" s="161"/>
    </row>
    <row r="160" spans="1:22" ht="15" customHeight="1">
      <c r="A160" s="128" t="s">
        <v>363</v>
      </c>
      <c r="B160" s="129"/>
      <c r="C160" s="130"/>
      <c r="D160" s="131" t="s">
        <v>130</v>
      </c>
      <c r="E160" s="132" t="s">
        <v>364</v>
      </c>
      <c r="F160" s="127"/>
      <c r="G160" s="133" t="s">
        <v>130</v>
      </c>
      <c r="H160" s="134"/>
      <c r="I160" s="156" t="s">
        <v>41</v>
      </c>
      <c r="J160" s="157"/>
      <c r="K160" s="158"/>
      <c r="L160" s="159"/>
      <c r="M160" s="127"/>
      <c r="N160" s="160"/>
      <c r="O160" s="161"/>
      <c r="P160" s="162"/>
      <c r="Q160" s="162"/>
      <c r="R160" s="161"/>
      <c r="S160" s="161"/>
      <c r="T160" s="162"/>
      <c r="U160" s="162"/>
      <c r="V160" s="161"/>
    </row>
    <row r="161" spans="1:22" ht="15" customHeight="1">
      <c r="A161" s="128" t="s">
        <v>365</v>
      </c>
      <c r="B161" s="129"/>
      <c r="C161" s="130"/>
      <c r="D161" s="131" t="s">
        <v>130</v>
      </c>
      <c r="E161" s="132" t="s">
        <v>366</v>
      </c>
      <c r="F161" s="127"/>
      <c r="G161" s="133" t="s">
        <v>130</v>
      </c>
      <c r="H161" s="134"/>
      <c r="I161" s="156" t="s">
        <v>41</v>
      </c>
      <c r="J161" s="157"/>
      <c r="K161" s="158"/>
      <c r="L161" s="159"/>
      <c r="M161" s="127"/>
      <c r="N161" s="160"/>
      <c r="O161" s="161"/>
      <c r="P161" s="162"/>
      <c r="Q161" s="162"/>
      <c r="R161" s="161"/>
      <c r="S161" s="161"/>
      <c r="T161" s="162"/>
      <c r="U161" s="162"/>
      <c r="V161" s="161"/>
    </row>
    <row r="162" spans="1:22" ht="15" customHeight="1">
      <c r="A162" s="128" t="s">
        <v>367</v>
      </c>
      <c r="B162" s="129"/>
      <c r="C162" s="130"/>
      <c r="D162" s="131" t="s">
        <v>130</v>
      </c>
      <c r="E162" s="132" t="s">
        <v>368</v>
      </c>
      <c r="F162" s="127"/>
      <c r="G162" s="133" t="s">
        <v>130</v>
      </c>
      <c r="H162" s="134"/>
      <c r="I162" s="156" t="s">
        <v>41</v>
      </c>
      <c r="J162" s="157"/>
      <c r="K162" s="158"/>
      <c r="L162" s="159"/>
      <c r="M162" s="127"/>
      <c r="N162" s="160"/>
      <c r="O162" s="161"/>
      <c r="P162" s="162"/>
      <c r="Q162" s="162"/>
      <c r="R162" s="161"/>
      <c r="S162" s="161"/>
      <c r="T162" s="162"/>
      <c r="U162" s="162"/>
      <c r="V162" s="161"/>
    </row>
    <row r="163" spans="1:22" ht="15" customHeight="1">
      <c r="A163" s="128" t="s">
        <v>369</v>
      </c>
      <c r="B163" s="129"/>
      <c r="C163" s="130"/>
      <c r="D163" s="131" t="s">
        <v>130</v>
      </c>
      <c r="E163" s="132" t="s">
        <v>370</v>
      </c>
      <c r="F163" s="127"/>
      <c r="G163" s="133" t="s">
        <v>130</v>
      </c>
      <c r="H163" s="134"/>
      <c r="I163" s="156" t="s">
        <v>41</v>
      </c>
      <c r="J163" s="157"/>
      <c r="K163" s="158"/>
      <c r="L163" s="159"/>
      <c r="M163" s="127"/>
      <c r="N163" s="160"/>
      <c r="O163" s="161"/>
      <c r="P163" s="162"/>
      <c r="Q163" s="162"/>
      <c r="R163" s="161"/>
      <c r="S163" s="161"/>
      <c r="T163" s="162"/>
      <c r="U163" s="162"/>
      <c r="V163" s="161"/>
    </row>
    <row r="164" spans="1:22" ht="15" customHeight="1">
      <c r="A164" s="128" t="s">
        <v>371</v>
      </c>
      <c r="B164" s="129"/>
      <c r="C164" s="130"/>
      <c r="D164" s="131" t="s">
        <v>130</v>
      </c>
      <c r="E164" s="132" t="s">
        <v>372</v>
      </c>
      <c r="F164" s="127"/>
      <c r="G164" s="133" t="s">
        <v>130</v>
      </c>
      <c r="H164" s="134"/>
      <c r="I164" s="156" t="s">
        <v>41</v>
      </c>
      <c r="J164" s="157"/>
      <c r="K164" s="158"/>
      <c r="L164" s="159"/>
      <c r="M164" s="127"/>
      <c r="N164" s="160"/>
      <c r="O164" s="161"/>
      <c r="P164" s="162"/>
      <c r="Q164" s="162"/>
      <c r="R164" s="161"/>
      <c r="S164" s="161"/>
      <c r="T164" s="162"/>
      <c r="U164" s="162"/>
      <c r="V164" s="161"/>
    </row>
    <row r="165" spans="1:22" ht="15" customHeight="1">
      <c r="A165" s="128" t="s">
        <v>373</v>
      </c>
      <c r="B165" s="129"/>
      <c r="C165" s="130"/>
      <c r="D165" s="131" t="s">
        <v>374</v>
      </c>
      <c r="E165" s="132" t="s">
        <v>375</v>
      </c>
      <c r="F165" s="127"/>
      <c r="G165" s="133" t="s">
        <v>374</v>
      </c>
      <c r="H165" s="134"/>
      <c r="I165" s="156" t="s">
        <v>41</v>
      </c>
      <c r="J165" s="157"/>
      <c r="K165" s="158"/>
      <c r="L165" s="159"/>
      <c r="M165" s="127"/>
      <c r="N165" s="160"/>
      <c r="O165" s="161"/>
      <c r="P165" s="162"/>
      <c r="Q165" s="162"/>
      <c r="R165" s="161"/>
      <c r="S165" s="161"/>
      <c r="T165" s="162"/>
      <c r="U165" s="162"/>
      <c r="V165" s="161"/>
    </row>
    <row r="166" spans="1:22" ht="15" customHeight="1">
      <c r="A166" s="128" t="s">
        <v>376</v>
      </c>
      <c r="B166" s="129"/>
      <c r="C166" s="130"/>
      <c r="D166" s="131" t="s">
        <v>374</v>
      </c>
      <c r="E166" s="132" t="s">
        <v>377</v>
      </c>
      <c r="F166" s="127"/>
      <c r="G166" s="133" t="s">
        <v>374</v>
      </c>
      <c r="H166" s="134"/>
      <c r="I166" s="156" t="s">
        <v>41</v>
      </c>
      <c r="J166" s="157"/>
      <c r="K166" s="158"/>
      <c r="L166" s="159"/>
      <c r="M166" s="127"/>
      <c r="N166" s="160"/>
      <c r="O166" s="161"/>
      <c r="P166" s="162"/>
      <c r="Q166" s="162"/>
      <c r="R166" s="161"/>
      <c r="S166" s="161"/>
      <c r="T166" s="162"/>
      <c r="U166" s="162"/>
      <c r="V166" s="161"/>
    </row>
    <row r="167" spans="1:22" ht="15" customHeight="1">
      <c r="A167" s="128" t="s">
        <v>378</v>
      </c>
      <c r="B167" s="129"/>
      <c r="C167" s="130"/>
      <c r="D167" s="131" t="s">
        <v>374</v>
      </c>
      <c r="E167" s="132" t="s">
        <v>379</v>
      </c>
      <c r="F167" s="127"/>
      <c r="G167" s="133" t="s">
        <v>374</v>
      </c>
      <c r="H167" s="134"/>
      <c r="I167" s="156" t="s">
        <v>41</v>
      </c>
      <c r="J167" s="157"/>
      <c r="K167" s="158"/>
      <c r="L167" s="159"/>
      <c r="M167" s="127"/>
      <c r="N167" s="160"/>
      <c r="O167" s="161"/>
      <c r="P167" s="162"/>
      <c r="Q167" s="162"/>
      <c r="R167" s="161"/>
      <c r="S167" s="161"/>
      <c r="T167" s="162"/>
      <c r="U167" s="162"/>
      <c r="V167" s="161"/>
    </row>
    <row r="168" spans="1:22" ht="15" customHeight="1">
      <c r="A168" s="128" t="s">
        <v>380</v>
      </c>
      <c r="B168" s="129"/>
      <c r="C168" s="130"/>
      <c r="D168" s="131" t="s">
        <v>374</v>
      </c>
      <c r="E168" s="132" t="s">
        <v>381</v>
      </c>
      <c r="F168" s="127"/>
      <c r="G168" s="133" t="s">
        <v>374</v>
      </c>
      <c r="H168" s="134"/>
      <c r="I168" s="156" t="s">
        <v>41</v>
      </c>
      <c r="J168" s="157"/>
      <c r="K168" s="158"/>
      <c r="L168" s="159"/>
      <c r="M168" s="127"/>
      <c r="N168" s="160"/>
      <c r="O168" s="161"/>
      <c r="P168" s="162"/>
      <c r="Q168" s="162"/>
      <c r="R168" s="161"/>
      <c r="S168" s="161"/>
      <c r="T168" s="162"/>
      <c r="U168" s="162"/>
      <c r="V168" s="161"/>
    </row>
    <row r="169" spans="1:22" ht="15" customHeight="1">
      <c r="A169" s="128" t="s">
        <v>382</v>
      </c>
      <c r="B169" s="129"/>
      <c r="C169" s="130"/>
      <c r="D169" s="131" t="s">
        <v>374</v>
      </c>
      <c r="E169" s="132" t="s">
        <v>383</v>
      </c>
      <c r="F169" s="127"/>
      <c r="G169" s="133" t="s">
        <v>374</v>
      </c>
      <c r="H169" s="134"/>
      <c r="I169" s="156" t="s">
        <v>41</v>
      </c>
      <c r="J169" s="157"/>
      <c r="K169" s="158"/>
      <c r="L169" s="159"/>
      <c r="M169" s="127"/>
      <c r="N169" s="160"/>
      <c r="O169" s="161"/>
      <c r="P169" s="162"/>
      <c r="Q169" s="162"/>
      <c r="R169" s="161"/>
      <c r="S169" s="161"/>
      <c r="T169" s="162"/>
      <c r="U169" s="162"/>
      <c r="V169" s="161"/>
    </row>
    <row r="170" spans="1:22" ht="15" customHeight="1">
      <c r="A170" s="128" t="s">
        <v>384</v>
      </c>
      <c r="B170" s="129"/>
      <c r="C170" s="130"/>
      <c r="D170" s="131" t="s">
        <v>374</v>
      </c>
      <c r="E170" s="132" t="s">
        <v>385</v>
      </c>
      <c r="F170" s="127"/>
      <c r="G170" s="133" t="s">
        <v>374</v>
      </c>
      <c r="H170" s="134"/>
      <c r="I170" s="156" t="s">
        <v>41</v>
      </c>
      <c r="J170" s="157"/>
      <c r="K170" s="158"/>
      <c r="L170" s="159"/>
      <c r="M170" s="127"/>
      <c r="N170" s="160"/>
      <c r="O170" s="161"/>
      <c r="P170" s="162"/>
      <c r="Q170" s="162"/>
      <c r="R170" s="161"/>
      <c r="S170" s="161"/>
      <c r="T170" s="162"/>
      <c r="U170" s="162"/>
      <c r="V170" s="161"/>
    </row>
    <row r="171" spans="1:22" ht="15" customHeight="1">
      <c r="A171" s="128" t="s">
        <v>386</v>
      </c>
      <c r="B171" s="129"/>
      <c r="C171" s="130"/>
      <c r="D171" s="131" t="s">
        <v>374</v>
      </c>
      <c r="E171" s="132" t="s">
        <v>387</v>
      </c>
      <c r="F171" s="127"/>
      <c r="G171" s="133" t="s">
        <v>374</v>
      </c>
      <c r="H171" s="134"/>
      <c r="I171" s="156" t="s">
        <v>41</v>
      </c>
      <c r="J171" s="157"/>
      <c r="K171" s="158"/>
      <c r="L171" s="159"/>
      <c r="M171" s="127"/>
      <c r="N171" s="160"/>
      <c r="O171" s="161"/>
      <c r="P171" s="162"/>
      <c r="Q171" s="162"/>
      <c r="R171" s="161"/>
      <c r="S171" s="161"/>
      <c r="T171" s="162"/>
      <c r="U171" s="162"/>
      <c r="V171" s="161"/>
    </row>
    <row r="172" spans="1:22" ht="15" customHeight="1">
      <c r="A172" s="128" t="s">
        <v>388</v>
      </c>
      <c r="B172" s="129"/>
      <c r="C172" s="130"/>
      <c r="D172" s="131" t="s">
        <v>374</v>
      </c>
      <c r="E172" s="132" t="s">
        <v>389</v>
      </c>
      <c r="F172" s="127"/>
      <c r="G172" s="133" t="s">
        <v>374</v>
      </c>
      <c r="H172" s="134"/>
      <c r="I172" s="156" t="s">
        <v>41</v>
      </c>
      <c r="J172" s="157"/>
      <c r="K172" s="158"/>
      <c r="L172" s="159"/>
      <c r="M172" s="127"/>
      <c r="N172" s="160"/>
      <c r="O172" s="161"/>
      <c r="P172" s="162"/>
      <c r="Q172" s="162"/>
      <c r="R172" s="161"/>
      <c r="S172" s="161"/>
      <c r="T172" s="162"/>
      <c r="U172" s="162"/>
      <c r="V172" s="161"/>
    </row>
    <row r="173" spans="1:22" ht="15" customHeight="1">
      <c r="A173" s="128" t="s">
        <v>390</v>
      </c>
      <c r="B173" s="129"/>
      <c r="C173" s="130"/>
      <c r="D173" s="131" t="s">
        <v>374</v>
      </c>
      <c r="E173" s="132" t="s">
        <v>391</v>
      </c>
      <c r="F173" s="127"/>
      <c r="G173" s="133" t="s">
        <v>374</v>
      </c>
      <c r="H173" s="134"/>
      <c r="I173" s="156" t="s">
        <v>41</v>
      </c>
      <c r="J173" s="157"/>
      <c r="K173" s="158"/>
      <c r="L173" s="159"/>
      <c r="M173" s="127"/>
      <c r="N173" s="160"/>
      <c r="O173" s="161"/>
      <c r="P173" s="162"/>
      <c r="Q173" s="162"/>
      <c r="R173" s="161"/>
      <c r="S173" s="161"/>
      <c r="T173" s="162"/>
      <c r="U173" s="162"/>
      <c r="V173" s="161"/>
    </row>
    <row r="174" spans="1:22" ht="15" customHeight="1">
      <c r="A174" s="128" t="s">
        <v>392</v>
      </c>
      <c r="B174" s="129"/>
      <c r="C174" s="130"/>
      <c r="D174" s="131" t="s">
        <v>374</v>
      </c>
      <c r="E174" s="132" t="s">
        <v>393</v>
      </c>
      <c r="F174" s="127"/>
      <c r="G174" s="133" t="s">
        <v>374</v>
      </c>
      <c r="H174" s="134"/>
      <c r="I174" s="156" t="s">
        <v>41</v>
      </c>
      <c r="J174" s="157"/>
      <c r="K174" s="158"/>
      <c r="L174" s="159"/>
      <c r="M174" s="127"/>
      <c r="N174" s="160"/>
      <c r="O174" s="161"/>
      <c r="P174" s="162"/>
      <c r="Q174" s="162"/>
      <c r="R174" s="161"/>
      <c r="S174" s="161"/>
      <c r="T174" s="162"/>
      <c r="U174" s="162"/>
      <c r="V174" s="161"/>
    </row>
    <row r="175" spans="1:22" ht="15" customHeight="1">
      <c r="A175" s="210" t="s">
        <v>1373</v>
      </c>
      <c r="B175" s="129"/>
      <c r="C175" s="130"/>
      <c r="D175" s="131" t="s">
        <v>112</v>
      </c>
      <c r="E175" s="132" t="s">
        <v>394</v>
      </c>
      <c r="F175" s="127"/>
      <c r="G175" s="133" t="s">
        <v>112</v>
      </c>
      <c r="H175" s="134"/>
      <c r="I175" s="156" t="s">
        <v>41</v>
      </c>
      <c r="J175" s="157"/>
      <c r="K175" s="158"/>
      <c r="L175" s="159"/>
      <c r="M175" s="127"/>
      <c r="N175" s="160"/>
      <c r="O175" s="161"/>
      <c r="P175" s="162"/>
      <c r="Q175" s="162"/>
      <c r="R175" s="161"/>
      <c r="S175" s="161"/>
      <c r="T175" s="162"/>
      <c r="U175" s="162"/>
      <c r="V175" s="161"/>
    </row>
    <row r="176" spans="1:22" ht="15" customHeight="1">
      <c r="A176" s="128" t="s">
        <v>395</v>
      </c>
      <c r="B176" s="129"/>
      <c r="C176" s="130"/>
      <c r="D176" s="131" t="s">
        <v>130</v>
      </c>
      <c r="E176" s="132" t="s">
        <v>396</v>
      </c>
      <c r="F176" s="127"/>
      <c r="G176" s="133" t="s">
        <v>130</v>
      </c>
      <c r="H176" s="134"/>
      <c r="I176" s="156" t="s">
        <v>41</v>
      </c>
      <c r="J176" s="157"/>
      <c r="K176" s="158"/>
      <c r="L176" s="159"/>
      <c r="M176" s="127"/>
      <c r="N176" s="160"/>
      <c r="O176" s="161"/>
      <c r="P176" s="162"/>
      <c r="Q176" s="162"/>
      <c r="R176" s="161"/>
      <c r="S176" s="161"/>
      <c r="T176" s="162"/>
      <c r="U176" s="162"/>
      <c r="V176" s="161"/>
    </row>
    <row r="177" spans="1:22" ht="15" hidden="1" customHeight="1">
      <c r="A177" s="128" t="s">
        <v>397</v>
      </c>
      <c r="B177" s="129"/>
      <c r="C177" s="130"/>
      <c r="D177" s="131" t="s">
        <v>130</v>
      </c>
      <c r="E177" s="132" t="s">
        <v>398</v>
      </c>
      <c r="F177" s="127"/>
      <c r="G177" s="133" t="s">
        <v>45</v>
      </c>
      <c r="H177" s="134"/>
      <c r="I177" s="156"/>
      <c r="J177" s="157"/>
      <c r="K177" s="158"/>
      <c r="L177" s="159"/>
      <c r="M177" s="127"/>
      <c r="N177" s="160"/>
      <c r="O177" s="161"/>
      <c r="P177" s="162"/>
      <c r="Q177" s="162"/>
      <c r="R177" s="161"/>
      <c r="S177" s="161"/>
      <c r="T177" s="162"/>
      <c r="U177" s="162"/>
      <c r="V177" s="161"/>
    </row>
    <row r="178" spans="1:22" ht="15" hidden="1" customHeight="1">
      <c r="A178" s="128" t="s">
        <v>399</v>
      </c>
      <c r="B178" s="129"/>
      <c r="C178" s="130"/>
      <c r="D178" s="131" t="s">
        <v>130</v>
      </c>
      <c r="E178" s="132" t="s">
        <v>400</v>
      </c>
      <c r="F178" s="127"/>
      <c r="G178" s="133" t="s">
        <v>45</v>
      </c>
      <c r="H178" s="134"/>
      <c r="I178" s="156"/>
      <c r="J178" s="157"/>
      <c r="K178" s="158"/>
      <c r="L178" s="159"/>
      <c r="M178" s="127"/>
      <c r="N178" s="160"/>
      <c r="O178" s="161"/>
      <c r="P178" s="162"/>
      <c r="Q178" s="162"/>
      <c r="R178" s="161"/>
      <c r="S178" s="161"/>
      <c r="T178" s="162"/>
      <c r="U178" s="162"/>
      <c r="V178" s="161"/>
    </row>
    <row r="179" spans="1:22" ht="15" hidden="1" customHeight="1">
      <c r="A179" s="128" t="s">
        <v>401</v>
      </c>
      <c r="B179" s="129"/>
      <c r="C179" s="130"/>
      <c r="D179" s="131" t="s">
        <v>130</v>
      </c>
      <c r="E179" s="132" t="s">
        <v>402</v>
      </c>
      <c r="F179" s="127"/>
      <c r="G179" s="133" t="s">
        <v>45</v>
      </c>
      <c r="H179" s="134"/>
      <c r="I179" s="156"/>
      <c r="J179" s="157"/>
      <c r="K179" s="158"/>
      <c r="L179" s="159"/>
      <c r="M179" s="127"/>
      <c r="N179" s="160"/>
      <c r="O179" s="161"/>
      <c r="P179" s="162"/>
      <c r="Q179" s="162"/>
      <c r="R179" s="161"/>
      <c r="S179" s="161"/>
      <c r="T179" s="162"/>
      <c r="U179" s="162"/>
      <c r="V179" s="161"/>
    </row>
    <row r="180" spans="1:22" ht="15" hidden="1" customHeight="1">
      <c r="A180" s="128" t="s">
        <v>403</v>
      </c>
      <c r="B180" s="129"/>
      <c r="C180" s="130"/>
      <c r="D180" s="131" t="s">
        <v>130</v>
      </c>
      <c r="E180" s="132" t="s">
        <v>404</v>
      </c>
      <c r="F180" s="127"/>
      <c r="G180" s="133" t="s">
        <v>45</v>
      </c>
      <c r="H180" s="134"/>
      <c r="I180" s="156"/>
      <c r="J180" s="157"/>
      <c r="K180" s="158"/>
      <c r="L180" s="159"/>
      <c r="M180" s="127"/>
      <c r="N180" s="160"/>
      <c r="O180" s="161"/>
      <c r="P180" s="162"/>
      <c r="Q180" s="162"/>
      <c r="R180" s="161"/>
      <c r="S180" s="161"/>
      <c r="T180" s="162"/>
      <c r="U180" s="162"/>
      <c r="V180" s="161"/>
    </row>
    <row r="181" spans="1:22" ht="15" hidden="1" customHeight="1">
      <c r="A181" s="128" t="s">
        <v>405</v>
      </c>
      <c r="B181" s="129"/>
      <c r="C181" s="130"/>
      <c r="D181" s="131" t="s">
        <v>130</v>
      </c>
      <c r="E181" s="132" t="s">
        <v>406</v>
      </c>
      <c r="F181" s="127"/>
      <c r="G181" s="133" t="s">
        <v>45</v>
      </c>
      <c r="H181" s="134"/>
      <c r="I181" s="156"/>
      <c r="J181" s="157"/>
      <c r="K181" s="158"/>
      <c r="L181" s="159"/>
      <c r="M181" s="127"/>
      <c r="N181" s="160"/>
      <c r="O181" s="161"/>
      <c r="P181" s="162"/>
      <c r="Q181" s="162"/>
      <c r="R181" s="161"/>
      <c r="S181" s="161"/>
      <c r="T181" s="162"/>
      <c r="U181" s="162"/>
      <c r="V181" s="161"/>
    </row>
    <row r="182" spans="1:22" ht="15" hidden="1" customHeight="1">
      <c r="A182" s="128" t="s">
        <v>407</v>
      </c>
      <c r="B182" s="129"/>
      <c r="C182" s="130"/>
      <c r="D182" s="131" t="s">
        <v>130</v>
      </c>
      <c r="E182" s="132" t="s">
        <v>408</v>
      </c>
      <c r="F182" s="127"/>
      <c r="G182" s="133" t="s">
        <v>45</v>
      </c>
      <c r="H182" s="134"/>
      <c r="I182" s="156"/>
      <c r="J182" s="157"/>
      <c r="K182" s="158"/>
      <c r="L182" s="159"/>
      <c r="M182" s="127"/>
      <c r="N182" s="160"/>
      <c r="O182" s="161"/>
      <c r="P182" s="162"/>
      <c r="Q182" s="162"/>
      <c r="R182" s="161"/>
      <c r="S182" s="161"/>
      <c r="T182" s="162"/>
      <c r="U182" s="162"/>
      <c r="V182" s="161"/>
    </row>
    <row r="183" spans="1:22" ht="15" hidden="1" customHeight="1">
      <c r="A183" s="128" t="s">
        <v>409</v>
      </c>
      <c r="B183" s="129"/>
      <c r="C183" s="130"/>
      <c r="D183" s="131" t="s">
        <v>130</v>
      </c>
      <c r="E183" s="132" t="s">
        <v>410</v>
      </c>
      <c r="F183" s="127"/>
      <c r="G183" s="133" t="s">
        <v>45</v>
      </c>
      <c r="H183" s="134"/>
      <c r="I183" s="156"/>
      <c r="J183" s="157"/>
      <c r="K183" s="158"/>
      <c r="L183" s="159"/>
      <c r="M183" s="127"/>
      <c r="N183" s="160"/>
      <c r="O183" s="161"/>
      <c r="P183" s="162"/>
      <c r="Q183" s="162"/>
      <c r="R183" s="161"/>
      <c r="S183" s="161"/>
      <c r="T183" s="162"/>
      <c r="U183" s="162"/>
      <c r="V183" s="161"/>
    </row>
    <row r="184" spans="1:22" ht="15" customHeight="1">
      <c r="A184" s="128" t="s">
        <v>411</v>
      </c>
      <c r="B184" s="129"/>
      <c r="C184" s="130"/>
      <c r="D184" s="131" t="s">
        <v>122</v>
      </c>
      <c r="E184" s="132" t="s">
        <v>412</v>
      </c>
      <c r="F184" s="127"/>
      <c r="G184" s="133" t="s">
        <v>122</v>
      </c>
      <c r="H184" s="134"/>
      <c r="I184" s="156" t="s">
        <v>41</v>
      </c>
      <c r="J184" s="157"/>
      <c r="K184" s="158"/>
      <c r="L184" s="159"/>
      <c r="M184" s="127"/>
      <c r="N184" s="160"/>
      <c r="O184" s="161"/>
      <c r="P184" s="162"/>
      <c r="Q184" s="162"/>
      <c r="R184" s="161"/>
      <c r="S184" s="161"/>
      <c r="T184" s="162"/>
      <c r="U184" s="162"/>
      <c r="V184" s="161"/>
    </row>
    <row r="185" spans="1:22" ht="15" customHeight="1">
      <c r="A185" s="128" t="s">
        <v>413</v>
      </c>
      <c r="B185" s="129"/>
      <c r="C185" s="130"/>
      <c r="D185" s="131" t="s">
        <v>122</v>
      </c>
      <c r="E185" s="132" t="s">
        <v>414</v>
      </c>
      <c r="F185" s="127"/>
      <c r="G185" s="133" t="s">
        <v>122</v>
      </c>
      <c r="H185" s="134"/>
      <c r="I185" s="156" t="s">
        <v>41</v>
      </c>
      <c r="J185" s="157"/>
      <c r="K185" s="158"/>
      <c r="L185" s="159"/>
      <c r="M185" s="127"/>
      <c r="N185" s="160"/>
      <c r="O185" s="161"/>
      <c r="P185" s="162"/>
      <c r="Q185" s="162"/>
      <c r="R185" s="161"/>
      <c r="S185" s="161"/>
      <c r="T185" s="162"/>
      <c r="U185" s="162"/>
      <c r="V185" s="161"/>
    </row>
    <row r="186" spans="1:22" ht="15" customHeight="1">
      <c r="A186" s="128" t="s">
        <v>415</v>
      </c>
      <c r="B186" s="129"/>
      <c r="C186" s="130"/>
      <c r="D186" s="131" t="s">
        <v>122</v>
      </c>
      <c r="E186" s="132" t="s">
        <v>416</v>
      </c>
      <c r="F186" s="127"/>
      <c r="G186" s="133" t="s">
        <v>122</v>
      </c>
      <c r="H186" s="134"/>
      <c r="I186" s="156" t="s">
        <v>41</v>
      </c>
      <c r="J186" s="157"/>
      <c r="K186" s="158"/>
      <c r="L186" s="159"/>
      <c r="M186" s="127"/>
      <c r="N186" s="160"/>
      <c r="O186" s="161"/>
      <c r="P186" s="162"/>
      <c r="Q186" s="162"/>
      <c r="R186" s="161"/>
      <c r="S186" s="161"/>
      <c r="T186" s="162"/>
      <c r="U186" s="162"/>
      <c r="V186" s="161"/>
    </row>
    <row r="187" spans="1:22" ht="15" customHeight="1">
      <c r="A187" s="128" t="s">
        <v>417</v>
      </c>
      <c r="B187" s="129"/>
      <c r="C187" s="130"/>
      <c r="D187" s="131" t="s">
        <v>122</v>
      </c>
      <c r="E187" s="132" t="s">
        <v>418</v>
      </c>
      <c r="F187" s="127"/>
      <c r="G187" s="133" t="s">
        <v>122</v>
      </c>
      <c r="H187" s="134"/>
      <c r="I187" s="156" t="s">
        <v>41</v>
      </c>
      <c r="J187" s="157"/>
      <c r="K187" s="158"/>
      <c r="L187" s="159"/>
      <c r="M187" s="127"/>
      <c r="N187" s="160"/>
      <c r="O187" s="161"/>
      <c r="P187" s="162"/>
      <c r="Q187" s="162"/>
      <c r="R187" s="161"/>
      <c r="S187" s="161"/>
      <c r="T187" s="162"/>
      <c r="U187" s="162"/>
      <c r="V187" s="161"/>
    </row>
    <row r="188" spans="1:22" ht="15" customHeight="1">
      <c r="A188" s="128" t="s">
        <v>419</v>
      </c>
      <c r="B188" s="129"/>
      <c r="C188" s="130"/>
      <c r="D188" s="131" t="s">
        <v>122</v>
      </c>
      <c r="E188" s="132" t="s">
        <v>420</v>
      </c>
      <c r="F188" s="127"/>
      <c r="G188" s="133" t="s">
        <v>122</v>
      </c>
      <c r="H188" s="134"/>
      <c r="I188" s="156" t="s">
        <v>41</v>
      </c>
      <c r="J188" s="157"/>
      <c r="K188" s="158"/>
      <c r="L188" s="159"/>
      <c r="M188" s="127"/>
      <c r="N188" s="160"/>
      <c r="O188" s="161"/>
      <c r="P188" s="162"/>
      <c r="Q188" s="162"/>
      <c r="R188" s="161"/>
      <c r="S188" s="161"/>
      <c r="T188" s="162"/>
      <c r="U188" s="162"/>
      <c r="V188" s="161"/>
    </row>
    <row r="189" spans="1:22" ht="15" customHeight="1">
      <c r="A189" s="128" t="s">
        <v>421</v>
      </c>
      <c r="B189" s="129"/>
      <c r="C189" s="130"/>
      <c r="D189" s="131" t="s">
        <v>122</v>
      </c>
      <c r="E189" s="132" t="s">
        <v>422</v>
      </c>
      <c r="F189" s="127"/>
      <c r="G189" s="133" t="s">
        <v>122</v>
      </c>
      <c r="H189" s="134"/>
      <c r="I189" s="156" t="s">
        <v>41</v>
      </c>
      <c r="J189" s="157"/>
      <c r="K189" s="158"/>
      <c r="L189" s="159"/>
      <c r="M189" s="127"/>
      <c r="N189" s="160"/>
      <c r="O189" s="161"/>
      <c r="P189" s="162"/>
      <c r="Q189" s="162"/>
      <c r="R189" s="161"/>
      <c r="S189" s="161"/>
      <c r="T189" s="162"/>
      <c r="U189" s="162"/>
      <c r="V189" s="161"/>
    </row>
    <row r="190" spans="1:22" ht="15" customHeight="1">
      <c r="A190" s="128" t="s">
        <v>423</v>
      </c>
      <c r="B190" s="129"/>
      <c r="C190" s="130"/>
      <c r="D190" s="131" t="s">
        <v>122</v>
      </c>
      <c r="E190" s="132" t="s">
        <v>424</v>
      </c>
      <c r="F190" s="127"/>
      <c r="G190" s="133" t="s">
        <v>122</v>
      </c>
      <c r="H190" s="134"/>
      <c r="I190" s="156" t="s">
        <v>41</v>
      </c>
      <c r="J190" s="157"/>
      <c r="K190" s="158"/>
      <c r="L190" s="159"/>
      <c r="M190" s="127"/>
      <c r="N190" s="160"/>
      <c r="O190" s="161"/>
      <c r="P190" s="162"/>
      <c r="Q190" s="162"/>
      <c r="R190" s="161"/>
      <c r="S190" s="161"/>
      <c r="T190" s="162"/>
      <c r="U190" s="162"/>
      <c r="V190" s="161"/>
    </row>
    <row r="191" spans="1:22" ht="15" hidden="1" customHeight="1">
      <c r="A191" s="128" t="s">
        <v>425</v>
      </c>
      <c r="B191" s="129"/>
      <c r="C191" s="130"/>
      <c r="D191" s="131" t="s">
        <v>112</v>
      </c>
      <c r="E191" s="132" t="s">
        <v>426</v>
      </c>
      <c r="F191" s="127"/>
      <c r="G191" s="133" t="s">
        <v>45</v>
      </c>
      <c r="H191" s="134"/>
      <c r="I191" s="156"/>
      <c r="J191" s="157"/>
      <c r="K191" s="158"/>
      <c r="L191" s="159"/>
      <c r="M191" s="127"/>
      <c r="N191" s="160"/>
      <c r="O191" s="161"/>
      <c r="P191" s="162"/>
      <c r="Q191" s="162"/>
      <c r="R191" s="161"/>
      <c r="S191" s="161"/>
      <c r="T191" s="162"/>
      <c r="U191" s="162"/>
      <c r="V191" s="161"/>
    </row>
    <row r="192" spans="1:22" ht="15" hidden="1" customHeight="1">
      <c r="A192" s="128" t="s">
        <v>427</v>
      </c>
      <c r="B192" s="129"/>
      <c r="C192" s="130"/>
      <c r="D192" s="131" t="s">
        <v>112</v>
      </c>
      <c r="E192" s="132" t="s">
        <v>428</v>
      </c>
      <c r="F192" s="127"/>
      <c r="G192" s="133" t="s">
        <v>45</v>
      </c>
      <c r="H192" s="134"/>
      <c r="I192" s="156"/>
      <c r="J192" s="157"/>
      <c r="K192" s="158"/>
      <c r="L192" s="159"/>
      <c r="M192" s="127"/>
      <c r="N192" s="160"/>
      <c r="O192" s="161"/>
      <c r="P192" s="162"/>
      <c r="Q192" s="162"/>
      <c r="R192" s="161"/>
      <c r="S192" s="161"/>
      <c r="T192" s="162"/>
      <c r="U192" s="162"/>
      <c r="V192" s="161"/>
    </row>
    <row r="193" spans="1:22" ht="15" hidden="1" customHeight="1">
      <c r="A193" s="128" t="s">
        <v>429</v>
      </c>
      <c r="B193" s="129"/>
      <c r="C193" s="130"/>
      <c r="D193" s="131" t="s">
        <v>112</v>
      </c>
      <c r="E193" s="132" t="s">
        <v>430</v>
      </c>
      <c r="F193" s="127"/>
      <c r="G193" s="133" t="s">
        <v>45</v>
      </c>
      <c r="H193" s="134"/>
      <c r="I193" s="156"/>
      <c r="J193" s="157"/>
      <c r="K193" s="158"/>
      <c r="L193" s="159"/>
      <c r="M193" s="127"/>
      <c r="N193" s="160"/>
      <c r="O193" s="161"/>
      <c r="P193" s="162"/>
      <c r="Q193" s="162"/>
      <c r="R193" s="161"/>
      <c r="S193" s="161"/>
      <c r="T193" s="162"/>
      <c r="U193" s="162"/>
      <c r="V193" s="161"/>
    </row>
    <row r="194" spans="1:22" ht="15" hidden="1" customHeight="1">
      <c r="A194" s="128" t="s">
        <v>431</v>
      </c>
      <c r="B194" s="129"/>
      <c r="C194" s="130"/>
      <c r="D194" s="131" t="s">
        <v>112</v>
      </c>
      <c r="E194" s="132" t="s">
        <v>432</v>
      </c>
      <c r="F194" s="127"/>
      <c r="G194" s="133" t="s">
        <v>45</v>
      </c>
      <c r="H194" s="134"/>
      <c r="I194" s="156"/>
      <c r="J194" s="157"/>
      <c r="K194" s="158"/>
      <c r="L194" s="159"/>
      <c r="M194" s="127"/>
      <c r="N194" s="160"/>
      <c r="O194" s="161"/>
      <c r="P194" s="162"/>
      <c r="Q194" s="162"/>
      <c r="R194" s="161"/>
      <c r="S194" s="161"/>
      <c r="T194" s="162"/>
      <c r="U194" s="162"/>
      <c r="V194" s="161"/>
    </row>
    <row r="195" spans="1:22" ht="15" hidden="1" customHeight="1">
      <c r="A195" s="128" t="s">
        <v>433</v>
      </c>
      <c r="B195" s="129"/>
      <c r="C195" s="130"/>
      <c r="D195" s="131" t="s">
        <v>112</v>
      </c>
      <c r="E195" s="132" t="s">
        <v>434</v>
      </c>
      <c r="F195" s="127"/>
      <c r="G195" s="133" t="s">
        <v>45</v>
      </c>
      <c r="H195" s="134"/>
      <c r="I195" s="156"/>
      <c r="J195" s="157"/>
      <c r="K195" s="158"/>
      <c r="L195" s="159"/>
      <c r="M195" s="127"/>
      <c r="N195" s="160"/>
      <c r="O195" s="161"/>
      <c r="P195" s="162"/>
      <c r="Q195" s="162"/>
      <c r="R195" s="161"/>
      <c r="S195" s="161"/>
      <c r="T195" s="162"/>
      <c r="U195" s="162"/>
      <c r="V195" s="161"/>
    </row>
    <row r="196" spans="1:22" ht="15" hidden="1" customHeight="1">
      <c r="A196" s="128" t="s">
        <v>435</v>
      </c>
      <c r="B196" s="129"/>
      <c r="C196" s="130"/>
      <c r="D196" s="131" t="s">
        <v>112</v>
      </c>
      <c r="E196" s="132" t="s">
        <v>436</v>
      </c>
      <c r="F196" s="127"/>
      <c r="G196" s="133" t="s">
        <v>45</v>
      </c>
      <c r="H196" s="134"/>
      <c r="I196" s="156"/>
      <c r="J196" s="157"/>
      <c r="K196" s="158"/>
      <c r="L196" s="159"/>
      <c r="M196" s="127"/>
      <c r="N196" s="160"/>
      <c r="O196" s="161"/>
      <c r="P196" s="162"/>
      <c r="Q196" s="162"/>
      <c r="R196" s="161"/>
      <c r="S196" s="161"/>
      <c r="T196" s="162"/>
      <c r="U196" s="162"/>
      <c r="V196" s="161"/>
    </row>
    <row r="197" spans="1:22" ht="15" hidden="1" customHeight="1">
      <c r="A197" s="128" t="s">
        <v>437</v>
      </c>
      <c r="B197" s="129"/>
      <c r="C197" s="130"/>
      <c r="D197" s="131" t="s">
        <v>112</v>
      </c>
      <c r="E197" s="132" t="s">
        <v>438</v>
      </c>
      <c r="F197" s="127"/>
      <c r="G197" s="133" t="s">
        <v>45</v>
      </c>
      <c r="H197" s="134"/>
      <c r="I197" s="156"/>
      <c r="J197" s="157"/>
      <c r="K197" s="158"/>
      <c r="L197" s="159"/>
      <c r="M197" s="127"/>
      <c r="N197" s="160"/>
      <c r="O197" s="161"/>
      <c r="P197" s="162"/>
      <c r="Q197" s="162"/>
      <c r="R197" s="161"/>
      <c r="S197" s="161"/>
      <c r="T197" s="162"/>
      <c r="U197" s="162"/>
      <c r="V197" s="161"/>
    </row>
    <row r="198" spans="1:22" ht="15" hidden="1" customHeight="1">
      <c r="A198" s="128" t="s">
        <v>439</v>
      </c>
      <c r="B198" s="129"/>
      <c r="C198" s="130"/>
      <c r="D198" s="131" t="s">
        <v>112</v>
      </c>
      <c r="E198" s="132" t="s">
        <v>440</v>
      </c>
      <c r="F198" s="127"/>
      <c r="G198" s="133" t="s">
        <v>45</v>
      </c>
      <c r="H198" s="134"/>
      <c r="I198" s="156"/>
      <c r="J198" s="157"/>
      <c r="K198" s="158"/>
      <c r="L198" s="159"/>
      <c r="M198" s="127"/>
      <c r="N198" s="160"/>
      <c r="O198" s="161"/>
      <c r="P198" s="162"/>
      <c r="Q198" s="162"/>
      <c r="R198" s="161"/>
      <c r="S198" s="161"/>
      <c r="T198" s="162"/>
      <c r="U198" s="162"/>
      <c r="V198" s="161"/>
    </row>
    <row r="199" spans="1:22" ht="15" hidden="1" customHeight="1">
      <c r="A199" s="128" t="s">
        <v>441</v>
      </c>
      <c r="B199" s="129"/>
      <c r="C199" s="130"/>
      <c r="D199" s="131" t="s">
        <v>112</v>
      </c>
      <c r="E199" s="132" t="s">
        <v>442</v>
      </c>
      <c r="F199" s="127"/>
      <c r="G199" s="133" t="s">
        <v>45</v>
      </c>
      <c r="H199" s="134"/>
      <c r="I199" s="156"/>
      <c r="J199" s="157"/>
      <c r="K199" s="158"/>
      <c r="L199" s="159"/>
      <c r="M199" s="127"/>
      <c r="N199" s="160"/>
      <c r="O199" s="161"/>
      <c r="P199" s="162"/>
      <c r="Q199" s="162"/>
      <c r="R199" s="161"/>
      <c r="S199" s="161"/>
      <c r="T199" s="162"/>
      <c r="U199" s="162"/>
      <c r="V199" s="161"/>
    </row>
    <row r="200" spans="1:22" ht="15" hidden="1" customHeight="1">
      <c r="A200" s="128" t="s">
        <v>443</v>
      </c>
      <c r="B200" s="129"/>
      <c r="C200" s="130"/>
      <c r="D200" s="131" t="s">
        <v>112</v>
      </c>
      <c r="E200" s="132" t="s">
        <v>444</v>
      </c>
      <c r="F200" s="127"/>
      <c r="G200" s="133" t="s">
        <v>45</v>
      </c>
      <c r="H200" s="134"/>
      <c r="I200" s="156"/>
      <c r="J200" s="157"/>
      <c r="K200" s="158"/>
      <c r="L200" s="159"/>
      <c r="M200" s="127"/>
      <c r="N200" s="160"/>
      <c r="O200" s="161"/>
      <c r="P200" s="162"/>
      <c r="Q200" s="162"/>
      <c r="R200" s="161"/>
      <c r="S200" s="161"/>
      <c r="T200" s="162"/>
      <c r="U200" s="162"/>
      <c r="V200" s="161"/>
    </row>
    <row r="201" spans="1:22" ht="15" hidden="1" customHeight="1">
      <c r="A201" s="128" t="s">
        <v>445</v>
      </c>
      <c r="B201" s="129"/>
      <c r="C201" s="130"/>
      <c r="D201" s="131" t="s">
        <v>117</v>
      </c>
      <c r="E201" s="132" t="s">
        <v>446</v>
      </c>
      <c r="F201" s="127"/>
      <c r="G201" s="133" t="s">
        <v>45</v>
      </c>
      <c r="H201" s="134"/>
      <c r="I201" s="156"/>
      <c r="J201" s="157"/>
      <c r="K201" s="158"/>
      <c r="L201" s="159"/>
      <c r="M201" s="127"/>
      <c r="N201" s="160"/>
      <c r="O201" s="161"/>
      <c r="P201" s="162"/>
      <c r="Q201" s="162"/>
      <c r="R201" s="161"/>
      <c r="S201" s="161"/>
      <c r="T201" s="162"/>
      <c r="U201" s="162"/>
      <c r="V201" s="161"/>
    </row>
    <row r="202" spans="1:22" ht="15" customHeight="1">
      <c r="A202" s="128" t="s">
        <v>447</v>
      </c>
      <c r="B202" s="129"/>
      <c r="C202" s="130"/>
      <c r="D202" s="131" t="s">
        <v>117</v>
      </c>
      <c r="E202" s="132" t="s">
        <v>448</v>
      </c>
      <c r="F202" s="127"/>
      <c r="G202" s="133" t="s">
        <v>117</v>
      </c>
      <c r="H202" s="134"/>
      <c r="I202" s="156" t="s">
        <v>41</v>
      </c>
      <c r="J202" s="157"/>
      <c r="K202" s="158"/>
      <c r="L202" s="159"/>
      <c r="M202" s="127"/>
      <c r="N202" s="160"/>
      <c r="O202" s="161"/>
      <c r="P202" s="162"/>
      <c r="Q202" s="162"/>
      <c r="R202" s="161"/>
      <c r="S202" s="161"/>
      <c r="T202" s="162"/>
      <c r="U202" s="162"/>
      <c r="V202" s="161"/>
    </row>
    <row r="203" spans="1:22" ht="15" customHeight="1">
      <c r="A203" s="128" t="s">
        <v>449</v>
      </c>
      <c r="B203" s="129"/>
      <c r="C203" s="130"/>
      <c r="D203" s="131" t="s">
        <v>122</v>
      </c>
      <c r="E203" s="132" t="s">
        <v>450</v>
      </c>
      <c r="F203" s="127"/>
      <c r="G203" s="133" t="s">
        <v>122</v>
      </c>
      <c r="H203" s="134"/>
      <c r="I203" s="156" t="s">
        <v>41</v>
      </c>
      <c r="J203" s="157"/>
      <c r="K203" s="158"/>
      <c r="L203" s="159"/>
      <c r="M203" s="127"/>
      <c r="N203" s="160"/>
      <c r="O203" s="161"/>
      <c r="P203" s="162"/>
      <c r="Q203" s="162"/>
      <c r="R203" s="161"/>
      <c r="S203" s="161"/>
      <c r="T203" s="162"/>
      <c r="U203" s="162"/>
      <c r="V203" s="161"/>
    </row>
    <row r="204" spans="1:22" ht="15" customHeight="1">
      <c r="A204" s="128" t="s">
        <v>451</v>
      </c>
      <c r="B204" s="129"/>
      <c r="C204" s="130"/>
      <c r="D204" s="131" t="s">
        <v>122</v>
      </c>
      <c r="E204" s="132" t="s">
        <v>452</v>
      </c>
      <c r="F204" s="127"/>
      <c r="G204" s="133" t="s">
        <v>122</v>
      </c>
      <c r="H204" s="134"/>
      <c r="I204" s="156" t="s">
        <v>41</v>
      </c>
      <c r="J204" s="157"/>
      <c r="K204" s="158"/>
      <c r="L204" s="159"/>
      <c r="M204" s="127"/>
      <c r="N204" s="160"/>
      <c r="O204" s="161"/>
      <c r="P204" s="162"/>
      <c r="Q204" s="162"/>
      <c r="R204" s="161"/>
      <c r="S204" s="161"/>
      <c r="T204" s="162"/>
      <c r="U204" s="162"/>
      <c r="V204" s="161"/>
    </row>
    <row r="205" spans="1:22" ht="15" customHeight="1">
      <c r="A205" s="128" t="s">
        <v>453</v>
      </c>
      <c r="B205" s="129"/>
      <c r="C205" s="130"/>
      <c r="D205" s="131" t="s">
        <v>122</v>
      </c>
      <c r="E205" s="132" t="s">
        <v>454</v>
      </c>
      <c r="F205" s="127"/>
      <c r="G205" s="133" t="s">
        <v>122</v>
      </c>
      <c r="H205" s="134"/>
      <c r="I205" s="156" t="s">
        <v>41</v>
      </c>
      <c r="J205" s="157"/>
      <c r="K205" s="158"/>
      <c r="L205" s="159"/>
      <c r="M205" s="127"/>
      <c r="N205" s="160"/>
      <c r="O205" s="161"/>
      <c r="P205" s="162"/>
      <c r="Q205" s="162"/>
      <c r="R205" s="161"/>
      <c r="S205" s="161"/>
      <c r="T205" s="162"/>
      <c r="U205" s="162"/>
      <c r="V205" s="161"/>
    </row>
    <row r="206" spans="1:22" ht="15" customHeight="1">
      <c r="A206" s="128" t="s">
        <v>455</v>
      </c>
      <c r="B206" s="129"/>
      <c r="C206" s="130"/>
      <c r="D206" s="131" t="s">
        <v>122</v>
      </c>
      <c r="E206" s="132" t="s">
        <v>456</v>
      </c>
      <c r="F206" s="127"/>
      <c r="G206" s="133" t="s">
        <v>122</v>
      </c>
      <c r="H206" s="134"/>
      <c r="I206" s="156" t="s">
        <v>41</v>
      </c>
      <c r="J206" s="157"/>
      <c r="K206" s="158"/>
      <c r="L206" s="159"/>
      <c r="M206" s="127"/>
      <c r="N206" s="160"/>
      <c r="O206" s="161"/>
      <c r="P206" s="162"/>
      <c r="Q206" s="162"/>
      <c r="R206" s="161"/>
      <c r="S206" s="161"/>
      <c r="T206" s="162"/>
      <c r="U206" s="162"/>
      <c r="V206" s="161"/>
    </row>
    <row r="207" spans="1:22" ht="15" customHeight="1">
      <c r="A207" s="128" t="s">
        <v>457</v>
      </c>
      <c r="B207" s="129"/>
      <c r="C207" s="130"/>
      <c r="D207" s="131" t="s">
        <v>122</v>
      </c>
      <c r="E207" s="132" t="s">
        <v>458</v>
      </c>
      <c r="F207" s="127"/>
      <c r="G207" s="133" t="s">
        <v>122</v>
      </c>
      <c r="H207" s="134"/>
      <c r="I207" s="156" t="s">
        <v>41</v>
      </c>
      <c r="J207" s="157"/>
      <c r="K207" s="158"/>
      <c r="L207" s="159"/>
      <c r="M207" s="127"/>
      <c r="N207" s="160"/>
      <c r="O207" s="161"/>
      <c r="P207" s="162"/>
      <c r="Q207" s="162"/>
      <c r="R207" s="161"/>
      <c r="S207" s="161"/>
      <c r="T207" s="162"/>
      <c r="U207" s="162"/>
      <c r="V207" s="161"/>
    </row>
    <row r="208" spans="1:22" ht="15" customHeight="1">
      <c r="A208" s="128" t="s">
        <v>459</v>
      </c>
      <c r="B208" s="129"/>
      <c r="C208" s="130"/>
      <c r="D208" s="131" t="s">
        <v>122</v>
      </c>
      <c r="E208" s="132" t="s">
        <v>460</v>
      </c>
      <c r="F208" s="127"/>
      <c r="G208" s="133" t="s">
        <v>122</v>
      </c>
      <c r="H208" s="134"/>
      <c r="I208" s="156" t="s">
        <v>41</v>
      </c>
      <c r="J208" s="157"/>
      <c r="K208" s="158"/>
      <c r="L208" s="159"/>
      <c r="M208" s="127"/>
      <c r="N208" s="160"/>
      <c r="O208" s="161"/>
      <c r="P208" s="162"/>
      <c r="Q208" s="162"/>
      <c r="R208" s="161"/>
      <c r="S208" s="161"/>
      <c r="T208" s="162"/>
      <c r="U208" s="162"/>
      <c r="V208" s="161"/>
    </row>
    <row r="209" spans="1:22" ht="15" customHeight="1">
      <c r="A209" s="128" t="s">
        <v>461</v>
      </c>
      <c r="B209" s="129"/>
      <c r="C209" s="130"/>
      <c r="D209" s="131" t="s">
        <v>122</v>
      </c>
      <c r="E209" s="132" t="s">
        <v>462</v>
      </c>
      <c r="F209" s="127"/>
      <c r="G209" s="133" t="s">
        <v>122</v>
      </c>
      <c r="H209" s="134"/>
      <c r="I209" s="156" t="s">
        <v>41</v>
      </c>
      <c r="J209" s="157"/>
      <c r="K209" s="158"/>
      <c r="L209" s="159"/>
      <c r="M209" s="127"/>
      <c r="N209" s="160"/>
      <c r="O209" s="161"/>
      <c r="P209" s="162"/>
      <c r="Q209" s="162"/>
      <c r="R209" s="161"/>
      <c r="S209" s="161"/>
      <c r="T209" s="162"/>
      <c r="U209" s="162"/>
      <c r="V209" s="161"/>
    </row>
    <row r="210" spans="1:22" ht="15" customHeight="1">
      <c r="A210" s="128" t="s">
        <v>463</v>
      </c>
      <c r="B210" s="129"/>
      <c r="C210" s="130"/>
      <c r="D210" s="131" t="s">
        <v>117</v>
      </c>
      <c r="E210" s="132" t="s">
        <v>464</v>
      </c>
      <c r="F210" s="127"/>
      <c r="G210" s="133" t="s">
        <v>117</v>
      </c>
      <c r="H210" s="134"/>
      <c r="I210" s="156" t="s">
        <v>41</v>
      </c>
      <c r="J210" s="157"/>
      <c r="K210" s="158"/>
      <c r="L210" s="159"/>
      <c r="M210" s="127"/>
      <c r="N210" s="160"/>
      <c r="O210" s="161"/>
      <c r="P210" s="162"/>
      <c r="Q210" s="162"/>
      <c r="R210" s="161"/>
      <c r="S210" s="161"/>
      <c r="T210" s="162"/>
      <c r="U210" s="162"/>
      <c r="V210" s="161"/>
    </row>
    <row r="211" spans="1:22" ht="15" customHeight="1">
      <c r="A211" s="128" t="s">
        <v>465</v>
      </c>
      <c r="B211" s="129"/>
      <c r="C211" s="130"/>
      <c r="D211" s="131" t="s">
        <v>117</v>
      </c>
      <c r="E211" s="132" t="s">
        <v>466</v>
      </c>
      <c r="F211" s="127"/>
      <c r="G211" s="133" t="s">
        <v>117</v>
      </c>
      <c r="H211" s="134"/>
      <c r="I211" s="156" t="s">
        <v>41</v>
      </c>
      <c r="J211" s="157"/>
      <c r="K211" s="158"/>
      <c r="L211" s="159"/>
      <c r="M211" s="127"/>
      <c r="N211" s="160"/>
      <c r="O211" s="161"/>
      <c r="P211" s="162"/>
      <c r="Q211" s="162"/>
      <c r="R211" s="161"/>
      <c r="S211" s="161"/>
      <c r="T211" s="162"/>
      <c r="U211" s="162"/>
      <c r="V211" s="161"/>
    </row>
    <row r="212" spans="1:22" ht="15" customHeight="1">
      <c r="A212" s="128" t="s">
        <v>467</v>
      </c>
      <c r="B212" s="129"/>
      <c r="C212" s="130"/>
      <c r="D212" s="131" t="s">
        <v>117</v>
      </c>
      <c r="E212" s="132" t="s">
        <v>468</v>
      </c>
      <c r="F212" s="127"/>
      <c r="G212" s="133" t="s">
        <v>117</v>
      </c>
      <c r="H212" s="134"/>
      <c r="I212" s="156" t="s">
        <v>41</v>
      </c>
      <c r="J212" s="157"/>
      <c r="K212" s="158"/>
      <c r="L212" s="159"/>
      <c r="M212" s="127"/>
      <c r="N212" s="160"/>
      <c r="O212" s="161"/>
      <c r="P212" s="162"/>
      <c r="Q212" s="162"/>
      <c r="R212" s="161"/>
      <c r="S212" s="161"/>
      <c r="T212" s="162"/>
      <c r="U212" s="162"/>
      <c r="V212" s="161"/>
    </row>
    <row r="213" spans="1:22" ht="15" hidden="1" customHeight="1">
      <c r="A213" s="128" t="s">
        <v>469</v>
      </c>
      <c r="B213" s="129"/>
      <c r="C213" s="130"/>
      <c r="D213" s="131" t="s">
        <v>470</v>
      </c>
      <c r="E213" s="132" t="s">
        <v>471</v>
      </c>
      <c r="F213" s="127"/>
      <c r="G213" s="133" t="s">
        <v>45</v>
      </c>
      <c r="H213" s="134"/>
      <c r="I213" s="156"/>
      <c r="J213" s="157"/>
      <c r="K213" s="158"/>
      <c r="L213" s="159"/>
      <c r="M213" s="127"/>
      <c r="N213" s="160"/>
      <c r="O213" s="161"/>
      <c r="P213" s="162"/>
      <c r="Q213" s="162"/>
      <c r="R213" s="161"/>
      <c r="S213" s="161"/>
      <c r="T213" s="162"/>
      <c r="U213" s="162"/>
      <c r="V213" s="161"/>
    </row>
    <row r="214" spans="1:22" ht="15" customHeight="1">
      <c r="A214" s="210" t="s">
        <v>1375</v>
      </c>
      <c r="B214" s="129"/>
      <c r="C214" s="130"/>
      <c r="D214" s="131" t="s">
        <v>470</v>
      </c>
      <c r="E214" s="132" t="s">
        <v>472</v>
      </c>
      <c r="F214" s="127"/>
      <c r="G214" s="133" t="s">
        <v>470</v>
      </c>
      <c r="H214" s="134"/>
      <c r="I214" s="156" t="s">
        <v>41</v>
      </c>
      <c r="J214" s="157"/>
      <c r="K214" s="158"/>
      <c r="L214" s="159"/>
      <c r="M214" s="127"/>
      <c r="N214" s="160"/>
      <c r="O214" s="161"/>
      <c r="P214" s="162"/>
      <c r="Q214" s="162"/>
      <c r="R214" s="161"/>
      <c r="S214" s="161"/>
      <c r="T214" s="162"/>
      <c r="U214" s="162"/>
      <c r="V214" s="161"/>
    </row>
    <row r="215" spans="1:22" ht="15" hidden="1" customHeight="1">
      <c r="A215" s="128" t="s">
        <v>473</v>
      </c>
      <c r="B215" s="129"/>
      <c r="C215" s="130"/>
      <c r="D215" s="131" t="s">
        <v>122</v>
      </c>
      <c r="E215" s="132" t="s">
        <v>474</v>
      </c>
      <c r="F215" s="127"/>
      <c r="G215" s="165" t="s">
        <v>45</v>
      </c>
      <c r="H215" s="134"/>
      <c r="I215" s="156"/>
      <c r="J215" s="157"/>
      <c r="K215" s="158"/>
      <c r="L215" s="159"/>
      <c r="M215" s="127"/>
      <c r="N215" s="160"/>
      <c r="O215" s="161"/>
      <c r="P215" s="162"/>
      <c r="Q215" s="162"/>
      <c r="R215" s="161"/>
      <c r="S215" s="161"/>
      <c r="T215" s="162"/>
      <c r="U215" s="162"/>
      <c r="V215" s="161"/>
    </row>
    <row r="216" spans="1:22" ht="15" customHeight="1">
      <c r="A216" s="210" t="s">
        <v>1376</v>
      </c>
      <c r="B216" s="129"/>
      <c r="C216" s="130"/>
      <c r="D216" s="131" t="s">
        <v>117</v>
      </c>
      <c r="E216" s="132" t="s">
        <v>475</v>
      </c>
      <c r="F216" s="127"/>
      <c r="G216" s="133" t="s">
        <v>117</v>
      </c>
      <c r="H216" s="134"/>
      <c r="I216" s="156" t="s">
        <v>41</v>
      </c>
      <c r="J216" s="157"/>
      <c r="K216" s="158"/>
      <c r="L216" s="159"/>
      <c r="M216" s="127"/>
      <c r="N216" s="160"/>
      <c r="O216" s="161"/>
      <c r="P216" s="162"/>
      <c r="Q216" s="162"/>
      <c r="R216" s="161"/>
      <c r="S216" s="161"/>
      <c r="T216" s="162"/>
      <c r="U216" s="162"/>
      <c r="V216" s="161"/>
    </row>
    <row r="217" spans="1:22" ht="15" hidden="1" customHeight="1">
      <c r="A217" s="128" t="s">
        <v>476</v>
      </c>
      <c r="B217" s="129"/>
      <c r="C217" s="130"/>
      <c r="D217" s="131" t="s">
        <v>130</v>
      </c>
      <c r="E217" s="132" t="s">
        <v>477</v>
      </c>
      <c r="F217" s="127"/>
      <c r="G217" s="133" t="s">
        <v>45</v>
      </c>
      <c r="H217" s="134"/>
      <c r="I217" s="156"/>
      <c r="J217" s="157"/>
      <c r="K217" s="158"/>
      <c r="L217" s="159"/>
      <c r="M217" s="127"/>
      <c r="N217" s="160"/>
      <c r="O217" s="161"/>
      <c r="P217" s="162"/>
      <c r="Q217" s="162"/>
      <c r="R217" s="161"/>
      <c r="S217" s="161"/>
      <c r="T217" s="162"/>
      <c r="U217" s="162"/>
      <c r="V217" s="161"/>
    </row>
    <row r="218" spans="1:22" ht="15" hidden="1" customHeight="1">
      <c r="A218" s="128" t="s">
        <v>478</v>
      </c>
      <c r="B218" s="129"/>
      <c r="C218" s="130"/>
      <c r="D218" s="131" t="s">
        <v>112</v>
      </c>
      <c r="E218" s="132" t="s">
        <v>479</v>
      </c>
      <c r="F218" s="127"/>
      <c r="G218" s="133" t="s">
        <v>45</v>
      </c>
      <c r="H218" s="134"/>
      <c r="I218" s="156"/>
      <c r="J218" s="157"/>
      <c r="K218" s="158"/>
      <c r="L218" s="159"/>
      <c r="M218" s="127"/>
      <c r="N218" s="160"/>
      <c r="O218" s="161"/>
      <c r="P218" s="162"/>
      <c r="Q218" s="162"/>
      <c r="R218" s="161"/>
      <c r="S218" s="161"/>
      <c r="T218" s="162"/>
      <c r="U218" s="162"/>
      <c r="V218" s="161"/>
    </row>
    <row r="219" spans="1:22" ht="15" customHeight="1">
      <c r="A219" s="210" t="s">
        <v>1377</v>
      </c>
      <c r="B219" s="129"/>
      <c r="C219" s="130"/>
      <c r="D219" s="131" t="s">
        <v>117</v>
      </c>
      <c r="E219" s="132" t="s">
        <v>480</v>
      </c>
      <c r="F219" s="127"/>
      <c r="G219" s="133" t="s">
        <v>117</v>
      </c>
      <c r="H219" s="134"/>
      <c r="I219" s="156" t="s">
        <v>41</v>
      </c>
      <c r="J219" s="157"/>
      <c r="K219" s="158"/>
      <c r="L219" s="159"/>
      <c r="M219" s="127"/>
      <c r="N219" s="160"/>
      <c r="O219" s="161"/>
      <c r="P219" s="162"/>
      <c r="Q219" s="162"/>
      <c r="R219" s="161"/>
      <c r="S219" s="161"/>
      <c r="T219" s="162"/>
      <c r="U219" s="162"/>
      <c r="V219" s="161"/>
    </row>
    <row r="220" spans="1:22" ht="15" customHeight="1">
      <c r="A220" s="128" t="s">
        <v>481</v>
      </c>
      <c r="B220" s="129"/>
      <c r="C220" s="130"/>
      <c r="D220" s="131" t="s">
        <v>117</v>
      </c>
      <c r="E220" s="132" t="s">
        <v>482</v>
      </c>
      <c r="F220" s="127"/>
      <c r="G220" s="133" t="s">
        <v>117</v>
      </c>
      <c r="H220" s="134"/>
      <c r="I220" s="156" t="s">
        <v>41</v>
      </c>
      <c r="J220" s="157"/>
      <c r="K220" s="158"/>
      <c r="L220" s="159"/>
      <c r="M220" s="127"/>
      <c r="N220" s="160"/>
      <c r="O220" s="161"/>
      <c r="P220" s="162"/>
      <c r="Q220" s="162"/>
      <c r="R220" s="161"/>
      <c r="S220" s="161"/>
      <c r="T220" s="162"/>
      <c r="U220" s="162"/>
      <c r="V220" s="161"/>
    </row>
    <row r="221" spans="1:22" ht="15" hidden="1" customHeight="1">
      <c r="A221" s="128" t="s">
        <v>483</v>
      </c>
      <c r="B221" s="129"/>
      <c r="C221" s="130"/>
      <c r="D221" s="131" t="s">
        <v>125</v>
      </c>
      <c r="E221" s="132" t="s">
        <v>484</v>
      </c>
      <c r="F221" s="127"/>
      <c r="G221" s="133" t="s">
        <v>45</v>
      </c>
      <c r="H221" s="134"/>
      <c r="I221" s="156"/>
      <c r="J221" s="157"/>
      <c r="K221" s="158"/>
      <c r="L221" s="159"/>
      <c r="M221" s="127"/>
      <c r="N221" s="160"/>
      <c r="O221" s="161"/>
      <c r="P221" s="162"/>
      <c r="Q221" s="162"/>
      <c r="R221" s="161"/>
      <c r="S221" s="161"/>
      <c r="T221" s="162"/>
      <c r="U221" s="162"/>
      <c r="V221" s="161"/>
    </row>
    <row r="222" spans="1:22" ht="15" hidden="1" customHeight="1">
      <c r="A222" s="128" t="s">
        <v>485</v>
      </c>
      <c r="B222" s="129"/>
      <c r="C222" s="130"/>
      <c r="D222" s="131" t="s">
        <v>125</v>
      </c>
      <c r="E222" s="132" t="s">
        <v>486</v>
      </c>
      <c r="F222" s="127"/>
      <c r="G222" s="133" t="s">
        <v>45</v>
      </c>
      <c r="H222" s="134"/>
      <c r="I222" s="156"/>
      <c r="J222" s="157"/>
      <c r="K222" s="158"/>
      <c r="L222" s="159"/>
      <c r="M222" s="127"/>
      <c r="N222" s="160"/>
      <c r="O222" s="161"/>
      <c r="P222" s="162"/>
      <c r="Q222" s="162"/>
      <c r="R222" s="161"/>
      <c r="S222" s="161"/>
      <c r="T222" s="162"/>
      <c r="U222" s="162"/>
      <c r="V222" s="161"/>
    </row>
    <row r="223" spans="1:22" ht="15" hidden="1" customHeight="1">
      <c r="A223" s="128" t="s">
        <v>487</v>
      </c>
      <c r="B223" s="129"/>
      <c r="C223" s="130"/>
      <c r="D223" s="131" t="s">
        <v>125</v>
      </c>
      <c r="E223" s="132" t="s">
        <v>488</v>
      </c>
      <c r="F223" s="127"/>
      <c r="G223" s="133" t="s">
        <v>45</v>
      </c>
      <c r="H223" s="134"/>
      <c r="I223" s="156"/>
      <c r="J223" s="157"/>
      <c r="K223" s="158"/>
      <c r="L223" s="159"/>
      <c r="M223" s="127"/>
      <c r="N223" s="160"/>
      <c r="O223" s="161"/>
      <c r="P223" s="162"/>
      <c r="Q223" s="162"/>
      <c r="R223" s="161"/>
      <c r="S223" s="161"/>
      <c r="T223" s="162"/>
      <c r="U223" s="162"/>
      <c r="V223" s="161"/>
    </row>
    <row r="224" spans="1:22" ht="15" hidden="1" customHeight="1">
      <c r="A224" s="128" t="s">
        <v>489</v>
      </c>
      <c r="B224" s="129"/>
      <c r="C224" s="130"/>
      <c r="D224" s="131" t="s">
        <v>125</v>
      </c>
      <c r="E224" s="132" t="s">
        <v>490</v>
      </c>
      <c r="F224" s="127"/>
      <c r="G224" s="133" t="s">
        <v>45</v>
      </c>
      <c r="H224" s="134"/>
      <c r="I224" s="156"/>
      <c r="J224" s="157"/>
      <c r="K224" s="158"/>
      <c r="L224" s="159"/>
      <c r="M224" s="127"/>
      <c r="N224" s="160"/>
      <c r="O224" s="161"/>
      <c r="P224" s="162"/>
      <c r="Q224" s="162"/>
      <c r="R224" s="161"/>
      <c r="S224" s="161"/>
      <c r="T224" s="162"/>
      <c r="U224" s="162"/>
      <c r="V224" s="161"/>
    </row>
    <row r="225" spans="1:22" ht="15" hidden="1" customHeight="1">
      <c r="A225" s="128" t="s">
        <v>491</v>
      </c>
      <c r="B225" s="129"/>
      <c r="C225" s="130"/>
      <c r="D225" s="131" t="s">
        <v>125</v>
      </c>
      <c r="E225" s="132" t="s">
        <v>492</v>
      </c>
      <c r="F225" s="127"/>
      <c r="G225" s="133" t="s">
        <v>45</v>
      </c>
      <c r="H225" s="134"/>
      <c r="I225" s="156"/>
      <c r="J225" s="157"/>
      <c r="K225" s="158"/>
      <c r="L225" s="159"/>
      <c r="M225" s="127"/>
      <c r="N225" s="160"/>
      <c r="O225" s="161"/>
      <c r="P225" s="162"/>
      <c r="Q225" s="162"/>
      <c r="R225" s="161"/>
      <c r="S225" s="161"/>
      <c r="T225" s="162"/>
      <c r="U225" s="162"/>
      <c r="V225" s="161"/>
    </row>
    <row r="226" spans="1:22" ht="15" hidden="1" customHeight="1">
      <c r="A226" s="128" t="s">
        <v>493</v>
      </c>
      <c r="B226" s="129"/>
      <c r="C226" s="130"/>
      <c r="D226" s="131" t="s">
        <v>125</v>
      </c>
      <c r="E226" s="132" t="s">
        <v>494</v>
      </c>
      <c r="F226" s="127"/>
      <c r="G226" s="133" t="s">
        <v>45</v>
      </c>
      <c r="H226" s="134"/>
      <c r="I226" s="156"/>
      <c r="J226" s="157"/>
      <c r="K226" s="158"/>
      <c r="L226" s="159"/>
      <c r="M226" s="127"/>
      <c r="N226" s="160"/>
      <c r="O226" s="161"/>
      <c r="P226" s="162"/>
      <c r="Q226" s="162"/>
      <c r="R226" s="161"/>
      <c r="S226" s="161"/>
      <c r="T226" s="162"/>
      <c r="U226" s="162"/>
      <c r="V226" s="161"/>
    </row>
    <row r="227" spans="1:22" ht="15" hidden="1" customHeight="1">
      <c r="A227" s="128" t="s">
        <v>495</v>
      </c>
      <c r="B227" s="129"/>
      <c r="C227" s="130"/>
      <c r="D227" s="131" t="s">
        <v>125</v>
      </c>
      <c r="E227" s="132" t="s">
        <v>496</v>
      </c>
      <c r="F227" s="127"/>
      <c r="G227" s="133" t="s">
        <v>45</v>
      </c>
      <c r="H227" s="134"/>
      <c r="I227" s="156"/>
      <c r="J227" s="157"/>
      <c r="K227" s="158"/>
      <c r="L227" s="159"/>
      <c r="M227" s="127"/>
      <c r="N227" s="160"/>
      <c r="O227" s="161"/>
      <c r="P227" s="162"/>
      <c r="Q227" s="162"/>
      <c r="R227" s="161"/>
      <c r="S227" s="161"/>
      <c r="T227" s="162"/>
      <c r="U227" s="162"/>
      <c r="V227" s="161"/>
    </row>
    <row r="228" spans="1:22" ht="15" hidden="1" customHeight="1">
      <c r="A228" s="128" t="s">
        <v>497</v>
      </c>
      <c r="B228" s="129"/>
      <c r="C228" s="130"/>
      <c r="D228" s="131" t="s">
        <v>125</v>
      </c>
      <c r="E228" s="132" t="s">
        <v>498</v>
      </c>
      <c r="F228" s="127"/>
      <c r="G228" s="133" t="s">
        <v>45</v>
      </c>
      <c r="H228" s="134"/>
      <c r="I228" s="156"/>
      <c r="J228" s="157"/>
      <c r="K228" s="158"/>
      <c r="L228" s="159"/>
      <c r="M228" s="127"/>
      <c r="N228" s="160"/>
      <c r="O228" s="161"/>
      <c r="P228" s="162"/>
      <c r="Q228" s="162"/>
      <c r="R228" s="161"/>
      <c r="S228" s="161"/>
      <c r="T228" s="162"/>
      <c r="U228" s="162"/>
      <c r="V228" s="161"/>
    </row>
    <row r="229" spans="1:22" ht="15" customHeight="1">
      <c r="A229" s="128" t="s">
        <v>499</v>
      </c>
      <c r="B229" s="129"/>
      <c r="C229" s="130"/>
      <c r="D229" s="131" t="s">
        <v>130</v>
      </c>
      <c r="E229" s="132" t="s">
        <v>500</v>
      </c>
      <c r="F229" s="127"/>
      <c r="G229" s="133" t="s">
        <v>130</v>
      </c>
      <c r="H229" s="134"/>
      <c r="I229" s="156" t="s">
        <v>41</v>
      </c>
      <c r="J229" s="157"/>
      <c r="K229" s="158"/>
      <c r="L229" s="159"/>
      <c r="M229" s="127"/>
      <c r="N229" s="160"/>
      <c r="O229" s="161"/>
      <c r="P229" s="162"/>
      <c r="Q229" s="162"/>
      <c r="R229" s="161"/>
      <c r="S229" s="161"/>
      <c r="T229" s="162"/>
      <c r="U229" s="162"/>
      <c r="V229" s="161"/>
    </row>
    <row r="230" spans="1:22" ht="15" hidden="1" customHeight="1">
      <c r="A230" s="128" t="s">
        <v>501</v>
      </c>
      <c r="B230" s="129"/>
      <c r="C230" s="130"/>
      <c r="D230" s="131" t="s">
        <v>125</v>
      </c>
      <c r="E230" s="132" t="s">
        <v>502</v>
      </c>
      <c r="F230" s="127"/>
      <c r="G230" s="133" t="s">
        <v>45</v>
      </c>
      <c r="H230" s="134"/>
      <c r="I230" s="156"/>
      <c r="J230" s="157"/>
      <c r="K230" s="158"/>
      <c r="L230" s="159"/>
      <c r="M230" s="127"/>
      <c r="N230" s="160"/>
      <c r="O230" s="161"/>
      <c r="P230" s="162"/>
      <c r="Q230" s="162"/>
      <c r="R230" s="161"/>
      <c r="S230" s="161"/>
      <c r="T230" s="162"/>
      <c r="U230" s="162"/>
      <c r="V230" s="161"/>
    </row>
    <row r="231" spans="1:22" ht="15" hidden="1" customHeight="1">
      <c r="A231" s="128" t="s">
        <v>503</v>
      </c>
      <c r="B231" s="129"/>
      <c r="C231" s="130"/>
      <c r="D231" s="131" t="s">
        <v>130</v>
      </c>
      <c r="E231" s="132" t="s">
        <v>504</v>
      </c>
      <c r="F231" s="127"/>
      <c r="G231" s="133" t="s">
        <v>45</v>
      </c>
      <c r="H231" s="134"/>
      <c r="I231" s="156"/>
      <c r="J231" s="157"/>
      <c r="K231" s="158"/>
      <c r="L231" s="159"/>
      <c r="M231" s="127"/>
      <c r="N231" s="160"/>
      <c r="O231" s="161"/>
      <c r="P231" s="162"/>
      <c r="Q231" s="162"/>
      <c r="R231" s="161"/>
      <c r="S231" s="161"/>
      <c r="T231" s="162"/>
      <c r="U231" s="162"/>
      <c r="V231" s="161"/>
    </row>
    <row r="232" spans="1:22" ht="15" customHeight="1">
      <c r="A232" s="128" t="s">
        <v>505</v>
      </c>
      <c r="B232" s="129"/>
      <c r="C232" s="130"/>
      <c r="D232" s="131" t="s">
        <v>130</v>
      </c>
      <c r="E232" s="132" t="s">
        <v>506</v>
      </c>
      <c r="F232" s="127"/>
      <c r="G232" s="133" t="s">
        <v>130</v>
      </c>
      <c r="H232" s="134"/>
      <c r="I232" s="156" t="s">
        <v>41</v>
      </c>
      <c r="J232" s="157"/>
      <c r="K232" s="158"/>
      <c r="L232" s="159"/>
      <c r="M232" s="127"/>
      <c r="N232" s="160"/>
      <c r="O232" s="161"/>
      <c r="P232" s="162"/>
      <c r="Q232" s="162"/>
      <c r="R232" s="161"/>
      <c r="S232" s="161"/>
      <c r="T232" s="162"/>
      <c r="U232" s="162"/>
      <c r="V232" s="161"/>
    </row>
    <row r="233" spans="1:22" ht="15" hidden="1" customHeight="1">
      <c r="A233" s="128" t="s">
        <v>507</v>
      </c>
      <c r="B233" s="129"/>
      <c r="C233" s="130"/>
      <c r="D233" s="131" t="s">
        <v>130</v>
      </c>
      <c r="E233" s="132" t="s">
        <v>508</v>
      </c>
      <c r="F233" s="127"/>
      <c r="G233" s="133" t="s">
        <v>45</v>
      </c>
      <c r="H233" s="134"/>
      <c r="I233" s="156"/>
      <c r="J233" s="157"/>
      <c r="K233" s="158"/>
      <c r="L233" s="159"/>
      <c r="M233" s="127"/>
      <c r="N233" s="160"/>
      <c r="O233" s="161"/>
      <c r="P233" s="162"/>
      <c r="Q233" s="162"/>
      <c r="R233" s="161"/>
      <c r="S233" s="161"/>
      <c r="T233" s="162"/>
      <c r="U233" s="162"/>
      <c r="V233" s="161"/>
    </row>
    <row r="234" spans="1:22" ht="15" customHeight="1">
      <c r="A234" s="128" t="s">
        <v>509</v>
      </c>
      <c r="B234" s="129"/>
      <c r="C234" s="130"/>
      <c r="D234" s="131" t="s">
        <v>205</v>
      </c>
      <c r="E234" s="132" t="s">
        <v>510</v>
      </c>
      <c r="F234" s="127"/>
      <c r="G234" s="133" t="s">
        <v>205</v>
      </c>
      <c r="H234" s="134"/>
      <c r="I234" s="156" t="s">
        <v>41</v>
      </c>
      <c r="J234" s="157"/>
      <c r="K234" s="158"/>
      <c r="L234" s="159"/>
      <c r="M234" s="127"/>
      <c r="N234" s="160"/>
      <c r="O234" s="161"/>
      <c r="P234" s="162"/>
      <c r="Q234" s="162"/>
      <c r="R234" s="161"/>
      <c r="S234" s="161"/>
      <c r="T234" s="162"/>
      <c r="U234" s="162"/>
      <c r="V234" s="161"/>
    </row>
    <row r="235" spans="1:22" ht="15" customHeight="1">
      <c r="A235" s="128" t="s">
        <v>511</v>
      </c>
      <c r="B235" s="129"/>
      <c r="C235" s="130"/>
      <c r="D235" s="131" t="s">
        <v>512</v>
      </c>
      <c r="E235" s="132" t="s">
        <v>513</v>
      </c>
      <c r="F235" s="127"/>
      <c r="G235" s="133" t="s">
        <v>512</v>
      </c>
      <c r="H235" s="134"/>
      <c r="I235" s="156" t="s">
        <v>41</v>
      </c>
      <c r="J235" s="157"/>
      <c r="K235" s="158"/>
      <c r="L235" s="159"/>
      <c r="M235" s="127"/>
      <c r="N235" s="160"/>
      <c r="O235" s="161"/>
      <c r="P235" s="162"/>
      <c r="Q235" s="162"/>
      <c r="R235" s="161"/>
      <c r="S235" s="161"/>
      <c r="T235" s="162"/>
      <c r="U235" s="162"/>
      <c r="V235" s="161"/>
    </row>
    <row r="236" spans="1:22" ht="15" customHeight="1">
      <c r="A236" s="128" t="s">
        <v>514</v>
      </c>
      <c r="B236" s="129"/>
      <c r="C236" s="130"/>
      <c r="D236" s="131" t="s">
        <v>512</v>
      </c>
      <c r="E236" s="132" t="s">
        <v>515</v>
      </c>
      <c r="F236" s="127"/>
      <c r="G236" s="133" t="s">
        <v>512</v>
      </c>
      <c r="H236" s="134"/>
      <c r="I236" s="156" t="s">
        <v>41</v>
      </c>
      <c r="J236" s="157"/>
      <c r="K236" s="158"/>
      <c r="L236" s="159"/>
      <c r="M236" s="127"/>
      <c r="N236" s="160"/>
      <c r="O236" s="161"/>
      <c r="P236" s="162"/>
      <c r="Q236" s="162"/>
      <c r="R236" s="161"/>
      <c r="S236" s="161"/>
      <c r="T236" s="162"/>
      <c r="U236" s="162"/>
      <c r="V236" s="161"/>
    </row>
    <row r="237" spans="1:22" ht="15" customHeight="1">
      <c r="A237" s="128" t="s">
        <v>516</v>
      </c>
      <c r="B237" s="129"/>
      <c r="C237" s="130"/>
      <c r="D237" s="131" t="s">
        <v>117</v>
      </c>
      <c r="E237" s="132" t="s">
        <v>517</v>
      </c>
      <c r="F237" s="127"/>
      <c r="G237" s="133" t="s">
        <v>117</v>
      </c>
      <c r="H237" s="134"/>
      <c r="I237" s="156" t="s">
        <v>41</v>
      </c>
      <c r="J237" s="157"/>
      <c r="K237" s="158"/>
      <c r="L237" s="159"/>
      <c r="M237" s="127"/>
      <c r="N237" s="160"/>
      <c r="O237" s="161"/>
      <c r="P237" s="162"/>
      <c r="Q237" s="162"/>
      <c r="R237" s="161"/>
      <c r="S237" s="161"/>
      <c r="T237" s="162"/>
      <c r="U237" s="162"/>
      <c r="V237" s="161"/>
    </row>
    <row r="238" spans="1:22" ht="15" customHeight="1">
      <c r="A238" s="128" t="s">
        <v>518</v>
      </c>
      <c r="B238" s="129"/>
      <c r="C238" s="130"/>
      <c r="D238" s="131" t="s">
        <v>117</v>
      </c>
      <c r="E238" s="132" t="s">
        <v>519</v>
      </c>
      <c r="F238" s="127"/>
      <c r="G238" s="133" t="s">
        <v>117</v>
      </c>
      <c r="H238" s="134"/>
      <c r="I238" s="156" t="s">
        <v>41</v>
      </c>
      <c r="J238" s="157"/>
      <c r="K238" s="158"/>
      <c r="L238" s="159"/>
      <c r="M238" s="127"/>
      <c r="N238" s="160"/>
      <c r="O238" s="161"/>
      <c r="P238" s="162"/>
      <c r="Q238" s="162"/>
      <c r="R238" s="161"/>
      <c r="S238" s="161"/>
      <c r="T238" s="162"/>
      <c r="U238" s="162"/>
      <c r="V238" s="161"/>
    </row>
    <row r="239" spans="1:22" ht="15" hidden="1" customHeight="1">
      <c r="A239" s="128" t="s">
        <v>520</v>
      </c>
      <c r="B239" s="129"/>
      <c r="C239" s="130"/>
      <c r="D239" s="131" t="s">
        <v>117</v>
      </c>
      <c r="E239" s="132" t="s">
        <v>521</v>
      </c>
      <c r="F239" s="127"/>
      <c r="G239" s="133" t="s">
        <v>45</v>
      </c>
      <c r="H239" s="134"/>
      <c r="I239" s="156"/>
      <c r="J239" s="157"/>
      <c r="K239" s="158"/>
      <c r="L239" s="159"/>
      <c r="M239" s="127"/>
      <c r="N239" s="160"/>
      <c r="O239" s="161"/>
      <c r="P239" s="162"/>
      <c r="Q239" s="162"/>
      <c r="R239" s="161"/>
      <c r="S239" s="161"/>
      <c r="T239" s="162"/>
      <c r="U239" s="162"/>
      <c r="V239" s="161"/>
    </row>
    <row r="240" spans="1:22" ht="15" hidden="1" customHeight="1">
      <c r="A240" s="128" t="s">
        <v>522</v>
      </c>
      <c r="B240" s="129"/>
      <c r="C240" s="130"/>
      <c r="D240" s="131" t="s">
        <v>117</v>
      </c>
      <c r="E240" s="132" t="s">
        <v>523</v>
      </c>
      <c r="F240" s="127"/>
      <c r="G240" s="133" t="s">
        <v>45</v>
      </c>
      <c r="H240" s="134"/>
      <c r="I240" s="156"/>
      <c r="J240" s="157"/>
      <c r="K240" s="158"/>
      <c r="L240" s="159"/>
      <c r="M240" s="127"/>
      <c r="N240" s="160"/>
      <c r="O240" s="161"/>
      <c r="P240" s="162"/>
      <c r="Q240" s="162"/>
      <c r="R240" s="161"/>
      <c r="S240" s="161"/>
      <c r="T240" s="162"/>
      <c r="U240" s="162"/>
      <c r="V240" s="161"/>
    </row>
    <row r="241" spans="1:22" ht="15" customHeight="1">
      <c r="A241" s="128" t="s">
        <v>524</v>
      </c>
      <c r="B241" s="129"/>
      <c r="C241" s="130"/>
      <c r="D241" s="131" t="s">
        <v>117</v>
      </c>
      <c r="E241" s="132" t="s">
        <v>525</v>
      </c>
      <c r="F241" s="127"/>
      <c r="G241" s="133" t="s">
        <v>117</v>
      </c>
      <c r="H241" s="134"/>
      <c r="I241" s="156" t="s">
        <v>41</v>
      </c>
      <c r="J241" s="157"/>
      <c r="K241" s="158"/>
      <c r="L241" s="159"/>
      <c r="M241" s="127"/>
      <c r="N241" s="160"/>
      <c r="O241" s="161"/>
      <c r="P241" s="162"/>
      <c r="Q241" s="162"/>
      <c r="R241" s="161"/>
      <c r="S241" s="161"/>
      <c r="T241" s="162"/>
      <c r="U241" s="162"/>
      <c r="V241" s="161"/>
    </row>
    <row r="242" spans="1:22" ht="15" customHeight="1">
      <c r="A242" s="128" t="s">
        <v>526</v>
      </c>
      <c r="B242" s="129"/>
      <c r="C242" s="130"/>
      <c r="D242" s="131" t="s">
        <v>117</v>
      </c>
      <c r="E242" s="132" t="s">
        <v>527</v>
      </c>
      <c r="F242" s="127"/>
      <c r="G242" s="133" t="s">
        <v>117</v>
      </c>
      <c r="H242" s="134"/>
      <c r="I242" s="156" t="s">
        <v>41</v>
      </c>
      <c r="J242" s="157"/>
      <c r="K242" s="158"/>
      <c r="L242" s="159"/>
      <c r="M242" s="127"/>
      <c r="N242" s="160"/>
      <c r="O242" s="161"/>
      <c r="P242" s="162"/>
      <c r="Q242" s="162"/>
      <c r="R242" s="161"/>
      <c r="S242" s="161"/>
      <c r="T242" s="162"/>
      <c r="U242" s="162"/>
      <c r="V242" s="161"/>
    </row>
    <row r="243" spans="1:22" ht="15" hidden="1" customHeight="1">
      <c r="A243" s="128" t="s">
        <v>528</v>
      </c>
      <c r="B243" s="129"/>
      <c r="C243" s="130"/>
      <c r="D243" s="131" t="s">
        <v>117</v>
      </c>
      <c r="E243" s="132" t="s">
        <v>529</v>
      </c>
      <c r="F243" s="127"/>
      <c r="G243" s="133" t="s">
        <v>45</v>
      </c>
      <c r="H243" s="134"/>
      <c r="I243" s="156"/>
      <c r="J243" s="157"/>
      <c r="K243" s="158"/>
      <c r="L243" s="159"/>
      <c r="M243" s="127"/>
      <c r="N243" s="160"/>
      <c r="O243" s="161"/>
      <c r="P243" s="162"/>
      <c r="Q243" s="162"/>
      <c r="R243" s="161"/>
      <c r="S243" s="161"/>
      <c r="T243" s="162"/>
      <c r="U243" s="162"/>
      <c r="V243" s="161"/>
    </row>
    <row r="244" spans="1:22" ht="15" hidden="1" customHeight="1">
      <c r="A244" s="128" t="s">
        <v>530</v>
      </c>
      <c r="B244" s="129"/>
      <c r="C244" s="130"/>
      <c r="D244" s="131" t="s">
        <v>117</v>
      </c>
      <c r="E244" s="132" t="s">
        <v>531</v>
      </c>
      <c r="F244" s="127"/>
      <c r="G244" s="133" t="s">
        <v>45</v>
      </c>
      <c r="H244" s="134"/>
      <c r="I244" s="156"/>
      <c r="J244" s="157"/>
      <c r="K244" s="158"/>
      <c r="L244" s="159"/>
      <c r="M244" s="127"/>
      <c r="N244" s="160"/>
      <c r="O244" s="161"/>
      <c r="P244" s="162"/>
      <c r="Q244" s="162"/>
      <c r="R244" s="161"/>
      <c r="S244" s="161"/>
      <c r="T244" s="162"/>
      <c r="U244" s="162"/>
      <c r="V244" s="161"/>
    </row>
    <row r="245" spans="1:22" ht="15" hidden="1" customHeight="1">
      <c r="A245" s="128" t="s">
        <v>532</v>
      </c>
      <c r="B245" s="129"/>
      <c r="C245" s="130"/>
      <c r="D245" s="131" t="s">
        <v>117</v>
      </c>
      <c r="E245" s="132" t="s">
        <v>533</v>
      </c>
      <c r="F245" s="127"/>
      <c r="G245" s="133" t="s">
        <v>45</v>
      </c>
      <c r="H245" s="134"/>
      <c r="I245" s="156"/>
      <c r="J245" s="157"/>
      <c r="K245" s="158"/>
      <c r="L245" s="159"/>
      <c r="M245" s="127"/>
      <c r="N245" s="160"/>
      <c r="O245" s="161"/>
      <c r="P245" s="162"/>
      <c r="Q245" s="162"/>
      <c r="R245" s="161"/>
      <c r="S245" s="161"/>
      <c r="T245" s="162"/>
      <c r="U245" s="162"/>
      <c r="V245" s="161"/>
    </row>
    <row r="246" spans="1:22" ht="15" hidden="1" customHeight="1">
      <c r="A246" s="128" t="s">
        <v>534</v>
      </c>
      <c r="B246" s="129"/>
      <c r="C246" s="130"/>
      <c r="D246" s="131" t="s">
        <v>117</v>
      </c>
      <c r="E246" s="132" t="s">
        <v>535</v>
      </c>
      <c r="F246" s="127"/>
      <c r="G246" s="133" t="s">
        <v>45</v>
      </c>
      <c r="H246" s="134"/>
      <c r="I246" s="156"/>
      <c r="J246" s="157"/>
      <c r="K246" s="158"/>
      <c r="L246" s="159"/>
      <c r="M246" s="127"/>
      <c r="N246" s="160"/>
      <c r="O246" s="161"/>
      <c r="P246" s="162"/>
      <c r="Q246" s="162"/>
      <c r="R246" s="161"/>
      <c r="S246" s="161"/>
      <c r="T246" s="162"/>
      <c r="U246" s="162"/>
      <c r="V246" s="161"/>
    </row>
    <row r="247" spans="1:22" ht="15" hidden="1" customHeight="1">
      <c r="A247" s="128" t="s">
        <v>536</v>
      </c>
      <c r="B247" s="129"/>
      <c r="C247" s="130"/>
      <c r="D247" s="131" t="s">
        <v>117</v>
      </c>
      <c r="E247" s="132" t="s">
        <v>537</v>
      </c>
      <c r="F247" s="127"/>
      <c r="G247" s="133" t="s">
        <v>45</v>
      </c>
      <c r="H247" s="134"/>
      <c r="I247" s="156"/>
      <c r="J247" s="157"/>
      <c r="K247" s="158"/>
      <c r="L247" s="159"/>
      <c r="M247" s="127"/>
      <c r="N247" s="160"/>
      <c r="O247" s="161"/>
      <c r="P247" s="162"/>
      <c r="Q247" s="162"/>
      <c r="R247" s="161"/>
      <c r="S247" s="161"/>
      <c r="T247" s="162"/>
      <c r="U247" s="162"/>
      <c r="V247" s="161"/>
    </row>
    <row r="248" spans="1:22" ht="15" hidden="1" customHeight="1">
      <c r="A248" s="128" t="s">
        <v>538</v>
      </c>
      <c r="B248" s="129"/>
      <c r="C248" s="130"/>
      <c r="D248" s="131" t="s">
        <v>112</v>
      </c>
      <c r="E248" s="132" t="s">
        <v>539</v>
      </c>
      <c r="F248" s="127"/>
      <c r="G248" s="133" t="s">
        <v>45</v>
      </c>
      <c r="H248" s="134"/>
      <c r="I248" s="156"/>
      <c r="J248" s="157"/>
      <c r="K248" s="158"/>
      <c r="L248" s="159"/>
      <c r="M248" s="127"/>
      <c r="N248" s="160"/>
      <c r="O248" s="161"/>
      <c r="P248" s="162"/>
      <c r="Q248" s="162"/>
      <c r="R248" s="161"/>
      <c r="S248" s="161"/>
      <c r="T248" s="162"/>
      <c r="U248" s="162"/>
      <c r="V248" s="161"/>
    </row>
    <row r="249" spans="1:22" ht="15" hidden="1" customHeight="1">
      <c r="A249" s="128" t="s">
        <v>540</v>
      </c>
      <c r="B249" s="129"/>
      <c r="C249" s="130"/>
      <c r="D249" s="131" t="s">
        <v>112</v>
      </c>
      <c r="E249" s="132" t="s">
        <v>541</v>
      </c>
      <c r="F249" s="127"/>
      <c r="G249" s="133" t="s">
        <v>45</v>
      </c>
      <c r="H249" s="134"/>
      <c r="I249" s="156"/>
      <c r="J249" s="157"/>
      <c r="K249" s="158"/>
      <c r="L249" s="159"/>
      <c r="M249" s="127"/>
      <c r="N249" s="160"/>
      <c r="O249" s="161"/>
      <c r="P249" s="162"/>
      <c r="Q249" s="162"/>
      <c r="R249" s="161"/>
      <c r="S249" s="161"/>
      <c r="T249" s="162"/>
      <c r="U249" s="162"/>
      <c r="V249" s="161"/>
    </row>
    <row r="250" spans="1:22" ht="15" hidden="1" customHeight="1">
      <c r="A250" s="128" t="s">
        <v>542</v>
      </c>
      <c r="B250" s="129"/>
      <c r="C250" s="130"/>
      <c r="D250" s="131" t="s">
        <v>117</v>
      </c>
      <c r="E250" s="132" t="s">
        <v>543</v>
      </c>
      <c r="F250" s="127"/>
      <c r="G250" s="133" t="s">
        <v>45</v>
      </c>
      <c r="H250" s="134"/>
      <c r="I250" s="156"/>
      <c r="J250" s="157"/>
      <c r="K250" s="158"/>
      <c r="L250" s="159"/>
      <c r="M250" s="127"/>
      <c r="N250" s="160"/>
      <c r="O250" s="161"/>
      <c r="P250" s="162"/>
      <c r="Q250" s="162"/>
      <c r="R250" s="161"/>
      <c r="S250" s="161"/>
      <c r="T250" s="162"/>
      <c r="U250" s="162"/>
      <c r="V250" s="161"/>
    </row>
    <row r="251" spans="1:22" ht="15" hidden="1" customHeight="1">
      <c r="A251" s="128" t="s">
        <v>544</v>
      </c>
      <c r="B251" s="129"/>
      <c r="C251" s="130"/>
      <c r="D251" s="131" t="s">
        <v>112</v>
      </c>
      <c r="E251" s="132" t="s">
        <v>545</v>
      </c>
      <c r="F251" s="127"/>
      <c r="G251" s="133" t="s">
        <v>45</v>
      </c>
      <c r="H251" s="134"/>
      <c r="I251" s="156"/>
      <c r="J251" s="157"/>
      <c r="K251" s="158"/>
      <c r="L251" s="159"/>
      <c r="M251" s="127"/>
      <c r="N251" s="160"/>
      <c r="O251" s="161"/>
      <c r="P251" s="162"/>
      <c r="Q251" s="162"/>
      <c r="R251" s="161"/>
      <c r="S251" s="161"/>
      <c r="T251" s="162"/>
      <c r="U251" s="162"/>
      <c r="V251" s="161"/>
    </row>
    <row r="252" spans="1:22" ht="15" customHeight="1">
      <c r="A252" s="128" t="s">
        <v>546</v>
      </c>
      <c r="B252" s="129"/>
      <c r="C252" s="130"/>
      <c r="D252" s="131" t="s">
        <v>117</v>
      </c>
      <c r="E252" s="132" t="s">
        <v>547</v>
      </c>
      <c r="F252" s="127"/>
      <c r="G252" s="133" t="s">
        <v>117</v>
      </c>
      <c r="H252" s="134"/>
      <c r="I252" s="156" t="s">
        <v>41</v>
      </c>
      <c r="J252" s="157"/>
      <c r="K252" s="158"/>
      <c r="L252" s="159"/>
      <c r="M252" s="127"/>
      <c r="N252" s="160"/>
      <c r="O252" s="161"/>
      <c r="P252" s="162"/>
      <c r="Q252" s="162"/>
      <c r="R252" s="161"/>
      <c r="S252" s="161"/>
      <c r="T252" s="162"/>
      <c r="U252" s="162"/>
      <c r="V252" s="161"/>
    </row>
    <row r="253" spans="1:22" ht="15" customHeight="1">
      <c r="A253" s="128" t="s">
        <v>548</v>
      </c>
      <c r="B253" s="129"/>
      <c r="C253" s="130"/>
      <c r="D253" s="131" t="s">
        <v>117</v>
      </c>
      <c r="E253" s="132" t="s">
        <v>549</v>
      </c>
      <c r="F253" s="127"/>
      <c r="G253" s="133" t="s">
        <v>117</v>
      </c>
      <c r="H253" s="134"/>
      <c r="I253" s="156" t="s">
        <v>41</v>
      </c>
      <c r="J253" s="157"/>
      <c r="K253" s="158"/>
      <c r="L253" s="159"/>
      <c r="M253" s="127"/>
      <c r="N253" s="160"/>
      <c r="O253" s="161"/>
      <c r="P253" s="162"/>
      <c r="Q253" s="162"/>
      <c r="R253" s="161"/>
      <c r="S253" s="161"/>
      <c r="T253" s="162"/>
      <c r="U253" s="162"/>
      <c r="V253" s="161"/>
    </row>
    <row r="254" spans="1:22" ht="15" customHeight="1">
      <c r="A254" s="128" t="s">
        <v>550</v>
      </c>
      <c r="B254" s="129"/>
      <c r="C254" s="130"/>
      <c r="D254" s="131" t="s">
        <v>117</v>
      </c>
      <c r="E254" s="132" t="s">
        <v>551</v>
      </c>
      <c r="F254" s="127"/>
      <c r="G254" s="133" t="s">
        <v>117</v>
      </c>
      <c r="H254" s="134"/>
      <c r="I254" s="156" t="s">
        <v>41</v>
      </c>
      <c r="J254" s="157"/>
      <c r="K254" s="158"/>
      <c r="L254" s="159"/>
      <c r="M254" s="127"/>
      <c r="N254" s="160"/>
      <c r="O254" s="161"/>
      <c r="P254" s="162"/>
      <c r="Q254" s="162"/>
      <c r="R254" s="161"/>
      <c r="S254" s="161"/>
      <c r="T254" s="162"/>
      <c r="U254" s="162"/>
      <c r="V254" s="161"/>
    </row>
    <row r="255" spans="1:22" ht="15" customHeight="1">
      <c r="A255" s="128" t="s">
        <v>552</v>
      </c>
      <c r="B255" s="129"/>
      <c r="C255" s="130"/>
      <c r="D255" s="131" t="s">
        <v>117</v>
      </c>
      <c r="E255" s="132" t="s">
        <v>553</v>
      </c>
      <c r="F255" s="127"/>
      <c r="G255" s="133" t="s">
        <v>117</v>
      </c>
      <c r="H255" s="134"/>
      <c r="I255" s="156" t="s">
        <v>41</v>
      </c>
      <c r="J255" s="157"/>
      <c r="K255" s="158"/>
      <c r="L255" s="159"/>
      <c r="M255" s="127"/>
      <c r="N255" s="160"/>
      <c r="O255" s="161"/>
      <c r="P255" s="162"/>
      <c r="Q255" s="162"/>
      <c r="R255" s="161"/>
      <c r="S255" s="161"/>
      <c r="T255" s="162"/>
      <c r="U255" s="162"/>
      <c r="V255" s="161"/>
    </row>
    <row r="256" spans="1:22" ht="15" customHeight="1">
      <c r="A256" s="128" t="s">
        <v>554</v>
      </c>
      <c r="B256" s="129"/>
      <c r="C256" s="130"/>
      <c r="D256" s="131" t="s">
        <v>112</v>
      </c>
      <c r="E256" s="132" t="s">
        <v>555</v>
      </c>
      <c r="F256" s="127"/>
      <c r="G256" s="133" t="s">
        <v>112</v>
      </c>
      <c r="H256" s="134"/>
      <c r="I256" s="156" t="s">
        <v>41</v>
      </c>
      <c r="J256" s="157"/>
      <c r="K256" s="158"/>
      <c r="L256" s="159"/>
      <c r="M256" s="127"/>
      <c r="N256" s="160"/>
      <c r="O256" s="161"/>
      <c r="P256" s="162"/>
      <c r="Q256" s="162"/>
      <c r="R256" s="161"/>
      <c r="S256" s="161"/>
      <c r="T256" s="162"/>
      <c r="U256" s="162"/>
      <c r="V256" s="161"/>
    </row>
    <row r="257" spans="1:22" ht="15" customHeight="1">
      <c r="A257" s="128" t="s">
        <v>556</v>
      </c>
      <c r="B257" s="129"/>
      <c r="C257" s="130"/>
      <c r="D257" s="131" t="s">
        <v>112</v>
      </c>
      <c r="E257" s="132" t="s">
        <v>557</v>
      </c>
      <c r="F257" s="127"/>
      <c r="G257" s="133" t="s">
        <v>112</v>
      </c>
      <c r="H257" s="134"/>
      <c r="I257" s="156" t="s">
        <v>41</v>
      </c>
      <c r="J257" s="157"/>
      <c r="K257" s="158"/>
      <c r="L257" s="159"/>
      <c r="M257" s="127"/>
      <c r="N257" s="160"/>
      <c r="O257" s="161"/>
      <c r="P257" s="162"/>
      <c r="Q257" s="162"/>
      <c r="R257" s="161"/>
      <c r="S257" s="161"/>
      <c r="T257" s="162"/>
      <c r="U257" s="162"/>
      <c r="V257" s="161"/>
    </row>
    <row r="258" spans="1:22" ht="15" customHeight="1">
      <c r="A258" s="128" t="s">
        <v>558</v>
      </c>
      <c r="B258" s="129"/>
      <c r="C258" s="130"/>
      <c r="D258" s="131" t="s">
        <v>112</v>
      </c>
      <c r="E258" s="132" t="s">
        <v>559</v>
      </c>
      <c r="F258" s="127"/>
      <c r="G258" s="133" t="s">
        <v>112</v>
      </c>
      <c r="H258" s="134"/>
      <c r="I258" s="156" t="s">
        <v>41</v>
      </c>
      <c r="J258" s="157"/>
      <c r="K258" s="158"/>
      <c r="L258" s="159"/>
      <c r="M258" s="127"/>
      <c r="N258" s="160"/>
      <c r="O258" s="161"/>
      <c r="P258" s="162"/>
      <c r="Q258" s="162"/>
      <c r="R258" s="161"/>
      <c r="S258" s="161"/>
      <c r="T258" s="162"/>
      <c r="U258" s="162"/>
      <c r="V258" s="161"/>
    </row>
    <row r="259" spans="1:22" ht="15" customHeight="1">
      <c r="A259" s="128" t="s">
        <v>560</v>
      </c>
      <c r="B259" s="129"/>
      <c r="C259" s="130"/>
      <c r="D259" s="131" t="s">
        <v>112</v>
      </c>
      <c r="E259" s="132" t="s">
        <v>561</v>
      </c>
      <c r="F259" s="127"/>
      <c r="G259" s="133" t="s">
        <v>112</v>
      </c>
      <c r="H259" s="134"/>
      <c r="I259" s="156" t="s">
        <v>41</v>
      </c>
      <c r="J259" s="157"/>
      <c r="K259" s="158"/>
      <c r="L259" s="159"/>
      <c r="M259" s="127"/>
      <c r="N259" s="160"/>
      <c r="O259" s="161"/>
      <c r="P259" s="162"/>
      <c r="Q259" s="162"/>
      <c r="R259" s="161"/>
      <c r="S259" s="161"/>
      <c r="T259" s="162"/>
      <c r="U259" s="162"/>
      <c r="V259" s="161"/>
    </row>
    <row r="260" spans="1:22" ht="15" customHeight="1">
      <c r="A260" s="128" t="s">
        <v>562</v>
      </c>
      <c r="B260" s="129"/>
      <c r="C260" s="130"/>
      <c r="D260" s="131" t="s">
        <v>112</v>
      </c>
      <c r="E260" s="132" t="s">
        <v>563</v>
      </c>
      <c r="F260" s="127"/>
      <c r="G260" s="133" t="s">
        <v>112</v>
      </c>
      <c r="H260" s="134"/>
      <c r="I260" s="156" t="s">
        <v>41</v>
      </c>
      <c r="J260" s="157"/>
      <c r="K260" s="158"/>
      <c r="L260" s="159"/>
      <c r="M260" s="127"/>
      <c r="N260" s="160"/>
      <c r="O260" s="161"/>
      <c r="P260" s="162"/>
      <c r="Q260" s="162"/>
      <c r="R260" s="161"/>
      <c r="S260" s="161"/>
      <c r="T260" s="162"/>
      <c r="U260" s="162"/>
      <c r="V260" s="161"/>
    </row>
    <row r="261" spans="1:22" ht="15" customHeight="1">
      <c r="A261" s="128" t="s">
        <v>564</v>
      </c>
      <c r="B261" s="129"/>
      <c r="C261" s="130"/>
      <c r="D261" s="131" t="s">
        <v>130</v>
      </c>
      <c r="E261" s="132" t="s">
        <v>565</v>
      </c>
      <c r="F261" s="127"/>
      <c r="G261" s="133" t="s">
        <v>130</v>
      </c>
      <c r="H261" s="134"/>
      <c r="I261" s="156" t="s">
        <v>41</v>
      </c>
      <c r="J261" s="157"/>
      <c r="K261" s="158"/>
      <c r="L261" s="159"/>
      <c r="M261" s="127"/>
      <c r="N261" s="160"/>
      <c r="O261" s="161"/>
      <c r="P261" s="162"/>
      <c r="Q261" s="162"/>
      <c r="R261" s="161"/>
      <c r="S261" s="161"/>
      <c r="T261" s="162"/>
      <c r="U261" s="162"/>
      <c r="V261" s="161"/>
    </row>
    <row r="262" spans="1:22" ht="15" hidden="1" customHeight="1">
      <c r="A262" s="128" t="s">
        <v>566</v>
      </c>
      <c r="B262" s="129"/>
      <c r="C262" s="130"/>
      <c r="D262" s="131" t="s">
        <v>125</v>
      </c>
      <c r="E262" s="132" t="s">
        <v>567</v>
      </c>
      <c r="F262" s="127"/>
      <c r="G262" s="133" t="s">
        <v>45</v>
      </c>
      <c r="H262" s="134"/>
      <c r="I262" s="156"/>
      <c r="J262" s="157"/>
      <c r="K262" s="158"/>
      <c r="L262" s="159"/>
      <c r="M262" s="127"/>
      <c r="N262" s="160"/>
      <c r="O262" s="161"/>
      <c r="P262" s="162"/>
      <c r="Q262" s="162"/>
      <c r="R262" s="161"/>
      <c r="S262" s="161"/>
      <c r="T262" s="162"/>
      <c r="U262" s="162"/>
      <c r="V262" s="161"/>
    </row>
    <row r="263" spans="1:22" ht="15" hidden="1" customHeight="1">
      <c r="A263" s="128" t="s">
        <v>568</v>
      </c>
      <c r="B263" s="129"/>
      <c r="C263" s="130"/>
      <c r="D263" s="131" t="s">
        <v>130</v>
      </c>
      <c r="E263" s="132" t="s">
        <v>569</v>
      </c>
      <c r="F263" s="127"/>
      <c r="G263" s="133" t="s">
        <v>45</v>
      </c>
      <c r="H263" s="134"/>
      <c r="I263" s="156"/>
      <c r="J263" s="157"/>
      <c r="K263" s="158"/>
      <c r="L263" s="159"/>
      <c r="M263" s="127"/>
      <c r="N263" s="160"/>
      <c r="O263" s="161"/>
      <c r="P263" s="162"/>
      <c r="Q263" s="162"/>
      <c r="R263" s="161"/>
      <c r="S263" s="161"/>
      <c r="T263" s="162"/>
      <c r="U263" s="162"/>
      <c r="V263" s="161"/>
    </row>
    <row r="264" spans="1:22" ht="15" hidden="1" customHeight="1">
      <c r="A264" s="128" t="s">
        <v>570</v>
      </c>
      <c r="B264" s="129"/>
      <c r="C264" s="130"/>
      <c r="D264" s="131" t="s">
        <v>130</v>
      </c>
      <c r="E264" s="132" t="s">
        <v>571</v>
      </c>
      <c r="F264" s="127"/>
      <c r="G264" s="133" t="s">
        <v>45</v>
      </c>
      <c r="H264" s="134"/>
      <c r="I264" s="156"/>
      <c r="J264" s="157"/>
      <c r="K264" s="158"/>
      <c r="L264" s="159"/>
      <c r="M264" s="127"/>
      <c r="N264" s="160"/>
      <c r="O264" s="161"/>
      <c r="P264" s="162"/>
      <c r="Q264" s="162"/>
      <c r="R264" s="161"/>
      <c r="S264" s="161"/>
      <c r="T264" s="162"/>
      <c r="U264" s="162"/>
      <c r="V264" s="161"/>
    </row>
    <row r="265" spans="1:22" ht="15" hidden="1" customHeight="1">
      <c r="A265" s="128" t="s">
        <v>572</v>
      </c>
      <c r="B265" s="129"/>
      <c r="C265" s="130"/>
      <c r="D265" s="131" t="s">
        <v>130</v>
      </c>
      <c r="E265" s="132" t="s">
        <v>573</v>
      </c>
      <c r="F265" s="127"/>
      <c r="G265" s="133" t="s">
        <v>45</v>
      </c>
      <c r="H265" s="134"/>
      <c r="I265" s="156"/>
      <c r="J265" s="157"/>
      <c r="K265" s="158"/>
      <c r="L265" s="159"/>
      <c r="M265" s="127"/>
      <c r="N265" s="160"/>
      <c r="O265" s="161"/>
      <c r="P265" s="162"/>
      <c r="Q265" s="162"/>
      <c r="R265" s="161"/>
      <c r="S265" s="161"/>
      <c r="T265" s="162"/>
      <c r="U265" s="162"/>
      <c r="V265" s="161"/>
    </row>
    <row r="266" spans="1:22" ht="15" hidden="1" customHeight="1">
      <c r="A266" s="128" t="s">
        <v>574</v>
      </c>
      <c r="B266" s="129"/>
      <c r="C266" s="130"/>
      <c r="D266" s="131" t="s">
        <v>125</v>
      </c>
      <c r="E266" s="132" t="s">
        <v>575</v>
      </c>
      <c r="F266" s="127"/>
      <c r="G266" s="133" t="s">
        <v>45</v>
      </c>
      <c r="H266" s="134"/>
      <c r="I266" s="156"/>
      <c r="J266" s="157"/>
      <c r="K266" s="158"/>
      <c r="L266" s="159"/>
      <c r="M266" s="127"/>
      <c r="N266" s="160"/>
      <c r="O266" s="161"/>
      <c r="P266" s="162"/>
      <c r="Q266" s="162"/>
      <c r="R266" s="161"/>
      <c r="S266" s="161"/>
      <c r="T266" s="162"/>
      <c r="U266" s="162"/>
      <c r="V266" s="161"/>
    </row>
    <row r="267" spans="1:22" ht="15" hidden="1" customHeight="1">
      <c r="A267" s="128" t="s">
        <v>576</v>
      </c>
      <c r="B267" s="129"/>
      <c r="C267" s="130"/>
      <c r="D267" s="131" t="s">
        <v>125</v>
      </c>
      <c r="E267" s="132" t="s">
        <v>577</v>
      </c>
      <c r="F267" s="127"/>
      <c r="G267" s="133" t="s">
        <v>45</v>
      </c>
      <c r="H267" s="134"/>
      <c r="I267" s="156"/>
      <c r="J267" s="157"/>
      <c r="K267" s="158"/>
      <c r="L267" s="159"/>
      <c r="M267" s="127"/>
      <c r="N267" s="160"/>
      <c r="O267" s="161"/>
      <c r="P267" s="162"/>
      <c r="Q267" s="162"/>
      <c r="R267" s="161"/>
      <c r="S267" s="161"/>
      <c r="T267" s="162"/>
      <c r="U267" s="162"/>
      <c r="V267" s="161"/>
    </row>
    <row r="268" spans="1:22" ht="15" hidden="1" customHeight="1">
      <c r="A268" s="128" t="s">
        <v>578</v>
      </c>
      <c r="B268" s="129"/>
      <c r="C268" s="130"/>
      <c r="D268" s="131" t="s">
        <v>125</v>
      </c>
      <c r="E268" s="132" t="s">
        <v>579</v>
      </c>
      <c r="F268" s="127"/>
      <c r="G268" s="133" t="s">
        <v>45</v>
      </c>
      <c r="H268" s="134"/>
      <c r="I268" s="156"/>
      <c r="J268" s="157"/>
      <c r="K268" s="158"/>
      <c r="L268" s="159"/>
      <c r="M268" s="127"/>
      <c r="N268" s="160"/>
      <c r="O268" s="161"/>
      <c r="P268" s="162"/>
      <c r="Q268" s="162"/>
      <c r="R268" s="161"/>
      <c r="S268" s="161"/>
      <c r="T268" s="162"/>
      <c r="U268" s="162"/>
      <c r="V268" s="161"/>
    </row>
    <row r="269" spans="1:22" ht="15" hidden="1" customHeight="1">
      <c r="A269" s="128" t="s">
        <v>580</v>
      </c>
      <c r="B269" s="129"/>
      <c r="C269" s="130"/>
      <c r="D269" s="131" t="s">
        <v>125</v>
      </c>
      <c r="E269" s="132" t="s">
        <v>581</v>
      </c>
      <c r="F269" s="127"/>
      <c r="G269" s="133" t="s">
        <v>45</v>
      </c>
      <c r="H269" s="134"/>
      <c r="I269" s="156"/>
      <c r="J269" s="157"/>
      <c r="K269" s="158"/>
      <c r="L269" s="159"/>
      <c r="M269" s="127"/>
      <c r="N269" s="160"/>
      <c r="O269" s="161"/>
      <c r="P269" s="162"/>
      <c r="Q269" s="162"/>
      <c r="R269" s="161"/>
      <c r="S269" s="161"/>
      <c r="T269" s="162"/>
      <c r="U269" s="162"/>
      <c r="V269" s="161"/>
    </row>
    <row r="270" spans="1:22" ht="15" customHeight="1">
      <c r="A270" s="128" t="s">
        <v>582</v>
      </c>
      <c r="B270" s="129"/>
      <c r="C270" s="130"/>
      <c r="D270" s="131" t="s">
        <v>130</v>
      </c>
      <c r="E270" s="132" t="s">
        <v>583</v>
      </c>
      <c r="F270" s="127"/>
      <c r="G270" s="133" t="s">
        <v>130</v>
      </c>
      <c r="H270" s="134"/>
      <c r="I270" s="156" t="s">
        <v>41</v>
      </c>
      <c r="J270" s="157"/>
      <c r="K270" s="158"/>
      <c r="L270" s="159"/>
      <c r="M270" s="127"/>
      <c r="N270" s="160"/>
      <c r="O270" s="161"/>
      <c r="P270" s="162"/>
      <c r="Q270" s="162"/>
      <c r="R270" s="161"/>
      <c r="S270" s="161"/>
      <c r="T270" s="162"/>
      <c r="U270" s="162"/>
      <c r="V270" s="161"/>
    </row>
    <row r="271" spans="1:22" ht="15" hidden="1" customHeight="1">
      <c r="A271" s="128" t="s">
        <v>584</v>
      </c>
      <c r="B271" s="129"/>
      <c r="C271" s="130"/>
      <c r="D271" s="131" t="s">
        <v>130</v>
      </c>
      <c r="E271" s="132" t="s">
        <v>585</v>
      </c>
      <c r="F271" s="127"/>
      <c r="G271" s="133" t="s">
        <v>45</v>
      </c>
      <c r="H271" s="134"/>
      <c r="I271" s="156"/>
      <c r="J271" s="157"/>
      <c r="K271" s="158"/>
      <c r="L271" s="159"/>
      <c r="M271" s="127"/>
      <c r="N271" s="160"/>
      <c r="O271" s="161"/>
      <c r="P271" s="162"/>
      <c r="Q271" s="162"/>
      <c r="R271" s="161"/>
      <c r="S271" s="161"/>
      <c r="T271" s="162"/>
      <c r="U271" s="162"/>
      <c r="V271" s="161"/>
    </row>
    <row r="272" spans="1:22" ht="15" hidden="1" customHeight="1">
      <c r="A272" s="128" t="s">
        <v>586</v>
      </c>
      <c r="B272" s="129"/>
      <c r="C272" s="130"/>
      <c r="D272" s="131" t="s">
        <v>130</v>
      </c>
      <c r="E272" s="132" t="s">
        <v>587</v>
      </c>
      <c r="F272" s="127"/>
      <c r="G272" s="133" t="s">
        <v>45</v>
      </c>
      <c r="H272" s="134"/>
      <c r="I272" s="156"/>
      <c r="J272" s="157"/>
      <c r="K272" s="158"/>
      <c r="L272" s="159"/>
      <c r="M272" s="127"/>
      <c r="N272" s="160"/>
      <c r="O272" s="161"/>
      <c r="P272" s="162"/>
      <c r="Q272" s="162"/>
      <c r="R272" s="161"/>
      <c r="S272" s="161"/>
      <c r="T272" s="162"/>
      <c r="U272" s="162"/>
      <c r="V272" s="161"/>
    </row>
    <row r="273" spans="1:22" ht="15" customHeight="1">
      <c r="A273" s="128" t="s">
        <v>588</v>
      </c>
      <c r="B273" s="129"/>
      <c r="C273" s="130"/>
      <c r="D273" s="131" t="s">
        <v>130</v>
      </c>
      <c r="E273" s="132" t="s">
        <v>589</v>
      </c>
      <c r="F273" s="127"/>
      <c r="G273" s="133" t="s">
        <v>130</v>
      </c>
      <c r="H273" s="134"/>
      <c r="I273" s="156" t="s">
        <v>41</v>
      </c>
      <c r="J273" s="157"/>
      <c r="K273" s="158"/>
      <c r="L273" s="159"/>
      <c r="M273" s="127"/>
      <c r="N273" s="160"/>
      <c r="O273" s="161"/>
      <c r="P273" s="162"/>
      <c r="Q273" s="162"/>
      <c r="R273" s="161"/>
      <c r="S273" s="161"/>
      <c r="T273" s="162"/>
      <c r="U273" s="162"/>
      <c r="V273" s="161"/>
    </row>
    <row r="274" spans="1:22" ht="15" hidden="1" customHeight="1">
      <c r="A274" s="128" t="s">
        <v>590</v>
      </c>
      <c r="B274" s="129"/>
      <c r="C274" s="130"/>
      <c r="D274" s="131" t="s">
        <v>130</v>
      </c>
      <c r="E274" s="132" t="s">
        <v>591</v>
      </c>
      <c r="F274" s="127"/>
      <c r="G274" s="133" t="s">
        <v>45</v>
      </c>
      <c r="H274" s="134"/>
      <c r="I274" s="156"/>
      <c r="J274" s="157"/>
      <c r="K274" s="158"/>
      <c r="L274" s="159"/>
      <c r="M274" s="127"/>
      <c r="N274" s="160"/>
      <c r="O274" s="161"/>
      <c r="P274" s="162"/>
      <c r="Q274" s="162"/>
      <c r="R274" s="161"/>
      <c r="S274" s="161"/>
      <c r="T274" s="162"/>
      <c r="U274" s="162"/>
      <c r="V274" s="161"/>
    </row>
    <row r="275" spans="1:22" ht="15" hidden="1" customHeight="1">
      <c r="A275" s="128" t="s">
        <v>592</v>
      </c>
      <c r="B275" s="129"/>
      <c r="C275" s="130"/>
      <c r="D275" s="131" t="s">
        <v>130</v>
      </c>
      <c r="E275" s="132" t="s">
        <v>593</v>
      </c>
      <c r="F275" s="127"/>
      <c r="G275" s="133" t="s">
        <v>45</v>
      </c>
      <c r="H275" s="134"/>
      <c r="I275" s="156"/>
      <c r="J275" s="157"/>
      <c r="K275" s="158"/>
      <c r="L275" s="159"/>
      <c r="M275" s="127"/>
      <c r="N275" s="160"/>
      <c r="O275" s="161"/>
      <c r="P275" s="162"/>
      <c r="Q275" s="162"/>
      <c r="R275" s="161"/>
      <c r="S275" s="161"/>
      <c r="T275" s="162"/>
      <c r="U275" s="162"/>
      <c r="V275" s="161"/>
    </row>
    <row r="276" spans="1:22" ht="15" customHeight="1">
      <c r="A276" s="128" t="s">
        <v>594</v>
      </c>
      <c r="B276" s="129"/>
      <c r="C276" s="130"/>
      <c r="D276" s="131" t="s">
        <v>205</v>
      </c>
      <c r="E276" s="132" t="s">
        <v>595</v>
      </c>
      <c r="F276" s="127"/>
      <c r="G276" s="133" t="s">
        <v>205</v>
      </c>
      <c r="H276" s="134"/>
      <c r="I276" s="156" t="s">
        <v>41</v>
      </c>
      <c r="J276" s="157"/>
      <c r="K276" s="158"/>
      <c r="L276" s="159"/>
      <c r="M276" s="127"/>
      <c r="N276" s="160"/>
      <c r="O276" s="161"/>
      <c r="P276" s="162"/>
      <c r="Q276" s="162"/>
      <c r="R276" s="161"/>
      <c r="S276" s="161"/>
      <c r="T276" s="162"/>
      <c r="U276" s="162"/>
      <c r="V276" s="161"/>
    </row>
    <row r="277" spans="1:22" ht="15" customHeight="1">
      <c r="A277" s="128" t="s">
        <v>596</v>
      </c>
      <c r="B277" s="129"/>
      <c r="C277" s="130"/>
      <c r="D277" s="131" t="s">
        <v>125</v>
      </c>
      <c r="E277" s="132" t="s">
        <v>597</v>
      </c>
      <c r="F277" s="127"/>
      <c r="G277" s="133" t="s">
        <v>125</v>
      </c>
      <c r="H277" s="134"/>
      <c r="I277" s="156" t="s">
        <v>41</v>
      </c>
      <c r="J277" s="157"/>
      <c r="K277" s="158"/>
      <c r="L277" s="159"/>
      <c r="M277" s="127"/>
      <c r="N277" s="160"/>
      <c r="O277" s="161"/>
      <c r="P277" s="162"/>
      <c r="Q277" s="162"/>
      <c r="R277" s="161"/>
      <c r="S277" s="161"/>
      <c r="T277" s="162"/>
      <c r="U277" s="162"/>
      <c r="V277" s="161"/>
    </row>
    <row r="278" spans="1:22" ht="15" hidden="1" customHeight="1">
      <c r="A278" s="128" t="s">
        <v>598</v>
      </c>
      <c r="B278" s="129"/>
      <c r="C278" s="130"/>
      <c r="D278" s="131" t="s">
        <v>333</v>
      </c>
      <c r="E278" s="132" t="s">
        <v>599</v>
      </c>
      <c r="F278" s="127"/>
      <c r="G278" s="133" t="s">
        <v>45</v>
      </c>
      <c r="H278" s="134"/>
      <c r="I278" s="156"/>
      <c r="J278" s="157"/>
      <c r="K278" s="158"/>
      <c r="L278" s="159"/>
      <c r="M278" s="127"/>
      <c r="N278" s="160"/>
      <c r="O278" s="161"/>
      <c r="P278" s="162"/>
      <c r="Q278" s="162"/>
      <c r="R278" s="161"/>
      <c r="S278" s="161"/>
      <c r="T278" s="162"/>
      <c r="U278" s="162"/>
      <c r="V278" s="161"/>
    </row>
    <row r="279" spans="1:22" ht="15" hidden="1" customHeight="1">
      <c r="A279" s="128" t="s">
        <v>600</v>
      </c>
      <c r="B279" s="129"/>
      <c r="C279" s="130"/>
      <c r="D279" s="131" t="s">
        <v>117</v>
      </c>
      <c r="E279" s="132" t="s">
        <v>601</v>
      </c>
      <c r="F279" s="127"/>
      <c r="G279" s="133" t="s">
        <v>45</v>
      </c>
      <c r="H279" s="134"/>
      <c r="I279" s="156"/>
      <c r="J279" s="157"/>
      <c r="K279" s="158"/>
      <c r="L279" s="159"/>
      <c r="M279" s="127"/>
      <c r="N279" s="160"/>
      <c r="O279" s="161"/>
      <c r="P279" s="162"/>
      <c r="Q279" s="162"/>
      <c r="R279" s="161"/>
      <c r="S279" s="161"/>
      <c r="T279" s="162"/>
      <c r="U279" s="162"/>
      <c r="V279" s="161"/>
    </row>
    <row r="280" spans="1:22" ht="15" customHeight="1">
      <c r="A280" s="128" t="s">
        <v>602</v>
      </c>
      <c r="B280" s="129"/>
      <c r="C280" s="130"/>
      <c r="D280" s="131" t="s">
        <v>117</v>
      </c>
      <c r="E280" s="132" t="s">
        <v>603</v>
      </c>
      <c r="F280" s="127"/>
      <c r="G280" s="133" t="s">
        <v>117</v>
      </c>
      <c r="H280" s="134"/>
      <c r="I280" s="156" t="s">
        <v>41</v>
      </c>
      <c r="J280" s="157"/>
      <c r="K280" s="158"/>
      <c r="L280" s="159"/>
      <c r="M280" s="127"/>
      <c r="N280" s="160"/>
      <c r="O280" s="161"/>
      <c r="P280" s="162"/>
      <c r="Q280" s="162"/>
      <c r="R280" s="161"/>
      <c r="S280" s="161"/>
      <c r="T280" s="162"/>
      <c r="U280" s="162"/>
      <c r="V280" s="161"/>
    </row>
    <row r="281" spans="1:22" ht="15" hidden="1" customHeight="1">
      <c r="A281" s="128" t="s">
        <v>604</v>
      </c>
      <c r="B281" s="129"/>
      <c r="C281" s="130"/>
      <c r="D281" s="131" t="s">
        <v>122</v>
      </c>
      <c r="E281" s="132" t="s">
        <v>605</v>
      </c>
      <c r="F281" s="127"/>
      <c r="G281" s="133" t="s">
        <v>45</v>
      </c>
      <c r="H281" s="134"/>
      <c r="I281" s="156"/>
      <c r="J281" s="157"/>
      <c r="K281" s="158"/>
      <c r="L281" s="159"/>
      <c r="M281" s="127"/>
      <c r="N281" s="160"/>
      <c r="O281" s="161"/>
      <c r="P281" s="162"/>
      <c r="Q281" s="162"/>
      <c r="R281" s="161"/>
      <c r="S281" s="161"/>
      <c r="T281" s="162"/>
      <c r="U281" s="162"/>
      <c r="V281" s="161"/>
    </row>
    <row r="282" spans="1:22" ht="15" hidden="1" customHeight="1">
      <c r="A282" s="128" t="s">
        <v>606</v>
      </c>
      <c r="B282" s="129"/>
      <c r="C282" s="130"/>
      <c r="D282" s="131" t="s">
        <v>130</v>
      </c>
      <c r="E282" s="132" t="s">
        <v>607</v>
      </c>
      <c r="F282" s="127"/>
      <c r="G282" s="133" t="s">
        <v>45</v>
      </c>
      <c r="H282" s="134"/>
      <c r="I282" s="156"/>
      <c r="J282" s="157"/>
      <c r="K282" s="158"/>
      <c r="L282" s="159"/>
      <c r="M282" s="127"/>
      <c r="N282" s="160"/>
      <c r="O282" s="161"/>
      <c r="P282" s="162"/>
      <c r="Q282" s="162"/>
      <c r="R282" s="161"/>
      <c r="S282" s="161"/>
      <c r="T282" s="162"/>
      <c r="U282" s="162"/>
      <c r="V282" s="161"/>
    </row>
    <row r="283" spans="1:22" ht="15" hidden="1" customHeight="1">
      <c r="A283" s="128" t="s">
        <v>608</v>
      </c>
      <c r="B283" s="129"/>
      <c r="C283" s="130"/>
      <c r="D283" s="131" t="s">
        <v>130</v>
      </c>
      <c r="E283" s="132" t="s">
        <v>609</v>
      </c>
      <c r="F283" s="127"/>
      <c r="G283" s="133" t="s">
        <v>45</v>
      </c>
      <c r="H283" s="134"/>
      <c r="I283" s="156"/>
      <c r="J283" s="157"/>
      <c r="K283" s="158"/>
      <c r="L283" s="159"/>
      <c r="M283" s="127"/>
      <c r="N283" s="160"/>
      <c r="O283" s="161"/>
      <c r="P283" s="162"/>
      <c r="Q283" s="162"/>
      <c r="R283" s="161"/>
      <c r="S283" s="161"/>
      <c r="T283" s="162"/>
      <c r="U283" s="162"/>
      <c r="V283" s="161"/>
    </row>
    <row r="284" spans="1:22" ht="15" hidden="1" customHeight="1">
      <c r="A284" s="128" t="s">
        <v>610</v>
      </c>
      <c r="B284" s="129"/>
      <c r="C284" s="130"/>
      <c r="D284" s="131" t="s">
        <v>130</v>
      </c>
      <c r="E284" s="132" t="s">
        <v>611</v>
      </c>
      <c r="F284" s="127"/>
      <c r="G284" s="133" t="s">
        <v>45</v>
      </c>
      <c r="H284" s="134"/>
      <c r="I284" s="156"/>
      <c r="J284" s="157"/>
      <c r="K284" s="158"/>
      <c r="L284" s="159"/>
      <c r="M284" s="127"/>
      <c r="N284" s="160"/>
      <c r="O284" s="161"/>
      <c r="P284" s="162"/>
      <c r="Q284" s="162"/>
      <c r="R284" s="161"/>
      <c r="S284" s="161"/>
      <c r="T284" s="162"/>
      <c r="U284" s="162"/>
      <c r="V284" s="161"/>
    </row>
    <row r="285" spans="1:22" ht="15" hidden="1" customHeight="1">
      <c r="A285" s="128" t="s">
        <v>612</v>
      </c>
      <c r="B285" s="129"/>
      <c r="C285" s="130"/>
      <c r="D285" s="131" t="s">
        <v>130</v>
      </c>
      <c r="E285" s="132" t="s">
        <v>613</v>
      </c>
      <c r="F285" s="127"/>
      <c r="G285" s="133" t="s">
        <v>45</v>
      </c>
      <c r="H285" s="134"/>
      <c r="I285" s="156"/>
      <c r="J285" s="157"/>
      <c r="K285" s="158"/>
      <c r="L285" s="159"/>
      <c r="M285" s="127"/>
      <c r="N285" s="160"/>
      <c r="O285" s="161"/>
      <c r="P285" s="162"/>
      <c r="Q285" s="162"/>
      <c r="R285" s="161"/>
      <c r="S285" s="161"/>
      <c r="T285" s="162"/>
      <c r="U285" s="162"/>
      <c r="V285" s="161"/>
    </row>
    <row r="286" spans="1:22" ht="15" hidden="1" customHeight="1">
      <c r="A286" s="128" t="s">
        <v>614</v>
      </c>
      <c r="B286" s="129"/>
      <c r="C286" s="130"/>
      <c r="D286" s="131" t="s">
        <v>130</v>
      </c>
      <c r="E286" s="132" t="s">
        <v>615</v>
      </c>
      <c r="F286" s="127"/>
      <c r="G286" s="133" t="s">
        <v>45</v>
      </c>
      <c r="H286" s="134"/>
      <c r="I286" s="156"/>
      <c r="J286" s="157"/>
      <c r="K286" s="158"/>
      <c r="L286" s="159"/>
      <c r="M286" s="127"/>
      <c r="N286" s="160"/>
      <c r="O286" s="161"/>
      <c r="P286" s="162"/>
      <c r="Q286" s="162"/>
      <c r="R286" s="161"/>
      <c r="S286" s="161"/>
      <c r="T286" s="162"/>
      <c r="U286" s="162"/>
      <c r="V286" s="161"/>
    </row>
    <row r="287" spans="1:22" ht="15" hidden="1" customHeight="1">
      <c r="A287" s="128" t="s">
        <v>616</v>
      </c>
      <c r="B287" s="129"/>
      <c r="C287" s="130"/>
      <c r="D287" s="131" t="s">
        <v>130</v>
      </c>
      <c r="E287" s="132" t="s">
        <v>617</v>
      </c>
      <c r="F287" s="127"/>
      <c r="G287" s="133" t="s">
        <v>45</v>
      </c>
      <c r="H287" s="134"/>
      <c r="I287" s="156"/>
      <c r="J287" s="157"/>
      <c r="K287" s="158"/>
      <c r="L287" s="159"/>
      <c r="M287" s="127"/>
      <c r="N287" s="160"/>
      <c r="O287" s="161"/>
      <c r="P287" s="162"/>
      <c r="Q287" s="162"/>
      <c r="R287" s="161"/>
      <c r="S287" s="161"/>
      <c r="T287" s="162"/>
      <c r="U287" s="162"/>
      <c r="V287" s="161"/>
    </row>
    <row r="288" spans="1:22" ht="15" hidden="1" customHeight="1">
      <c r="A288" s="128" t="s">
        <v>618</v>
      </c>
      <c r="B288" s="129"/>
      <c r="C288" s="130"/>
      <c r="D288" s="131" t="s">
        <v>130</v>
      </c>
      <c r="E288" s="132" t="s">
        <v>619</v>
      </c>
      <c r="F288" s="127"/>
      <c r="G288" s="133" t="s">
        <v>45</v>
      </c>
      <c r="H288" s="134"/>
      <c r="I288" s="156"/>
      <c r="J288" s="157"/>
      <c r="K288" s="158"/>
      <c r="L288" s="159"/>
      <c r="M288" s="127"/>
      <c r="N288" s="160"/>
      <c r="O288" s="161"/>
      <c r="P288" s="162"/>
      <c r="Q288" s="162"/>
      <c r="R288" s="161"/>
      <c r="S288" s="161"/>
      <c r="T288" s="162"/>
      <c r="U288" s="162"/>
      <c r="V288" s="161"/>
    </row>
    <row r="289" spans="1:22" ht="15" hidden="1" customHeight="1">
      <c r="A289" s="128" t="s">
        <v>620</v>
      </c>
      <c r="B289" s="129"/>
      <c r="C289" s="130"/>
      <c r="D289" s="131" t="s">
        <v>130</v>
      </c>
      <c r="E289" s="132" t="s">
        <v>621</v>
      </c>
      <c r="F289" s="127"/>
      <c r="G289" s="133" t="s">
        <v>45</v>
      </c>
      <c r="H289" s="134"/>
      <c r="I289" s="156"/>
      <c r="J289" s="157"/>
      <c r="K289" s="158"/>
      <c r="L289" s="159"/>
      <c r="M289" s="127"/>
      <c r="N289" s="160"/>
      <c r="O289" s="161"/>
      <c r="P289" s="162"/>
      <c r="Q289" s="162"/>
      <c r="R289" s="161"/>
      <c r="S289" s="161"/>
      <c r="T289" s="162"/>
      <c r="U289" s="162"/>
      <c r="V289" s="161"/>
    </row>
    <row r="290" spans="1:22" ht="15" hidden="1" customHeight="1">
      <c r="A290" s="128" t="s">
        <v>622</v>
      </c>
      <c r="B290" s="129"/>
      <c r="C290" s="130"/>
      <c r="D290" s="131" t="s">
        <v>130</v>
      </c>
      <c r="E290" s="132" t="s">
        <v>623</v>
      </c>
      <c r="F290" s="127"/>
      <c r="G290" s="133" t="s">
        <v>45</v>
      </c>
      <c r="H290" s="134"/>
      <c r="I290" s="156"/>
      <c r="J290" s="157"/>
      <c r="K290" s="158"/>
      <c r="L290" s="159"/>
      <c r="M290" s="127"/>
      <c r="N290" s="160"/>
      <c r="O290" s="161"/>
      <c r="P290" s="162"/>
      <c r="Q290" s="162"/>
      <c r="R290" s="161"/>
      <c r="S290" s="161"/>
      <c r="T290" s="162"/>
      <c r="U290" s="162"/>
      <c r="V290" s="161"/>
    </row>
    <row r="291" spans="1:22" ht="15" hidden="1" customHeight="1">
      <c r="A291" s="128" t="s">
        <v>624</v>
      </c>
      <c r="B291" s="129"/>
      <c r="C291" s="130"/>
      <c r="D291" s="131" t="s">
        <v>130</v>
      </c>
      <c r="E291" s="132" t="s">
        <v>625</v>
      </c>
      <c r="F291" s="127"/>
      <c r="G291" s="133" t="s">
        <v>45</v>
      </c>
      <c r="H291" s="134"/>
      <c r="I291" s="156"/>
      <c r="J291" s="157"/>
      <c r="K291" s="158"/>
      <c r="L291" s="159"/>
      <c r="M291" s="127"/>
      <c r="N291" s="160"/>
      <c r="O291" s="161"/>
      <c r="P291" s="162"/>
      <c r="Q291" s="162"/>
      <c r="R291" s="161"/>
      <c r="S291" s="161"/>
      <c r="T291" s="162"/>
      <c r="U291" s="162"/>
      <c r="V291" s="161"/>
    </row>
    <row r="292" spans="1:22" ht="15" hidden="1" customHeight="1">
      <c r="A292" s="128" t="s">
        <v>626</v>
      </c>
      <c r="B292" s="129"/>
      <c r="C292" s="130"/>
      <c r="D292" s="131" t="s">
        <v>130</v>
      </c>
      <c r="E292" s="132" t="s">
        <v>627</v>
      </c>
      <c r="F292" s="127"/>
      <c r="G292" s="133" t="s">
        <v>45</v>
      </c>
      <c r="H292" s="134"/>
      <c r="I292" s="156"/>
      <c r="J292" s="157"/>
      <c r="K292" s="158"/>
      <c r="L292" s="159"/>
      <c r="M292" s="127"/>
      <c r="N292" s="160"/>
      <c r="O292" s="161"/>
      <c r="P292" s="162"/>
      <c r="Q292" s="162"/>
      <c r="R292" s="161"/>
      <c r="S292" s="161"/>
      <c r="T292" s="162"/>
      <c r="U292" s="162"/>
      <c r="V292" s="161"/>
    </row>
    <row r="293" spans="1:22" ht="15" hidden="1" customHeight="1">
      <c r="A293" s="128" t="s">
        <v>628</v>
      </c>
      <c r="B293" s="129"/>
      <c r="C293" s="130"/>
      <c r="D293" s="131" t="s">
        <v>130</v>
      </c>
      <c r="E293" s="132" t="s">
        <v>629</v>
      </c>
      <c r="F293" s="127"/>
      <c r="G293" s="133" t="s">
        <v>45</v>
      </c>
      <c r="H293" s="134"/>
      <c r="I293" s="156"/>
      <c r="J293" s="157"/>
      <c r="K293" s="158"/>
      <c r="L293" s="159"/>
      <c r="M293" s="127"/>
      <c r="N293" s="160"/>
      <c r="O293" s="161"/>
      <c r="P293" s="162"/>
      <c r="Q293" s="162"/>
      <c r="R293" s="161"/>
      <c r="S293" s="161"/>
      <c r="T293" s="162"/>
      <c r="U293" s="162"/>
      <c r="V293" s="161"/>
    </row>
    <row r="294" spans="1:22" ht="15" hidden="1" customHeight="1">
      <c r="A294" s="128" t="s">
        <v>630</v>
      </c>
      <c r="B294" s="129"/>
      <c r="C294" s="130"/>
      <c r="D294" s="131" t="s">
        <v>130</v>
      </c>
      <c r="E294" s="132" t="s">
        <v>631</v>
      </c>
      <c r="F294" s="127"/>
      <c r="G294" s="133" t="s">
        <v>45</v>
      </c>
      <c r="H294" s="134"/>
      <c r="I294" s="156"/>
      <c r="J294" s="157"/>
      <c r="K294" s="158"/>
      <c r="L294" s="159"/>
      <c r="M294" s="127"/>
      <c r="N294" s="160"/>
      <c r="O294" s="161"/>
      <c r="P294" s="162"/>
      <c r="Q294" s="162"/>
      <c r="R294" s="161"/>
      <c r="S294" s="161"/>
      <c r="T294" s="162"/>
      <c r="U294" s="162"/>
      <c r="V294" s="161"/>
    </row>
    <row r="295" spans="1:22" ht="15" hidden="1" customHeight="1">
      <c r="A295" s="128" t="s">
        <v>632</v>
      </c>
      <c r="B295" s="129"/>
      <c r="C295" s="130"/>
      <c r="D295" s="131" t="s">
        <v>130</v>
      </c>
      <c r="E295" s="132" t="s">
        <v>633</v>
      </c>
      <c r="F295" s="127"/>
      <c r="G295" s="133" t="s">
        <v>45</v>
      </c>
      <c r="H295" s="134"/>
      <c r="I295" s="156"/>
      <c r="J295" s="157"/>
      <c r="K295" s="158"/>
      <c r="L295" s="159"/>
      <c r="M295" s="127"/>
      <c r="N295" s="160"/>
      <c r="O295" s="161"/>
      <c r="P295" s="162"/>
      <c r="Q295" s="162"/>
      <c r="R295" s="161"/>
      <c r="S295" s="161"/>
      <c r="T295" s="162"/>
      <c r="U295" s="162"/>
      <c r="V295" s="161"/>
    </row>
    <row r="296" spans="1:22" ht="15" hidden="1" customHeight="1">
      <c r="A296" s="128" t="s">
        <v>634</v>
      </c>
      <c r="B296" s="129"/>
      <c r="C296" s="130"/>
      <c r="D296" s="131" t="s">
        <v>122</v>
      </c>
      <c r="E296" s="132" t="s">
        <v>635</v>
      </c>
      <c r="F296" s="127"/>
      <c r="G296" s="133" t="s">
        <v>45</v>
      </c>
      <c r="H296" s="134"/>
      <c r="I296" s="156"/>
      <c r="J296" s="157"/>
      <c r="K296" s="158"/>
      <c r="L296" s="159"/>
      <c r="M296" s="127"/>
      <c r="N296" s="160"/>
      <c r="O296" s="161"/>
      <c r="P296" s="162"/>
      <c r="Q296" s="162"/>
      <c r="R296" s="161"/>
      <c r="S296" s="161"/>
      <c r="T296" s="162"/>
      <c r="U296" s="162"/>
      <c r="V296" s="161"/>
    </row>
    <row r="297" spans="1:22" ht="15" hidden="1" customHeight="1">
      <c r="A297" s="128" t="s">
        <v>636</v>
      </c>
      <c r="B297" s="129"/>
      <c r="C297" s="130"/>
      <c r="D297" s="131" t="s">
        <v>122</v>
      </c>
      <c r="E297" s="132" t="s">
        <v>637</v>
      </c>
      <c r="F297" s="127"/>
      <c r="G297" s="133" t="s">
        <v>45</v>
      </c>
      <c r="H297" s="134"/>
      <c r="I297" s="156"/>
      <c r="J297" s="157"/>
      <c r="K297" s="158"/>
      <c r="L297" s="159"/>
      <c r="M297" s="127"/>
      <c r="N297" s="160"/>
      <c r="O297" s="161"/>
      <c r="P297" s="162"/>
      <c r="Q297" s="162"/>
      <c r="R297" s="161"/>
      <c r="S297" s="161"/>
      <c r="T297" s="162"/>
      <c r="U297" s="162"/>
      <c r="V297" s="161"/>
    </row>
    <row r="298" spans="1:22" ht="15" hidden="1" customHeight="1">
      <c r="A298" s="128" t="s">
        <v>638</v>
      </c>
      <c r="B298" s="129"/>
      <c r="C298" s="130"/>
      <c r="D298" s="131" t="s">
        <v>117</v>
      </c>
      <c r="E298" s="132" t="s">
        <v>639</v>
      </c>
      <c r="F298" s="127"/>
      <c r="G298" s="133" t="s">
        <v>45</v>
      </c>
      <c r="H298" s="134"/>
      <c r="I298" s="156"/>
      <c r="J298" s="157"/>
      <c r="K298" s="158"/>
      <c r="L298" s="159"/>
      <c r="M298" s="127"/>
      <c r="N298" s="160"/>
      <c r="O298" s="161"/>
      <c r="P298" s="162"/>
      <c r="Q298" s="162"/>
      <c r="R298" s="161"/>
      <c r="S298" s="161"/>
      <c r="T298" s="162"/>
      <c r="U298" s="162"/>
      <c r="V298" s="161"/>
    </row>
    <row r="299" spans="1:22" ht="15" hidden="1" customHeight="1">
      <c r="A299" s="128" t="s">
        <v>640</v>
      </c>
      <c r="B299" s="129"/>
      <c r="C299" s="130"/>
      <c r="D299" s="131" t="s">
        <v>122</v>
      </c>
      <c r="E299" s="132" t="s">
        <v>641</v>
      </c>
      <c r="F299" s="127"/>
      <c r="G299" s="133" t="s">
        <v>45</v>
      </c>
      <c r="H299" s="134"/>
      <c r="I299" s="156"/>
      <c r="J299" s="157"/>
      <c r="K299" s="158"/>
      <c r="L299" s="159"/>
      <c r="M299" s="127"/>
      <c r="N299" s="160"/>
      <c r="O299" s="161"/>
      <c r="P299" s="162"/>
      <c r="Q299" s="162"/>
      <c r="R299" s="161"/>
      <c r="S299" s="161"/>
      <c r="T299" s="162"/>
      <c r="U299" s="162"/>
      <c r="V299" s="161"/>
    </row>
    <row r="300" spans="1:22" ht="15" hidden="1" customHeight="1">
      <c r="A300" s="128" t="s">
        <v>642</v>
      </c>
      <c r="B300" s="129"/>
      <c r="C300" s="130"/>
      <c r="D300" s="131" t="s">
        <v>122</v>
      </c>
      <c r="E300" s="132" t="s">
        <v>643</v>
      </c>
      <c r="F300" s="127"/>
      <c r="G300" s="133" t="s">
        <v>45</v>
      </c>
      <c r="H300" s="134"/>
      <c r="I300" s="156"/>
      <c r="J300" s="157"/>
      <c r="K300" s="158"/>
      <c r="L300" s="159"/>
      <c r="M300" s="127"/>
      <c r="N300" s="160"/>
      <c r="O300" s="161"/>
      <c r="P300" s="162"/>
      <c r="Q300" s="162"/>
      <c r="R300" s="161"/>
      <c r="S300" s="161"/>
      <c r="T300" s="162"/>
      <c r="U300" s="162"/>
      <c r="V300" s="161"/>
    </row>
    <row r="301" spans="1:22" ht="15" hidden="1" customHeight="1">
      <c r="A301" s="128" t="s">
        <v>644</v>
      </c>
      <c r="B301" s="129"/>
      <c r="C301" s="130"/>
      <c r="D301" s="131" t="s">
        <v>122</v>
      </c>
      <c r="E301" s="132" t="s">
        <v>645</v>
      </c>
      <c r="F301" s="127"/>
      <c r="G301" s="133" t="s">
        <v>45</v>
      </c>
      <c r="H301" s="134"/>
      <c r="I301" s="156"/>
      <c r="J301" s="157"/>
      <c r="K301" s="158"/>
      <c r="L301" s="159"/>
      <c r="M301" s="127"/>
      <c r="N301" s="160"/>
      <c r="O301" s="161"/>
      <c r="P301" s="162"/>
      <c r="Q301" s="162"/>
      <c r="R301" s="161"/>
      <c r="S301" s="161"/>
      <c r="T301" s="162"/>
      <c r="U301" s="162"/>
      <c r="V301" s="161"/>
    </row>
    <row r="302" spans="1:22" ht="15" hidden="1" customHeight="1">
      <c r="A302" s="128" t="s">
        <v>646</v>
      </c>
      <c r="B302" s="129"/>
      <c r="C302" s="130"/>
      <c r="D302" s="131" t="s">
        <v>117</v>
      </c>
      <c r="E302" s="132" t="s">
        <v>647</v>
      </c>
      <c r="F302" s="127"/>
      <c r="G302" s="133" t="s">
        <v>45</v>
      </c>
      <c r="H302" s="134"/>
      <c r="I302" s="156"/>
      <c r="J302" s="157"/>
      <c r="K302" s="158"/>
      <c r="L302" s="159"/>
      <c r="M302" s="127"/>
      <c r="N302" s="160"/>
      <c r="O302" s="161"/>
      <c r="P302" s="162"/>
      <c r="Q302" s="162"/>
      <c r="R302" s="161"/>
      <c r="S302" s="161"/>
      <c r="T302" s="162"/>
      <c r="U302" s="162"/>
      <c r="V302" s="161"/>
    </row>
    <row r="303" spans="1:22" ht="15" hidden="1" customHeight="1">
      <c r="A303" s="128" t="s">
        <v>648</v>
      </c>
      <c r="B303" s="129"/>
      <c r="C303" s="130"/>
      <c r="D303" s="131" t="s">
        <v>117</v>
      </c>
      <c r="E303" s="132" t="s">
        <v>649</v>
      </c>
      <c r="F303" s="127"/>
      <c r="G303" s="133" t="s">
        <v>45</v>
      </c>
      <c r="H303" s="134"/>
      <c r="I303" s="156"/>
      <c r="J303" s="157"/>
      <c r="K303" s="158"/>
      <c r="L303" s="159"/>
      <c r="M303" s="127"/>
      <c r="N303" s="160"/>
      <c r="O303" s="161"/>
      <c r="P303" s="162"/>
      <c r="Q303" s="162"/>
      <c r="R303" s="161"/>
      <c r="S303" s="161"/>
      <c r="T303" s="162"/>
      <c r="U303" s="162"/>
      <c r="V303" s="161"/>
    </row>
    <row r="304" spans="1:22" ht="15" hidden="1" customHeight="1">
      <c r="A304" s="128" t="s">
        <v>650</v>
      </c>
      <c r="B304" s="129"/>
      <c r="C304" s="130"/>
      <c r="D304" s="131" t="s">
        <v>117</v>
      </c>
      <c r="E304" s="132" t="s">
        <v>651</v>
      </c>
      <c r="F304" s="127"/>
      <c r="G304" s="133" t="s">
        <v>45</v>
      </c>
      <c r="H304" s="134"/>
      <c r="I304" s="156"/>
      <c r="J304" s="157"/>
      <c r="K304" s="158"/>
      <c r="L304" s="159"/>
      <c r="M304" s="127"/>
      <c r="N304" s="160"/>
      <c r="O304" s="161"/>
      <c r="P304" s="162"/>
      <c r="Q304" s="162"/>
      <c r="R304" s="161"/>
      <c r="S304" s="161"/>
      <c r="T304" s="162"/>
      <c r="U304" s="162"/>
      <c r="V304" s="161"/>
    </row>
    <row r="305" spans="1:22" ht="15" hidden="1" customHeight="1">
      <c r="A305" s="128" t="s">
        <v>652</v>
      </c>
      <c r="B305" s="129"/>
      <c r="C305" s="130"/>
      <c r="D305" s="131" t="s">
        <v>117</v>
      </c>
      <c r="E305" s="132" t="s">
        <v>653</v>
      </c>
      <c r="F305" s="127"/>
      <c r="G305" s="133" t="s">
        <v>45</v>
      </c>
      <c r="H305" s="134"/>
      <c r="I305" s="156"/>
      <c r="J305" s="157"/>
      <c r="K305" s="158"/>
      <c r="L305" s="159"/>
      <c r="M305" s="127"/>
      <c r="N305" s="160"/>
      <c r="O305" s="161"/>
      <c r="P305" s="162"/>
      <c r="Q305" s="162"/>
      <c r="R305" s="161"/>
      <c r="S305" s="161"/>
      <c r="T305" s="162"/>
      <c r="U305" s="162"/>
      <c r="V305" s="161"/>
    </row>
    <row r="306" spans="1:22" ht="15" hidden="1" customHeight="1">
      <c r="A306" s="128" t="s">
        <v>654</v>
      </c>
      <c r="B306" s="129"/>
      <c r="C306" s="130"/>
      <c r="D306" s="131" t="s">
        <v>117</v>
      </c>
      <c r="E306" s="132" t="s">
        <v>655</v>
      </c>
      <c r="F306" s="127"/>
      <c r="G306" s="133" t="s">
        <v>45</v>
      </c>
      <c r="H306" s="134"/>
      <c r="I306" s="156"/>
      <c r="J306" s="157"/>
      <c r="K306" s="158"/>
      <c r="L306" s="159"/>
      <c r="M306" s="127"/>
      <c r="N306" s="160"/>
      <c r="O306" s="161"/>
      <c r="P306" s="162"/>
      <c r="Q306" s="162"/>
      <c r="R306" s="161"/>
      <c r="S306" s="161"/>
      <c r="T306" s="162"/>
      <c r="U306" s="162"/>
      <c r="V306" s="161"/>
    </row>
    <row r="307" spans="1:22" ht="15" hidden="1" customHeight="1">
      <c r="A307" s="128" t="s">
        <v>656</v>
      </c>
      <c r="B307" s="129"/>
      <c r="C307" s="130"/>
      <c r="D307" s="131" t="s">
        <v>117</v>
      </c>
      <c r="E307" s="132" t="s">
        <v>657</v>
      </c>
      <c r="F307" s="127"/>
      <c r="G307" s="133" t="s">
        <v>45</v>
      </c>
      <c r="H307" s="134"/>
      <c r="I307" s="156"/>
      <c r="J307" s="157"/>
      <c r="K307" s="158"/>
      <c r="L307" s="159"/>
      <c r="M307" s="127"/>
      <c r="N307" s="160"/>
      <c r="O307" s="161"/>
      <c r="P307" s="162"/>
      <c r="Q307" s="162"/>
      <c r="R307" s="161"/>
      <c r="S307" s="161"/>
      <c r="T307" s="162"/>
      <c r="U307" s="162"/>
      <c r="V307" s="161"/>
    </row>
    <row r="308" spans="1:22" ht="15" hidden="1" customHeight="1">
      <c r="A308" s="128" t="s">
        <v>658</v>
      </c>
      <c r="B308" s="129"/>
      <c r="C308" s="130"/>
      <c r="D308" s="131" t="s">
        <v>374</v>
      </c>
      <c r="E308" s="132" t="s">
        <v>659</v>
      </c>
      <c r="F308" s="127"/>
      <c r="G308" s="133" t="s">
        <v>45</v>
      </c>
      <c r="H308" s="134"/>
      <c r="I308" s="156"/>
      <c r="J308" s="157"/>
      <c r="K308" s="158"/>
      <c r="L308" s="159"/>
      <c r="M308" s="127"/>
      <c r="N308" s="160"/>
      <c r="O308" s="161"/>
      <c r="P308" s="162"/>
      <c r="Q308" s="162"/>
      <c r="R308" s="161"/>
      <c r="S308" s="161"/>
      <c r="T308" s="162"/>
      <c r="U308" s="162"/>
      <c r="V308" s="161"/>
    </row>
    <row r="309" spans="1:22" ht="15" hidden="1" customHeight="1">
      <c r="A309" s="128" t="s">
        <v>660</v>
      </c>
      <c r="B309" s="129"/>
      <c r="C309" s="130"/>
      <c r="D309" s="131" t="s">
        <v>374</v>
      </c>
      <c r="E309" s="132" t="s">
        <v>661</v>
      </c>
      <c r="F309" s="127"/>
      <c r="G309" s="133" t="s">
        <v>45</v>
      </c>
      <c r="H309" s="134"/>
      <c r="I309" s="156"/>
      <c r="J309" s="157"/>
      <c r="K309" s="158"/>
      <c r="L309" s="159"/>
      <c r="M309" s="127"/>
      <c r="N309" s="160"/>
      <c r="O309" s="161"/>
      <c r="P309" s="162"/>
      <c r="Q309" s="162"/>
      <c r="R309" s="161"/>
      <c r="S309" s="161"/>
      <c r="T309" s="162"/>
      <c r="U309" s="162"/>
      <c r="V309" s="161"/>
    </row>
    <row r="310" spans="1:22" ht="15" hidden="1" customHeight="1">
      <c r="A310" s="128" t="s">
        <v>662</v>
      </c>
      <c r="B310" s="129"/>
      <c r="C310" s="130"/>
      <c r="D310" s="131" t="s">
        <v>374</v>
      </c>
      <c r="E310" s="132" t="s">
        <v>663</v>
      </c>
      <c r="F310" s="127"/>
      <c r="G310" s="133" t="s">
        <v>45</v>
      </c>
      <c r="H310" s="134"/>
      <c r="I310" s="156"/>
      <c r="J310" s="157"/>
      <c r="K310" s="158"/>
      <c r="L310" s="159"/>
      <c r="M310" s="127"/>
      <c r="N310" s="160"/>
      <c r="O310" s="161"/>
      <c r="P310" s="162"/>
      <c r="Q310" s="162"/>
      <c r="R310" s="161"/>
      <c r="S310" s="161"/>
      <c r="T310" s="162"/>
      <c r="U310" s="162"/>
      <c r="V310" s="161"/>
    </row>
    <row r="311" spans="1:22" ht="15" hidden="1" customHeight="1">
      <c r="A311" s="128" t="s">
        <v>664</v>
      </c>
      <c r="B311" s="129"/>
      <c r="C311" s="130"/>
      <c r="D311" s="131" t="s">
        <v>374</v>
      </c>
      <c r="E311" s="132" t="s">
        <v>665</v>
      </c>
      <c r="F311" s="127"/>
      <c r="G311" s="133" t="s">
        <v>45</v>
      </c>
      <c r="H311" s="134"/>
      <c r="I311" s="156"/>
      <c r="J311" s="157"/>
      <c r="K311" s="158"/>
      <c r="L311" s="159"/>
      <c r="M311" s="127"/>
      <c r="N311" s="160"/>
      <c r="O311" s="161"/>
      <c r="P311" s="162"/>
      <c r="Q311" s="162"/>
      <c r="R311" s="161"/>
      <c r="S311" s="161"/>
      <c r="T311" s="162"/>
      <c r="U311" s="162"/>
      <c r="V311" s="161"/>
    </row>
    <row r="312" spans="1:22" ht="15" hidden="1" customHeight="1">
      <c r="A312" s="128" t="s">
        <v>666</v>
      </c>
      <c r="B312" s="129"/>
      <c r="C312" s="130"/>
      <c r="D312" s="131" t="s">
        <v>374</v>
      </c>
      <c r="E312" s="132" t="s">
        <v>667</v>
      </c>
      <c r="F312" s="127"/>
      <c r="G312" s="133" t="s">
        <v>45</v>
      </c>
      <c r="H312" s="134"/>
      <c r="I312" s="156"/>
      <c r="J312" s="157"/>
      <c r="K312" s="158"/>
      <c r="L312" s="159"/>
      <c r="M312" s="127"/>
      <c r="N312" s="160"/>
      <c r="O312" s="161"/>
      <c r="P312" s="162"/>
      <c r="Q312" s="162"/>
      <c r="R312" s="161"/>
      <c r="S312" s="161"/>
      <c r="T312" s="162"/>
      <c r="U312" s="162"/>
      <c r="V312" s="161"/>
    </row>
    <row r="313" spans="1:22" ht="15" hidden="1" customHeight="1">
      <c r="A313" s="128" t="s">
        <v>668</v>
      </c>
      <c r="B313" s="129"/>
      <c r="C313" s="130"/>
      <c r="D313" s="131" t="s">
        <v>374</v>
      </c>
      <c r="E313" s="132" t="s">
        <v>669</v>
      </c>
      <c r="F313" s="127"/>
      <c r="G313" s="133" t="s">
        <v>45</v>
      </c>
      <c r="H313" s="134"/>
      <c r="I313" s="156"/>
      <c r="J313" s="157"/>
      <c r="K313" s="158"/>
      <c r="L313" s="159"/>
      <c r="M313" s="127"/>
      <c r="N313" s="160"/>
      <c r="O313" s="161"/>
      <c r="P313" s="162"/>
      <c r="Q313" s="162"/>
      <c r="R313" s="161"/>
      <c r="S313" s="161"/>
      <c r="T313" s="162"/>
      <c r="U313" s="162"/>
      <c r="V313" s="161"/>
    </row>
    <row r="314" spans="1:22" ht="15" hidden="1" customHeight="1">
      <c r="A314" s="128" t="s">
        <v>670</v>
      </c>
      <c r="B314" s="129"/>
      <c r="C314" s="130"/>
      <c r="D314" s="131" t="s">
        <v>122</v>
      </c>
      <c r="E314" s="132" t="s">
        <v>671</v>
      </c>
      <c r="F314" s="127"/>
      <c r="G314" s="133" t="s">
        <v>45</v>
      </c>
      <c r="H314" s="134"/>
      <c r="I314" s="156"/>
      <c r="J314" s="157"/>
      <c r="K314" s="158"/>
      <c r="L314" s="159"/>
      <c r="M314" s="127"/>
      <c r="N314" s="160"/>
      <c r="O314" s="161"/>
      <c r="P314" s="162"/>
      <c r="Q314" s="162"/>
      <c r="R314" s="161"/>
      <c r="S314" s="161"/>
      <c r="T314" s="162"/>
      <c r="U314" s="162"/>
      <c r="V314" s="161"/>
    </row>
    <row r="315" spans="1:22" ht="15" customHeight="1">
      <c r="A315" s="128" t="s">
        <v>672</v>
      </c>
      <c r="B315" s="129"/>
      <c r="C315" s="130"/>
      <c r="D315" s="131" t="s">
        <v>117</v>
      </c>
      <c r="E315" s="132" t="s">
        <v>673</v>
      </c>
      <c r="F315" s="127"/>
      <c r="G315" s="133" t="s">
        <v>117</v>
      </c>
      <c r="H315" s="134"/>
      <c r="I315" s="156" t="s">
        <v>41</v>
      </c>
      <c r="J315" s="157"/>
      <c r="L315" s="159"/>
      <c r="M315" s="127"/>
      <c r="N315" s="160"/>
      <c r="O315" s="161"/>
      <c r="P315" s="162"/>
      <c r="Q315" s="162"/>
      <c r="R315" s="161"/>
      <c r="S315" s="161"/>
      <c r="T315" s="162"/>
      <c r="U315" s="162"/>
      <c r="V315" s="161"/>
    </row>
    <row r="316" spans="1:22" ht="15" customHeight="1">
      <c r="A316" s="128" t="s">
        <v>674</v>
      </c>
      <c r="B316" s="129"/>
      <c r="C316" s="130"/>
      <c r="D316" s="131" t="s">
        <v>112</v>
      </c>
      <c r="E316" s="132" t="s">
        <v>675</v>
      </c>
      <c r="F316" s="127"/>
      <c r="G316" s="133" t="s">
        <v>112</v>
      </c>
      <c r="H316" s="134"/>
      <c r="I316" s="156" t="s">
        <v>41</v>
      </c>
      <c r="J316" s="157"/>
      <c r="L316" s="159"/>
      <c r="M316" s="127"/>
      <c r="N316" s="160"/>
      <c r="O316" s="161"/>
      <c r="P316" s="162"/>
      <c r="Q316" s="162"/>
      <c r="R316" s="161"/>
      <c r="S316" s="161"/>
      <c r="T316" s="162"/>
      <c r="U316" s="162"/>
      <c r="V316" s="161"/>
    </row>
    <row r="317" spans="1:22" ht="15" customHeight="1">
      <c r="A317" s="128" t="s">
        <v>676</v>
      </c>
      <c r="B317" s="129"/>
      <c r="C317" s="130"/>
      <c r="D317" s="131" t="s">
        <v>130</v>
      </c>
      <c r="E317" s="132" t="s">
        <v>677</v>
      </c>
      <c r="F317" s="127"/>
      <c r="G317" s="133" t="s">
        <v>130</v>
      </c>
      <c r="H317" s="134"/>
      <c r="I317" s="156" t="s">
        <v>41</v>
      </c>
      <c r="J317" s="157"/>
      <c r="L317" s="159"/>
      <c r="M317" s="127"/>
      <c r="N317" s="160"/>
      <c r="O317" s="161"/>
      <c r="P317" s="162"/>
      <c r="Q317" s="162"/>
      <c r="R317" s="161"/>
      <c r="S317" s="161"/>
      <c r="T317" s="162"/>
      <c r="U317" s="162"/>
      <c r="V317" s="161"/>
    </row>
    <row r="318" spans="1:22" ht="15" customHeight="1">
      <c r="A318" s="128" t="s">
        <v>678</v>
      </c>
      <c r="B318" s="129"/>
      <c r="C318" s="130"/>
      <c r="D318" s="131" t="s">
        <v>130</v>
      </c>
      <c r="E318" s="132" t="s">
        <v>679</v>
      </c>
      <c r="F318" s="127"/>
      <c r="G318" s="133" t="s">
        <v>130</v>
      </c>
      <c r="H318" s="134"/>
      <c r="I318" s="156" t="s">
        <v>41</v>
      </c>
      <c r="J318" s="157"/>
      <c r="L318" s="159"/>
      <c r="M318" s="127"/>
      <c r="N318" s="160"/>
      <c r="O318" s="161"/>
      <c r="P318" s="162"/>
      <c r="Q318" s="162"/>
      <c r="R318" s="161"/>
      <c r="S318" s="161"/>
      <c r="T318" s="162"/>
      <c r="U318" s="162"/>
      <c r="V318" s="161"/>
    </row>
    <row r="319" spans="1:22" ht="15" customHeight="1">
      <c r="A319" s="128" t="s">
        <v>680</v>
      </c>
      <c r="B319" s="129"/>
      <c r="C319" s="130"/>
      <c r="D319" s="131" t="s">
        <v>130</v>
      </c>
      <c r="E319" s="132" t="s">
        <v>681</v>
      </c>
      <c r="F319" s="127"/>
      <c r="G319" s="133" t="s">
        <v>130</v>
      </c>
      <c r="H319" s="134"/>
      <c r="I319" s="156" t="s">
        <v>41</v>
      </c>
      <c r="J319" s="157"/>
      <c r="L319" s="159"/>
      <c r="M319" s="127"/>
      <c r="N319" s="160"/>
      <c r="O319" s="161"/>
      <c r="P319" s="162"/>
      <c r="Q319" s="162"/>
      <c r="R319" s="161"/>
      <c r="S319" s="161"/>
      <c r="T319" s="162"/>
      <c r="U319" s="162"/>
      <c r="V319" s="161"/>
    </row>
    <row r="320" spans="1:22" ht="15" customHeight="1">
      <c r="A320" s="128" t="s">
        <v>682</v>
      </c>
      <c r="B320" s="129"/>
      <c r="C320" s="130"/>
      <c r="D320" s="131" t="s">
        <v>112</v>
      </c>
      <c r="E320" s="132" t="s">
        <v>683</v>
      </c>
      <c r="F320" s="127"/>
      <c r="G320" s="133" t="s">
        <v>112</v>
      </c>
      <c r="H320" s="134"/>
      <c r="I320" s="156" t="s">
        <v>41</v>
      </c>
      <c r="J320" s="157"/>
      <c r="L320" s="159"/>
      <c r="M320" s="127"/>
      <c r="N320" s="160"/>
      <c r="O320" s="161"/>
      <c r="P320" s="162"/>
      <c r="Q320" s="162"/>
      <c r="R320" s="161"/>
      <c r="S320" s="161"/>
      <c r="T320" s="162"/>
      <c r="U320" s="162"/>
      <c r="V320" s="161"/>
    </row>
    <row r="321" spans="1:22" ht="15" customHeight="1">
      <c r="A321" s="210" t="s">
        <v>1374</v>
      </c>
      <c r="B321" s="129"/>
      <c r="C321" s="130"/>
      <c r="D321" s="131" t="s">
        <v>112</v>
      </c>
      <c r="E321" s="132" t="s">
        <v>684</v>
      </c>
      <c r="F321" s="127"/>
      <c r="G321" s="133" t="s">
        <v>112</v>
      </c>
      <c r="H321" s="134"/>
      <c r="I321" s="156" t="s">
        <v>43</v>
      </c>
      <c r="J321" s="157" t="s">
        <v>1379</v>
      </c>
      <c r="L321" s="159"/>
      <c r="M321" s="127"/>
      <c r="N321" s="160"/>
      <c r="O321" s="161"/>
      <c r="P321" s="162"/>
      <c r="Q321" s="162"/>
      <c r="R321" s="161"/>
      <c r="S321" s="161"/>
      <c r="T321" s="162"/>
      <c r="U321" s="162"/>
      <c r="V321" s="161"/>
    </row>
    <row r="322" spans="1:22" ht="15" customHeight="1">
      <c r="A322" s="128" t="s">
        <v>685</v>
      </c>
      <c r="B322" s="129"/>
      <c r="C322" s="130"/>
      <c r="D322" s="131" t="s">
        <v>117</v>
      </c>
      <c r="E322" s="132" t="s">
        <v>686</v>
      </c>
      <c r="F322" s="127"/>
      <c r="G322" s="133" t="s">
        <v>117</v>
      </c>
      <c r="H322" s="134"/>
      <c r="I322" s="156" t="s">
        <v>41</v>
      </c>
      <c r="J322" s="157"/>
      <c r="L322" s="159"/>
      <c r="M322" s="127"/>
      <c r="N322" s="160"/>
      <c r="O322" s="161"/>
      <c r="P322" s="162"/>
      <c r="Q322" s="162"/>
      <c r="R322" s="161"/>
      <c r="S322" s="161"/>
      <c r="T322" s="162"/>
      <c r="U322" s="162"/>
      <c r="V322" s="161"/>
    </row>
    <row r="323" spans="1:22" ht="15" customHeight="1">
      <c r="A323" s="128" t="s">
        <v>687</v>
      </c>
      <c r="B323" s="129"/>
      <c r="C323" s="130"/>
      <c r="D323" s="131" t="s">
        <v>117</v>
      </c>
      <c r="E323" s="132" t="s">
        <v>688</v>
      </c>
      <c r="F323" s="127"/>
      <c r="G323" s="133" t="s">
        <v>117</v>
      </c>
      <c r="H323" s="134"/>
      <c r="I323" s="156" t="s">
        <v>41</v>
      </c>
      <c r="J323" s="157"/>
      <c r="L323" s="159"/>
      <c r="M323" s="127"/>
      <c r="N323" s="160"/>
      <c r="O323" s="161"/>
      <c r="P323" s="162"/>
      <c r="Q323" s="162"/>
      <c r="R323" s="161"/>
      <c r="S323" s="161"/>
      <c r="T323" s="162"/>
      <c r="U323" s="162"/>
      <c r="V323" s="161"/>
    </row>
    <row r="324" spans="1:22" ht="15" customHeight="1">
      <c r="A324" s="128" t="s">
        <v>689</v>
      </c>
      <c r="B324" s="129"/>
      <c r="C324" s="130"/>
      <c r="D324" s="131" t="s">
        <v>117</v>
      </c>
      <c r="E324" s="132" t="s">
        <v>690</v>
      </c>
      <c r="F324" s="127"/>
      <c r="G324" s="133" t="s">
        <v>117</v>
      </c>
      <c r="H324" s="134"/>
      <c r="I324" s="156" t="s">
        <v>41</v>
      </c>
      <c r="J324" s="157"/>
      <c r="L324" s="159"/>
      <c r="M324" s="127"/>
      <c r="N324" s="160"/>
      <c r="O324" s="161"/>
      <c r="P324" s="162"/>
      <c r="Q324" s="162"/>
      <c r="R324" s="161"/>
      <c r="S324" s="161"/>
      <c r="T324" s="162"/>
      <c r="U324" s="162"/>
      <c r="V324" s="161"/>
    </row>
    <row r="325" spans="1:22" ht="15" customHeight="1">
      <c r="A325" s="128" t="s">
        <v>691</v>
      </c>
      <c r="B325" s="129"/>
      <c r="C325" s="130"/>
      <c r="D325" s="131" t="s">
        <v>112</v>
      </c>
      <c r="E325" s="132" t="s">
        <v>692</v>
      </c>
      <c r="F325" s="127"/>
      <c r="G325" s="133" t="s">
        <v>112</v>
      </c>
      <c r="H325" s="134"/>
      <c r="I325" s="156" t="s">
        <v>41</v>
      </c>
      <c r="J325" s="157"/>
      <c r="L325" s="159"/>
      <c r="M325" s="127"/>
      <c r="N325" s="160"/>
      <c r="O325" s="161"/>
      <c r="P325" s="162"/>
      <c r="Q325" s="162"/>
      <c r="R325" s="161"/>
      <c r="S325" s="161"/>
      <c r="T325" s="162"/>
      <c r="U325" s="162"/>
      <c r="V325" s="161"/>
    </row>
    <row r="326" spans="1:22" ht="15" customHeight="1">
      <c r="A326" s="128" t="s">
        <v>693</v>
      </c>
      <c r="B326" s="129"/>
      <c r="C326" s="130"/>
      <c r="D326" s="131" t="s">
        <v>112</v>
      </c>
      <c r="E326" s="132" t="s">
        <v>694</v>
      </c>
      <c r="F326" s="127"/>
      <c r="G326" s="133" t="s">
        <v>112</v>
      </c>
      <c r="H326" s="134"/>
      <c r="I326" s="156" t="s">
        <v>41</v>
      </c>
      <c r="J326" s="157"/>
      <c r="L326" s="159"/>
      <c r="M326" s="127"/>
      <c r="N326" s="160"/>
      <c r="O326" s="161"/>
      <c r="P326" s="162"/>
      <c r="Q326" s="162"/>
      <c r="R326" s="161"/>
      <c r="S326" s="161"/>
      <c r="T326" s="162"/>
      <c r="U326" s="162"/>
      <c r="V326" s="161"/>
    </row>
    <row r="327" spans="1:22" ht="15" customHeight="1">
      <c r="A327" s="128" t="s">
        <v>695</v>
      </c>
      <c r="B327" s="129"/>
      <c r="C327" s="130"/>
      <c r="D327" s="131" t="s">
        <v>112</v>
      </c>
      <c r="E327" s="132" t="s">
        <v>696</v>
      </c>
      <c r="F327" s="127"/>
      <c r="G327" s="133" t="s">
        <v>112</v>
      </c>
      <c r="H327" s="134"/>
      <c r="I327" s="156" t="s">
        <v>41</v>
      </c>
      <c r="J327" s="157"/>
      <c r="L327" s="159"/>
      <c r="M327" s="127"/>
      <c r="N327" s="160"/>
      <c r="O327" s="161"/>
      <c r="P327" s="162"/>
      <c r="Q327" s="162"/>
      <c r="R327" s="161"/>
      <c r="S327" s="161"/>
      <c r="T327" s="162"/>
      <c r="U327" s="162"/>
      <c r="V327" s="161"/>
    </row>
    <row r="328" spans="1:22" ht="15" customHeight="1">
      <c r="A328" s="128" t="s">
        <v>697</v>
      </c>
      <c r="B328" s="129"/>
      <c r="C328" s="130"/>
      <c r="D328" s="131" t="s">
        <v>112</v>
      </c>
      <c r="E328" s="132" t="s">
        <v>698</v>
      </c>
      <c r="F328" s="127"/>
      <c r="G328" s="133" t="s">
        <v>112</v>
      </c>
      <c r="H328" s="134"/>
      <c r="I328" s="156" t="s">
        <v>41</v>
      </c>
      <c r="J328" s="157"/>
      <c r="L328" s="159"/>
      <c r="M328" s="127"/>
      <c r="N328" s="160"/>
      <c r="O328" s="161"/>
      <c r="P328" s="162"/>
      <c r="Q328" s="162"/>
      <c r="R328" s="161"/>
      <c r="S328" s="161"/>
      <c r="T328" s="162"/>
      <c r="U328" s="162"/>
      <c r="V328" s="161"/>
    </row>
    <row r="329" spans="1:22" ht="15" customHeight="1">
      <c r="A329" s="128" t="s">
        <v>699</v>
      </c>
      <c r="B329" s="129"/>
      <c r="C329" s="130"/>
      <c r="D329" s="131" t="s">
        <v>130</v>
      </c>
      <c r="E329" s="132" t="s">
        <v>700</v>
      </c>
      <c r="F329" s="127"/>
      <c r="G329" s="133" t="s">
        <v>130</v>
      </c>
      <c r="H329" s="134"/>
      <c r="I329" s="156" t="s">
        <v>43</v>
      </c>
      <c r="J329" s="157" t="s">
        <v>1378</v>
      </c>
      <c r="L329" s="159"/>
      <c r="M329" s="127"/>
      <c r="N329" s="160"/>
      <c r="O329" s="161"/>
      <c r="P329" s="162"/>
      <c r="Q329" s="162"/>
      <c r="R329" s="161"/>
      <c r="S329" s="161"/>
      <c r="T329" s="162"/>
      <c r="U329" s="162"/>
      <c r="V329" s="161"/>
    </row>
    <row r="330" spans="1:22" ht="15" customHeight="1">
      <c r="A330" s="128" t="s">
        <v>701</v>
      </c>
      <c r="B330" s="129"/>
      <c r="C330" s="130"/>
      <c r="D330" s="131" t="s">
        <v>117</v>
      </c>
      <c r="E330" s="132" t="s">
        <v>702</v>
      </c>
      <c r="F330" s="127"/>
      <c r="G330" s="133" t="s">
        <v>117</v>
      </c>
      <c r="H330" s="134"/>
      <c r="I330" s="156" t="s">
        <v>41</v>
      </c>
      <c r="J330" s="157"/>
      <c r="L330" s="159"/>
      <c r="M330" s="127"/>
      <c r="N330" s="160"/>
      <c r="O330" s="161"/>
      <c r="P330" s="162"/>
      <c r="Q330" s="162"/>
      <c r="R330" s="161"/>
      <c r="S330" s="161"/>
      <c r="T330" s="162"/>
      <c r="U330" s="162"/>
      <c r="V330" s="161"/>
    </row>
    <row r="331" spans="1:22" ht="15" customHeight="1">
      <c r="A331" s="128" t="s">
        <v>703</v>
      </c>
      <c r="B331" s="129"/>
      <c r="C331" s="130"/>
      <c r="D331" s="131" t="s">
        <v>117</v>
      </c>
      <c r="E331" s="132" t="s">
        <v>704</v>
      </c>
      <c r="F331" s="127"/>
      <c r="G331" s="133" t="s">
        <v>117</v>
      </c>
      <c r="H331" s="134"/>
      <c r="I331" s="156" t="s">
        <v>41</v>
      </c>
      <c r="J331" s="157"/>
      <c r="L331" s="159"/>
      <c r="M331" s="127"/>
      <c r="N331" s="160"/>
      <c r="O331" s="161"/>
      <c r="P331" s="162"/>
      <c r="Q331" s="162"/>
      <c r="R331" s="161"/>
      <c r="S331" s="161"/>
      <c r="T331" s="162"/>
      <c r="U331" s="162"/>
      <c r="V331" s="161"/>
    </row>
    <row r="332" spans="1:22" ht="15" customHeight="1">
      <c r="A332" s="128" t="s">
        <v>705</v>
      </c>
      <c r="B332" s="129"/>
      <c r="C332" s="130"/>
      <c r="D332" s="131" t="s">
        <v>117</v>
      </c>
      <c r="E332" s="132" t="s">
        <v>706</v>
      </c>
      <c r="F332" s="127"/>
      <c r="G332" s="133" t="s">
        <v>117</v>
      </c>
      <c r="H332" s="134"/>
      <c r="I332" s="156" t="s">
        <v>41</v>
      </c>
      <c r="J332" s="157"/>
      <c r="L332" s="159"/>
      <c r="M332" s="127"/>
      <c r="N332" s="160"/>
      <c r="O332" s="161"/>
      <c r="P332" s="162"/>
      <c r="Q332" s="162"/>
      <c r="R332" s="161"/>
      <c r="S332" s="161"/>
      <c r="T332" s="162"/>
      <c r="U332" s="162"/>
      <c r="V332" s="161"/>
    </row>
    <row r="333" spans="1:22" ht="15" customHeight="1">
      <c r="A333" s="128" t="s">
        <v>707</v>
      </c>
      <c r="B333" s="129"/>
      <c r="C333" s="130"/>
      <c r="D333" s="131" t="s">
        <v>112</v>
      </c>
      <c r="E333" s="132" t="s">
        <v>708</v>
      </c>
      <c r="F333" s="127"/>
      <c r="G333" s="133" t="s">
        <v>112</v>
      </c>
      <c r="H333" s="134"/>
      <c r="I333" s="156" t="s">
        <v>41</v>
      </c>
      <c r="J333" s="157"/>
      <c r="L333" s="159"/>
      <c r="M333" s="127"/>
      <c r="N333" s="160"/>
      <c r="O333" s="161"/>
      <c r="P333" s="162"/>
      <c r="Q333" s="162"/>
      <c r="R333" s="161"/>
      <c r="S333" s="161"/>
      <c r="T333" s="162"/>
      <c r="U333" s="162"/>
      <c r="V333" s="161"/>
    </row>
    <row r="334" spans="1:22" ht="15" customHeight="1">
      <c r="A334" s="128" t="s">
        <v>709</v>
      </c>
      <c r="B334" s="129"/>
      <c r="C334" s="130"/>
      <c r="D334" s="131" t="s">
        <v>112</v>
      </c>
      <c r="E334" s="132" t="s">
        <v>710</v>
      </c>
      <c r="F334" s="127"/>
      <c r="G334" s="133" t="s">
        <v>112</v>
      </c>
      <c r="H334" s="134"/>
      <c r="I334" s="156" t="s">
        <v>41</v>
      </c>
      <c r="J334" s="157"/>
      <c r="L334" s="159"/>
      <c r="M334" s="127"/>
      <c r="N334" s="160"/>
      <c r="O334" s="161"/>
      <c r="P334" s="162"/>
      <c r="Q334" s="162"/>
      <c r="R334" s="161"/>
      <c r="S334" s="161"/>
      <c r="T334" s="162"/>
      <c r="U334" s="162"/>
      <c r="V334" s="161"/>
    </row>
    <row r="335" spans="1:22" ht="15" customHeight="1">
      <c r="A335" s="128" t="s">
        <v>711</v>
      </c>
      <c r="B335" s="129"/>
      <c r="C335" s="130"/>
      <c r="D335" s="131" t="s">
        <v>112</v>
      </c>
      <c r="E335" s="132" t="s">
        <v>712</v>
      </c>
      <c r="F335" s="127"/>
      <c r="G335" s="133" t="s">
        <v>112</v>
      </c>
      <c r="H335" s="134"/>
      <c r="I335" s="156" t="s">
        <v>41</v>
      </c>
      <c r="J335" s="157"/>
      <c r="L335" s="159"/>
      <c r="M335" s="127"/>
      <c r="N335" s="160"/>
      <c r="O335" s="161"/>
      <c r="P335" s="162"/>
      <c r="Q335" s="162"/>
      <c r="R335" s="161"/>
      <c r="S335" s="161"/>
      <c r="T335" s="162"/>
      <c r="U335" s="162"/>
      <c r="V335" s="161"/>
    </row>
    <row r="336" spans="1:22" ht="15" customHeight="1">
      <c r="A336" s="128" t="s">
        <v>713</v>
      </c>
      <c r="B336" s="129"/>
      <c r="C336" s="130"/>
      <c r="D336" s="131" t="s">
        <v>112</v>
      </c>
      <c r="E336" s="132" t="s">
        <v>714</v>
      </c>
      <c r="F336" s="127"/>
      <c r="G336" s="133" t="s">
        <v>112</v>
      </c>
      <c r="H336" s="134"/>
      <c r="I336" s="156" t="s">
        <v>41</v>
      </c>
      <c r="J336" s="157"/>
      <c r="L336" s="159"/>
      <c r="M336" s="127"/>
      <c r="N336" s="160"/>
      <c r="O336" s="161"/>
      <c r="P336" s="162"/>
      <c r="Q336" s="162"/>
      <c r="R336" s="161"/>
      <c r="S336" s="161"/>
      <c r="T336" s="162"/>
      <c r="U336" s="162"/>
      <c r="V336" s="161"/>
    </row>
    <row r="337" spans="1:22" ht="15" customHeight="1">
      <c r="A337" s="128" t="s">
        <v>715</v>
      </c>
      <c r="B337" s="129"/>
      <c r="C337" s="130"/>
      <c r="D337" s="131" t="s">
        <v>130</v>
      </c>
      <c r="E337" s="132" t="s">
        <v>716</v>
      </c>
      <c r="F337" s="127"/>
      <c r="G337" s="133" t="s">
        <v>130</v>
      </c>
      <c r="H337" s="134"/>
      <c r="I337" s="156" t="s">
        <v>43</v>
      </c>
      <c r="J337" s="157" t="s">
        <v>1379</v>
      </c>
      <c r="L337" s="159"/>
      <c r="M337" s="127"/>
      <c r="N337" s="160"/>
      <c r="O337" s="161"/>
      <c r="P337" s="162"/>
      <c r="Q337" s="162"/>
      <c r="R337" s="161"/>
      <c r="S337" s="161"/>
      <c r="T337" s="162"/>
      <c r="U337" s="162"/>
      <c r="V337" s="161"/>
    </row>
    <row r="338" spans="1:22" ht="15" customHeight="1">
      <c r="A338" s="128" t="s">
        <v>717</v>
      </c>
      <c r="B338" s="129"/>
      <c r="C338" s="130"/>
      <c r="D338" s="131" t="s">
        <v>117</v>
      </c>
      <c r="E338" s="132" t="s">
        <v>718</v>
      </c>
      <c r="F338" s="127"/>
      <c r="G338" s="133" t="s">
        <v>117</v>
      </c>
      <c r="H338" s="134"/>
      <c r="I338" s="156" t="s">
        <v>41</v>
      </c>
      <c r="J338" s="157"/>
      <c r="L338" s="159"/>
      <c r="M338" s="127"/>
      <c r="N338" s="160"/>
      <c r="O338" s="161"/>
      <c r="P338" s="162"/>
      <c r="Q338" s="162"/>
      <c r="R338" s="161"/>
      <c r="S338" s="161"/>
      <c r="T338" s="162"/>
      <c r="U338" s="162"/>
      <c r="V338" s="161"/>
    </row>
    <row r="339" spans="1:22" ht="15" customHeight="1">
      <c r="A339" s="128" t="s">
        <v>719</v>
      </c>
      <c r="B339" s="129"/>
      <c r="C339" s="130"/>
      <c r="D339" s="131" t="s">
        <v>117</v>
      </c>
      <c r="E339" s="132" t="s">
        <v>720</v>
      </c>
      <c r="F339" s="127"/>
      <c r="G339" s="133" t="s">
        <v>117</v>
      </c>
      <c r="H339" s="134"/>
      <c r="I339" s="156" t="s">
        <v>41</v>
      </c>
      <c r="J339" s="157"/>
      <c r="L339" s="159"/>
      <c r="M339" s="127"/>
      <c r="N339" s="160"/>
      <c r="O339" s="161"/>
      <c r="P339" s="162"/>
      <c r="Q339" s="162"/>
      <c r="R339" s="161"/>
      <c r="S339" s="161"/>
      <c r="T339" s="162"/>
      <c r="U339" s="162"/>
      <c r="V339" s="161"/>
    </row>
    <row r="340" spans="1:22" ht="15" customHeight="1">
      <c r="A340" s="128" t="s">
        <v>721</v>
      </c>
      <c r="B340" s="129"/>
      <c r="C340" s="130"/>
      <c r="D340" s="131" t="s">
        <v>117</v>
      </c>
      <c r="E340" s="132" t="s">
        <v>722</v>
      </c>
      <c r="F340" s="127"/>
      <c r="G340" s="133" t="s">
        <v>117</v>
      </c>
      <c r="H340" s="134"/>
      <c r="I340" s="156" t="s">
        <v>41</v>
      </c>
      <c r="J340" s="157"/>
      <c r="L340" s="159"/>
      <c r="M340" s="127"/>
      <c r="N340" s="160"/>
      <c r="O340" s="161"/>
      <c r="P340" s="162"/>
      <c r="Q340" s="162"/>
      <c r="R340" s="161"/>
      <c r="S340" s="161"/>
      <c r="T340" s="162"/>
      <c r="U340" s="162"/>
      <c r="V340" s="161"/>
    </row>
    <row r="341" spans="1:22" ht="15" customHeight="1">
      <c r="A341" s="128" t="s">
        <v>723</v>
      </c>
      <c r="B341" s="129"/>
      <c r="C341" s="130"/>
      <c r="D341" s="131" t="s">
        <v>130</v>
      </c>
      <c r="E341" s="132" t="s">
        <v>724</v>
      </c>
      <c r="F341" s="127"/>
      <c r="G341" s="133" t="s">
        <v>130</v>
      </c>
      <c r="H341" s="134"/>
      <c r="I341" s="156" t="s">
        <v>41</v>
      </c>
      <c r="J341" s="157"/>
      <c r="L341" s="159"/>
      <c r="M341" s="127"/>
      <c r="N341" s="160"/>
      <c r="O341" s="161"/>
      <c r="P341" s="162"/>
      <c r="Q341" s="162"/>
      <c r="R341" s="161"/>
      <c r="S341" s="161"/>
      <c r="T341" s="162"/>
      <c r="U341" s="162"/>
      <c r="V341" s="161"/>
    </row>
    <row r="342" spans="1:22" ht="15" customHeight="1">
      <c r="A342" s="128" t="s">
        <v>725</v>
      </c>
      <c r="B342" s="129"/>
      <c r="C342" s="130"/>
      <c r="D342" s="131" t="s">
        <v>117</v>
      </c>
      <c r="E342" s="132" t="s">
        <v>726</v>
      </c>
      <c r="F342" s="127"/>
      <c r="G342" s="133" t="s">
        <v>117</v>
      </c>
      <c r="H342" s="134"/>
      <c r="I342" s="156" t="s">
        <v>41</v>
      </c>
      <c r="J342" s="157"/>
      <c r="L342" s="159"/>
      <c r="M342" s="127"/>
      <c r="N342" s="160"/>
      <c r="O342" s="161"/>
      <c r="P342" s="162"/>
      <c r="Q342" s="162"/>
      <c r="R342" s="161"/>
      <c r="S342" s="161"/>
      <c r="T342" s="162"/>
      <c r="U342" s="162"/>
      <c r="V342" s="161"/>
    </row>
    <row r="343" spans="1:22" ht="15" customHeight="1">
      <c r="A343" s="128" t="s">
        <v>727</v>
      </c>
      <c r="B343" s="129"/>
      <c r="C343" s="130"/>
      <c r="D343" s="131" t="s">
        <v>117</v>
      </c>
      <c r="E343" s="132" t="s">
        <v>728</v>
      </c>
      <c r="F343" s="127"/>
      <c r="G343" s="133" t="s">
        <v>117</v>
      </c>
      <c r="H343" s="134"/>
      <c r="I343" s="156" t="s">
        <v>41</v>
      </c>
      <c r="J343" s="157"/>
      <c r="L343" s="159"/>
      <c r="M343" s="127"/>
      <c r="N343" s="160"/>
      <c r="O343" s="161"/>
      <c r="P343" s="162"/>
      <c r="Q343" s="162"/>
      <c r="R343" s="161"/>
      <c r="S343" s="161"/>
      <c r="T343" s="162"/>
      <c r="U343" s="162"/>
      <c r="V343" s="161"/>
    </row>
    <row r="344" spans="1:22" ht="15" customHeight="1">
      <c r="A344" s="128" t="s">
        <v>729</v>
      </c>
      <c r="B344" s="129"/>
      <c r="C344" s="130"/>
      <c r="D344" s="131" t="s">
        <v>112</v>
      </c>
      <c r="E344" s="132" t="s">
        <v>730</v>
      </c>
      <c r="F344" s="127"/>
      <c r="G344" s="133" t="s">
        <v>112</v>
      </c>
      <c r="H344" s="134"/>
      <c r="I344" s="156" t="s">
        <v>43</v>
      </c>
      <c r="J344" s="157" t="s">
        <v>1383</v>
      </c>
      <c r="L344" s="159"/>
      <c r="M344" s="127"/>
      <c r="N344" s="160"/>
      <c r="O344" s="161"/>
      <c r="P344" s="162"/>
      <c r="Q344" s="162"/>
      <c r="R344" s="161"/>
      <c r="S344" s="161"/>
      <c r="T344" s="162"/>
      <c r="U344" s="162"/>
      <c r="V344" s="161"/>
    </row>
    <row r="345" spans="1:22" ht="15" customHeight="1">
      <c r="A345" s="128" t="s">
        <v>731</v>
      </c>
      <c r="B345" s="129"/>
      <c r="C345" s="130"/>
      <c r="D345" s="131" t="s">
        <v>112</v>
      </c>
      <c r="E345" s="132" t="s">
        <v>732</v>
      </c>
      <c r="F345" s="127"/>
      <c r="G345" s="133" t="s">
        <v>112</v>
      </c>
      <c r="H345" s="134"/>
      <c r="I345" s="156" t="s">
        <v>41</v>
      </c>
      <c r="J345" s="157"/>
      <c r="L345" s="159"/>
      <c r="M345" s="127"/>
      <c r="N345" s="160"/>
      <c r="O345" s="161"/>
      <c r="P345" s="162"/>
      <c r="Q345" s="162"/>
      <c r="R345" s="161"/>
      <c r="S345" s="161"/>
      <c r="T345" s="162"/>
      <c r="U345" s="162"/>
      <c r="V345" s="161"/>
    </row>
    <row r="346" spans="1:22" ht="15" customHeight="1">
      <c r="A346" s="128" t="s">
        <v>733</v>
      </c>
      <c r="B346" s="129"/>
      <c r="C346" s="130"/>
      <c r="D346" s="131" t="s">
        <v>122</v>
      </c>
      <c r="E346" s="132" t="s">
        <v>734</v>
      </c>
      <c r="F346" s="127"/>
      <c r="G346" s="133" t="s">
        <v>122</v>
      </c>
      <c r="H346" s="134"/>
      <c r="I346" s="156" t="s">
        <v>41</v>
      </c>
      <c r="J346" s="157"/>
      <c r="L346" s="159"/>
      <c r="M346" s="127"/>
      <c r="N346" s="160"/>
      <c r="O346" s="161"/>
      <c r="P346" s="162"/>
      <c r="Q346" s="162"/>
      <c r="R346" s="161"/>
      <c r="S346" s="161"/>
      <c r="T346" s="162"/>
      <c r="U346" s="162"/>
      <c r="V346" s="161"/>
    </row>
    <row r="347" spans="1:22" ht="15" customHeight="1">
      <c r="A347" s="128" t="s">
        <v>735</v>
      </c>
      <c r="B347" s="129"/>
      <c r="C347" s="130"/>
      <c r="D347" s="131" t="s">
        <v>122</v>
      </c>
      <c r="E347" s="132" t="s">
        <v>736</v>
      </c>
      <c r="F347" s="127"/>
      <c r="G347" s="133" t="s">
        <v>122</v>
      </c>
      <c r="H347" s="134"/>
      <c r="I347" s="156" t="s">
        <v>41</v>
      </c>
      <c r="J347" s="157"/>
      <c r="L347" s="159"/>
      <c r="M347" s="127"/>
      <c r="N347" s="160"/>
      <c r="O347" s="161"/>
      <c r="P347" s="162"/>
      <c r="Q347" s="162"/>
      <c r="R347" s="161"/>
      <c r="S347" s="161"/>
      <c r="T347" s="162"/>
      <c r="U347" s="162"/>
      <c r="V347" s="161"/>
    </row>
    <row r="348" spans="1:22" ht="15" customHeight="1">
      <c r="A348" s="128" t="s">
        <v>737</v>
      </c>
      <c r="B348" s="129"/>
      <c r="C348" s="130"/>
      <c r="D348" s="131" t="s">
        <v>122</v>
      </c>
      <c r="E348" s="132" t="s">
        <v>738</v>
      </c>
      <c r="F348" s="127"/>
      <c r="G348" s="133" t="s">
        <v>122</v>
      </c>
      <c r="H348" s="134"/>
      <c r="I348" s="156" t="s">
        <v>41</v>
      </c>
      <c r="J348" s="157"/>
      <c r="L348" s="159"/>
      <c r="M348" s="127"/>
      <c r="N348" s="160"/>
      <c r="O348" s="161"/>
      <c r="P348" s="162"/>
      <c r="Q348" s="162"/>
      <c r="R348" s="161"/>
      <c r="S348" s="161"/>
      <c r="T348" s="162"/>
      <c r="U348" s="162"/>
      <c r="V348" s="161"/>
    </row>
    <row r="349" spans="1:22" ht="15" customHeight="1">
      <c r="A349" s="128" t="s">
        <v>739</v>
      </c>
      <c r="B349" s="129"/>
      <c r="C349" s="130"/>
      <c r="D349" s="131" t="s">
        <v>122</v>
      </c>
      <c r="E349" s="132" t="s">
        <v>740</v>
      </c>
      <c r="F349" s="127"/>
      <c r="G349" s="133" t="s">
        <v>122</v>
      </c>
      <c r="H349" s="134"/>
      <c r="I349" s="156" t="s">
        <v>41</v>
      </c>
      <c r="J349" s="157"/>
      <c r="L349" s="159"/>
      <c r="M349" s="127"/>
      <c r="N349" s="160"/>
      <c r="O349" s="161"/>
      <c r="P349" s="162"/>
      <c r="Q349" s="162"/>
      <c r="R349" s="161"/>
      <c r="S349" s="161"/>
      <c r="T349" s="162"/>
      <c r="U349" s="162"/>
      <c r="V349" s="161"/>
    </row>
    <row r="350" spans="1:22" ht="15" customHeight="1">
      <c r="A350" s="128" t="s">
        <v>741</v>
      </c>
      <c r="B350" s="129"/>
      <c r="C350" s="130"/>
      <c r="D350" s="131" t="s">
        <v>122</v>
      </c>
      <c r="E350" s="132" t="s">
        <v>742</v>
      </c>
      <c r="F350" s="127"/>
      <c r="G350" s="133" t="s">
        <v>122</v>
      </c>
      <c r="H350" s="134"/>
      <c r="I350" s="156" t="s">
        <v>41</v>
      </c>
      <c r="J350" s="157"/>
      <c r="L350" s="159"/>
      <c r="M350" s="127"/>
      <c r="N350" s="160"/>
      <c r="O350" s="161"/>
      <c r="P350" s="162"/>
      <c r="Q350" s="162"/>
      <c r="R350" s="161"/>
      <c r="S350" s="161"/>
      <c r="T350" s="162"/>
      <c r="U350" s="162"/>
      <c r="V350" s="161"/>
    </row>
    <row r="351" spans="1:22" ht="15" customHeight="1">
      <c r="A351" s="128" t="s">
        <v>743</v>
      </c>
      <c r="B351" s="129"/>
      <c r="C351" s="130"/>
      <c r="D351" s="131" t="s">
        <v>374</v>
      </c>
      <c r="E351" s="132" t="s">
        <v>744</v>
      </c>
      <c r="F351" s="127"/>
      <c r="G351" s="133" t="s">
        <v>374</v>
      </c>
      <c r="H351" s="134"/>
      <c r="I351" s="156" t="s">
        <v>41</v>
      </c>
      <c r="J351" s="157"/>
      <c r="L351" s="159"/>
      <c r="M351" s="127"/>
      <c r="N351" s="160"/>
      <c r="O351" s="161"/>
      <c r="P351" s="162"/>
      <c r="Q351" s="162"/>
      <c r="R351" s="161"/>
      <c r="S351" s="161"/>
      <c r="T351" s="162"/>
      <c r="U351" s="162"/>
      <c r="V351" s="161"/>
    </row>
    <row r="352" spans="1:22" ht="15" customHeight="1">
      <c r="A352" s="128" t="s">
        <v>745</v>
      </c>
      <c r="B352" s="129"/>
      <c r="C352" s="130"/>
      <c r="D352" s="131" t="s">
        <v>130</v>
      </c>
      <c r="E352" s="132" t="s">
        <v>746</v>
      </c>
      <c r="F352" s="127"/>
      <c r="G352" s="133" t="s">
        <v>130</v>
      </c>
      <c r="H352" s="134"/>
      <c r="I352" s="156" t="s">
        <v>41</v>
      </c>
      <c r="J352" s="157"/>
      <c r="L352" s="159"/>
      <c r="M352" s="127"/>
      <c r="N352" s="160"/>
      <c r="O352" s="161"/>
      <c r="P352" s="162"/>
      <c r="Q352" s="162"/>
      <c r="R352" s="161"/>
      <c r="S352" s="161"/>
      <c r="T352" s="162"/>
      <c r="U352" s="162"/>
      <c r="V352" s="161"/>
    </row>
    <row r="353" spans="1:22" ht="15" customHeight="1">
      <c r="A353" s="128" t="s">
        <v>747</v>
      </c>
      <c r="B353" s="129"/>
      <c r="C353" s="130"/>
      <c r="D353" s="131" t="s">
        <v>374</v>
      </c>
      <c r="E353" s="132" t="s">
        <v>748</v>
      </c>
      <c r="F353" s="127"/>
      <c r="G353" s="133" t="s">
        <v>374</v>
      </c>
      <c r="H353" s="134"/>
      <c r="I353" s="156" t="s">
        <v>41</v>
      </c>
      <c r="J353" s="157"/>
      <c r="L353" s="159"/>
      <c r="M353" s="127"/>
      <c r="N353" s="160"/>
      <c r="O353" s="161"/>
      <c r="P353" s="162"/>
      <c r="Q353" s="162"/>
      <c r="R353" s="161"/>
      <c r="S353" s="161"/>
      <c r="T353" s="162"/>
      <c r="U353" s="162"/>
      <c r="V353" s="161"/>
    </row>
    <row r="354" spans="1:22" ht="15" customHeight="1">
      <c r="A354" s="128" t="s">
        <v>749</v>
      </c>
      <c r="B354" s="129"/>
      <c r="C354" s="130"/>
      <c r="D354" s="131" t="s">
        <v>117</v>
      </c>
      <c r="E354" s="132" t="s">
        <v>750</v>
      </c>
      <c r="F354" s="127"/>
      <c r="G354" s="133" t="s">
        <v>117</v>
      </c>
      <c r="H354" s="134"/>
      <c r="I354" s="156" t="s">
        <v>43</v>
      </c>
      <c r="J354" s="157" t="s">
        <v>1382</v>
      </c>
      <c r="L354" s="159"/>
      <c r="M354" s="127"/>
      <c r="N354" s="160"/>
      <c r="O354" s="161"/>
      <c r="P354" s="162"/>
      <c r="Q354" s="162"/>
      <c r="R354" s="161"/>
      <c r="S354" s="161"/>
      <c r="T354" s="162"/>
      <c r="U354" s="162"/>
      <c r="V354" s="161"/>
    </row>
    <row r="355" spans="1:22" ht="15" customHeight="1">
      <c r="A355" s="128" t="s">
        <v>751</v>
      </c>
      <c r="B355" s="129"/>
      <c r="C355" s="130"/>
      <c r="D355" s="131" t="s">
        <v>112</v>
      </c>
      <c r="E355" s="132" t="s">
        <v>752</v>
      </c>
      <c r="F355" s="127"/>
      <c r="G355" s="133" t="s">
        <v>112</v>
      </c>
      <c r="H355" s="134"/>
      <c r="I355" s="156" t="s">
        <v>43</v>
      </c>
      <c r="J355" s="157" t="s">
        <v>1382</v>
      </c>
      <c r="L355" s="159"/>
      <c r="M355" s="127"/>
      <c r="N355" s="160"/>
      <c r="O355" s="161"/>
      <c r="P355" s="162"/>
      <c r="Q355" s="162"/>
      <c r="R355" s="161"/>
      <c r="S355" s="161"/>
      <c r="T355" s="162"/>
      <c r="U355" s="162"/>
      <c r="V355" s="161"/>
    </row>
    <row r="356" spans="1:22" ht="15" customHeight="1">
      <c r="A356" s="128" t="s">
        <v>753</v>
      </c>
      <c r="B356" s="129"/>
      <c r="C356" s="130"/>
      <c r="D356" s="131" t="s">
        <v>117</v>
      </c>
      <c r="E356" s="132" t="s">
        <v>754</v>
      </c>
      <c r="F356" s="127"/>
      <c r="G356" s="133" t="s">
        <v>117</v>
      </c>
      <c r="H356" s="134"/>
      <c r="I356" s="156" t="s">
        <v>41</v>
      </c>
      <c r="J356" s="157"/>
      <c r="L356" s="159"/>
      <c r="M356" s="127"/>
      <c r="N356" s="160"/>
      <c r="O356" s="161"/>
      <c r="P356" s="162"/>
      <c r="Q356" s="162"/>
      <c r="R356" s="161"/>
      <c r="S356" s="161"/>
      <c r="T356" s="162"/>
      <c r="U356" s="162"/>
      <c r="V356" s="161"/>
    </row>
    <row r="357" spans="1:22" ht="15" customHeight="1">
      <c r="A357" s="128" t="s">
        <v>755</v>
      </c>
      <c r="B357" s="129"/>
      <c r="C357" s="130"/>
      <c r="D357" s="131" t="s">
        <v>112</v>
      </c>
      <c r="E357" s="132" t="s">
        <v>756</v>
      </c>
      <c r="F357" s="127"/>
      <c r="G357" s="133" t="s">
        <v>112</v>
      </c>
      <c r="H357" s="134"/>
      <c r="I357" s="156" t="s">
        <v>41</v>
      </c>
      <c r="J357" s="157"/>
      <c r="L357" s="159"/>
      <c r="M357" s="127"/>
      <c r="N357" s="160"/>
      <c r="O357" s="161"/>
      <c r="P357" s="162"/>
      <c r="Q357" s="162"/>
      <c r="R357" s="161"/>
      <c r="S357" s="161"/>
      <c r="T357" s="162"/>
      <c r="U357" s="162"/>
      <c r="V357" s="161"/>
    </row>
    <row r="358" spans="1:22" ht="15" customHeight="1">
      <c r="A358" s="128" t="s">
        <v>757</v>
      </c>
      <c r="B358" s="129"/>
      <c r="C358" s="130"/>
      <c r="D358" s="131" t="s">
        <v>112</v>
      </c>
      <c r="E358" s="132" t="s">
        <v>758</v>
      </c>
      <c r="F358" s="127"/>
      <c r="G358" s="133" t="s">
        <v>112</v>
      </c>
      <c r="H358" s="134"/>
      <c r="I358" s="156" t="s">
        <v>43</v>
      </c>
      <c r="J358" s="157" t="s">
        <v>1379</v>
      </c>
      <c r="L358" s="159"/>
      <c r="M358" s="127"/>
      <c r="N358" s="160"/>
      <c r="O358" s="161"/>
      <c r="P358" s="162"/>
      <c r="Q358" s="162"/>
      <c r="R358" s="161"/>
      <c r="S358" s="161"/>
      <c r="T358" s="162"/>
      <c r="U358" s="162"/>
      <c r="V358" s="161"/>
    </row>
    <row r="359" spans="1:22" ht="15" customHeight="1">
      <c r="A359" s="128" t="s">
        <v>759</v>
      </c>
      <c r="B359" s="129"/>
      <c r="C359" s="130"/>
      <c r="D359" s="131" t="s">
        <v>374</v>
      </c>
      <c r="E359" s="132" t="s">
        <v>760</v>
      </c>
      <c r="F359" s="127"/>
      <c r="G359" s="133" t="s">
        <v>374</v>
      </c>
      <c r="H359" s="134"/>
      <c r="I359" s="156" t="s">
        <v>43</v>
      </c>
      <c r="J359" s="157" t="s">
        <v>1382</v>
      </c>
      <c r="L359" s="159"/>
      <c r="M359" s="127"/>
      <c r="N359" s="160"/>
      <c r="O359" s="161"/>
      <c r="P359" s="162"/>
      <c r="Q359" s="162"/>
      <c r="R359" s="161"/>
      <c r="S359" s="161"/>
      <c r="T359" s="162"/>
      <c r="U359" s="162"/>
      <c r="V359" s="161"/>
    </row>
    <row r="360" spans="1:22" ht="15" customHeight="1">
      <c r="A360" s="128" t="s">
        <v>761</v>
      </c>
      <c r="B360" s="129"/>
      <c r="C360" s="130"/>
      <c r="D360" s="131" t="s">
        <v>122</v>
      </c>
      <c r="E360" s="132" t="s">
        <v>762</v>
      </c>
      <c r="F360" s="127"/>
      <c r="G360" s="133" t="s">
        <v>122</v>
      </c>
      <c r="H360" s="134"/>
      <c r="I360" s="156" t="s">
        <v>41</v>
      </c>
      <c r="J360" s="157"/>
      <c r="L360" s="159"/>
      <c r="M360" s="127"/>
      <c r="N360" s="160"/>
      <c r="O360" s="161"/>
      <c r="P360" s="162"/>
      <c r="Q360" s="162"/>
      <c r="R360" s="161"/>
      <c r="S360" s="161"/>
      <c r="T360" s="162"/>
      <c r="U360" s="162"/>
      <c r="V360" s="161"/>
    </row>
    <row r="361" spans="1:22" ht="15" customHeight="1">
      <c r="A361" s="128" t="s">
        <v>763</v>
      </c>
      <c r="B361" s="129"/>
      <c r="C361" s="130"/>
      <c r="D361" s="131" t="s">
        <v>374</v>
      </c>
      <c r="E361" s="132" t="s">
        <v>764</v>
      </c>
      <c r="F361" s="127"/>
      <c r="G361" s="133" t="s">
        <v>374</v>
      </c>
      <c r="H361" s="134"/>
      <c r="I361" s="156" t="s">
        <v>41</v>
      </c>
      <c r="J361" s="157"/>
      <c r="L361" s="159"/>
      <c r="M361" s="127"/>
      <c r="N361" s="160"/>
      <c r="O361" s="161"/>
      <c r="P361" s="162"/>
      <c r="Q361" s="162"/>
      <c r="R361" s="161"/>
      <c r="S361" s="161"/>
      <c r="T361" s="162"/>
      <c r="U361" s="162"/>
      <c r="V361" s="161"/>
    </row>
    <row r="362" spans="1:22" ht="15" customHeight="1">
      <c r="A362" s="128" t="s">
        <v>765</v>
      </c>
      <c r="B362" s="129"/>
      <c r="C362" s="130"/>
      <c r="D362" s="131" t="s">
        <v>117</v>
      </c>
      <c r="E362" s="132" t="s">
        <v>766</v>
      </c>
      <c r="F362" s="127"/>
      <c r="G362" s="133" t="s">
        <v>117</v>
      </c>
      <c r="H362" s="134"/>
      <c r="I362" s="156" t="s">
        <v>41</v>
      </c>
      <c r="J362" s="157"/>
      <c r="L362" s="159"/>
      <c r="M362" s="127"/>
      <c r="N362" s="160"/>
      <c r="O362" s="161"/>
      <c r="P362" s="162"/>
      <c r="Q362" s="162"/>
      <c r="R362" s="161"/>
      <c r="S362" s="161"/>
      <c r="T362" s="162"/>
      <c r="U362" s="162"/>
      <c r="V362" s="161"/>
    </row>
    <row r="363" spans="1:22" ht="15" customHeight="1">
      <c r="A363" s="128" t="s">
        <v>767</v>
      </c>
      <c r="B363" s="129"/>
      <c r="C363" s="130"/>
      <c r="D363" s="131" t="s">
        <v>130</v>
      </c>
      <c r="E363" s="132" t="s">
        <v>768</v>
      </c>
      <c r="F363" s="127"/>
      <c r="G363" s="133" t="s">
        <v>130</v>
      </c>
      <c r="H363" s="134"/>
      <c r="I363" s="156" t="s">
        <v>43</v>
      </c>
      <c r="J363" s="157" t="s">
        <v>1379</v>
      </c>
      <c r="L363" s="159"/>
      <c r="M363" s="127"/>
      <c r="N363" s="160"/>
      <c r="O363" s="161"/>
      <c r="P363" s="162"/>
      <c r="Q363" s="162"/>
      <c r="R363" s="161"/>
      <c r="S363" s="161"/>
      <c r="T363" s="162"/>
      <c r="U363" s="162"/>
      <c r="V363" s="161"/>
    </row>
    <row r="364" spans="1:22" ht="15" customHeight="1">
      <c r="A364" s="128" t="s">
        <v>769</v>
      </c>
      <c r="B364" s="129"/>
      <c r="C364" s="130"/>
      <c r="D364" s="131" t="s">
        <v>122</v>
      </c>
      <c r="E364" s="132" t="s">
        <v>770</v>
      </c>
      <c r="F364" s="127"/>
      <c r="G364" s="133" t="s">
        <v>122</v>
      </c>
      <c r="H364" s="134"/>
      <c r="I364" s="156" t="s">
        <v>41</v>
      </c>
      <c r="J364" s="157"/>
      <c r="L364" s="159"/>
      <c r="M364" s="127"/>
      <c r="N364" s="160"/>
      <c r="O364" s="161"/>
      <c r="P364" s="162"/>
      <c r="Q364" s="162"/>
      <c r="R364" s="161"/>
      <c r="S364" s="161"/>
      <c r="T364" s="162"/>
      <c r="U364" s="162"/>
      <c r="V364" s="161"/>
    </row>
    <row r="365" spans="1:22" ht="15" customHeight="1">
      <c r="A365" s="128" t="s">
        <v>771</v>
      </c>
      <c r="B365" s="129"/>
      <c r="C365" s="130"/>
      <c r="D365" s="131" t="s">
        <v>112</v>
      </c>
      <c r="E365" s="132" t="s">
        <v>772</v>
      </c>
      <c r="F365" s="127"/>
      <c r="G365" s="133" t="s">
        <v>112</v>
      </c>
      <c r="H365" s="134"/>
      <c r="I365" s="156" t="s">
        <v>41</v>
      </c>
      <c r="J365" s="157"/>
      <c r="L365" s="159"/>
      <c r="M365" s="127"/>
      <c r="N365" s="160"/>
      <c r="O365" s="161"/>
      <c r="P365" s="162"/>
      <c r="Q365" s="162"/>
      <c r="R365" s="161"/>
      <c r="S365" s="161"/>
      <c r="T365" s="162"/>
      <c r="U365" s="162"/>
      <c r="V365" s="161"/>
    </row>
    <row r="366" spans="1:22" ht="15" customHeight="1">
      <c r="A366" s="128" t="s">
        <v>773</v>
      </c>
      <c r="B366" s="129"/>
      <c r="C366" s="130"/>
      <c r="D366" s="131" t="s">
        <v>117</v>
      </c>
      <c r="E366" s="132" t="s">
        <v>774</v>
      </c>
      <c r="F366" s="127"/>
      <c r="G366" s="133" t="s">
        <v>117</v>
      </c>
      <c r="H366" s="134"/>
      <c r="I366" s="156" t="s">
        <v>41</v>
      </c>
      <c r="J366" s="157"/>
      <c r="L366" s="159"/>
      <c r="M366" s="127"/>
      <c r="N366" s="160"/>
      <c r="O366" s="161"/>
      <c r="P366" s="162"/>
      <c r="Q366" s="162"/>
      <c r="R366" s="161"/>
      <c r="S366" s="161"/>
      <c r="T366" s="162"/>
      <c r="U366" s="162"/>
      <c r="V366" s="161"/>
    </row>
    <row r="367" spans="1:22" ht="15" customHeight="1">
      <c r="A367" s="128" t="s">
        <v>775</v>
      </c>
      <c r="B367" s="129"/>
      <c r="C367" s="130"/>
      <c r="D367" s="131" t="s">
        <v>122</v>
      </c>
      <c r="E367" s="132" t="s">
        <v>776</v>
      </c>
      <c r="F367" s="127"/>
      <c r="G367" s="133" t="s">
        <v>122</v>
      </c>
      <c r="H367" s="134"/>
      <c r="I367" s="156" t="s">
        <v>43</v>
      </c>
      <c r="J367" s="157" t="s">
        <v>1380</v>
      </c>
      <c r="L367" s="159"/>
      <c r="M367" s="127"/>
      <c r="N367" s="160"/>
      <c r="O367" s="161"/>
      <c r="P367" s="162"/>
      <c r="Q367" s="162"/>
      <c r="R367" s="161"/>
      <c r="S367" s="161"/>
      <c r="T367" s="162"/>
      <c r="U367" s="162"/>
      <c r="V367" s="161"/>
    </row>
    <row r="368" spans="1:22" ht="15" customHeight="1">
      <c r="A368" s="128" t="s">
        <v>777</v>
      </c>
      <c r="B368" s="129"/>
      <c r="C368" s="130"/>
      <c r="D368" s="131" t="s">
        <v>112</v>
      </c>
      <c r="E368" s="132" t="s">
        <v>778</v>
      </c>
      <c r="F368" s="127"/>
      <c r="G368" s="133" t="s">
        <v>112</v>
      </c>
      <c r="H368" s="134"/>
      <c r="I368" s="156" t="s">
        <v>41</v>
      </c>
      <c r="J368" s="157"/>
      <c r="L368" s="159"/>
      <c r="M368" s="127"/>
      <c r="N368" s="160"/>
      <c r="O368" s="161"/>
      <c r="P368" s="162"/>
      <c r="Q368" s="162"/>
      <c r="R368" s="161"/>
      <c r="S368" s="161"/>
      <c r="T368" s="162"/>
      <c r="U368" s="162"/>
      <c r="V368" s="161"/>
    </row>
    <row r="369" spans="1:22" ht="15" customHeight="1">
      <c r="A369" s="128" t="s">
        <v>779</v>
      </c>
      <c r="B369" s="129"/>
      <c r="C369" s="130"/>
      <c r="D369" s="131" t="s">
        <v>112</v>
      </c>
      <c r="E369" s="132" t="s">
        <v>780</v>
      </c>
      <c r="F369" s="127"/>
      <c r="G369" s="133" t="s">
        <v>112</v>
      </c>
      <c r="H369" s="134"/>
      <c r="I369" s="156" t="s">
        <v>41</v>
      </c>
      <c r="J369" s="157"/>
      <c r="L369" s="159"/>
      <c r="M369" s="127"/>
      <c r="N369" s="160"/>
      <c r="O369" s="161"/>
      <c r="P369" s="162"/>
      <c r="Q369" s="162"/>
      <c r="R369" s="161"/>
      <c r="S369" s="161"/>
      <c r="T369" s="162"/>
      <c r="U369" s="162"/>
      <c r="V369" s="161"/>
    </row>
    <row r="370" spans="1:22" ht="15" customHeight="1">
      <c r="A370" s="128" t="s">
        <v>781</v>
      </c>
      <c r="B370" s="129"/>
      <c r="C370" s="130"/>
      <c r="D370" s="131" t="s">
        <v>122</v>
      </c>
      <c r="E370" s="132" t="s">
        <v>782</v>
      </c>
      <c r="F370" s="127"/>
      <c r="G370" s="133" t="s">
        <v>122</v>
      </c>
      <c r="H370" s="134"/>
      <c r="I370" s="156" t="s">
        <v>41</v>
      </c>
      <c r="J370" s="157"/>
      <c r="L370" s="159"/>
      <c r="M370" s="127"/>
      <c r="N370" s="160"/>
      <c r="O370" s="161"/>
      <c r="P370" s="162"/>
      <c r="Q370" s="162"/>
      <c r="R370" s="161"/>
      <c r="S370" s="161"/>
      <c r="T370" s="162"/>
      <c r="U370" s="162"/>
      <c r="V370" s="161"/>
    </row>
    <row r="371" spans="1:22" ht="15" customHeight="1">
      <c r="A371" s="128" t="s">
        <v>783</v>
      </c>
      <c r="B371" s="129"/>
      <c r="C371" s="130"/>
      <c r="D371" s="131" t="s">
        <v>112</v>
      </c>
      <c r="E371" s="132" t="s">
        <v>784</v>
      </c>
      <c r="F371" s="127"/>
      <c r="G371" s="133" t="s">
        <v>112</v>
      </c>
      <c r="H371" s="134"/>
      <c r="I371" s="156" t="s">
        <v>41</v>
      </c>
      <c r="J371" s="157"/>
      <c r="L371" s="159"/>
      <c r="M371" s="127"/>
      <c r="N371" s="160"/>
      <c r="O371" s="161"/>
      <c r="P371" s="162"/>
      <c r="Q371" s="162"/>
      <c r="R371" s="161"/>
      <c r="S371" s="161"/>
      <c r="T371" s="162"/>
      <c r="U371" s="162"/>
      <c r="V371" s="161"/>
    </row>
    <row r="372" spans="1:22" ht="15" customHeight="1">
      <c r="A372" s="128" t="s">
        <v>785</v>
      </c>
      <c r="B372" s="129"/>
      <c r="C372" s="130"/>
      <c r="D372" s="131" t="s">
        <v>122</v>
      </c>
      <c r="E372" s="132" t="s">
        <v>786</v>
      </c>
      <c r="F372" s="127"/>
      <c r="G372" s="133" t="s">
        <v>122</v>
      </c>
      <c r="H372" s="134"/>
      <c r="I372" s="156" t="s">
        <v>43</v>
      </c>
      <c r="J372" s="157" t="s">
        <v>1381</v>
      </c>
      <c r="L372" s="159"/>
      <c r="M372" s="127"/>
      <c r="N372" s="160"/>
      <c r="O372" s="161"/>
      <c r="P372" s="162"/>
      <c r="Q372" s="162"/>
      <c r="R372" s="161"/>
      <c r="S372" s="161"/>
      <c r="T372" s="162"/>
      <c r="U372" s="162"/>
      <c r="V372" s="161"/>
    </row>
    <row r="373" spans="1:22" ht="15" customHeight="1">
      <c r="A373" s="128" t="s">
        <v>787</v>
      </c>
      <c r="B373" s="129"/>
      <c r="C373" s="130"/>
      <c r="D373" s="131" t="s">
        <v>130</v>
      </c>
      <c r="E373" s="132" t="s">
        <v>788</v>
      </c>
      <c r="F373" s="127"/>
      <c r="G373" s="133" t="s">
        <v>130</v>
      </c>
      <c r="H373" s="134"/>
      <c r="I373" s="156" t="s">
        <v>41</v>
      </c>
      <c r="J373" s="157"/>
      <c r="L373" s="159"/>
      <c r="M373" s="127"/>
      <c r="N373" s="160"/>
      <c r="O373" s="161"/>
      <c r="P373" s="162"/>
      <c r="Q373" s="162"/>
      <c r="R373" s="161"/>
      <c r="S373" s="161"/>
      <c r="T373" s="162"/>
      <c r="U373" s="162"/>
      <c r="V373" s="161"/>
    </row>
    <row r="374" spans="1:22" ht="15" customHeight="1">
      <c r="A374" s="128" t="s">
        <v>789</v>
      </c>
      <c r="B374" s="129"/>
      <c r="C374" s="130"/>
      <c r="D374" s="131" t="s">
        <v>112</v>
      </c>
      <c r="E374" s="132" t="s">
        <v>790</v>
      </c>
      <c r="F374" s="127"/>
      <c r="G374" s="133" t="s">
        <v>112</v>
      </c>
      <c r="H374" s="134"/>
      <c r="I374" s="156" t="s">
        <v>43</v>
      </c>
      <c r="J374" s="157" t="s">
        <v>1382</v>
      </c>
      <c r="L374" s="159"/>
      <c r="M374" s="127"/>
      <c r="N374" s="160"/>
      <c r="O374" s="161"/>
      <c r="P374" s="162"/>
      <c r="Q374" s="162"/>
      <c r="R374" s="161"/>
      <c r="S374" s="161"/>
      <c r="T374" s="162"/>
      <c r="U374" s="162"/>
      <c r="V374" s="161"/>
    </row>
    <row r="375" spans="1:22" ht="15" customHeight="1">
      <c r="A375" s="128" t="s">
        <v>791</v>
      </c>
      <c r="B375" s="129"/>
      <c r="C375" s="130"/>
      <c r="D375" s="131" t="s">
        <v>374</v>
      </c>
      <c r="E375" s="132" t="s">
        <v>792</v>
      </c>
      <c r="F375" s="127"/>
      <c r="G375" s="133" t="s">
        <v>374</v>
      </c>
      <c r="H375" s="134"/>
      <c r="I375" s="156" t="s">
        <v>41</v>
      </c>
      <c r="J375" s="157"/>
      <c r="L375" s="159"/>
      <c r="M375" s="127"/>
      <c r="N375" s="160"/>
      <c r="O375" s="161"/>
      <c r="P375" s="162"/>
      <c r="Q375" s="162"/>
      <c r="R375" s="161"/>
      <c r="S375" s="161"/>
      <c r="T375" s="162"/>
      <c r="U375" s="162"/>
      <c r="V375" s="161"/>
    </row>
    <row r="376" spans="1:22" ht="15" customHeight="1">
      <c r="A376" s="128" t="s">
        <v>793</v>
      </c>
      <c r="B376" s="129"/>
      <c r="C376" s="130"/>
      <c r="D376" s="131" t="s">
        <v>130</v>
      </c>
      <c r="E376" s="132" t="s">
        <v>794</v>
      </c>
      <c r="F376" s="127"/>
      <c r="G376" s="133" t="s">
        <v>130</v>
      </c>
      <c r="H376" s="134"/>
      <c r="I376" s="156" t="s">
        <v>41</v>
      </c>
      <c r="J376" s="157"/>
      <c r="L376" s="159"/>
      <c r="M376" s="127"/>
      <c r="N376" s="160"/>
      <c r="O376" s="161"/>
      <c r="P376" s="162"/>
      <c r="Q376" s="162"/>
      <c r="R376" s="161"/>
      <c r="S376" s="161"/>
      <c r="T376" s="162"/>
      <c r="U376" s="162"/>
      <c r="V376" s="161"/>
    </row>
    <row r="377" spans="1:22" ht="15" customHeight="1">
      <c r="A377" s="128" t="s">
        <v>795</v>
      </c>
      <c r="B377" s="129"/>
      <c r="C377" s="130"/>
      <c r="D377" s="131" t="s">
        <v>117</v>
      </c>
      <c r="E377" s="132" t="s">
        <v>796</v>
      </c>
      <c r="F377" s="127"/>
      <c r="G377" s="133" t="s">
        <v>117</v>
      </c>
      <c r="H377" s="134"/>
      <c r="I377" s="156" t="s">
        <v>41</v>
      </c>
      <c r="J377" s="157"/>
      <c r="L377" s="159"/>
      <c r="M377" s="127"/>
      <c r="N377" s="160"/>
      <c r="O377" s="161"/>
      <c r="P377" s="162"/>
      <c r="Q377" s="162"/>
      <c r="R377" s="161"/>
      <c r="S377" s="161"/>
      <c r="T377" s="162"/>
      <c r="U377" s="162"/>
      <c r="V377" s="161"/>
    </row>
    <row r="378" spans="1:22" ht="15" customHeight="1">
      <c r="A378" s="128" t="s">
        <v>797</v>
      </c>
      <c r="B378" s="129"/>
      <c r="C378" s="130"/>
      <c r="D378" s="131" t="s">
        <v>117</v>
      </c>
      <c r="E378" s="132" t="s">
        <v>798</v>
      </c>
      <c r="F378" s="127"/>
      <c r="G378" s="133" t="s">
        <v>117</v>
      </c>
      <c r="H378" s="134"/>
      <c r="I378" s="156" t="s">
        <v>41</v>
      </c>
      <c r="J378" s="157"/>
      <c r="L378" s="159"/>
      <c r="M378" s="127"/>
      <c r="N378" s="160"/>
      <c r="O378" s="161"/>
      <c r="P378" s="162"/>
      <c r="Q378" s="162"/>
      <c r="R378" s="161"/>
      <c r="S378" s="161"/>
      <c r="T378" s="162"/>
      <c r="U378" s="162"/>
      <c r="V378" s="161"/>
    </row>
    <row r="379" spans="1:22" ht="15" customHeight="1">
      <c r="A379" s="128" t="s">
        <v>799</v>
      </c>
      <c r="B379" s="129"/>
      <c r="C379" s="130"/>
      <c r="D379" s="131" t="s">
        <v>117</v>
      </c>
      <c r="E379" s="132" t="s">
        <v>800</v>
      </c>
      <c r="F379" s="127"/>
      <c r="G379" s="133" t="s">
        <v>117</v>
      </c>
      <c r="H379" s="134"/>
      <c r="I379" s="156" t="s">
        <v>41</v>
      </c>
      <c r="J379" s="157"/>
      <c r="L379" s="159"/>
      <c r="M379" s="127"/>
      <c r="N379" s="160"/>
      <c r="O379" s="161"/>
      <c r="P379" s="162"/>
      <c r="Q379" s="162"/>
      <c r="R379" s="161"/>
      <c r="S379" s="161"/>
      <c r="T379" s="162"/>
      <c r="U379" s="162"/>
      <c r="V379" s="161"/>
    </row>
    <row r="380" spans="1:22" ht="15" customHeight="1">
      <c r="A380" s="128" t="s">
        <v>801</v>
      </c>
      <c r="B380" s="129"/>
      <c r="C380" s="130"/>
      <c r="D380" s="131" t="s">
        <v>117</v>
      </c>
      <c r="E380" s="132" t="s">
        <v>802</v>
      </c>
      <c r="F380" s="127"/>
      <c r="G380" s="133" t="s">
        <v>117</v>
      </c>
      <c r="H380" s="134"/>
      <c r="I380" s="156" t="s">
        <v>41</v>
      </c>
      <c r="J380" s="157"/>
      <c r="L380" s="159"/>
      <c r="M380" s="127"/>
      <c r="N380" s="160"/>
      <c r="O380" s="161"/>
      <c r="P380" s="162"/>
      <c r="Q380" s="162"/>
      <c r="R380" s="161"/>
      <c r="S380" s="161"/>
      <c r="T380" s="162"/>
      <c r="U380" s="162"/>
      <c r="V380" s="161"/>
    </row>
    <row r="381" spans="1:22" ht="15" customHeight="1">
      <c r="A381" s="128" t="s">
        <v>803</v>
      </c>
      <c r="B381" s="129"/>
      <c r="C381" s="130"/>
      <c r="D381" s="131" t="s">
        <v>117</v>
      </c>
      <c r="E381" s="132" t="s">
        <v>804</v>
      </c>
      <c r="F381" s="127"/>
      <c r="G381" s="133" t="s">
        <v>117</v>
      </c>
      <c r="H381" s="134"/>
      <c r="I381" s="156" t="s">
        <v>41</v>
      </c>
      <c r="J381" s="157"/>
      <c r="L381" s="159"/>
      <c r="M381" s="127"/>
      <c r="N381" s="160"/>
      <c r="O381" s="161"/>
      <c r="P381" s="162"/>
      <c r="Q381" s="162"/>
      <c r="R381" s="161"/>
      <c r="S381" s="161"/>
      <c r="T381" s="162"/>
      <c r="U381" s="162"/>
      <c r="V381" s="161"/>
    </row>
    <row r="382" spans="1:22" ht="15" customHeight="1">
      <c r="A382" s="128" t="s">
        <v>805</v>
      </c>
      <c r="B382" s="129"/>
      <c r="C382" s="130"/>
      <c r="D382" s="131" t="s">
        <v>117</v>
      </c>
      <c r="E382" s="132" t="s">
        <v>806</v>
      </c>
      <c r="F382" s="127"/>
      <c r="G382" s="133" t="s">
        <v>117</v>
      </c>
      <c r="H382" s="134"/>
      <c r="I382" s="156" t="s">
        <v>41</v>
      </c>
      <c r="J382" s="157"/>
      <c r="L382" s="159"/>
      <c r="M382" s="127"/>
      <c r="N382" s="160"/>
      <c r="O382" s="161"/>
      <c r="P382" s="162"/>
      <c r="Q382" s="162"/>
      <c r="R382" s="161"/>
      <c r="S382" s="161"/>
      <c r="T382" s="162"/>
      <c r="U382" s="162"/>
      <c r="V382" s="161"/>
    </row>
    <row r="383" spans="1:22" ht="15" customHeight="1">
      <c r="A383" s="128" t="s">
        <v>807</v>
      </c>
      <c r="B383" s="129"/>
      <c r="C383" s="130"/>
      <c r="D383" s="131" t="s">
        <v>117</v>
      </c>
      <c r="E383" s="132" t="s">
        <v>808</v>
      </c>
      <c r="F383" s="127"/>
      <c r="G383" s="133" t="s">
        <v>117</v>
      </c>
      <c r="H383" s="134"/>
      <c r="I383" s="156" t="s">
        <v>41</v>
      </c>
      <c r="J383" s="157"/>
      <c r="L383" s="159"/>
      <c r="M383" s="127"/>
      <c r="N383" s="160"/>
      <c r="O383" s="161"/>
      <c r="P383" s="162"/>
      <c r="Q383" s="162"/>
      <c r="R383" s="161"/>
      <c r="S383" s="161"/>
      <c r="T383" s="162"/>
      <c r="U383" s="162"/>
      <c r="V383" s="161"/>
    </row>
    <row r="384" spans="1:22" ht="15" customHeight="1">
      <c r="A384" s="128" t="s">
        <v>809</v>
      </c>
      <c r="B384" s="129"/>
      <c r="C384" s="130"/>
      <c r="D384" s="131" t="s">
        <v>117</v>
      </c>
      <c r="E384" s="132" t="s">
        <v>810</v>
      </c>
      <c r="F384" s="127"/>
      <c r="G384" s="133" t="s">
        <v>117</v>
      </c>
      <c r="H384" s="134"/>
      <c r="I384" s="156" t="s">
        <v>41</v>
      </c>
      <c r="J384" s="157"/>
      <c r="L384" s="159"/>
      <c r="M384" s="127"/>
      <c r="N384" s="160"/>
      <c r="O384" s="161"/>
      <c r="P384" s="162"/>
      <c r="Q384" s="162"/>
      <c r="R384" s="161"/>
      <c r="S384" s="161"/>
      <c r="T384" s="162"/>
      <c r="U384" s="162"/>
      <c r="V384" s="161"/>
    </row>
    <row r="385" spans="1:22" ht="15" customHeight="1">
      <c r="A385" s="128" t="s">
        <v>811</v>
      </c>
      <c r="B385" s="129"/>
      <c r="C385" s="130"/>
      <c r="D385" s="131" t="s">
        <v>117</v>
      </c>
      <c r="E385" s="132" t="s">
        <v>812</v>
      </c>
      <c r="F385" s="127"/>
      <c r="G385" s="133" t="s">
        <v>117</v>
      </c>
      <c r="H385" s="134"/>
      <c r="I385" s="156" t="s">
        <v>41</v>
      </c>
      <c r="J385" s="157"/>
      <c r="L385" s="159"/>
      <c r="M385" s="127"/>
      <c r="N385" s="160"/>
      <c r="O385" s="161"/>
      <c r="P385" s="162"/>
      <c r="Q385" s="162"/>
      <c r="R385" s="161"/>
      <c r="S385" s="161"/>
      <c r="T385" s="162"/>
      <c r="U385" s="162"/>
      <c r="V385" s="161"/>
    </row>
    <row r="386" spans="1:22" ht="15" customHeight="1">
      <c r="A386" s="128" t="s">
        <v>813</v>
      </c>
      <c r="B386" s="129"/>
      <c r="C386" s="130"/>
      <c r="D386" s="131" t="s">
        <v>117</v>
      </c>
      <c r="E386" s="132" t="s">
        <v>814</v>
      </c>
      <c r="F386" s="127"/>
      <c r="G386" s="133" t="s">
        <v>117</v>
      </c>
      <c r="H386" s="134"/>
      <c r="I386" s="156" t="s">
        <v>41</v>
      </c>
      <c r="J386" s="157"/>
      <c r="L386" s="159"/>
      <c r="M386" s="127"/>
      <c r="N386" s="160"/>
      <c r="O386" s="161"/>
      <c r="P386" s="162"/>
      <c r="Q386" s="162"/>
      <c r="R386" s="161"/>
      <c r="S386" s="161"/>
      <c r="T386" s="162"/>
      <c r="U386" s="162"/>
      <c r="V386" s="161"/>
    </row>
    <row r="387" spans="1:22" ht="15" customHeight="1">
      <c r="A387" s="128" t="s">
        <v>815</v>
      </c>
      <c r="B387" s="129"/>
      <c r="C387" s="130"/>
      <c r="D387" s="131" t="s">
        <v>117</v>
      </c>
      <c r="E387" s="132" t="s">
        <v>816</v>
      </c>
      <c r="F387" s="127"/>
      <c r="G387" s="133" t="s">
        <v>117</v>
      </c>
      <c r="H387" s="134"/>
      <c r="I387" s="156" t="s">
        <v>41</v>
      </c>
      <c r="J387" s="157"/>
      <c r="L387" s="159"/>
      <c r="M387" s="127"/>
      <c r="N387" s="160"/>
      <c r="O387" s="161"/>
      <c r="P387" s="162"/>
      <c r="Q387" s="162"/>
      <c r="R387" s="161"/>
      <c r="S387" s="161"/>
      <c r="T387" s="162"/>
      <c r="U387" s="162"/>
      <c r="V387" s="161"/>
    </row>
    <row r="388" spans="1:22" ht="15" customHeight="1">
      <c r="A388" s="128" t="s">
        <v>817</v>
      </c>
      <c r="B388" s="129"/>
      <c r="C388" s="130"/>
      <c r="D388" s="131" t="s">
        <v>117</v>
      </c>
      <c r="E388" s="132" t="s">
        <v>818</v>
      </c>
      <c r="F388" s="127"/>
      <c r="G388" s="133" t="s">
        <v>117</v>
      </c>
      <c r="H388" s="134"/>
      <c r="I388" s="156" t="s">
        <v>41</v>
      </c>
      <c r="J388" s="157"/>
      <c r="L388" s="159"/>
      <c r="M388" s="127"/>
      <c r="N388" s="160"/>
      <c r="O388" s="161"/>
      <c r="P388" s="162"/>
      <c r="Q388" s="162"/>
      <c r="R388" s="161"/>
      <c r="S388" s="161"/>
      <c r="T388" s="162"/>
      <c r="U388" s="162"/>
      <c r="V388" s="161"/>
    </row>
    <row r="389" spans="1:22" ht="15" customHeight="1">
      <c r="A389" s="128" t="s">
        <v>819</v>
      </c>
      <c r="B389" s="129"/>
      <c r="C389" s="130"/>
      <c r="D389" s="131" t="s">
        <v>117</v>
      </c>
      <c r="E389" s="132" t="s">
        <v>820</v>
      </c>
      <c r="F389" s="127"/>
      <c r="G389" s="133" t="s">
        <v>117</v>
      </c>
      <c r="H389" s="134"/>
      <c r="I389" s="156" t="s">
        <v>41</v>
      </c>
      <c r="J389" s="157"/>
      <c r="L389" s="159"/>
      <c r="M389" s="127"/>
      <c r="N389" s="160"/>
      <c r="O389" s="161"/>
      <c r="P389" s="162"/>
      <c r="Q389" s="162"/>
      <c r="R389" s="161"/>
      <c r="S389" s="161"/>
      <c r="T389" s="162"/>
      <c r="U389" s="162"/>
      <c r="V389" s="161"/>
    </row>
    <row r="390" spans="1:22" ht="15" customHeight="1">
      <c r="A390" s="128" t="s">
        <v>821</v>
      </c>
      <c r="B390" s="129"/>
      <c r="C390" s="130"/>
      <c r="D390" s="131" t="s">
        <v>117</v>
      </c>
      <c r="E390" s="132" t="s">
        <v>822</v>
      </c>
      <c r="F390" s="127"/>
      <c r="G390" s="133" t="s">
        <v>117</v>
      </c>
      <c r="H390" s="134"/>
      <c r="I390" s="156" t="s">
        <v>41</v>
      </c>
      <c r="J390" s="157"/>
      <c r="L390" s="159"/>
      <c r="M390" s="127"/>
      <c r="N390" s="160"/>
      <c r="O390" s="161"/>
      <c r="P390" s="162"/>
      <c r="Q390" s="162"/>
      <c r="R390" s="161"/>
      <c r="S390" s="161"/>
      <c r="T390" s="162"/>
      <c r="U390" s="162"/>
      <c r="V390" s="161"/>
    </row>
    <row r="391" spans="1:22" ht="15" customHeight="1">
      <c r="A391" s="128" t="s">
        <v>823</v>
      </c>
      <c r="B391" s="129"/>
      <c r="C391" s="130"/>
      <c r="D391" s="131" t="s">
        <v>112</v>
      </c>
      <c r="E391" s="132" t="s">
        <v>824</v>
      </c>
      <c r="F391" s="127"/>
      <c r="G391" s="133" t="s">
        <v>112</v>
      </c>
      <c r="H391" s="134"/>
      <c r="I391" s="156" t="s">
        <v>41</v>
      </c>
      <c r="J391" s="157"/>
      <c r="L391" s="159"/>
      <c r="M391" s="127"/>
      <c r="N391" s="160"/>
      <c r="O391" s="161"/>
      <c r="P391" s="162"/>
      <c r="Q391" s="162"/>
      <c r="R391" s="161"/>
      <c r="S391" s="161"/>
      <c r="T391" s="162"/>
      <c r="U391" s="162"/>
      <c r="V391" s="161"/>
    </row>
    <row r="392" spans="1:22" ht="15" customHeight="1">
      <c r="A392" s="128" t="s">
        <v>825</v>
      </c>
      <c r="B392" s="129"/>
      <c r="C392" s="130"/>
      <c r="D392" s="131" t="s">
        <v>117</v>
      </c>
      <c r="E392" s="132" t="s">
        <v>826</v>
      </c>
      <c r="F392" s="127"/>
      <c r="G392" s="133" t="s">
        <v>117</v>
      </c>
      <c r="H392" s="134"/>
      <c r="I392" s="156" t="s">
        <v>41</v>
      </c>
      <c r="J392" s="157"/>
      <c r="L392" s="159"/>
      <c r="M392" s="127"/>
      <c r="N392" s="160"/>
      <c r="O392" s="161"/>
      <c r="P392" s="162"/>
      <c r="Q392" s="162"/>
      <c r="R392" s="161"/>
      <c r="S392" s="161"/>
      <c r="T392" s="162"/>
      <c r="U392" s="162"/>
      <c r="V392" s="161"/>
    </row>
    <row r="393" spans="1:22" ht="15" customHeight="1">
      <c r="A393" s="128" t="s">
        <v>827</v>
      </c>
      <c r="B393" s="129"/>
      <c r="C393" s="130"/>
      <c r="D393" s="131" t="s">
        <v>117</v>
      </c>
      <c r="E393" s="132" t="s">
        <v>828</v>
      </c>
      <c r="F393" s="127"/>
      <c r="G393" s="133" t="s">
        <v>117</v>
      </c>
      <c r="H393" s="134"/>
      <c r="I393" s="156" t="s">
        <v>41</v>
      </c>
      <c r="J393" s="157"/>
      <c r="L393" s="159"/>
      <c r="M393" s="127"/>
      <c r="N393" s="160"/>
      <c r="O393" s="161"/>
      <c r="P393" s="162"/>
      <c r="Q393" s="162"/>
      <c r="R393" s="161"/>
      <c r="S393" s="161"/>
      <c r="T393" s="162"/>
      <c r="U393" s="162"/>
      <c r="V393" s="161"/>
    </row>
    <row r="394" spans="1:22" ht="15" customHeight="1">
      <c r="A394" s="128" t="s">
        <v>829</v>
      </c>
      <c r="B394" s="129"/>
      <c r="C394" s="130"/>
      <c r="D394" s="131" t="s">
        <v>117</v>
      </c>
      <c r="E394" s="132" t="s">
        <v>830</v>
      </c>
      <c r="F394" s="127"/>
      <c r="G394" s="133" t="s">
        <v>117</v>
      </c>
      <c r="H394" s="134"/>
      <c r="I394" s="156" t="s">
        <v>41</v>
      </c>
      <c r="J394" s="157"/>
      <c r="L394" s="159"/>
      <c r="M394" s="127"/>
      <c r="N394" s="160"/>
      <c r="O394" s="161"/>
      <c r="P394" s="162"/>
      <c r="Q394" s="162"/>
      <c r="R394" s="161"/>
      <c r="S394" s="161"/>
      <c r="T394" s="162"/>
      <c r="U394" s="162"/>
      <c r="V394" s="161"/>
    </row>
    <row r="395" spans="1:22" ht="15" customHeight="1">
      <c r="A395" s="128" t="s">
        <v>831</v>
      </c>
      <c r="B395" s="129"/>
      <c r="C395" s="130"/>
      <c r="D395" s="131" t="s">
        <v>117</v>
      </c>
      <c r="E395" s="132" t="s">
        <v>832</v>
      </c>
      <c r="F395" s="127"/>
      <c r="G395" s="133" t="s">
        <v>117</v>
      </c>
      <c r="H395" s="134"/>
      <c r="I395" s="156" t="s">
        <v>41</v>
      </c>
      <c r="J395" s="157"/>
      <c r="L395" s="159"/>
      <c r="M395" s="127"/>
      <c r="N395" s="160"/>
      <c r="O395" s="161"/>
      <c r="P395" s="162"/>
      <c r="Q395" s="162"/>
      <c r="R395" s="161"/>
      <c r="S395" s="161"/>
      <c r="T395" s="162"/>
      <c r="U395" s="162"/>
      <c r="V395" s="161"/>
    </row>
    <row r="396" spans="1:22" ht="15" customHeight="1">
      <c r="A396" s="128" t="s">
        <v>833</v>
      </c>
      <c r="B396" s="129"/>
      <c r="C396" s="130"/>
      <c r="D396" s="131" t="s">
        <v>117</v>
      </c>
      <c r="E396" s="132" t="s">
        <v>834</v>
      </c>
      <c r="F396" s="127"/>
      <c r="G396" s="133" t="s">
        <v>117</v>
      </c>
      <c r="H396" s="134"/>
      <c r="I396" s="156" t="s">
        <v>41</v>
      </c>
      <c r="J396" s="157"/>
      <c r="L396" s="159"/>
      <c r="M396" s="127"/>
      <c r="N396" s="160"/>
      <c r="O396" s="161"/>
      <c r="P396" s="162"/>
      <c r="Q396" s="162"/>
      <c r="R396" s="161"/>
      <c r="S396" s="161"/>
      <c r="T396" s="162"/>
      <c r="U396" s="162"/>
      <c r="V396" s="161"/>
    </row>
    <row r="397" spans="1:22" ht="15" customHeight="1">
      <c r="A397" s="128" t="s">
        <v>835</v>
      </c>
      <c r="B397" s="129"/>
      <c r="C397" s="130"/>
      <c r="D397" s="131" t="s">
        <v>117</v>
      </c>
      <c r="E397" s="132" t="s">
        <v>836</v>
      </c>
      <c r="F397" s="127"/>
      <c r="G397" s="133" t="s">
        <v>117</v>
      </c>
      <c r="H397" s="134"/>
      <c r="I397" s="156" t="s">
        <v>41</v>
      </c>
      <c r="J397" s="157"/>
      <c r="L397" s="159"/>
      <c r="M397" s="127"/>
      <c r="N397" s="160"/>
      <c r="O397" s="161"/>
      <c r="P397" s="162"/>
      <c r="Q397" s="162"/>
      <c r="R397" s="161"/>
      <c r="S397" s="161"/>
      <c r="T397" s="162"/>
      <c r="U397" s="162"/>
      <c r="V397" s="161"/>
    </row>
    <row r="398" spans="1:22" ht="15" customHeight="1">
      <c r="A398" s="128" t="s">
        <v>837</v>
      </c>
      <c r="B398" s="129"/>
      <c r="C398" s="130"/>
      <c r="D398" s="131" t="s">
        <v>117</v>
      </c>
      <c r="E398" s="132" t="s">
        <v>838</v>
      </c>
      <c r="F398" s="127"/>
      <c r="G398" s="133" t="s">
        <v>117</v>
      </c>
      <c r="H398" s="134"/>
      <c r="I398" s="156" t="s">
        <v>41</v>
      </c>
      <c r="J398" s="157"/>
      <c r="L398" s="159"/>
      <c r="M398" s="127"/>
      <c r="N398" s="160"/>
      <c r="O398" s="161"/>
      <c r="P398" s="162"/>
      <c r="Q398" s="162"/>
      <c r="R398" s="161"/>
      <c r="S398" s="161"/>
      <c r="T398" s="162"/>
      <c r="U398" s="162"/>
      <c r="V398" s="161"/>
    </row>
    <row r="399" spans="1:22" ht="15" customHeight="1">
      <c r="A399" s="128" t="s">
        <v>839</v>
      </c>
      <c r="B399" s="129"/>
      <c r="C399" s="130"/>
      <c r="D399" s="131" t="s">
        <v>117</v>
      </c>
      <c r="E399" s="132" t="s">
        <v>840</v>
      </c>
      <c r="F399" s="127"/>
      <c r="G399" s="133" t="s">
        <v>117</v>
      </c>
      <c r="H399" s="134"/>
      <c r="I399" s="156" t="s">
        <v>41</v>
      </c>
      <c r="J399" s="157"/>
      <c r="L399" s="159"/>
      <c r="M399" s="127"/>
      <c r="N399" s="160"/>
      <c r="O399" s="161"/>
      <c r="P399" s="162"/>
      <c r="Q399" s="162"/>
      <c r="R399" s="161"/>
      <c r="S399" s="161"/>
      <c r="T399" s="162"/>
      <c r="U399" s="162"/>
      <c r="V399" s="161"/>
    </row>
    <row r="400" spans="1:22" ht="15" customHeight="1">
      <c r="A400" s="128" t="s">
        <v>841</v>
      </c>
      <c r="B400" s="129"/>
      <c r="C400" s="130"/>
      <c r="D400" s="131" t="s">
        <v>117</v>
      </c>
      <c r="E400" s="132" t="s">
        <v>842</v>
      </c>
      <c r="F400" s="127"/>
      <c r="G400" s="133" t="s">
        <v>117</v>
      </c>
      <c r="H400" s="134"/>
      <c r="I400" s="156" t="s">
        <v>41</v>
      </c>
      <c r="J400" s="157"/>
      <c r="L400" s="159"/>
      <c r="M400" s="127"/>
      <c r="N400" s="160"/>
      <c r="O400" s="161"/>
      <c r="P400" s="162"/>
      <c r="Q400" s="162"/>
      <c r="R400" s="161"/>
      <c r="S400" s="161"/>
      <c r="T400" s="162"/>
      <c r="U400" s="162"/>
      <c r="V400" s="161"/>
    </row>
    <row r="401" spans="1:22" ht="15" customHeight="1">
      <c r="A401" s="128" t="s">
        <v>843</v>
      </c>
      <c r="B401" s="129"/>
      <c r="C401" s="130"/>
      <c r="D401" s="131" t="s">
        <v>112</v>
      </c>
      <c r="E401" s="132" t="s">
        <v>844</v>
      </c>
      <c r="F401" s="127"/>
      <c r="G401" s="133" t="s">
        <v>112</v>
      </c>
      <c r="H401" s="134"/>
      <c r="I401" s="156" t="s">
        <v>41</v>
      </c>
      <c r="J401" s="157"/>
      <c r="L401" s="159"/>
      <c r="M401" s="127"/>
      <c r="N401" s="160"/>
      <c r="O401" s="161"/>
      <c r="P401" s="162"/>
      <c r="Q401" s="162"/>
      <c r="R401" s="161"/>
      <c r="S401" s="161"/>
      <c r="T401" s="162"/>
      <c r="U401" s="162"/>
      <c r="V401" s="161"/>
    </row>
    <row r="402" spans="1:22" ht="15" customHeight="1">
      <c r="A402" s="128" t="s">
        <v>845</v>
      </c>
      <c r="B402" s="129"/>
      <c r="C402" s="130"/>
      <c r="D402" s="131" t="s">
        <v>117</v>
      </c>
      <c r="E402" s="132" t="s">
        <v>846</v>
      </c>
      <c r="F402" s="127"/>
      <c r="G402" s="133" t="s">
        <v>117</v>
      </c>
      <c r="H402" s="134"/>
      <c r="I402" s="156" t="s">
        <v>41</v>
      </c>
      <c r="J402" s="157"/>
      <c r="L402" s="159"/>
      <c r="M402" s="127"/>
      <c r="N402" s="160"/>
      <c r="O402" s="161"/>
      <c r="P402" s="162"/>
      <c r="Q402" s="162"/>
      <c r="R402" s="161"/>
      <c r="S402" s="161"/>
      <c r="T402" s="162"/>
      <c r="U402" s="162"/>
      <c r="V402" s="161"/>
    </row>
    <row r="403" spans="1:22" ht="15" customHeight="1">
      <c r="A403" s="128" t="s">
        <v>847</v>
      </c>
      <c r="B403" s="129"/>
      <c r="C403" s="130"/>
      <c r="D403" s="131" t="s">
        <v>117</v>
      </c>
      <c r="E403" s="132" t="s">
        <v>848</v>
      </c>
      <c r="F403" s="127"/>
      <c r="G403" s="133" t="s">
        <v>117</v>
      </c>
      <c r="H403" s="134"/>
      <c r="I403" s="156" t="s">
        <v>41</v>
      </c>
      <c r="J403" s="157"/>
      <c r="L403" s="159"/>
      <c r="M403" s="127"/>
      <c r="N403" s="160"/>
      <c r="O403" s="161"/>
      <c r="P403" s="162"/>
      <c r="Q403" s="162"/>
      <c r="R403" s="161"/>
      <c r="S403" s="161"/>
      <c r="T403" s="162"/>
      <c r="U403" s="162"/>
      <c r="V403" s="161"/>
    </row>
    <row r="404" spans="1:22" ht="15" customHeight="1">
      <c r="A404" s="128" t="s">
        <v>849</v>
      </c>
      <c r="B404" s="129"/>
      <c r="C404" s="130"/>
      <c r="D404" s="131" t="s">
        <v>117</v>
      </c>
      <c r="E404" s="132" t="s">
        <v>850</v>
      </c>
      <c r="F404" s="127"/>
      <c r="G404" s="133" t="s">
        <v>117</v>
      </c>
      <c r="H404" s="134"/>
      <c r="I404" s="156" t="s">
        <v>41</v>
      </c>
      <c r="J404" s="157"/>
      <c r="L404" s="159"/>
      <c r="M404" s="127"/>
      <c r="N404" s="160"/>
      <c r="O404" s="161"/>
      <c r="P404" s="162"/>
      <c r="Q404" s="162"/>
      <c r="R404" s="161"/>
      <c r="S404" s="161"/>
      <c r="T404" s="162"/>
      <c r="U404" s="162"/>
      <c r="V404" s="161"/>
    </row>
    <row r="405" spans="1:22" ht="15" customHeight="1">
      <c r="A405" s="128" t="s">
        <v>851</v>
      </c>
      <c r="B405" s="129"/>
      <c r="C405" s="130"/>
      <c r="D405" s="131" t="s">
        <v>117</v>
      </c>
      <c r="E405" s="132" t="s">
        <v>852</v>
      </c>
      <c r="F405" s="127"/>
      <c r="G405" s="133" t="s">
        <v>117</v>
      </c>
      <c r="H405" s="134"/>
      <c r="I405" s="156" t="s">
        <v>41</v>
      </c>
      <c r="J405" s="157"/>
      <c r="L405" s="159"/>
      <c r="M405" s="127"/>
      <c r="N405" s="160"/>
      <c r="O405" s="161"/>
      <c r="P405" s="162"/>
      <c r="Q405" s="162"/>
      <c r="R405" s="161"/>
      <c r="S405" s="161"/>
      <c r="T405" s="162"/>
      <c r="U405" s="162"/>
      <c r="V405" s="161"/>
    </row>
    <row r="406" spans="1:22" ht="15" customHeight="1">
      <c r="A406" s="128" t="s">
        <v>853</v>
      </c>
      <c r="B406" s="129"/>
      <c r="C406" s="130"/>
      <c r="D406" s="131" t="s">
        <v>117</v>
      </c>
      <c r="E406" s="132" t="s">
        <v>854</v>
      </c>
      <c r="F406" s="127"/>
      <c r="G406" s="133" t="s">
        <v>117</v>
      </c>
      <c r="H406" s="134"/>
      <c r="I406" s="156" t="s">
        <v>41</v>
      </c>
      <c r="J406" s="157"/>
      <c r="L406" s="159"/>
      <c r="M406" s="127"/>
      <c r="N406" s="160"/>
      <c r="O406" s="161"/>
      <c r="P406" s="162"/>
      <c r="Q406" s="162"/>
      <c r="R406" s="161"/>
      <c r="S406" s="161"/>
      <c r="T406" s="162"/>
      <c r="U406" s="162"/>
      <c r="V406" s="161"/>
    </row>
    <row r="407" spans="1:22" ht="15" customHeight="1">
      <c r="A407" s="128" t="s">
        <v>855</v>
      </c>
      <c r="B407" s="129"/>
      <c r="C407" s="130"/>
      <c r="D407" s="131" t="s">
        <v>117</v>
      </c>
      <c r="E407" s="132" t="s">
        <v>856</v>
      </c>
      <c r="F407" s="127"/>
      <c r="G407" s="133" t="s">
        <v>117</v>
      </c>
      <c r="H407" s="134"/>
      <c r="I407" s="156" t="s">
        <v>41</v>
      </c>
      <c r="J407" s="157"/>
      <c r="L407" s="159"/>
      <c r="M407" s="127"/>
      <c r="N407" s="160"/>
      <c r="O407" s="161"/>
      <c r="P407" s="162"/>
      <c r="Q407" s="162"/>
      <c r="R407" s="161"/>
      <c r="S407" s="161"/>
      <c r="T407" s="162"/>
      <c r="U407" s="162"/>
      <c r="V407" s="161"/>
    </row>
    <row r="408" spans="1:22" ht="15" customHeight="1">
      <c r="A408" s="128" t="s">
        <v>857</v>
      </c>
      <c r="B408" s="129"/>
      <c r="C408" s="130"/>
      <c r="D408" s="131" t="s">
        <v>117</v>
      </c>
      <c r="E408" s="132" t="s">
        <v>858</v>
      </c>
      <c r="F408" s="127"/>
      <c r="G408" s="133" t="s">
        <v>117</v>
      </c>
      <c r="H408" s="134"/>
      <c r="I408" s="156" t="s">
        <v>41</v>
      </c>
      <c r="J408" s="157"/>
      <c r="L408" s="159"/>
      <c r="M408" s="127"/>
      <c r="N408" s="160"/>
      <c r="O408" s="161"/>
      <c r="P408" s="162"/>
      <c r="Q408" s="162"/>
      <c r="R408" s="161"/>
      <c r="S408" s="161"/>
      <c r="T408" s="162"/>
      <c r="U408" s="162"/>
      <c r="V408" s="161"/>
    </row>
    <row r="409" spans="1:22" ht="15" customHeight="1">
      <c r="A409" s="128" t="s">
        <v>859</v>
      </c>
      <c r="B409" s="129"/>
      <c r="C409" s="130"/>
      <c r="D409" s="131" t="s">
        <v>117</v>
      </c>
      <c r="E409" s="132" t="s">
        <v>860</v>
      </c>
      <c r="F409" s="127"/>
      <c r="G409" s="133" t="s">
        <v>117</v>
      </c>
      <c r="H409" s="134"/>
      <c r="I409" s="156" t="s">
        <v>41</v>
      </c>
      <c r="J409" s="157"/>
      <c r="L409" s="159"/>
      <c r="M409" s="127"/>
      <c r="N409" s="160"/>
      <c r="O409" s="161"/>
      <c r="P409" s="162"/>
      <c r="Q409" s="162"/>
      <c r="R409" s="161"/>
      <c r="S409" s="161"/>
      <c r="T409" s="162"/>
      <c r="U409" s="162"/>
      <c r="V409" s="161"/>
    </row>
    <row r="410" spans="1:22" ht="15" customHeight="1">
      <c r="A410" s="128" t="s">
        <v>861</v>
      </c>
      <c r="B410" s="129"/>
      <c r="C410" s="130"/>
      <c r="D410" s="131" t="s">
        <v>122</v>
      </c>
      <c r="E410" s="132" t="s">
        <v>862</v>
      </c>
      <c r="F410" s="127"/>
      <c r="G410" s="133" t="s">
        <v>122</v>
      </c>
      <c r="H410" s="134"/>
      <c r="I410" s="156" t="s">
        <v>41</v>
      </c>
      <c r="J410" s="157"/>
      <c r="L410" s="159"/>
      <c r="M410" s="127"/>
      <c r="N410" s="160"/>
      <c r="O410" s="161"/>
      <c r="P410" s="162"/>
      <c r="Q410" s="162"/>
      <c r="R410" s="161"/>
      <c r="S410" s="161"/>
      <c r="T410" s="162"/>
      <c r="U410" s="162"/>
      <c r="V410" s="161"/>
    </row>
    <row r="411" spans="1:22" ht="15" customHeight="1">
      <c r="A411" s="128" t="s">
        <v>863</v>
      </c>
      <c r="B411" s="129"/>
      <c r="C411" s="130"/>
      <c r="D411" s="131" t="s">
        <v>122</v>
      </c>
      <c r="E411" s="132" t="s">
        <v>864</v>
      </c>
      <c r="F411" s="127"/>
      <c r="G411" s="133" t="s">
        <v>122</v>
      </c>
      <c r="H411" s="134"/>
      <c r="I411" s="156" t="s">
        <v>41</v>
      </c>
      <c r="J411" s="157"/>
      <c r="L411" s="159"/>
      <c r="M411" s="127"/>
      <c r="N411" s="160"/>
      <c r="O411" s="161"/>
      <c r="P411" s="162"/>
      <c r="Q411" s="162"/>
      <c r="R411" s="161"/>
      <c r="S411" s="161"/>
      <c r="T411" s="162"/>
      <c r="U411" s="162"/>
      <c r="V411" s="161"/>
    </row>
    <row r="412" spans="1:22" ht="15" customHeight="1">
      <c r="A412" s="128" t="s">
        <v>865</v>
      </c>
      <c r="B412" s="129"/>
      <c r="C412" s="130"/>
      <c r="D412" s="131" t="s">
        <v>117</v>
      </c>
      <c r="E412" s="132" t="s">
        <v>866</v>
      </c>
      <c r="F412" s="127"/>
      <c r="G412" s="133" t="s">
        <v>117</v>
      </c>
      <c r="H412" s="134"/>
      <c r="I412" s="156" t="s">
        <v>41</v>
      </c>
      <c r="J412" s="157"/>
      <c r="L412" s="159"/>
      <c r="M412" s="127"/>
      <c r="N412" s="160"/>
      <c r="O412" s="161"/>
      <c r="P412" s="162"/>
      <c r="Q412" s="162"/>
      <c r="R412" s="161"/>
      <c r="S412" s="161"/>
      <c r="T412" s="162"/>
      <c r="U412" s="162"/>
      <c r="V412" s="161"/>
    </row>
    <row r="413" spans="1:22" ht="15" customHeight="1">
      <c r="A413" s="128" t="s">
        <v>867</v>
      </c>
      <c r="B413" s="129"/>
      <c r="C413" s="130"/>
      <c r="D413" s="131" t="s">
        <v>122</v>
      </c>
      <c r="E413" s="132" t="s">
        <v>868</v>
      </c>
      <c r="F413" s="127"/>
      <c r="G413" s="133" t="s">
        <v>122</v>
      </c>
      <c r="H413" s="134"/>
      <c r="I413" s="156" t="s">
        <v>41</v>
      </c>
      <c r="J413" s="157"/>
      <c r="L413" s="159"/>
      <c r="M413" s="127"/>
      <c r="N413" s="160"/>
      <c r="O413" s="161"/>
      <c r="P413" s="162"/>
      <c r="Q413" s="162"/>
      <c r="R413" s="161"/>
      <c r="S413" s="161"/>
      <c r="T413" s="162"/>
      <c r="U413" s="162"/>
      <c r="V413" s="161"/>
    </row>
    <row r="414" spans="1:22" ht="15" customHeight="1">
      <c r="A414" s="128" t="s">
        <v>869</v>
      </c>
      <c r="B414" s="129"/>
      <c r="C414" s="130"/>
      <c r="D414" s="131" t="s">
        <v>122</v>
      </c>
      <c r="E414" s="132" t="s">
        <v>870</v>
      </c>
      <c r="F414" s="127"/>
      <c r="G414" s="133" t="s">
        <v>122</v>
      </c>
      <c r="H414" s="134"/>
      <c r="I414" s="156" t="s">
        <v>41</v>
      </c>
      <c r="J414" s="157"/>
      <c r="L414" s="159"/>
      <c r="M414" s="127"/>
      <c r="N414" s="160"/>
      <c r="O414" s="161"/>
      <c r="P414" s="162"/>
      <c r="Q414" s="162"/>
      <c r="R414" s="161"/>
      <c r="S414" s="161"/>
      <c r="T414" s="162"/>
      <c r="U414" s="162"/>
      <c r="V414" s="161"/>
    </row>
    <row r="415" spans="1:22" ht="15" customHeight="1">
      <c r="A415" s="128" t="s">
        <v>871</v>
      </c>
      <c r="B415" s="129"/>
      <c r="C415" s="130"/>
      <c r="D415" s="131" t="s">
        <v>122</v>
      </c>
      <c r="E415" s="132" t="s">
        <v>872</v>
      </c>
      <c r="F415" s="127"/>
      <c r="G415" s="133" t="s">
        <v>122</v>
      </c>
      <c r="H415" s="134"/>
      <c r="I415" s="156" t="s">
        <v>41</v>
      </c>
      <c r="J415" s="157"/>
      <c r="L415" s="159"/>
      <c r="M415" s="127"/>
      <c r="N415" s="160"/>
      <c r="O415" s="161"/>
      <c r="P415" s="162"/>
      <c r="Q415" s="162"/>
      <c r="R415" s="161"/>
      <c r="S415" s="161"/>
      <c r="T415" s="162"/>
      <c r="U415" s="162"/>
      <c r="V415" s="161"/>
    </row>
    <row r="416" spans="1:22" ht="15" customHeight="1">
      <c r="A416" s="128" t="s">
        <v>873</v>
      </c>
      <c r="B416" s="129"/>
      <c r="C416" s="130"/>
      <c r="D416" s="131" t="s">
        <v>122</v>
      </c>
      <c r="E416" s="132" t="s">
        <v>874</v>
      </c>
      <c r="F416" s="127"/>
      <c r="G416" s="133" t="s">
        <v>122</v>
      </c>
      <c r="H416" s="134"/>
      <c r="I416" s="156" t="s">
        <v>41</v>
      </c>
      <c r="J416" s="157"/>
      <c r="L416" s="159"/>
      <c r="M416" s="127"/>
      <c r="N416" s="160"/>
      <c r="O416" s="161"/>
      <c r="P416" s="162"/>
      <c r="Q416" s="162"/>
      <c r="R416" s="161"/>
      <c r="S416" s="161"/>
      <c r="T416" s="162"/>
      <c r="U416" s="162"/>
      <c r="V416" s="161"/>
    </row>
    <row r="417" spans="1:22" ht="15" customHeight="1">
      <c r="A417" s="128" t="s">
        <v>875</v>
      </c>
      <c r="B417" s="129"/>
      <c r="C417" s="130"/>
      <c r="D417" s="131" t="s">
        <v>122</v>
      </c>
      <c r="E417" s="132" t="s">
        <v>876</v>
      </c>
      <c r="F417" s="127"/>
      <c r="G417" s="133" t="s">
        <v>122</v>
      </c>
      <c r="H417" s="134"/>
      <c r="I417" s="156" t="s">
        <v>41</v>
      </c>
      <c r="J417" s="157"/>
      <c r="L417" s="159"/>
      <c r="M417" s="127"/>
      <c r="N417" s="160"/>
      <c r="O417" s="161"/>
      <c r="P417" s="162"/>
      <c r="Q417" s="162"/>
      <c r="R417" s="161"/>
      <c r="S417" s="161"/>
      <c r="T417" s="162"/>
      <c r="U417" s="162"/>
      <c r="V417" s="161"/>
    </row>
    <row r="418" spans="1:22" ht="15" customHeight="1">
      <c r="A418" s="128" t="s">
        <v>877</v>
      </c>
      <c r="B418" s="129"/>
      <c r="C418" s="130"/>
      <c r="D418" s="131" t="s">
        <v>122</v>
      </c>
      <c r="E418" s="132" t="s">
        <v>878</v>
      </c>
      <c r="F418" s="127"/>
      <c r="G418" s="133" t="s">
        <v>122</v>
      </c>
      <c r="H418" s="134"/>
      <c r="I418" s="156" t="s">
        <v>41</v>
      </c>
      <c r="J418" s="157"/>
      <c r="L418" s="159"/>
      <c r="M418" s="127"/>
      <c r="N418" s="160"/>
      <c r="O418" s="161"/>
      <c r="P418" s="162"/>
      <c r="Q418" s="162"/>
      <c r="R418" s="161"/>
      <c r="S418" s="161"/>
      <c r="T418" s="162"/>
      <c r="U418" s="162"/>
      <c r="V418" s="161"/>
    </row>
    <row r="419" spans="1:22" ht="15" customHeight="1">
      <c r="A419" s="128" t="s">
        <v>879</v>
      </c>
      <c r="B419" s="129"/>
      <c r="C419" s="130"/>
      <c r="D419" s="131" t="s">
        <v>122</v>
      </c>
      <c r="E419" s="132" t="s">
        <v>880</v>
      </c>
      <c r="F419" s="127"/>
      <c r="G419" s="133" t="s">
        <v>122</v>
      </c>
      <c r="H419" s="134"/>
      <c r="I419" s="156" t="s">
        <v>41</v>
      </c>
      <c r="J419" s="157"/>
      <c r="L419" s="159"/>
      <c r="M419" s="127"/>
      <c r="N419" s="160"/>
      <c r="O419" s="161"/>
      <c r="P419" s="162"/>
      <c r="Q419" s="162"/>
      <c r="R419" s="161"/>
      <c r="S419" s="161"/>
      <c r="T419" s="162"/>
      <c r="U419" s="162"/>
      <c r="V419" s="161"/>
    </row>
    <row r="420" spans="1:22" ht="15" customHeight="1">
      <c r="A420" s="128" t="s">
        <v>881</v>
      </c>
      <c r="B420" s="129"/>
      <c r="C420" s="130"/>
      <c r="D420" s="131" t="s">
        <v>122</v>
      </c>
      <c r="E420" s="132" t="s">
        <v>882</v>
      </c>
      <c r="F420" s="127"/>
      <c r="G420" s="133" t="s">
        <v>122</v>
      </c>
      <c r="H420" s="134"/>
      <c r="I420" s="156" t="s">
        <v>41</v>
      </c>
      <c r="J420" s="157"/>
      <c r="L420" s="159"/>
      <c r="M420" s="127"/>
      <c r="N420" s="160"/>
      <c r="O420" s="161"/>
      <c r="P420" s="162"/>
      <c r="Q420" s="162"/>
      <c r="R420" s="161"/>
      <c r="S420" s="161"/>
      <c r="T420" s="162"/>
      <c r="U420" s="162"/>
      <c r="V420" s="161"/>
    </row>
    <row r="421" spans="1:22" ht="15" customHeight="1">
      <c r="A421" s="128" t="s">
        <v>883</v>
      </c>
      <c r="B421" s="129"/>
      <c r="C421" s="130"/>
      <c r="D421" s="131" t="s">
        <v>122</v>
      </c>
      <c r="E421" s="132" t="s">
        <v>884</v>
      </c>
      <c r="F421" s="127"/>
      <c r="G421" s="133" t="s">
        <v>122</v>
      </c>
      <c r="H421" s="134"/>
      <c r="I421" s="156" t="s">
        <v>41</v>
      </c>
      <c r="J421" s="157"/>
      <c r="L421" s="159"/>
      <c r="M421" s="127"/>
      <c r="N421" s="160"/>
      <c r="O421" s="161"/>
      <c r="P421" s="162"/>
      <c r="Q421" s="162"/>
      <c r="R421" s="161"/>
      <c r="S421" s="161"/>
      <c r="T421" s="162"/>
      <c r="U421" s="162"/>
      <c r="V421" s="161"/>
    </row>
    <row r="422" spans="1:22" ht="15" customHeight="1">
      <c r="A422" s="128" t="s">
        <v>885</v>
      </c>
      <c r="B422" s="129"/>
      <c r="C422" s="130"/>
      <c r="D422" s="131" t="s">
        <v>122</v>
      </c>
      <c r="E422" s="132" t="s">
        <v>886</v>
      </c>
      <c r="F422" s="127"/>
      <c r="G422" s="133" t="s">
        <v>122</v>
      </c>
      <c r="H422" s="134"/>
      <c r="I422" s="156" t="s">
        <v>41</v>
      </c>
      <c r="J422" s="157"/>
      <c r="L422" s="159"/>
      <c r="M422" s="127"/>
      <c r="N422" s="160"/>
      <c r="O422" s="161"/>
      <c r="P422" s="162"/>
      <c r="Q422" s="162"/>
      <c r="R422" s="161"/>
      <c r="S422" s="161"/>
      <c r="T422" s="162"/>
      <c r="U422" s="162"/>
      <c r="V422" s="161"/>
    </row>
    <row r="423" spans="1:22" ht="15" customHeight="1">
      <c r="A423" s="128" t="s">
        <v>887</v>
      </c>
      <c r="B423" s="129"/>
      <c r="C423" s="130"/>
      <c r="D423" s="131" t="s">
        <v>122</v>
      </c>
      <c r="E423" s="132" t="s">
        <v>888</v>
      </c>
      <c r="F423" s="127"/>
      <c r="G423" s="133" t="s">
        <v>122</v>
      </c>
      <c r="H423" s="134"/>
      <c r="I423" s="156" t="s">
        <v>41</v>
      </c>
      <c r="J423" s="157"/>
      <c r="L423" s="159"/>
      <c r="M423" s="127"/>
      <c r="N423" s="160"/>
      <c r="O423" s="161"/>
      <c r="P423" s="162"/>
      <c r="Q423" s="162"/>
      <c r="R423" s="161"/>
      <c r="S423" s="161"/>
      <c r="T423" s="162"/>
      <c r="U423" s="162"/>
      <c r="V423" s="161"/>
    </row>
    <row r="424" spans="1:22" ht="15" customHeight="1">
      <c r="A424" s="128" t="s">
        <v>889</v>
      </c>
      <c r="B424" s="129"/>
      <c r="C424" s="130"/>
      <c r="D424" s="131" t="s">
        <v>122</v>
      </c>
      <c r="E424" s="132" t="s">
        <v>890</v>
      </c>
      <c r="F424" s="127"/>
      <c r="G424" s="133" t="s">
        <v>122</v>
      </c>
      <c r="H424" s="134"/>
      <c r="I424" s="156" t="s">
        <v>41</v>
      </c>
      <c r="J424" s="157"/>
      <c r="L424" s="159"/>
      <c r="M424" s="127"/>
      <c r="N424" s="160"/>
      <c r="O424" s="161"/>
      <c r="P424" s="162"/>
      <c r="Q424" s="162"/>
      <c r="R424" s="161"/>
      <c r="S424" s="161"/>
      <c r="T424" s="162"/>
      <c r="U424" s="162"/>
      <c r="V424" s="161"/>
    </row>
    <row r="425" spans="1:22" ht="15" customHeight="1">
      <c r="A425" s="128" t="s">
        <v>891</v>
      </c>
      <c r="B425" s="129"/>
      <c r="C425" s="130"/>
      <c r="D425" s="131" t="s">
        <v>122</v>
      </c>
      <c r="E425" s="132" t="s">
        <v>892</v>
      </c>
      <c r="F425" s="127"/>
      <c r="G425" s="133" t="s">
        <v>122</v>
      </c>
      <c r="H425" s="134"/>
      <c r="I425" s="156" t="s">
        <v>41</v>
      </c>
      <c r="J425" s="157"/>
      <c r="L425" s="159"/>
      <c r="M425" s="127"/>
      <c r="N425" s="160"/>
      <c r="O425" s="161"/>
      <c r="P425" s="162"/>
      <c r="Q425" s="162"/>
      <c r="R425" s="161"/>
      <c r="S425" s="161"/>
      <c r="T425" s="162"/>
      <c r="U425" s="162"/>
      <c r="V425" s="161"/>
    </row>
    <row r="426" spans="1:22" ht="15" customHeight="1">
      <c r="A426" s="128" t="s">
        <v>893</v>
      </c>
      <c r="B426" s="129"/>
      <c r="C426" s="130"/>
      <c r="D426" s="131" t="s">
        <v>122</v>
      </c>
      <c r="E426" s="132" t="s">
        <v>894</v>
      </c>
      <c r="F426" s="127"/>
      <c r="G426" s="133" t="s">
        <v>122</v>
      </c>
      <c r="H426" s="134"/>
      <c r="I426" s="156" t="s">
        <v>41</v>
      </c>
      <c r="J426" s="157"/>
      <c r="L426" s="159"/>
      <c r="M426" s="127"/>
      <c r="N426" s="160"/>
      <c r="O426" s="161"/>
      <c r="P426" s="162"/>
      <c r="Q426" s="162"/>
      <c r="R426" s="161"/>
      <c r="S426" s="161"/>
      <c r="T426" s="162"/>
      <c r="U426" s="162"/>
      <c r="V426" s="161"/>
    </row>
    <row r="427" spans="1:22" ht="15" customHeight="1">
      <c r="A427" s="128" t="s">
        <v>895</v>
      </c>
      <c r="B427" s="129"/>
      <c r="C427" s="130"/>
      <c r="D427" s="131" t="s">
        <v>122</v>
      </c>
      <c r="E427" s="132" t="s">
        <v>896</v>
      </c>
      <c r="F427" s="127"/>
      <c r="G427" s="133" t="s">
        <v>122</v>
      </c>
      <c r="H427" s="134"/>
      <c r="I427" s="156" t="s">
        <v>41</v>
      </c>
      <c r="J427" s="157"/>
      <c r="L427" s="159"/>
      <c r="M427" s="127"/>
      <c r="N427" s="160"/>
      <c r="O427" s="161"/>
      <c r="P427" s="162"/>
      <c r="Q427" s="162"/>
      <c r="R427" s="161"/>
      <c r="S427" s="161"/>
      <c r="T427" s="162"/>
      <c r="U427" s="162"/>
      <c r="V427" s="161"/>
    </row>
    <row r="428" spans="1:22" ht="15" customHeight="1">
      <c r="A428" s="128" t="s">
        <v>897</v>
      </c>
      <c r="B428" s="129"/>
      <c r="C428" s="130"/>
      <c r="D428" s="131" t="s">
        <v>122</v>
      </c>
      <c r="E428" s="132" t="s">
        <v>898</v>
      </c>
      <c r="F428" s="127"/>
      <c r="G428" s="133" t="s">
        <v>122</v>
      </c>
      <c r="H428" s="134"/>
      <c r="I428" s="156" t="s">
        <v>41</v>
      </c>
      <c r="J428" s="157"/>
      <c r="L428" s="159"/>
      <c r="M428" s="127"/>
      <c r="N428" s="160"/>
      <c r="O428" s="161"/>
      <c r="P428" s="162"/>
      <c r="Q428" s="162"/>
      <c r="R428" s="161"/>
      <c r="S428" s="161"/>
      <c r="T428" s="162"/>
      <c r="U428" s="162"/>
      <c r="V428" s="161"/>
    </row>
    <row r="429" spans="1:22" ht="15" customHeight="1">
      <c r="A429" s="128" t="s">
        <v>899</v>
      </c>
      <c r="B429" s="129"/>
      <c r="C429" s="130"/>
      <c r="D429" s="131" t="s">
        <v>122</v>
      </c>
      <c r="E429" s="132" t="s">
        <v>900</v>
      </c>
      <c r="F429" s="127"/>
      <c r="G429" s="133" t="s">
        <v>122</v>
      </c>
      <c r="H429" s="134"/>
      <c r="I429" s="156" t="s">
        <v>41</v>
      </c>
      <c r="J429" s="157"/>
      <c r="L429" s="159"/>
      <c r="M429" s="127"/>
      <c r="N429" s="160"/>
      <c r="O429" s="161"/>
      <c r="P429" s="162"/>
      <c r="Q429" s="162"/>
      <c r="R429" s="161"/>
      <c r="S429" s="161"/>
      <c r="T429" s="162"/>
      <c r="U429" s="162"/>
      <c r="V429" s="161"/>
    </row>
    <row r="430" spans="1:22" ht="15" customHeight="1">
      <c r="A430" s="128" t="s">
        <v>901</v>
      </c>
      <c r="B430" s="129"/>
      <c r="C430" s="130"/>
      <c r="D430" s="131" t="s">
        <v>122</v>
      </c>
      <c r="E430" s="132" t="s">
        <v>902</v>
      </c>
      <c r="F430" s="127"/>
      <c r="G430" s="133" t="s">
        <v>122</v>
      </c>
      <c r="H430" s="134"/>
      <c r="I430" s="156" t="s">
        <v>41</v>
      </c>
      <c r="J430" s="157"/>
      <c r="L430" s="159"/>
      <c r="M430" s="127"/>
      <c r="N430" s="160"/>
      <c r="O430" s="161"/>
      <c r="P430" s="162"/>
      <c r="Q430" s="162"/>
      <c r="R430" s="161"/>
      <c r="S430" s="161"/>
      <c r="T430" s="162"/>
      <c r="U430" s="162"/>
      <c r="V430" s="161"/>
    </row>
    <row r="431" spans="1:22" ht="15" customHeight="1">
      <c r="A431" s="128" t="s">
        <v>903</v>
      </c>
      <c r="B431" s="129"/>
      <c r="C431" s="130"/>
      <c r="D431" s="131" t="s">
        <v>122</v>
      </c>
      <c r="E431" s="132" t="s">
        <v>904</v>
      </c>
      <c r="F431" s="127"/>
      <c r="G431" s="133" t="s">
        <v>122</v>
      </c>
      <c r="H431" s="134"/>
      <c r="I431" s="156" t="s">
        <v>41</v>
      </c>
      <c r="J431" s="157"/>
      <c r="L431" s="159"/>
      <c r="M431" s="127"/>
      <c r="N431" s="160"/>
      <c r="O431" s="161"/>
      <c r="P431" s="162"/>
      <c r="Q431" s="162"/>
      <c r="R431" s="161"/>
      <c r="S431" s="161"/>
      <c r="T431" s="162"/>
      <c r="U431" s="162"/>
      <c r="V431" s="161"/>
    </row>
    <row r="432" spans="1:22" ht="15" customHeight="1">
      <c r="A432" s="128" t="s">
        <v>905</v>
      </c>
      <c r="B432" s="129"/>
      <c r="C432" s="130"/>
      <c r="D432" s="131" t="s">
        <v>122</v>
      </c>
      <c r="E432" s="132" t="s">
        <v>906</v>
      </c>
      <c r="F432" s="127"/>
      <c r="G432" s="133" t="s">
        <v>122</v>
      </c>
      <c r="H432" s="134"/>
      <c r="I432" s="156" t="s">
        <v>41</v>
      </c>
      <c r="J432" s="157"/>
      <c r="L432" s="159"/>
      <c r="M432" s="127"/>
      <c r="N432" s="160"/>
      <c r="O432" s="161"/>
      <c r="P432" s="162"/>
      <c r="Q432" s="162"/>
      <c r="R432" s="161"/>
      <c r="S432" s="161"/>
      <c r="T432" s="162"/>
      <c r="U432" s="162"/>
      <c r="V432" s="161"/>
    </row>
    <row r="433" spans="1:22" ht="15" customHeight="1">
      <c r="A433" s="128" t="s">
        <v>907</v>
      </c>
      <c r="B433" s="129"/>
      <c r="C433" s="130"/>
      <c r="D433" s="131" t="s">
        <v>122</v>
      </c>
      <c r="E433" s="132" t="s">
        <v>908</v>
      </c>
      <c r="F433" s="127"/>
      <c r="G433" s="133" t="s">
        <v>122</v>
      </c>
      <c r="H433" s="134"/>
      <c r="I433" s="156" t="s">
        <v>41</v>
      </c>
      <c r="J433" s="157"/>
      <c r="L433" s="159"/>
      <c r="M433" s="127"/>
      <c r="N433" s="160"/>
      <c r="O433" s="161"/>
      <c r="P433" s="162"/>
      <c r="Q433" s="162"/>
      <c r="R433" s="161"/>
      <c r="S433" s="161"/>
      <c r="T433" s="162"/>
      <c r="U433" s="162"/>
      <c r="V433" s="161"/>
    </row>
    <row r="434" spans="1:22" ht="15" customHeight="1">
      <c r="A434" s="128" t="s">
        <v>909</v>
      </c>
      <c r="B434" s="129"/>
      <c r="C434" s="130"/>
      <c r="D434" s="131" t="s">
        <v>122</v>
      </c>
      <c r="E434" s="132" t="s">
        <v>910</v>
      </c>
      <c r="F434" s="127"/>
      <c r="G434" s="133" t="s">
        <v>122</v>
      </c>
      <c r="H434" s="134"/>
      <c r="I434" s="156" t="s">
        <v>41</v>
      </c>
      <c r="J434" s="157"/>
      <c r="L434" s="159"/>
      <c r="M434" s="127"/>
      <c r="N434" s="160"/>
      <c r="O434" s="161"/>
      <c r="P434" s="162"/>
      <c r="Q434" s="162"/>
      <c r="R434" s="161"/>
      <c r="S434" s="161"/>
      <c r="T434" s="162"/>
      <c r="U434" s="162"/>
      <c r="V434" s="161"/>
    </row>
    <row r="435" spans="1:22" ht="15" customHeight="1">
      <c r="A435" s="128" t="s">
        <v>911</v>
      </c>
      <c r="B435" s="129"/>
      <c r="C435" s="130"/>
      <c r="D435" s="131" t="s">
        <v>117</v>
      </c>
      <c r="E435" s="132" t="s">
        <v>912</v>
      </c>
      <c r="F435" s="127"/>
      <c r="G435" s="133" t="s">
        <v>117</v>
      </c>
      <c r="H435" s="134"/>
      <c r="I435" s="156" t="s">
        <v>41</v>
      </c>
      <c r="J435" s="157"/>
      <c r="L435" s="159"/>
      <c r="M435" s="127"/>
      <c r="N435" s="160"/>
      <c r="O435" s="161"/>
      <c r="P435" s="162"/>
      <c r="Q435" s="162"/>
      <c r="R435" s="161"/>
      <c r="S435" s="161"/>
      <c r="T435" s="162"/>
      <c r="U435" s="162"/>
      <c r="V435" s="161"/>
    </row>
    <row r="436" spans="1:22" ht="15" customHeight="1">
      <c r="A436" s="128" t="s">
        <v>913</v>
      </c>
      <c r="B436" s="129"/>
      <c r="C436" s="130"/>
      <c r="D436" s="131" t="s">
        <v>117</v>
      </c>
      <c r="E436" s="132" t="s">
        <v>914</v>
      </c>
      <c r="F436" s="127"/>
      <c r="G436" s="133" t="s">
        <v>117</v>
      </c>
      <c r="H436" s="134"/>
      <c r="I436" s="156" t="s">
        <v>41</v>
      </c>
      <c r="J436" s="157"/>
      <c r="L436" s="159"/>
      <c r="M436" s="127"/>
      <c r="N436" s="160"/>
      <c r="O436" s="161"/>
      <c r="P436" s="162"/>
      <c r="Q436" s="162"/>
      <c r="R436" s="161"/>
      <c r="S436" s="161"/>
      <c r="T436" s="162"/>
      <c r="U436" s="162"/>
      <c r="V436" s="161"/>
    </row>
    <row r="437" spans="1:22" ht="15" customHeight="1">
      <c r="A437" s="128" t="s">
        <v>915</v>
      </c>
      <c r="B437" s="129"/>
      <c r="C437" s="130"/>
      <c r="D437" s="131" t="s">
        <v>117</v>
      </c>
      <c r="E437" s="132" t="s">
        <v>916</v>
      </c>
      <c r="F437" s="127"/>
      <c r="G437" s="133" t="s">
        <v>117</v>
      </c>
      <c r="H437" s="134"/>
      <c r="I437" s="156" t="s">
        <v>41</v>
      </c>
      <c r="J437" s="157"/>
      <c r="L437" s="159"/>
      <c r="M437" s="127"/>
      <c r="N437" s="160"/>
      <c r="O437" s="161"/>
      <c r="P437" s="162"/>
      <c r="Q437" s="162"/>
      <c r="R437" s="161"/>
      <c r="S437" s="161"/>
      <c r="T437" s="162"/>
      <c r="U437" s="162"/>
      <c r="V437" s="161"/>
    </row>
    <row r="438" spans="1:22" ht="15" customHeight="1">
      <c r="A438" s="128" t="s">
        <v>917</v>
      </c>
      <c r="B438" s="129"/>
      <c r="C438" s="130"/>
      <c r="D438" s="131" t="s">
        <v>117</v>
      </c>
      <c r="E438" s="132" t="s">
        <v>918</v>
      </c>
      <c r="F438" s="127"/>
      <c r="G438" s="133" t="s">
        <v>117</v>
      </c>
      <c r="H438" s="134"/>
      <c r="I438" s="156" t="s">
        <v>41</v>
      </c>
      <c r="J438" s="157"/>
      <c r="L438" s="159"/>
      <c r="M438" s="127"/>
      <c r="N438" s="160"/>
      <c r="O438" s="161"/>
      <c r="P438" s="162"/>
      <c r="Q438" s="162"/>
      <c r="R438" s="161"/>
      <c r="S438" s="161"/>
      <c r="T438" s="162"/>
      <c r="U438" s="162"/>
      <c r="V438" s="161"/>
    </row>
    <row r="439" spans="1:22" ht="15" customHeight="1">
      <c r="A439" s="128" t="s">
        <v>919</v>
      </c>
      <c r="B439" s="129"/>
      <c r="C439" s="130"/>
      <c r="D439" s="131" t="s">
        <v>122</v>
      </c>
      <c r="E439" s="132" t="s">
        <v>920</v>
      </c>
      <c r="F439" s="127"/>
      <c r="G439" s="133" t="s">
        <v>122</v>
      </c>
      <c r="H439" s="134"/>
      <c r="I439" s="156" t="s">
        <v>41</v>
      </c>
      <c r="J439" s="157"/>
      <c r="L439" s="159"/>
      <c r="M439" s="127"/>
      <c r="N439" s="160"/>
      <c r="O439" s="161"/>
      <c r="P439" s="162"/>
      <c r="Q439" s="162"/>
      <c r="R439" s="161"/>
      <c r="S439" s="161"/>
      <c r="T439" s="162"/>
      <c r="U439" s="162"/>
      <c r="V439" s="161"/>
    </row>
    <row r="440" spans="1:22" ht="15" customHeight="1">
      <c r="A440" s="128" t="s">
        <v>921</v>
      </c>
      <c r="B440" s="129"/>
      <c r="C440" s="130"/>
      <c r="D440" s="131" t="s">
        <v>112</v>
      </c>
      <c r="E440" s="132" t="s">
        <v>922</v>
      </c>
      <c r="F440" s="127"/>
      <c r="G440" s="133" t="s">
        <v>112</v>
      </c>
      <c r="H440" s="134"/>
      <c r="I440" s="156" t="s">
        <v>41</v>
      </c>
      <c r="J440" s="157"/>
      <c r="L440" s="159"/>
      <c r="M440" s="127"/>
      <c r="N440" s="160"/>
      <c r="O440" s="161"/>
      <c r="P440" s="162"/>
      <c r="Q440" s="162"/>
      <c r="R440" s="161"/>
      <c r="S440" s="161"/>
      <c r="T440" s="162"/>
      <c r="U440" s="162"/>
      <c r="V440" s="161"/>
    </row>
    <row r="441" spans="1:22" ht="15" customHeight="1">
      <c r="A441" s="128" t="s">
        <v>923</v>
      </c>
      <c r="B441" s="129"/>
      <c r="C441" s="130"/>
      <c r="D441" s="131" t="s">
        <v>374</v>
      </c>
      <c r="E441" s="132" t="s">
        <v>924</v>
      </c>
      <c r="F441" s="127"/>
      <c r="G441" s="133" t="s">
        <v>374</v>
      </c>
      <c r="H441" s="134"/>
      <c r="I441" s="156" t="s">
        <v>41</v>
      </c>
      <c r="J441" s="157"/>
      <c r="L441" s="159"/>
      <c r="M441" s="127"/>
      <c r="N441" s="160"/>
      <c r="O441" s="161"/>
      <c r="P441" s="162"/>
      <c r="Q441" s="162"/>
      <c r="R441" s="161"/>
      <c r="S441" s="161"/>
      <c r="T441" s="162"/>
      <c r="U441" s="162"/>
      <c r="V441" s="161"/>
    </row>
    <row r="442" spans="1:22" ht="15" customHeight="1">
      <c r="A442" s="128" t="s">
        <v>925</v>
      </c>
      <c r="B442" s="129"/>
      <c r="C442" s="130"/>
      <c r="D442" s="131" t="s">
        <v>374</v>
      </c>
      <c r="E442" s="132" t="s">
        <v>926</v>
      </c>
      <c r="F442" s="127"/>
      <c r="G442" s="133" t="s">
        <v>374</v>
      </c>
      <c r="H442" s="134"/>
      <c r="I442" s="156" t="s">
        <v>41</v>
      </c>
      <c r="J442" s="157"/>
      <c r="L442" s="159"/>
      <c r="M442" s="127"/>
      <c r="N442" s="160"/>
      <c r="O442" s="161"/>
      <c r="P442" s="162"/>
      <c r="Q442" s="162"/>
      <c r="R442" s="161"/>
      <c r="S442" s="161"/>
      <c r="T442" s="162"/>
      <c r="U442" s="162"/>
      <c r="V442" s="161"/>
    </row>
    <row r="443" spans="1:22" ht="15" customHeight="1">
      <c r="A443" s="128" t="s">
        <v>927</v>
      </c>
      <c r="B443" s="129"/>
      <c r="C443" s="130"/>
      <c r="D443" s="131" t="s">
        <v>374</v>
      </c>
      <c r="E443" s="132" t="s">
        <v>928</v>
      </c>
      <c r="F443" s="127"/>
      <c r="G443" s="133" t="s">
        <v>374</v>
      </c>
      <c r="H443" s="134"/>
      <c r="I443" s="156" t="s">
        <v>41</v>
      </c>
      <c r="J443" s="157"/>
      <c r="L443" s="159"/>
      <c r="M443" s="127"/>
      <c r="N443" s="160"/>
      <c r="O443" s="161"/>
      <c r="P443" s="162"/>
      <c r="Q443" s="162"/>
      <c r="R443" s="161"/>
      <c r="S443" s="161"/>
      <c r="T443" s="162"/>
      <c r="U443" s="162"/>
      <c r="V443" s="161"/>
    </row>
    <row r="444" spans="1:22" ht="15" customHeight="1">
      <c r="A444" s="128" t="s">
        <v>929</v>
      </c>
      <c r="B444" s="129"/>
      <c r="C444" s="130"/>
      <c r="D444" s="131" t="s">
        <v>374</v>
      </c>
      <c r="E444" s="132" t="s">
        <v>930</v>
      </c>
      <c r="F444" s="127"/>
      <c r="G444" s="133" t="s">
        <v>374</v>
      </c>
      <c r="H444" s="134"/>
      <c r="I444" s="156" t="s">
        <v>41</v>
      </c>
      <c r="J444" s="157"/>
      <c r="L444" s="159"/>
      <c r="M444" s="127"/>
      <c r="N444" s="160"/>
      <c r="O444" s="161"/>
      <c r="P444" s="162"/>
      <c r="Q444" s="162"/>
      <c r="R444" s="161"/>
      <c r="S444" s="161"/>
      <c r="T444" s="162"/>
      <c r="U444" s="162"/>
      <c r="V444" s="161"/>
    </row>
    <row r="445" spans="1:22" ht="15" customHeight="1">
      <c r="A445" s="128" t="s">
        <v>931</v>
      </c>
      <c r="B445" s="129"/>
      <c r="C445" s="130"/>
      <c r="D445" s="131" t="s">
        <v>374</v>
      </c>
      <c r="E445" s="132" t="s">
        <v>932</v>
      </c>
      <c r="F445" s="127"/>
      <c r="G445" s="133" t="s">
        <v>374</v>
      </c>
      <c r="H445" s="134"/>
      <c r="I445" s="156" t="s">
        <v>41</v>
      </c>
      <c r="J445" s="157"/>
      <c r="L445" s="159"/>
      <c r="M445" s="127"/>
      <c r="N445" s="160"/>
      <c r="O445" s="161"/>
      <c r="P445" s="162"/>
      <c r="Q445" s="162"/>
      <c r="R445" s="161"/>
      <c r="S445" s="161"/>
      <c r="T445" s="162"/>
      <c r="U445" s="162"/>
      <c r="V445" s="161"/>
    </row>
    <row r="446" spans="1:22" ht="15" customHeight="1">
      <c r="A446" s="128" t="s">
        <v>933</v>
      </c>
      <c r="B446" s="129"/>
      <c r="C446" s="130"/>
      <c r="D446" s="131" t="s">
        <v>374</v>
      </c>
      <c r="E446" s="132" t="s">
        <v>934</v>
      </c>
      <c r="F446" s="127"/>
      <c r="G446" s="133" t="s">
        <v>374</v>
      </c>
      <c r="H446" s="134"/>
      <c r="I446" s="156" t="s">
        <v>41</v>
      </c>
      <c r="J446" s="157"/>
      <c r="L446" s="159"/>
      <c r="M446" s="127"/>
      <c r="N446" s="160"/>
      <c r="O446" s="161"/>
      <c r="P446" s="162"/>
      <c r="Q446" s="162"/>
      <c r="R446" s="161"/>
      <c r="S446" s="161"/>
      <c r="T446" s="162"/>
      <c r="U446" s="162"/>
      <c r="V446" s="161"/>
    </row>
    <row r="447" spans="1:22" ht="15" customHeight="1">
      <c r="A447" s="128" t="s">
        <v>935</v>
      </c>
      <c r="B447" s="129"/>
      <c r="C447" s="130"/>
      <c r="D447" s="131" t="s">
        <v>374</v>
      </c>
      <c r="E447" s="132" t="s">
        <v>936</v>
      </c>
      <c r="F447" s="127"/>
      <c r="G447" s="133" t="s">
        <v>374</v>
      </c>
      <c r="H447" s="134"/>
      <c r="I447" s="156" t="s">
        <v>41</v>
      </c>
      <c r="J447" s="157"/>
      <c r="L447" s="159"/>
      <c r="M447" s="127"/>
      <c r="N447" s="160"/>
      <c r="O447" s="161"/>
      <c r="P447" s="162"/>
      <c r="Q447" s="162"/>
      <c r="R447" s="161"/>
      <c r="S447" s="161"/>
      <c r="T447" s="162"/>
      <c r="U447" s="162"/>
      <c r="V447" s="161"/>
    </row>
    <row r="448" spans="1:22" ht="15" customHeight="1">
      <c r="A448" s="128" t="s">
        <v>937</v>
      </c>
      <c r="B448" s="129"/>
      <c r="C448" s="130"/>
      <c r="D448" s="131" t="s">
        <v>122</v>
      </c>
      <c r="E448" s="132" t="s">
        <v>938</v>
      </c>
      <c r="F448" s="127"/>
      <c r="G448" s="133" t="s">
        <v>122</v>
      </c>
      <c r="H448" s="134"/>
      <c r="I448" s="156" t="s">
        <v>41</v>
      </c>
      <c r="J448" s="157"/>
      <c r="L448" s="159"/>
      <c r="M448" s="127"/>
      <c r="N448" s="160"/>
      <c r="O448" s="161"/>
      <c r="P448" s="162"/>
      <c r="Q448" s="162"/>
      <c r="R448" s="161"/>
      <c r="S448" s="161"/>
      <c r="T448" s="162"/>
      <c r="U448" s="162"/>
      <c r="V448" s="161"/>
    </row>
    <row r="449" spans="1:22" ht="15" customHeight="1">
      <c r="A449" s="128" t="s">
        <v>939</v>
      </c>
      <c r="B449" s="129"/>
      <c r="C449" s="130"/>
      <c r="D449" s="131" t="s">
        <v>122</v>
      </c>
      <c r="E449" s="132" t="s">
        <v>940</v>
      </c>
      <c r="F449" s="127"/>
      <c r="G449" s="133" t="s">
        <v>122</v>
      </c>
      <c r="H449" s="134"/>
      <c r="I449" s="156" t="s">
        <v>41</v>
      </c>
      <c r="J449" s="157"/>
      <c r="L449" s="159"/>
      <c r="M449" s="127"/>
      <c r="N449" s="160"/>
      <c r="O449" s="161"/>
      <c r="P449" s="162"/>
      <c r="Q449" s="162"/>
      <c r="R449" s="161"/>
      <c r="S449" s="161"/>
      <c r="T449" s="162"/>
      <c r="U449" s="162"/>
      <c r="V449" s="161"/>
    </row>
    <row r="450" spans="1:22" ht="15" customHeight="1">
      <c r="A450" s="128" t="s">
        <v>941</v>
      </c>
      <c r="B450" s="129"/>
      <c r="C450" s="130"/>
      <c r="D450" s="131" t="s">
        <v>122</v>
      </c>
      <c r="E450" s="132" t="s">
        <v>942</v>
      </c>
      <c r="F450" s="127"/>
      <c r="G450" s="133" t="s">
        <v>122</v>
      </c>
      <c r="H450" s="134"/>
      <c r="I450" s="156" t="s">
        <v>41</v>
      </c>
      <c r="J450" s="157"/>
      <c r="L450" s="159"/>
      <c r="M450" s="127"/>
      <c r="N450" s="160"/>
      <c r="O450" s="161"/>
      <c r="P450" s="162"/>
      <c r="Q450" s="162"/>
      <c r="R450" s="161"/>
      <c r="S450" s="161"/>
      <c r="T450" s="162"/>
      <c r="U450" s="162"/>
      <c r="V450" s="161"/>
    </row>
    <row r="451" spans="1:22" ht="15" customHeight="1">
      <c r="A451" s="128" t="s">
        <v>943</v>
      </c>
      <c r="B451" s="129"/>
      <c r="C451" s="130"/>
      <c r="D451" s="131" t="s">
        <v>122</v>
      </c>
      <c r="E451" s="132" t="s">
        <v>944</v>
      </c>
      <c r="F451" s="127"/>
      <c r="G451" s="133" t="s">
        <v>122</v>
      </c>
      <c r="H451" s="134"/>
      <c r="I451" s="156" t="s">
        <v>41</v>
      </c>
      <c r="J451" s="157"/>
      <c r="L451" s="159"/>
      <c r="M451" s="127"/>
      <c r="N451" s="160"/>
      <c r="O451" s="161"/>
      <c r="P451" s="162"/>
      <c r="Q451" s="162"/>
      <c r="R451" s="161"/>
      <c r="S451" s="161"/>
      <c r="T451" s="162"/>
      <c r="U451" s="162"/>
      <c r="V451" s="161"/>
    </row>
    <row r="452" spans="1:22" ht="15" customHeight="1">
      <c r="A452" s="128" t="s">
        <v>945</v>
      </c>
      <c r="B452" s="129"/>
      <c r="C452" s="130"/>
      <c r="D452" s="131" t="s">
        <v>122</v>
      </c>
      <c r="E452" s="132" t="s">
        <v>946</v>
      </c>
      <c r="F452" s="127"/>
      <c r="G452" s="133" t="s">
        <v>122</v>
      </c>
      <c r="H452" s="134"/>
      <c r="I452" s="156" t="s">
        <v>41</v>
      </c>
      <c r="J452" s="157"/>
      <c r="L452" s="159"/>
      <c r="M452" s="127"/>
      <c r="N452" s="160"/>
      <c r="O452" s="161"/>
      <c r="P452" s="162"/>
      <c r="Q452" s="162"/>
      <c r="R452" s="161"/>
      <c r="S452" s="161"/>
      <c r="T452" s="162"/>
      <c r="U452" s="162"/>
      <c r="V452" s="161"/>
    </row>
    <row r="453" spans="1:22" ht="15" customHeight="1">
      <c r="A453" s="128" t="s">
        <v>947</v>
      </c>
      <c r="B453" s="129"/>
      <c r="C453" s="130"/>
      <c r="D453" s="131" t="s">
        <v>122</v>
      </c>
      <c r="E453" s="132" t="s">
        <v>948</v>
      </c>
      <c r="F453" s="127"/>
      <c r="G453" s="133" t="s">
        <v>122</v>
      </c>
      <c r="H453" s="134"/>
      <c r="I453" s="156" t="s">
        <v>41</v>
      </c>
      <c r="J453" s="157"/>
      <c r="L453" s="159"/>
      <c r="M453" s="127"/>
      <c r="N453" s="160"/>
      <c r="O453" s="161"/>
      <c r="P453" s="162"/>
      <c r="Q453" s="162"/>
      <c r="R453" s="161"/>
      <c r="S453" s="161"/>
      <c r="T453" s="162"/>
      <c r="U453" s="162"/>
      <c r="V453" s="161"/>
    </row>
    <row r="454" spans="1:22" ht="15" customHeight="1">
      <c r="A454" s="128" t="s">
        <v>949</v>
      </c>
      <c r="B454" s="129"/>
      <c r="C454" s="130"/>
      <c r="D454" s="131" t="s">
        <v>122</v>
      </c>
      <c r="E454" s="132" t="s">
        <v>950</v>
      </c>
      <c r="F454" s="127"/>
      <c r="G454" s="133" t="s">
        <v>122</v>
      </c>
      <c r="H454" s="134"/>
      <c r="I454" s="156" t="s">
        <v>41</v>
      </c>
      <c r="J454" s="157"/>
      <c r="L454" s="159"/>
      <c r="M454" s="127"/>
      <c r="N454" s="160"/>
      <c r="O454" s="161"/>
      <c r="P454" s="162"/>
      <c r="Q454" s="162"/>
      <c r="R454" s="161"/>
      <c r="S454" s="161"/>
      <c r="T454" s="162"/>
      <c r="U454" s="162"/>
      <c r="V454" s="161"/>
    </row>
    <row r="455" spans="1:22" ht="15" customHeight="1">
      <c r="A455" s="128" t="s">
        <v>951</v>
      </c>
      <c r="B455" s="129"/>
      <c r="C455" s="130"/>
      <c r="D455" s="131" t="s">
        <v>122</v>
      </c>
      <c r="E455" s="132" t="s">
        <v>952</v>
      </c>
      <c r="F455" s="127"/>
      <c r="G455" s="133" t="s">
        <v>122</v>
      </c>
      <c r="H455" s="134"/>
      <c r="I455" s="156" t="s">
        <v>41</v>
      </c>
      <c r="J455" s="157"/>
      <c r="L455" s="159"/>
      <c r="M455" s="127"/>
      <c r="N455" s="160"/>
      <c r="O455" s="161"/>
      <c r="P455" s="162"/>
      <c r="Q455" s="162"/>
      <c r="R455" s="161"/>
      <c r="S455" s="161"/>
      <c r="T455" s="162"/>
      <c r="U455" s="162"/>
      <c r="V455" s="161"/>
    </row>
    <row r="456" spans="1:22" ht="15" customHeight="1">
      <c r="A456" s="128" t="s">
        <v>953</v>
      </c>
      <c r="B456" s="129"/>
      <c r="C456" s="130"/>
      <c r="D456" s="131" t="s">
        <v>122</v>
      </c>
      <c r="E456" s="132" t="s">
        <v>954</v>
      </c>
      <c r="F456" s="127"/>
      <c r="G456" s="133" t="s">
        <v>122</v>
      </c>
      <c r="H456" s="134"/>
      <c r="I456" s="156" t="s">
        <v>41</v>
      </c>
      <c r="J456" s="157"/>
      <c r="L456" s="159"/>
      <c r="M456" s="127"/>
      <c r="N456" s="160"/>
      <c r="O456" s="161"/>
      <c r="P456" s="162"/>
      <c r="Q456" s="162"/>
      <c r="R456" s="161"/>
      <c r="S456" s="161"/>
      <c r="T456" s="162"/>
      <c r="U456" s="162"/>
      <c r="V456" s="161"/>
    </row>
    <row r="457" spans="1:22" ht="15" customHeight="1">
      <c r="A457" s="128" t="s">
        <v>955</v>
      </c>
      <c r="B457" s="129"/>
      <c r="C457" s="130"/>
      <c r="D457" s="131" t="s">
        <v>122</v>
      </c>
      <c r="E457" s="132" t="s">
        <v>956</v>
      </c>
      <c r="F457" s="127"/>
      <c r="G457" s="133" t="s">
        <v>122</v>
      </c>
      <c r="H457" s="134"/>
      <c r="I457" s="156" t="s">
        <v>41</v>
      </c>
      <c r="J457" s="157"/>
      <c r="L457" s="159"/>
      <c r="M457" s="127"/>
      <c r="N457" s="160"/>
      <c r="O457" s="161"/>
      <c r="P457" s="162"/>
      <c r="Q457" s="162"/>
      <c r="R457" s="161"/>
      <c r="S457" s="161"/>
      <c r="T457" s="162"/>
      <c r="U457" s="162"/>
      <c r="V457" s="161"/>
    </row>
    <row r="458" spans="1:22" ht="15" customHeight="1">
      <c r="A458" s="128" t="s">
        <v>957</v>
      </c>
      <c r="B458" s="129"/>
      <c r="C458" s="130"/>
      <c r="D458" s="131" t="s">
        <v>374</v>
      </c>
      <c r="E458" s="132" t="s">
        <v>958</v>
      </c>
      <c r="F458" s="127"/>
      <c r="G458" s="133" t="s">
        <v>374</v>
      </c>
      <c r="H458" s="134"/>
      <c r="I458" s="156" t="s">
        <v>41</v>
      </c>
      <c r="J458" s="157"/>
      <c r="L458" s="159"/>
      <c r="M458" s="127"/>
      <c r="N458" s="160"/>
      <c r="O458" s="161"/>
      <c r="P458" s="162"/>
      <c r="Q458" s="162"/>
      <c r="R458" s="161"/>
      <c r="S458" s="161"/>
      <c r="T458" s="162"/>
      <c r="U458" s="162"/>
      <c r="V458" s="161"/>
    </row>
    <row r="459" spans="1:22" ht="15" customHeight="1">
      <c r="A459" s="128" t="s">
        <v>959</v>
      </c>
      <c r="B459" s="129"/>
      <c r="C459" s="130"/>
      <c r="D459" s="131" t="s">
        <v>374</v>
      </c>
      <c r="E459" s="132" t="s">
        <v>960</v>
      </c>
      <c r="F459" s="127"/>
      <c r="G459" s="133" t="s">
        <v>374</v>
      </c>
      <c r="H459" s="134"/>
      <c r="I459" s="156" t="s">
        <v>41</v>
      </c>
      <c r="J459" s="157"/>
      <c r="L459" s="159"/>
      <c r="M459" s="127"/>
      <c r="N459" s="160"/>
      <c r="O459" s="161"/>
      <c r="P459" s="162"/>
      <c r="Q459" s="162"/>
      <c r="R459" s="161"/>
      <c r="S459" s="161"/>
      <c r="T459" s="162"/>
      <c r="U459" s="162"/>
      <c r="V459" s="161"/>
    </row>
    <row r="460" spans="1:22" ht="15" customHeight="1">
      <c r="A460" s="128" t="s">
        <v>961</v>
      </c>
      <c r="B460" s="129"/>
      <c r="C460" s="130"/>
      <c r="D460" s="131" t="s">
        <v>374</v>
      </c>
      <c r="E460" s="132" t="s">
        <v>962</v>
      </c>
      <c r="F460" s="127"/>
      <c r="G460" s="133" t="s">
        <v>374</v>
      </c>
      <c r="H460" s="134"/>
      <c r="I460" s="156" t="s">
        <v>41</v>
      </c>
      <c r="J460" s="157"/>
      <c r="L460" s="159"/>
      <c r="M460" s="127"/>
      <c r="N460" s="160"/>
      <c r="O460" s="161"/>
      <c r="P460" s="162"/>
      <c r="Q460" s="162"/>
      <c r="R460" s="161"/>
      <c r="S460" s="161"/>
      <c r="T460" s="162"/>
      <c r="U460" s="162"/>
      <c r="V460" s="161"/>
    </row>
    <row r="461" spans="1:22" ht="15" customHeight="1">
      <c r="A461" s="128" t="s">
        <v>963</v>
      </c>
      <c r="B461" s="129"/>
      <c r="C461" s="130"/>
      <c r="D461" s="131" t="s">
        <v>374</v>
      </c>
      <c r="E461" s="132" t="s">
        <v>964</v>
      </c>
      <c r="F461" s="127"/>
      <c r="G461" s="133" t="s">
        <v>374</v>
      </c>
      <c r="H461" s="134"/>
      <c r="I461" s="156" t="s">
        <v>41</v>
      </c>
      <c r="J461" s="157"/>
      <c r="L461" s="159"/>
      <c r="M461" s="127"/>
      <c r="N461" s="160"/>
      <c r="O461" s="161"/>
      <c r="P461" s="162"/>
      <c r="Q461" s="162"/>
      <c r="R461" s="161"/>
      <c r="S461" s="161"/>
      <c r="T461" s="162"/>
      <c r="U461" s="162"/>
      <c r="V461" s="161"/>
    </row>
    <row r="462" spans="1:22" ht="15" customHeight="1">
      <c r="A462" s="128" t="s">
        <v>965</v>
      </c>
      <c r="B462" s="129"/>
      <c r="C462" s="130"/>
      <c r="D462" s="131" t="s">
        <v>374</v>
      </c>
      <c r="E462" s="132" t="s">
        <v>966</v>
      </c>
      <c r="F462" s="127"/>
      <c r="G462" s="133" t="s">
        <v>374</v>
      </c>
      <c r="H462" s="134"/>
      <c r="I462" s="156" t="s">
        <v>41</v>
      </c>
      <c r="J462" s="157"/>
      <c r="L462" s="159"/>
      <c r="M462" s="127"/>
      <c r="N462" s="160"/>
      <c r="O462" s="161"/>
      <c r="P462" s="162"/>
      <c r="Q462" s="162"/>
      <c r="R462" s="161"/>
      <c r="S462" s="161"/>
      <c r="T462" s="162"/>
      <c r="U462" s="162"/>
      <c r="V462" s="161"/>
    </row>
    <row r="463" spans="1:22" ht="15" customHeight="1">
      <c r="A463" s="128" t="s">
        <v>967</v>
      </c>
      <c r="B463" s="129"/>
      <c r="C463" s="130"/>
      <c r="D463" s="131" t="s">
        <v>374</v>
      </c>
      <c r="E463" s="132" t="s">
        <v>968</v>
      </c>
      <c r="F463" s="127"/>
      <c r="G463" s="133" t="s">
        <v>374</v>
      </c>
      <c r="H463" s="134"/>
      <c r="I463" s="156" t="s">
        <v>41</v>
      </c>
      <c r="J463" s="157"/>
      <c r="L463" s="159"/>
      <c r="M463" s="127"/>
      <c r="N463" s="160"/>
      <c r="O463" s="161"/>
      <c r="P463" s="162"/>
      <c r="Q463" s="162"/>
      <c r="R463" s="161"/>
      <c r="S463" s="161"/>
      <c r="T463" s="162"/>
      <c r="U463" s="162"/>
      <c r="V463" s="161"/>
    </row>
    <row r="464" spans="1:22" ht="15" customHeight="1">
      <c r="A464" s="128" t="s">
        <v>969</v>
      </c>
      <c r="B464" s="129"/>
      <c r="C464" s="130"/>
      <c r="D464" s="131" t="s">
        <v>117</v>
      </c>
      <c r="E464" s="132" t="s">
        <v>970</v>
      </c>
      <c r="F464" s="127"/>
      <c r="G464" s="133" t="s">
        <v>117</v>
      </c>
      <c r="H464" s="134"/>
      <c r="I464" s="156" t="s">
        <v>41</v>
      </c>
      <c r="J464" s="157"/>
      <c r="L464" s="159"/>
      <c r="M464" s="127"/>
      <c r="N464" s="160"/>
      <c r="O464" s="161"/>
      <c r="P464" s="162"/>
      <c r="Q464" s="162"/>
      <c r="R464" s="161"/>
      <c r="S464" s="161"/>
      <c r="T464" s="162"/>
      <c r="U464" s="162"/>
      <c r="V464" s="161"/>
    </row>
    <row r="465" spans="1:22" ht="15" customHeight="1">
      <c r="A465" s="128" t="s">
        <v>971</v>
      </c>
      <c r="B465" s="129"/>
      <c r="C465" s="130"/>
      <c r="D465" s="131" t="s">
        <v>112</v>
      </c>
      <c r="E465" s="132" t="s">
        <v>972</v>
      </c>
      <c r="F465" s="127"/>
      <c r="G465" s="133" t="s">
        <v>112</v>
      </c>
      <c r="H465" s="134"/>
      <c r="I465" s="156" t="s">
        <v>41</v>
      </c>
      <c r="J465" s="157"/>
      <c r="L465" s="159"/>
      <c r="M465" s="127"/>
      <c r="N465" s="160"/>
      <c r="O465" s="161"/>
      <c r="P465" s="162"/>
      <c r="Q465" s="162"/>
      <c r="R465" s="161"/>
      <c r="S465" s="161"/>
      <c r="T465" s="162"/>
      <c r="U465" s="162"/>
      <c r="V465" s="161"/>
    </row>
    <row r="466" spans="1:22" ht="15" customHeight="1">
      <c r="A466" s="128" t="s">
        <v>973</v>
      </c>
      <c r="B466" s="129"/>
      <c r="C466" s="130"/>
      <c r="D466" s="131" t="s">
        <v>122</v>
      </c>
      <c r="E466" s="132" t="s">
        <v>974</v>
      </c>
      <c r="F466" s="127"/>
      <c r="G466" s="133" t="s">
        <v>122</v>
      </c>
      <c r="H466" s="134"/>
      <c r="I466" s="156" t="s">
        <v>43</v>
      </c>
      <c r="J466" s="157" t="s">
        <v>1382</v>
      </c>
      <c r="L466" s="159"/>
      <c r="M466" s="127"/>
      <c r="N466" s="160"/>
      <c r="O466" s="161"/>
      <c r="P466" s="162"/>
      <c r="Q466" s="162"/>
      <c r="R466" s="161"/>
      <c r="S466" s="161"/>
      <c r="T466" s="162"/>
      <c r="U466" s="162"/>
      <c r="V466" s="161"/>
    </row>
    <row r="467" spans="1:22" ht="15" customHeight="1">
      <c r="A467" s="128" t="s">
        <v>975</v>
      </c>
      <c r="B467" s="129"/>
      <c r="C467" s="130"/>
      <c r="D467" s="131" t="s">
        <v>122</v>
      </c>
      <c r="E467" s="132" t="s">
        <v>976</v>
      </c>
      <c r="F467" s="127"/>
      <c r="G467" s="133" t="s">
        <v>122</v>
      </c>
      <c r="H467" s="134"/>
      <c r="I467" s="156" t="s">
        <v>41</v>
      </c>
      <c r="J467" s="157"/>
      <c r="L467" s="159"/>
      <c r="M467" s="127"/>
      <c r="N467" s="160"/>
      <c r="O467" s="161"/>
      <c r="P467" s="162"/>
      <c r="Q467" s="162"/>
      <c r="R467" s="161"/>
      <c r="S467" s="161"/>
      <c r="T467" s="162"/>
      <c r="U467" s="162"/>
      <c r="V467" s="161"/>
    </row>
    <row r="468" spans="1:22" ht="15" customHeight="1">
      <c r="A468" s="128" t="s">
        <v>977</v>
      </c>
      <c r="B468" s="129"/>
      <c r="C468" s="130"/>
      <c r="D468" s="131" t="s">
        <v>117</v>
      </c>
      <c r="E468" s="132" t="s">
        <v>978</v>
      </c>
      <c r="F468" s="127"/>
      <c r="G468" s="133" t="s">
        <v>117</v>
      </c>
      <c r="H468" s="134"/>
      <c r="I468" s="156" t="s">
        <v>41</v>
      </c>
      <c r="J468" s="157"/>
      <c r="L468" s="159"/>
      <c r="M468" s="127"/>
      <c r="N468" s="160"/>
      <c r="O468" s="161"/>
      <c r="P468" s="162"/>
      <c r="Q468" s="162"/>
      <c r="R468" s="161"/>
      <c r="S468" s="161"/>
      <c r="T468" s="162"/>
      <c r="U468" s="162"/>
      <c r="V468" s="161"/>
    </row>
    <row r="469" spans="1:22" ht="15" customHeight="1">
      <c r="A469" s="128" t="s">
        <v>979</v>
      </c>
      <c r="B469" s="129"/>
      <c r="C469" s="130"/>
      <c r="D469" s="131" t="s">
        <v>122</v>
      </c>
      <c r="E469" s="132" t="s">
        <v>980</v>
      </c>
      <c r="F469" s="127"/>
      <c r="G469" s="133" t="s">
        <v>122</v>
      </c>
      <c r="H469" s="134"/>
      <c r="I469" s="156" t="s">
        <v>43</v>
      </c>
      <c r="J469" s="157" t="s">
        <v>1382</v>
      </c>
      <c r="L469" s="159"/>
      <c r="M469" s="127"/>
      <c r="N469" s="160"/>
      <c r="O469" s="161"/>
      <c r="P469" s="162"/>
      <c r="Q469" s="162"/>
      <c r="R469" s="161"/>
      <c r="S469" s="161"/>
      <c r="T469" s="162"/>
      <c r="U469" s="162"/>
      <c r="V469" s="161"/>
    </row>
    <row r="470" spans="1:22" ht="15" customHeight="1">
      <c r="A470" s="128" t="s">
        <v>981</v>
      </c>
      <c r="B470" s="129"/>
      <c r="C470" s="130"/>
      <c r="D470" s="131" t="s">
        <v>122</v>
      </c>
      <c r="E470" s="132" t="s">
        <v>982</v>
      </c>
      <c r="F470" s="127"/>
      <c r="G470" s="133" t="s">
        <v>122</v>
      </c>
      <c r="H470" s="134"/>
      <c r="I470" s="156" t="s">
        <v>43</v>
      </c>
      <c r="J470" s="157" t="s">
        <v>1382</v>
      </c>
      <c r="L470" s="159"/>
      <c r="M470" s="127"/>
      <c r="N470" s="160"/>
      <c r="O470" s="161"/>
      <c r="P470" s="162"/>
      <c r="Q470" s="162"/>
      <c r="R470" s="161"/>
      <c r="S470" s="161"/>
      <c r="T470" s="162"/>
      <c r="U470" s="162"/>
      <c r="V470" s="161"/>
    </row>
    <row r="471" spans="1:22" ht="15" customHeight="1">
      <c r="A471" s="128" t="s">
        <v>983</v>
      </c>
      <c r="B471" s="129"/>
      <c r="C471" s="130"/>
      <c r="D471" s="131" t="s">
        <v>117</v>
      </c>
      <c r="E471" s="132" t="s">
        <v>984</v>
      </c>
      <c r="F471" s="127"/>
      <c r="G471" s="133" t="s">
        <v>117</v>
      </c>
      <c r="H471" s="134"/>
      <c r="I471" s="156" t="s">
        <v>41</v>
      </c>
      <c r="J471" s="157"/>
      <c r="L471" s="159"/>
      <c r="M471" s="127"/>
      <c r="N471" s="160"/>
      <c r="O471" s="161"/>
      <c r="P471" s="162"/>
      <c r="Q471" s="162"/>
      <c r="R471" s="161"/>
      <c r="S471" s="161"/>
      <c r="T471" s="162"/>
      <c r="U471" s="162"/>
      <c r="V471" s="161"/>
    </row>
    <row r="472" spans="1:22" ht="15" customHeight="1">
      <c r="A472" s="128" t="s">
        <v>985</v>
      </c>
      <c r="B472" s="129"/>
      <c r="C472" s="130"/>
      <c r="D472" s="131" t="s">
        <v>117</v>
      </c>
      <c r="E472" s="132" t="s">
        <v>986</v>
      </c>
      <c r="F472" s="127"/>
      <c r="G472" s="133" t="s">
        <v>117</v>
      </c>
      <c r="H472" s="134"/>
      <c r="I472" s="156" t="s">
        <v>41</v>
      </c>
      <c r="J472" s="157"/>
      <c r="L472" s="159"/>
      <c r="M472" s="127"/>
      <c r="N472" s="160"/>
      <c r="O472" s="161"/>
      <c r="P472" s="162"/>
      <c r="Q472" s="162"/>
      <c r="R472" s="161"/>
      <c r="S472" s="161"/>
      <c r="T472" s="162"/>
      <c r="U472" s="162"/>
      <c r="V472" s="161"/>
    </row>
    <row r="473" spans="1:22" ht="15" customHeight="1">
      <c r="A473" s="128" t="s">
        <v>987</v>
      </c>
      <c r="B473" s="129"/>
      <c r="C473" s="130"/>
      <c r="D473" s="131" t="s">
        <v>122</v>
      </c>
      <c r="E473" s="132" t="s">
        <v>988</v>
      </c>
      <c r="F473" s="127"/>
      <c r="G473" s="133" t="s">
        <v>122</v>
      </c>
      <c r="H473" s="134"/>
      <c r="I473" s="156" t="s">
        <v>43</v>
      </c>
      <c r="J473" s="157" t="s">
        <v>1382</v>
      </c>
      <c r="L473" s="159"/>
      <c r="M473" s="127"/>
      <c r="N473" s="160"/>
      <c r="O473" s="161"/>
      <c r="P473" s="162"/>
      <c r="Q473" s="162"/>
      <c r="R473" s="161"/>
      <c r="S473" s="161"/>
      <c r="T473" s="162"/>
      <c r="U473" s="162"/>
      <c r="V473" s="161"/>
    </row>
    <row r="474" spans="1:22" ht="15" customHeight="1">
      <c r="A474" s="128" t="s">
        <v>989</v>
      </c>
      <c r="B474" s="129"/>
      <c r="C474" s="130"/>
      <c r="D474" s="131" t="s">
        <v>112</v>
      </c>
      <c r="E474" s="132" t="s">
        <v>990</v>
      </c>
      <c r="F474" s="127"/>
      <c r="G474" s="133" t="s">
        <v>112</v>
      </c>
      <c r="H474" s="134"/>
      <c r="I474" s="156" t="s">
        <v>41</v>
      </c>
      <c r="J474" s="157"/>
      <c r="L474" s="159"/>
      <c r="M474" s="127"/>
      <c r="N474" s="160"/>
      <c r="O474" s="161"/>
      <c r="P474" s="162"/>
      <c r="Q474" s="162"/>
      <c r="R474" s="161"/>
      <c r="S474" s="161"/>
      <c r="T474" s="162"/>
      <c r="U474" s="162"/>
      <c r="V474" s="161"/>
    </row>
    <row r="475" spans="1:22" ht="15" hidden="1" customHeight="1">
      <c r="A475" s="128" t="s">
        <v>991</v>
      </c>
      <c r="B475" s="129"/>
      <c r="C475" s="130"/>
      <c r="D475" s="131" t="s">
        <v>112</v>
      </c>
      <c r="E475" s="132" t="s">
        <v>992</v>
      </c>
      <c r="F475" s="127"/>
      <c r="G475" s="133" t="s">
        <v>45</v>
      </c>
      <c r="H475" s="134"/>
      <c r="I475" s="157"/>
      <c r="J475" s="158"/>
      <c r="L475" s="159"/>
      <c r="M475" s="127"/>
      <c r="N475" s="160"/>
      <c r="O475" s="161"/>
      <c r="P475" s="162"/>
      <c r="Q475" s="162"/>
      <c r="R475" s="161"/>
      <c r="S475" s="161"/>
      <c r="T475" s="162"/>
      <c r="U475" s="162"/>
      <c r="V475" s="161"/>
    </row>
    <row r="476" spans="1:22" ht="15" customHeight="1">
      <c r="A476" s="128" t="s">
        <v>993</v>
      </c>
      <c r="B476" s="129"/>
      <c r="C476" s="130"/>
      <c r="D476" s="131" t="s">
        <v>112</v>
      </c>
      <c r="E476" s="132" t="s">
        <v>994</v>
      </c>
      <c r="F476" s="127"/>
      <c r="G476" s="133" t="s">
        <v>112</v>
      </c>
      <c r="H476" s="134"/>
      <c r="I476" s="156" t="s">
        <v>41</v>
      </c>
      <c r="J476" s="157"/>
      <c r="L476" s="159"/>
      <c r="M476" s="127"/>
      <c r="N476" s="160"/>
      <c r="O476" s="161"/>
      <c r="P476" s="162"/>
      <c r="Q476" s="162"/>
      <c r="R476" s="161"/>
      <c r="S476" s="161"/>
      <c r="T476" s="162"/>
      <c r="U476" s="162"/>
      <c r="V476" s="161"/>
    </row>
    <row r="477" spans="1:22" ht="15" customHeight="1">
      <c r="A477" s="128" t="s">
        <v>995</v>
      </c>
      <c r="B477" s="129"/>
      <c r="C477" s="130"/>
      <c r="D477" s="131" t="s">
        <v>122</v>
      </c>
      <c r="E477" s="132" t="s">
        <v>996</v>
      </c>
      <c r="F477" s="127"/>
      <c r="G477" s="133" t="s">
        <v>122</v>
      </c>
      <c r="H477" s="134"/>
      <c r="I477" s="156" t="s">
        <v>41</v>
      </c>
      <c r="J477" s="157"/>
      <c r="L477" s="159"/>
      <c r="M477" s="127"/>
      <c r="N477" s="160"/>
      <c r="O477" s="161"/>
      <c r="P477" s="162"/>
      <c r="Q477" s="162"/>
      <c r="R477" s="161"/>
      <c r="S477" s="161"/>
      <c r="T477" s="162"/>
      <c r="U477" s="162"/>
      <c r="V477" s="161"/>
    </row>
    <row r="478" spans="1:22" ht="15" customHeight="1">
      <c r="A478" s="128" t="s">
        <v>997</v>
      </c>
      <c r="B478" s="129"/>
      <c r="C478" s="130"/>
      <c r="D478" s="131" t="s">
        <v>117</v>
      </c>
      <c r="E478" s="132" t="s">
        <v>998</v>
      </c>
      <c r="F478" s="127"/>
      <c r="G478" s="133" t="s">
        <v>117</v>
      </c>
      <c r="H478" s="134"/>
      <c r="I478" s="156" t="s">
        <v>41</v>
      </c>
      <c r="J478" s="157"/>
      <c r="L478" s="159"/>
      <c r="M478" s="127"/>
      <c r="N478" s="160"/>
      <c r="O478" s="161"/>
      <c r="P478" s="162"/>
      <c r="Q478" s="162"/>
      <c r="R478" s="161"/>
      <c r="S478" s="161"/>
      <c r="T478" s="162"/>
      <c r="U478" s="162"/>
      <c r="V478" s="161"/>
    </row>
    <row r="479" spans="1:22" ht="15" customHeight="1">
      <c r="A479" s="128" t="s">
        <v>999</v>
      </c>
      <c r="B479" s="129"/>
      <c r="C479" s="130"/>
      <c r="D479" s="131" t="s">
        <v>112</v>
      </c>
      <c r="E479" s="132" t="s">
        <v>1000</v>
      </c>
      <c r="F479" s="127"/>
      <c r="G479" s="133" t="s">
        <v>112</v>
      </c>
      <c r="H479" s="134"/>
      <c r="I479" s="156" t="s">
        <v>41</v>
      </c>
      <c r="J479" s="157"/>
      <c r="L479" s="159"/>
      <c r="M479" s="127"/>
      <c r="N479" s="160"/>
      <c r="O479" s="161"/>
      <c r="P479" s="162"/>
      <c r="Q479" s="162"/>
      <c r="R479" s="161"/>
      <c r="S479" s="161"/>
      <c r="T479" s="162"/>
      <c r="U479" s="162"/>
      <c r="V479" s="161"/>
    </row>
    <row r="480" spans="1:22" ht="15" customHeight="1">
      <c r="A480" s="128" t="s">
        <v>1001</v>
      </c>
      <c r="B480" s="129"/>
      <c r="C480" s="130"/>
      <c r="D480" s="131" t="s">
        <v>112</v>
      </c>
      <c r="E480" s="132" t="s">
        <v>1002</v>
      </c>
      <c r="F480" s="127"/>
      <c r="G480" s="133" t="s">
        <v>112</v>
      </c>
      <c r="H480" s="134"/>
      <c r="I480" s="156" t="s">
        <v>41</v>
      </c>
      <c r="J480" s="157"/>
      <c r="L480" s="159"/>
      <c r="M480" s="127"/>
      <c r="N480" s="160"/>
      <c r="O480" s="161"/>
      <c r="P480" s="162"/>
      <c r="Q480" s="162"/>
      <c r="R480" s="161"/>
      <c r="S480" s="161"/>
      <c r="T480" s="162"/>
      <c r="U480" s="162"/>
      <c r="V480" s="161"/>
    </row>
    <row r="481" spans="1:22" ht="15" customHeight="1">
      <c r="A481" s="128" t="s">
        <v>1003</v>
      </c>
      <c r="B481" s="129"/>
      <c r="C481" s="130"/>
      <c r="D481" s="131" t="s">
        <v>122</v>
      </c>
      <c r="E481" s="132" t="s">
        <v>1004</v>
      </c>
      <c r="F481" s="127"/>
      <c r="G481" s="133" t="s">
        <v>122</v>
      </c>
      <c r="H481" s="134"/>
      <c r="I481" s="156" t="s">
        <v>41</v>
      </c>
      <c r="J481" s="157"/>
      <c r="L481" s="159"/>
      <c r="M481" s="127"/>
      <c r="N481" s="160"/>
      <c r="O481" s="161"/>
      <c r="P481" s="162"/>
      <c r="Q481" s="162"/>
      <c r="R481" s="161"/>
      <c r="S481" s="161"/>
      <c r="T481" s="162"/>
      <c r="U481" s="162"/>
      <c r="V481" s="161"/>
    </row>
    <row r="482" spans="1:22" ht="15" hidden="1" customHeight="1">
      <c r="A482" s="128" t="s">
        <v>1005</v>
      </c>
      <c r="B482" s="129"/>
      <c r="C482" s="130"/>
      <c r="D482" s="131" t="s">
        <v>205</v>
      </c>
      <c r="E482" s="132" t="s">
        <v>1006</v>
      </c>
      <c r="F482" s="127"/>
      <c r="G482" s="133" t="s">
        <v>45</v>
      </c>
      <c r="H482" s="134"/>
      <c r="I482" s="156"/>
      <c r="J482" s="157"/>
      <c r="K482" s="158"/>
      <c r="L482" s="159"/>
      <c r="M482" s="127"/>
      <c r="N482" s="160"/>
      <c r="O482" s="161"/>
      <c r="P482" s="162"/>
      <c r="Q482" s="162"/>
      <c r="R482" s="161"/>
      <c r="S482" s="161"/>
      <c r="T482" s="162"/>
      <c r="U482" s="162"/>
      <c r="V482" s="161"/>
    </row>
    <row r="483" spans="1:22" ht="15" hidden="1" customHeight="1">
      <c r="A483" s="128" t="s">
        <v>1007</v>
      </c>
      <c r="B483" s="129"/>
      <c r="C483" s="130"/>
      <c r="D483" s="131" t="s">
        <v>333</v>
      </c>
      <c r="E483" s="132" t="s">
        <v>1008</v>
      </c>
      <c r="F483" s="127"/>
      <c r="G483" s="133" t="s">
        <v>45</v>
      </c>
      <c r="H483" s="134"/>
      <c r="I483" s="156"/>
      <c r="J483" s="157"/>
      <c r="K483" s="158"/>
      <c r="L483" s="159"/>
      <c r="M483" s="127"/>
      <c r="N483" s="160"/>
      <c r="O483" s="161"/>
      <c r="P483" s="162"/>
      <c r="Q483" s="162"/>
      <c r="R483" s="161"/>
      <c r="S483" s="161"/>
      <c r="T483" s="162"/>
      <c r="U483" s="162"/>
      <c r="V483" s="161"/>
    </row>
    <row r="484" spans="1:22" ht="15" hidden="1" customHeight="1">
      <c r="A484" s="128" t="s">
        <v>1009</v>
      </c>
      <c r="B484" s="129"/>
      <c r="C484" s="130"/>
      <c r="D484" s="131" t="s">
        <v>125</v>
      </c>
      <c r="E484" s="132" t="s">
        <v>1010</v>
      </c>
      <c r="F484" s="127"/>
      <c r="G484" s="133" t="s">
        <v>45</v>
      </c>
      <c r="H484" s="134"/>
      <c r="I484" s="156"/>
      <c r="J484" s="157"/>
      <c r="K484" s="158"/>
      <c r="L484" s="159"/>
      <c r="M484" s="127"/>
      <c r="N484" s="160"/>
      <c r="O484" s="161"/>
      <c r="P484" s="162"/>
      <c r="Q484" s="162"/>
      <c r="R484" s="161"/>
      <c r="S484" s="161"/>
      <c r="T484" s="162"/>
      <c r="U484" s="162"/>
      <c r="V484" s="161"/>
    </row>
    <row r="485" spans="1:22" ht="15" hidden="1" customHeight="1">
      <c r="A485" s="128" t="s">
        <v>1011</v>
      </c>
      <c r="B485" s="129"/>
      <c r="C485" s="130"/>
      <c r="D485" s="131" t="s">
        <v>205</v>
      </c>
      <c r="E485" s="132" t="s">
        <v>1012</v>
      </c>
      <c r="F485" s="127"/>
      <c r="G485" s="133" t="s">
        <v>45</v>
      </c>
      <c r="H485" s="134"/>
      <c r="I485" s="156"/>
      <c r="J485" s="157"/>
      <c r="K485" s="158"/>
      <c r="L485" s="159"/>
      <c r="M485" s="127"/>
      <c r="N485" s="160"/>
      <c r="O485" s="161"/>
      <c r="P485" s="162"/>
      <c r="Q485" s="162"/>
      <c r="R485" s="161"/>
      <c r="S485" s="161"/>
      <c r="T485" s="162"/>
      <c r="U485" s="162"/>
      <c r="V485" s="161"/>
    </row>
    <row r="486" spans="1:22" ht="15" hidden="1" customHeight="1">
      <c r="A486" s="128" t="s">
        <v>1013</v>
      </c>
      <c r="B486" s="129"/>
      <c r="C486" s="130"/>
      <c r="D486" s="131" t="s">
        <v>205</v>
      </c>
      <c r="E486" s="132" t="s">
        <v>1014</v>
      </c>
      <c r="F486" s="127"/>
      <c r="G486" s="133" t="s">
        <v>45</v>
      </c>
      <c r="H486" s="134"/>
      <c r="I486" s="156"/>
      <c r="J486" s="157"/>
      <c r="K486" s="158"/>
      <c r="L486" s="159"/>
      <c r="M486" s="127"/>
      <c r="N486" s="160"/>
      <c r="O486" s="161"/>
      <c r="P486" s="162"/>
      <c r="Q486" s="162"/>
      <c r="R486" s="161"/>
      <c r="S486" s="161"/>
      <c r="T486" s="162"/>
      <c r="U486" s="162"/>
      <c r="V486" s="161"/>
    </row>
    <row r="487" spans="1:22" ht="15" hidden="1" customHeight="1">
      <c r="A487" s="128" t="s">
        <v>1015</v>
      </c>
      <c r="B487" s="129"/>
      <c r="C487" s="130"/>
      <c r="D487" s="131" t="s">
        <v>333</v>
      </c>
      <c r="E487" s="132" t="s">
        <v>1016</v>
      </c>
      <c r="F487" s="127"/>
      <c r="G487" s="133" t="s">
        <v>45</v>
      </c>
      <c r="H487" s="134"/>
      <c r="I487" s="156"/>
      <c r="J487" s="157"/>
      <c r="K487" s="158"/>
      <c r="L487" s="159"/>
      <c r="M487" s="127"/>
      <c r="N487" s="160"/>
      <c r="O487" s="161"/>
      <c r="P487" s="162"/>
      <c r="Q487" s="162"/>
      <c r="R487" s="161"/>
      <c r="S487" s="161"/>
      <c r="T487" s="162"/>
      <c r="U487" s="162"/>
      <c r="V487" s="161"/>
    </row>
    <row r="488" spans="1:22" ht="15" hidden="1" customHeight="1">
      <c r="A488" s="128" t="s">
        <v>1017</v>
      </c>
      <c r="B488" s="129"/>
      <c r="C488" s="130"/>
      <c r="D488" s="131" t="s">
        <v>333</v>
      </c>
      <c r="E488" s="132" t="s">
        <v>1018</v>
      </c>
      <c r="F488" s="127"/>
      <c r="G488" s="133" t="s">
        <v>45</v>
      </c>
      <c r="H488" s="134"/>
      <c r="I488" s="156"/>
      <c r="J488" s="157"/>
      <c r="K488" s="158"/>
      <c r="L488" s="159"/>
      <c r="M488" s="127"/>
      <c r="N488" s="160"/>
      <c r="O488" s="161"/>
      <c r="P488" s="162"/>
      <c r="Q488" s="162"/>
      <c r="R488" s="161"/>
      <c r="S488" s="161"/>
      <c r="T488" s="162"/>
      <c r="U488" s="162"/>
      <c r="V488" s="161"/>
    </row>
    <row r="489" spans="1:22" ht="15" hidden="1" customHeight="1">
      <c r="A489" s="128" t="s">
        <v>1019</v>
      </c>
      <c r="B489" s="129"/>
      <c r="C489" s="130"/>
      <c r="D489" s="131" t="s">
        <v>333</v>
      </c>
      <c r="E489" s="132" t="s">
        <v>1020</v>
      </c>
      <c r="F489" s="127"/>
      <c r="G489" s="133" t="s">
        <v>45</v>
      </c>
      <c r="H489" s="134"/>
      <c r="I489" s="156"/>
      <c r="J489" s="157"/>
      <c r="K489" s="158"/>
      <c r="L489" s="159"/>
      <c r="M489" s="127"/>
      <c r="N489" s="160"/>
      <c r="O489" s="161"/>
      <c r="P489" s="162"/>
      <c r="Q489" s="162"/>
      <c r="R489" s="161"/>
      <c r="S489" s="161"/>
      <c r="T489" s="162"/>
      <c r="U489" s="162"/>
      <c r="V489" s="161"/>
    </row>
    <row r="490" spans="1:22" ht="15" hidden="1" customHeight="1">
      <c r="A490" s="128" t="s">
        <v>1021</v>
      </c>
      <c r="B490" s="129"/>
      <c r="C490" s="130"/>
      <c r="D490" s="131" t="s">
        <v>130</v>
      </c>
      <c r="E490" s="132" t="s">
        <v>1022</v>
      </c>
      <c r="F490" s="127"/>
      <c r="G490" s="133" t="s">
        <v>45</v>
      </c>
      <c r="H490" s="134"/>
      <c r="I490" s="156"/>
      <c r="J490" s="157"/>
      <c r="K490" s="158"/>
      <c r="L490" s="159"/>
      <c r="M490" s="127"/>
      <c r="N490" s="160"/>
      <c r="O490" s="161"/>
      <c r="P490" s="162"/>
      <c r="Q490" s="162"/>
      <c r="R490" s="161"/>
      <c r="S490" s="161"/>
      <c r="T490" s="162"/>
      <c r="U490" s="162"/>
      <c r="V490" s="161"/>
    </row>
    <row r="491" spans="1:22" ht="15" hidden="1" customHeight="1">
      <c r="A491" s="128" t="s">
        <v>1023</v>
      </c>
      <c r="B491" s="129"/>
      <c r="C491" s="130"/>
      <c r="D491" s="131" t="s">
        <v>1024</v>
      </c>
      <c r="E491" s="132" t="s">
        <v>1025</v>
      </c>
      <c r="F491" s="127"/>
      <c r="G491" s="133" t="s">
        <v>45</v>
      </c>
      <c r="H491" s="134"/>
      <c r="I491" s="156"/>
      <c r="J491" s="157"/>
      <c r="K491" s="158"/>
      <c r="L491" s="159"/>
      <c r="M491" s="127"/>
      <c r="N491" s="160"/>
      <c r="O491" s="161"/>
      <c r="P491" s="162"/>
      <c r="Q491" s="162"/>
      <c r="R491" s="161"/>
      <c r="S491" s="161"/>
      <c r="T491" s="162"/>
      <c r="U491" s="162"/>
      <c r="V491" s="161"/>
    </row>
    <row r="492" spans="1:22" ht="15" hidden="1" customHeight="1">
      <c r="A492" s="128" t="s">
        <v>1026</v>
      </c>
      <c r="B492" s="129"/>
      <c r="C492" s="130"/>
      <c r="D492" s="131" t="s">
        <v>1024</v>
      </c>
      <c r="E492" s="132" t="s">
        <v>1027</v>
      </c>
      <c r="F492" s="127"/>
      <c r="G492" s="133" t="s">
        <v>45</v>
      </c>
      <c r="H492" s="134"/>
      <c r="I492" s="156"/>
      <c r="J492" s="157"/>
      <c r="K492" s="158"/>
      <c r="L492" s="159"/>
      <c r="M492" s="127"/>
      <c r="N492" s="160"/>
      <c r="O492" s="161"/>
      <c r="P492" s="162"/>
      <c r="Q492" s="162"/>
      <c r="R492" s="161"/>
      <c r="S492" s="161"/>
      <c r="T492" s="162"/>
      <c r="U492" s="162"/>
      <c r="V492" s="161"/>
    </row>
    <row r="493" spans="1:22" ht="15" hidden="1" customHeight="1">
      <c r="A493" s="128" t="s">
        <v>1028</v>
      </c>
      <c r="B493" s="129"/>
      <c r="C493" s="130"/>
      <c r="D493" s="131" t="s">
        <v>205</v>
      </c>
      <c r="E493" s="132" t="s">
        <v>1029</v>
      </c>
      <c r="F493" s="127"/>
      <c r="G493" s="133" t="s">
        <v>45</v>
      </c>
      <c r="H493" s="134"/>
      <c r="I493" s="156"/>
      <c r="J493" s="157"/>
      <c r="K493" s="158"/>
      <c r="L493" s="159"/>
      <c r="M493" s="127"/>
      <c r="N493" s="160"/>
      <c r="O493" s="161"/>
      <c r="P493" s="162"/>
      <c r="Q493" s="162"/>
      <c r="R493" s="161"/>
      <c r="S493" s="161"/>
      <c r="T493" s="162"/>
      <c r="U493" s="162"/>
      <c r="V493" s="161"/>
    </row>
    <row r="494" spans="1:22" ht="15" hidden="1" customHeight="1">
      <c r="A494" s="128" t="s">
        <v>1030</v>
      </c>
      <c r="B494" s="129"/>
      <c r="C494" s="130"/>
      <c r="D494" s="131" t="s">
        <v>205</v>
      </c>
      <c r="E494" s="132" t="s">
        <v>1031</v>
      </c>
      <c r="F494" s="127"/>
      <c r="G494" s="133" t="s">
        <v>45</v>
      </c>
      <c r="H494" s="134"/>
      <c r="I494" s="156"/>
      <c r="J494" s="157"/>
      <c r="K494" s="158"/>
      <c r="L494" s="159"/>
      <c r="M494" s="127"/>
      <c r="N494" s="160"/>
      <c r="O494" s="161"/>
      <c r="P494" s="162"/>
      <c r="Q494" s="162"/>
      <c r="R494" s="161"/>
      <c r="S494" s="161"/>
      <c r="T494" s="162"/>
      <c r="U494" s="162"/>
      <c r="V494" s="161"/>
    </row>
    <row r="495" spans="1:22" ht="15" hidden="1" customHeight="1">
      <c r="A495" s="128" t="s">
        <v>1032</v>
      </c>
      <c r="B495" s="129"/>
      <c r="C495" s="130"/>
      <c r="D495" s="131" t="s">
        <v>205</v>
      </c>
      <c r="E495" s="132" t="s">
        <v>1033</v>
      </c>
      <c r="F495" s="127"/>
      <c r="G495" s="133" t="s">
        <v>45</v>
      </c>
      <c r="H495" s="134"/>
      <c r="I495" s="156"/>
      <c r="J495" s="157"/>
      <c r="K495" s="158"/>
      <c r="L495" s="159"/>
      <c r="M495" s="127"/>
      <c r="N495" s="160"/>
      <c r="O495" s="161"/>
      <c r="P495" s="162"/>
      <c r="Q495" s="162"/>
      <c r="R495" s="161"/>
      <c r="S495" s="161"/>
      <c r="T495" s="162"/>
      <c r="U495" s="162"/>
      <c r="V495" s="161"/>
    </row>
    <row r="496" spans="1:22" ht="15" hidden="1" customHeight="1">
      <c r="A496" s="128" t="s">
        <v>1034</v>
      </c>
      <c r="B496" s="129"/>
      <c r="C496" s="130"/>
      <c r="D496" s="131" t="s">
        <v>125</v>
      </c>
      <c r="E496" s="132" t="s">
        <v>1035</v>
      </c>
      <c r="F496" s="127"/>
      <c r="G496" s="133" t="s">
        <v>45</v>
      </c>
      <c r="H496" s="134"/>
      <c r="I496" s="156"/>
      <c r="J496" s="157"/>
      <c r="K496" s="158"/>
      <c r="L496" s="159"/>
      <c r="M496" s="127"/>
      <c r="N496" s="160"/>
      <c r="O496" s="161"/>
      <c r="P496" s="162"/>
      <c r="Q496" s="162"/>
      <c r="R496" s="161"/>
      <c r="S496" s="161"/>
      <c r="T496" s="162"/>
      <c r="U496" s="162"/>
      <c r="V496" s="161"/>
    </row>
    <row r="497" spans="1:22" ht="15" hidden="1" customHeight="1">
      <c r="A497" s="128" t="s">
        <v>1036</v>
      </c>
      <c r="B497" s="129"/>
      <c r="C497" s="130"/>
      <c r="D497" s="131" t="s">
        <v>205</v>
      </c>
      <c r="E497" s="132" t="s">
        <v>1037</v>
      </c>
      <c r="F497" s="127"/>
      <c r="G497" s="133" t="s">
        <v>45</v>
      </c>
      <c r="H497" s="134"/>
      <c r="I497" s="156"/>
      <c r="J497" s="157"/>
      <c r="K497" s="158"/>
      <c r="L497" s="159"/>
      <c r="M497" s="127"/>
      <c r="N497" s="160"/>
      <c r="O497" s="161"/>
      <c r="P497" s="162"/>
      <c r="Q497" s="162"/>
      <c r="R497" s="161"/>
      <c r="S497" s="161"/>
      <c r="T497" s="162"/>
      <c r="U497" s="162"/>
      <c r="V497" s="161"/>
    </row>
    <row r="498" spans="1:22" ht="15" hidden="1" customHeight="1">
      <c r="A498" s="128" t="s">
        <v>1038</v>
      </c>
      <c r="B498" s="129"/>
      <c r="C498" s="130"/>
      <c r="D498" s="131" t="s">
        <v>205</v>
      </c>
      <c r="E498" s="132" t="s">
        <v>1039</v>
      </c>
      <c r="F498" s="127"/>
      <c r="G498" s="133" t="s">
        <v>45</v>
      </c>
      <c r="H498" s="134"/>
      <c r="I498" s="156"/>
      <c r="J498" s="157"/>
      <c r="K498" s="158"/>
      <c r="L498" s="159"/>
      <c r="M498" s="127"/>
      <c r="N498" s="160"/>
      <c r="O498" s="161"/>
      <c r="P498" s="162"/>
      <c r="Q498" s="162"/>
      <c r="R498" s="161"/>
      <c r="S498" s="161"/>
      <c r="T498" s="162"/>
      <c r="U498" s="162"/>
      <c r="V498" s="161"/>
    </row>
    <row r="499" spans="1:22" ht="15" hidden="1" customHeight="1">
      <c r="A499" s="128" t="s">
        <v>1040</v>
      </c>
      <c r="B499" s="129"/>
      <c r="C499" s="130"/>
      <c r="D499" s="131" t="s">
        <v>130</v>
      </c>
      <c r="E499" s="132" t="s">
        <v>1041</v>
      </c>
      <c r="F499" s="127"/>
      <c r="G499" s="133" t="s">
        <v>45</v>
      </c>
      <c r="H499" s="134"/>
      <c r="I499" s="156"/>
      <c r="J499" s="157"/>
      <c r="K499" s="158"/>
      <c r="L499" s="159"/>
      <c r="M499" s="127"/>
      <c r="N499" s="160"/>
      <c r="O499" s="161"/>
      <c r="P499" s="162"/>
      <c r="Q499" s="162"/>
      <c r="R499" s="161"/>
      <c r="S499" s="161"/>
      <c r="T499" s="162"/>
      <c r="U499" s="162"/>
      <c r="V499" s="161"/>
    </row>
    <row r="500" spans="1:22" ht="15" hidden="1" customHeight="1">
      <c r="A500" s="128" t="s">
        <v>1042</v>
      </c>
      <c r="B500" s="129"/>
      <c r="C500" s="130"/>
      <c r="D500" s="131" t="s">
        <v>205</v>
      </c>
      <c r="E500" s="132" t="s">
        <v>1043</v>
      </c>
      <c r="F500" s="127"/>
      <c r="G500" s="133" t="s">
        <v>45</v>
      </c>
      <c r="H500" s="134"/>
      <c r="I500" s="156"/>
      <c r="J500" s="157"/>
      <c r="K500" s="158"/>
      <c r="L500" s="159"/>
      <c r="M500" s="127"/>
      <c r="N500" s="160"/>
      <c r="O500" s="161"/>
      <c r="P500" s="162"/>
      <c r="Q500" s="162"/>
      <c r="R500" s="161"/>
      <c r="S500" s="161"/>
      <c r="T500" s="162"/>
      <c r="U500" s="162"/>
      <c r="V500" s="161"/>
    </row>
    <row r="501" spans="1:22" ht="15" hidden="1" customHeight="1">
      <c r="A501" s="128" t="s">
        <v>1044</v>
      </c>
      <c r="B501" s="129"/>
      <c r="C501" s="130"/>
      <c r="D501" s="131" t="s">
        <v>205</v>
      </c>
      <c r="E501" s="132" t="s">
        <v>1045</v>
      </c>
      <c r="F501" s="127"/>
      <c r="G501" s="133" t="s">
        <v>45</v>
      </c>
      <c r="H501" s="134"/>
      <c r="I501" s="156"/>
      <c r="J501" s="157"/>
      <c r="K501" s="158"/>
      <c r="L501" s="159"/>
      <c r="M501" s="127"/>
      <c r="N501" s="160"/>
      <c r="O501" s="161"/>
      <c r="P501" s="162"/>
      <c r="Q501" s="162"/>
      <c r="R501" s="161"/>
      <c r="S501" s="161"/>
      <c r="T501" s="162"/>
      <c r="U501" s="162"/>
      <c r="V501" s="161"/>
    </row>
    <row r="502" spans="1:22" ht="15" hidden="1" customHeight="1">
      <c r="A502" s="128" t="s">
        <v>1046</v>
      </c>
      <c r="B502" s="129"/>
      <c r="C502" s="130"/>
      <c r="D502" s="131" t="s">
        <v>130</v>
      </c>
      <c r="E502" s="132" t="s">
        <v>1047</v>
      </c>
      <c r="F502" s="127"/>
      <c r="G502" s="133" t="s">
        <v>45</v>
      </c>
      <c r="H502" s="134"/>
      <c r="I502" s="156"/>
      <c r="J502" s="157"/>
      <c r="K502" s="158"/>
      <c r="L502" s="159"/>
      <c r="M502" s="127"/>
      <c r="N502" s="160"/>
      <c r="O502" s="161"/>
      <c r="P502" s="162"/>
      <c r="Q502" s="162"/>
      <c r="R502" s="161"/>
      <c r="S502" s="161"/>
      <c r="T502" s="162"/>
      <c r="U502" s="162"/>
      <c r="V502" s="161"/>
    </row>
    <row r="503" spans="1:22" ht="15" hidden="1" customHeight="1">
      <c r="A503" s="128" t="s">
        <v>1048</v>
      </c>
      <c r="B503" s="129"/>
      <c r="C503" s="130"/>
      <c r="D503" s="131" t="s">
        <v>205</v>
      </c>
      <c r="E503" s="132" t="s">
        <v>1049</v>
      </c>
      <c r="F503" s="127"/>
      <c r="G503" s="133" t="s">
        <v>45</v>
      </c>
      <c r="H503" s="134"/>
      <c r="I503" s="156"/>
      <c r="J503" s="157"/>
      <c r="K503" s="158"/>
      <c r="L503" s="159"/>
      <c r="M503" s="127"/>
      <c r="N503" s="160"/>
      <c r="O503" s="161"/>
      <c r="P503" s="162"/>
      <c r="Q503" s="162"/>
      <c r="R503" s="161"/>
      <c r="S503" s="161"/>
      <c r="T503" s="162"/>
      <c r="U503" s="162"/>
      <c r="V503" s="161"/>
    </row>
    <row r="504" spans="1:22" ht="15" hidden="1" customHeight="1">
      <c r="A504" s="128" t="s">
        <v>1050</v>
      </c>
      <c r="B504" s="129"/>
      <c r="C504" s="130"/>
      <c r="D504" s="131" t="s">
        <v>205</v>
      </c>
      <c r="E504" s="132" t="s">
        <v>1051</v>
      </c>
      <c r="F504" s="127"/>
      <c r="G504" s="133" t="s">
        <v>45</v>
      </c>
      <c r="H504" s="134"/>
      <c r="I504" s="156"/>
      <c r="J504" s="157"/>
      <c r="K504" s="158"/>
      <c r="L504" s="159"/>
      <c r="M504" s="127"/>
      <c r="N504" s="160"/>
      <c r="O504" s="161"/>
      <c r="P504" s="162"/>
      <c r="Q504" s="162"/>
      <c r="R504" s="161"/>
      <c r="S504" s="161"/>
      <c r="T504" s="162"/>
      <c r="U504" s="162"/>
      <c r="V504" s="161"/>
    </row>
    <row r="505" spans="1:22" ht="15" hidden="1" customHeight="1">
      <c r="A505" s="128" t="s">
        <v>1052</v>
      </c>
      <c r="B505" s="129"/>
      <c r="C505" s="130"/>
      <c r="D505" s="131" t="s">
        <v>130</v>
      </c>
      <c r="E505" s="132" t="s">
        <v>1053</v>
      </c>
      <c r="F505" s="127"/>
      <c r="G505" s="133" t="s">
        <v>45</v>
      </c>
      <c r="H505" s="134"/>
      <c r="I505" s="156"/>
      <c r="J505" s="157"/>
      <c r="K505" s="158"/>
      <c r="L505" s="159"/>
      <c r="M505" s="127"/>
      <c r="N505" s="160"/>
      <c r="O505" s="161"/>
      <c r="P505" s="162"/>
      <c r="Q505" s="162"/>
      <c r="R505" s="161"/>
      <c r="S505" s="161"/>
      <c r="T505" s="162"/>
      <c r="U505" s="162"/>
      <c r="V505" s="161"/>
    </row>
    <row r="506" spans="1:22" ht="15" hidden="1" customHeight="1">
      <c r="A506" s="128" t="s">
        <v>1054</v>
      </c>
      <c r="B506" s="129"/>
      <c r="C506" s="130"/>
      <c r="D506" s="131" t="s">
        <v>205</v>
      </c>
      <c r="E506" s="132" t="s">
        <v>1055</v>
      </c>
      <c r="F506" s="127"/>
      <c r="G506" s="133" t="s">
        <v>45</v>
      </c>
      <c r="H506" s="134"/>
      <c r="I506" s="156"/>
      <c r="J506" s="157"/>
      <c r="K506" s="158"/>
      <c r="L506" s="159"/>
      <c r="M506" s="127"/>
      <c r="N506" s="160"/>
      <c r="O506" s="161"/>
      <c r="P506" s="162"/>
      <c r="Q506" s="162"/>
      <c r="R506" s="161"/>
      <c r="S506" s="161"/>
      <c r="T506" s="162"/>
      <c r="U506" s="162"/>
      <c r="V506" s="161"/>
    </row>
    <row r="507" spans="1:22" ht="15" hidden="1" customHeight="1">
      <c r="A507" s="128" t="s">
        <v>1056</v>
      </c>
      <c r="B507" s="129"/>
      <c r="C507" s="130"/>
      <c r="D507" s="131" t="s">
        <v>205</v>
      </c>
      <c r="E507" s="132" t="s">
        <v>1057</v>
      </c>
      <c r="F507" s="127"/>
      <c r="G507" s="133" t="s">
        <v>45</v>
      </c>
      <c r="H507" s="134"/>
      <c r="I507" s="156"/>
      <c r="J507" s="157"/>
      <c r="K507" s="158"/>
      <c r="L507" s="159"/>
      <c r="M507" s="127"/>
      <c r="N507" s="160"/>
      <c r="O507" s="161"/>
      <c r="P507" s="162"/>
      <c r="Q507" s="162"/>
      <c r="R507" s="161"/>
      <c r="S507" s="161"/>
      <c r="T507" s="162"/>
      <c r="U507" s="162"/>
      <c r="V507" s="161"/>
    </row>
    <row r="508" spans="1:22" ht="15" hidden="1" customHeight="1">
      <c r="A508" s="128" t="s">
        <v>1058</v>
      </c>
      <c r="B508" s="129"/>
      <c r="C508" s="130"/>
      <c r="D508" s="131" t="s">
        <v>333</v>
      </c>
      <c r="E508" s="132" t="s">
        <v>1059</v>
      </c>
      <c r="F508" s="127"/>
      <c r="G508" s="133" t="s">
        <v>45</v>
      </c>
      <c r="H508" s="134"/>
      <c r="I508" s="156"/>
      <c r="J508" s="157"/>
      <c r="K508" s="158"/>
      <c r="L508" s="159"/>
      <c r="M508" s="127"/>
      <c r="N508" s="160"/>
      <c r="O508" s="161"/>
      <c r="P508" s="162"/>
      <c r="Q508" s="162"/>
      <c r="R508" s="161"/>
      <c r="S508" s="161"/>
      <c r="T508" s="162"/>
      <c r="U508" s="162"/>
      <c r="V508" s="161"/>
    </row>
    <row r="509" spans="1:22" ht="15" hidden="1" customHeight="1">
      <c r="A509" s="128" t="s">
        <v>1060</v>
      </c>
      <c r="B509" s="129"/>
      <c r="C509" s="130"/>
      <c r="D509" s="131" t="s">
        <v>112</v>
      </c>
      <c r="E509" s="132" t="s">
        <v>1061</v>
      </c>
      <c r="F509" s="127"/>
      <c r="G509" s="133" t="s">
        <v>45</v>
      </c>
      <c r="H509" s="134"/>
      <c r="I509" s="156"/>
      <c r="J509" s="157"/>
      <c r="K509" s="158"/>
      <c r="L509" s="159"/>
      <c r="M509" s="127"/>
      <c r="N509" s="160"/>
      <c r="O509" s="161"/>
      <c r="P509" s="162"/>
      <c r="Q509" s="162"/>
      <c r="R509" s="161"/>
      <c r="S509" s="161"/>
      <c r="T509" s="162"/>
      <c r="U509" s="162"/>
      <c r="V509" s="161"/>
    </row>
    <row r="510" spans="1:22" ht="15" customHeight="1">
      <c r="A510" s="128" t="s">
        <v>1062</v>
      </c>
      <c r="B510" s="129"/>
      <c r="C510" s="130"/>
      <c r="D510" s="131" t="s">
        <v>112</v>
      </c>
      <c r="E510" s="132" t="s">
        <v>1063</v>
      </c>
      <c r="F510" s="127"/>
      <c r="G510" s="133" t="s">
        <v>112</v>
      </c>
      <c r="H510" s="134"/>
      <c r="I510" s="156" t="s">
        <v>41</v>
      </c>
      <c r="J510" s="157"/>
      <c r="K510" s="158"/>
      <c r="L510" s="159"/>
      <c r="M510" s="127"/>
      <c r="N510" s="160"/>
      <c r="O510" s="161"/>
      <c r="P510" s="162"/>
      <c r="Q510" s="162"/>
      <c r="R510" s="161"/>
      <c r="S510" s="161"/>
      <c r="T510" s="162"/>
      <c r="U510" s="162"/>
      <c r="V510" s="161"/>
    </row>
    <row r="511" spans="1:22" ht="15" hidden="1" customHeight="1">
      <c r="A511" s="128" t="s">
        <v>1064</v>
      </c>
      <c r="B511" s="129"/>
      <c r="C511" s="130"/>
      <c r="D511" s="131" t="s">
        <v>112</v>
      </c>
      <c r="E511" s="132" t="s">
        <v>1065</v>
      </c>
      <c r="F511" s="127"/>
      <c r="G511" s="133" t="s">
        <v>45</v>
      </c>
      <c r="H511" s="134"/>
      <c r="I511" s="156"/>
      <c r="J511" s="157"/>
      <c r="K511" s="158"/>
      <c r="L511" s="159"/>
      <c r="M511" s="127"/>
      <c r="N511" s="160"/>
      <c r="O511" s="161"/>
      <c r="P511" s="162"/>
      <c r="Q511" s="162"/>
      <c r="R511" s="161"/>
      <c r="S511" s="161"/>
      <c r="T511" s="162"/>
      <c r="U511" s="162"/>
      <c r="V511" s="161"/>
    </row>
    <row r="512" spans="1:22" ht="15" customHeight="1">
      <c r="A512" s="128" t="s">
        <v>1066</v>
      </c>
      <c r="B512" s="129"/>
      <c r="C512" s="130"/>
      <c r="D512" s="131" t="s">
        <v>112</v>
      </c>
      <c r="E512" s="132" t="s">
        <v>1067</v>
      </c>
      <c r="F512" s="127"/>
      <c r="G512" s="133" t="s">
        <v>112</v>
      </c>
      <c r="H512" s="134"/>
      <c r="I512" s="156" t="s">
        <v>41</v>
      </c>
      <c r="J512" s="157"/>
      <c r="K512" s="158"/>
      <c r="L512" s="159"/>
      <c r="M512" s="127"/>
      <c r="N512" s="160"/>
      <c r="O512" s="161"/>
      <c r="P512" s="162"/>
      <c r="Q512" s="162"/>
      <c r="R512" s="161"/>
      <c r="S512" s="161"/>
      <c r="T512" s="162"/>
      <c r="U512" s="162"/>
      <c r="V512" s="161"/>
    </row>
    <row r="513" spans="1:22" ht="15" hidden="1" customHeight="1">
      <c r="A513" s="128" t="s">
        <v>1068</v>
      </c>
      <c r="B513" s="129"/>
      <c r="C513" s="130"/>
      <c r="D513" s="131" t="s">
        <v>112</v>
      </c>
      <c r="E513" s="132" t="s">
        <v>1069</v>
      </c>
      <c r="F513" s="127"/>
      <c r="G513" s="133" t="s">
        <v>45</v>
      </c>
      <c r="H513" s="134"/>
      <c r="I513" s="156"/>
      <c r="J513" s="157"/>
      <c r="K513" s="158"/>
      <c r="L513" s="159"/>
      <c r="M513" s="127"/>
      <c r="N513" s="160"/>
      <c r="O513" s="161"/>
      <c r="P513" s="162"/>
      <c r="Q513" s="162"/>
      <c r="R513" s="161"/>
      <c r="S513" s="161"/>
      <c r="T513" s="162"/>
      <c r="U513" s="162"/>
      <c r="V513" s="161"/>
    </row>
    <row r="514" spans="1:22" ht="15" hidden="1" customHeight="1">
      <c r="A514" s="128" t="s">
        <v>1070</v>
      </c>
      <c r="B514" s="129"/>
      <c r="C514" s="130"/>
      <c r="D514" s="131" t="s">
        <v>112</v>
      </c>
      <c r="E514" s="132" t="s">
        <v>1071</v>
      </c>
      <c r="F514" s="127"/>
      <c r="G514" s="133" t="s">
        <v>45</v>
      </c>
      <c r="H514" s="134"/>
      <c r="I514" s="156"/>
      <c r="J514" s="157"/>
      <c r="K514" s="158"/>
      <c r="L514" s="159"/>
      <c r="M514" s="127"/>
      <c r="N514" s="160"/>
      <c r="O514" s="161"/>
      <c r="P514" s="162"/>
      <c r="Q514" s="162"/>
      <c r="R514" s="161"/>
      <c r="S514" s="161"/>
      <c r="T514" s="162"/>
      <c r="U514" s="162"/>
      <c r="V514" s="161"/>
    </row>
    <row r="515" spans="1:22" ht="15" hidden="1" customHeight="1">
      <c r="A515" s="128" t="s">
        <v>1072</v>
      </c>
      <c r="B515" s="129"/>
      <c r="C515" s="130"/>
      <c r="D515" s="131" t="s">
        <v>130</v>
      </c>
      <c r="E515" s="132" t="s">
        <v>1073</v>
      </c>
      <c r="F515" s="127"/>
      <c r="G515" s="133" t="s">
        <v>45</v>
      </c>
      <c r="H515" s="134"/>
      <c r="I515" s="156"/>
      <c r="J515" s="157"/>
      <c r="K515" s="158"/>
      <c r="L515" s="159"/>
      <c r="M515" s="127"/>
      <c r="N515" s="160"/>
      <c r="O515" s="161"/>
      <c r="P515" s="162"/>
      <c r="Q515" s="162"/>
      <c r="R515" s="161"/>
      <c r="S515" s="161"/>
      <c r="T515" s="162"/>
      <c r="U515" s="162"/>
      <c r="V515" s="161"/>
    </row>
    <row r="516" spans="1:22" ht="15" hidden="1" customHeight="1">
      <c r="A516" s="128" t="s">
        <v>1074</v>
      </c>
      <c r="B516" s="129"/>
      <c r="C516" s="130"/>
      <c r="D516" s="131" t="s">
        <v>117</v>
      </c>
      <c r="E516" s="132" t="s">
        <v>1073</v>
      </c>
      <c r="F516" s="127"/>
      <c r="G516" s="133" t="s">
        <v>45</v>
      </c>
      <c r="H516" s="134"/>
      <c r="I516" s="156"/>
      <c r="J516" s="157"/>
      <c r="K516" s="158"/>
      <c r="L516" s="159"/>
      <c r="M516" s="127"/>
      <c r="N516" s="160"/>
      <c r="O516" s="161"/>
      <c r="P516" s="162"/>
      <c r="Q516" s="162"/>
      <c r="R516" s="161"/>
      <c r="S516" s="161"/>
      <c r="T516" s="162"/>
      <c r="U516" s="162"/>
      <c r="V516" s="161"/>
    </row>
    <row r="517" spans="1:22" ht="15" hidden="1" customHeight="1">
      <c r="A517" s="128" t="s">
        <v>1075</v>
      </c>
      <c r="B517" s="129"/>
      <c r="C517" s="130"/>
      <c r="D517" s="131" t="s">
        <v>117</v>
      </c>
      <c r="E517" s="132" t="s">
        <v>1073</v>
      </c>
      <c r="F517" s="127"/>
      <c r="G517" s="133" t="s">
        <v>45</v>
      </c>
      <c r="H517" s="134"/>
      <c r="I517" s="156"/>
      <c r="J517" s="157"/>
      <c r="K517" s="158"/>
      <c r="L517" s="159"/>
      <c r="M517" s="127"/>
      <c r="N517" s="160"/>
      <c r="O517" s="161"/>
      <c r="P517" s="162"/>
      <c r="Q517" s="162"/>
      <c r="R517" s="161"/>
      <c r="S517" s="161"/>
      <c r="T517" s="162"/>
      <c r="U517" s="162"/>
      <c r="V517" s="161"/>
    </row>
    <row r="518" spans="1:22" ht="15" hidden="1" customHeight="1">
      <c r="A518" s="128" t="s">
        <v>1076</v>
      </c>
      <c r="B518" s="129"/>
      <c r="C518" s="130"/>
      <c r="D518" s="131" t="s">
        <v>130</v>
      </c>
      <c r="E518" s="132" t="s">
        <v>1073</v>
      </c>
      <c r="F518" s="127"/>
      <c r="G518" s="133" t="s">
        <v>45</v>
      </c>
      <c r="H518" s="134"/>
      <c r="I518" s="156"/>
      <c r="J518" s="157"/>
      <c r="K518" s="158"/>
      <c r="L518" s="159"/>
      <c r="M518" s="127"/>
      <c r="N518" s="160"/>
      <c r="O518" s="161"/>
      <c r="P518" s="162"/>
      <c r="Q518" s="162"/>
      <c r="R518" s="161"/>
      <c r="S518" s="161"/>
      <c r="T518" s="162"/>
      <c r="U518" s="162"/>
      <c r="V518" s="161"/>
    </row>
    <row r="519" spans="1:22" ht="15" hidden="1" customHeight="1">
      <c r="A519" s="128" t="s">
        <v>1077</v>
      </c>
      <c r="B519" s="129"/>
      <c r="C519" s="130"/>
      <c r="D519" s="131" t="s">
        <v>117</v>
      </c>
      <c r="E519" s="132" t="s">
        <v>1073</v>
      </c>
      <c r="F519" s="127"/>
      <c r="G519" s="133" t="s">
        <v>45</v>
      </c>
      <c r="H519" s="134"/>
      <c r="I519" s="156"/>
      <c r="J519" s="157"/>
      <c r="K519" s="158"/>
      <c r="L519" s="159"/>
      <c r="M519" s="127"/>
      <c r="N519" s="160"/>
      <c r="O519" s="161"/>
      <c r="P519" s="162"/>
      <c r="Q519" s="162"/>
      <c r="R519" s="161"/>
      <c r="S519" s="161"/>
      <c r="T519" s="162"/>
      <c r="U519" s="162"/>
      <c r="V519" s="161"/>
    </row>
    <row r="520" spans="1:22" ht="15" hidden="1" customHeight="1">
      <c r="A520" s="128" t="s">
        <v>1078</v>
      </c>
      <c r="B520" s="129"/>
      <c r="C520" s="130"/>
      <c r="D520" s="131" t="s">
        <v>117</v>
      </c>
      <c r="E520" s="132" t="s">
        <v>1073</v>
      </c>
      <c r="F520" s="127"/>
      <c r="G520" s="133" t="s">
        <v>45</v>
      </c>
      <c r="H520" s="134"/>
      <c r="I520" s="156"/>
      <c r="J520" s="157"/>
      <c r="K520" s="158"/>
      <c r="L520" s="159"/>
      <c r="M520" s="127"/>
      <c r="N520" s="160"/>
      <c r="O520" s="161"/>
      <c r="P520" s="162"/>
      <c r="Q520" s="162"/>
      <c r="R520" s="161"/>
      <c r="S520" s="161"/>
      <c r="T520" s="162"/>
      <c r="U520" s="162"/>
      <c r="V520" s="161"/>
    </row>
    <row r="521" spans="1:22" ht="15" hidden="1" customHeight="1">
      <c r="A521" s="128" t="s">
        <v>1079</v>
      </c>
      <c r="B521" s="129"/>
      <c r="C521" s="130"/>
      <c r="D521" s="131" t="s">
        <v>117</v>
      </c>
      <c r="E521" s="132" t="s">
        <v>1073</v>
      </c>
      <c r="F521" s="127"/>
      <c r="G521" s="133" t="s">
        <v>45</v>
      </c>
      <c r="H521" s="134"/>
      <c r="I521" s="156"/>
      <c r="J521" s="157"/>
      <c r="K521" s="158"/>
      <c r="L521" s="159"/>
      <c r="M521" s="127"/>
      <c r="N521" s="160"/>
      <c r="O521" s="161"/>
      <c r="P521" s="162"/>
      <c r="Q521" s="162"/>
      <c r="R521" s="161"/>
      <c r="S521" s="161"/>
      <c r="T521" s="162"/>
      <c r="U521" s="162"/>
      <c r="V521" s="161"/>
    </row>
    <row r="522" spans="1:22" ht="15" hidden="1" customHeight="1">
      <c r="A522" s="128" t="s">
        <v>1080</v>
      </c>
      <c r="B522" s="129"/>
      <c r="C522" s="130"/>
      <c r="D522" s="131" t="s">
        <v>117</v>
      </c>
      <c r="E522" s="132" t="s">
        <v>1073</v>
      </c>
      <c r="F522" s="127"/>
      <c r="G522" s="133" t="s">
        <v>45</v>
      </c>
      <c r="H522" s="134"/>
      <c r="I522" s="156"/>
      <c r="J522" s="157"/>
      <c r="K522" s="158"/>
      <c r="L522" s="159"/>
      <c r="M522" s="127"/>
      <c r="N522" s="160"/>
      <c r="O522" s="161"/>
      <c r="P522" s="162"/>
      <c r="Q522" s="162"/>
      <c r="R522" s="161"/>
      <c r="S522" s="161"/>
      <c r="T522" s="162"/>
      <c r="U522" s="162"/>
      <c r="V522" s="161"/>
    </row>
    <row r="523" spans="1:22" ht="15" hidden="1" customHeight="1">
      <c r="A523" s="128" t="s">
        <v>1081</v>
      </c>
      <c r="B523" s="129"/>
      <c r="C523" s="130"/>
      <c r="D523" s="131" t="s">
        <v>117</v>
      </c>
      <c r="E523" s="132" t="s">
        <v>1073</v>
      </c>
      <c r="F523" s="127"/>
      <c r="G523" s="133" t="s">
        <v>45</v>
      </c>
      <c r="H523" s="134"/>
      <c r="I523" s="156"/>
      <c r="J523" s="157"/>
      <c r="K523" s="158"/>
      <c r="L523" s="159"/>
      <c r="M523" s="127"/>
      <c r="N523" s="160"/>
      <c r="O523" s="161"/>
      <c r="P523" s="162"/>
      <c r="Q523" s="162"/>
      <c r="R523" s="161"/>
      <c r="S523" s="161"/>
      <c r="T523" s="162"/>
      <c r="U523" s="162"/>
      <c r="V523" s="161"/>
    </row>
    <row r="524" spans="1:22" ht="15" hidden="1" customHeight="1">
      <c r="A524" s="128" t="s">
        <v>1082</v>
      </c>
      <c r="B524" s="129"/>
      <c r="C524" s="130"/>
      <c r="D524" s="131" t="s">
        <v>117</v>
      </c>
      <c r="E524" s="132" t="s">
        <v>1073</v>
      </c>
      <c r="F524" s="127"/>
      <c r="G524" s="133" t="s">
        <v>45</v>
      </c>
      <c r="H524" s="134"/>
      <c r="I524" s="156"/>
      <c r="J524" s="157"/>
      <c r="K524" s="158"/>
      <c r="L524" s="159"/>
      <c r="M524" s="127"/>
      <c r="N524" s="160"/>
      <c r="O524" s="161"/>
      <c r="P524" s="162"/>
      <c r="Q524" s="162"/>
      <c r="R524" s="161"/>
      <c r="S524" s="161"/>
      <c r="T524" s="162"/>
      <c r="U524" s="162"/>
      <c r="V524" s="161"/>
    </row>
    <row r="525" spans="1:22" ht="15" hidden="1" customHeight="1">
      <c r="A525" s="128" t="s">
        <v>1083</v>
      </c>
      <c r="B525" s="129"/>
      <c r="C525" s="130"/>
      <c r="D525" s="131" t="s">
        <v>117</v>
      </c>
      <c r="E525" s="132" t="s">
        <v>1073</v>
      </c>
      <c r="F525" s="127"/>
      <c r="G525" s="133" t="s">
        <v>45</v>
      </c>
      <c r="H525" s="134"/>
      <c r="I525" s="156"/>
      <c r="J525" s="157"/>
      <c r="K525" s="158"/>
      <c r="L525" s="159"/>
      <c r="M525" s="127"/>
      <c r="N525" s="160"/>
      <c r="O525" s="161"/>
      <c r="P525" s="162"/>
      <c r="Q525" s="162"/>
      <c r="R525" s="161"/>
      <c r="S525" s="161"/>
      <c r="T525" s="162"/>
      <c r="U525" s="162"/>
      <c r="V525" s="161"/>
    </row>
    <row r="526" spans="1:22" ht="15" hidden="1" customHeight="1">
      <c r="A526" s="128" t="s">
        <v>1084</v>
      </c>
      <c r="B526" s="129"/>
      <c r="C526" s="130"/>
      <c r="D526" s="131" t="s">
        <v>117</v>
      </c>
      <c r="E526" s="132" t="s">
        <v>1073</v>
      </c>
      <c r="F526" s="127"/>
      <c r="G526" s="133" t="s">
        <v>45</v>
      </c>
      <c r="H526" s="134"/>
      <c r="I526" s="156"/>
      <c r="J526" s="157"/>
      <c r="K526" s="158"/>
      <c r="L526" s="159"/>
      <c r="M526" s="127"/>
      <c r="N526" s="160"/>
      <c r="O526" s="161"/>
      <c r="P526" s="162"/>
      <c r="Q526" s="162"/>
      <c r="R526" s="161"/>
      <c r="S526" s="161"/>
      <c r="T526" s="162"/>
      <c r="U526" s="162"/>
      <c r="V526" s="161"/>
    </row>
    <row r="527" spans="1:22" ht="15" hidden="1" customHeight="1">
      <c r="A527" s="128" t="s">
        <v>1085</v>
      </c>
      <c r="B527" s="129"/>
      <c r="C527" s="130"/>
      <c r="D527" s="131" t="s">
        <v>117</v>
      </c>
      <c r="E527" s="132" t="s">
        <v>1073</v>
      </c>
      <c r="F527" s="127"/>
      <c r="G527" s="133" t="s">
        <v>45</v>
      </c>
      <c r="H527" s="134"/>
      <c r="I527" s="156"/>
      <c r="J527" s="157"/>
      <c r="K527" s="158"/>
      <c r="L527" s="159"/>
      <c r="M527" s="127"/>
      <c r="N527" s="160"/>
      <c r="O527" s="161"/>
      <c r="P527" s="162"/>
      <c r="Q527" s="162"/>
      <c r="R527" s="161"/>
      <c r="S527" s="161"/>
      <c r="T527" s="162"/>
      <c r="U527" s="162"/>
      <c r="V527" s="161"/>
    </row>
    <row r="528" spans="1:22" ht="15" hidden="1" customHeight="1">
      <c r="A528" s="128" t="s">
        <v>1086</v>
      </c>
      <c r="B528" s="129"/>
      <c r="C528" s="130"/>
      <c r="D528" s="131" t="s">
        <v>117</v>
      </c>
      <c r="E528" s="132" t="s">
        <v>1073</v>
      </c>
      <c r="F528" s="127"/>
      <c r="G528" s="133" t="s">
        <v>45</v>
      </c>
      <c r="H528" s="134"/>
      <c r="I528" s="156"/>
      <c r="J528" s="157"/>
      <c r="K528" s="158"/>
      <c r="L528" s="159"/>
      <c r="M528" s="127"/>
      <c r="N528" s="160"/>
      <c r="O528" s="161"/>
      <c r="P528" s="162"/>
      <c r="Q528" s="162"/>
      <c r="R528" s="161"/>
      <c r="S528" s="161"/>
      <c r="T528" s="162"/>
      <c r="U528" s="162"/>
      <c r="V528" s="161"/>
    </row>
    <row r="529" spans="1:22" ht="15" hidden="1" customHeight="1">
      <c r="A529" s="128" t="s">
        <v>1087</v>
      </c>
      <c r="B529" s="129"/>
      <c r="C529" s="130"/>
      <c r="D529" s="131" t="s">
        <v>117</v>
      </c>
      <c r="E529" s="132" t="s">
        <v>1073</v>
      </c>
      <c r="F529" s="127"/>
      <c r="G529" s="133" t="s">
        <v>45</v>
      </c>
      <c r="H529" s="134"/>
      <c r="I529" s="156"/>
      <c r="J529" s="157"/>
      <c r="K529" s="158"/>
      <c r="L529" s="159"/>
      <c r="M529" s="127"/>
      <c r="N529" s="160"/>
      <c r="O529" s="161"/>
      <c r="P529" s="162"/>
      <c r="Q529" s="162"/>
      <c r="R529" s="161"/>
      <c r="S529" s="161"/>
      <c r="T529" s="162"/>
      <c r="U529" s="162"/>
      <c r="V529" s="161"/>
    </row>
    <row r="530" spans="1:22" ht="15" hidden="1" customHeight="1">
      <c r="A530" s="128" t="s">
        <v>1088</v>
      </c>
      <c r="B530" s="129"/>
      <c r="C530" s="130"/>
      <c r="D530" s="131" t="s">
        <v>117</v>
      </c>
      <c r="E530" s="132" t="s">
        <v>1073</v>
      </c>
      <c r="F530" s="127"/>
      <c r="G530" s="133" t="s">
        <v>45</v>
      </c>
      <c r="H530" s="134"/>
      <c r="I530" s="156"/>
      <c r="J530" s="157"/>
      <c r="K530" s="158"/>
      <c r="L530" s="159"/>
      <c r="M530" s="127"/>
      <c r="N530" s="160"/>
      <c r="O530" s="161"/>
      <c r="P530" s="162"/>
      <c r="Q530" s="162"/>
      <c r="R530" s="161"/>
      <c r="S530" s="161"/>
      <c r="T530" s="162"/>
      <c r="U530" s="162"/>
      <c r="V530" s="161"/>
    </row>
    <row r="531" spans="1:22" ht="15" hidden="1" customHeight="1">
      <c r="A531" s="128" t="s">
        <v>1089</v>
      </c>
      <c r="B531" s="129"/>
      <c r="C531" s="130"/>
      <c r="D531" s="131" t="s">
        <v>122</v>
      </c>
      <c r="E531" s="132" t="s">
        <v>1073</v>
      </c>
      <c r="F531" s="127"/>
      <c r="G531" s="133" t="s">
        <v>45</v>
      </c>
      <c r="H531" s="134"/>
      <c r="I531" s="156"/>
      <c r="J531" s="157"/>
      <c r="K531" s="158"/>
      <c r="L531" s="159"/>
      <c r="M531" s="127"/>
      <c r="N531" s="160"/>
      <c r="O531" s="161"/>
      <c r="P531" s="162"/>
      <c r="Q531" s="162"/>
      <c r="R531" s="161"/>
      <c r="S531" s="161"/>
      <c r="T531" s="162"/>
      <c r="U531" s="162"/>
      <c r="V531" s="161"/>
    </row>
    <row r="532" spans="1:22" ht="15" hidden="1" customHeight="1">
      <c r="A532" s="128" t="s">
        <v>1090</v>
      </c>
      <c r="B532" s="129"/>
      <c r="C532" s="130"/>
      <c r="D532" s="131" t="s">
        <v>117</v>
      </c>
      <c r="E532" s="132" t="s">
        <v>992</v>
      </c>
      <c r="F532" s="127"/>
      <c r="G532" s="133" t="s">
        <v>45</v>
      </c>
      <c r="H532" s="134"/>
      <c r="I532" s="156"/>
      <c r="J532" s="157"/>
      <c r="K532" s="158"/>
      <c r="L532" s="159"/>
      <c r="M532" s="127"/>
      <c r="N532" s="160"/>
      <c r="O532" s="161"/>
      <c r="P532" s="162"/>
      <c r="Q532" s="162"/>
      <c r="R532" s="161"/>
      <c r="S532" s="161"/>
      <c r="T532" s="162"/>
      <c r="U532" s="162"/>
      <c r="V532" s="161"/>
    </row>
    <row r="533" spans="1:22" ht="15" hidden="1" customHeight="1">
      <c r="A533" s="128" t="s">
        <v>1091</v>
      </c>
      <c r="B533" s="129"/>
      <c r="C533" s="130"/>
      <c r="D533" s="131" t="s">
        <v>117</v>
      </c>
      <c r="E533" s="132" t="s">
        <v>992</v>
      </c>
      <c r="F533" s="127"/>
      <c r="G533" s="133" t="s">
        <v>45</v>
      </c>
      <c r="H533" s="134"/>
      <c r="I533" s="156"/>
      <c r="J533" s="157"/>
      <c r="K533" s="158"/>
      <c r="L533" s="159"/>
      <c r="M533" s="127"/>
      <c r="N533" s="160"/>
      <c r="O533" s="161"/>
      <c r="P533" s="162"/>
      <c r="Q533" s="162"/>
      <c r="R533" s="161"/>
      <c r="S533" s="161"/>
      <c r="T533" s="162"/>
      <c r="U533" s="162"/>
      <c r="V533" s="161"/>
    </row>
    <row r="534" spans="1:22" ht="15" hidden="1" customHeight="1">
      <c r="A534" s="128" t="s">
        <v>1092</v>
      </c>
      <c r="B534" s="129"/>
      <c r="C534" s="130"/>
      <c r="D534" s="131" t="s">
        <v>122</v>
      </c>
      <c r="E534" s="132" t="s">
        <v>992</v>
      </c>
      <c r="F534" s="127"/>
      <c r="G534" s="133" t="s">
        <v>45</v>
      </c>
      <c r="H534" s="134"/>
      <c r="I534" s="156"/>
      <c r="J534" s="157"/>
      <c r="K534" s="158"/>
      <c r="L534" s="159"/>
      <c r="M534" s="127"/>
      <c r="N534" s="160"/>
      <c r="O534" s="161"/>
      <c r="P534" s="162"/>
      <c r="Q534" s="162"/>
      <c r="R534" s="161"/>
      <c r="S534" s="161"/>
      <c r="T534" s="162"/>
      <c r="U534" s="162"/>
      <c r="V534" s="161"/>
    </row>
    <row r="535" spans="1:22" ht="15" hidden="1" customHeight="1">
      <c r="A535" s="128" t="s">
        <v>1093</v>
      </c>
      <c r="B535" s="129"/>
      <c r="C535" s="130"/>
      <c r="D535" s="131" t="s">
        <v>122</v>
      </c>
      <c r="E535" s="132" t="s">
        <v>992</v>
      </c>
      <c r="F535" s="127"/>
      <c r="G535" s="133" t="s">
        <v>45</v>
      </c>
      <c r="H535" s="134"/>
      <c r="I535" s="156"/>
      <c r="J535" s="157"/>
      <c r="K535" s="158"/>
      <c r="L535" s="159"/>
      <c r="M535" s="127"/>
      <c r="N535" s="160"/>
      <c r="O535" s="161"/>
      <c r="P535" s="162"/>
      <c r="Q535" s="162"/>
      <c r="R535" s="161"/>
      <c r="S535" s="161"/>
      <c r="T535" s="162"/>
      <c r="U535" s="162"/>
      <c r="V535" s="161"/>
    </row>
    <row r="536" spans="1:22" ht="15" hidden="1" customHeight="1">
      <c r="A536" s="128" t="s">
        <v>1094</v>
      </c>
      <c r="B536" s="129"/>
      <c r="C536" s="130"/>
      <c r="D536" s="131" t="s">
        <v>122</v>
      </c>
      <c r="E536" s="132" t="s">
        <v>1073</v>
      </c>
      <c r="F536" s="127"/>
      <c r="G536" s="133" t="s">
        <v>45</v>
      </c>
      <c r="H536" s="134"/>
      <c r="I536" s="156"/>
      <c r="J536" s="157"/>
      <c r="K536" s="158"/>
      <c r="L536" s="159"/>
      <c r="M536" s="127"/>
      <c r="N536" s="160"/>
      <c r="O536" s="161"/>
      <c r="P536" s="162"/>
      <c r="Q536" s="162"/>
      <c r="R536" s="161"/>
      <c r="S536" s="161"/>
      <c r="T536" s="162"/>
      <c r="U536" s="162"/>
      <c r="V536" s="161"/>
    </row>
    <row r="537" spans="1:22" ht="15" hidden="1" customHeight="1">
      <c r="A537" s="128" t="s">
        <v>1095</v>
      </c>
      <c r="B537" s="129"/>
      <c r="C537" s="130"/>
      <c r="D537" s="131" t="s">
        <v>117</v>
      </c>
      <c r="E537" s="132" t="s">
        <v>1073</v>
      </c>
      <c r="F537" s="127"/>
      <c r="G537" s="133" t="s">
        <v>45</v>
      </c>
      <c r="H537" s="134"/>
      <c r="I537" s="156"/>
      <c r="J537" s="157"/>
      <c r="K537" s="158"/>
      <c r="L537" s="159"/>
      <c r="M537" s="127"/>
      <c r="N537" s="160"/>
      <c r="O537" s="161"/>
      <c r="P537" s="162"/>
      <c r="Q537" s="162"/>
      <c r="R537" s="161"/>
      <c r="S537" s="161"/>
      <c r="T537" s="162"/>
      <c r="U537" s="162"/>
      <c r="V537" s="161"/>
    </row>
    <row r="538" spans="1:22" ht="15" hidden="1" customHeight="1">
      <c r="A538" s="128" t="s">
        <v>1096</v>
      </c>
      <c r="B538" s="129"/>
      <c r="C538" s="130"/>
      <c r="D538" s="131" t="s">
        <v>117</v>
      </c>
      <c r="E538" s="132" t="s">
        <v>1073</v>
      </c>
      <c r="F538" s="127"/>
      <c r="G538" s="133" t="s">
        <v>45</v>
      </c>
      <c r="H538" s="134"/>
      <c r="I538" s="156"/>
      <c r="J538" s="157"/>
      <c r="K538" s="158"/>
      <c r="L538" s="159"/>
      <c r="M538" s="127"/>
      <c r="N538" s="160"/>
      <c r="O538" s="161"/>
      <c r="P538" s="162"/>
      <c r="Q538" s="162"/>
      <c r="R538" s="161"/>
      <c r="S538" s="161"/>
      <c r="T538" s="162"/>
      <c r="U538" s="162"/>
      <c r="V538" s="161"/>
    </row>
    <row r="539" spans="1:22" ht="15" hidden="1" customHeight="1">
      <c r="A539" s="128" t="s">
        <v>1097</v>
      </c>
      <c r="B539" s="129"/>
      <c r="C539" s="130"/>
      <c r="D539" s="131" t="s">
        <v>122</v>
      </c>
      <c r="E539" s="132" t="s">
        <v>1073</v>
      </c>
      <c r="F539" s="127"/>
      <c r="G539" s="133" t="s">
        <v>45</v>
      </c>
      <c r="H539" s="134"/>
      <c r="I539" s="156"/>
      <c r="J539" s="157"/>
      <c r="K539" s="158"/>
      <c r="L539" s="159"/>
      <c r="M539" s="127"/>
      <c r="N539" s="160"/>
      <c r="O539" s="161"/>
      <c r="P539" s="162"/>
      <c r="Q539" s="162"/>
      <c r="R539" s="161"/>
      <c r="S539" s="161"/>
      <c r="T539" s="162"/>
      <c r="U539" s="162"/>
      <c r="V539" s="161"/>
    </row>
    <row r="540" spans="1:22" ht="15" hidden="1" customHeight="1">
      <c r="A540" s="128" t="s">
        <v>1098</v>
      </c>
      <c r="B540" s="129"/>
      <c r="C540" s="130"/>
      <c r="D540" s="131" t="s">
        <v>117</v>
      </c>
      <c r="E540" s="132" t="s">
        <v>1073</v>
      </c>
      <c r="F540" s="127"/>
      <c r="G540" s="133" t="s">
        <v>45</v>
      </c>
      <c r="H540" s="134"/>
      <c r="I540" s="156"/>
      <c r="J540" s="157"/>
      <c r="K540" s="158"/>
      <c r="L540" s="159"/>
      <c r="M540" s="127"/>
      <c r="N540" s="160"/>
      <c r="O540" s="161"/>
      <c r="P540" s="162"/>
      <c r="Q540" s="162"/>
      <c r="R540" s="161"/>
      <c r="S540" s="161"/>
      <c r="T540" s="162"/>
      <c r="U540" s="162"/>
      <c r="V540" s="161"/>
    </row>
    <row r="541" spans="1:22" ht="15" hidden="1" customHeight="1">
      <c r="A541" s="128" t="s">
        <v>1099</v>
      </c>
      <c r="B541" s="129"/>
      <c r="C541" s="130"/>
      <c r="D541" s="131" t="s">
        <v>117</v>
      </c>
      <c r="E541" s="132" t="s">
        <v>1073</v>
      </c>
      <c r="F541" s="127"/>
      <c r="G541" s="133" t="s">
        <v>45</v>
      </c>
      <c r="H541" s="134"/>
      <c r="I541" s="156"/>
      <c r="J541" s="157"/>
      <c r="K541" s="158"/>
      <c r="L541" s="159"/>
      <c r="M541" s="127"/>
      <c r="N541" s="160"/>
      <c r="O541" s="161"/>
      <c r="P541" s="162"/>
      <c r="Q541" s="162"/>
      <c r="R541" s="161"/>
      <c r="S541" s="161"/>
      <c r="T541" s="162"/>
      <c r="U541" s="162"/>
      <c r="V541" s="161"/>
    </row>
    <row r="542" spans="1:22" ht="15" hidden="1" customHeight="1">
      <c r="A542" s="128" t="s">
        <v>1100</v>
      </c>
      <c r="B542" s="129"/>
      <c r="C542" s="130"/>
      <c r="D542" s="131" t="s">
        <v>117</v>
      </c>
      <c r="E542" s="132" t="s">
        <v>1073</v>
      </c>
      <c r="F542" s="127"/>
      <c r="G542" s="133" t="s">
        <v>45</v>
      </c>
      <c r="H542" s="134"/>
      <c r="I542" s="156"/>
      <c r="J542" s="157"/>
      <c r="K542" s="158"/>
      <c r="L542" s="159"/>
      <c r="M542" s="127"/>
      <c r="N542" s="160"/>
      <c r="O542" s="161"/>
      <c r="P542" s="162"/>
      <c r="Q542" s="162"/>
      <c r="R542" s="161"/>
      <c r="S542" s="161"/>
      <c r="T542" s="162"/>
      <c r="U542" s="162"/>
      <c r="V542" s="161"/>
    </row>
    <row r="543" spans="1:22" ht="15" hidden="1" customHeight="1">
      <c r="A543" s="128" t="s">
        <v>1101</v>
      </c>
      <c r="B543" s="129"/>
      <c r="C543" s="130"/>
      <c r="D543" s="131" t="s">
        <v>117</v>
      </c>
      <c r="E543" s="132" t="s">
        <v>1073</v>
      </c>
      <c r="F543" s="127"/>
      <c r="G543" s="133" t="s">
        <v>45</v>
      </c>
      <c r="H543" s="134"/>
      <c r="I543" s="156"/>
      <c r="J543" s="157"/>
      <c r="K543" s="158"/>
      <c r="L543" s="159"/>
      <c r="M543" s="127"/>
      <c r="N543" s="160"/>
      <c r="O543" s="161"/>
      <c r="P543" s="162"/>
      <c r="Q543" s="162"/>
      <c r="R543" s="161"/>
      <c r="S543" s="161"/>
      <c r="T543" s="162"/>
      <c r="U543" s="162"/>
      <c r="V543" s="161"/>
    </row>
    <row r="544" spans="1:22" ht="15" hidden="1" customHeight="1">
      <c r="A544" s="128" t="s">
        <v>1102</v>
      </c>
      <c r="B544" s="129"/>
      <c r="C544" s="130"/>
      <c r="D544" s="131" t="s">
        <v>117</v>
      </c>
      <c r="E544" s="132" t="s">
        <v>1073</v>
      </c>
      <c r="F544" s="127"/>
      <c r="G544" s="133" t="s">
        <v>45</v>
      </c>
      <c r="H544" s="134"/>
      <c r="I544" s="156"/>
      <c r="J544" s="157"/>
      <c r="K544" s="158"/>
      <c r="L544" s="159"/>
      <c r="M544" s="127"/>
      <c r="N544" s="160"/>
      <c r="O544" s="161"/>
      <c r="P544" s="162"/>
      <c r="Q544" s="162"/>
      <c r="R544" s="161"/>
      <c r="S544" s="161"/>
      <c r="T544" s="162"/>
      <c r="U544" s="162"/>
      <c r="V544" s="161"/>
    </row>
    <row r="545" spans="1:22" ht="15" hidden="1" customHeight="1">
      <c r="A545" s="128" t="s">
        <v>1103</v>
      </c>
      <c r="B545" s="129"/>
      <c r="C545" s="130"/>
      <c r="D545" s="131" t="s">
        <v>117</v>
      </c>
      <c r="E545" s="132" t="s">
        <v>1073</v>
      </c>
      <c r="F545" s="127"/>
      <c r="G545" s="133" t="s">
        <v>45</v>
      </c>
      <c r="H545" s="134"/>
      <c r="I545" s="156"/>
      <c r="J545" s="157"/>
      <c r="K545" s="158"/>
      <c r="L545" s="159"/>
      <c r="M545" s="127"/>
      <c r="N545" s="160"/>
      <c r="O545" s="161"/>
      <c r="P545" s="162"/>
      <c r="Q545" s="162"/>
      <c r="R545" s="161"/>
      <c r="S545" s="161"/>
      <c r="T545" s="162"/>
      <c r="U545" s="162"/>
      <c r="V545" s="161"/>
    </row>
    <row r="546" spans="1:22" ht="15" hidden="1" customHeight="1">
      <c r="A546" s="128" t="s">
        <v>1104</v>
      </c>
      <c r="B546" s="129"/>
      <c r="C546" s="130"/>
      <c r="D546" s="131" t="s">
        <v>117</v>
      </c>
      <c r="E546" s="132" t="s">
        <v>1073</v>
      </c>
      <c r="F546" s="127"/>
      <c r="G546" s="133" t="s">
        <v>45</v>
      </c>
      <c r="H546" s="134"/>
      <c r="I546" s="156"/>
      <c r="J546" s="157"/>
      <c r="K546" s="158"/>
      <c r="L546" s="159"/>
      <c r="M546" s="127"/>
      <c r="N546" s="160"/>
      <c r="O546" s="161"/>
      <c r="P546" s="162"/>
      <c r="Q546" s="162"/>
      <c r="R546" s="161"/>
      <c r="S546" s="161"/>
      <c r="T546" s="162"/>
      <c r="U546" s="162"/>
      <c r="V546" s="161"/>
    </row>
    <row r="547" spans="1:22" ht="15" hidden="1" customHeight="1">
      <c r="A547" s="128" t="s">
        <v>1105</v>
      </c>
      <c r="B547" s="129"/>
      <c r="C547" s="130"/>
      <c r="D547" s="131" t="s">
        <v>117</v>
      </c>
      <c r="E547" s="132" t="s">
        <v>1073</v>
      </c>
      <c r="F547" s="127"/>
      <c r="G547" s="133" t="s">
        <v>45</v>
      </c>
      <c r="H547" s="134"/>
      <c r="I547" s="156"/>
      <c r="J547" s="157"/>
      <c r="K547" s="158"/>
      <c r="L547" s="159"/>
      <c r="M547" s="127"/>
      <c r="N547" s="160"/>
      <c r="O547" s="161"/>
      <c r="P547" s="162"/>
      <c r="Q547" s="162"/>
      <c r="R547" s="161"/>
      <c r="S547" s="161"/>
      <c r="T547" s="162"/>
      <c r="U547" s="162"/>
      <c r="V547" s="161"/>
    </row>
    <row r="548" spans="1:22" ht="15" hidden="1" customHeight="1">
      <c r="A548" s="128" t="s">
        <v>1106</v>
      </c>
      <c r="B548" s="129"/>
      <c r="C548" s="130"/>
      <c r="D548" s="131" t="s">
        <v>117</v>
      </c>
      <c r="E548" s="132" t="s">
        <v>1073</v>
      </c>
      <c r="F548" s="127"/>
      <c r="G548" s="133" t="s">
        <v>45</v>
      </c>
      <c r="H548" s="134"/>
      <c r="I548" s="156"/>
      <c r="J548" s="157"/>
      <c r="K548" s="158"/>
      <c r="L548" s="159"/>
      <c r="M548" s="127"/>
      <c r="N548" s="160"/>
      <c r="O548" s="161"/>
      <c r="P548" s="162"/>
      <c r="Q548" s="162"/>
      <c r="R548" s="161"/>
      <c r="S548" s="161"/>
      <c r="T548" s="162"/>
      <c r="U548" s="162"/>
      <c r="V548" s="161"/>
    </row>
    <row r="549" spans="1:22" ht="15" hidden="1" customHeight="1">
      <c r="A549" s="128" t="s">
        <v>1107</v>
      </c>
      <c r="B549" s="129"/>
      <c r="C549" s="130"/>
      <c r="D549" s="131" t="s">
        <v>117</v>
      </c>
      <c r="E549" s="132" t="s">
        <v>1073</v>
      </c>
      <c r="F549" s="127"/>
      <c r="G549" s="133" t="s">
        <v>45</v>
      </c>
      <c r="H549" s="134"/>
      <c r="I549" s="156"/>
      <c r="J549" s="157"/>
      <c r="K549" s="158"/>
      <c r="L549" s="159"/>
      <c r="M549" s="127"/>
      <c r="N549" s="160"/>
      <c r="O549" s="161"/>
      <c r="P549" s="162"/>
      <c r="Q549" s="162"/>
      <c r="R549" s="161"/>
      <c r="S549" s="161"/>
      <c r="T549" s="162"/>
      <c r="U549" s="162"/>
      <c r="V549" s="161"/>
    </row>
    <row r="550" spans="1:22" ht="15" hidden="1" customHeight="1">
      <c r="A550" s="128" t="s">
        <v>1108</v>
      </c>
      <c r="B550" s="129"/>
      <c r="C550" s="130"/>
      <c r="D550" s="131" t="s">
        <v>117</v>
      </c>
      <c r="E550" s="132" t="s">
        <v>1073</v>
      </c>
      <c r="F550" s="127"/>
      <c r="G550" s="133" t="s">
        <v>45</v>
      </c>
      <c r="H550" s="134"/>
      <c r="I550" s="156"/>
      <c r="J550" s="157"/>
      <c r="K550" s="158"/>
      <c r="L550" s="159"/>
      <c r="M550" s="127"/>
      <c r="N550" s="160"/>
      <c r="O550" s="161"/>
      <c r="P550" s="162"/>
      <c r="Q550" s="162"/>
      <c r="R550" s="161"/>
      <c r="S550" s="161"/>
      <c r="T550" s="162"/>
      <c r="U550" s="162"/>
      <c r="V550" s="161"/>
    </row>
    <row r="551" spans="1:22" ht="15" hidden="1" customHeight="1">
      <c r="A551" s="128" t="s">
        <v>1109</v>
      </c>
      <c r="B551" s="129"/>
      <c r="C551" s="130"/>
      <c r="D551" s="131" t="s">
        <v>117</v>
      </c>
      <c r="E551" s="132" t="s">
        <v>1073</v>
      </c>
      <c r="F551" s="127"/>
      <c r="G551" s="133" t="s">
        <v>45</v>
      </c>
      <c r="H551" s="134"/>
      <c r="I551" s="156"/>
      <c r="J551" s="157"/>
      <c r="K551" s="158"/>
      <c r="L551" s="159"/>
      <c r="M551" s="127"/>
      <c r="N551" s="160"/>
      <c r="O551" s="161"/>
      <c r="P551" s="162"/>
      <c r="Q551" s="162"/>
      <c r="R551" s="161"/>
      <c r="S551" s="161"/>
      <c r="T551" s="162"/>
      <c r="U551" s="162"/>
      <c r="V551" s="161"/>
    </row>
    <row r="552" spans="1:22" ht="15" hidden="1" customHeight="1">
      <c r="A552" s="128" t="s">
        <v>1110</v>
      </c>
      <c r="B552" s="129"/>
      <c r="C552" s="130"/>
      <c r="D552" s="131" t="s">
        <v>117</v>
      </c>
      <c r="E552" s="132" t="s">
        <v>1073</v>
      </c>
      <c r="F552" s="127"/>
      <c r="G552" s="133" t="s">
        <v>45</v>
      </c>
      <c r="H552" s="134"/>
      <c r="I552" s="156"/>
      <c r="J552" s="157"/>
      <c r="K552" s="158"/>
      <c r="L552" s="159"/>
      <c r="M552" s="127"/>
      <c r="N552" s="160"/>
      <c r="O552" s="161"/>
      <c r="P552" s="162"/>
      <c r="Q552" s="162"/>
      <c r="R552" s="161"/>
      <c r="S552" s="161"/>
      <c r="T552" s="162"/>
      <c r="U552" s="162"/>
      <c r="V552" s="161"/>
    </row>
    <row r="553" spans="1:22" ht="15" hidden="1" customHeight="1">
      <c r="A553" s="128" t="s">
        <v>1111</v>
      </c>
      <c r="B553" s="129"/>
      <c r="C553" s="130"/>
      <c r="D553" s="131" t="s">
        <v>117</v>
      </c>
      <c r="E553" s="132" t="s">
        <v>1073</v>
      </c>
      <c r="F553" s="127"/>
      <c r="G553" s="133" t="s">
        <v>45</v>
      </c>
      <c r="H553" s="134"/>
      <c r="I553" s="156"/>
      <c r="J553" s="157"/>
      <c r="K553" s="158"/>
      <c r="L553" s="159"/>
      <c r="M553" s="127"/>
      <c r="N553" s="160"/>
      <c r="O553" s="161"/>
      <c r="P553" s="162"/>
      <c r="Q553" s="162"/>
      <c r="R553" s="161"/>
      <c r="S553" s="161"/>
      <c r="T553" s="162"/>
      <c r="U553" s="162"/>
      <c r="V553" s="161"/>
    </row>
    <row r="554" spans="1:22" ht="15" hidden="1" customHeight="1">
      <c r="A554" s="128" t="s">
        <v>1112</v>
      </c>
      <c r="B554" s="129"/>
      <c r="C554" s="130"/>
      <c r="D554" s="131" t="s">
        <v>122</v>
      </c>
      <c r="E554" s="132" t="s">
        <v>1073</v>
      </c>
      <c r="F554" s="127"/>
      <c r="G554" s="133" t="s">
        <v>45</v>
      </c>
      <c r="H554" s="134"/>
      <c r="I554" s="156"/>
      <c r="J554" s="157"/>
      <c r="K554" s="158"/>
      <c r="L554" s="159"/>
      <c r="M554" s="127"/>
      <c r="N554" s="160"/>
      <c r="O554" s="161"/>
      <c r="P554" s="162"/>
      <c r="Q554" s="162"/>
      <c r="R554" s="161"/>
      <c r="S554" s="161"/>
      <c r="T554" s="162"/>
      <c r="U554" s="162"/>
      <c r="V554" s="161"/>
    </row>
    <row r="555" spans="1:22" ht="15" hidden="1" customHeight="1">
      <c r="A555" s="128" t="s">
        <v>1113</v>
      </c>
      <c r="B555" s="129"/>
      <c r="C555" s="130"/>
      <c r="D555" s="131" t="s">
        <v>122</v>
      </c>
      <c r="E555" s="132" t="s">
        <v>992</v>
      </c>
      <c r="F555" s="127"/>
      <c r="G555" s="133" t="s">
        <v>45</v>
      </c>
      <c r="H555" s="134"/>
      <c r="I555" s="156"/>
      <c r="J555" s="157"/>
      <c r="K555" s="158"/>
      <c r="L555" s="159"/>
      <c r="M555" s="127"/>
      <c r="N555" s="160"/>
      <c r="O555" s="161"/>
      <c r="P555" s="162"/>
      <c r="Q555" s="162"/>
      <c r="R555" s="161"/>
      <c r="S555" s="161"/>
      <c r="T555" s="162"/>
      <c r="U555" s="162"/>
      <c r="V555" s="161"/>
    </row>
    <row r="556" spans="1:22" ht="15" hidden="1" customHeight="1">
      <c r="A556" s="128" t="s">
        <v>1114</v>
      </c>
      <c r="B556" s="129"/>
      <c r="C556" s="130"/>
      <c r="D556" s="131" t="s">
        <v>117</v>
      </c>
      <c r="E556" s="132" t="s">
        <v>992</v>
      </c>
      <c r="F556" s="127"/>
      <c r="G556" s="133" t="s">
        <v>45</v>
      </c>
      <c r="H556" s="134"/>
      <c r="I556" s="156"/>
      <c r="J556" s="157"/>
      <c r="K556" s="158"/>
      <c r="L556" s="159"/>
      <c r="M556" s="127"/>
      <c r="N556" s="160"/>
      <c r="O556" s="161"/>
      <c r="P556" s="162"/>
      <c r="Q556" s="162"/>
      <c r="R556" s="161"/>
      <c r="S556" s="161"/>
      <c r="T556" s="162"/>
      <c r="U556" s="162"/>
      <c r="V556" s="161"/>
    </row>
  </sheetData>
  <sheetProtection autoFilter="0"/>
  <autoFilter ref="A36:R556">
    <filterColumn colId="6">
      <filters>
        <filter val="A"/>
        <filter val="B"/>
        <filter val="C"/>
        <filter val="D"/>
        <filter val="E"/>
        <filter val="F"/>
        <filter val="G"/>
        <filter val="H"/>
        <filter val="J"/>
        <filter val="K"/>
      </filters>
    </filterColumn>
  </autoFilter>
  <mergeCells count="23">
    <mergeCell ref="O24:V24"/>
    <mergeCell ref="O25:V25"/>
    <mergeCell ref="G26:L26"/>
    <mergeCell ref="I27:L27"/>
    <mergeCell ref="I28:J28"/>
    <mergeCell ref="N24:N25"/>
    <mergeCell ref="N26:N34"/>
    <mergeCell ref="O26:R27"/>
    <mergeCell ref="S26:V27"/>
    <mergeCell ref="O28:R33"/>
    <mergeCell ref="S28:V33"/>
    <mergeCell ref="D26:D33"/>
    <mergeCell ref="E26:E34"/>
    <mergeCell ref="F24:F25"/>
    <mergeCell ref="G27:G34"/>
    <mergeCell ref="H27:H34"/>
    <mergeCell ref="D24:E25"/>
    <mergeCell ref="G24:L25"/>
    <mergeCell ref="I29:J29"/>
    <mergeCell ref="I30:J30"/>
    <mergeCell ref="I31:J31"/>
    <mergeCell ref="I32:J32"/>
    <mergeCell ref="I33:J33"/>
  </mergeCells>
  <phoneticPr fontId="14" type="noConversion"/>
  <conditionalFormatting sqref="I37">
    <cfRule type="expression" priority="80" stopIfTrue="1">
      <formula>G37=""</formula>
    </cfRule>
    <cfRule type="cellIs" dxfId="88" priority="82" operator="equal">
      <formula>"NOK"</formula>
    </cfRule>
    <cfRule type="expression" dxfId="87" priority="95">
      <formula>G37&lt;&gt;"NA"</formula>
    </cfRule>
    <cfRule type="cellIs" dxfId="86" priority="93" stopIfTrue="1" operator="equal">
      <formula>"NOK"</formula>
    </cfRule>
    <cfRule type="cellIs" dxfId="85" priority="94" stopIfTrue="1" operator="equal">
      <formula>"OK"</formula>
    </cfRule>
    <cfRule type="cellIs" dxfId="84" priority="81" operator="equal">
      <formula>"OK"</formula>
    </cfRule>
  </conditionalFormatting>
  <conditionalFormatting sqref="K37">
    <cfRule type="expression" dxfId="83" priority="83">
      <formula>AND(I37="NOK",K37="EN ATTENTE")</formula>
    </cfRule>
    <cfRule type="expression" dxfId="82" priority="84">
      <formula>AND(I37="NOK",K37="")</formula>
    </cfRule>
    <cfRule type="expression" dxfId="81" priority="85">
      <formula>AND(I37="OK",K37="")</formula>
    </cfRule>
    <cfRule type="expression" dxfId="80" priority="86">
      <formula>AND(I37="OK",K37="EN ATTENTE")</formula>
    </cfRule>
    <cfRule type="expression" dxfId="79" priority="87">
      <formula>AND(I37="OK",K37="NOK")</formula>
    </cfRule>
    <cfRule type="expression" dxfId="78" priority="88">
      <formula>AND(I37="NOK",K37="DEVIATION")</formula>
    </cfRule>
    <cfRule type="expression" dxfId="77" priority="89">
      <formula>AND(I37="NOK",K37="NA")</formula>
    </cfRule>
    <cfRule type="expression" dxfId="76" priority="90">
      <formula>AND(I37="OK",K37="OK")</formula>
    </cfRule>
    <cfRule type="expression" dxfId="75" priority="91">
      <formula>AND(I37="OK",K37="NA")</formula>
    </cfRule>
    <cfRule type="expression" dxfId="74" priority="92">
      <formula>AND(I37="NOK",K37="NOK")</formula>
    </cfRule>
  </conditionalFormatting>
  <conditionalFormatting sqref="I329">
    <cfRule type="expression" priority="19" stopIfTrue="1">
      <formula>H329=""</formula>
    </cfRule>
    <cfRule type="cellIs" dxfId="73" priority="20" operator="equal">
      <formula>"OK"</formula>
    </cfRule>
    <cfRule type="cellIs" dxfId="72" priority="21" operator="equal">
      <formula>"NOK"</formula>
    </cfRule>
    <cfRule type="cellIs" dxfId="71" priority="22" stopIfTrue="1" operator="equal">
      <formula>"NOK"</formula>
    </cfRule>
    <cfRule type="cellIs" dxfId="70" priority="23" stopIfTrue="1" operator="equal">
      <formula>"OK"</formula>
    </cfRule>
    <cfRule type="expression" dxfId="69" priority="24">
      <formula>H329&lt;&gt;"NA"</formula>
    </cfRule>
  </conditionalFormatting>
  <conditionalFormatting sqref="I337">
    <cfRule type="expression" priority="13" stopIfTrue="1">
      <formula>H337=""</formula>
    </cfRule>
    <cfRule type="cellIs" dxfId="68" priority="14" operator="equal">
      <formula>"OK"</formula>
    </cfRule>
    <cfRule type="cellIs" dxfId="67" priority="15" operator="equal">
      <formula>"NOK"</formula>
    </cfRule>
    <cfRule type="cellIs" dxfId="66" priority="16" stopIfTrue="1" operator="equal">
      <formula>"NOK"</formula>
    </cfRule>
    <cfRule type="cellIs" dxfId="65" priority="17" stopIfTrue="1" operator="equal">
      <formula>"OK"</formula>
    </cfRule>
    <cfRule type="expression" dxfId="64" priority="18">
      <formula>H337&lt;&gt;"NA"</formula>
    </cfRule>
  </conditionalFormatting>
  <conditionalFormatting sqref="I358">
    <cfRule type="expression" priority="7" stopIfTrue="1">
      <formula>H358=""</formula>
    </cfRule>
    <cfRule type="cellIs" dxfId="63" priority="8" operator="equal">
      <formula>"OK"</formula>
    </cfRule>
    <cfRule type="cellIs" dxfId="62" priority="9" operator="equal">
      <formula>"NOK"</formula>
    </cfRule>
    <cfRule type="cellIs" dxfId="61" priority="10" stopIfTrue="1" operator="equal">
      <formula>"NOK"</formula>
    </cfRule>
    <cfRule type="cellIs" dxfId="60" priority="11" stopIfTrue="1" operator="equal">
      <formula>"OK"</formula>
    </cfRule>
    <cfRule type="expression" dxfId="59" priority="12">
      <formula>H358&lt;&gt;"NA"</formula>
    </cfRule>
  </conditionalFormatting>
  <conditionalFormatting sqref="I367">
    <cfRule type="expression" priority="1" stopIfTrue="1">
      <formula>H367=""</formula>
    </cfRule>
    <cfRule type="cellIs" dxfId="58" priority="2" operator="equal">
      <formula>"OK"</formula>
    </cfRule>
    <cfRule type="cellIs" dxfId="57" priority="3" operator="equal">
      <formula>"NOK"</formula>
    </cfRule>
    <cfRule type="cellIs" dxfId="56" priority="4" stopIfTrue="1" operator="equal">
      <formula>"NOK"</formula>
    </cfRule>
    <cfRule type="cellIs" dxfId="55" priority="5" stopIfTrue="1" operator="equal">
      <formula>"OK"</formula>
    </cfRule>
    <cfRule type="expression" dxfId="54" priority="6">
      <formula>H367&lt;&gt;"NA"</formula>
    </cfRule>
  </conditionalFormatting>
  <conditionalFormatting sqref="J475">
    <cfRule type="expression" dxfId="53" priority="1013">
      <formula>AND(#REF!="NOK",J475="EN ATTENTE")</formula>
    </cfRule>
    <cfRule type="expression" dxfId="52" priority="1014">
      <formula>AND(#REF!="NOK",J475="")</formula>
    </cfRule>
    <cfRule type="expression" dxfId="51" priority="1015">
      <formula>AND(#REF!="OK",J475="")</formula>
    </cfRule>
    <cfRule type="expression" dxfId="50" priority="1016">
      <formula>AND(#REF!="OK",J475="EN ATTENTE")</formula>
    </cfRule>
    <cfRule type="expression" dxfId="49" priority="1017">
      <formula>AND(#REF!="OK",J475="NOK")</formula>
    </cfRule>
    <cfRule type="expression" dxfId="48" priority="1018">
      <formula>AND(#REF!="NOK",J475="DEVIATION")</formula>
    </cfRule>
    <cfRule type="expression" dxfId="47" priority="1019">
      <formula>AND(#REF!="NOK",J475="NA")</formula>
    </cfRule>
    <cfRule type="expression" dxfId="46" priority="1020">
      <formula>AND(#REF!="OK",J475="OK")</formula>
    </cfRule>
    <cfRule type="expression" dxfId="45" priority="1021">
      <formula>AND(#REF!="OK",J475="NA")</formula>
    </cfRule>
    <cfRule type="expression" dxfId="44" priority="1022">
      <formula>AND(#REF!="NOK",J475="NOK")</formula>
    </cfRule>
  </conditionalFormatting>
  <conditionalFormatting sqref="D37:D556">
    <cfRule type="expression" dxfId="43" priority="39" stopIfTrue="1">
      <formula>D37&lt;&gt;#REF!</formula>
    </cfRule>
    <cfRule type="expression" dxfId="42" priority="38" stopIfTrue="1">
      <formula>AND(#REF!="",D37&lt;&gt;"")</formula>
    </cfRule>
  </conditionalFormatting>
  <conditionalFormatting sqref="G37:G556">
    <cfRule type="expression" dxfId="41" priority="37" stopIfTrue="1">
      <formula>OR(G37="",G37="NA")</formula>
    </cfRule>
  </conditionalFormatting>
  <conditionalFormatting sqref="I476:I481">
    <cfRule type="expression" priority="31" stopIfTrue="1">
      <formula>H476=""</formula>
    </cfRule>
    <cfRule type="cellIs" dxfId="40" priority="32" operator="equal">
      <formula>"OK"</formula>
    </cfRule>
    <cfRule type="cellIs" dxfId="39" priority="33" operator="equal">
      <formula>"NOK"</formula>
    </cfRule>
    <cfRule type="cellIs" dxfId="38" priority="34" stopIfTrue="1" operator="equal">
      <formula>"NOK"</formula>
    </cfRule>
    <cfRule type="cellIs" dxfId="37" priority="35" stopIfTrue="1" operator="equal">
      <formula>"OK"</formula>
    </cfRule>
    <cfRule type="expression" dxfId="36" priority="36">
      <formula>H476&lt;&gt;"NA"</formula>
    </cfRule>
  </conditionalFormatting>
  <conditionalFormatting sqref="E36:E37 N36:N37">
    <cfRule type="cellIs" dxfId="35" priority="1010" stopIfTrue="1" operator="greaterThan">
      <formula>#REF!</formula>
    </cfRule>
    <cfRule type="cellIs" dxfId="34" priority="1011" stopIfTrue="1" operator="equal">
      <formula>""</formula>
    </cfRule>
    <cfRule type="cellIs" dxfId="33" priority="1012" stopIfTrue="1" operator="lessThan">
      <formula>#REF!</formula>
    </cfRule>
  </conditionalFormatting>
  <conditionalFormatting sqref="P37 T37">
    <cfRule type="cellIs" dxfId="32" priority="227" stopIfTrue="1" operator="equal">
      <formula>"Test NOK"</formula>
    </cfRule>
    <cfRule type="cellIs" dxfId="31" priority="228" stopIfTrue="1" operator="equal">
      <formula>"Test OK"</formula>
    </cfRule>
  </conditionalFormatting>
  <conditionalFormatting sqref="Q37 U37">
    <cfRule type="cellIs" dxfId="30" priority="224" stopIfTrue="1" operator="equal">
      <formula>"NOK"</formula>
    </cfRule>
    <cfRule type="cellIs" dxfId="29" priority="225" stopIfTrue="1" operator="equal">
      <formula>"OK"</formula>
    </cfRule>
    <cfRule type="cellIs" dxfId="28" priority="226" stopIfTrue="1" operator="equal">
      <formula>"Partiel"</formula>
    </cfRule>
  </conditionalFormatting>
  <conditionalFormatting sqref="E38:E556 N38:N556">
    <cfRule type="cellIs" dxfId="27" priority="77" stopIfTrue="1" operator="greaterThan">
      <formula>#REF!</formula>
    </cfRule>
    <cfRule type="cellIs" dxfId="26" priority="78" stopIfTrue="1" operator="equal">
      <formula>""</formula>
    </cfRule>
    <cfRule type="cellIs" dxfId="25" priority="79" stopIfTrue="1" operator="lessThan">
      <formula>#REF!</formula>
    </cfRule>
  </conditionalFormatting>
  <conditionalFormatting sqref="I38:I314 I482:I556">
    <cfRule type="expression" priority="40" stopIfTrue="1">
      <formula>G38=""</formula>
    </cfRule>
    <cfRule type="cellIs" dxfId="24" priority="41" operator="equal">
      <formula>"OK"</formula>
    </cfRule>
    <cfRule type="cellIs" dxfId="23" priority="42" operator="equal">
      <formula>"NOK"</formula>
    </cfRule>
    <cfRule type="cellIs" dxfId="22" priority="53" stopIfTrue="1" operator="equal">
      <formula>"NOK"</formula>
    </cfRule>
    <cfRule type="cellIs" dxfId="21" priority="54" stopIfTrue="1" operator="equal">
      <formula>"OK"</formula>
    </cfRule>
    <cfRule type="expression" dxfId="20" priority="55">
      <formula>G38&lt;&gt;"NA"</formula>
    </cfRule>
  </conditionalFormatting>
  <conditionalFormatting sqref="K38:K314 K482:K556">
    <cfRule type="expression" dxfId="19" priority="43">
      <formula>AND(I38="NOK",K38="EN ATTENTE")</formula>
    </cfRule>
    <cfRule type="expression" dxfId="18" priority="44">
      <formula>AND(I38="NOK",K38="")</formula>
    </cfRule>
    <cfRule type="expression" dxfId="17" priority="45">
      <formula>AND(I38="OK",K38="")</formula>
    </cfRule>
    <cfRule type="expression" dxfId="16" priority="46">
      <formula>AND(I38="OK",K38="EN ATTENTE")</formula>
    </cfRule>
    <cfRule type="expression" dxfId="15" priority="47">
      <formula>AND(I38="OK",K38="NOK")</formula>
    </cfRule>
    <cfRule type="expression" dxfId="14" priority="48">
      <formula>AND(I38="NOK",K38="DEVIATION")</formula>
    </cfRule>
    <cfRule type="expression" dxfId="13" priority="49">
      <formula>AND(I38="NOK",K38="NA")</formula>
    </cfRule>
    <cfRule type="expression" dxfId="12" priority="50">
      <formula>AND(I38="OK",K38="OK")</formula>
    </cfRule>
    <cfRule type="expression" dxfId="11" priority="51">
      <formula>AND(I38="OK",K38="NA")</formula>
    </cfRule>
    <cfRule type="expression" dxfId="10" priority="52">
      <formula>AND(I38="NOK",K38="NOK")</formula>
    </cfRule>
  </conditionalFormatting>
  <conditionalFormatting sqref="P38:P556 T38:T556">
    <cfRule type="cellIs" dxfId="9" priority="74" stopIfTrue="1" operator="equal">
      <formula>"Test NOK"</formula>
    </cfRule>
    <cfRule type="cellIs" dxfId="8" priority="75" stopIfTrue="1" operator="equal">
      <formula>"Test OK"</formula>
    </cfRule>
  </conditionalFormatting>
  <conditionalFormatting sqref="Q38:Q556 U38:U556">
    <cfRule type="cellIs" dxfId="7" priority="71" stopIfTrue="1" operator="equal">
      <formula>"NOK"</formula>
    </cfRule>
    <cfRule type="cellIs" dxfId="6" priority="72" stopIfTrue="1" operator="equal">
      <formula>"OK"</formula>
    </cfRule>
    <cfRule type="cellIs" dxfId="5" priority="73" stopIfTrue="1" operator="equal">
      <formula>"Partiel"</formula>
    </cfRule>
  </conditionalFormatting>
  <conditionalFormatting sqref="I315:I328 I359:I366 I338:I357 I330:I336 I368:I474">
    <cfRule type="expression" priority="25" stopIfTrue="1">
      <formula>H315=""</formula>
    </cfRule>
    <cfRule type="cellIs" dxfId="4" priority="26" operator="equal">
      <formula>"OK"</formula>
    </cfRule>
    <cfRule type="cellIs" dxfId="3" priority="27" operator="equal">
      <formula>"NOK"</formula>
    </cfRule>
    <cfRule type="cellIs" dxfId="2" priority="28" stopIfTrue="1" operator="equal">
      <formula>"NOK"</formula>
    </cfRule>
    <cfRule type="cellIs" dxfId="1" priority="29" stopIfTrue="1" operator="equal">
      <formula>"OK"</formula>
    </cfRule>
    <cfRule type="expression" dxfId="0" priority="30">
      <formula>H315&lt;&gt;"NA"</formula>
    </cfRule>
  </conditionalFormatting>
  <dataValidations count="5">
    <dataValidation showInputMessage="1" showErrorMessage="1" sqref="I475 J476:J556 J37:J474"/>
    <dataValidation type="list" allowBlank="1" showInputMessage="1" showErrorMessage="1" sqref="J475 K37:K314 K482:K556">
      <formula1>IF(INDEX($1:$1048576,ROW(),COLUMN()-2)=$A$2,$A$2:$A$5,$A$3:$A$6)</formula1>
    </dataValidation>
    <dataValidation type="list" showInputMessage="1" showErrorMessage="1" sqref="I37:I474 I476:I556">
      <formula1>$A$2:$A$3</formula1>
    </dataValidation>
    <dataValidation type="list" showInputMessage="1" showErrorMessage="1" sqref="P37:P556 T37:T556">
      <formula1>#REF!</formula1>
    </dataValidation>
    <dataValidation type="list" showInputMessage="1" showErrorMessage="1" sqref="Q37:Q556 U37:U556">
      <formula1>$A$1:$A$3</formula1>
    </dataValidation>
  </dataValidations>
  <hyperlinks>
    <hyperlink ref="A9" r:id="rId1"/>
    <hyperlink ref="A10" r:id="rId2"/>
    <hyperlink ref="A8" r:id="rId3"/>
    <hyperlink ref="A11" r:id="rId4"/>
    <hyperlink ref="A14" r:id="rId5"/>
    <hyperlink ref="A18" r:id="rId6"/>
    <hyperlink ref="A17" r:id="rId7"/>
    <hyperlink ref="A15" r:id="rId8"/>
    <hyperlink ref="A19" r:id="rId9"/>
    <hyperlink ref="A12" r:id="rId10"/>
    <hyperlink ref="A20" r:id="rId11"/>
    <hyperlink ref="A21" r:id="rId12"/>
    <hyperlink ref="A22" r:id="rId13"/>
  </hyperlinks>
  <pageMargins left="0.78740157499999996" right="0.78740157499999996" top="0.984251969" bottom="0.984251969" header="0.4921259845" footer="0.4921259845"/>
  <pageSetup paperSize="9" orientation="portrait" r:id="rId14"/>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FFC000"/>
  </sheetPr>
  <dimension ref="A1:AO20"/>
  <sheetViews>
    <sheetView workbookViewId="0">
      <selection activeCell="B17" sqref="B17"/>
    </sheetView>
  </sheetViews>
  <sheetFormatPr defaultColWidth="11.453125" defaultRowHeight="13.5" customHeight="1"/>
  <cols>
    <col min="1" max="1" width="26.81640625" style="2" customWidth="1"/>
    <col min="2" max="2" width="17.453125" style="2" customWidth="1"/>
    <col min="3" max="3" width="18.453125" style="2" customWidth="1"/>
    <col min="4" max="4" width="28" style="2" customWidth="1"/>
    <col min="5" max="5" width="20" style="2" customWidth="1"/>
    <col min="6" max="6" width="16.26953125" style="2" customWidth="1"/>
    <col min="7" max="7" width="12.26953125" style="2" customWidth="1"/>
    <col min="8" max="8" width="9.26953125" style="2" customWidth="1"/>
    <col min="9" max="9" width="16.1796875" style="2" customWidth="1"/>
    <col min="10" max="13" width="6.81640625" style="2" customWidth="1"/>
    <col min="14" max="14" width="2.26953125" style="2" customWidth="1"/>
    <col min="15" max="16" width="10.7265625" style="2" customWidth="1"/>
    <col min="17" max="33" width="3.7265625" style="2" customWidth="1"/>
    <col min="34" max="16384" width="11.453125" style="2"/>
  </cols>
  <sheetData>
    <row r="1" spans="1:41" customFormat="1" ht="13.75">
      <c r="A1" s="63"/>
      <c r="B1" s="63"/>
      <c r="C1" s="63"/>
      <c r="D1" s="63"/>
      <c r="E1" s="63"/>
      <c r="F1" s="63"/>
      <c r="G1" s="63"/>
      <c r="H1" s="63"/>
      <c r="I1" s="63"/>
      <c r="J1" s="76"/>
      <c r="K1" s="76"/>
      <c r="L1" s="76"/>
      <c r="M1" s="66"/>
      <c r="N1" s="66"/>
      <c r="O1" s="66"/>
      <c r="P1" s="66"/>
      <c r="Q1" s="66"/>
      <c r="R1" s="66"/>
      <c r="S1" s="66"/>
      <c r="T1" s="66"/>
      <c r="U1" s="66"/>
      <c r="V1" s="66"/>
      <c r="W1" s="66"/>
      <c r="X1" s="66"/>
      <c r="Y1" s="66"/>
      <c r="Z1" s="66"/>
      <c r="AA1" s="66"/>
      <c r="AB1" s="66"/>
      <c r="AC1" s="66"/>
      <c r="AD1" s="66"/>
      <c r="AE1" s="66"/>
      <c r="AF1" s="66"/>
      <c r="AG1" s="66"/>
      <c r="AH1" s="66"/>
      <c r="AI1" s="66"/>
      <c r="AJ1" s="66"/>
      <c r="AK1" s="66"/>
      <c r="AL1" s="66"/>
      <c r="AM1" s="66"/>
      <c r="AN1" s="66"/>
      <c r="AO1" s="66"/>
    </row>
    <row r="2" spans="1:41" customFormat="1" ht="13.75">
      <c r="A2" s="63"/>
      <c r="B2" s="63"/>
      <c r="C2" s="63"/>
      <c r="D2" s="63"/>
      <c r="E2" s="63"/>
      <c r="F2" s="63"/>
      <c r="G2" s="63"/>
      <c r="H2" s="63"/>
      <c r="I2" s="63"/>
      <c r="J2" s="66"/>
      <c r="K2" s="66"/>
      <c r="L2" s="66"/>
      <c r="M2" s="66"/>
      <c r="N2" s="66"/>
      <c r="O2" s="66"/>
      <c r="P2" s="66"/>
      <c r="Q2" s="66"/>
      <c r="R2" s="66"/>
      <c r="S2" s="66"/>
      <c r="T2" s="66"/>
      <c r="U2" s="66"/>
      <c r="V2" s="66"/>
      <c r="W2" s="66"/>
      <c r="X2" s="66"/>
      <c r="Y2" s="66"/>
      <c r="Z2" s="66"/>
      <c r="AA2" s="66"/>
      <c r="AB2" s="66"/>
      <c r="AC2" s="66"/>
      <c r="AD2" s="66"/>
      <c r="AE2" s="66"/>
      <c r="AF2" s="66"/>
      <c r="AG2" s="66"/>
      <c r="AH2" s="66"/>
      <c r="AI2" s="66"/>
      <c r="AJ2" s="66"/>
      <c r="AK2" s="66"/>
      <c r="AL2" s="66"/>
      <c r="AM2" s="66"/>
      <c r="AN2" s="66"/>
      <c r="AO2" s="66"/>
    </row>
    <row r="3" spans="1:41" customFormat="1" ht="14">
      <c r="A3" s="64"/>
      <c r="B3" s="64"/>
      <c r="C3" s="65"/>
      <c r="D3" s="66"/>
      <c r="E3" s="66"/>
      <c r="F3" s="66"/>
      <c r="G3" s="66"/>
      <c r="H3" s="66"/>
      <c r="I3" s="66"/>
      <c r="J3" s="66"/>
      <c r="K3" s="66"/>
      <c r="L3" s="66"/>
      <c r="M3" s="66"/>
      <c r="N3" s="66"/>
      <c r="O3" s="66"/>
      <c r="P3" s="66"/>
      <c r="Q3" s="66"/>
      <c r="R3" s="66"/>
      <c r="S3" s="66"/>
      <c r="T3" s="66"/>
      <c r="U3" s="66"/>
      <c r="V3" s="66"/>
      <c r="W3" s="66"/>
      <c r="X3" s="66"/>
      <c r="Y3" s="66"/>
      <c r="Z3" s="66"/>
      <c r="AA3" s="66"/>
      <c r="AB3" s="66"/>
      <c r="AC3" s="66"/>
      <c r="AD3" s="66"/>
      <c r="AE3" s="66"/>
      <c r="AF3" s="66"/>
      <c r="AG3" s="66"/>
      <c r="AH3" s="66"/>
      <c r="AI3" s="66"/>
      <c r="AJ3" s="66"/>
      <c r="AK3" s="66"/>
      <c r="AL3" s="66"/>
      <c r="AM3" s="66"/>
      <c r="AN3" s="66"/>
      <c r="AO3" s="66"/>
    </row>
    <row r="4" spans="1:41" s="62" customFormat="1" ht="39" customHeight="1">
      <c r="A4" s="67" t="s">
        <v>1115</v>
      </c>
      <c r="B4" s="68"/>
      <c r="C4" s="69"/>
      <c r="D4" s="310" t="s">
        <v>1116</v>
      </c>
      <c r="E4" s="311"/>
      <c r="F4" s="311"/>
      <c r="G4" s="311"/>
      <c r="H4" s="312"/>
      <c r="I4" s="313" t="s">
        <v>1117</v>
      </c>
      <c r="J4" s="314"/>
      <c r="K4" s="314"/>
      <c r="L4" s="314"/>
      <c r="M4" s="315"/>
      <c r="N4" s="66"/>
      <c r="O4" s="77" t="s">
        <v>1118</v>
      </c>
      <c r="P4" s="78"/>
      <c r="Q4" s="78"/>
      <c r="R4" s="84"/>
      <c r="S4" s="84"/>
      <c r="T4" s="84"/>
      <c r="U4" s="85"/>
      <c r="V4" s="66"/>
      <c r="W4" s="316" t="s">
        <v>1119</v>
      </c>
      <c r="X4" s="317"/>
      <c r="Y4" s="317"/>
      <c r="Z4" s="317"/>
      <c r="AA4" s="318"/>
      <c r="AB4" s="66"/>
      <c r="AC4" s="316" t="s">
        <v>1120</v>
      </c>
      <c r="AD4" s="317"/>
      <c r="AE4" s="317"/>
      <c r="AF4" s="317"/>
      <c r="AG4" s="318"/>
      <c r="AH4" s="66"/>
      <c r="AI4" s="66"/>
      <c r="AJ4" s="66"/>
      <c r="AK4" s="66"/>
      <c r="AL4" s="66"/>
      <c r="AM4" s="66"/>
      <c r="AN4" s="66"/>
      <c r="AO4" s="66"/>
    </row>
    <row r="5" spans="1:41" customFormat="1" ht="113.25" customHeight="1">
      <c r="A5" s="70" t="s">
        <v>1121</v>
      </c>
      <c r="B5" s="70" t="s">
        <v>1122</v>
      </c>
      <c r="C5" s="70" t="s">
        <v>1123</v>
      </c>
      <c r="D5" s="71" t="s">
        <v>1124</v>
      </c>
      <c r="E5" s="72" t="s">
        <v>1125</v>
      </c>
      <c r="F5" s="72" t="s">
        <v>1126</v>
      </c>
      <c r="G5" s="72" t="s">
        <v>1127</v>
      </c>
      <c r="H5" s="73" t="s">
        <v>1128</v>
      </c>
      <c r="I5" s="79" t="s">
        <v>1129</v>
      </c>
      <c r="J5" s="79" t="s">
        <v>1130</v>
      </c>
      <c r="K5" s="79" t="s">
        <v>1131</v>
      </c>
      <c r="L5" s="79" t="s">
        <v>1132</v>
      </c>
      <c r="M5" s="80" t="s">
        <v>1133</v>
      </c>
      <c r="N5" s="66"/>
      <c r="O5" s="81" t="s">
        <v>1134</v>
      </c>
      <c r="P5" s="82" t="s">
        <v>1135</v>
      </c>
      <c r="Q5" s="82" t="s">
        <v>1136</v>
      </c>
      <c r="R5" s="82" t="s">
        <v>1137</v>
      </c>
      <c r="S5" s="82" t="s">
        <v>1138</v>
      </c>
      <c r="T5" s="82" t="s">
        <v>1139</v>
      </c>
      <c r="U5" s="82" t="s">
        <v>1140</v>
      </c>
      <c r="V5" s="66"/>
      <c r="W5" s="86" t="s">
        <v>1141</v>
      </c>
      <c r="X5" s="82" t="s">
        <v>1142</v>
      </c>
      <c r="Y5" s="82" t="s">
        <v>1143</v>
      </c>
      <c r="Z5" s="87" t="s">
        <v>1144</v>
      </c>
      <c r="AA5" s="88" t="s">
        <v>1145</v>
      </c>
      <c r="AB5" s="66"/>
      <c r="AC5" s="86" t="s">
        <v>1141</v>
      </c>
      <c r="AD5" s="82" t="s">
        <v>1142</v>
      </c>
      <c r="AE5" s="82" t="s">
        <v>1143</v>
      </c>
      <c r="AF5" s="87" t="s">
        <v>1144</v>
      </c>
      <c r="AG5" s="88" t="s">
        <v>1145</v>
      </c>
      <c r="AH5" s="66"/>
      <c r="AI5" s="66"/>
      <c r="AJ5" s="66"/>
      <c r="AK5" s="66"/>
      <c r="AL5" s="66"/>
      <c r="AM5" s="66"/>
      <c r="AN5" s="66"/>
      <c r="AO5" s="66"/>
    </row>
    <row r="6" spans="1:41" customFormat="1" ht="62.25" customHeight="1">
      <c r="F6" s="74"/>
      <c r="J6" s="83"/>
      <c r="M6" s="83"/>
      <c r="O6" s="83"/>
      <c r="P6" s="83"/>
    </row>
    <row r="20" spans="5:5" ht="13.5" customHeight="1">
      <c r="E20" s="75"/>
    </row>
  </sheetData>
  <mergeCells count="4">
    <mergeCell ref="D4:H4"/>
    <mergeCell ref="I4:M4"/>
    <mergeCell ref="W4:AA4"/>
    <mergeCell ref="AC4:AG4"/>
  </mergeCells>
  <phoneticPr fontId="14" type="noConversion"/>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indexed="33"/>
  </sheetPr>
  <dimension ref="A1"/>
  <sheetViews>
    <sheetView workbookViewId="0">
      <selection activeCell="H45" sqref="H45"/>
    </sheetView>
  </sheetViews>
  <sheetFormatPr defaultColWidth="10.90625" defaultRowHeight="12.5"/>
  <sheetData/>
  <phoneticPr fontId="14" type="noConversion"/>
  <pageMargins left="0.78740157499999996" right="0.78740157499999996" top="0.984251969" bottom="0.984251969" header="0.4921259845" footer="0.492125984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N24"/>
  <sheetViews>
    <sheetView zoomScale="90" zoomScaleNormal="90" workbookViewId="0">
      <selection activeCell="J47" sqref="J47"/>
    </sheetView>
  </sheetViews>
  <sheetFormatPr defaultColWidth="11.453125" defaultRowHeight="12.5"/>
  <cols>
    <col min="1" max="1" width="11.453125" style="18"/>
    <col min="2" max="2" width="13.1796875" style="18" customWidth="1"/>
    <col min="3" max="3" width="13.81640625" style="18" customWidth="1"/>
    <col min="4" max="8" width="11.453125" style="18"/>
    <col min="9" max="9" width="9" style="18" customWidth="1"/>
    <col min="10" max="13" width="11.453125" style="18"/>
    <col min="14" max="14" width="36.453125" style="18" customWidth="1"/>
    <col min="15" max="15" width="24.7265625" style="18" customWidth="1"/>
    <col min="16" max="16384" width="11.453125" style="18"/>
  </cols>
  <sheetData>
    <row r="1" spans="1:14" ht="12.75" customHeight="1">
      <c r="A1" s="60" t="s">
        <v>1146</v>
      </c>
      <c r="B1" s="20"/>
      <c r="C1" s="319" t="s">
        <v>1147</v>
      </c>
      <c r="D1" s="319"/>
      <c r="E1" s="319"/>
      <c r="F1" s="319"/>
      <c r="G1" s="319"/>
      <c r="H1" s="21"/>
      <c r="I1" s="23"/>
      <c r="J1" s="44"/>
      <c r="K1" s="44"/>
    </row>
    <row r="2" spans="1:14" ht="15.75" customHeight="1">
      <c r="A2" s="21"/>
      <c r="B2" s="22"/>
      <c r="C2" s="320"/>
      <c r="D2" s="320"/>
      <c r="E2" s="320"/>
      <c r="F2" s="320"/>
      <c r="G2" s="320"/>
      <c r="H2" s="23"/>
      <c r="I2" s="23"/>
      <c r="J2" s="44"/>
      <c r="K2" s="44"/>
    </row>
    <row r="4" spans="1:14">
      <c r="A4" s="24" t="s">
        <v>1148</v>
      </c>
      <c r="B4" s="24"/>
      <c r="C4" s="24"/>
      <c r="D4" s="24"/>
      <c r="E4" s="24"/>
      <c r="F4" s="24"/>
      <c r="G4" s="24"/>
      <c r="H4" s="24"/>
      <c r="I4" s="24"/>
      <c r="J4" s="24"/>
    </row>
    <row r="5" spans="1:14" ht="41.25" customHeight="1">
      <c r="A5" s="322" t="s">
        <v>1149</v>
      </c>
      <c r="B5" s="322"/>
      <c r="C5" s="322"/>
      <c r="D5" s="322"/>
      <c r="E5" s="322"/>
      <c r="F5" s="322"/>
      <c r="G5" s="322"/>
      <c r="H5" s="322"/>
      <c r="I5" s="322"/>
      <c r="J5" s="322"/>
      <c r="K5" s="61"/>
      <c r="L5" s="61"/>
      <c r="M5" s="61"/>
      <c r="N5" s="61"/>
    </row>
    <row r="6" spans="1:14" ht="27" customHeight="1">
      <c r="A6" s="322" t="s">
        <v>1150</v>
      </c>
      <c r="B6" s="322"/>
      <c r="C6" s="322"/>
      <c r="D6" s="322"/>
      <c r="E6" s="322"/>
      <c r="F6" s="322"/>
      <c r="G6" s="322"/>
      <c r="H6" s="322"/>
      <c r="I6" s="322"/>
      <c r="J6" s="322"/>
    </row>
    <row r="8" spans="1:14">
      <c r="A8" s="24" t="s">
        <v>1151</v>
      </c>
      <c r="B8" s="24"/>
      <c r="C8" s="24"/>
      <c r="D8" s="24"/>
      <c r="E8" s="24"/>
      <c r="F8" s="24"/>
      <c r="G8" s="24"/>
      <c r="H8" s="24"/>
      <c r="I8" s="24"/>
      <c r="J8" s="24"/>
    </row>
    <row r="9" spans="1:14">
      <c r="B9" s="25" t="s">
        <v>1152</v>
      </c>
      <c r="C9" s="25"/>
      <c r="D9" s="25"/>
      <c r="E9" s="25"/>
      <c r="F9" s="25"/>
      <c r="G9" s="25"/>
      <c r="H9" s="25"/>
      <c r="I9" s="25"/>
      <c r="J9" s="25"/>
    </row>
    <row r="10" spans="1:14" ht="45" customHeight="1">
      <c r="B10" s="322" t="s">
        <v>1153</v>
      </c>
      <c r="C10" s="322"/>
      <c r="D10" s="322"/>
      <c r="E10" s="322"/>
      <c r="F10" s="322"/>
      <c r="G10" s="322"/>
      <c r="H10" s="322"/>
      <c r="I10" s="322"/>
      <c r="J10" s="322"/>
    </row>
    <row r="12" spans="1:14">
      <c r="B12" s="25" t="s">
        <v>1154</v>
      </c>
      <c r="C12" s="25"/>
      <c r="D12" s="25"/>
      <c r="E12" s="25"/>
      <c r="F12" s="25"/>
      <c r="G12" s="25"/>
      <c r="H12" s="25"/>
      <c r="I12" s="25"/>
      <c r="J12" s="25"/>
    </row>
    <row r="13" spans="1:14" ht="43.5" customHeight="1">
      <c r="B13" s="322" t="s">
        <v>1155</v>
      </c>
      <c r="C13" s="322"/>
      <c r="D13" s="322"/>
      <c r="E13" s="322"/>
      <c r="F13" s="322"/>
      <c r="G13" s="322"/>
      <c r="H13" s="322"/>
      <c r="I13" s="322"/>
      <c r="J13" s="322"/>
    </row>
    <row r="16" spans="1:14">
      <c r="C16" s="319" t="s">
        <v>1156</v>
      </c>
      <c r="D16" s="319"/>
      <c r="E16" s="319"/>
      <c r="F16" s="319"/>
      <c r="G16" s="319"/>
    </row>
    <row r="17" spans="1:10">
      <c r="C17" s="320"/>
      <c r="D17" s="320"/>
      <c r="E17" s="320"/>
      <c r="F17" s="320"/>
      <c r="G17" s="320"/>
    </row>
    <row r="19" spans="1:10">
      <c r="A19" s="24" t="s">
        <v>1157</v>
      </c>
      <c r="B19" s="24"/>
      <c r="C19" s="24"/>
      <c r="D19" s="24"/>
      <c r="E19" s="24"/>
      <c r="F19" s="24"/>
      <c r="G19" s="24"/>
      <c r="H19" s="24"/>
      <c r="I19" s="24"/>
      <c r="J19" s="24"/>
    </row>
    <row r="20" spans="1:10">
      <c r="A20" s="18" t="s">
        <v>1158</v>
      </c>
    </row>
    <row r="22" spans="1:10">
      <c r="A22" s="24" t="s">
        <v>1151</v>
      </c>
      <c r="B22" s="24"/>
      <c r="C22" s="24"/>
      <c r="D22" s="24"/>
      <c r="E22" s="24"/>
      <c r="F22" s="24"/>
      <c r="G22" s="24"/>
      <c r="H22" s="24"/>
      <c r="I22" s="24"/>
      <c r="J22" s="24"/>
    </row>
    <row r="23" spans="1:10" ht="12.75" customHeight="1">
      <c r="B23" s="321" t="s">
        <v>1159</v>
      </c>
      <c r="C23" s="321"/>
      <c r="D23" s="321"/>
      <c r="E23" s="321"/>
      <c r="F23" s="321"/>
      <c r="G23" s="321"/>
      <c r="H23" s="321"/>
      <c r="I23" s="321"/>
      <c r="J23" s="321"/>
    </row>
    <row r="24" spans="1:10" ht="12.75" customHeight="1">
      <c r="B24" s="321"/>
      <c r="C24" s="321"/>
      <c r="D24" s="321"/>
      <c r="E24" s="321"/>
      <c r="F24" s="321"/>
      <c r="G24" s="321"/>
      <c r="H24" s="321"/>
      <c r="I24" s="321"/>
      <c r="J24" s="321"/>
    </row>
  </sheetData>
  <mergeCells count="7">
    <mergeCell ref="C1:G2"/>
    <mergeCell ref="C16:G17"/>
    <mergeCell ref="B23:J24"/>
    <mergeCell ref="A5:J5"/>
    <mergeCell ref="A6:J6"/>
    <mergeCell ref="B10:J10"/>
    <mergeCell ref="B13:J13"/>
  </mergeCells>
  <phoneticPr fontId="14" type="noConversion"/>
  <hyperlinks>
    <hyperlink ref="A1" location="'First page'!A1" display="Retour"/>
  </hyperlinks>
  <pageMargins left="0.78740157499999996" right="0.78740157499999996" top="0.984251969" bottom="0.984251969" header="0.4921259845" footer="0.4921259845"/>
  <pageSetup paperSize="9"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R43"/>
  <sheetViews>
    <sheetView showGridLines="0" topLeftCell="A25" zoomScale="90" zoomScaleNormal="90" workbookViewId="0">
      <selection activeCell="I12" sqref="I12"/>
    </sheetView>
  </sheetViews>
  <sheetFormatPr defaultColWidth="11.453125" defaultRowHeight="12.5"/>
  <cols>
    <col min="1" max="1" width="11.453125" style="18"/>
    <col min="2" max="2" width="19.54296875" style="18" customWidth="1"/>
    <col min="3" max="5" width="11.453125" style="18"/>
    <col min="6" max="6" width="24.1796875" style="18" customWidth="1"/>
    <col min="7" max="7" width="22.81640625" style="18" customWidth="1"/>
    <col min="8" max="11" width="11.453125" style="18"/>
    <col min="12" max="12" width="34.26953125" customWidth="1"/>
    <col min="13" max="18" width="10.90625" customWidth="1"/>
    <col min="19" max="16384" width="11.453125" style="18"/>
  </cols>
  <sheetData>
    <row r="1" spans="1:18" ht="25">
      <c r="A1" s="19" t="s">
        <v>1146</v>
      </c>
      <c r="B1" s="20"/>
      <c r="C1" s="319" t="s">
        <v>1160</v>
      </c>
      <c r="D1" s="319"/>
      <c r="E1" s="319"/>
      <c r="F1" s="319"/>
      <c r="G1" s="319"/>
      <c r="H1" s="21"/>
      <c r="I1" s="23"/>
      <c r="J1" s="43" t="s">
        <v>1147</v>
      </c>
      <c r="K1" s="44"/>
    </row>
    <row r="2" spans="1:18">
      <c r="A2" s="21"/>
      <c r="B2" s="22"/>
      <c r="C2" s="320"/>
      <c r="D2" s="320"/>
      <c r="E2" s="320"/>
      <c r="F2" s="320"/>
      <c r="G2" s="320"/>
      <c r="H2" s="23"/>
      <c r="I2" s="23"/>
      <c r="J2" s="44"/>
      <c r="K2" s="44"/>
    </row>
    <row r="4" spans="1:18">
      <c r="A4" s="24" t="s">
        <v>1161</v>
      </c>
      <c r="B4" s="24"/>
      <c r="C4" s="24"/>
      <c r="D4" s="24"/>
      <c r="E4" s="24"/>
      <c r="F4" s="24"/>
      <c r="G4" s="24"/>
      <c r="H4" s="24"/>
      <c r="I4" s="24"/>
      <c r="J4" s="24"/>
    </row>
    <row r="5" spans="1:18">
      <c r="A5" s="322" t="s">
        <v>1162</v>
      </c>
      <c r="B5" s="322"/>
      <c r="C5" s="322"/>
      <c r="D5" s="322"/>
      <c r="E5" s="322"/>
      <c r="F5" s="322"/>
      <c r="G5" s="322"/>
      <c r="H5" s="322"/>
      <c r="I5" s="322"/>
      <c r="J5" s="322"/>
    </row>
    <row r="6" spans="1:18">
      <c r="A6" s="322" t="s">
        <v>1163</v>
      </c>
      <c r="B6" s="322"/>
      <c r="C6" s="322"/>
      <c r="D6" s="322"/>
      <c r="E6" s="322"/>
      <c r="F6" s="322"/>
      <c r="G6" s="322"/>
      <c r="H6" s="322"/>
      <c r="I6" s="322"/>
      <c r="J6" s="322"/>
    </row>
    <row r="8" spans="1:18">
      <c r="A8" s="24" t="s">
        <v>1151</v>
      </c>
      <c r="B8" s="24"/>
      <c r="C8" s="24"/>
      <c r="D8" s="24"/>
      <c r="E8" s="24"/>
      <c r="F8" s="24"/>
      <c r="G8" s="24"/>
      <c r="H8" s="24"/>
      <c r="I8" s="24"/>
      <c r="J8" s="24"/>
    </row>
    <row r="10" spans="1:18">
      <c r="B10" s="25" t="s">
        <v>1164</v>
      </c>
      <c r="C10" s="25"/>
      <c r="D10" s="25"/>
      <c r="E10" s="25"/>
      <c r="F10" s="25"/>
      <c r="G10" s="25"/>
      <c r="H10" s="25"/>
      <c r="I10" s="25"/>
      <c r="J10" s="25"/>
    </row>
    <row r="12" spans="1:18">
      <c r="B12" s="26" t="s">
        <v>1165</v>
      </c>
      <c r="C12" s="338" t="s">
        <v>1166</v>
      </c>
      <c r="D12" s="339"/>
      <c r="E12" s="339"/>
      <c r="F12" s="340"/>
      <c r="G12" s="27" t="s">
        <v>1167</v>
      </c>
      <c r="I12" s="45" t="s">
        <v>1168</v>
      </c>
      <c r="J12" s="46"/>
      <c r="K12" s="46"/>
      <c r="L12" s="47"/>
      <c r="M12" s="47"/>
      <c r="N12" s="47"/>
      <c r="O12" s="47"/>
      <c r="P12" s="47"/>
      <c r="Q12" s="47"/>
      <c r="R12" s="57"/>
    </row>
    <row r="13" spans="1:18">
      <c r="B13" s="28" t="s">
        <v>1169</v>
      </c>
      <c r="C13" s="328" t="s">
        <v>1170</v>
      </c>
      <c r="D13" s="328"/>
      <c r="E13" s="328"/>
      <c r="F13" s="328"/>
      <c r="G13" s="29"/>
      <c r="H13" s="30"/>
      <c r="I13" s="48"/>
      <c r="J13" s="49" t="s">
        <v>1171</v>
      </c>
      <c r="K13" s="50"/>
      <c r="L13" s="51"/>
      <c r="M13" s="51"/>
      <c r="N13" s="51"/>
      <c r="O13" s="51"/>
      <c r="P13" s="51"/>
      <c r="Q13" s="51"/>
      <c r="R13" s="58"/>
    </row>
    <row r="14" spans="1:18" ht="21.5">
      <c r="A14" s="21"/>
      <c r="B14" s="28" t="s">
        <v>1172</v>
      </c>
      <c r="C14" s="323" t="s">
        <v>1173</v>
      </c>
      <c r="D14" s="323"/>
      <c r="E14" s="323"/>
      <c r="F14" s="323"/>
      <c r="G14" s="29"/>
      <c r="H14" s="30"/>
      <c r="I14" s="48"/>
      <c r="J14" s="50"/>
      <c r="K14" s="50"/>
      <c r="L14" s="51"/>
      <c r="M14" s="51"/>
      <c r="N14" s="51"/>
      <c r="O14" s="51"/>
      <c r="P14" s="51"/>
      <c r="Q14" s="51"/>
      <c r="R14" s="58"/>
    </row>
    <row r="15" spans="1:18">
      <c r="B15" s="28" t="s">
        <v>1174</v>
      </c>
      <c r="C15" s="328" t="s">
        <v>1175</v>
      </c>
      <c r="D15" s="328"/>
      <c r="E15" s="328"/>
      <c r="F15" s="328"/>
      <c r="G15" s="29"/>
      <c r="H15" s="30"/>
      <c r="I15" s="48"/>
      <c r="J15" s="50"/>
      <c r="K15" s="50"/>
      <c r="L15" s="51"/>
      <c r="M15" s="51"/>
      <c r="N15" s="51"/>
      <c r="O15" s="51"/>
      <c r="P15" s="51"/>
      <c r="Q15" s="51"/>
      <c r="R15" s="58"/>
    </row>
    <row r="16" spans="1:18" ht="21.5">
      <c r="B16" s="28" t="s">
        <v>1176</v>
      </c>
      <c r="C16" s="323" t="s">
        <v>1177</v>
      </c>
      <c r="D16" s="323"/>
      <c r="E16" s="323"/>
      <c r="F16" s="323"/>
      <c r="G16" s="29"/>
      <c r="H16" s="31"/>
      <c r="I16" s="48"/>
      <c r="J16" s="50"/>
      <c r="K16" s="50"/>
      <c r="L16" s="51"/>
      <c r="M16" s="51"/>
      <c r="N16" s="51"/>
      <c r="O16" s="51"/>
      <c r="P16" s="51"/>
      <c r="Q16" s="51"/>
      <c r="R16" s="58"/>
    </row>
    <row r="17" spans="1:18">
      <c r="A17" s="21"/>
      <c r="B17" s="28" t="s">
        <v>1178</v>
      </c>
      <c r="C17" s="323" t="s">
        <v>1179</v>
      </c>
      <c r="D17" s="323"/>
      <c r="E17" s="323"/>
      <c r="F17" s="323"/>
      <c r="G17" s="29"/>
      <c r="H17" s="30"/>
      <c r="I17" s="52"/>
      <c r="J17" s="50"/>
      <c r="K17" s="21"/>
      <c r="L17" s="51"/>
      <c r="M17" s="51"/>
      <c r="N17" s="51"/>
      <c r="O17" s="51"/>
      <c r="P17" s="51"/>
      <c r="Q17" s="51"/>
      <c r="R17" s="58"/>
    </row>
    <row r="18" spans="1:18">
      <c r="B18" s="28" t="s">
        <v>1180</v>
      </c>
      <c r="C18" s="328" t="s">
        <v>1181</v>
      </c>
      <c r="D18" s="328"/>
      <c r="E18" s="328"/>
      <c r="F18" s="328"/>
      <c r="G18" s="29"/>
      <c r="H18" s="30"/>
      <c r="I18" s="48"/>
      <c r="J18" s="33" t="s">
        <v>1182</v>
      </c>
      <c r="K18" s="50"/>
      <c r="L18" s="51"/>
      <c r="M18" s="51"/>
      <c r="N18" s="51"/>
      <c r="O18" s="51"/>
      <c r="P18" s="51"/>
      <c r="Q18" s="51"/>
      <c r="R18" s="58"/>
    </row>
    <row r="19" spans="1:18">
      <c r="B19" s="28" t="s">
        <v>1183</v>
      </c>
      <c r="C19" s="328" t="s">
        <v>1184</v>
      </c>
      <c r="D19" s="328"/>
      <c r="E19" s="328"/>
      <c r="F19" s="328"/>
      <c r="G19" s="29"/>
      <c r="H19" s="30"/>
      <c r="I19" s="48"/>
      <c r="J19" s="50"/>
      <c r="K19" s="50"/>
      <c r="L19" s="51"/>
      <c r="M19" s="51"/>
      <c r="N19" s="51"/>
      <c r="O19" s="51"/>
      <c r="P19" s="51"/>
      <c r="Q19" s="51"/>
      <c r="R19" s="58"/>
    </row>
    <row r="20" spans="1:18">
      <c r="A20" s="21"/>
      <c r="B20" s="32" t="s">
        <v>1185</v>
      </c>
      <c r="C20" s="335" t="s">
        <v>1186</v>
      </c>
      <c r="D20" s="336"/>
      <c r="E20" s="336"/>
      <c r="F20" s="337"/>
      <c r="G20" s="29"/>
      <c r="H20" s="30"/>
      <c r="I20" s="52"/>
      <c r="J20" s="21"/>
      <c r="K20" s="21"/>
      <c r="L20" s="51"/>
      <c r="M20" s="51"/>
      <c r="N20" s="51"/>
      <c r="O20" s="51"/>
      <c r="P20" s="51"/>
      <c r="Q20" s="51"/>
      <c r="R20" s="58"/>
    </row>
    <row r="21" spans="1:18">
      <c r="A21" s="33"/>
      <c r="B21" s="34"/>
      <c r="C21" s="35"/>
      <c r="D21" s="36"/>
      <c r="E21" s="37"/>
      <c r="F21" s="37"/>
      <c r="G21" s="38"/>
      <c r="H21" s="39"/>
      <c r="I21" s="52"/>
      <c r="J21" s="33"/>
      <c r="K21" s="33"/>
      <c r="L21" s="51"/>
      <c r="M21" s="51"/>
      <c r="N21" s="51"/>
      <c r="O21" s="51"/>
      <c r="P21" s="51"/>
      <c r="Q21" s="51"/>
      <c r="R21" s="58"/>
    </row>
    <row r="22" spans="1:18">
      <c r="A22" s="33"/>
      <c r="B22" s="25" t="s">
        <v>1187</v>
      </c>
      <c r="C22" s="25"/>
      <c r="D22" s="25"/>
      <c r="E22" s="25"/>
      <c r="F22" s="25"/>
      <c r="G22" s="25"/>
      <c r="H22" s="39"/>
      <c r="I22" s="52"/>
      <c r="J22" s="33"/>
      <c r="K22" s="33"/>
      <c r="L22" s="51"/>
      <c r="M22" s="51"/>
      <c r="N22" s="51"/>
      <c r="O22" s="51"/>
      <c r="P22" s="51"/>
      <c r="Q22" s="51"/>
      <c r="R22" s="58"/>
    </row>
    <row r="23" spans="1:18">
      <c r="A23" s="33"/>
      <c r="H23" s="39"/>
      <c r="I23" s="52"/>
      <c r="J23" s="33"/>
      <c r="K23" s="50"/>
      <c r="L23" s="51"/>
      <c r="M23" s="51"/>
      <c r="N23" s="51"/>
      <c r="O23" s="51"/>
      <c r="P23" s="51"/>
      <c r="Q23" s="51"/>
      <c r="R23" s="58"/>
    </row>
    <row r="24" spans="1:18">
      <c r="A24" s="33"/>
      <c r="B24" s="26" t="s">
        <v>1188</v>
      </c>
      <c r="C24" s="338" t="s">
        <v>1189</v>
      </c>
      <c r="D24" s="339"/>
      <c r="E24" s="339"/>
      <c r="F24" s="340"/>
      <c r="G24" s="27" t="s">
        <v>1190</v>
      </c>
      <c r="H24" s="39"/>
      <c r="I24" s="52"/>
      <c r="J24" s="33"/>
      <c r="K24" s="33"/>
      <c r="L24" s="51"/>
      <c r="M24" s="51"/>
      <c r="N24" s="51"/>
      <c r="O24" s="51"/>
      <c r="P24" s="51"/>
      <c r="Q24" s="51"/>
      <c r="R24" s="58"/>
    </row>
    <row r="25" spans="1:18" ht="21.5">
      <c r="A25" s="33"/>
      <c r="B25" s="28" t="s">
        <v>1191</v>
      </c>
      <c r="C25" s="328" t="s">
        <v>1192</v>
      </c>
      <c r="D25" s="328"/>
      <c r="E25" s="328"/>
      <c r="F25" s="328"/>
      <c r="G25" s="29" t="s">
        <v>1193</v>
      </c>
      <c r="H25" s="39"/>
      <c r="I25" s="52"/>
      <c r="J25" s="33"/>
      <c r="K25" s="33"/>
      <c r="L25" s="51"/>
      <c r="M25" s="51"/>
      <c r="N25" s="51"/>
      <c r="O25" s="51"/>
      <c r="P25" s="51"/>
      <c r="Q25" s="51"/>
      <c r="R25" s="58"/>
    </row>
    <row r="26" spans="1:18">
      <c r="A26" s="33"/>
      <c r="B26" s="28" t="s">
        <v>1123</v>
      </c>
      <c r="C26" s="329" t="s">
        <v>1194</v>
      </c>
      <c r="D26" s="330"/>
      <c r="E26" s="330"/>
      <c r="F26" s="331"/>
      <c r="G26" s="29" t="s">
        <v>1193</v>
      </c>
      <c r="H26" s="39"/>
      <c r="I26" s="52"/>
      <c r="J26" s="33"/>
      <c r="K26" s="33"/>
      <c r="L26" s="51"/>
      <c r="M26" s="51"/>
      <c r="N26" s="51"/>
      <c r="O26" s="51"/>
      <c r="P26" s="51"/>
      <c r="Q26" s="51"/>
      <c r="R26" s="58"/>
    </row>
    <row r="27" spans="1:18" ht="21.5">
      <c r="A27" s="33"/>
      <c r="B27" s="28" t="s">
        <v>1195</v>
      </c>
      <c r="C27" s="329" t="s">
        <v>1196</v>
      </c>
      <c r="D27" s="330"/>
      <c r="E27" s="330"/>
      <c r="F27" s="331"/>
      <c r="G27" s="29" t="s">
        <v>1193</v>
      </c>
      <c r="H27" s="39"/>
      <c r="I27" s="52"/>
      <c r="J27" s="33"/>
      <c r="K27" s="33"/>
      <c r="L27" s="51"/>
      <c r="M27" s="51"/>
      <c r="N27" s="51"/>
      <c r="O27" s="51"/>
      <c r="P27" s="51"/>
      <c r="Q27" s="51"/>
      <c r="R27" s="58"/>
    </row>
    <row r="28" spans="1:18">
      <c r="B28" s="28" t="s">
        <v>100</v>
      </c>
      <c r="C28" s="328" t="s">
        <v>1197</v>
      </c>
      <c r="D28" s="328"/>
      <c r="E28" s="328"/>
      <c r="F28" s="328"/>
      <c r="G28" s="29" t="s">
        <v>1193</v>
      </c>
      <c r="I28" s="52"/>
      <c r="J28" s="33"/>
      <c r="K28" s="33"/>
      <c r="L28" s="51"/>
      <c r="M28" s="51"/>
      <c r="N28" s="51"/>
      <c r="O28" s="51"/>
      <c r="P28" s="51"/>
      <c r="Q28" s="51"/>
      <c r="R28" s="58"/>
    </row>
    <row r="29" spans="1:18" ht="43">
      <c r="B29" s="28" t="s">
        <v>1198</v>
      </c>
      <c r="C29" s="329" t="s">
        <v>1199</v>
      </c>
      <c r="D29" s="330"/>
      <c r="E29" s="330"/>
      <c r="F29" s="331"/>
      <c r="G29" s="29" t="s">
        <v>1193</v>
      </c>
      <c r="I29" s="52"/>
      <c r="J29" s="33"/>
      <c r="K29" s="33"/>
      <c r="L29" s="51"/>
      <c r="M29" s="51"/>
      <c r="N29" s="51"/>
      <c r="O29" s="51"/>
      <c r="P29" s="51"/>
      <c r="Q29" s="51"/>
      <c r="R29" s="58"/>
    </row>
    <row r="30" spans="1:18">
      <c r="B30" s="32" t="s">
        <v>1200</v>
      </c>
      <c r="C30" s="323" t="s">
        <v>1201</v>
      </c>
      <c r="D30" s="323"/>
      <c r="E30" s="323"/>
      <c r="F30" s="323"/>
      <c r="G30" s="29" t="s">
        <v>1193</v>
      </c>
      <c r="I30" s="53"/>
      <c r="J30" s="33"/>
      <c r="K30" s="33"/>
      <c r="L30" s="51"/>
      <c r="M30" s="51"/>
      <c r="N30" s="51"/>
      <c r="O30" s="51"/>
      <c r="P30" s="51"/>
      <c r="Q30" s="51"/>
      <c r="R30" s="58"/>
    </row>
    <row r="31" spans="1:18" ht="48" customHeight="1">
      <c r="B31" s="28" t="s">
        <v>1202</v>
      </c>
      <c r="C31" s="332" t="s">
        <v>1203</v>
      </c>
      <c r="D31" s="333"/>
      <c r="E31" s="333"/>
      <c r="F31" s="334"/>
      <c r="G31" s="29" t="s">
        <v>1204</v>
      </c>
      <c r="I31" s="53"/>
      <c r="J31" s="33"/>
      <c r="K31" s="33"/>
      <c r="L31" s="51"/>
      <c r="M31" s="51"/>
      <c r="N31" s="51"/>
      <c r="O31" s="51"/>
      <c r="P31" s="51"/>
      <c r="Q31" s="51"/>
      <c r="R31" s="58"/>
    </row>
    <row r="32" spans="1:18" ht="62.25" customHeight="1">
      <c r="B32" s="32" t="s">
        <v>1205</v>
      </c>
      <c r="C32" s="332" t="s">
        <v>1206</v>
      </c>
      <c r="D32" s="332"/>
      <c r="E32" s="332"/>
      <c r="F32" s="332"/>
      <c r="G32" s="29" t="s">
        <v>1193</v>
      </c>
      <c r="I32" s="48"/>
      <c r="J32" s="50"/>
      <c r="K32" s="50"/>
      <c r="L32" s="51"/>
      <c r="M32" s="51"/>
      <c r="N32" s="51"/>
      <c r="O32" s="51"/>
      <c r="P32" s="51"/>
      <c r="Q32" s="51"/>
      <c r="R32" s="58"/>
    </row>
    <row r="33" spans="1:18" ht="54" customHeight="1">
      <c r="B33" s="32" t="s">
        <v>1207</v>
      </c>
      <c r="C33" s="323" t="s">
        <v>1208</v>
      </c>
      <c r="D33" s="323"/>
      <c r="E33" s="323"/>
      <c r="F33" s="323"/>
      <c r="G33" s="29" t="s">
        <v>1204</v>
      </c>
      <c r="I33" s="48"/>
      <c r="J33" s="50"/>
      <c r="K33" s="50"/>
      <c r="L33" s="51"/>
      <c r="M33" s="51"/>
      <c r="N33" s="51"/>
      <c r="O33" s="51"/>
      <c r="P33" s="51"/>
      <c r="Q33" s="51"/>
      <c r="R33" s="58"/>
    </row>
    <row r="34" spans="1:18">
      <c r="I34" s="48"/>
      <c r="J34" s="50"/>
      <c r="K34" s="50"/>
      <c r="L34" s="51"/>
      <c r="M34" s="51"/>
      <c r="N34" s="51"/>
      <c r="O34" s="51"/>
      <c r="P34" s="51"/>
      <c r="Q34" s="51"/>
      <c r="R34" s="58"/>
    </row>
    <row r="35" spans="1:18">
      <c r="B35" s="324" t="s">
        <v>1209</v>
      </c>
      <c r="C35" s="325"/>
      <c r="D35" s="325"/>
      <c r="E35" s="325"/>
      <c r="F35" s="325"/>
      <c r="G35" s="326"/>
      <c r="I35" s="48"/>
      <c r="J35" s="50"/>
      <c r="K35" s="50"/>
      <c r="L35" s="51"/>
      <c r="M35" s="51"/>
      <c r="N35" s="51"/>
      <c r="O35" s="51"/>
      <c r="P35" s="51"/>
      <c r="Q35" s="51"/>
      <c r="R35" s="58"/>
    </row>
    <row r="36" spans="1:18">
      <c r="B36" s="40"/>
      <c r="C36" s="327" t="s">
        <v>1210</v>
      </c>
      <c r="D36" s="327"/>
      <c r="E36" s="327"/>
      <c r="F36" s="327"/>
      <c r="G36" s="327"/>
      <c r="I36" s="48"/>
      <c r="J36" s="50"/>
      <c r="K36" s="50"/>
      <c r="L36" s="51"/>
      <c r="M36" s="51"/>
      <c r="N36" s="51"/>
      <c r="O36" s="51"/>
      <c r="P36" s="51"/>
      <c r="Q36" s="51"/>
      <c r="R36" s="58"/>
    </row>
    <row r="37" spans="1:18">
      <c r="B37" s="41"/>
      <c r="C37" s="327" t="s">
        <v>1211</v>
      </c>
      <c r="D37" s="327"/>
      <c r="E37" s="327"/>
      <c r="F37" s="327"/>
      <c r="G37" s="327"/>
      <c r="I37" s="48"/>
      <c r="J37" s="50"/>
      <c r="K37" s="50"/>
      <c r="L37" s="51"/>
      <c r="M37" s="51"/>
      <c r="N37" s="51"/>
      <c r="O37" s="51"/>
      <c r="P37" s="51"/>
      <c r="Q37" s="51"/>
      <c r="R37" s="58"/>
    </row>
    <row r="38" spans="1:18">
      <c r="B38" s="42"/>
      <c r="C38" s="327" t="s">
        <v>1212</v>
      </c>
      <c r="D38" s="327"/>
      <c r="E38" s="327"/>
      <c r="F38" s="327"/>
      <c r="G38" s="327"/>
      <c r="I38" s="48"/>
      <c r="J38" s="50"/>
      <c r="K38" s="50"/>
      <c r="L38" s="51"/>
      <c r="M38" s="51"/>
      <c r="N38" s="51"/>
      <c r="O38" s="51"/>
      <c r="P38" s="51"/>
      <c r="Q38" s="51"/>
      <c r="R38" s="58"/>
    </row>
    <row r="39" spans="1:18">
      <c r="I39" s="48"/>
      <c r="J39" s="50"/>
      <c r="K39" s="50"/>
      <c r="L39" s="51"/>
      <c r="M39" s="51"/>
      <c r="N39" s="51"/>
      <c r="O39" s="51"/>
      <c r="P39" s="51"/>
      <c r="Q39" s="51"/>
      <c r="R39" s="58"/>
    </row>
    <row r="40" spans="1:18">
      <c r="C40" s="319" t="s">
        <v>1213</v>
      </c>
      <c r="D40" s="319"/>
      <c r="E40" s="319"/>
      <c r="F40" s="319"/>
      <c r="G40" s="319"/>
      <c r="I40" s="54"/>
      <c r="J40" s="55"/>
      <c r="K40" s="55"/>
      <c r="L40" s="56"/>
      <c r="M40" s="56"/>
      <c r="N40" s="56"/>
      <c r="O40" s="56"/>
      <c r="P40" s="56"/>
      <c r="Q40" s="56"/>
      <c r="R40" s="59"/>
    </row>
    <row r="41" spans="1:18">
      <c r="C41" s="320"/>
      <c r="D41" s="320"/>
      <c r="E41" s="320"/>
      <c r="F41" s="320"/>
      <c r="G41" s="320"/>
    </row>
    <row r="43" spans="1:18">
      <c r="A43" s="322" t="s">
        <v>1214</v>
      </c>
      <c r="B43" s="322"/>
      <c r="C43" s="322"/>
      <c r="D43" s="322"/>
      <c r="E43" s="322"/>
      <c r="F43" s="322"/>
      <c r="G43" s="322"/>
      <c r="H43" s="322"/>
      <c r="I43" s="322"/>
      <c r="J43" s="322"/>
    </row>
  </sheetData>
  <mergeCells count="28">
    <mergeCell ref="A5:J5"/>
    <mergeCell ref="A6:J6"/>
    <mergeCell ref="C12:F12"/>
    <mergeCell ref="C13:F13"/>
    <mergeCell ref="C14:F14"/>
    <mergeCell ref="C26:F26"/>
    <mergeCell ref="C27:F27"/>
    <mergeCell ref="C15:F15"/>
    <mergeCell ref="C16:F16"/>
    <mergeCell ref="C17:F17"/>
    <mergeCell ref="C18:F18"/>
    <mergeCell ref="C19:F19"/>
    <mergeCell ref="A43:J43"/>
    <mergeCell ref="C40:G41"/>
    <mergeCell ref="C1:G2"/>
    <mergeCell ref="C33:F33"/>
    <mergeCell ref="B35:G35"/>
    <mergeCell ref="C36:G36"/>
    <mergeCell ref="C37:G37"/>
    <mergeCell ref="C38:G38"/>
    <mergeCell ref="C28:F28"/>
    <mergeCell ref="C29:F29"/>
    <mergeCell ref="C30:F30"/>
    <mergeCell ref="C31:F31"/>
    <mergeCell ref="C32:F32"/>
    <mergeCell ref="C20:F20"/>
    <mergeCell ref="C24:F24"/>
    <mergeCell ref="C25:F25"/>
  </mergeCells>
  <phoneticPr fontId="14" type="noConversion"/>
  <hyperlinks>
    <hyperlink ref="J1" location="Help1!A1" display="Aide Générale"/>
    <hyperlink ref="A1" location="'First page'!A1" display="Retour"/>
    <hyperlink ref="I12" r:id="rId1"/>
  </hyperlinks>
  <pageMargins left="0.78740157499999996" right="0.78740157499999996" top="0.984251969" bottom="0.984251969" header="0.4921259845" footer="0.4921259845"/>
  <pageSetup paperSize="9" orientation="portrait"/>
  <headerFooter alignWithMargins="0"/>
  <drawing r:id="rId2"/>
  <legacyDrawing r:id="rId3"/>
  <oleObjects>
    <mc:AlternateContent xmlns:mc="http://schemas.openxmlformats.org/markup-compatibility/2006">
      <mc:Choice Requires="x14">
        <oleObject progId="Présentation" dvAspect="DVASPECT_ICON" shapeId="6145" r:id="rId4">
          <objectPr defaultSize="0" altText="" r:id="rId5">
            <anchor moveWithCells="1">
              <from>
                <xdr:col>9</xdr:col>
                <xdr:colOff>374650</xdr:colOff>
                <xdr:row>13</xdr:row>
                <xdr:rowOff>76200</xdr:rowOff>
              </from>
              <to>
                <xdr:col>10</xdr:col>
                <xdr:colOff>527050</xdr:colOff>
                <xdr:row>16</xdr:row>
                <xdr:rowOff>114300</xdr:rowOff>
              </to>
            </anchor>
          </objectPr>
        </oleObject>
      </mc:Choice>
      <mc:Fallback>
        <oleObject progId="Présentation" dvAspect="DVASPECT_ICON" shapeId="6145" r:id="rId4"/>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89"/>
  <sheetViews>
    <sheetView topLeftCell="A61" workbookViewId="0">
      <selection activeCell="C8" sqref="C8"/>
    </sheetView>
  </sheetViews>
  <sheetFormatPr defaultColWidth="68.81640625" defaultRowHeight="12.5"/>
  <cols>
    <col min="1" max="1" width="5.54296875" customWidth="1"/>
  </cols>
  <sheetData>
    <row r="2" spans="2:3" ht="21.75">
      <c r="B2" s="6" t="s">
        <v>1215</v>
      </c>
    </row>
    <row r="3" spans="2:3" ht="13">
      <c r="B3" s="7" t="s">
        <v>1216</v>
      </c>
    </row>
    <row r="4" spans="2:3" ht="13">
      <c r="B4" s="8">
        <v>0.65972222222222199</v>
      </c>
    </row>
    <row r="5" spans="2:3" ht="20.5">
      <c r="B5" s="9" t="s">
        <v>1217</v>
      </c>
    </row>
    <row r="6" spans="2:3" ht="14.25">
      <c r="B6" s="10"/>
    </row>
    <row r="7" spans="2:3" ht="14.25">
      <c r="B7" s="11" t="s">
        <v>1218</v>
      </c>
      <c r="C7" s="12"/>
    </row>
    <row r="8" spans="2:3" ht="14.25">
      <c r="B8" s="12" t="s">
        <v>1219</v>
      </c>
      <c r="C8" s="13" t="s">
        <v>1220</v>
      </c>
    </row>
    <row r="9" spans="2:3" ht="14.25">
      <c r="B9" s="12" t="s">
        <v>1221</v>
      </c>
      <c r="C9" s="13" t="s">
        <v>1222</v>
      </c>
    </row>
    <row r="10" spans="2:3" ht="14.25">
      <c r="B10" s="12" t="s">
        <v>1223</v>
      </c>
      <c r="C10" s="13" t="s">
        <v>1222</v>
      </c>
    </row>
    <row r="11" spans="2:3" ht="14.25">
      <c r="B11" s="12" t="s">
        <v>1224</v>
      </c>
      <c r="C11" s="13" t="s">
        <v>1225</v>
      </c>
    </row>
    <row r="12" spans="2:3" ht="14.25">
      <c r="B12" s="12" t="s">
        <v>1226</v>
      </c>
      <c r="C12" s="13" t="s">
        <v>1227</v>
      </c>
    </row>
    <row r="13" spans="2:3" ht="14.25">
      <c r="B13" s="10"/>
    </row>
    <row r="14" spans="2:3" ht="14.25">
      <c r="B14" s="10"/>
    </row>
    <row r="15" spans="2:3" ht="16.75">
      <c r="B15" s="14" t="s">
        <v>1228</v>
      </c>
    </row>
    <row r="16" spans="2:3" ht="14.25">
      <c r="B16" s="10" t="s">
        <v>1229</v>
      </c>
    </row>
    <row r="17" spans="2:2" ht="14.25">
      <c r="B17" s="10" t="s">
        <v>1230</v>
      </c>
    </row>
    <row r="18" spans="2:2" ht="14.25">
      <c r="B18" s="10" t="s">
        <v>1231</v>
      </c>
    </row>
    <row r="19" spans="2:2" ht="14.25">
      <c r="B19" s="10"/>
    </row>
    <row r="20" spans="2:2" ht="14.25">
      <c r="B20" s="10" t="s">
        <v>1232</v>
      </c>
    </row>
    <row r="21" spans="2:2" ht="14.25">
      <c r="B21" s="10"/>
    </row>
    <row r="22" spans="2:2" ht="14.25">
      <c r="B22" s="10" t="s">
        <v>1233</v>
      </c>
    </row>
    <row r="23" spans="2:2" ht="14.25">
      <c r="B23" s="10" t="s">
        <v>1234</v>
      </c>
    </row>
    <row r="24" spans="2:2" ht="16.75">
      <c r="B24" s="10" t="s">
        <v>1235</v>
      </c>
    </row>
    <row r="25" spans="2:2" ht="14.25">
      <c r="B25" s="10" t="s">
        <v>1236</v>
      </c>
    </row>
    <row r="26" spans="2:2" ht="14.25">
      <c r="B26" s="10" t="s">
        <v>1237</v>
      </c>
    </row>
    <row r="27" spans="2:2" ht="14.25">
      <c r="B27" s="10" t="s">
        <v>1238</v>
      </c>
    </row>
    <row r="28" spans="2:2" ht="14.25">
      <c r="B28" s="10"/>
    </row>
    <row r="29" spans="2:2" ht="16.75">
      <c r="B29" s="14" t="s">
        <v>1239</v>
      </c>
    </row>
    <row r="30" spans="2:2" ht="14.25">
      <c r="B30" s="10" t="s">
        <v>1240</v>
      </c>
    </row>
    <row r="31" spans="2:2" ht="14.25">
      <c r="B31" s="10" t="s">
        <v>1241</v>
      </c>
    </row>
    <row r="32" spans="2:2" ht="14.25">
      <c r="B32" s="10"/>
    </row>
    <row r="33" spans="2:2" ht="20.5">
      <c r="B33" s="9" t="s">
        <v>1242</v>
      </c>
    </row>
    <row r="34" spans="2:2" ht="14.25">
      <c r="B34" s="10" t="s">
        <v>1243</v>
      </c>
    </row>
    <row r="35" spans="2:2" ht="14.25">
      <c r="B35" s="10"/>
    </row>
    <row r="36" spans="2:2" ht="14.25">
      <c r="B36" s="15" t="s">
        <v>1244</v>
      </c>
    </row>
    <row r="37" spans="2:2" ht="14.25">
      <c r="B37" s="16" t="s">
        <v>1245</v>
      </c>
    </row>
    <row r="38" spans="2:2" ht="14.25">
      <c r="B38" s="16" t="s">
        <v>1246</v>
      </c>
    </row>
    <row r="39" spans="2:2" ht="14.25">
      <c r="B39" s="16" t="s">
        <v>1247</v>
      </c>
    </row>
    <row r="40" spans="2:2" ht="14.25">
      <c r="B40" s="16" t="s">
        <v>1248</v>
      </c>
    </row>
    <row r="41" spans="2:2" ht="14.25">
      <c r="B41" s="16" t="s">
        <v>1249</v>
      </c>
    </row>
    <row r="42" spans="2:2" ht="14.25">
      <c r="B42" s="16" t="s">
        <v>1250</v>
      </c>
    </row>
    <row r="43" spans="2:2" ht="14.25">
      <c r="B43" s="16" t="s">
        <v>1251</v>
      </c>
    </row>
    <row r="44" spans="2:2" ht="14.25">
      <c r="B44" s="10"/>
    </row>
    <row r="45" spans="2:2" ht="14.25">
      <c r="B45" s="15" t="s">
        <v>1252</v>
      </c>
    </row>
    <row r="46" spans="2:2" ht="14.25">
      <c r="B46" s="16" t="s">
        <v>1253</v>
      </c>
    </row>
    <row r="47" spans="2:2" ht="14.25">
      <c r="B47" s="16" t="s">
        <v>1254</v>
      </c>
    </row>
    <row r="48" spans="2:2" ht="14.25">
      <c r="B48" s="16" t="s">
        <v>1255</v>
      </c>
    </row>
    <row r="49" spans="2:3" ht="14.25">
      <c r="B49" s="16" t="s">
        <v>1256</v>
      </c>
    </row>
    <row r="50" spans="2:3" ht="14.25">
      <c r="B50" s="16" t="s">
        <v>1257</v>
      </c>
    </row>
    <row r="51" spans="2:3" ht="14.25">
      <c r="B51" s="10"/>
    </row>
    <row r="52" spans="2:3" ht="14.25">
      <c r="B52" s="15" t="s">
        <v>1258</v>
      </c>
    </row>
    <row r="53" spans="2:3" ht="14.25">
      <c r="B53" s="16" t="s">
        <v>1253</v>
      </c>
    </row>
    <row r="54" spans="2:3" ht="14.25">
      <c r="B54" s="16" t="s">
        <v>1259</v>
      </c>
    </row>
    <row r="55" spans="2:3" ht="14.25">
      <c r="B55" s="16" t="s">
        <v>1260</v>
      </c>
    </row>
    <row r="56" spans="2:3" ht="14.25">
      <c r="B56" s="16" t="s">
        <v>1261</v>
      </c>
    </row>
    <row r="57" spans="2:3" ht="14.25">
      <c r="B57" s="16" t="s">
        <v>1262</v>
      </c>
    </row>
    <row r="58" spans="2:3" ht="14.25">
      <c r="B58" s="16" t="s">
        <v>1263</v>
      </c>
    </row>
    <row r="59" spans="2:3" ht="14.25">
      <c r="B59" s="16" t="s">
        <v>1264</v>
      </c>
    </row>
    <row r="60" spans="2:3" ht="14.25">
      <c r="B60" s="10"/>
    </row>
    <row r="61" spans="2:3" ht="14.25">
      <c r="B61" s="15" t="s">
        <v>1265</v>
      </c>
    </row>
    <row r="62" spans="2:3" ht="14.25">
      <c r="B62" s="16" t="s">
        <v>1266</v>
      </c>
    </row>
    <row r="63" spans="2:3" ht="14.25">
      <c r="B63" s="12" t="s">
        <v>1267</v>
      </c>
      <c r="C63" s="12" t="s">
        <v>1268</v>
      </c>
    </row>
    <row r="64" spans="2:3" ht="14.25">
      <c r="B64" s="12" t="s">
        <v>41</v>
      </c>
      <c r="C64" s="12" t="s">
        <v>41</v>
      </c>
    </row>
    <row r="65" spans="2:3" ht="14.25">
      <c r="B65" s="12" t="s">
        <v>41</v>
      </c>
      <c r="C65" s="12" t="s">
        <v>1269</v>
      </c>
    </row>
    <row r="66" spans="2:3" ht="14.25">
      <c r="B66" s="16" t="s">
        <v>1270</v>
      </c>
    </row>
    <row r="67" spans="2:3" ht="14.25">
      <c r="B67" s="12" t="s">
        <v>1267</v>
      </c>
      <c r="C67" s="12" t="s">
        <v>1268</v>
      </c>
    </row>
    <row r="68" spans="2:3" ht="14.25">
      <c r="B68" s="12" t="s">
        <v>41</v>
      </c>
      <c r="C68" s="12" t="s">
        <v>47</v>
      </c>
    </row>
    <row r="69" spans="2:3" ht="14.25">
      <c r="B69" s="12" t="s">
        <v>43</v>
      </c>
      <c r="C69" s="12" t="s">
        <v>47</v>
      </c>
    </row>
    <row r="70" spans="2:3" ht="14.25">
      <c r="B70" s="12" t="s">
        <v>1269</v>
      </c>
      <c r="C70" s="12" t="s">
        <v>47</v>
      </c>
    </row>
    <row r="71" spans="2:3" ht="14.25">
      <c r="B71" s="10"/>
    </row>
    <row r="72" spans="2:3" ht="14.25">
      <c r="B72" s="16" t="s">
        <v>1271</v>
      </c>
    </row>
    <row r="73" spans="2:3" ht="14.25">
      <c r="B73" s="12" t="s">
        <v>1267</v>
      </c>
      <c r="C73" s="12" t="s">
        <v>1268</v>
      </c>
    </row>
    <row r="74" spans="2:3" ht="14.25">
      <c r="B74" s="12" t="s">
        <v>43</v>
      </c>
      <c r="C74" s="12" t="s">
        <v>48</v>
      </c>
    </row>
    <row r="75" spans="2:3" ht="14.25">
      <c r="B75" s="10"/>
    </row>
    <row r="76" spans="2:3" ht="14.25">
      <c r="B76" s="16" t="s">
        <v>1272</v>
      </c>
    </row>
    <row r="77" spans="2:3" ht="14.25">
      <c r="B77" s="12" t="s">
        <v>1267</v>
      </c>
      <c r="C77" s="12" t="s">
        <v>1268</v>
      </c>
    </row>
    <row r="78" spans="2:3" ht="14.25">
      <c r="B78" s="12" t="s">
        <v>43</v>
      </c>
      <c r="C78" s="12" t="s">
        <v>43</v>
      </c>
    </row>
    <row r="79" spans="2:3" ht="14.25">
      <c r="B79" s="10"/>
    </row>
    <row r="80" spans="2:3" ht="14.25">
      <c r="B80" s="16" t="s">
        <v>1273</v>
      </c>
    </row>
    <row r="81" spans="2:3" ht="14.25">
      <c r="B81" s="12" t="s">
        <v>1267</v>
      </c>
      <c r="C81" s="12" t="s">
        <v>1268</v>
      </c>
    </row>
    <row r="82" spans="2:3" ht="14.25">
      <c r="B82" s="12" t="s">
        <v>41</v>
      </c>
      <c r="C82" s="12" t="s">
        <v>43</v>
      </c>
    </row>
    <row r="83" spans="2:3" ht="14.25">
      <c r="B83" s="12" t="s">
        <v>41</v>
      </c>
      <c r="C83" s="12" t="s">
        <v>48</v>
      </c>
    </row>
    <row r="84" spans="2:3" ht="14.25">
      <c r="B84" s="17" t="s">
        <v>1269</v>
      </c>
      <c r="C84" s="12" t="s">
        <v>48</v>
      </c>
    </row>
    <row r="85" spans="2:3" ht="14.25">
      <c r="B85" s="12" t="s">
        <v>43</v>
      </c>
      <c r="C85" s="17" t="s">
        <v>1269</v>
      </c>
    </row>
    <row r="86" spans="2:3" ht="14.25">
      <c r="B86" s="17" t="s">
        <v>1274</v>
      </c>
      <c r="C86" s="12" t="s">
        <v>43</v>
      </c>
    </row>
    <row r="87" spans="2:3" ht="14.25">
      <c r="B87" s="17" t="s">
        <v>1274</v>
      </c>
      <c r="C87" s="17" t="s">
        <v>1269</v>
      </c>
    </row>
    <row r="88" spans="2:3" ht="14.25">
      <c r="B88" s="17" t="s">
        <v>1274</v>
      </c>
      <c r="C88" s="12" t="s">
        <v>41</v>
      </c>
    </row>
    <row r="89" spans="2:3" ht="14.25">
      <c r="B89" s="12" t="s">
        <v>43</v>
      </c>
      <c r="C89" s="17" t="s">
        <v>1274</v>
      </c>
    </row>
  </sheetData>
  <phoneticPr fontId="14" type="noConversion"/>
  <hyperlinks>
    <hyperlink ref="C8" r:id="rId1"/>
    <hyperlink ref="C9" r:id="rId2"/>
    <hyperlink ref="C10" r:id="rId3"/>
    <hyperlink ref="C11" r:id="rId4"/>
    <hyperlink ref="C12" r:id="rId5"/>
  </hyperlinks>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99"/>
  <sheetViews>
    <sheetView workbookViewId="0">
      <selection activeCell="A2" sqref="A2"/>
    </sheetView>
  </sheetViews>
  <sheetFormatPr defaultColWidth="11.453125" defaultRowHeight="13.75"/>
  <cols>
    <col min="1" max="1" width="31.26953125" style="2" customWidth="1"/>
    <col min="2" max="2" width="24.1796875" style="2" customWidth="1"/>
    <col min="3" max="3" width="11.453125" style="2"/>
    <col min="4" max="4" width="20.453125" style="2" customWidth="1"/>
    <col min="5" max="5" width="3.1796875" style="2" customWidth="1"/>
    <col min="6" max="16384" width="11.453125" style="2"/>
  </cols>
  <sheetData>
    <row r="1" spans="1:4" s="1" customFormat="1">
      <c r="A1" s="3" t="s">
        <v>1275</v>
      </c>
      <c r="B1" s="3"/>
      <c r="C1" s="4"/>
      <c r="D1" s="4"/>
    </row>
    <row r="2" spans="1:4">
      <c r="A2" s="2" t="s">
        <v>1276</v>
      </c>
      <c r="B2" s="5"/>
      <c r="D2" s="5"/>
    </row>
    <row r="3" spans="1:4">
      <c r="B3" s="5"/>
      <c r="D3" s="5"/>
    </row>
    <row r="4" spans="1:4">
      <c r="B4" s="5"/>
      <c r="D4" s="5"/>
    </row>
    <row r="5" spans="1:4">
      <c r="A5" s="2" t="s">
        <v>1277</v>
      </c>
      <c r="B5" s="5"/>
    </row>
    <row r="6" spans="1:4">
      <c r="A6" s="2" t="s">
        <v>1278</v>
      </c>
      <c r="B6" s="5"/>
    </row>
    <row r="7" spans="1:4">
      <c r="A7" s="2" t="s">
        <v>1279</v>
      </c>
      <c r="B7" s="5"/>
    </row>
    <row r="8" spans="1:4">
      <c r="A8" s="2" t="s">
        <v>1280</v>
      </c>
      <c r="B8" s="5"/>
    </row>
    <row r="9" spans="1:4">
      <c r="A9" s="2" t="s">
        <v>1281</v>
      </c>
      <c r="B9" s="5"/>
    </row>
    <row r="10" spans="1:4">
      <c r="A10" s="2" t="s">
        <v>1282</v>
      </c>
      <c r="B10" s="5"/>
    </row>
    <row r="11" spans="1:4">
      <c r="A11" s="2" t="s">
        <v>1283</v>
      </c>
      <c r="B11" s="5"/>
      <c r="D11" s="5"/>
    </row>
    <row r="12" spans="1:4">
      <c r="A12" s="2" t="s">
        <v>1284</v>
      </c>
      <c r="B12" s="5"/>
      <c r="D12" s="5"/>
    </row>
    <row r="13" spans="1:4">
      <c r="A13" s="2" t="s">
        <v>1285</v>
      </c>
      <c r="B13" s="5"/>
      <c r="D13" s="5"/>
    </row>
    <row r="14" spans="1:4">
      <c r="A14" s="2" t="s">
        <v>1286</v>
      </c>
      <c r="B14" s="5"/>
      <c r="D14" s="5"/>
    </row>
    <row r="15" spans="1:4">
      <c r="A15" s="2" t="s">
        <v>1287</v>
      </c>
      <c r="B15" s="5"/>
      <c r="D15" s="5"/>
    </row>
    <row r="16" spans="1:4">
      <c r="A16" s="2" t="s">
        <v>1288</v>
      </c>
      <c r="B16" s="5"/>
      <c r="D16" s="5"/>
    </row>
    <row r="17" spans="1:4">
      <c r="A17" s="2" t="s">
        <v>1289</v>
      </c>
      <c r="B17" s="5"/>
      <c r="D17" s="5"/>
    </row>
    <row r="18" spans="1:4">
      <c r="A18" s="2" t="s">
        <v>1290</v>
      </c>
      <c r="B18" s="5"/>
      <c r="D18" s="5"/>
    </row>
    <row r="19" spans="1:4">
      <c r="A19" s="2" t="s">
        <v>1291</v>
      </c>
      <c r="B19" s="5"/>
      <c r="D19" s="5"/>
    </row>
    <row r="20" spans="1:4">
      <c r="A20" s="2" t="s">
        <v>1292</v>
      </c>
      <c r="B20" s="5"/>
      <c r="D20" s="5"/>
    </row>
    <row r="21" spans="1:4">
      <c r="A21" s="2" t="s">
        <v>1293</v>
      </c>
      <c r="B21" s="5"/>
      <c r="D21" s="5"/>
    </row>
    <row r="22" spans="1:4">
      <c r="A22" s="2" t="s">
        <v>1294</v>
      </c>
      <c r="B22" s="5"/>
      <c r="D22" s="5"/>
    </row>
    <row r="23" spans="1:4">
      <c r="A23" s="2" t="s">
        <v>1295</v>
      </c>
      <c r="B23" s="5"/>
      <c r="D23" s="5"/>
    </row>
    <row r="24" spans="1:4">
      <c r="A24" s="2" t="s">
        <v>1296</v>
      </c>
      <c r="B24" s="5"/>
      <c r="D24" s="5"/>
    </row>
    <row r="25" spans="1:4">
      <c r="A25" s="2" t="s">
        <v>1297</v>
      </c>
      <c r="B25" s="5"/>
      <c r="D25" s="5"/>
    </row>
    <row r="26" spans="1:4">
      <c r="A26" s="2" t="s">
        <v>1298</v>
      </c>
      <c r="B26" s="5"/>
      <c r="D26" s="5"/>
    </row>
    <row r="27" spans="1:4">
      <c r="A27" s="2" t="s">
        <v>1299</v>
      </c>
      <c r="B27" s="5"/>
    </row>
    <row r="28" spans="1:4">
      <c r="A28" s="2" t="s">
        <v>1300</v>
      </c>
      <c r="B28" s="5"/>
    </row>
    <row r="29" spans="1:4">
      <c r="A29" s="2" t="s">
        <v>1301</v>
      </c>
      <c r="B29" s="5"/>
    </row>
    <row r="30" spans="1:4">
      <c r="A30" s="2" t="s">
        <v>1302</v>
      </c>
      <c r="B30" s="5"/>
    </row>
    <row r="31" spans="1:4">
      <c r="A31" s="2" t="s">
        <v>1303</v>
      </c>
      <c r="B31" s="5"/>
    </row>
    <row r="32" spans="1:4">
      <c r="A32" s="2" t="s">
        <v>1304</v>
      </c>
      <c r="B32" s="5"/>
    </row>
    <row r="33" spans="1:2">
      <c r="A33" s="2" t="s">
        <v>1305</v>
      </c>
      <c r="B33" s="5"/>
    </row>
    <row r="34" spans="1:2">
      <c r="A34" s="2" t="s">
        <v>1306</v>
      </c>
    </row>
    <row r="35" spans="1:2">
      <c r="A35" s="2" t="s">
        <v>1307</v>
      </c>
    </row>
    <row r="36" spans="1:2">
      <c r="A36" s="2" t="s">
        <v>1308</v>
      </c>
    </row>
    <row r="37" spans="1:2">
      <c r="A37" s="2" t="s">
        <v>1309</v>
      </c>
    </row>
    <row r="38" spans="1:2">
      <c r="A38" s="2" t="s">
        <v>1310</v>
      </c>
    </row>
    <row r="39" spans="1:2">
      <c r="A39" s="2" t="s">
        <v>1311</v>
      </c>
    </row>
    <row r="40" spans="1:2">
      <c r="A40" s="2" t="s">
        <v>1312</v>
      </c>
    </row>
    <row r="41" spans="1:2">
      <c r="A41" s="2" t="s">
        <v>1313</v>
      </c>
    </row>
    <row r="42" spans="1:2">
      <c r="A42" s="2" t="s">
        <v>1314</v>
      </c>
    </row>
    <row r="43" spans="1:2">
      <c r="A43" s="2" t="s">
        <v>1315</v>
      </c>
    </row>
    <row r="44" spans="1:2">
      <c r="A44" s="2" t="s">
        <v>1316</v>
      </c>
    </row>
    <row r="45" spans="1:2">
      <c r="A45" s="2" t="s">
        <v>1317</v>
      </c>
    </row>
    <row r="46" spans="1:2">
      <c r="A46" s="2" t="s">
        <v>1318</v>
      </c>
    </row>
    <row r="47" spans="1:2">
      <c r="A47" s="2" t="s">
        <v>1319</v>
      </c>
    </row>
    <row r="48" spans="1:2">
      <c r="A48" s="2" t="s">
        <v>1320</v>
      </c>
    </row>
    <row r="49" spans="1:1">
      <c r="A49" s="2" t="s">
        <v>1321</v>
      </c>
    </row>
    <row r="50" spans="1:1">
      <c r="A50" s="2" t="s">
        <v>1322</v>
      </c>
    </row>
    <row r="51" spans="1:1">
      <c r="A51" s="2" t="s">
        <v>1323</v>
      </c>
    </row>
    <row r="52" spans="1:1">
      <c r="A52" s="2" t="s">
        <v>1324</v>
      </c>
    </row>
    <row r="53" spans="1:1">
      <c r="A53" s="2" t="s">
        <v>1325</v>
      </c>
    </row>
    <row r="54" spans="1:1">
      <c r="A54" s="2" t="s">
        <v>1326</v>
      </c>
    </row>
    <row r="55" spans="1:1">
      <c r="A55" s="2" t="s">
        <v>1327</v>
      </c>
    </row>
    <row r="56" spans="1:1">
      <c r="A56" s="2" t="s">
        <v>1328</v>
      </c>
    </row>
    <row r="57" spans="1:1">
      <c r="A57" s="2" t="s">
        <v>1329</v>
      </c>
    </row>
    <row r="58" spans="1:1">
      <c r="A58" s="2" t="s">
        <v>1330</v>
      </c>
    </row>
    <row r="59" spans="1:1">
      <c r="A59" s="2" t="s">
        <v>1331</v>
      </c>
    </row>
    <row r="60" spans="1:1">
      <c r="A60" s="2" t="s">
        <v>1332</v>
      </c>
    </row>
    <row r="61" spans="1:1">
      <c r="A61" s="2" t="s">
        <v>1333</v>
      </c>
    </row>
    <row r="62" spans="1:1">
      <c r="A62" s="2" t="s">
        <v>1334</v>
      </c>
    </row>
    <row r="63" spans="1:1">
      <c r="A63" s="2" t="s">
        <v>1335</v>
      </c>
    </row>
    <row r="64" spans="1:1">
      <c r="A64" s="2" t="s">
        <v>1336</v>
      </c>
    </row>
    <row r="65" spans="1:1">
      <c r="A65" s="2" t="s">
        <v>1337</v>
      </c>
    </row>
    <row r="66" spans="1:1">
      <c r="A66" s="2" t="s">
        <v>1338</v>
      </c>
    </row>
    <row r="67" spans="1:1">
      <c r="A67" s="2" t="s">
        <v>1339</v>
      </c>
    </row>
    <row r="68" spans="1:1">
      <c r="A68" s="2" t="s">
        <v>1340</v>
      </c>
    </row>
    <row r="69" spans="1:1">
      <c r="A69" s="2" t="s">
        <v>1341</v>
      </c>
    </row>
    <row r="70" spans="1:1">
      <c r="A70" s="2" t="s">
        <v>1342</v>
      </c>
    </row>
    <row r="71" spans="1:1">
      <c r="A71" s="2" t="s">
        <v>1343</v>
      </c>
    </row>
    <row r="72" spans="1:1">
      <c r="A72" s="2" t="s">
        <v>1344</v>
      </c>
    </row>
    <row r="73" spans="1:1">
      <c r="A73" s="2" t="s">
        <v>1345</v>
      </c>
    </row>
    <row r="74" spans="1:1">
      <c r="A74" s="2" t="s">
        <v>1346</v>
      </c>
    </row>
    <row r="75" spans="1:1">
      <c r="A75" s="2" t="s">
        <v>1347</v>
      </c>
    </row>
    <row r="76" spans="1:1">
      <c r="A76" s="2" t="s">
        <v>1348</v>
      </c>
    </row>
    <row r="77" spans="1:1">
      <c r="A77" s="2" t="s">
        <v>1349</v>
      </c>
    </row>
    <row r="78" spans="1:1">
      <c r="A78" s="2" t="s">
        <v>1350</v>
      </c>
    </row>
    <row r="79" spans="1:1">
      <c r="A79" s="2" t="s">
        <v>1351</v>
      </c>
    </row>
    <row r="80" spans="1:1">
      <c r="A80" s="2" t="s">
        <v>1352</v>
      </c>
    </row>
    <row r="81" spans="1:1">
      <c r="A81" s="2" t="s">
        <v>1353</v>
      </c>
    </row>
    <row r="82" spans="1:1">
      <c r="A82" s="2" t="s">
        <v>1354</v>
      </c>
    </row>
    <row r="83" spans="1:1">
      <c r="A83" s="2" t="s">
        <v>1355</v>
      </c>
    </row>
    <row r="84" spans="1:1">
      <c r="A84" s="2" t="s">
        <v>1356</v>
      </c>
    </row>
    <row r="85" spans="1:1">
      <c r="A85" s="2" t="s">
        <v>1357</v>
      </c>
    </row>
    <row r="86" spans="1:1">
      <c r="A86" s="2" t="s">
        <v>1358</v>
      </c>
    </row>
    <row r="87" spans="1:1">
      <c r="A87" s="2" t="s">
        <v>1359</v>
      </c>
    </row>
    <row r="88" spans="1:1">
      <c r="A88" s="2" t="s">
        <v>1360</v>
      </c>
    </row>
    <row r="89" spans="1:1">
      <c r="A89" s="2" t="s">
        <v>1361</v>
      </c>
    </row>
    <row r="90" spans="1:1">
      <c r="A90" s="2" t="s">
        <v>1362</v>
      </c>
    </row>
    <row r="91" spans="1:1">
      <c r="A91" s="2" t="s">
        <v>1363</v>
      </c>
    </row>
    <row r="92" spans="1:1">
      <c r="A92" s="2" t="s">
        <v>1364</v>
      </c>
    </row>
    <row r="93" spans="1:1">
      <c r="A93" s="2" t="s">
        <v>1365</v>
      </c>
    </row>
    <row r="94" spans="1:1">
      <c r="A94" s="2" t="s">
        <v>1366</v>
      </c>
    </row>
    <row r="95" spans="1:1">
      <c r="A95" s="2" t="s">
        <v>1367</v>
      </c>
    </row>
    <row r="96" spans="1:1">
      <c r="A96" s="2" t="s">
        <v>1368</v>
      </c>
    </row>
    <row r="97" spans="1:1">
      <c r="A97" s="2" t="s">
        <v>1369</v>
      </c>
    </row>
    <row r="98" spans="1:1">
      <c r="A98" s="2" t="s">
        <v>1370</v>
      </c>
    </row>
    <row r="99" spans="1:1">
      <c r="A99" s="2" t="s">
        <v>1371</v>
      </c>
    </row>
  </sheetData>
  <phoneticPr fontId="14" type="noConversion"/>
  <pageMargins left="0.7" right="0.7" top="0.75" bottom="0.75" header="0.3" footer="0.3"/>
  <pageSetup paperSize="9" orientation="portrait"/>
</worksheet>
</file>

<file path=customXml/_rels/item1.xml.rels><?xml version="1.0" encoding="UTF-8"?>

<Relationships xmlns="http://schemas.openxmlformats.org/package/2006/relationships">
  <Relationship Id="rId1" Type="http://schemas.openxmlformats.org/officeDocument/2006/relationships/customXmlProps" Target="itemProps1.xml"/>
</Relationships>

</file>

<file path=customXml/_rels/item2.xml.rels><?xml version="1.0" encoding="UTF-8"?>

<Relationships xmlns="http://schemas.openxmlformats.org/package/2006/relationships">
  <Relationship Id="rId1" Type="http://schemas.openxmlformats.org/officeDocument/2006/relationships/customXmlProps" Target="itemProps2.xml"/>
</Relationships>

</file>

<file path=customXml/_rels/item3.xml.rels><?xml version="1.0" encoding="UTF-8"?>

<Relationships xmlns="http://schemas.openxmlformats.org/package/2006/relationships">
  <Relationship Id="rId1" Type="http://schemas.openxmlformats.org/officeDocument/2006/relationships/customXmlProps" Target="itemProps3.xml"/>
</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A91980C5C918C4684F59D2494840182" ma:contentTypeVersion="17" ma:contentTypeDescription="Crée un document." ma:contentTypeScope="" ma:versionID="b64f3825dedef745799e815778a3a450">
  <xsd:schema xmlns:xsd="http://www.w3.org/2001/XMLSchema" xmlns:xs="http://www.w3.org/2001/XMLSchema" xmlns:p="http://schemas.microsoft.com/office/2006/metadata/properties" xmlns:ns2="4c2767fa-af50-448b-be2e-f65ce6607914" xmlns:ns3="8919c726-fcca-4e26-901c-b5f9cceed740" targetNamespace="http://schemas.microsoft.com/office/2006/metadata/properties" ma:root="true" ma:fieldsID="be7a93383acc94020a60dce7576d233c" ns2:_="" ns3:_="">
    <xsd:import namespace="4c2767fa-af50-448b-be2e-f65ce6607914"/>
    <xsd:import namespace="8919c726-fcca-4e26-901c-b5f9cceed74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OCR" minOccurs="0"/>
                <xsd:element ref="ns3:SharedWithUsers" minOccurs="0"/>
                <xsd:element ref="ns3:SharedWithDetails" minOccurs="0"/>
                <xsd:element ref="ns2:Comments" minOccurs="0"/>
                <xsd:element ref="ns2:MediaServiceBillingMetadata"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2767fa-af50-448b-be2e-f65ce660791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Balises d’images" ma:readOnly="false" ma:fieldId="{5cf76f15-5ced-4ddc-b409-7134ff3c332f}" ma:taxonomyMulti="true" ma:sspId="9247bebf-ce0e-4fa1-bae7-748a1283d6fa"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Comments" ma:index="21" nillable="true" ma:displayName="Comments" ma:format="Dropdown" ma:internalName="Comments">
      <xsd:simpleType>
        <xsd:restriction base="dms:Text">
          <xsd:maxLength value="255"/>
        </xsd:restriction>
      </xsd:simpleType>
    </xsd:element>
    <xsd:element name="MediaServiceBillingMetadata" ma:index="22" nillable="true" ma:displayName="MediaServiceBillingMetadata" ma:hidden="true" ma:internalName="MediaServiceBillingMetadata"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919c726-fcca-4e26-901c-b5f9cceed740" elementFormDefault="qualified">
    <xsd:import namespace="http://schemas.microsoft.com/office/2006/documentManagement/types"/>
    <xsd:import namespace="http://schemas.microsoft.com/office/infopath/2007/PartnerControls"/>
    <xsd:element name="SharedWithUsers" ma:index="19"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Comments xmlns="4c2767fa-af50-448b-be2e-f65ce6607914" xsi:nil="true"/>
    <lcf76f155ced4ddcb4097134ff3c332f xmlns="4c2767fa-af50-448b-be2e-f65ce660791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8DAA19D-A030-4B91-845D-E2DAEE5E3A2D}">
  <ds:schemaRefs/>
</ds:datastoreItem>
</file>

<file path=customXml/itemProps2.xml><?xml version="1.0" encoding="utf-8"?>
<ds:datastoreItem xmlns:ds="http://schemas.openxmlformats.org/officeDocument/2006/customXml" ds:itemID="{12A1FB0A-9C15-4958-B9A9-95D219A1E8A1}">
  <ds:schemaRefs/>
</ds:datastoreItem>
</file>

<file path=customXml/itemProps3.xml><?xml version="1.0" encoding="utf-8"?>
<ds:datastoreItem xmlns:ds="http://schemas.openxmlformats.org/officeDocument/2006/customXml" ds:itemID="{0358F9EF-9D56-485E-8C7D-F32A770232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First page</vt:lpstr>
      <vt:lpstr>Application &amp; Conformity matrix</vt:lpstr>
      <vt:lpstr>Check</vt:lpstr>
      <vt:lpstr>Specific Parameters</vt:lpstr>
      <vt:lpstr>Help1</vt:lpstr>
      <vt:lpstr>Help2</vt:lpstr>
      <vt:lpstr>Audit_MDC</vt:lpstr>
      <vt:lpstr>CONFIG</vt:lpstr>
    </vt:vector>
  </TitlesOfParts>
  <Company>PSA PEUGEOT CITROEN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p109688</dc:creator>
  <cp:lastModifiedBy>LiQiLe李启乐</cp:lastModifiedBy>
  <dcterms:created xsi:type="dcterms:W3CDTF">2008-01-17T20:12:00Z</dcterms:created>
  <dcterms:modified xsi:type="dcterms:W3CDTF">2026-04-24T08:41:37Z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sa_titre">
    <vt:lpwstr>APQP G1-01A Technical Specification</vt:lpwstr>
  </property>
  <property fmtid="{D5CDD505-2E9C-101B-9397-08002B2CF9AE}" pid="3" name="psa_reference">
    <vt:lpwstr>20931_26_00267</vt:lpwstr>
  </property>
  <property fmtid="{D5CDD505-2E9C-101B-9397-08002B2CF9AE}" pid="4" name="psa_date_modification">
    <vt:lpwstr>27/04/2026 13:56</vt:lpwstr>
  </property>
  <property fmtid="{D5CDD505-2E9C-101B-9397-08002B2CF9AE}" pid="5" name="psa_auteur">
    <vt:lpwstr>LE BLEGUET CHRISTOPHE - V178340 (TIANMA EUROPE GMBH) </vt:lpwstr>
  </property>
  <property fmtid="{D5CDD505-2E9C-101B-9397-08002B2CF9AE}" pid="6" name="psa_emetteur">
    <vt:lpwstr>LE BLEGUET CHRISTOPHE - V178340 (TIANMA EUROPE GMBH) </vt:lpwstr>
  </property>
  <property fmtid="{D5CDD505-2E9C-101B-9397-08002B2CF9AE}" pid="7" name="psa_version">
    <vt:lpwstr>0.2</vt:lpwstr>
  </property>
  <property fmtid="{D5CDD505-2E9C-101B-9397-08002B2CF9AE}" pid="8" name="psa_commentaire">
    <vt:lpwstr/>
  </property>
  <property fmtid="{D5CDD505-2E9C-101B-9397-08002B2CF9AE}" pid="9" name="psa_status">
    <vt:lpwstr>brouillon</vt:lpwstr>
  </property>
  <property fmtid="{D5CDD505-2E9C-101B-9397-08002B2CF9AE}" pid="10" name="psa_niveau_confidentialite">
    <vt:lpwstr>C1 - Public</vt:lpwstr>
  </property>
  <property fmtid="{D5CDD505-2E9C-101B-9397-08002B2CF9AE}" pid="11" name="psa_type_doc">
    <vt:lpwstr/>
  </property>
  <property fmtid="{D5CDD505-2E9C-101B-9397-08002B2CF9AE}" pid="12" name="psa_communaute">
    <vt:lpwstr>z - Ext amont Thème Conception et Développement 13</vt:lpwstr>
  </property>
  <property fmtid="{D5CDD505-2E9C-101B-9397-08002B2CF9AE}" pid="13" name="psa_lecteurs">
    <vt:lpwstr>FONTINHA FILIPE MIGUEL - E315261 (ALTEN), G_H_DRD-DSEE-MCSI-AISL_Elargi, Tous les collaborateurs PSA,</vt:lpwstr>
  </property>
  <property fmtid="{D5CDD505-2E9C-101B-9397-08002B2CF9AE}" pid="14" name="psa_classements">
    <vt:lpwstr>Afficheurs</vt:lpwstr>
  </property>
  <property fmtid="{D5CDD505-2E9C-101B-9397-08002B2CF9AE}" pid="15" name="psa_date_creation">
    <vt:lpwstr>14/04/2026 15:58</vt:lpwstr>
  </property>
  <property fmtid="{D5CDD505-2E9C-101B-9397-08002B2CF9AE}" pid="16" name="psa_langue_principale">
    <vt:lpwstr>Français</vt:lpwstr>
  </property>
  <property fmtid="{D5CDD505-2E9C-101B-9397-08002B2CF9AE}" pid="17" name="psa_confidentialite">
    <vt:lpwstr>A usage interne</vt:lpwstr>
  </property>
  <property fmtid="{D5CDD505-2E9C-101B-9397-08002B2CF9AE}" pid="18" name="psa_url_fiche">
    <vt:lpwstr>https://docinfogroupe.inetpsa.com/ead/doc/ref.20931_26_00267/v.0.2</vt:lpwstr>
  </property>
  <property fmtid="{D5CDD505-2E9C-101B-9397-08002B2CF9AE}" pid="19" name="psa_url_modification">
    <vt:lpwstr>https://docinfogroupe.inetpsa.com/ead/doc/modif/ref.20931_26_00267/fiche</vt:lpwstr>
  </property>
  <property fmtid="{D5CDD505-2E9C-101B-9397-08002B2CF9AE}" pid="20" name="psa_date_publication">
    <vt:lpwstr/>
  </property>
  <property fmtid="{D5CDD505-2E9C-101B-9397-08002B2CF9AE}" pid="21" name="_AdHocReviewCycleID">
    <vt:i4>619776642</vt:i4>
  </property>
  <property fmtid="{D5CDD505-2E9C-101B-9397-08002B2CF9AE}" pid="22" name="_NewReviewCycle">
    <vt:lpwstr/>
  </property>
  <property fmtid="{D5CDD505-2E9C-101B-9397-08002B2CF9AE}" pid="23" name="_EmailSubject">
    <vt:lpwstr>MDC standard</vt:lpwstr>
  </property>
  <property fmtid="{D5CDD505-2E9C-101B-9397-08002B2CF9AE}" pid="24" name="_AuthorEmail">
    <vt:lpwstr>fabrice.combredet@mpsa.com</vt:lpwstr>
  </property>
  <property fmtid="{D5CDD505-2E9C-101B-9397-08002B2CF9AE}" pid="25" name="_AuthorEmailDisplayName">
    <vt:lpwstr>FABRICE COMBREDET - U354086</vt:lpwstr>
  </property>
  <property fmtid="{D5CDD505-2E9C-101B-9397-08002B2CF9AE}" pid="26" name="_ReviewingToolsShownOnce">
    <vt:lpwstr/>
  </property>
  <property fmtid="{D5CDD505-2E9C-101B-9397-08002B2CF9AE}" pid="27" name="MSIP_Label_2fd53d93-3f4c-4b90-b511-bd6bdbb4fba9_Enabled">
    <vt:lpwstr>true</vt:lpwstr>
  </property>
  <property fmtid="{D5CDD505-2E9C-101B-9397-08002B2CF9AE}" pid="28" name="MSIP_Label_2fd53d93-3f4c-4b90-b511-bd6bdbb4fba9_SetDate">
    <vt:lpwstr>2021-01-29T08:57:38Z</vt:lpwstr>
  </property>
  <property fmtid="{D5CDD505-2E9C-101B-9397-08002B2CF9AE}" pid="29" name="MSIP_Label_2fd53d93-3f4c-4b90-b511-bd6bdbb4fba9_Method">
    <vt:lpwstr>Standard</vt:lpwstr>
  </property>
  <property fmtid="{D5CDD505-2E9C-101B-9397-08002B2CF9AE}" pid="30" name="MSIP_Label_2fd53d93-3f4c-4b90-b511-bd6bdbb4fba9_Name">
    <vt:lpwstr>2fd53d93-3f4c-4b90-b511-bd6bdbb4fba9</vt:lpwstr>
  </property>
  <property fmtid="{D5CDD505-2E9C-101B-9397-08002B2CF9AE}" pid="31" name="MSIP_Label_2fd53d93-3f4c-4b90-b511-bd6bdbb4fba9_SiteId">
    <vt:lpwstr>d852d5cd-724c-4128-8812-ffa5db3f8507</vt:lpwstr>
  </property>
  <property fmtid="{D5CDD505-2E9C-101B-9397-08002B2CF9AE}" pid="32" name="MSIP_Label_2fd53d93-3f4c-4b90-b511-bd6bdbb4fba9_ActionId">
    <vt:lpwstr>c63ce816-e75e-4629-9efa-a964dcddd422</vt:lpwstr>
  </property>
  <property fmtid="{D5CDD505-2E9C-101B-9397-08002B2CF9AE}" pid="33" name="MSIP_Label_2fd53d93-3f4c-4b90-b511-bd6bdbb4fba9_ContentBits">
    <vt:lpwstr>0</vt:lpwstr>
  </property>
  <property fmtid="{D5CDD505-2E9C-101B-9397-08002B2CF9AE}" pid="34" name="ContentTypeId">
    <vt:lpwstr>0x0101005A91980C5C918C4684F59D2494840182</vt:lpwstr>
  </property>
  <property fmtid="{D5CDD505-2E9C-101B-9397-08002B2CF9AE}" pid="35" name="ICV">
    <vt:lpwstr>9B4F2973E857439CAEED19D247C4BE54_12</vt:lpwstr>
  </property>
  <property fmtid="{D5CDD505-2E9C-101B-9397-08002B2CF9AE}" pid="36" name="KSOProductBuildVer">
    <vt:lpwstr>2052-12.8.2.18205</vt:lpwstr>
  </property>
  <property fmtid="{D5CDD505-2E9C-101B-9397-08002B2CF9AE}" pid="37" name="MediaServiceImageTags">
    <vt:lpwstr/>
  </property>
</Properties>
</file>