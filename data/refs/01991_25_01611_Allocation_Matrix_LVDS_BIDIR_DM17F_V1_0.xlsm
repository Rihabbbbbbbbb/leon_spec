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alcChain.xml" ContentType="application/vnd.openxmlformats-officedocument.spreadsheetml.calcChain+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 Id="rId5" Type="http://schemas.microsoft.com/office/2020/02/relationships/classificationlabels" Target="docMetadata/LabelInfo.xml"/>
</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defaultThemeVersion="124226"/>
  <bookViews>
    <workbookView xWindow="-28820" yWindow="-18120" windowWidth="29040" windowHeight="17520" tabRatio="751" activeTab="4"/>
  </bookViews>
  <sheets>
    <sheet name="First Page" sheetId="1" r:id="rId1"/>
    <sheet name="Revisions" sheetId="2" r:id="rId2"/>
    <sheet name="Documents" sheetId="23" r:id="rId3"/>
    <sheet name="DM17F LVDS Map" sheetId="32" r:id="rId4"/>
    <sheet name="02016_12_01755-PL - (TS1)" sheetId="39" r:id="rId5"/>
    <sheet name="01991_22_02471-I2C_CR - (TS2)" sheetId="22" r:id="rId6"/>
    <sheet name="02016_12_05270-NM - (TS3)" sheetId="35" r:id="rId7"/>
    <sheet name="02016_15_06111 - (VAL)" sheetId="33" r:id="rId8"/>
  </sheets>
  <definedNames>
    <definedName name="_xlnm._FilterDatabase" localSheetId="5" hidden="1">'01991_22_02471-I2C_CR - (TS2)'!$A$8:$DA$177</definedName>
    <definedName name="_xlnm._FilterDatabase" localSheetId="4" hidden="1">'02016_12_01755-PL - (TS1)'!$B$8:$DI$288</definedName>
    <definedName name="_xlnm._FilterDatabase" localSheetId="6" hidden="1">'02016_12_05270-NM - (TS3)'!$A$8:$CX$65</definedName>
    <definedName name="_xlnm._FilterDatabase" localSheetId="7" hidden="1">'02016_15_06111 - (VAL)'!$C$8:$CM$22</definedName>
    <definedName name="champs_synchronisés" localSheetId="5">#REF!</definedName>
    <definedName name="champs_synchronisés" localSheetId="4">#REF!</definedName>
    <definedName name="champs_synchronisés" localSheetId="6">#REF!</definedName>
    <definedName name="champs_synchronisés" localSheetId="7">#REF!</definedName>
    <definedName name="champs_synchronisés" localSheetId="3">#REF!</definedName>
    <definedName name="champs_synchronisés" localSheetId="2">#REF!</definedName>
    <definedName name="champs_synchronisés" localSheetId="1">#REF!</definedName>
    <definedName name="champs_synchronisés">#REF!</definedName>
    <definedName name="f" localSheetId="5">#REF!</definedName>
    <definedName name="f" localSheetId="4">#REF!</definedName>
    <definedName name="f" localSheetId="6">#REF!</definedName>
    <definedName name="f" localSheetId="7">#REF!</definedName>
    <definedName name="f" localSheetId="3">#REF!</definedName>
    <definedName name="f" localSheetId="2">#REF!</definedName>
    <definedName name="f">#REF!</definedName>
    <definedName name="_xlnm.Print_Area" localSheetId="0">'First Page'!$A$1:$I$21</definedName>
    <definedName name="_xlnm.Print_Area" localSheetId="1">Revisions!$A$1:$D$9</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63" i="39" l="1"/>
  <c r="U263" i="39"/>
  <c r="T264" i="39"/>
  <c r="U264" i="39"/>
  <c r="AL59" i="35" l="1"/>
  <c r="AK59" i="35"/>
  <c r="AC59" i="35"/>
  <c r="AB59" i="35"/>
  <c r="T59" i="35"/>
  <c r="S59" i="35"/>
  <c r="D59" i="35"/>
  <c r="AL58" i="35"/>
  <c r="AK58" i="35"/>
  <c r="AC58" i="35"/>
  <c r="AB58" i="35"/>
  <c r="T58" i="35"/>
  <c r="S58" i="35"/>
  <c r="D58" i="35"/>
  <c r="AL57" i="35"/>
  <c r="AK57" i="35"/>
  <c r="AC57" i="35"/>
  <c r="AB57" i="35"/>
  <c r="T57" i="35"/>
  <c r="S57" i="35"/>
  <c r="D57" i="35"/>
  <c r="AL56" i="35"/>
  <c r="AK56" i="35"/>
  <c r="AC56" i="35"/>
  <c r="AB56" i="35"/>
  <c r="T56" i="35"/>
  <c r="S56" i="35"/>
  <c r="D56" i="35"/>
  <c r="AL34" i="35"/>
  <c r="AK34" i="35"/>
  <c r="AC34" i="35"/>
  <c r="AB34" i="35"/>
  <c r="T34" i="35"/>
  <c r="S34" i="35"/>
  <c r="D34" i="35"/>
  <c r="AL33" i="35"/>
  <c r="AK33" i="35"/>
  <c r="AC33" i="35"/>
  <c r="AB33" i="35"/>
  <c r="T33" i="35"/>
  <c r="S33" i="35"/>
  <c r="D33" i="35"/>
  <c r="AL32" i="35"/>
  <c r="AK32" i="35"/>
  <c r="AC32" i="35"/>
  <c r="AB32" i="35"/>
  <c r="T32" i="35"/>
  <c r="S32" i="35"/>
  <c r="D32" i="35"/>
  <c r="AL31" i="35"/>
  <c r="AK31" i="35"/>
  <c r="AC31" i="35"/>
  <c r="AB31" i="35"/>
  <c r="T31" i="35"/>
  <c r="S31" i="35"/>
  <c r="D31" i="35"/>
  <c r="U90" i="22"/>
  <c r="V90" i="22"/>
  <c r="D90" i="22"/>
  <c r="E90" i="22" s="1"/>
  <c r="Y7" i="22"/>
  <c r="Y6" i="22"/>
  <c r="Y5" i="22"/>
  <c r="W5" i="22"/>
  <c r="Y4" i="22"/>
  <c r="W4" i="22"/>
  <c r="N7" i="35"/>
  <c r="N6" i="35"/>
  <c r="N5" i="35"/>
  <c r="L5" i="35"/>
  <c r="N4" i="35"/>
  <c r="L4" i="35"/>
  <c r="M4" i="39"/>
  <c r="O4" i="39"/>
  <c r="M5" i="39"/>
  <c r="O5" i="39"/>
  <c r="O6" i="39"/>
  <c r="O7" i="39"/>
  <c r="G4" i="33"/>
  <c r="I4" i="33"/>
  <c r="G5" i="33"/>
  <c r="I5" i="33"/>
  <c r="I6" i="33"/>
  <c r="I7" i="33"/>
  <c r="E1" i="35"/>
  <c r="AO7" i="35"/>
  <c r="AO6" i="35"/>
  <c r="AO5" i="35"/>
  <c r="AM5" i="35"/>
  <c r="AO4" i="35"/>
  <c r="AM4" i="35"/>
  <c r="AL65" i="35"/>
  <c r="AL64" i="35"/>
  <c r="AL63" i="35"/>
  <c r="AL62" i="35"/>
  <c r="AK62" i="35"/>
  <c r="AL61" i="35"/>
  <c r="AK61" i="35"/>
  <c r="AL60" i="35"/>
  <c r="AL55" i="35"/>
  <c r="AK55" i="35"/>
  <c r="AL54" i="35"/>
  <c r="AK54" i="35"/>
  <c r="AL53" i="35"/>
  <c r="AK53" i="35"/>
  <c r="AL52" i="35"/>
  <c r="AK52" i="35"/>
  <c r="AL51" i="35"/>
  <c r="AK51" i="35"/>
  <c r="AL50" i="35"/>
  <c r="AK50" i="35"/>
  <c r="AL49" i="35"/>
  <c r="AK49" i="35"/>
  <c r="AL48" i="35"/>
  <c r="AK48" i="35"/>
  <c r="AL47" i="35"/>
  <c r="AK47" i="35"/>
  <c r="AL46" i="35"/>
  <c r="AK46" i="35"/>
  <c r="AL45" i="35"/>
  <c r="AK45" i="35"/>
  <c r="AL44" i="35"/>
  <c r="AK44" i="35"/>
  <c r="AL43" i="35"/>
  <c r="AK43" i="35"/>
  <c r="AL42" i="35"/>
  <c r="AK42" i="35"/>
  <c r="AL41" i="35"/>
  <c r="AK41" i="35"/>
  <c r="AL40" i="35"/>
  <c r="AK40" i="35"/>
  <c r="AL39" i="35"/>
  <c r="AK39" i="35"/>
  <c r="AL38" i="35"/>
  <c r="AK38" i="35"/>
  <c r="AL37" i="35"/>
  <c r="AK37" i="35"/>
  <c r="AL36" i="35"/>
  <c r="AK36" i="35"/>
  <c r="AL35" i="35"/>
  <c r="AK35" i="35"/>
  <c r="AL30" i="35"/>
  <c r="AL29" i="35"/>
  <c r="AL28" i="35"/>
  <c r="AL27" i="35"/>
  <c r="AL26" i="35"/>
  <c r="AL25" i="35"/>
  <c r="AL24" i="35"/>
  <c r="AK24" i="35"/>
  <c r="AL23" i="35"/>
  <c r="AK23" i="35"/>
  <c r="AL22" i="35"/>
  <c r="AK22" i="35"/>
  <c r="AL21" i="35"/>
  <c r="AK21" i="35"/>
  <c r="AL20" i="35"/>
  <c r="AK20" i="35"/>
  <c r="AL19" i="35"/>
  <c r="AK19" i="35"/>
  <c r="AL18" i="35"/>
  <c r="AK18" i="35"/>
  <c r="AL17" i="35"/>
  <c r="AK17" i="35"/>
  <c r="AL16" i="35"/>
  <c r="AK16" i="35"/>
  <c r="AL15" i="35"/>
  <c r="AK15" i="35"/>
  <c r="AL14" i="35"/>
  <c r="AK14" i="35"/>
  <c r="AL13" i="35"/>
  <c r="AK13" i="35"/>
  <c r="AL12" i="35"/>
  <c r="AK12" i="35"/>
  <c r="AL11" i="35"/>
  <c r="AK11" i="35"/>
  <c r="AL10" i="35"/>
  <c r="AL9" i="35"/>
  <c r="AJ7" i="33"/>
  <c r="AJ6" i="33"/>
  <c r="AJ5" i="33"/>
  <c r="AH5" i="33"/>
  <c r="AJ4" i="33"/>
  <c r="AH4" i="33"/>
  <c r="AG24" i="33"/>
  <c r="AG23" i="33"/>
  <c r="AG22" i="33"/>
  <c r="AG21" i="33"/>
  <c r="AG20" i="33"/>
  <c r="AG19" i="33"/>
  <c r="AG18" i="33"/>
  <c r="AG17" i="33"/>
  <c r="AG16" i="33"/>
  <c r="AG15" i="33"/>
  <c r="AG14" i="33"/>
  <c r="AG13" i="33"/>
  <c r="AG12" i="33"/>
  <c r="AG11" i="33"/>
  <c r="AG10" i="33"/>
  <c r="AG9" i="33"/>
  <c r="AN177" i="22"/>
  <c r="AM177" i="22"/>
  <c r="AN176" i="22"/>
  <c r="AM176" i="22"/>
  <c r="AN175" i="22"/>
  <c r="AM175" i="22"/>
  <c r="AN174" i="22"/>
  <c r="AM174" i="22"/>
  <c r="AN173" i="22"/>
  <c r="AM173" i="22"/>
  <c r="AN172" i="22"/>
  <c r="AM172" i="22"/>
  <c r="AN171" i="22"/>
  <c r="AM171" i="22"/>
  <c r="AN170" i="22"/>
  <c r="AM170" i="22"/>
  <c r="AN169" i="22"/>
  <c r="AM169" i="22"/>
  <c r="AN168" i="22"/>
  <c r="AM168" i="22"/>
  <c r="AN167" i="22"/>
  <c r="AM167" i="22"/>
  <c r="AN166" i="22"/>
  <c r="AN165" i="22"/>
  <c r="AN164" i="22"/>
  <c r="AN163" i="22"/>
  <c r="AN162" i="22"/>
  <c r="AN161" i="22"/>
  <c r="AN160" i="22"/>
  <c r="AN159" i="22"/>
  <c r="AN158" i="22"/>
  <c r="AN157" i="22"/>
  <c r="AN156" i="22"/>
  <c r="AN155" i="22"/>
  <c r="AN154" i="22"/>
  <c r="AM154" i="22"/>
  <c r="AN153" i="22"/>
  <c r="AM153" i="22"/>
  <c r="AN152" i="22"/>
  <c r="AM152" i="22"/>
  <c r="AN151" i="22"/>
  <c r="AM151" i="22"/>
  <c r="AN150" i="22"/>
  <c r="AM150" i="22"/>
  <c r="AN149" i="22"/>
  <c r="AM149" i="22"/>
  <c r="AN148" i="22"/>
  <c r="AM148" i="22"/>
  <c r="AN147" i="22"/>
  <c r="AM147" i="22"/>
  <c r="AN146" i="22"/>
  <c r="AM146" i="22"/>
  <c r="AN145" i="22"/>
  <c r="AM145" i="22"/>
  <c r="AN144" i="22"/>
  <c r="AM144" i="22"/>
  <c r="AN143" i="22"/>
  <c r="AM143" i="22"/>
  <c r="AN142" i="22"/>
  <c r="AM142" i="22"/>
  <c r="AN141" i="22"/>
  <c r="AM141" i="22"/>
  <c r="AN140" i="22"/>
  <c r="AM140" i="22"/>
  <c r="AN139" i="22"/>
  <c r="AM139" i="22"/>
  <c r="AN138" i="22"/>
  <c r="AM138" i="22"/>
  <c r="AN137" i="22"/>
  <c r="AM137" i="22"/>
  <c r="AN136" i="22"/>
  <c r="AM136" i="22"/>
  <c r="AN135" i="22"/>
  <c r="AM135" i="22"/>
  <c r="AN134" i="22"/>
  <c r="AM134" i="22"/>
  <c r="AN133" i="22"/>
  <c r="AM133" i="22"/>
  <c r="AN132" i="22"/>
  <c r="AM132" i="22"/>
  <c r="AN131" i="22"/>
  <c r="AM131" i="22"/>
  <c r="AN130" i="22"/>
  <c r="AM130" i="22"/>
  <c r="AN129" i="22"/>
  <c r="AM129" i="22"/>
  <c r="AN128" i="22"/>
  <c r="AN127" i="22"/>
  <c r="AN126" i="22"/>
  <c r="AN125" i="22"/>
  <c r="AN124" i="22"/>
  <c r="AN123" i="22"/>
  <c r="AN122" i="22"/>
  <c r="AN121" i="22"/>
  <c r="AN120" i="22"/>
  <c r="AN119" i="22"/>
  <c r="AN118" i="22"/>
  <c r="AM118" i="22"/>
  <c r="AN117" i="22"/>
  <c r="AM117" i="22"/>
  <c r="AN116" i="22"/>
  <c r="AN115" i="22"/>
  <c r="AN114" i="22"/>
  <c r="AN113" i="22"/>
  <c r="AN112" i="22"/>
  <c r="AN111" i="22"/>
  <c r="AN110" i="22"/>
  <c r="AN109" i="22"/>
  <c r="AN108" i="22"/>
  <c r="AM108" i="22"/>
  <c r="AN107" i="22"/>
  <c r="AN106" i="22"/>
  <c r="AN105" i="22"/>
  <c r="AN104" i="22"/>
  <c r="AN103" i="22"/>
  <c r="AN102" i="22"/>
  <c r="AN101" i="22"/>
  <c r="AN100" i="22"/>
  <c r="AN99" i="22"/>
  <c r="AN98" i="22"/>
  <c r="AN97" i="22"/>
  <c r="AN96" i="22"/>
  <c r="AN95" i="22"/>
  <c r="AN94" i="22"/>
  <c r="AN93" i="22"/>
  <c r="AN92" i="22"/>
  <c r="AN91" i="22"/>
  <c r="AN89" i="22"/>
  <c r="AM89" i="22"/>
  <c r="AN88" i="22"/>
  <c r="AN87" i="22"/>
  <c r="AM87" i="22"/>
  <c r="AN86" i="22"/>
  <c r="AM86" i="22"/>
  <c r="AN85" i="22"/>
  <c r="AM85" i="22"/>
  <c r="AN84" i="22"/>
  <c r="AN83" i="22"/>
  <c r="AM83" i="22"/>
  <c r="AN82" i="22"/>
  <c r="AM82" i="22"/>
  <c r="AN81" i="22"/>
  <c r="AN80" i="22"/>
  <c r="AM80" i="22"/>
  <c r="AN79" i="22"/>
  <c r="AM79" i="22"/>
  <c r="AN78" i="22"/>
  <c r="AM78" i="22"/>
  <c r="AN77" i="22"/>
  <c r="AM77" i="22"/>
  <c r="AN76" i="22"/>
  <c r="AN75" i="22"/>
  <c r="AN74" i="22"/>
  <c r="AN73" i="22"/>
  <c r="AM73" i="22"/>
  <c r="AN72" i="22"/>
  <c r="AM72" i="22"/>
  <c r="AN71" i="22"/>
  <c r="AM71" i="22"/>
  <c r="AN70" i="22"/>
  <c r="AM70" i="22"/>
  <c r="AN69" i="22"/>
  <c r="AN68" i="22"/>
  <c r="AN67" i="22"/>
  <c r="AN66" i="22"/>
  <c r="AM66" i="22"/>
  <c r="AN65" i="22"/>
  <c r="AN64" i="22"/>
  <c r="AM64" i="22"/>
  <c r="AN63" i="22"/>
  <c r="AN62" i="22"/>
  <c r="AN61" i="22"/>
  <c r="AN60" i="22"/>
  <c r="AN59" i="22"/>
  <c r="AN58" i="22"/>
  <c r="AN57" i="22"/>
  <c r="AM57" i="22"/>
  <c r="AN56" i="22"/>
  <c r="AM56" i="22"/>
  <c r="AN55" i="22"/>
  <c r="AM55" i="22"/>
  <c r="AN54" i="22"/>
  <c r="AM54" i="22"/>
  <c r="AN53" i="22"/>
  <c r="AM53" i="22"/>
  <c r="AN52" i="22"/>
  <c r="AM52" i="22"/>
  <c r="AN51" i="22"/>
  <c r="AM51" i="22"/>
  <c r="AN50" i="22"/>
  <c r="AM50" i="22"/>
  <c r="AN49" i="22"/>
  <c r="AM49" i="22"/>
  <c r="AN48" i="22"/>
  <c r="AM48" i="22"/>
  <c r="AN47" i="22"/>
  <c r="AM47" i="22"/>
  <c r="AN46" i="22"/>
  <c r="AM46" i="22"/>
  <c r="AN45" i="22"/>
  <c r="AM45" i="22"/>
  <c r="AN44" i="22"/>
  <c r="AM44" i="22"/>
  <c r="AN43" i="22"/>
  <c r="AN42" i="22"/>
  <c r="AM42" i="22"/>
  <c r="AN41" i="22"/>
  <c r="AM41" i="22"/>
  <c r="AN40" i="22"/>
  <c r="AM40" i="22"/>
  <c r="AN39" i="22"/>
  <c r="AM39" i="22"/>
  <c r="AN38" i="22"/>
  <c r="AM38" i="22"/>
  <c r="AN37" i="22"/>
  <c r="AM37" i="22"/>
  <c r="AN36" i="22"/>
  <c r="AM36" i="22"/>
  <c r="AN35" i="22"/>
  <c r="AM35" i="22"/>
  <c r="AN34" i="22"/>
  <c r="AM34" i="22"/>
  <c r="AN33" i="22"/>
  <c r="AN32" i="22"/>
  <c r="AN31" i="22"/>
  <c r="AN30" i="22"/>
  <c r="AN29" i="22"/>
  <c r="AN28" i="22"/>
  <c r="AN27" i="22"/>
  <c r="AN26" i="22"/>
  <c r="AN25" i="22"/>
  <c r="AM25" i="22"/>
  <c r="AN24" i="22"/>
  <c r="AM24" i="22"/>
  <c r="AN23" i="22"/>
  <c r="AM23" i="22"/>
  <c r="AN22" i="22"/>
  <c r="AM22" i="22"/>
  <c r="AN21" i="22"/>
  <c r="AN20" i="22"/>
  <c r="AN19" i="22"/>
  <c r="AN18" i="22"/>
  <c r="AN17" i="22"/>
  <c r="AN16" i="22"/>
  <c r="AN15" i="22"/>
  <c r="AN14" i="22"/>
  <c r="AN13" i="22"/>
  <c r="AN12" i="22"/>
  <c r="AN11" i="22"/>
  <c r="AM11" i="22"/>
  <c r="AN10" i="22"/>
  <c r="AN9" i="22"/>
  <c r="AQ7" i="22"/>
  <c r="AQ6" i="22"/>
  <c r="AQ5" i="22"/>
  <c r="AO5" i="22"/>
  <c r="AQ4" i="22"/>
  <c r="AO4" i="22"/>
  <c r="AM288" i="39"/>
  <c r="AL288" i="39"/>
  <c r="AM287" i="39"/>
  <c r="AL287" i="39"/>
  <c r="AM286" i="39"/>
  <c r="AL286" i="39"/>
  <c r="AM285" i="39"/>
  <c r="AL285" i="39"/>
  <c r="AM284" i="39"/>
  <c r="AL284" i="39"/>
  <c r="AM283" i="39"/>
  <c r="AM282" i="39"/>
  <c r="AM281" i="39"/>
  <c r="AM280" i="39"/>
  <c r="AM279" i="39"/>
  <c r="AL279" i="39"/>
  <c r="AM278" i="39"/>
  <c r="AM277" i="39"/>
  <c r="AL277" i="39"/>
  <c r="AM276" i="39"/>
  <c r="AM275" i="39"/>
  <c r="AL275" i="39"/>
  <c r="AM274" i="39"/>
  <c r="AL274" i="39"/>
  <c r="AM273" i="39"/>
  <c r="AL273" i="39"/>
  <c r="AM272" i="39"/>
  <c r="AL272" i="39"/>
  <c r="AM271" i="39"/>
  <c r="AL271" i="39"/>
  <c r="AM270" i="39"/>
  <c r="AL270" i="39"/>
  <c r="AM269" i="39"/>
  <c r="AL269" i="39"/>
  <c r="AM268" i="39"/>
  <c r="AL268" i="39"/>
  <c r="AM267" i="39"/>
  <c r="AL267" i="39"/>
  <c r="AM266" i="39"/>
  <c r="AL266" i="39"/>
  <c r="AM265" i="39"/>
  <c r="AM264" i="39"/>
  <c r="AL264" i="39"/>
  <c r="AM263" i="39"/>
  <c r="AL263" i="39"/>
  <c r="AM262" i="39"/>
  <c r="AL262" i="39"/>
  <c r="AM261" i="39"/>
  <c r="AL261" i="39"/>
  <c r="AM260" i="39"/>
  <c r="AL260" i="39"/>
  <c r="AM259" i="39"/>
  <c r="AL259" i="39"/>
  <c r="AM258" i="39"/>
  <c r="AL258" i="39"/>
  <c r="AM257" i="39"/>
  <c r="AL257" i="39"/>
  <c r="AM256" i="39"/>
  <c r="AL256" i="39"/>
  <c r="AM255" i="39"/>
  <c r="AL255" i="39"/>
  <c r="AM254" i="39"/>
  <c r="AL254" i="39"/>
  <c r="AM253" i="39"/>
  <c r="AL253" i="39"/>
  <c r="AM252" i="39"/>
  <c r="AL252" i="39"/>
  <c r="AM251" i="39"/>
  <c r="AM250" i="39"/>
  <c r="AM249" i="39"/>
  <c r="AL249" i="39"/>
  <c r="AM248" i="39"/>
  <c r="AL248" i="39"/>
  <c r="AM247" i="39"/>
  <c r="AL247" i="39"/>
  <c r="AM246" i="39"/>
  <c r="AM245" i="39"/>
  <c r="AL245" i="39"/>
  <c r="AM244" i="39"/>
  <c r="AL244" i="39"/>
  <c r="AM243" i="39"/>
  <c r="AL243" i="39"/>
  <c r="AM242" i="39"/>
  <c r="AM241" i="39"/>
  <c r="AL241" i="39"/>
  <c r="AM240" i="39"/>
  <c r="AL240" i="39"/>
  <c r="AM239" i="39"/>
  <c r="AL239" i="39"/>
  <c r="AM238" i="39"/>
  <c r="AL238" i="39"/>
  <c r="AM237" i="39"/>
  <c r="AL237" i="39"/>
  <c r="AM236" i="39"/>
  <c r="AL236" i="39"/>
  <c r="AM235" i="39"/>
  <c r="AL235" i="39"/>
  <c r="AM234" i="39"/>
  <c r="AL234" i="39"/>
  <c r="AM233" i="39"/>
  <c r="AL233" i="39"/>
  <c r="AM232" i="39"/>
  <c r="AL232" i="39"/>
  <c r="AM231" i="39"/>
  <c r="AL231" i="39"/>
  <c r="AM230" i="39"/>
  <c r="AL230" i="39"/>
  <c r="AM229" i="39"/>
  <c r="AL229" i="39"/>
  <c r="AM228" i="39"/>
  <c r="AL228" i="39"/>
  <c r="AM227" i="39"/>
  <c r="AL227" i="39"/>
  <c r="AM226" i="39"/>
  <c r="AL226" i="39"/>
  <c r="AM225" i="39"/>
  <c r="AL225" i="39"/>
  <c r="AM224" i="39"/>
  <c r="AL224" i="39"/>
  <c r="AM223" i="39"/>
  <c r="AL223" i="39"/>
  <c r="AM222" i="39"/>
  <c r="AL222" i="39"/>
  <c r="AM221" i="39"/>
  <c r="AL221" i="39"/>
  <c r="AM220" i="39"/>
  <c r="AL220" i="39"/>
  <c r="AM219" i="39"/>
  <c r="AL219" i="39"/>
  <c r="AM218" i="39"/>
  <c r="AL218" i="39"/>
  <c r="AM217" i="39"/>
  <c r="AL217" i="39"/>
  <c r="AM216" i="39"/>
  <c r="AL216" i="39"/>
  <c r="AM215" i="39"/>
  <c r="AL215" i="39"/>
  <c r="AM214" i="39"/>
  <c r="AL214" i="39"/>
  <c r="AM213" i="39"/>
  <c r="AL213" i="39"/>
  <c r="AM212" i="39"/>
  <c r="AL212" i="39"/>
  <c r="AM211" i="39"/>
  <c r="AL211" i="39"/>
  <c r="AM210" i="39"/>
  <c r="AL210" i="39"/>
  <c r="AM209" i="39"/>
  <c r="AL209" i="39"/>
  <c r="AM208" i="39"/>
  <c r="AL208" i="39"/>
  <c r="AM207" i="39"/>
  <c r="AL207" i="39"/>
  <c r="AM206" i="39"/>
  <c r="AL206" i="39"/>
  <c r="AM205" i="39"/>
  <c r="AL205" i="39"/>
  <c r="AM204" i="39"/>
  <c r="AL204" i="39"/>
  <c r="AM203" i="39"/>
  <c r="AL203" i="39"/>
  <c r="AM202" i="39"/>
  <c r="AL202" i="39"/>
  <c r="AM201" i="39"/>
  <c r="AL201" i="39"/>
  <c r="AM200" i="39"/>
  <c r="AL200" i="39"/>
  <c r="AM199" i="39"/>
  <c r="AL199" i="39"/>
  <c r="AM198" i="39"/>
  <c r="AM197" i="39"/>
  <c r="AL197" i="39"/>
  <c r="AM196" i="39"/>
  <c r="AM195" i="39"/>
  <c r="AL195" i="39"/>
  <c r="AM194" i="39"/>
  <c r="AL194" i="39"/>
  <c r="AM193" i="39"/>
  <c r="AL193" i="39"/>
  <c r="AM192" i="39"/>
  <c r="AM191" i="39"/>
  <c r="AM190" i="39"/>
  <c r="AM189" i="39"/>
  <c r="AM188" i="39"/>
  <c r="AL188" i="39"/>
  <c r="AM187" i="39"/>
  <c r="AL187" i="39"/>
  <c r="AM186" i="39"/>
  <c r="AL186" i="39"/>
  <c r="AM185" i="39"/>
  <c r="AL185" i="39"/>
  <c r="AM184" i="39"/>
  <c r="AL184" i="39"/>
  <c r="AM183" i="39"/>
  <c r="AL183" i="39"/>
  <c r="AM182" i="39"/>
  <c r="AL182" i="39"/>
  <c r="AM181" i="39"/>
  <c r="AL181" i="39"/>
  <c r="AM180" i="39"/>
  <c r="AL180" i="39"/>
  <c r="AM179" i="39"/>
  <c r="AL179" i="39"/>
  <c r="AM178" i="39"/>
  <c r="AL178" i="39"/>
  <c r="AM177" i="39"/>
  <c r="AL177" i="39"/>
  <c r="AM176" i="39"/>
  <c r="AL176" i="39"/>
  <c r="AM175" i="39"/>
  <c r="AL175" i="39"/>
  <c r="AM174" i="39"/>
  <c r="AL174" i="39"/>
  <c r="AM173" i="39"/>
  <c r="AL173" i="39"/>
  <c r="AM172" i="39"/>
  <c r="AL172" i="39"/>
  <c r="AM171" i="39"/>
  <c r="AL171" i="39"/>
  <c r="AM170" i="39"/>
  <c r="AL170" i="39"/>
  <c r="AM169" i="39"/>
  <c r="AL169" i="39"/>
  <c r="AM168" i="39"/>
  <c r="AL168" i="39"/>
  <c r="AM167" i="39"/>
  <c r="AL167" i="39"/>
  <c r="AM166" i="39"/>
  <c r="AL166" i="39"/>
  <c r="AM165" i="39"/>
  <c r="AL165" i="39"/>
  <c r="AM164" i="39"/>
  <c r="AL164" i="39"/>
  <c r="AM163" i="39"/>
  <c r="AL163" i="39"/>
  <c r="AM162" i="39"/>
  <c r="AL162" i="39"/>
  <c r="AM161" i="39"/>
  <c r="AL161" i="39"/>
  <c r="AM160" i="39"/>
  <c r="AL160" i="39"/>
  <c r="AM159" i="39"/>
  <c r="AL159" i="39"/>
  <c r="AM158" i="39"/>
  <c r="AL158" i="39"/>
  <c r="AM157" i="39"/>
  <c r="AL157" i="39"/>
  <c r="AM156" i="39"/>
  <c r="AL156" i="39"/>
  <c r="AM155" i="39"/>
  <c r="AL155" i="39"/>
  <c r="AM154" i="39"/>
  <c r="AL154" i="39"/>
  <c r="AM153" i="39"/>
  <c r="AL153" i="39"/>
  <c r="AM152" i="39"/>
  <c r="AL152" i="39"/>
  <c r="AM151" i="39"/>
  <c r="AM150" i="39"/>
  <c r="AL150" i="39"/>
  <c r="AM149" i="39"/>
  <c r="AM148" i="39"/>
  <c r="AL148" i="39"/>
  <c r="AM147" i="39"/>
  <c r="AL147" i="39"/>
  <c r="AM146" i="39"/>
  <c r="AL146" i="39"/>
  <c r="AM145" i="39"/>
  <c r="AL145" i="39"/>
  <c r="AM144" i="39"/>
  <c r="AL144" i="39"/>
  <c r="AM143" i="39"/>
  <c r="AL143" i="39"/>
  <c r="AM142" i="39"/>
  <c r="AL142" i="39"/>
  <c r="AM141" i="39"/>
  <c r="AL141" i="39"/>
  <c r="AM140" i="39"/>
  <c r="AL140" i="39"/>
  <c r="AM139" i="39"/>
  <c r="AL139" i="39"/>
  <c r="AM138" i="39"/>
  <c r="AL138" i="39"/>
  <c r="AM137" i="39"/>
  <c r="AL137" i="39"/>
  <c r="AM136" i="39"/>
  <c r="AL136" i="39"/>
  <c r="AM135" i="39"/>
  <c r="AL135" i="39"/>
  <c r="AM134" i="39"/>
  <c r="AL134" i="39"/>
  <c r="AM133" i="39"/>
  <c r="AL133" i="39"/>
  <c r="AM132" i="39"/>
  <c r="AL132" i="39"/>
  <c r="AM131" i="39"/>
  <c r="AM130" i="39"/>
  <c r="AL130" i="39"/>
  <c r="AM129" i="39"/>
  <c r="AL129" i="39"/>
  <c r="AM128" i="39"/>
  <c r="AL128" i="39"/>
  <c r="AM127" i="39"/>
  <c r="AL127" i="39"/>
  <c r="AM126" i="39"/>
  <c r="AL126" i="39"/>
  <c r="AM125" i="39"/>
  <c r="AL125" i="39"/>
  <c r="AM124" i="39"/>
  <c r="AL124" i="39"/>
  <c r="AM123" i="39"/>
  <c r="AL123" i="39"/>
  <c r="AM122" i="39"/>
  <c r="AL122" i="39"/>
  <c r="AM121" i="39"/>
  <c r="AL121" i="39"/>
  <c r="AM120" i="39"/>
  <c r="AL120" i="39"/>
  <c r="AM119" i="39"/>
  <c r="AL119" i="39"/>
  <c r="AM118" i="39"/>
  <c r="AL118" i="39"/>
  <c r="AM117" i="39"/>
  <c r="AL117" i="39"/>
  <c r="AM116" i="39"/>
  <c r="AL116" i="39"/>
  <c r="AM115" i="39"/>
  <c r="AL115" i="39"/>
  <c r="AM114" i="39"/>
  <c r="AL114" i="39"/>
  <c r="AM113" i="39"/>
  <c r="AL113" i="39"/>
  <c r="AM112" i="39"/>
  <c r="AL112" i="39"/>
  <c r="AM111" i="39"/>
  <c r="AL111" i="39"/>
  <c r="AM110" i="39"/>
  <c r="AL110" i="39"/>
  <c r="AM109" i="39"/>
  <c r="AL109" i="39"/>
  <c r="AM108" i="39"/>
  <c r="AL108" i="39"/>
  <c r="AM107" i="39"/>
  <c r="AL107" i="39"/>
  <c r="AM106" i="39"/>
  <c r="AL106" i="39"/>
  <c r="AM105" i="39"/>
  <c r="AL105" i="39"/>
  <c r="AM104" i="39"/>
  <c r="AL104" i="39"/>
  <c r="AM103" i="39"/>
  <c r="AL103" i="39"/>
  <c r="AM102" i="39"/>
  <c r="AL102" i="39"/>
  <c r="AM101" i="39"/>
  <c r="AL101" i="39"/>
  <c r="AM100" i="39"/>
  <c r="AL100" i="39"/>
  <c r="AM99" i="39"/>
  <c r="AL99" i="39"/>
  <c r="AM98" i="39"/>
  <c r="AL98" i="39"/>
  <c r="AM97" i="39"/>
  <c r="AL97" i="39"/>
  <c r="AM96" i="39"/>
  <c r="AL96" i="39"/>
  <c r="AM95" i="39"/>
  <c r="AM94" i="39"/>
  <c r="AL94" i="39"/>
  <c r="AM93" i="39"/>
  <c r="AL93" i="39"/>
  <c r="AM92" i="39"/>
  <c r="AM91" i="39"/>
  <c r="AM90" i="39"/>
  <c r="AM89" i="39"/>
  <c r="AM88" i="39"/>
  <c r="AL88" i="39"/>
  <c r="AM87" i="39"/>
  <c r="AL87" i="39"/>
  <c r="AM86" i="39"/>
  <c r="AM85" i="39"/>
  <c r="AM84" i="39"/>
  <c r="AL84" i="39"/>
  <c r="AM83" i="39"/>
  <c r="AL83" i="39"/>
  <c r="AM82" i="39"/>
  <c r="AL82" i="39"/>
  <c r="AM81" i="39"/>
  <c r="AL81" i="39"/>
  <c r="AM80" i="39"/>
  <c r="AL80" i="39"/>
  <c r="AM79" i="39"/>
  <c r="AL79" i="39"/>
  <c r="AM78" i="39"/>
  <c r="AL78" i="39"/>
  <c r="AM77" i="39"/>
  <c r="AM76" i="39"/>
  <c r="AL76" i="39"/>
  <c r="AM75" i="39"/>
  <c r="AM74" i="39"/>
  <c r="AL74" i="39"/>
  <c r="AM73" i="39"/>
  <c r="AL73" i="39"/>
  <c r="AM72" i="39"/>
  <c r="AL72" i="39"/>
  <c r="AM71" i="39"/>
  <c r="AL71" i="39"/>
  <c r="AM70" i="39"/>
  <c r="AL70" i="39"/>
  <c r="AM69" i="39"/>
  <c r="AM68" i="39"/>
  <c r="AL68" i="39"/>
  <c r="AM67" i="39"/>
  <c r="AL67" i="39"/>
  <c r="AM66" i="39"/>
  <c r="AM65" i="39"/>
  <c r="AM64" i="39"/>
  <c r="AL64" i="39"/>
  <c r="AM63" i="39"/>
  <c r="AL63" i="39"/>
  <c r="AM62" i="39"/>
  <c r="AL62" i="39"/>
  <c r="AM61" i="39"/>
  <c r="AL61" i="39"/>
  <c r="AM60" i="39"/>
  <c r="AM59" i="39"/>
  <c r="AL59" i="39"/>
  <c r="AM58" i="39"/>
  <c r="AL58" i="39"/>
  <c r="AM57" i="39"/>
  <c r="AL57" i="39"/>
  <c r="AM56" i="39"/>
  <c r="AL56" i="39"/>
  <c r="AM55" i="39"/>
  <c r="AL55" i="39"/>
  <c r="AM54" i="39"/>
  <c r="AL54" i="39"/>
  <c r="AM53" i="39"/>
  <c r="AL53" i="39"/>
  <c r="AM52" i="39"/>
  <c r="AL52" i="39"/>
  <c r="AM51" i="39"/>
  <c r="AL51" i="39"/>
  <c r="AM50" i="39"/>
  <c r="AL50" i="39"/>
  <c r="AM49" i="39"/>
  <c r="AL49" i="39"/>
  <c r="AM48" i="39"/>
  <c r="AL48" i="39"/>
  <c r="AM47" i="39"/>
  <c r="AL47" i="39"/>
  <c r="AM46" i="39"/>
  <c r="AL46" i="39"/>
  <c r="AM45" i="39"/>
  <c r="AL45" i="39"/>
  <c r="AM44" i="39"/>
  <c r="AL44" i="39"/>
  <c r="AM43" i="39"/>
  <c r="AL43" i="39"/>
  <c r="AM42" i="39"/>
  <c r="AM41" i="39"/>
  <c r="AL41" i="39"/>
  <c r="AM40" i="39"/>
  <c r="AL40" i="39"/>
  <c r="AM39" i="39"/>
  <c r="AL39" i="39"/>
  <c r="AM38" i="39"/>
  <c r="AM37" i="39"/>
  <c r="AL37" i="39"/>
  <c r="AM36" i="39"/>
  <c r="AL36" i="39"/>
  <c r="AM35" i="39"/>
  <c r="AL35" i="39"/>
  <c r="AM34" i="39"/>
  <c r="AL34" i="39"/>
  <c r="AM33" i="39"/>
  <c r="AL33" i="39"/>
  <c r="AM32" i="39"/>
  <c r="AL32" i="39"/>
  <c r="AM31" i="39"/>
  <c r="AL31" i="39"/>
  <c r="AM30" i="39"/>
  <c r="AL30" i="39"/>
  <c r="AM29" i="39"/>
  <c r="AL29" i="39"/>
  <c r="AM28" i="39"/>
  <c r="AL28" i="39"/>
  <c r="AM27" i="39"/>
  <c r="AL27" i="39"/>
  <c r="AM26" i="39"/>
  <c r="AL26" i="39"/>
  <c r="AM25" i="39"/>
  <c r="AL25" i="39"/>
  <c r="AM24" i="39"/>
  <c r="AL24" i="39"/>
  <c r="AM23" i="39"/>
  <c r="AL23" i="39"/>
  <c r="AM22" i="39"/>
  <c r="AL22" i="39"/>
  <c r="AM21" i="39"/>
  <c r="AL21" i="39"/>
  <c r="AM20" i="39"/>
  <c r="AL20" i="39"/>
  <c r="AM19" i="39"/>
  <c r="AL19" i="39"/>
  <c r="AM18" i="39"/>
  <c r="AL18" i="39"/>
  <c r="AM17" i="39"/>
  <c r="AM16" i="39"/>
  <c r="AL16" i="39"/>
  <c r="AM15" i="39"/>
  <c r="AM14" i="39"/>
  <c r="AL14" i="39"/>
  <c r="AM13" i="39"/>
  <c r="AL13" i="39"/>
  <c r="AM12" i="39"/>
  <c r="AM11" i="39"/>
  <c r="AL11" i="39"/>
  <c r="AM10" i="39"/>
  <c r="AM9" i="39"/>
  <c r="AL9" i="39"/>
  <c r="AP7" i="39"/>
  <c r="AP6" i="39"/>
  <c r="AP5" i="39"/>
  <c r="AN5" i="39"/>
  <c r="AP4" i="39"/>
  <c r="AN4" i="39"/>
  <c r="AD280" i="39"/>
  <c r="AC280" i="39"/>
  <c r="AD273" i="39"/>
  <c r="AC273" i="39"/>
  <c r="AD272" i="39"/>
  <c r="AC272" i="39"/>
  <c r="AD263" i="39"/>
  <c r="AC263" i="39"/>
  <c r="AD247" i="39"/>
  <c r="AC247" i="39"/>
  <c r="AD245" i="39"/>
  <c r="AC245" i="39"/>
  <c r="AD244" i="39"/>
  <c r="AC244" i="39"/>
  <c r="AD243" i="39"/>
  <c r="AC243" i="39"/>
  <c r="AD240" i="39"/>
  <c r="AC240" i="39"/>
  <c r="AD239" i="39"/>
  <c r="AC239" i="39"/>
  <c r="AD229" i="39"/>
  <c r="AC229" i="39"/>
  <c r="AD228" i="39"/>
  <c r="AC228" i="39"/>
  <c r="AD227" i="39"/>
  <c r="AC227" i="39"/>
  <c r="AD226" i="39"/>
  <c r="AC226" i="39"/>
  <c r="AD225" i="39"/>
  <c r="AC225" i="39"/>
  <c r="AD224" i="39"/>
  <c r="AC224" i="39"/>
  <c r="AD223" i="39"/>
  <c r="AC223" i="39"/>
  <c r="AD222" i="39"/>
  <c r="AC222" i="39"/>
  <c r="AD221" i="39"/>
  <c r="AC221" i="39"/>
  <c r="AD220" i="39"/>
  <c r="AC220" i="39"/>
  <c r="AD219" i="39"/>
  <c r="AC219" i="39"/>
  <c r="AD218" i="39"/>
  <c r="AC218" i="39"/>
  <c r="AD217" i="39"/>
  <c r="AC217" i="39"/>
  <c r="AD216" i="39"/>
  <c r="AC216" i="39"/>
  <c r="AD215" i="39"/>
  <c r="AC215" i="39"/>
  <c r="AD214" i="39"/>
  <c r="AC214" i="39"/>
  <c r="AD213" i="39"/>
  <c r="AC213" i="39"/>
  <c r="AD212" i="39"/>
  <c r="AC212" i="39"/>
  <c r="AD211" i="39"/>
  <c r="AC211" i="39"/>
  <c r="AD210" i="39"/>
  <c r="AC210" i="39"/>
  <c r="AD209" i="39"/>
  <c r="AC209" i="39"/>
  <c r="AD179" i="39"/>
  <c r="AC179" i="39"/>
  <c r="AD166" i="39"/>
  <c r="AC166" i="39"/>
  <c r="AD165" i="39"/>
  <c r="AC165" i="39"/>
  <c r="AD164" i="39"/>
  <c r="AC164" i="39"/>
  <c r="AD137" i="39"/>
  <c r="AC137" i="39"/>
  <c r="AD97" i="39"/>
  <c r="AC97" i="39"/>
  <c r="AD96" i="39"/>
  <c r="AC96" i="39"/>
  <c r="AD95" i="39"/>
  <c r="AC95" i="39"/>
  <c r="AD94" i="39"/>
  <c r="AC94" i="39"/>
  <c r="AD92" i="39"/>
  <c r="AC92" i="39"/>
  <c r="AD91" i="39"/>
  <c r="AC91" i="39"/>
  <c r="AD90" i="39"/>
  <c r="AC90" i="39"/>
  <c r="AD89" i="39"/>
  <c r="AC89" i="39"/>
  <c r="AD88" i="39"/>
  <c r="AC88" i="39"/>
  <c r="AD87" i="39"/>
  <c r="AC87" i="39"/>
  <c r="AD70" i="39"/>
  <c r="AC70" i="39"/>
  <c r="AD67" i="39"/>
  <c r="AC67" i="39"/>
  <c r="AD66" i="39"/>
  <c r="AC66" i="39"/>
  <c r="AD65" i="39"/>
  <c r="AC65" i="39"/>
  <c r="AD64" i="39"/>
  <c r="AC64" i="39"/>
  <c r="AD63" i="39"/>
  <c r="AC63" i="39"/>
  <c r="AD62" i="39"/>
  <c r="AC62" i="39"/>
  <c r="AD49" i="39"/>
  <c r="AC49" i="39"/>
  <c r="AD48" i="39"/>
  <c r="AC48" i="39"/>
  <c r="AD47" i="39"/>
  <c r="AC47" i="39"/>
  <c r="AD46" i="39"/>
  <c r="AC46" i="39"/>
  <c r="AD45" i="39"/>
  <c r="AC45" i="39"/>
  <c r="AD44" i="39"/>
  <c r="AC44" i="39"/>
  <c r="AD43" i="39"/>
  <c r="AC43" i="39"/>
  <c r="AD41" i="39"/>
  <c r="AC41" i="39"/>
  <c r="AD40" i="39"/>
  <c r="AC40" i="39"/>
  <c r="AD19" i="39"/>
  <c r="AC19" i="39"/>
  <c r="AD17" i="39"/>
  <c r="AC17" i="39"/>
  <c r="AD16" i="39"/>
  <c r="AC16" i="39"/>
  <c r="AD288" i="39"/>
  <c r="AC288" i="39"/>
  <c r="AD287" i="39"/>
  <c r="AC287" i="39"/>
  <c r="AD286" i="39"/>
  <c r="AC286" i="39"/>
  <c r="AD285" i="39"/>
  <c r="AC285" i="39"/>
  <c r="AD284" i="39"/>
  <c r="AC284" i="39"/>
  <c r="AD283" i="39"/>
  <c r="AC283" i="39"/>
  <c r="AD282" i="39"/>
  <c r="AC282" i="39"/>
  <c r="AD281" i="39"/>
  <c r="AC281" i="39"/>
  <c r="AD279" i="39"/>
  <c r="AC279" i="39"/>
  <c r="AD278" i="39"/>
  <c r="AC278" i="39"/>
  <c r="AD277" i="39"/>
  <c r="AC277" i="39"/>
  <c r="AD276" i="39"/>
  <c r="AC276" i="39"/>
  <c r="AD275" i="39"/>
  <c r="AC275" i="39"/>
  <c r="AD274" i="39"/>
  <c r="AC274" i="39"/>
  <c r="AD271" i="39"/>
  <c r="AC271" i="39"/>
  <c r="AD270" i="39"/>
  <c r="AC270" i="39"/>
  <c r="AD269" i="39"/>
  <c r="AC269" i="39"/>
  <c r="AD268" i="39"/>
  <c r="AC268" i="39"/>
  <c r="AD267" i="39"/>
  <c r="AC267" i="39"/>
  <c r="AD266" i="39"/>
  <c r="AC266" i="39"/>
  <c r="AD265" i="39"/>
  <c r="AC265" i="39"/>
  <c r="AD264" i="39"/>
  <c r="AC264" i="39"/>
  <c r="AD262" i="39"/>
  <c r="AC262" i="39"/>
  <c r="AD261" i="39"/>
  <c r="AC261" i="39"/>
  <c r="AD260" i="39"/>
  <c r="AC260" i="39"/>
  <c r="AD259" i="39"/>
  <c r="AC259" i="39"/>
  <c r="AD258" i="39"/>
  <c r="AC258" i="39"/>
  <c r="AD257" i="39"/>
  <c r="AC257" i="39"/>
  <c r="AD256" i="39"/>
  <c r="AC256" i="39"/>
  <c r="AD255" i="39"/>
  <c r="AC255" i="39"/>
  <c r="AD254" i="39"/>
  <c r="AC254" i="39"/>
  <c r="AD253" i="39"/>
  <c r="AC253" i="39"/>
  <c r="AD252" i="39"/>
  <c r="AC252" i="39"/>
  <c r="AD251" i="39"/>
  <c r="AC251" i="39"/>
  <c r="AD250" i="39"/>
  <c r="AC250" i="39"/>
  <c r="AD249" i="39"/>
  <c r="AC249" i="39"/>
  <c r="AD248" i="39"/>
  <c r="AC248" i="39"/>
  <c r="AD246" i="39"/>
  <c r="AC246" i="39"/>
  <c r="AD242" i="39"/>
  <c r="AC242" i="39"/>
  <c r="AD241" i="39"/>
  <c r="AC241" i="39"/>
  <c r="AD238" i="39"/>
  <c r="AC238" i="39"/>
  <c r="AD237" i="39"/>
  <c r="AC237" i="39"/>
  <c r="AD236" i="39"/>
  <c r="AC236" i="39"/>
  <c r="AD235" i="39"/>
  <c r="AC235" i="39"/>
  <c r="AD234" i="39"/>
  <c r="AC234" i="39"/>
  <c r="AD233" i="39"/>
  <c r="AC233" i="39"/>
  <c r="AD232" i="39"/>
  <c r="AC232" i="39"/>
  <c r="AD231" i="39"/>
  <c r="AC231" i="39"/>
  <c r="AD230" i="39"/>
  <c r="AC230" i="39"/>
  <c r="AD208" i="39"/>
  <c r="AC208" i="39"/>
  <c r="AD207" i="39"/>
  <c r="AC207" i="39"/>
  <c r="AD206" i="39"/>
  <c r="AC206" i="39"/>
  <c r="AD205" i="39"/>
  <c r="AC205" i="39"/>
  <c r="AD204" i="39"/>
  <c r="AC204" i="39"/>
  <c r="AD203" i="39"/>
  <c r="AC203" i="39"/>
  <c r="AD202" i="39"/>
  <c r="AC202" i="39"/>
  <c r="AD201" i="39"/>
  <c r="AC201" i="39"/>
  <c r="AD200" i="39"/>
  <c r="AC200" i="39"/>
  <c r="AD199" i="39"/>
  <c r="AC199" i="39"/>
  <c r="AD198" i="39"/>
  <c r="AC198" i="39"/>
  <c r="AD197" i="39"/>
  <c r="AC197" i="39"/>
  <c r="AD196" i="39"/>
  <c r="AC196" i="39"/>
  <c r="AD195" i="39"/>
  <c r="AC195" i="39"/>
  <c r="AD194" i="39"/>
  <c r="AC194" i="39"/>
  <c r="AD193" i="39"/>
  <c r="AC193" i="39"/>
  <c r="AD192" i="39"/>
  <c r="AC192" i="39"/>
  <c r="AD191" i="39"/>
  <c r="AC191" i="39"/>
  <c r="AD190" i="39"/>
  <c r="AC190" i="39"/>
  <c r="AD189" i="39"/>
  <c r="AC189" i="39"/>
  <c r="AD188" i="39"/>
  <c r="AC188" i="39"/>
  <c r="AD187" i="39"/>
  <c r="AC187" i="39"/>
  <c r="AD186" i="39"/>
  <c r="AC186" i="39"/>
  <c r="AD185" i="39"/>
  <c r="AC185" i="39"/>
  <c r="AD184" i="39"/>
  <c r="AC184" i="39"/>
  <c r="AD183" i="39"/>
  <c r="AC183" i="39"/>
  <c r="AD182" i="39"/>
  <c r="AC182" i="39"/>
  <c r="AD181" i="39"/>
  <c r="AC181" i="39"/>
  <c r="AD180" i="39"/>
  <c r="AC180" i="39"/>
  <c r="AD178" i="39"/>
  <c r="AC178" i="39"/>
  <c r="AD177" i="39"/>
  <c r="AC177" i="39"/>
  <c r="AD176" i="39"/>
  <c r="AC176" i="39"/>
  <c r="AD175" i="39"/>
  <c r="AC175" i="39"/>
  <c r="AD174" i="39"/>
  <c r="AC174" i="39"/>
  <c r="AD173" i="39"/>
  <c r="AC173" i="39"/>
  <c r="AD172" i="39"/>
  <c r="AC172" i="39"/>
  <c r="AD171" i="39"/>
  <c r="AC171" i="39"/>
  <c r="AD170" i="39"/>
  <c r="AC170" i="39"/>
  <c r="AD169" i="39"/>
  <c r="AC169" i="39"/>
  <c r="AD168" i="39"/>
  <c r="AC168" i="39"/>
  <c r="AD167" i="39"/>
  <c r="AC167" i="39"/>
  <c r="AD163" i="39"/>
  <c r="AC163" i="39"/>
  <c r="AD162" i="39"/>
  <c r="AC162" i="39"/>
  <c r="AD161" i="39"/>
  <c r="AC161" i="39"/>
  <c r="AD160" i="39"/>
  <c r="AC160" i="39"/>
  <c r="AD159" i="39"/>
  <c r="AC159" i="39"/>
  <c r="AD158" i="39"/>
  <c r="AC158" i="39"/>
  <c r="AD157" i="39"/>
  <c r="AC157" i="39"/>
  <c r="AD156" i="39"/>
  <c r="AC156" i="39"/>
  <c r="AD155" i="39"/>
  <c r="AC155" i="39"/>
  <c r="AD154" i="39"/>
  <c r="AC154" i="39"/>
  <c r="AD153" i="39"/>
  <c r="AC153" i="39"/>
  <c r="AD152" i="39"/>
  <c r="AC152" i="39"/>
  <c r="AD151" i="39"/>
  <c r="AC151" i="39"/>
  <c r="AD150" i="39"/>
  <c r="AC150" i="39"/>
  <c r="AD149" i="39"/>
  <c r="AC149" i="39"/>
  <c r="AD148" i="39"/>
  <c r="AC148" i="39"/>
  <c r="AD147" i="39"/>
  <c r="AC147" i="39"/>
  <c r="AD146" i="39"/>
  <c r="AC146" i="39"/>
  <c r="AD145" i="39"/>
  <c r="AC145" i="39"/>
  <c r="AD144" i="39"/>
  <c r="AC144" i="39"/>
  <c r="AD143" i="39"/>
  <c r="AC143" i="39"/>
  <c r="AD142" i="39"/>
  <c r="AC142" i="39"/>
  <c r="AD141" i="39"/>
  <c r="AC141" i="39"/>
  <c r="AD140" i="39"/>
  <c r="AC140" i="39"/>
  <c r="AD139" i="39"/>
  <c r="AC139" i="39"/>
  <c r="AD138" i="39"/>
  <c r="AC138" i="39"/>
  <c r="AD136" i="39"/>
  <c r="AC136" i="39"/>
  <c r="AD135" i="39"/>
  <c r="AC135" i="39"/>
  <c r="AD134" i="39"/>
  <c r="AC134" i="39"/>
  <c r="AD133" i="39"/>
  <c r="AC133" i="39"/>
  <c r="AD132" i="39"/>
  <c r="AC132" i="39"/>
  <c r="AD131" i="39"/>
  <c r="AC131" i="39"/>
  <c r="AD130" i="39"/>
  <c r="AC130" i="39"/>
  <c r="AD129" i="39"/>
  <c r="AC129" i="39"/>
  <c r="AD128" i="39"/>
  <c r="AC128" i="39"/>
  <c r="AD127" i="39"/>
  <c r="AC127" i="39"/>
  <c r="AD126" i="39"/>
  <c r="AC126" i="39"/>
  <c r="AD125" i="39"/>
  <c r="AC125" i="39"/>
  <c r="AD124" i="39"/>
  <c r="AC124" i="39"/>
  <c r="AD123" i="39"/>
  <c r="AC123" i="39"/>
  <c r="AD122" i="39"/>
  <c r="AC122" i="39"/>
  <c r="AD121" i="39"/>
  <c r="AC121" i="39"/>
  <c r="AD120" i="39"/>
  <c r="AC120" i="39"/>
  <c r="AD119" i="39"/>
  <c r="AC119" i="39"/>
  <c r="AD118" i="39"/>
  <c r="AC118" i="39"/>
  <c r="AD117" i="39"/>
  <c r="AC117" i="39"/>
  <c r="AD116" i="39"/>
  <c r="AC116" i="39"/>
  <c r="AD115" i="39"/>
  <c r="AC115" i="39"/>
  <c r="AD114" i="39"/>
  <c r="AC114" i="39"/>
  <c r="AD113" i="39"/>
  <c r="AC113" i="39"/>
  <c r="AD112" i="39"/>
  <c r="AC112" i="39"/>
  <c r="AD111" i="39"/>
  <c r="AC111" i="39"/>
  <c r="AD110" i="39"/>
  <c r="AC110" i="39"/>
  <c r="AD109" i="39"/>
  <c r="AC109" i="39"/>
  <c r="AD108" i="39"/>
  <c r="AC108" i="39"/>
  <c r="AD107" i="39"/>
  <c r="AC107" i="39"/>
  <c r="AD106" i="39"/>
  <c r="AC106" i="39"/>
  <c r="AD105" i="39"/>
  <c r="AC105" i="39"/>
  <c r="AD104" i="39"/>
  <c r="AC104" i="39"/>
  <c r="AD103" i="39"/>
  <c r="AC103" i="39"/>
  <c r="AD102" i="39"/>
  <c r="AC102" i="39"/>
  <c r="AD101" i="39"/>
  <c r="AC101" i="39"/>
  <c r="AD100" i="39"/>
  <c r="AC100" i="39"/>
  <c r="AD99" i="39"/>
  <c r="AC99" i="39"/>
  <c r="AD98" i="39"/>
  <c r="AC98" i="39"/>
  <c r="AD93" i="39"/>
  <c r="AC93" i="39"/>
  <c r="AD86" i="39"/>
  <c r="AC86" i="39"/>
  <c r="AD85" i="39"/>
  <c r="AC85" i="39"/>
  <c r="AD84" i="39"/>
  <c r="AC84" i="39"/>
  <c r="AD83" i="39"/>
  <c r="AC83" i="39"/>
  <c r="AD82" i="39"/>
  <c r="AC82" i="39"/>
  <c r="AD81" i="39"/>
  <c r="AC81" i="39"/>
  <c r="AD80" i="39"/>
  <c r="AC80" i="39"/>
  <c r="AD79" i="39"/>
  <c r="AC79" i="39"/>
  <c r="AD78" i="39"/>
  <c r="AC78" i="39"/>
  <c r="AD77" i="39"/>
  <c r="AC77" i="39"/>
  <c r="AD76" i="39"/>
  <c r="AC76" i="39"/>
  <c r="AD75" i="39"/>
  <c r="AC75" i="39"/>
  <c r="AD74" i="39"/>
  <c r="AC74" i="39"/>
  <c r="AD73" i="39"/>
  <c r="AC73" i="39"/>
  <c r="AD72" i="39"/>
  <c r="AC72" i="39"/>
  <c r="AD71" i="39"/>
  <c r="AC71" i="39"/>
  <c r="AD69" i="39"/>
  <c r="AC69" i="39"/>
  <c r="AD68" i="39"/>
  <c r="AC68" i="39"/>
  <c r="AD61" i="39"/>
  <c r="AC61" i="39"/>
  <c r="AD60" i="39"/>
  <c r="AC60" i="39"/>
  <c r="AD59" i="39"/>
  <c r="AC59" i="39"/>
  <c r="AD58" i="39"/>
  <c r="AC58" i="39"/>
  <c r="AD57" i="39"/>
  <c r="AC57" i="39"/>
  <c r="AD56" i="39"/>
  <c r="AC56" i="39"/>
  <c r="AD55" i="39"/>
  <c r="AC55" i="39"/>
  <c r="AD54" i="39"/>
  <c r="AC54" i="39"/>
  <c r="AD53" i="39"/>
  <c r="AC53" i="39"/>
  <c r="AD52" i="39"/>
  <c r="AC52" i="39"/>
  <c r="AD51" i="39"/>
  <c r="AC51" i="39"/>
  <c r="AD50" i="39"/>
  <c r="AC50" i="39"/>
  <c r="AD42" i="39"/>
  <c r="AC42" i="39"/>
  <c r="AD39" i="39"/>
  <c r="AC39" i="39"/>
  <c r="AD38" i="39"/>
  <c r="AC38" i="39"/>
  <c r="AD37" i="39"/>
  <c r="AC37" i="39"/>
  <c r="AD36" i="39"/>
  <c r="AC36" i="39"/>
  <c r="AD35" i="39"/>
  <c r="AC35" i="39"/>
  <c r="AD34" i="39"/>
  <c r="AC34" i="39"/>
  <c r="AD33" i="39"/>
  <c r="AC33" i="39"/>
  <c r="AD32" i="39"/>
  <c r="AC32" i="39"/>
  <c r="AD31" i="39"/>
  <c r="AC31" i="39"/>
  <c r="AD30" i="39"/>
  <c r="AC30" i="39"/>
  <c r="AD29" i="39"/>
  <c r="AC29" i="39"/>
  <c r="AD28" i="39"/>
  <c r="AC28" i="39"/>
  <c r="AD27" i="39"/>
  <c r="AC27" i="39"/>
  <c r="AD26" i="39"/>
  <c r="AC26" i="39"/>
  <c r="AD25" i="39"/>
  <c r="AC25" i="39"/>
  <c r="AD24" i="39"/>
  <c r="AC24" i="39"/>
  <c r="AD23" i="39"/>
  <c r="AC23" i="39"/>
  <c r="AD22" i="39"/>
  <c r="AC22" i="39"/>
  <c r="AD21" i="39"/>
  <c r="AC21" i="39"/>
  <c r="AD20" i="39"/>
  <c r="AC20" i="39"/>
  <c r="AD18" i="39"/>
  <c r="AC18" i="39"/>
  <c r="AD15" i="39"/>
  <c r="AC15" i="39"/>
  <c r="AD14" i="39"/>
  <c r="AC14" i="39"/>
  <c r="AD13" i="39"/>
  <c r="AC13" i="39"/>
  <c r="AD12" i="39"/>
  <c r="AC12" i="39"/>
  <c r="AD11" i="39"/>
  <c r="AC11" i="39"/>
  <c r="AD10" i="39"/>
  <c r="AC10" i="39"/>
  <c r="AD9" i="39"/>
  <c r="AC9" i="39"/>
  <c r="E263" i="39"/>
  <c r="E9" i="39"/>
  <c r="E10" i="39"/>
  <c r="E11" i="39"/>
  <c r="E12" i="39"/>
  <c r="E13"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E52" i="39"/>
  <c r="E53" i="39"/>
  <c r="E54" i="39"/>
  <c r="E55" i="39"/>
  <c r="E56" i="39"/>
  <c r="E57" i="39"/>
  <c r="E58" i="39"/>
  <c r="E59" i="39"/>
  <c r="E60" i="39"/>
  <c r="E61" i="39"/>
  <c r="E62" i="39"/>
  <c r="E63" i="39"/>
  <c r="E64" i="39"/>
  <c r="E65" i="39"/>
  <c r="E66" i="39"/>
  <c r="E67" i="39"/>
  <c r="E68" i="39"/>
  <c r="E69" i="39"/>
  <c r="E70" i="39"/>
  <c r="E71" i="39"/>
  <c r="E72" i="39"/>
  <c r="E73" i="39"/>
  <c r="E74" i="39"/>
  <c r="E75" i="39"/>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105" i="39"/>
  <c r="E106" i="39"/>
  <c r="E107" i="39"/>
  <c r="E108" i="39"/>
  <c r="E109" i="39"/>
  <c r="E110" i="39"/>
  <c r="E111" i="39"/>
  <c r="E112" i="39"/>
  <c r="E113" i="39"/>
  <c r="E114" i="39"/>
  <c r="E115" i="39"/>
  <c r="E116" i="39"/>
  <c r="E117" i="39"/>
  <c r="E118" i="39"/>
  <c r="E119" i="39"/>
  <c r="E120" i="39"/>
  <c r="E121" i="39"/>
  <c r="E122" i="39"/>
  <c r="E123" i="39"/>
  <c r="E124" i="39"/>
  <c r="E125" i="39"/>
  <c r="E126" i="39"/>
  <c r="E127" i="39"/>
  <c r="E128" i="39"/>
  <c r="E129" i="39"/>
  <c r="E130" i="39"/>
  <c r="E131" i="39"/>
  <c r="E132" i="39"/>
  <c r="E133" i="39"/>
  <c r="E134" i="39"/>
  <c r="E135" i="39"/>
  <c r="E136" i="39"/>
  <c r="E137" i="39"/>
  <c r="E138" i="39"/>
  <c r="E139" i="39"/>
  <c r="E140" i="39"/>
  <c r="E141" i="39"/>
  <c r="E142" i="39"/>
  <c r="E143" i="39"/>
  <c r="E144" i="39"/>
  <c r="E145" i="39"/>
  <c r="E146" i="39"/>
  <c r="E147" i="39"/>
  <c r="E148" i="39"/>
  <c r="E149" i="39"/>
  <c r="E150" i="39"/>
  <c r="E151" i="39"/>
  <c r="E152" i="39"/>
  <c r="E153" i="39"/>
  <c r="E154" i="39"/>
  <c r="E155" i="39"/>
  <c r="E156" i="39"/>
  <c r="E157" i="39"/>
  <c r="E158" i="39"/>
  <c r="E159" i="39"/>
  <c r="E160" i="39"/>
  <c r="E161" i="39"/>
  <c r="E162" i="39"/>
  <c r="E163" i="39"/>
  <c r="E164" i="39"/>
  <c r="E165" i="39"/>
  <c r="E166" i="39"/>
  <c r="E167" i="39"/>
  <c r="E168" i="39"/>
  <c r="E169" i="39"/>
  <c r="E170" i="39"/>
  <c r="E171" i="39"/>
  <c r="E172" i="39"/>
  <c r="E173" i="39"/>
  <c r="E174" i="39"/>
  <c r="E175" i="39"/>
  <c r="E176" i="39"/>
  <c r="E177" i="39"/>
  <c r="E178" i="39"/>
  <c r="E179" i="39"/>
  <c r="E180" i="39"/>
  <c r="E181" i="39"/>
  <c r="E182" i="39"/>
  <c r="E183" i="39"/>
  <c r="E184" i="39"/>
  <c r="E185" i="39"/>
  <c r="E186" i="39"/>
  <c r="E187" i="39"/>
  <c r="E188" i="39"/>
  <c r="E189" i="39"/>
  <c r="E190" i="39"/>
  <c r="E191" i="39"/>
  <c r="E192" i="39"/>
  <c r="E193" i="39"/>
  <c r="E194" i="39"/>
  <c r="E195" i="39"/>
  <c r="E196" i="39"/>
  <c r="E197" i="39"/>
  <c r="E198" i="39"/>
  <c r="E199" i="39"/>
  <c r="E200" i="39"/>
  <c r="E201" i="39"/>
  <c r="E202" i="39"/>
  <c r="E203" i="39"/>
  <c r="E204" i="39"/>
  <c r="E205" i="39"/>
  <c r="E206" i="39"/>
  <c r="E207" i="39"/>
  <c r="E208" i="39"/>
  <c r="E209" i="39"/>
  <c r="E210" i="39"/>
  <c r="E211" i="39"/>
  <c r="E212" i="39"/>
  <c r="E213" i="39"/>
  <c r="E214" i="39"/>
  <c r="E215" i="39"/>
  <c r="E216" i="39"/>
  <c r="E217" i="39"/>
  <c r="E218" i="39"/>
  <c r="E219" i="39"/>
  <c r="E220" i="39"/>
  <c r="E221" i="39"/>
  <c r="E222" i="39"/>
  <c r="E223" i="39"/>
  <c r="E224" i="39"/>
  <c r="E225" i="39"/>
  <c r="E226" i="39"/>
  <c r="E227" i="39"/>
  <c r="E228" i="39"/>
  <c r="E229" i="39"/>
  <c r="E230" i="39"/>
  <c r="E231" i="39"/>
  <c r="E232" i="39"/>
  <c r="E233" i="39"/>
  <c r="E234" i="39"/>
  <c r="E235" i="39"/>
  <c r="E236" i="39"/>
  <c r="E237" i="39"/>
  <c r="E238" i="39"/>
  <c r="E239" i="39"/>
  <c r="E240" i="39"/>
  <c r="E241" i="39"/>
  <c r="E242" i="39"/>
  <c r="E243" i="39"/>
  <c r="E244" i="39"/>
  <c r="E245" i="39"/>
  <c r="E246" i="39"/>
  <c r="E247" i="39"/>
  <c r="E248" i="39"/>
  <c r="E249" i="39"/>
  <c r="E250" i="39"/>
  <c r="E251" i="39"/>
  <c r="E252" i="39"/>
  <c r="E253" i="39"/>
  <c r="E254" i="39"/>
  <c r="E255" i="39"/>
  <c r="E256" i="39"/>
  <c r="E257" i="39"/>
  <c r="E258" i="39"/>
  <c r="E259" i="39"/>
  <c r="E260" i="39"/>
  <c r="E261" i="39"/>
  <c r="E262" i="39"/>
  <c r="E264" i="39"/>
  <c r="E265" i="39"/>
  <c r="E266" i="39"/>
  <c r="E267" i="39"/>
  <c r="E268" i="39"/>
  <c r="E269" i="39"/>
  <c r="E270" i="39"/>
  <c r="E271" i="39"/>
  <c r="E272" i="39"/>
  <c r="E273" i="39"/>
  <c r="E274" i="39"/>
  <c r="E275" i="39"/>
  <c r="E276" i="39"/>
  <c r="E277" i="39"/>
  <c r="E278" i="39"/>
  <c r="E279" i="39"/>
  <c r="E280" i="39"/>
  <c r="E281" i="39"/>
  <c r="E282" i="39"/>
  <c r="E283" i="39"/>
  <c r="E284" i="39"/>
  <c r="E285" i="39"/>
  <c r="E286" i="39"/>
  <c r="E287" i="39"/>
  <c r="E288" i="39"/>
  <c r="U288" i="39"/>
  <c r="T288" i="39"/>
  <c r="U287" i="39"/>
  <c r="T287" i="39"/>
  <c r="U286" i="39"/>
  <c r="T286" i="39"/>
  <c r="U285" i="39"/>
  <c r="T285" i="39"/>
  <c r="U284" i="39"/>
  <c r="T284" i="39"/>
  <c r="U283" i="39"/>
  <c r="T283" i="39"/>
  <c r="U282" i="39"/>
  <c r="T282" i="39"/>
  <c r="U281" i="39"/>
  <c r="T281" i="39"/>
  <c r="U280" i="39"/>
  <c r="T280" i="39"/>
  <c r="AL280" i="39" s="1"/>
  <c r="U279" i="39"/>
  <c r="T279" i="39"/>
  <c r="U278" i="39"/>
  <c r="T278" i="39"/>
  <c r="AL278" i="39" s="1"/>
  <c r="U277" i="39"/>
  <c r="T277" i="39"/>
  <c r="U276" i="39"/>
  <c r="T276" i="39"/>
  <c r="U275" i="39"/>
  <c r="T275" i="39"/>
  <c r="U274" i="39"/>
  <c r="T274" i="39"/>
  <c r="U273" i="39"/>
  <c r="T273" i="39"/>
  <c r="U272" i="39"/>
  <c r="T272" i="39"/>
  <c r="U271" i="39"/>
  <c r="T271" i="39"/>
  <c r="U270" i="39"/>
  <c r="T270" i="39"/>
  <c r="U269" i="39"/>
  <c r="T269" i="39"/>
  <c r="U268" i="39"/>
  <c r="T268" i="39"/>
  <c r="U267" i="39"/>
  <c r="T267" i="39"/>
  <c r="U266" i="39"/>
  <c r="T266" i="39"/>
  <c r="U265" i="39"/>
  <c r="T265" i="39"/>
  <c r="U262" i="39"/>
  <c r="T262" i="39"/>
  <c r="U261" i="39"/>
  <c r="T261" i="39"/>
  <c r="U260" i="39"/>
  <c r="T260" i="39"/>
  <c r="U259" i="39"/>
  <c r="T259" i="39"/>
  <c r="U258" i="39"/>
  <c r="T258" i="39"/>
  <c r="U257" i="39"/>
  <c r="T257" i="39"/>
  <c r="U256" i="39"/>
  <c r="T256" i="39"/>
  <c r="U255" i="39"/>
  <c r="T255" i="39"/>
  <c r="U254" i="39"/>
  <c r="T254" i="39"/>
  <c r="U253" i="39"/>
  <c r="T253" i="39"/>
  <c r="U252" i="39"/>
  <c r="T252" i="39"/>
  <c r="U251" i="39"/>
  <c r="T251" i="39"/>
  <c r="U250" i="39"/>
  <c r="T250" i="39"/>
  <c r="U249" i="39"/>
  <c r="T249" i="39"/>
  <c r="U248" i="39"/>
  <c r="T248" i="39"/>
  <c r="U247" i="39"/>
  <c r="T247" i="39"/>
  <c r="U246" i="39"/>
  <c r="T246" i="39"/>
  <c r="AL246" i="39" s="1"/>
  <c r="U245" i="39"/>
  <c r="T245" i="39"/>
  <c r="U244" i="39"/>
  <c r="T244" i="39"/>
  <c r="U243" i="39"/>
  <c r="T243" i="39"/>
  <c r="U242" i="39"/>
  <c r="T242" i="39"/>
  <c r="AL242" i="39" s="1"/>
  <c r="U241" i="39"/>
  <c r="T241" i="39"/>
  <c r="U240" i="39"/>
  <c r="T240" i="39"/>
  <c r="U239" i="39"/>
  <c r="T239" i="39"/>
  <c r="U238" i="39"/>
  <c r="T238" i="39"/>
  <c r="U237" i="39"/>
  <c r="T237" i="39"/>
  <c r="U236" i="39"/>
  <c r="T236" i="39"/>
  <c r="U235" i="39"/>
  <c r="T235" i="39"/>
  <c r="U234" i="39"/>
  <c r="T234" i="39"/>
  <c r="U233" i="39"/>
  <c r="T233" i="39"/>
  <c r="U232" i="39"/>
  <c r="T232" i="39"/>
  <c r="U231" i="39"/>
  <c r="T231" i="39"/>
  <c r="U230" i="39"/>
  <c r="T230" i="39"/>
  <c r="U229" i="39"/>
  <c r="T229" i="39"/>
  <c r="U228" i="39"/>
  <c r="T228" i="39"/>
  <c r="U227" i="39"/>
  <c r="T227" i="39"/>
  <c r="U226" i="39"/>
  <c r="T226" i="39"/>
  <c r="U225" i="39"/>
  <c r="T225" i="39"/>
  <c r="U224" i="39"/>
  <c r="T224" i="39"/>
  <c r="U223" i="39"/>
  <c r="T223" i="39"/>
  <c r="U222" i="39"/>
  <c r="T222" i="39"/>
  <c r="U221" i="39"/>
  <c r="T221" i="39"/>
  <c r="U220" i="39"/>
  <c r="T220" i="39"/>
  <c r="U219" i="39"/>
  <c r="T219" i="39"/>
  <c r="U218" i="39"/>
  <c r="T218" i="39"/>
  <c r="U217" i="39"/>
  <c r="T217" i="39"/>
  <c r="U216" i="39"/>
  <c r="T216" i="39"/>
  <c r="U215" i="39"/>
  <c r="T215" i="39"/>
  <c r="U214" i="39"/>
  <c r="T214" i="39"/>
  <c r="U213" i="39"/>
  <c r="T213" i="39"/>
  <c r="U212" i="39"/>
  <c r="T212" i="39"/>
  <c r="U211" i="39"/>
  <c r="T211" i="39"/>
  <c r="U210" i="39"/>
  <c r="T210" i="39"/>
  <c r="U209" i="39"/>
  <c r="T209" i="39"/>
  <c r="U208" i="39"/>
  <c r="T208" i="39"/>
  <c r="U207" i="39"/>
  <c r="T207" i="39"/>
  <c r="U206" i="39"/>
  <c r="T206" i="39"/>
  <c r="U205" i="39"/>
  <c r="T205" i="39"/>
  <c r="U204" i="39"/>
  <c r="T204" i="39"/>
  <c r="U203" i="39"/>
  <c r="T203" i="39"/>
  <c r="U202" i="39"/>
  <c r="T202" i="39"/>
  <c r="U201" i="39"/>
  <c r="T201" i="39"/>
  <c r="U200" i="39"/>
  <c r="T200" i="39"/>
  <c r="U199" i="39"/>
  <c r="T199" i="39"/>
  <c r="U198" i="39"/>
  <c r="T198" i="39"/>
  <c r="AL198" i="39" s="1"/>
  <c r="U197" i="39"/>
  <c r="T197" i="39"/>
  <c r="U196" i="39"/>
  <c r="T196" i="39"/>
  <c r="U195" i="39"/>
  <c r="T195" i="39"/>
  <c r="U194" i="39"/>
  <c r="T194" i="39"/>
  <c r="U193" i="39"/>
  <c r="T193" i="39"/>
  <c r="U192" i="39"/>
  <c r="T192" i="39"/>
  <c r="AL192" i="39" s="1"/>
  <c r="U191" i="39"/>
  <c r="T191" i="39"/>
  <c r="U190" i="39"/>
  <c r="T190" i="39"/>
  <c r="U189" i="39"/>
  <c r="T189" i="39"/>
  <c r="AL189" i="39" s="1"/>
  <c r="U188" i="39"/>
  <c r="T188" i="39"/>
  <c r="U187" i="39"/>
  <c r="T187" i="39"/>
  <c r="U186" i="39"/>
  <c r="T186" i="39"/>
  <c r="U185" i="39"/>
  <c r="T185" i="39"/>
  <c r="U184" i="39"/>
  <c r="T184" i="39"/>
  <c r="U183" i="39"/>
  <c r="T183" i="39"/>
  <c r="U182" i="39"/>
  <c r="T182" i="39"/>
  <c r="U181" i="39"/>
  <c r="T181" i="39"/>
  <c r="U180" i="39"/>
  <c r="T180" i="39"/>
  <c r="U179" i="39"/>
  <c r="T179" i="39"/>
  <c r="U178" i="39"/>
  <c r="T178" i="39"/>
  <c r="U177" i="39"/>
  <c r="T177" i="39"/>
  <c r="U176" i="39"/>
  <c r="T176" i="39"/>
  <c r="U175" i="39"/>
  <c r="T175" i="39"/>
  <c r="U174" i="39"/>
  <c r="T174" i="39"/>
  <c r="U173" i="39"/>
  <c r="T173" i="39"/>
  <c r="U172" i="39"/>
  <c r="T172" i="39"/>
  <c r="U171" i="39"/>
  <c r="T171" i="39"/>
  <c r="U170" i="39"/>
  <c r="T170" i="39"/>
  <c r="U169" i="39"/>
  <c r="T169" i="39"/>
  <c r="U168" i="39"/>
  <c r="T168" i="39"/>
  <c r="U167" i="39"/>
  <c r="T167" i="39"/>
  <c r="U166" i="39"/>
  <c r="T166" i="39"/>
  <c r="U165" i="39"/>
  <c r="T165" i="39"/>
  <c r="U164" i="39"/>
  <c r="T164" i="39"/>
  <c r="U163" i="39"/>
  <c r="T163" i="39"/>
  <c r="U162" i="39"/>
  <c r="T162" i="39"/>
  <c r="U161" i="39"/>
  <c r="T161" i="39"/>
  <c r="U160" i="39"/>
  <c r="T160" i="39"/>
  <c r="U159" i="39"/>
  <c r="T159" i="39"/>
  <c r="U158" i="39"/>
  <c r="T158" i="39"/>
  <c r="U157" i="39"/>
  <c r="T157" i="39"/>
  <c r="U156" i="39"/>
  <c r="T156" i="39"/>
  <c r="U155" i="39"/>
  <c r="T155" i="39"/>
  <c r="U154" i="39"/>
  <c r="T154" i="39"/>
  <c r="U153" i="39"/>
  <c r="T153" i="39"/>
  <c r="U152" i="39"/>
  <c r="T152" i="39"/>
  <c r="U151" i="39"/>
  <c r="T151" i="39"/>
  <c r="U150" i="39"/>
  <c r="T150" i="39"/>
  <c r="U149" i="39"/>
  <c r="T149" i="39"/>
  <c r="U148" i="39"/>
  <c r="T148" i="39"/>
  <c r="U147" i="39"/>
  <c r="T147" i="39"/>
  <c r="U146" i="39"/>
  <c r="T146" i="39"/>
  <c r="U145" i="39"/>
  <c r="T145" i="39"/>
  <c r="U144" i="39"/>
  <c r="T144" i="39"/>
  <c r="U143" i="39"/>
  <c r="T143" i="39"/>
  <c r="U142" i="39"/>
  <c r="T142" i="39"/>
  <c r="U141" i="39"/>
  <c r="T141" i="39"/>
  <c r="U140" i="39"/>
  <c r="T140" i="39"/>
  <c r="U139" i="39"/>
  <c r="T139" i="39"/>
  <c r="U138" i="39"/>
  <c r="T138" i="39"/>
  <c r="U137" i="39"/>
  <c r="T137" i="39"/>
  <c r="U136" i="39"/>
  <c r="T136" i="39"/>
  <c r="U135" i="39"/>
  <c r="T135" i="39"/>
  <c r="U134" i="39"/>
  <c r="T134" i="39"/>
  <c r="U133" i="39"/>
  <c r="T133" i="39"/>
  <c r="U132" i="39"/>
  <c r="T132" i="39"/>
  <c r="U131" i="39"/>
  <c r="T131" i="39"/>
  <c r="U130" i="39"/>
  <c r="T130" i="39"/>
  <c r="U129" i="39"/>
  <c r="T129" i="39"/>
  <c r="U128" i="39"/>
  <c r="T128" i="39"/>
  <c r="U127" i="39"/>
  <c r="T127" i="39"/>
  <c r="U126" i="39"/>
  <c r="T126" i="39"/>
  <c r="U125" i="39"/>
  <c r="T125" i="39"/>
  <c r="U124" i="39"/>
  <c r="T124" i="39"/>
  <c r="U123" i="39"/>
  <c r="T123" i="39"/>
  <c r="U122" i="39"/>
  <c r="T122" i="39"/>
  <c r="U121" i="39"/>
  <c r="T121" i="39"/>
  <c r="U120" i="39"/>
  <c r="T120" i="39"/>
  <c r="U119" i="39"/>
  <c r="T119" i="39"/>
  <c r="U118" i="39"/>
  <c r="T118" i="39"/>
  <c r="U117" i="39"/>
  <c r="T117" i="39"/>
  <c r="U116" i="39"/>
  <c r="T116" i="39"/>
  <c r="U115" i="39"/>
  <c r="T115" i="39"/>
  <c r="U114" i="39"/>
  <c r="T114" i="39"/>
  <c r="U113" i="39"/>
  <c r="T113" i="39"/>
  <c r="U112" i="39"/>
  <c r="T112" i="39"/>
  <c r="U111" i="39"/>
  <c r="T111" i="39"/>
  <c r="U110" i="39"/>
  <c r="T110" i="39"/>
  <c r="U109" i="39"/>
  <c r="T109" i="39"/>
  <c r="U108" i="39"/>
  <c r="T108" i="39"/>
  <c r="U107" i="39"/>
  <c r="T107" i="39"/>
  <c r="U106" i="39"/>
  <c r="T106" i="39"/>
  <c r="U105" i="39"/>
  <c r="T105" i="39"/>
  <c r="U104" i="39"/>
  <c r="T104" i="39"/>
  <c r="U103" i="39"/>
  <c r="T103" i="39"/>
  <c r="U102" i="39"/>
  <c r="T102" i="39"/>
  <c r="U101" i="39"/>
  <c r="T101" i="39"/>
  <c r="U100" i="39"/>
  <c r="T100" i="39"/>
  <c r="U99" i="39"/>
  <c r="T99" i="39"/>
  <c r="U98" i="39"/>
  <c r="T98" i="39"/>
  <c r="U97" i="39"/>
  <c r="T97" i="39"/>
  <c r="U96" i="39"/>
  <c r="T96" i="39"/>
  <c r="U95" i="39"/>
  <c r="T95" i="39"/>
  <c r="U94" i="39"/>
  <c r="T94" i="39"/>
  <c r="U93" i="39"/>
  <c r="T93" i="39"/>
  <c r="U92" i="39"/>
  <c r="T92" i="39"/>
  <c r="AL92" i="39" s="1"/>
  <c r="U91" i="39"/>
  <c r="T91" i="39"/>
  <c r="AL91" i="39" s="1"/>
  <c r="U90" i="39"/>
  <c r="T90" i="39"/>
  <c r="AL90" i="39" s="1"/>
  <c r="U89" i="39"/>
  <c r="T89" i="39"/>
  <c r="AL89" i="39" s="1"/>
  <c r="U88" i="39"/>
  <c r="T88" i="39"/>
  <c r="U87" i="39"/>
  <c r="T87" i="39"/>
  <c r="U86" i="39"/>
  <c r="T86" i="39"/>
  <c r="AL86" i="39" s="1"/>
  <c r="U85" i="39"/>
  <c r="T85" i="39"/>
  <c r="U84" i="39"/>
  <c r="T84" i="39"/>
  <c r="U83" i="39"/>
  <c r="T83" i="39"/>
  <c r="U82" i="39"/>
  <c r="T82" i="39"/>
  <c r="U81" i="39"/>
  <c r="T81" i="39"/>
  <c r="U80" i="39"/>
  <c r="T80" i="39"/>
  <c r="U79" i="39"/>
  <c r="T79" i="39"/>
  <c r="U78" i="39"/>
  <c r="T78" i="39"/>
  <c r="U77" i="39"/>
  <c r="T77" i="39"/>
  <c r="U76" i="39"/>
  <c r="T76" i="39"/>
  <c r="U75" i="39"/>
  <c r="T75" i="39"/>
  <c r="AL75" i="39" s="1"/>
  <c r="U74" i="39"/>
  <c r="T74" i="39"/>
  <c r="U73" i="39"/>
  <c r="T73" i="39"/>
  <c r="U72" i="39"/>
  <c r="T72" i="39"/>
  <c r="U71" i="39"/>
  <c r="T71" i="39"/>
  <c r="U70" i="39"/>
  <c r="T70" i="39"/>
  <c r="U69" i="39"/>
  <c r="T69" i="39"/>
  <c r="AL69" i="39" s="1"/>
  <c r="U68" i="39"/>
  <c r="T68" i="39"/>
  <c r="U67" i="39"/>
  <c r="T67" i="39"/>
  <c r="U66" i="39"/>
  <c r="T66" i="39"/>
  <c r="AL66" i="39" s="1"/>
  <c r="U65" i="39"/>
  <c r="T65" i="39"/>
  <c r="U64" i="39"/>
  <c r="T64" i="39"/>
  <c r="U63" i="39"/>
  <c r="T63" i="39"/>
  <c r="U62" i="39"/>
  <c r="T62" i="39"/>
  <c r="U61" i="39"/>
  <c r="T61" i="39"/>
  <c r="U60" i="39"/>
  <c r="T60" i="39"/>
  <c r="AL60" i="39" s="1"/>
  <c r="U59" i="39"/>
  <c r="T59" i="39"/>
  <c r="U58" i="39"/>
  <c r="T58" i="39"/>
  <c r="U57" i="39"/>
  <c r="T57" i="39"/>
  <c r="U56" i="39"/>
  <c r="T56" i="39"/>
  <c r="U55" i="39"/>
  <c r="T55" i="39"/>
  <c r="U54" i="39"/>
  <c r="T54" i="39"/>
  <c r="U53" i="39"/>
  <c r="T53" i="39"/>
  <c r="U52" i="39"/>
  <c r="T52" i="39"/>
  <c r="U51" i="39"/>
  <c r="T51" i="39"/>
  <c r="U50" i="39"/>
  <c r="T50" i="39"/>
  <c r="U49" i="39"/>
  <c r="T49" i="39"/>
  <c r="U48" i="39"/>
  <c r="T48" i="39"/>
  <c r="U47" i="39"/>
  <c r="T47" i="39"/>
  <c r="U46" i="39"/>
  <c r="T46" i="39"/>
  <c r="U45" i="39"/>
  <c r="T45" i="39"/>
  <c r="U44" i="39"/>
  <c r="T44" i="39"/>
  <c r="U43" i="39"/>
  <c r="T43" i="39"/>
  <c r="U42" i="39"/>
  <c r="T42" i="39"/>
  <c r="AL42" i="39" s="1"/>
  <c r="U41" i="39"/>
  <c r="T41" i="39"/>
  <c r="U40" i="39"/>
  <c r="T40" i="39"/>
  <c r="U39" i="39"/>
  <c r="T39" i="39"/>
  <c r="U38" i="39"/>
  <c r="T38" i="39"/>
  <c r="AL38" i="39" s="1"/>
  <c r="U37" i="39"/>
  <c r="T37" i="39"/>
  <c r="U36" i="39"/>
  <c r="T36" i="39"/>
  <c r="U35" i="39"/>
  <c r="T35" i="39"/>
  <c r="U34" i="39"/>
  <c r="T34" i="39"/>
  <c r="U33" i="39"/>
  <c r="T33" i="39"/>
  <c r="U32" i="39"/>
  <c r="T32" i="39"/>
  <c r="U31" i="39"/>
  <c r="T31" i="39"/>
  <c r="U30" i="39"/>
  <c r="T30" i="39"/>
  <c r="U29" i="39"/>
  <c r="T29" i="39"/>
  <c r="U28" i="39"/>
  <c r="T28" i="39"/>
  <c r="U27" i="39"/>
  <c r="T27" i="39"/>
  <c r="U26" i="39"/>
  <c r="T26" i="39"/>
  <c r="U25" i="39"/>
  <c r="T25" i="39"/>
  <c r="U24" i="39"/>
  <c r="T24" i="39"/>
  <c r="U23" i="39"/>
  <c r="T23" i="39"/>
  <c r="U22" i="39"/>
  <c r="T22" i="39"/>
  <c r="U21" i="39"/>
  <c r="T21" i="39"/>
  <c r="U20" i="39"/>
  <c r="T20" i="39"/>
  <c r="U19" i="39"/>
  <c r="T19" i="39"/>
  <c r="U18" i="39"/>
  <c r="T18" i="39"/>
  <c r="U17" i="39"/>
  <c r="T17" i="39"/>
  <c r="U16" i="39"/>
  <c r="T16" i="39"/>
  <c r="U15" i="39"/>
  <c r="T15" i="39"/>
  <c r="AL15" i="39" s="1"/>
  <c r="U14" i="39"/>
  <c r="T14" i="39"/>
  <c r="U13" i="39"/>
  <c r="T13" i="39"/>
  <c r="U12" i="39"/>
  <c r="T12" i="39"/>
  <c r="AL12" i="39" s="1"/>
  <c r="U11" i="39"/>
  <c r="T11" i="39"/>
  <c r="U10" i="39"/>
  <c r="T10" i="39"/>
  <c r="U9" i="39"/>
  <c r="T9" i="39"/>
  <c r="CR7" i="39"/>
  <c r="CI7" i="39"/>
  <c r="BZ7" i="39"/>
  <c r="BQ7" i="39"/>
  <c r="BH7" i="39"/>
  <c r="AY7" i="39"/>
  <c r="AG7" i="39"/>
  <c r="X7" i="39"/>
  <c r="CR6" i="39"/>
  <c r="CI6" i="39"/>
  <c r="BZ6" i="39"/>
  <c r="BQ6" i="39"/>
  <c r="BH6" i="39"/>
  <c r="AY6" i="39"/>
  <c r="AG6" i="39"/>
  <c r="X6" i="39"/>
  <c r="CR5" i="39"/>
  <c r="CP5" i="39"/>
  <c r="CI5" i="39"/>
  <c r="CG5" i="39"/>
  <c r="BZ5" i="39"/>
  <c r="BX5" i="39"/>
  <c r="BQ5" i="39"/>
  <c r="BO5" i="39"/>
  <c r="BH5" i="39"/>
  <c r="BF5" i="39"/>
  <c r="AY5" i="39"/>
  <c r="AW5" i="39"/>
  <c r="AG5" i="39"/>
  <c r="AE5" i="39"/>
  <c r="X5" i="39"/>
  <c r="V5" i="39"/>
  <c r="CR4" i="39"/>
  <c r="CP4" i="39"/>
  <c r="CI4" i="39"/>
  <c r="CG4" i="39"/>
  <c r="BZ4" i="39"/>
  <c r="BX4" i="39"/>
  <c r="BQ4" i="39"/>
  <c r="BO4" i="39"/>
  <c r="BH4" i="39"/>
  <c r="BF4" i="39"/>
  <c r="AY4" i="39"/>
  <c r="AW4" i="39"/>
  <c r="AG4" i="39"/>
  <c r="AE4" i="39"/>
  <c r="X4" i="39"/>
  <c r="V4" i="39"/>
  <c r="F2" i="39"/>
  <c r="F1" i="39"/>
  <c r="D177" i="22"/>
  <c r="E177" i="22" s="1"/>
  <c r="D176" i="22"/>
  <c r="E176" i="22" s="1"/>
  <c r="D175" i="22"/>
  <c r="E175" i="22" s="1"/>
  <c r="D174" i="22"/>
  <c r="E174" i="22" s="1"/>
  <c r="D173" i="22"/>
  <c r="E173" i="22" s="1"/>
  <c r="D172" i="22"/>
  <c r="E172" i="22" s="1"/>
  <c r="D171" i="22"/>
  <c r="E171" i="22" s="1"/>
  <c r="D170" i="22"/>
  <c r="E170" i="22" s="1"/>
  <c r="D169" i="22"/>
  <c r="E169" i="22" s="1"/>
  <c r="D168" i="22"/>
  <c r="E168" i="22" s="1"/>
  <c r="D167" i="22"/>
  <c r="E167" i="22" s="1"/>
  <c r="D166" i="22"/>
  <c r="E166" i="22" s="1"/>
  <c r="D165" i="22"/>
  <c r="E165" i="22" s="1"/>
  <c r="D164" i="22"/>
  <c r="E164" i="22" s="1"/>
  <c r="D163" i="22"/>
  <c r="E163" i="22" s="1"/>
  <c r="D162" i="22"/>
  <c r="E162" i="22" s="1"/>
  <c r="D161" i="22"/>
  <c r="E161" i="22" s="1"/>
  <c r="D160" i="22"/>
  <c r="E160" i="22" s="1"/>
  <c r="D159" i="22"/>
  <c r="E159" i="22" s="1"/>
  <c r="D158" i="22"/>
  <c r="E158" i="22" s="1"/>
  <c r="D157" i="22"/>
  <c r="E157" i="22" s="1"/>
  <c r="D156" i="22"/>
  <c r="E156" i="22" s="1"/>
  <c r="D155" i="22"/>
  <c r="E155" i="22" s="1"/>
  <c r="D154" i="22"/>
  <c r="E154" i="22" s="1"/>
  <c r="D153" i="22"/>
  <c r="E153" i="22" s="1"/>
  <c r="D152" i="22"/>
  <c r="E152" i="22" s="1"/>
  <c r="D151" i="22"/>
  <c r="E151" i="22" s="1"/>
  <c r="D150" i="22"/>
  <c r="E150" i="22" s="1"/>
  <c r="D149" i="22"/>
  <c r="E149" i="22" s="1"/>
  <c r="D148" i="22"/>
  <c r="E148" i="22" s="1"/>
  <c r="D147" i="22"/>
  <c r="E147" i="22" s="1"/>
  <c r="D146" i="22"/>
  <c r="E146" i="22" s="1"/>
  <c r="D145" i="22"/>
  <c r="E145" i="22" s="1"/>
  <c r="D144" i="22"/>
  <c r="E144" i="22" s="1"/>
  <c r="D143" i="22"/>
  <c r="E143" i="22" s="1"/>
  <c r="D142" i="22"/>
  <c r="E142" i="22" s="1"/>
  <c r="D141" i="22"/>
  <c r="E141" i="22" s="1"/>
  <c r="D140" i="22"/>
  <c r="E140" i="22" s="1"/>
  <c r="D139" i="22"/>
  <c r="E139" i="22" s="1"/>
  <c r="D138" i="22"/>
  <c r="E138" i="22" s="1"/>
  <c r="D137" i="22"/>
  <c r="E137" i="22" s="1"/>
  <c r="D136" i="22"/>
  <c r="E136" i="22" s="1"/>
  <c r="D135" i="22"/>
  <c r="E135" i="22" s="1"/>
  <c r="D134" i="22"/>
  <c r="E134" i="22" s="1"/>
  <c r="D133" i="22"/>
  <c r="E133" i="22" s="1"/>
  <c r="D132" i="22"/>
  <c r="E132" i="22" s="1"/>
  <c r="D131" i="22"/>
  <c r="E131" i="22" s="1"/>
  <c r="D130" i="22"/>
  <c r="E130" i="22" s="1"/>
  <c r="D129" i="22"/>
  <c r="E129" i="22" s="1"/>
  <c r="D128" i="22"/>
  <c r="E128" i="22" s="1"/>
  <c r="D127" i="22"/>
  <c r="E127" i="22" s="1"/>
  <c r="D126" i="22"/>
  <c r="E126" i="22" s="1"/>
  <c r="D125" i="22"/>
  <c r="E125" i="22" s="1"/>
  <c r="D124" i="22"/>
  <c r="E124" i="22" s="1"/>
  <c r="D123" i="22"/>
  <c r="E123" i="22" s="1"/>
  <c r="D122" i="22"/>
  <c r="E122" i="22" s="1"/>
  <c r="D121" i="22"/>
  <c r="E121" i="22" s="1"/>
  <c r="D120" i="22"/>
  <c r="E120" i="22" s="1"/>
  <c r="D119" i="22"/>
  <c r="E119" i="22" s="1"/>
  <c r="D118" i="22"/>
  <c r="E118" i="22" s="1"/>
  <c r="D117" i="22"/>
  <c r="E117" i="22" s="1"/>
  <c r="D116" i="22"/>
  <c r="E116" i="22" s="1"/>
  <c r="D115" i="22"/>
  <c r="E115" i="22" s="1"/>
  <c r="D114" i="22"/>
  <c r="E114" i="22" s="1"/>
  <c r="D113" i="22"/>
  <c r="E113" i="22" s="1"/>
  <c r="D112" i="22"/>
  <c r="E112" i="22" s="1"/>
  <c r="D111" i="22"/>
  <c r="E111" i="22" s="1"/>
  <c r="D110" i="22"/>
  <c r="E110" i="22" s="1"/>
  <c r="D109" i="22"/>
  <c r="E109" i="22" s="1"/>
  <c r="D108" i="22"/>
  <c r="E108" i="22" s="1"/>
  <c r="D107" i="22"/>
  <c r="E107" i="22" s="1"/>
  <c r="D106" i="22"/>
  <c r="E106" i="22" s="1"/>
  <c r="D105" i="22"/>
  <c r="E105" i="22" s="1"/>
  <c r="D104" i="22"/>
  <c r="E104" i="22" s="1"/>
  <c r="D103" i="22"/>
  <c r="E103" i="22" s="1"/>
  <c r="D102" i="22"/>
  <c r="E102" i="22" s="1"/>
  <c r="D101" i="22"/>
  <c r="E101" i="22" s="1"/>
  <c r="D100" i="22"/>
  <c r="E100" i="22" s="1"/>
  <c r="D99" i="22"/>
  <c r="E99" i="22" s="1"/>
  <c r="D98" i="22"/>
  <c r="E98" i="22" s="1"/>
  <c r="D97" i="22"/>
  <c r="E97" i="22" s="1"/>
  <c r="D96" i="22"/>
  <c r="E96" i="22" s="1"/>
  <c r="D95" i="22"/>
  <c r="E95" i="22" s="1"/>
  <c r="D94" i="22"/>
  <c r="E94" i="22" s="1"/>
  <c r="D93" i="22"/>
  <c r="E93" i="22" s="1"/>
  <c r="D92" i="22"/>
  <c r="E92" i="22" s="1"/>
  <c r="D91" i="22"/>
  <c r="E91" i="22" s="1"/>
  <c r="D89" i="22"/>
  <c r="E89" i="22" s="1"/>
  <c r="D88" i="22"/>
  <c r="E88" i="22" s="1"/>
  <c r="D87" i="22"/>
  <c r="E87" i="22" s="1"/>
  <c r="D86" i="22"/>
  <c r="E86" i="22" s="1"/>
  <c r="D85" i="22"/>
  <c r="E85" i="22" s="1"/>
  <c r="D84" i="22"/>
  <c r="E84" i="22" s="1"/>
  <c r="D83" i="22"/>
  <c r="E83" i="22" s="1"/>
  <c r="D82" i="22"/>
  <c r="E82" i="22" s="1"/>
  <c r="D81" i="22"/>
  <c r="E81" i="22" s="1"/>
  <c r="D80" i="22"/>
  <c r="E80" i="22" s="1"/>
  <c r="D79" i="22"/>
  <c r="E79" i="22" s="1"/>
  <c r="D78" i="22"/>
  <c r="E78" i="22" s="1"/>
  <c r="D77" i="22"/>
  <c r="E77" i="22" s="1"/>
  <c r="D76" i="22"/>
  <c r="E76" i="22" s="1"/>
  <c r="D75" i="22"/>
  <c r="E75" i="22" s="1"/>
  <c r="D74" i="22"/>
  <c r="E74" i="22" s="1"/>
  <c r="D73" i="22"/>
  <c r="E73" i="22" s="1"/>
  <c r="D72" i="22"/>
  <c r="E72" i="22" s="1"/>
  <c r="D71" i="22"/>
  <c r="E71" i="22" s="1"/>
  <c r="D70" i="22"/>
  <c r="E70" i="22" s="1"/>
  <c r="D69" i="22"/>
  <c r="E69" i="22" s="1"/>
  <c r="D68" i="22"/>
  <c r="E68" i="22" s="1"/>
  <c r="D67" i="22"/>
  <c r="E67" i="22" s="1"/>
  <c r="D66" i="22"/>
  <c r="E66" i="22" s="1"/>
  <c r="D65" i="22"/>
  <c r="E65" i="22" s="1"/>
  <c r="D64" i="22"/>
  <c r="E64" i="22" s="1"/>
  <c r="D63" i="22"/>
  <c r="E63" i="22" s="1"/>
  <c r="D62" i="22"/>
  <c r="E62" i="22" s="1"/>
  <c r="D61" i="22"/>
  <c r="E61" i="22" s="1"/>
  <c r="D60" i="22"/>
  <c r="E60" i="22" s="1"/>
  <c r="D59" i="22"/>
  <c r="E59" i="22" s="1"/>
  <c r="D58" i="22"/>
  <c r="E58" i="22" s="1"/>
  <c r="D57" i="22"/>
  <c r="E57" i="22" s="1"/>
  <c r="D56" i="22"/>
  <c r="E56" i="22" s="1"/>
  <c r="D55" i="22"/>
  <c r="E55" i="22" s="1"/>
  <c r="D54" i="22"/>
  <c r="E54" i="22" s="1"/>
  <c r="D53" i="22"/>
  <c r="E53" i="22" s="1"/>
  <c r="D52" i="22"/>
  <c r="E52" i="22" s="1"/>
  <c r="D51" i="22"/>
  <c r="E51" i="22" s="1"/>
  <c r="D50" i="22"/>
  <c r="E50" i="22" s="1"/>
  <c r="D49" i="22"/>
  <c r="E49" i="22" s="1"/>
  <c r="D48" i="22"/>
  <c r="E48" i="22" s="1"/>
  <c r="D47" i="22"/>
  <c r="E47" i="22" s="1"/>
  <c r="D46" i="22"/>
  <c r="E46" i="22" s="1"/>
  <c r="D45" i="22"/>
  <c r="E45" i="22" s="1"/>
  <c r="D44" i="22"/>
  <c r="E44" i="22" s="1"/>
  <c r="D43" i="22"/>
  <c r="E43" i="22" s="1"/>
  <c r="D42" i="22"/>
  <c r="E42" i="22" s="1"/>
  <c r="D41" i="22"/>
  <c r="E41" i="22" s="1"/>
  <c r="D40" i="22"/>
  <c r="E40" i="22" s="1"/>
  <c r="D39" i="22"/>
  <c r="E39" i="22" s="1"/>
  <c r="D38" i="22"/>
  <c r="E38" i="22" s="1"/>
  <c r="D37" i="22"/>
  <c r="E37" i="22" s="1"/>
  <c r="D36" i="22"/>
  <c r="E36" i="22" s="1"/>
  <c r="D35" i="22"/>
  <c r="E35" i="22" s="1"/>
  <c r="D34" i="22"/>
  <c r="E34" i="22" s="1"/>
  <c r="D33" i="22"/>
  <c r="E33" i="22" s="1"/>
  <c r="D32" i="22"/>
  <c r="E32" i="22" s="1"/>
  <c r="D31" i="22"/>
  <c r="E31" i="22" s="1"/>
  <c r="D30" i="22"/>
  <c r="E30" i="22" s="1"/>
  <c r="D29" i="22"/>
  <c r="E29" i="22" s="1"/>
  <c r="D28" i="22"/>
  <c r="E28" i="22" s="1"/>
  <c r="D27" i="22"/>
  <c r="E27" i="22" s="1"/>
  <c r="D26" i="22"/>
  <c r="E26" i="22" s="1"/>
  <c r="D25" i="22"/>
  <c r="E25" i="22" s="1"/>
  <c r="D24" i="22"/>
  <c r="E24" i="22" s="1"/>
  <c r="D23" i="22"/>
  <c r="E23" i="22" s="1"/>
  <c r="D22" i="22"/>
  <c r="E22" i="22" s="1"/>
  <c r="D21" i="22"/>
  <c r="E21" i="22" s="1"/>
  <c r="D20" i="22"/>
  <c r="E20" i="22" s="1"/>
  <c r="D19" i="22"/>
  <c r="E19" i="22" s="1"/>
  <c r="D18" i="22"/>
  <c r="E18" i="22" s="1"/>
  <c r="D17" i="22"/>
  <c r="E17" i="22" s="1"/>
  <c r="D16" i="22"/>
  <c r="E16" i="22" s="1"/>
  <c r="D15" i="22"/>
  <c r="E15" i="22" s="1"/>
  <c r="D14" i="22"/>
  <c r="E14" i="22" s="1"/>
  <c r="D13" i="22"/>
  <c r="E13" i="22" s="1"/>
  <c r="D12" i="22"/>
  <c r="E12" i="22" s="1"/>
  <c r="D11" i="22"/>
  <c r="E11" i="22" s="1"/>
  <c r="D10" i="22"/>
  <c r="E10" i="22" s="1"/>
  <c r="D9" i="22"/>
  <c r="E9" i="22" s="1"/>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9" i="22"/>
  <c r="AE177" i="22"/>
  <c r="AD177" i="22"/>
  <c r="AE176" i="22"/>
  <c r="AD176" i="22"/>
  <c r="AE175" i="22"/>
  <c r="AD175" i="22"/>
  <c r="AE174" i="22"/>
  <c r="AD174" i="22"/>
  <c r="AE173" i="22"/>
  <c r="AD173" i="22"/>
  <c r="AE172" i="22"/>
  <c r="AD172" i="22"/>
  <c r="AE171" i="22"/>
  <c r="AD171" i="22"/>
  <c r="AE170" i="22"/>
  <c r="AD170" i="22"/>
  <c r="AE169" i="22"/>
  <c r="AD169" i="22"/>
  <c r="AE168" i="22"/>
  <c r="AD168" i="22"/>
  <c r="AE167" i="22"/>
  <c r="AD167" i="22"/>
  <c r="AE166" i="22"/>
  <c r="AD166" i="22"/>
  <c r="AE165" i="22"/>
  <c r="AD165" i="22"/>
  <c r="AE164" i="22"/>
  <c r="AD164" i="22"/>
  <c r="AE163" i="22"/>
  <c r="AD163" i="22"/>
  <c r="AE162" i="22"/>
  <c r="AD162" i="22"/>
  <c r="AE161" i="22"/>
  <c r="AD161" i="22"/>
  <c r="AE160" i="22"/>
  <c r="AD160" i="22"/>
  <c r="AE159" i="22"/>
  <c r="AD159" i="22"/>
  <c r="AE158" i="22"/>
  <c r="AD158" i="22"/>
  <c r="AE157" i="22"/>
  <c r="AD157" i="22"/>
  <c r="AE156" i="22"/>
  <c r="AD156" i="22"/>
  <c r="AE155" i="22"/>
  <c r="AD155" i="22"/>
  <c r="AE154" i="22"/>
  <c r="AD154" i="22"/>
  <c r="AE153" i="22"/>
  <c r="AD153" i="22"/>
  <c r="AE152" i="22"/>
  <c r="AD152" i="22"/>
  <c r="AE151" i="22"/>
  <c r="AD151" i="22"/>
  <c r="AE150" i="22"/>
  <c r="AD150" i="22"/>
  <c r="AE149" i="22"/>
  <c r="AD149" i="22"/>
  <c r="AE148" i="22"/>
  <c r="AD148" i="22"/>
  <c r="AE147" i="22"/>
  <c r="AD147" i="22"/>
  <c r="AE146" i="22"/>
  <c r="AD146" i="22"/>
  <c r="AE145" i="22"/>
  <c r="AD145" i="22"/>
  <c r="AE144" i="22"/>
  <c r="AD144" i="22"/>
  <c r="AE143" i="22"/>
  <c r="AD143" i="22"/>
  <c r="AE142" i="22"/>
  <c r="AD142" i="22"/>
  <c r="AE141" i="22"/>
  <c r="AD141" i="22"/>
  <c r="AE140" i="22"/>
  <c r="AD140" i="22"/>
  <c r="AE139" i="22"/>
  <c r="AD139" i="22"/>
  <c r="AE138" i="22"/>
  <c r="AD138" i="22"/>
  <c r="AE137" i="22"/>
  <c r="AD137" i="22"/>
  <c r="AE136" i="22"/>
  <c r="AD136" i="22"/>
  <c r="AE135" i="22"/>
  <c r="AD135" i="22"/>
  <c r="AE134" i="22"/>
  <c r="AD134" i="22"/>
  <c r="AE133" i="22"/>
  <c r="AD133" i="22"/>
  <c r="AE132" i="22"/>
  <c r="AD132" i="22"/>
  <c r="AE131" i="22"/>
  <c r="AD131" i="22"/>
  <c r="AE130" i="22"/>
  <c r="AD130" i="22"/>
  <c r="AE129" i="22"/>
  <c r="AD129" i="22"/>
  <c r="AE128" i="22"/>
  <c r="AD128" i="22"/>
  <c r="AE127" i="22"/>
  <c r="AD127" i="22"/>
  <c r="AE126" i="22"/>
  <c r="AD126" i="22"/>
  <c r="AE125" i="22"/>
  <c r="AD125" i="22"/>
  <c r="AE124" i="22"/>
  <c r="AD124" i="22"/>
  <c r="AE123" i="22"/>
  <c r="AD123" i="22"/>
  <c r="AE122" i="22"/>
  <c r="AD122" i="22"/>
  <c r="AE121" i="22"/>
  <c r="AD121" i="22"/>
  <c r="AE120" i="22"/>
  <c r="AD120" i="22"/>
  <c r="AE119" i="22"/>
  <c r="AD119" i="22"/>
  <c r="AE118" i="22"/>
  <c r="AD118" i="22"/>
  <c r="AE117" i="22"/>
  <c r="AD117" i="22"/>
  <c r="AE116" i="22"/>
  <c r="AD116" i="22"/>
  <c r="AE115" i="22"/>
  <c r="AD115" i="22"/>
  <c r="AE114" i="22"/>
  <c r="AD114" i="22"/>
  <c r="AE113" i="22"/>
  <c r="AD113" i="22"/>
  <c r="AE112" i="22"/>
  <c r="AD112" i="22"/>
  <c r="AE111" i="22"/>
  <c r="AD111" i="22"/>
  <c r="AE110" i="22"/>
  <c r="AD110" i="22"/>
  <c r="AE109" i="22"/>
  <c r="AD109" i="22"/>
  <c r="AE108" i="22"/>
  <c r="AD108" i="22"/>
  <c r="AE107" i="22"/>
  <c r="AD107" i="22"/>
  <c r="AE106" i="22"/>
  <c r="AD106" i="22"/>
  <c r="AE105" i="22"/>
  <c r="AD105" i="22"/>
  <c r="AE104" i="22"/>
  <c r="AD104" i="22"/>
  <c r="AE103" i="22"/>
  <c r="AD103" i="22"/>
  <c r="AE102" i="22"/>
  <c r="AD102" i="22"/>
  <c r="AE101" i="22"/>
  <c r="AD101" i="22"/>
  <c r="AE100" i="22"/>
  <c r="AD100" i="22"/>
  <c r="AE99" i="22"/>
  <c r="AD99" i="22"/>
  <c r="AE98" i="22"/>
  <c r="AD98" i="22"/>
  <c r="AE97" i="22"/>
  <c r="AD97" i="22"/>
  <c r="AE96" i="22"/>
  <c r="AD96" i="22"/>
  <c r="AE95" i="22"/>
  <c r="AD95" i="22"/>
  <c r="AE94" i="22"/>
  <c r="AD94" i="22"/>
  <c r="AE93" i="22"/>
  <c r="AD93" i="22"/>
  <c r="AE92" i="22"/>
  <c r="AD92" i="22"/>
  <c r="AE91" i="22"/>
  <c r="AD91" i="22"/>
  <c r="AE89" i="22"/>
  <c r="AD89" i="22"/>
  <c r="AE88" i="22"/>
  <c r="AD88" i="22"/>
  <c r="AE87" i="22"/>
  <c r="AD87" i="22"/>
  <c r="AE86" i="22"/>
  <c r="AD86" i="22"/>
  <c r="AE85" i="22"/>
  <c r="AD85" i="22"/>
  <c r="AE84" i="22"/>
  <c r="AD84" i="22"/>
  <c r="AE83" i="22"/>
  <c r="AD83" i="22"/>
  <c r="AE82" i="22"/>
  <c r="AD82" i="22"/>
  <c r="AE81" i="22"/>
  <c r="AD81" i="22"/>
  <c r="AE80" i="22"/>
  <c r="AD80" i="22"/>
  <c r="AE79" i="22"/>
  <c r="AD79" i="22"/>
  <c r="AE78" i="22"/>
  <c r="AD78" i="22"/>
  <c r="AE77" i="22"/>
  <c r="AD77" i="22"/>
  <c r="AE76" i="22"/>
  <c r="AD76" i="22"/>
  <c r="AE75" i="22"/>
  <c r="AD75" i="22"/>
  <c r="AE74" i="22"/>
  <c r="AD74" i="22"/>
  <c r="AD73" i="22"/>
  <c r="AE73" i="22"/>
  <c r="AD72" i="22"/>
  <c r="AE72" i="22"/>
  <c r="AD68" i="22"/>
  <c r="AE68" i="22"/>
  <c r="AD69" i="22"/>
  <c r="AE69" i="22"/>
  <c r="AD70" i="22"/>
  <c r="AE70" i="22"/>
  <c r="AD71" i="22"/>
  <c r="AE71" i="22"/>
  <c r="AD67" i="22"/>
  <c r="AE67" i="22"/>
  <c r="AD58" i="22"/>
  <c r="AE58" i="22"/>
  <c r="AD59" i="22"/>
  <c r="AE59" i="22"/>
  <c r="AD60" i="22"/>
  <c r="AE60" i="22"/>
  <c r="AD61" i="22"/>
  <c r="AE61" i="22"/>
  <c r="AD62" i="22"/>
  <c r="AE62" i="22"/>
  <c r="AD63" i="22"/>
  <c r="AE63" i="22"/>
  <c r="AD64" i="22"/>
  <c r="AE64" i="22"/>
  <c r="AD65" i="22"/>
  <c r="AE65" i="22"/>
  <c r="AD66" i="22"/>
  <c r="AE66" i="22"/>
  <c r="AD34" i="22"/>
  <c r="AE34" i="22"/>
  <c r="AD35" i="22"/>
  <c r="AE35" i="22"/>
  <c r="AD36" i="22"/>
  <c r="AE36" i="22"/>
  <c r="AD37" i="22"/>
  <c r="AE37" i="22"/>
  <c r="AD38" i="22"/>
  <c r="AE38" i="22"/>
  <c r="AD39" i="22"/>
  <c r="AE39" i="22"/>
  <c r="AD40" i="22"/>
  <c r="AE40" i="22"/>
  <c r="AD41" i="22"/>
  <c r="AE41" i="22"/>
  <c r="AD42" i="22"/>
  <c r="AE42" i="22"/>
  <c r="AD43" i="22"/>
  <c r="AE43" i="22"/>
  <c r="AD44" i="22"/>
  <c r="AE44" i="22"/>
  <c r="AD45" i="22"/>
  <c r="AE45" i="22"/>
  <c r="AD46" i="22"/>
  <c r="AE46" i="22"/>
  <c r="AD47" i="22"/>
  <c r="AE47" i="22"/>
  <c r="AD48" i="22"/>
  <c r="AE48" i="22"/>
  <c r="AD49" i="22"/>
  <c r="AE49" i="22"/>
  <c r="AD50" i="22"/>
  <c r="AE50" i="22"/>
  <c r="AD51" i="22"/>
  <c r="AE51" i="22"/>
  <c r="AD52" i="22"/>
  <c r="AE52" i="22"/>
  <c r="AD53" i="22"/>
  <c r="AE53" i="22"/>
  <c r="AD54" i="22"/>
  <c r="AE54" i="22"/>
  <c r="AD55" i="22"/>
  <c r="AE55" i="22"/>
  <c r="AD56" i="22"/>
  <c r="AE56" i="22"/>
  <c r="AD57" i="22"/>
  <c r="AE57" i="22"/>
  <c r="AD10" i="22"/>
  <c r="AE10" i="22"/>
  <c r="AD11" i="22"/>
  <c r="AE11" i="22"/>
  <c r="AD12" i="22"/>
  <c r="AE12" i="22"/>
  <c r="AD13" i="22"/>
  <c r="AE13" i="22"/>
  <c r="AD14" i="22"/>
  <c r="AE14" i="22"/>
  <c r="AD15" i="22"/>
  <c r="AE15" i="22"/>
  <c r="AD16" i="22"/>
  <c r="AE16" i="22"/>
  <c r="AD17" i="22"/>
  <c r="AE17" i="22"/>
  <c r="AD18" i="22"/>
  <c r="AE18" i="22"/>
  <c r="AD19" i="22"/>
  <c r="AE19" i="22"/>
  <c r="AD20" i="22"/>
  <c r="AE20" i="22"/>
  <c r="AD21" i="22"/>
  <c r="AE21" i="22"/>
  <c r="AD22" i="22"/>
  <c r="AE22" i="22"/>
  <c r="AD23" i="22"/>
  <c r="AE23" i="22"/>
  <c r="AD24" i="22"/>
  <c r="AE24" i="22"/>
  <c r="AD25" i="22"/>
  <c r="AE25" i="22"/>
  <c r="AD26" i="22"/>
  <c r="AE26" i="22"/>
  <c r="AD27" i="22"/>
  <c r="AE27" i="22"/>
  <c r="AD28" i="22"/>
  <c r="AE28" i="22"/>
  <c r="AD29" i="22"/>
  <c r="AE29" i="22"/>
  <c r="AD30" i="22"/>
  <c r="AE30" i="22"/>
  <c r="AD31" i="22"/>
  <c r="AE31" i="22"/>
  <c r="AD32" i="22"/>
  <c r="AE32" i="22"/>
  <c r="AD33" i="22"/>
  <c r="AE33" i="22"/>
  <c r="AE9" i="22"/>
  <c r="AD9" i="22"/>
  <c r="AB10" i="35"/>
  <c r="AC10" i="35"/>
  <c r="AB11" i="35"/>
  <c r="AC11" i="35"/>
  <c r="AB12" i="35"/>
  <c r="AC12" i="35"/>
  <c r="AB13" i="35"/>
  <c r="AC13" i="35"/>
  <c r="AB14" i="35"/>
  <c r="AC14" i="35"/>
  <c r="AB15" i="35"/>
  <c r="AC15" i="35"/>
  <c r="AB16" i="35"/>
  <c r="AC16" i="35"/>
  <c r="AB17" i="35"/>
  <c r="AC17" i="35"/>
  <c r="AB18" i="35"/>
  <c r="AC18" i="35"/>
  <c r="AB19" i="35"/>
  <c r="AC19" i="35"/>
  <c r="AB20" i="35"/>
  <c r="AC20" i="35"/>
  <c r="AB21" i="35"/>
  <c r="AC21" i="35"/>
  <c r="AB22" i="35"/>
  <c r="AC22" i="35"/>
  <c r="AB23" i="35"/>
  <c r="AC23" i="35"/>
  <c r="AB24" i="35"/>
  <c r="AC24" i="35"/>
  <c r="AB25" i="35"/>
  <c r="AC25" i="35"/>
  <c r="AB26" i="35"/>
  <c r="AC26" i="35"/>
  <c r="AB27" i="35"/>
  <c r="AC27" i="35"/>
  <c r="AB28" i="35"/>
  <c r="AC28" i="35"/>
  <c r="AB29" i="35"/>
  <c r="AC29" i="35"/>
  <c r="AB30" i="35"/>
  <c r="AC30" i="35"/>
  <c r="AB35" i="35"/>
  <c r="AC35" i="35"/>
  <c r="AB36" i="35"/>
  <c r="AC36" i="35"/>
  <c r="AB37" i="35"/>
  <c r="AC37" i="35"/>
  <c r="AB38" i="35"/>
  <c r="AC38" i="35"/>
  <c r="AB39" i="35"/>
  <c r="AC39" i="35"/>
  <c r="AB40" i="35"/>
  <c r="AC40" i="35"/>
  <c r="AB41" i="35"/>
  <c r="AC41" i="35"/>
  <c r="AB42" i="35"/>
  <c r="AC42" i="35"/>
  <c r="AB43" i="35"/>
  <c r="AC43" i="35"/>
  <c r="AB44" i="35"/>
  <c r="AC44" i="35"/>
  <c r="AB45" i="35"/>
  <c r="AC45" i="35"/>
  <c r="AB46" i="35"/>
  <c r="AC46" i="35"/>
  <c r="AB47" i="35"/>
  <c r="AC47" i="35"/>
  <c r="AB48" i="35"/>
  <c r="AC48" i="35"/>
  <c r="AB49" i="35"/>
  <c r="AC49" i="35"/>
  <c r="AB50" i="35"/>
  <c r="AC50" i="35"/>
  <c r="AB51" i="35"/>
  <c r="AC51" i="35"/>
  <c r="AB52" i="35"/>
  <c r="AC52" i="35"/>
  <c r="AB53" i="35"/>
  <c r="AC53" i="35"/>
  <c r="AB54" i="35"/>
  <c r="AC54" i="35"/>
  <c r="AB55" i="35"/>
  <c r="AC55" i="35"/>
  <c r="AB60" i="35"/>
  <c r="AC60" i="35"/>
  <c r="AB61" i="35"/>
  <c r="AC61" i="35"/>
  <c r="AB62" i="35"/>
  <c r="AC62" i="35"/>
  <c r="AB63" i="35"/>
  <c r="AC63" i="35"/>
  <c r="AB64" i="35"/>
  <c r="AC64" i="35"/>
  <c r="AB65" i="35"/>
  <c r="AC65" i="35"/>
  <c r="AL10" i="39" l="1"/>
  <c r="AL190" i="39"/>
  <c r="AL196" i="39"/>
  <c r="AL250" i="39"/>
  <c r="AL276" i="39"/>
  <c r="AL282" i="39"/>
  <c r="AL17" i="39"/>
  <c r="AL65" i="39"/>
  <c r="AL77" i="39"/>
  <c r="AL95" i="39"/>
  <c r="AL131" i="39"/>
  <c r="AL149" i="39"/>
  <c r="AL191" i="39"/>
  <c r="AL251" i="39"/>
  <c r="AL265" i="39"/>
  <c r="AL283" i="39"/>
  <c r="AL85" i="39"/>
  <c r="AL151" i="39"/>
  <c r="AL281" i="39"/>
  <c r="AC9" i="35"/>
  <c r="AB9" i="35"/>
  <c r="D10" i="35" l="1"/>
  <c r="D11" i="35"/>
  <c r="D12" i="35"/>
  <c r="D13" i="35"/>
  <c r="D14" i="35"/>
  <c r="D15" i="35"/>
  <c r="D16" i="35"/>
  <c r="D17" i="35"/>
  <c r="D18" i="35"/>
  <c r="D19" i="35"/>
  <c r="D20" i="35"/>
  <c r="D21" i="35"/>
  <c r="D22" i="35"/>
  <c r="D23" i="35"/>
  <c r="D24" i="35"/>
  <c r="D25" i="35"/>
  <c r="D26" i="35"/>
  <c r="D27" i="35"/>
  <c r="D28" i="35"/>
  <c r="D29" i="35"/>
  <c r="D30" i="35"/>
  <c r="D35" i="35"/>
  <c r="D36" i="35"/>
  <c r="D37" i="35"/>
  <c r="D38" i="35"/>
  <c r="D39" i="35"/>
  <c r="D40" i="35"/>
  <c r="D41" i="35"/>
  <c r="D42" i="35"/>
  <c r="D43" i="35"/>
  <c r="D44" i="35"/>
  <c r="D45" i="35"/>
  <c r="D46" i="35"/>
  <c r="D47" i="35"/>
  <c r="D48" i="35"/>
  <c r="D49" i="35"/>
  <c r="D50" i="35"/>
  <c r="D51" i="35"/>
  <c r="D52" i="35"/>
  <c r="D53" i="35"/>
  <c r="D54" i="35"/>
  <c r="D55" i="35"/>
  <c r="D60" i="35"/>
  <c r="D61" i="35"/>
  <c r="D62" i="35"/>
  <c r="D63" i="35"/>
  <c r="D64" i="35"/>
  <c r="D65" i="35"/>
  <c r="D9" i="35"/>
  <c r="AA7" i="33" l="1"/>
  <c r="AA6" i="33"/>
  <c r="AA5" i="33"/>
  <c r="Y5" i="33"/>
  <c r="AA4" i="33"/>
  <c r="Y4" i="33"/>
  <c r="X24" i="33"/>
  <c r="W24" i="33"/>
  <c r="X23" i="33"/>
  <c r="W23" i="33"/>
  <c r="X22" i="33"/>
  <c r="W22" i="33"/>
  <c r="X21" i="33"/>
  <c r="W21" i="33"/>
  <c r="X20" i="33"/>
  <c r="W20" i="33"/>
  <c r="X19" i="33"/>
  <c r="W19" i="33"/>
  <c r="X18" i="33"/>
  <c r="W18" i="33"/>
  <c r="X17" i="33"/>
  <c r="W17" i="33"/>
  <c r="X16" i="33"/>
  <c r="W16" i="33"/>
  <c r="X15" i="33"/>
  <c r="W15" i="33"/>
  <c r="X14" i="33"/>
  <c r="W14" i="33"/>
  <c r="X13" i="33"/>
  <c r="W13" i="33"/>
  <c r="X12" i="33"/>
  <c r="W12" i="33"/>
  <c r="X11" i="33"/>
  <c r="W11" i="33"/>
  <c r="X10" i="33"/>
  <c r="W10" i="33"/>
  <c r="X9" i="33"/>
  <c r="W9" i="33"/>
  <c r="G1" i="22" l="1"/>
  <c r="V177" i="22" l="1"/>
  <c r="U177" i="22"/>
  <c r="V176" i="22"/>
  <c r="U176" i="22"/>
  <c r="V175" i="22"/>
  <c r="U175" i="22"/>
  <c r="V174" i="22"/>
  <c r="U174" i="22"/>
  <c r="V173" i="22"/>
  <c r="U173" i="22"/>
  <c r="V172" i="22"/>
  <c r="U172" i="22"/>
  <c r="V171" i="22"/>
  <c r="U171" i="22"/>
  <c r="V170" i="22"/>
  <c r="U170" i="22"/>
  <c r="V169" i="22"/>
  <c r="U169" i="22"/>
  <c r="V168" i="22"/>
  <c r="U168" i="22"/>
  <c r="V167" i="22"/>
  <c r="U167" i="22"/>
  <c r="V166" i="22"/>
  <c r="U166" i="22"/>
  <c r="AM166" i="22" s="1"/>
  <c r="V165" i="22"/>
  <c r="U165" i="22"/>
  <c r="V164" i="22"/>
  <c r="U164" i="22"/>
  <c r="V163" i="22"/>
  <c r="U163" i="22"/>
  <c r="AM163" i="22" s="1"/>
  <c r="V162" i="22"/>
  <c r="U162" i="22"/>
  <c r="V161" i="22"/>
  <c r="U161" i="22"/>
  <c r="AM161" i="22" s="1"/>
  <c r="V160" i="22"/>
  <c r="U160" i="22"/>
  <c r="AM160" i="22" s="1"/>
  <c r="V159" i="22"/>
  <c r="U159" i="22"/>
  <c r="V158" i="22"/>
  <c r="U158" i="22"/>
  <c r="AM158" i="22" s="1"/>
  <c r="V157" i="22"/>
  <c r="U157" i="22"/>
  <c r="AM157" i="22" s="1"/>
  <c r="V156" i="22"/>
  <c r="U156" i="22"/>
  <c r="V155" i="22"/>
  <c r="U155" i="22"/>
  <c r="AM155" i="22" s="1"/>
  <c r="V154" i="22"/>
  <c r="U154" i="22"/>
  <c r="V153" i="22"/>
  <c r="U153" i="22"/>
  <c r="V152" i="22"/>
  <c r="U152" i="22"/>
  <c r="V151" i="22"/>
  <c r="U151" i="22"/>
  <c r="V150" i="22"/>
  <c r="U150" i="22"/>
  <c r="V149" i="22"/>
  <c r="U149" i="22"/>
  <c r="V148" i="22"/>
  <c r="U148" i="22"/>
  <c r="V147" i="22"/>
  <c r="U147" i="22"/>
  <c r="V146" i="22"/>
  <c r="U146" i="22"/>
  <c r="V145" i="22"/>
  <c r="U145" i="22"/>
  <c r="V144" i="22"/>
  <c r="U144" i="22"/>
  <c r="V143" i="22"/>
  <c r="U143" i="22"/>
  <c r="V142" i="22"/>
  <c r="U142" i="22"/>
  <c r="V141" i="22"/>
  <c r="U141" i="22"/>
  <c r="V140" i="22"/>
  <c r="U140" i="22"/>
  <c r="V139" i="22"/>
  <c r="U139" i="22"/>
  <c r="V138" i="22"/>
  <c r="U138" i="22"/>
  <c r="V137" i="22"/>
  <c r="U137" i="22"/>
  <c r="V136" i="22"/>
  <c r="U136" i="22"/>
  <c r="V135" i="22"/>
  <c r="U135" i="22"/>
  <c r="V134" i="22"/>
  <c r="U134" i="22"/>
  <c r="V133" i="22"/>
  <c r="U133" i="22"/>
  <c r="V132" i="22"/>
  <c r="U132" i="22"/>
  <c r="V131" i="22"/>
  <c r="U131" i="22"/>
  <c r="V130" i="22"/>
  <c r="U130" i="22"/>
  <c r="V129" i="22"/>
  <c r="U129" i="22"/>
  <c r="V128" i="22"/>
  <c r="U128" i="22"/>
  <c r="AM128" i="22" s="1"/>
  <c r="V127" i="22"/>
  <c r="U127" i="22"/>
  <c r="AM127" i="22" s="1"/>
  <c r="V126" i="22"/>
  <c r="U126" i="22"/>
  <c r="V125" i="22"/>
  <c r="U125" i="22"/>
  <c r="AM125" i="22" s="1"/>
  <c r="V124" i="22"/>
  <c r="U124" i="22"/>
  <c r="AM124" i="22" s="1"/>
  <c r="V123" i="22"/>
  <c r="U123" i="22"/>
  <c r="V122" i="22"/>
  <c r="U122" i="22"/>
  <c r="AM122" i="22" s="1"/>
  <c r="V121" i="22"/>
  <c r="U121" i="22"/>
  <c r="AM121" i="22" s="1"/>
  <c r="V120" i="22"/>
  <c r="U120" i="22"/>
  <c r="AM120" i="22" s="1"/>
  <c r="V119" i="22"/>
  <c r="U119" i="22"/>
  <c r="AM119" i="22" s="1"/>
  <c r="V118" i="22"/>
  <c r="U118" i="22"/>
  <c r="V117" i="22"/>
  <c r="U117" i="22"/>
  <c r="V116" i="22"/>
  <c r="U116" i="22"/>
  <c r="AM116" i="22" s="1"/>
  <c r="V115" i="22"/>
  <c r="U115" i="22"/>
  <c r="V114" i="22"/>
  <c r="U114" i="22"/>
  <c r="AM114" i="22" s="1"/>
  <c r="V113" i="22"/>
  <c r="U113" i="22"/>
  <c r="AM113" i="22" s="1"/>
  <c r="V112" i="22"/>
  <c r="U112" i="22"/>
  <c r="AM112" i="22" s="1"/>
  <c r="V111" i="22"/>
  <c r="U111" i="22"/>
  <c r="V110" i="22"/>
  <c r="U110" i="22"/>
  <c r="AM110" i="22" s="1"/>
  <c r="V109" i="22"/>
  <c r="U109" i="22"/>
  <c r="V108" i="22"/>
  <c r="U108" i="22"/>
  <c r="V107" i="22"/>
  <c r="U107" i="22"/>
  <c r="AM107" i="22" s="1"/>
  <c r="V106" i="22"/>
  <c r="U106" i="22"/>
  <c r="AM106" i="22" s="1"/>
  <c r="V105" i="22"/>
  <c r="U105" i="22"/>
  <c r="V104" i="22"/>
  <c r="U104" i="22"/>
  <c r="AM104" i="22" s="1"/>
  <c r="V103" i="22"/>
  <c r="U103" i="22"/>
  <c r="AM103" i="22" s="1"/>
  <c r="V102" i="22"/>
  <c r="U102" i="22"/>
  <c r="V101" i="22"/>
  <c r="U101" i="22"/>
  <c r="AM101" i="22" s="1"/>
  <c r="V100" i="22"/>
  <c r="U100" i="22"/>
  <c r="AM100" i="22" s="1"/>
  <c r="V99" i="22"/>
  <c r="U99" i="22"/>
  <c r="V98" i="22"/>
  <c r="U98" i="22"/>
  <c r="AM98" i="22" s="1"/>
  <c r="V97" i="22"/>
  <c r="U97" i="22"/>
  <c r="V96" i="22"/>
  <c r="U96" i="22"/>
  <c r="AM96" i="22" s="1"/>
  <c r="V95" i="22"/>
  <c r="U95" i="22"/>
  <c r="AM95" i="22" s="1"/>
  <c r="V94" i="22"/>
  <c r="U94" i="22"/>
  <c r="AM94" i="22" s="1"/>
  <c r="V93" i="22"/>
  <c r="U93" i="22"/>
  <c r="V92" i="22"/>
  <c r="U92" i="22"/>
  <c r="AM92" i="22" s="1"/>
  <c r="V91" i="22"/>
  <c r="U91" i="22"/>
  <c r="V89" i="22"/>
  <c r="U89" i="22"/>
  <c r="V88" i="22"/>
  <c r="U88" i="22"/>
  <c r="AM88" i="22" s="1"/>
  <c r="V87" i="22"/>
  <c r="U87" i="22"/>
  <c r="V86" i="22"/>
  <c r="U86" i="22"/>
  <c r="V85" i="22"/>
  <c r="U85" i="22"/>
  <c r="V84" i="22"/>
  <c r="U84" i="22"/>
  <c r="AM84" i="22" s="1"/>
  <c r="V83" i="22"/>
  <c r="U83" i="22"/>
  <c r="V82" i="22"/>
  <c r="U82" i="22"/>
  <c r="V81" i="22"/>
  <c r="U81" i="22"/>
  <c r="AM81" i="22" s="1"/>
  <c r="V80" i="22"/>
  <c r="U80" i="22"/>
  <c r="V79" i="22"/>
  <c r="U79" i="22"/>
  <c r="V78" i="22"/>
  <c r="U78" i="22"/>
  <c r="V77" i="22"/>
  <c r="U77" i="22"/>
  <c r="V76" i="22"/>
  <c r="U76" i="22"/>
  <c r="V75" i="22"/>
  <c r="U75" i="22"/>
  <c r="AM75" i="22" s="1"/>
  <c r="V74" i="22"/>
  <c r="U74" i="22"/>
  <c r="AM74" i="22" s="1"/>
  <c r="V73" i="22"/>
  <c r="U73" i="22"/>
  <c r="V72" i="22"/>
  <c r="U72" i="22"/>
  <c r="V71" i="22"/>
  <c r="U71" i="22"/>
  <c r="V70" i="22"/>
  <c r="U70" i="22"/>
  <c r="V69" i="22"/>
  <c r="U69" i="22"/>
  <c r="AM69" i="22" s="1"/>
  <c r="V68" i="22"/>
  <c r="U68" i="22"/>
  <c r="V67" i="22"/>
  <c r="U67" i="22"/>
  <c r="AM67" i="22" s="1"/>
  <c r="V66" i="22"/>
  <c r="U66" i="22"/>
  <c r="V65" i="22"/>
  <c r="U65" i="22"/>
  <c r="AM65" i="22" s="1"/>
  <c r="V64" i="22"/>
  <c r="U64" i="22"/>
  <c r="V63" i="22"/>
  <c r="U63" i="22"/>
  <c r="AM63" i="22" s="1"/>
  <c r="V62" i="22"/>
  <c r="U62" i="22"/>
  <c r="V61" i="22"/>
  <c r="U61" i="22"/>
  <c r="AM61" i="22" s="1"/>
  <c r="V60" i="22"/>
  <c r="U60" i="22"/>
  <c r="V59" i="22"/>
  <c r="U59" i="22"/>
  <c r="AM59" i="22" s="1"/>
  <c r="V58" i="22"/>
  <c r="U58" i="22"/>
  <c r="AM58" i="22" s="1"/>
  <c r="V57" i="22"/>
  <c r="U57" i="22"/>
  <c r="V56" i="22"/>
  <c r="U56" i="22"/>
  <c r="V55" i="22"/>
  <c r="U55" i="22"/>
  <c r="V54" i="22"/>
  <c r="U54" i="22"/>
  <c r="V53" i="22"/>
  <c r="U53" i="22"/>
  <c r="V52" i="22"/>
  <c r="U52" i="22"/>
  <c r="V51" i="22"/>
  <c r="U51" i="22"/>
  <c r="V50" i="22"/>
  <c r="U50" i="22"/>
  <c r="V49" i="22"/>
  <c r="U49" i="22"/>
  <c r="V48" i="22"/>
  <c r="U48" i="22"/>
  <c r="V47" i="22"/>
  <c r="U47" i="22"/>
  <c r="V46" i="22"/>
  <c r="U46" i="22"/>
  <c r="V45" i="22"/>
  <c r="U45" i="22"/>
  <c r="V44" i="22"/>
  <c r="U44" i="22"/>
  <c r="V43" i="22"/>
  <c r="U43" i="22"/>
  <c r="AM43" i="22" s="1"/>
  <c r="V42" i="22"/>
  <c r="U42" i="22"/>
  <c r="V41" i="22"/>
  <c r="U41" i="22"/>
  <c r="V40" i="22"/>
  <c r="U40" i="22"/>
  <c r="V39" i="22"/>
  <c r="U39" i="22"/>
  <c r="V38" i="22"/>
  <c r="U38" i="22"/>
  <c r="V37" i="22"/>
  <c r="U37" i="22"/>
  <c r="V36" i="22"/>
  <c r="U36" i="22"/>
  <c r="V35" i="22"/>
  <c r="U35" i="22"/>
  <c r="V34" i="22"/>
  <c r="U34" i="22"/>
  <c r="V33" i="22"/>
  <c r="U33" i="22"/>
  <c r="V32" i="22"/>
  <c r="U32" i="22"/>
  <c r="AM32" i="22" s="1"/>
  <c r="V31" i="22"/>
  <c r="U31" i="22"/>
  <c r="AM31" i="22" s="1"/>
  <c r="V30" i="22"/>
  <c r="U30" i="22"/>
  <c r="V29" i="22"/>
  <c r="U29" i="22"/>
  <c r="AM29" i="22" s="1"/>
  <c r="V28" i="22"/>
  <c r="U28" i="22"/>
  <c r="AM28" i="22" s="1"/>
  <c r="V27" i="22"/>
  <c r="U27" i="22"/>
  <c r="V26" i="22"/>
  <c r="U26" i="22"/>
  <c r="V25" i="22"/>
  <c r="U25" i="22"/>
  <c r="V24" i="22"/>
  <c r="U24" i="22"/>
  <c r="V23" i="22"/>
  <c r="U23" i="22"/>
  <c r="V22" i="22"/>
  <c r="U22" i="22"/>
  <c r="V21" i="22"/>
  <c r="U21" i="22"/>
  <c r="V20" i="22"/>
  <c r="U20" i="22"/>
  <c r="V19" i="22"/>
  <c r="U19" i="22"/>
  <c r="AM19" i="22" s="1"/>
  <c r="V18" i="22"/>
  <c r="U18" i="22"/>
  <c r="V17" i="22"/>
  <c r="U17" i="22"/>
  <c r="AM17" i="22" s="1"/>
  <c r="V16" i="22"/>
  <c r="U16" i="22"/>
  <c r="AM16" i="22" s="1"/>
  <c r="V15" i="22"/>
  <c r="U15" i="22"/>
  <c r="V14" i="22"/>
  <c r="U14" i="22"/>
  <c r="V13" i="22"/>
  <c r="U13" i="22"/>
  <c r="AM13" i="22" s="1"/>
  <c r="V12" i="22"/>
  <c r="U12" i="22"/>
  <c r="V11" i="22"/>
  <c r="U11" i="22"/>
  <c r="V10" i="22"/>
  <c r="U10" i="22"/>
  <c r="AM10" i="22" s="1"/>
  <c r="V9" i="22"/>
  <c r="U9" i="22"/>
  <c r="CN66" i="35"/>
  <c r="CM66" i="35"/>
  <c r="CE66" i="35"/>
  <c r="CD66" i="35"/>
  <c r="BV66" i="35"/>
  <c r="BU66" i="35"/>
  <c r="BM66" i="35"/>
  <c r="BL66" i="35"/>
  <c r="BD66" i="35"/>
  <c r="BC66" i="35"/>
  <c r="AU66" i="35"/>
  <c r="AT66" i="35"/>
  <c r="T65" i="35"/>
  <c r="S65" i="35"/>
  <c r="T64" i="35"/>
  <c r="S64" i="35"/>
  <c r="T63" i="35"/>
  <c r="S63" i="35"/>
  <c r="T62" i="35"/>
  <c r="S62" i="35"/>
  <c r="T61" i="35"/>
  <c r="S61" i="35"/>
  <c r="T60" i="35"/>
  <c r="S60" i="35"/>
  <c r="AK60" i="35" s="1"/>
  <c r="T55" i="35"/>
  <c r="S55" i="35"/>
  <c r="T54" i="35"/>
  <c r="S54" i="35"/>
  <c r="T53" i="35"/>
  <c r="S53" i="35"/>
  <c r="T52" i="35"/>
  <c r="S52" i="35"/>
  <c r="T51" i="35"/>
  <c r="S51" i="35"/>
  <c r="T50" i="35"/>
  <c r="S50" i="35"/>
  <c r="T49" i="35"/>
  <c r="S49" i="35"/>
  <c r="T48" i="35"/>
  <c r="S48" i="35"/>
  <c r="T47" i="35"/>
  <c r="S47" i="35"/>
  <c r="T46" i="35"/>
  <c r="S46" i="35"/>
  <c r="T45" i="35"/>
  <c r="S45" i="35"/>
  <c r="T44" i="35"/>
  <c r="S44" i="35"/>
  <c r="T43" i="35"/>
  <c r="S43" i="35"/>
  <c r="T42" i="35"/>
  <c r="S42" i="35"/>
  <c r="T41" i="35"/>
  <c r="S41" i="35"/>
  <c r="T40" i="35"/>
  <c r="S40" i="35"/>
  <c r="T39" i="35"/>
  <c r="S39" i="35"/>
  <c r="T38" i="35"/>
  <c r="S38" i="35"/>
  <c r="T37" i="35"/>
  <c r="S37" i="35"/>
  <c r="T36" i="35"/>
  <c r="S36" i="35"/>
  <c r="T35" i="35"/>
  <c r="S35" i="35"/>
  <c r="T30" i="35"/>
  <c r="S30" i="35"/>
  <c r="AK30" i="35" s="1"/>
  <c r="T29" i="35"/>
  <c r="S29" i="35"/>
  <c r="AK29" i="35" s="1"/>
  <c r="T28" i="35"/>
  <c r="S28" i="35"/>
  <c r="AK28" i="35" s="1"/>
  <c r="T27" i="35"/>
  <c r="S27" i="35"/>
  <c r="T26" i="35"/>
  <c r="S26" i="35"/>
  <c r="T25" i="35"/>
  <c r="S25" i="35"/>
  <c r="AK25" i="35" s="1"/>
  <c r="T24" i="35"/>
  <c r="S24" i="35"/>
  <c r="T23" i="35"/>
  <c r="S23" i="35"/>
  <c r="T22" i="35"/>
  <c r="S22" i="35"/>
  <c r="T21" i="35"/>
  <c r="S21" i="35"/>
  <c r="T20" i="35"/>
  <c r="S20" i="35"/>
  <c r="T19" i="35"/>
  <c r="S19" i="35"/>
  <c r="T18" i="35"/>
  <c r="S18" i="35"/>
  <c r="T17" i="35"/>
  <c r="S17" i="35"/>
  <c r="T16" i="35"/>
  <c r="S16" i="35"/>
  <c r="T15" i="35"/>
  <c r="S15" i="35"/>
  <c r="T14" i="35"/>
  <c r="S14" i="35"/>
  <c r="T13" i="35"/>
  <c r="S13" i="35"/>
  <c r="T12" i="35"/>
  <c r="S12" i="35"/>
  <c r="T11" i="35"/>
  <c r="S11" i="35"/>
  <c r="T10" i="35"/>
  <c r="S10" i="35"/>
  <c r="AK10" i="35" s="1"/>
  <c r="T9" i="35"/>
  <c r="S9" i="35"/>
  <c r="CQ7" i="35"/>
  <c r="CH7" i="35"/>
  <c r="BY7" i="35"/>
  <c r="BP7" i="35"/>
  <c r="BG7" i="35"/>
  <c r="AX7" i="35"/>
  <c r="AF7" i="35"/>
  <c r="W7" i="35"/>
  <c r="CQ6" i="35"/>
  <c r="CH6" i="35"/>
  <c r="BY6" i="35"/>
  <c r="BP6" i="35"/>
  <c r="BG6" i="35"/>
  <c r="AX6" i="35"/>
  <c r="AF6" i="35"/>
  <c r="W6" i="35"/>
  <c r="CQ5" i="35"/>
  <c r="CO5" i="35"/>
  <c r="CH5" i="35"/>
  <c r="CF5" i="35"/>
  <c r="BY5" i="35"/>
  <c r="BW5" i="35"/>
  <c r="BP5" i="35"/>
  <c r="BN5" i="35"/>
  <c r="BG5" i="35"/>
  <c r="BE5" i="35"/>
  <c r="AX5" i="35"/>
  <c r="AV5" i="35"/>
  <c r="AF5" i="35"/>
  <c r="AD5" i="35"/>
  <c r="W5" i="35"/>
  <c r="U5" i="35"/>
  <c r="CQ4" i="35"/>
  <c r="CO4" i="35"/>
  <c r="CH4" i="35"/>
  <c r="CF4" i="35"/>
  <c r="BY4" i="35"/>
  <c r="BW4" i="35"/>
  <c r="BP4" i="35"/>
  <c r="BN4" i="35"/>
  <c r="BG4" i="35"/>
  <c r="BE4" i="35"/>
  <c r="AX4" i="35"/>
  <c r="AV4" i="35"/>
  <c r="AF4" i="35"/>
  <c r="AD4" i="35"/>
  <c r="W4" i="35"/>
  <c r="U4" i="35"/>
  <c r="E2" i="35"/>
  <c r="AM14" i="22" l="1"/>
  <c r="AM20" i="22"/>
  <c r="AM26" i="22"/>
  <c r="AM62" i="22"/>
  <c r="AM68" i="22"/>
  <c r="AM91" i="22"/>
  <c r="AM97" i="22"/>
  <c r="AM105" i="22"/>
  <c r="AM111" i="22"/>
  <c r="AM123" i="22"/>
  <c r="AM165" i="22"/>
  <c r="AK26" i="35"/>
  <c r="AK64" i="35"/>
  <c r="AK63" i="35"/>
  <c r="AK9" i="35"/>
  <c r="AK27" i="35"/>
  <c r="AK65" i="35"/>
  <c r="AM162" i="22"/>
  <c r="AM9" i="22"/>
  <c r="AM15" i="22"/>
  <c r="AM21" i="22"/>
  <c r="AM27" i="22"/>
  <c r="AM33" i="22"/>
  <c r="AM12" i="22"/>
  <c r="AM18" i="22"/>
  <c r="AM30" i="22"/>
  <c r="AM60" i="22"/>
  <c r="AM76" i="22"/>
  <c r="AM93" i="22"/>
  <c r="AM99" i="22"/>
  <c r="AM102" i="22"/>
  <c r="AM109" i="22"/>
  <c r="AM115" i="22"/>
  <c r="AM126" i="22"/>
  <c r="AM156" i="22"/>
  <c r="AM159" i="22"/>
  <c r="AM164" i="22"/>
  <c r="A2" i="33"/>
  <c r="CI24" i="33"/>
  <c r="CH24" i="33"/>
  <c r="BZ24" i="33"/>
  <c r="BY24" i="33"/>
  <c r="BQ24" i="33"/>
  <c r="BP24" i="33"/>
  <c r="BH24" i="33"/>
  <c r="BG24" i="33"/>
  <c r="AY24" i="33"/>
  <c r="AX24" i="33"/>
  <c r="AP24" i="33"/>
  <c r="AO24" i="33"/>
  <c r="O24" i="33"/>
  <c r="N24" i="33"/>
  <c r="AF24" i="33" s="1"/>
  <c r="CI23" i="33"/>
  <c r="CH23" i="33"/>
  <c r="BZ23" i="33"/>
  <c r="BY23" i="33"/>
  <c r="BQ23" i="33"/>
  <c r="BP23" i="33"/>
  <c r="BH23" i="33"/>
  <c r="BG23" i="33"/>
  <c r="AY23" i="33"/>
  <c r="AX23" i="33"/>
  <c r="AP23" i="33"/>
  <c r="AO23" i="33"/>
  <c r="O23" i="33"/>
  <c r="N23" i="33"/>
  <c r="AF23" i="33" s="1"/>
  <c r="O22" i="33"/>
  <c r="N22" i="33"/>
  <c r="O21" i="33"/>
  <c r="N21" i="33"/>
  <c r="AF21" i="33" s="1"/>
  <c r="O20" i="33"/>
  <c r="N20" i="33"/>
  <c r="O19" i="33"/>
  <c r="N19" i="33"/>
  <c r="AF19" i="33" s="1"/>
  <c r="O18" i="33"/>
  <c r="N18" i="33"/>
  <c r="AF18" i="33" s="1"/>
  <c r="O17" i="33"/>
  <c r="N17" i="33"/>
  <c r="AF17" i="33" s="1"/>
  <c r="O16" i="33"/>
  <c r="N16" i="33"/>
  <c r="O15" i="33"/>
  <c r="N15" i="33"/>
  <c r="AF15" i="33" s="1"/>
  <c r="O14" i="33"/>
  <c r="N14" i="33"/>
  <c r="O13" i="33"/>
  <c r="N13" i="33"/>
  <c r="AF13" i="33" s="1"/>
  <c r="O12" i="33"/>
  <c r="N12" i="33"/>
  <c r="AF12" i="33" s="1"/>
  <c r="O11" i="33"/>
  <c r="N11" i="33"/>
  <c r="AF11" i="33" s="1"/>
  <c r="O10" i="33"/>
  <c r="N10" i="33"/>
  <c r="O9" i="33"/>
  <c r="N9" i="33"/>
  <c r="AF9" i="33" s="1"/>
  <c r="CL7" i="33"/>
  <c r="CC7" i="33"/>
  <c r="BT7" i="33"/>
  <c r="BK7" i="33"/>
  <c r="BB7" i="33"/>
  <c r="AS7" i="33"/>
  <c r="R7" i="33"/>
  <c r="CL6" i="33"/>
  <c r="CC6" i="33"/>
  <c r="BT6" i="33"/>
  <c r="BK6" i="33"/>
  <c r="BB6" i="33"/>
  <c r="AS6" i="33"/>
  <c r="R6" i="33"/>
  <c r="CL5" i="33"/>
  <c r="CJ5" i="33"/>
  <c r="CC5" i="33"/>
  <c r="CA5" i="33"/>
  <c r="BT5" i="33"/>
  <c r="BR5" i="33"/>
  <c r="BK5" i="33"/>
  <c r="BI5" i="33"/>
  <c r="BB5" i="33"/>
  <c r="AZ5" i="33"/>
  <c r="AS5" i="33"/>
  <c r="AQ5" i="33"/>
  <c r="R5" i="33"/>
  <c r="P5" i="33"/>
  <c r="CL4" i="33"/>
  <c r="CJ4" i="33"/>
  <c r="CC4" i="33"/>
  <c r="CA4" i="33"/>
  <c r="BT4" i="33"/>
  <c r="BR4" i="33"/>
  <c r="BK4" i="33"/>
  <c r="BI4" i="33"/>
  <c r="BB4" i="33"/>
  <c r="AZ4" i="33"/>
  <c r="AS4" i="33"/>
  <c r="AQ4" i="33"/>
  <c r="R4" i="33"/>
  <c r="P4" i="33"/>
  <c r="C34" i="32"/>
  <c r="C33" i="32"/>
  <c r="AF10" i="33" l="1"/>
  <c r="AF16" i="33"/>
  <c r="AF22" i="33"/>
  <c r="AF14" i="33"/>
  <c r="AF20" i="33"/>
  <c r="G2" i="22"/>
  <c r="CS7" i="22" l="1"/>
  <c r="CJ7" i="22"/>
  <c r="CA7" i="22"/>
  <c r="BR7" i="22"/>
  <c r="BI7" i="22"/>
  <c r="AZ7" i="22"/>
  <c r="AH7" i="22"/>
  <c r="P7" i="22"/>
  <c r="CS6" i="22"/>
  <c r="CJ6" i="22"/>
  <c r="CA6" i="22"/>
  <c r="BR6" i="22"/>
  <c r="BI6" i="22"/>
  <c r="AZ6" i="22"/>
  <c r="AH6" i="22"/>
  <c r="P6" i="22"/>
  <c r="CS5" i="22"/>
  <c r="CQ5" i="22"/>
  <c r="CJ5" i="22"/>
  <c r="CH5" i="22"/>
  <c r="CA5" i="22"/>
  <c r="BY5" i="22"/>
  <c r="BR5" i="22"/>
  <c r="BP5" i="22"/>
  <c r="BI5" i="22"/>
  <c r="BG5" i="22"/>
  <c r="AZ5" i="22"/>
  <c r="AX5" i="22"/>
  <c r="AH5" i="22"/>
  <c r="AF5" i="22"/>
  <c r="P5" i="22"/>
  <c r="N5" i="22"/>
  <c r="CS4" i="22"/>
  <c r="CQ4" i="22"/>
  <c r="CJ4" i="22"/>
  <c r="CH4" i="22"/>
  <c r="CA4" i="22"/>
  <c r="BY4" i="22"/>
  <c r="BR4" i="22"/>
  <c r="BP4" i="22"/>
  <c r="BI4" i="22"/>
  <c r="BG4" i="22"/>
  <c r="AZ4" i="22"/>
  <c r="AX4" i="22"/>
  <c r="AH4" i="22"/>
  <c r="AF4" i="22"/>
  <c r="P4" i="22"/>
  <c r="N4" i="22"/>
</calcChain>
</file>

<file path=xl/comments1.xml><?xml version="1.0" encoding="utf-8"?>
<comments xmlns="http://schemas.openxmlformats.org/spreadsheetml/2006/main">
  <authors>
    <author>MOHANDAS LAOUROU</author>
  </authors>
  <commentList>
    <comment ref="F4" authorId="0">
      <text>
        <r>
          <rPr>
            <b/>
            <sz val="9"/>
            <color indexed="81"/>
            <rFont val="Tahoma"/>
            <family val="2"/>
          </rPr>
          <t>MOHANDAS LAOUROU:</t>
        </r>
        <r>
          <rPr>
            <sz val="9"/>
            <color indexed="81"/>
            <rFont val="Tahoma"/>
            <family val="2"/>
          </rPr>
          <t xml:space="preserve">
Applicable specification release in the current allocation matrix version </t>
        </r>
      </text>
    </comment>
  </commentList>
</comments>
</file>

<file path=xl/comments2.xml><?xml version="1.0" encoding="utf-8"?>
<comments xmlns="http://schemas.openxmlformats.org/spreadsheetml/2006/main">
  <authors>
    <author>MOHANDAS LAOUROU</author>
  </authors>
  <commentList>
    <comment ref="B10" authorId="0">
      <text>
        <r>
          <rPr>
            <b/>
            <sz val="9"/>
            <color indexed="81"/>
            <rFont val="Tahoma"/>
            <family val="2"/>
          </rPr>
          <t>1 Mp (Megapixel) = 1 000 000 pixels</t>
        </r>
      </text>
    </comment>
    <comment ref="B11" authorId="0">
      <text>
        <r>
          <rPr>
            <b/>
            <sz val="9"/>
            <color indexed="81"/>
            <rFont val="Tahoma"/>
            <family val="2"/>
          </rPr>
          <t>1 Mp (Megapixel) = 1 000 000 pixels</t>
        </r>
      </text>
    </comment>
    <comment ref="B21" authorId="0">
      <text>
        <r>
          <rPr>
            <b/>
            <sz val="9"/>
            <color indexed="81"/>
            <rFont val="Tahoma"/>
            <family val="2"/>
          </rPr>
          <t>Kbps = Kilobit per second
1 Kbps = 1 000 bit per second</t>
        </r>
      </text>
    </comment>
    <comment ref="B33" authorId="0">
      <text>
        <r>
          <rPr>
            <b/>
            <sz val="9"/>
            <color indexed="81"/>
            <rFont val="Tahoma"/>
            <family val="2"/>
          </rPr>
          <t>1 KHz = 1 000 Hz or pixels per second
1 MHz = 1 000 000 Hz or pixels per second</t>
        </r>
      </text>
    </comment>
  </commentList>
</comments>
</file>

<file path=xl/comments3.xml><?xml version="1.0" encoding="utf-8"?>
<comments xmlns="http://schemas.openxmlformats.org/spreadsheetml/2006/main">
  <authors>
    <author>JULIEN POUSSARD - U266726</author>
  </authors>
  <commentList>
    <comment ref="M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O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V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X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E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G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N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P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W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Y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F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H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O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Q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X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Z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G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I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P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R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F8" authorId="0">
      <text>
        <r>
          <rPr>
            <sz val="9"/>
            <color indexed="81"/>
            <rFont val="宋体"/>
            <family val="2"/>
            <scheme val="minor"/>
          </rPr>
          <t>- Numéro de l’exigence générique se trouvant dans les spécifications de l'onglet ''document''
- Requirement identifier based on technical specifications in sheet ''Documents''</t>
        </r>
      </text>
    </comment>
    <comment ref="G8" authorId="0">
      <text>
        <r>
          <rPr>
            <sz val="9"/>
            <color indexed="81"/>
            <rFont val="宋体"/>
            <family val="2"/>
            <scheme val="minor"/>
          </rPr>
          <t>- Numéro de l’exigence générique se trouvant dans les spécifications de l'onglet ''document''
- Requirement identifier based on technical specifications in sheet ''Documents''</t>
        </r>
      </text>
    </comment>
    <comment ref="H8" authorId="0">
      <text>
        <r>
          <rPr>
            <sz val="9"/>
            <color indexed="81"/>
            <rFont val="宋体"/>
            <family val="2"/>
            <scheme val="minor"/>
          </rPr>
          <t>-Titre de l’exigence générique se trouvant dans les spécifications de l'onglet ''document''
- Requirement title based on technical specifications in sheet ''Documents''</t>
        </r>
      </text>
    </comment>
    <comment ref="I8" authorId="0">
      <text>
        <r>
          <rPr>
            <sz val="9"/>
            <color indexed="81"/>
            <rFont val="Tahoma"/>
            <family val="2"/>
          </rPr>
          <t>- Libellé de l’exigence (Le texte complet de l’exigence se trouve dans les spécifications de l'onglet ''Documents'')
- Requirement description (Full requirement description is in specifications in sheet ''Documents'')</t>
        </r>
      </text>
    </comment>
    <comment ref="L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S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B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K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T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C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L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U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CD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CM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List>
</comments>
</file>

<file path=xl/comments4.xml><?xml version="1.0" encoding="utf-8"?>
<comments xmlns="http://schemas.openxmlformats.org/spreadsheetml/2006/main">
  <authors>
    <author>JULIEN POUSSARD - U266726</author>
    <author>MOHANDAS LAOUROU</author>
  </authors>
  <commentList>
    <comment ref="N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P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W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Y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F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H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O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Q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X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Z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G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I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P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R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Y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A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H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J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Q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S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G8" authorId="0">
      <text>
        <r>
          <rPr>
            <sz val="9"/>
            <color indexed="81"/>
            <rFont val="宋体"/>
            <family val="2"/>
            <scheme val="minor"/>
          </rPr>
          <t>- Numéro de l’exigence générique se trouvant dans les spécifications de l'onglet ''document''
- Requirement identifier based on technical specifications in sheet ''Documents''</t>
        </r>
      </text>
    </comment>
    <comment ref="H8" authorId="0">
      <text>
        <r>
          <rPr>
            <sz val="9"/>
            <color indexed="81"/>
            <rFont val="宋体"/>
            <family val="2"/>
            <scheme val="minor"/>
          </rPr>
          <t>- Numéro de l’exigence générique se trouvant dans les spécifications de l'onglet ''document''
- Requirement identifier based on technical specifications in sheet ''Documents''</t>
        </r>
      </text>
    </comment>
    <comment ref="I8" authorId="0">
      <text>
        <r>
          <rPr>
            <sz val="9"/>
            <color indexed="81"/>
            <rFont val="宋体"/>
            <family val="2"/>
            <scheme val="minor"/>
          </rPr>
          <t>-Titre de l’exigence générique se trouvant dans les spécifications de l'onglet ''document''
- Requirement title based on technical specifications in sheet ''Documents''</t>
        </r>
      </text>
    </comment>
    <comment ref="J8" authorId="0">
      <text>
        <r>
          <rPr>
            <sz val="9"/>
            <color indexed="81"/>
            <rFont val="Tahoma"/>
            <family val="2"/>
          </rPr>
          <t>- Libellé de l’exigence (Le texte complet de l’exigence se trouve dans les spécifications de l'onglet ''Documents'')
- Requirement description (Full requirement description is in specifications in sheet ''Documents'')</t>
        </r>
      </text>
    </comment>
    <comment ref="M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T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C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L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U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D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M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V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CE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CN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J58" authorId="1">
      <text>
        <r>
          <rPr>
            <b/>
            <sz val="9"/>
            <color indexed="81"/>
            <rFont val="Tahoma"/>
            <family val="2"/>
          </rPr>
          <t>MOHANDAS LAOUROU:</t>
        </r>
        <r>
          <rPr>
            <sz val="9"/>
            <color indexed="81"/>
            <rFont val="Tahoma"/>
            <family val="2"/>
          </rPr>
          <t xml:space="preserve">
REQ-0894471 A → Layout correction</t>
        </r>
      </text>
    </comment>
    <comment ref="J66" authorId="1">
      <text>
        <r>
          <rPr>
            <b/>
            <sz val="9"/>
            <color indexed="81"/>
            <rFont val="Tahoma"/>
            <family val="2"/>
          </rPr>
          <t>MOHANDAS LAOUROU:</t>
        </r>
        <r>
          <rPr>
            <sz val="9"/>
            <color indexed="81"/>
            <rFont val="Tahoma"/>
            <family val="2"/>
          </rPr>
          <t xml:space="preserve">
REQ-0894479 A
Title: Root ECU node: Ttrans_timeout_WRITE = 900 µs
Description:The root ECU node shall apply a timer Ttrans_timeout_WRITE = 900µs.</t>
        </r>
      </text>
    </comment>
    <comment ref="J67" authorId="1">
      <text>
        <r>
          <rPr>
            <b/>
            <sz val="9"/>
            <color indexed="81"/>
            <rFont val="Tahoma"/>
            <family val="2"/>
          </rPr>
          <t>MOHANDAS LAOUROU:</t>
        </r>
        <r>
          <rPr>
            <sz val="9"/>
            <color indexed="81"/>
            <rFont val="Tahoma"/>
            <family val="2"/>
          </rPr>
          <t xml:space="preserve">
REQ-0894480 A
Title: Leaf ECU node: Trecep_timeout_WRITE = 900 µs
Description: The leaf ECU node shall apply a timer Ttrans_timeout_WRITE = 900µs.</t>
        </r>
      </text>
    </comment>
    <comment ref="J73" authorId="1">
      <text>
        <r>
          <rPr>
            <b/>
            <sz val="9"/>
            <color indexed="81"/>
            <rFont val="Tahoma"/>
            <family val="2"/>
          </rPr>
          <t>MOHANDAS LAOUROU:</t>
        </r>
        <r>
          <rPr>
            <sz val="9"/>
            <color indexed="81"/>
            <rFont val="Tahoma"/>
            <family val="2"/>
          </rPr>
          <t xml:space="preserve">
REQ-0894486 A
</t>
        </r>
        <r>
          <rPr>
            <b/>
            <sz val="9"/>
            <color indexed="81"/>
            <rFont val="Tahoma"/>
            <family val="2"/>
          </rPr>
          <t>Title</t>
        </r>
        <r>
          <rPr>
            <sz val="9"/>
            <color indexed="81"/>
            <rFont val="Tahoma"/>
            <family val="2"/>
          </rPr>
          <t xml:space="preserve">: Root ECU node: Trecep_timeout_READ = 1900µs for DATA length ≥ 10 bytes
</t>
        </r>
        <r>
          <rPr>
            <b/>
            <sz val="9"/>
            <color indexed="81"/>
            <rFont val="Tahoma"/>
            <family val="2"/>
          </rPr>
          <t>Description</t>
        </r>
        <r>
          <rPr>
            <sz val="9"/>
            <color indexed="81"/>
            <rFont val="Tahoma"/>
            <family val="2"/>
          </rPr>
          <t>: The root ECU node shall apply a timer Trecep_timeout_READ = 1900µs for DATA length higher or equal to 10 bytes.</t>
        </r>
      </text>
    </comment>
    <comment ref="J74" authorId="1">
      <text>
        <r>
          <rPr>
            <b/>
            <sz val="9"/>
            <color indexed="81"/>
            <rFont val="Tahoma"/>
            <family val="2"/>
          </rPr>
          <t>MOHANDAS LAOUROU:</t>
        </r>
        <r>
          <rPr>
            <sz val="9"/>
            <color indexed="81"/>
            <rFont val="Tahoma"/>
            <family val="2"/>
          </rPr>
          <t xml:space="preserve">
REQ-0894488 A
</t>
        </r>
        <r>
          <rPr>
            <b/>
            <sz val="9"/>
            <color indexed="81"/>
            <rFont val="Tahoma"/>
            <family val="2"/>
          </rPr>
          <t>Title</t>
        </r>
        <r>
          <rPr>
            <sz val="9"/>
            <color indexed="81"/>
            <rFont val="Tahoma"/>
            <family val="2"/>
          </rPr>
          <t xml:space="preserve">: Leaf ECU node: Ttrans_timeout_READ = 1900µs for DATA length ≥ 10 bytes
</t>
        </r>
        <r>
          <rPr>
            <b/>
            <sz val="9"/>
            <color indexed="81"/>
            <rFont val="Tahoma"/>
            <family val="2"/>
          </rPr>
          <t>Description</t>
        </r>
        <r>
          <rPr>
            <sz val="9"/>
            <color indexed="81"/>
            <rFont val="Tahoma"/>
            <family val="2"/>
          </rPr>
          <t xml:space="preserve">: The leaf ECU node shall apply a timer Ttrans_timeout_READ = 1900µs for DATA length higher or equal to 10 bytes.
</t>
        </r>
      </text>
    </comment>
    <comment ref="J85" authorId="1">
      <text>
        <r>
          <rPr>
            <b/>
            <sz val="9"/>
            <color indexed="81"/>
            <rFont val="Tahoma"/>
            <family val="2"/>
          </rPr>
          <t>MOHANDAS LAOUROU:</t>
        </r>
        <r>
          <rPr>
            <sz val="9"/>
            <color indexed="81"/>
            <rFont val="Tahoma"/>
            <family val="2"/>
          </rPr>
          <t xml:space="preserve">
REQ-0894499 A
</t>
        </r>
        <r>
          <rPr>
            <b/>
            <sz val="9"/>
            <color indexed="81"/>
            <rFont val="Tahoma"/>
            <family val="2"/>
          </rPr>
          <t>Title</t>
        </r>
        <r>
          <rPr>
            <sz val="9"/>
            <color indexed="81"/>
            <rFont val="Tahoma"/>
            <family val="2"/>
          </rPr>
          <t xml:space="preserve">: Root ECU node: WRITE frame 1ms Schedule table Time slot 
</t>
        </r>
        <r>
          <rPr>
            <b/>
            <sz val="9"/>
            <color indexed="81"/>
            <rFont val="Tahoma"/>
            <family val="2"/>
          </rPr>
          <t>Description</t>
        </r>
        <r>
          <rPr>
            <sz val="9"/>
            <color indexed="81"/>
            <rFont val="Tahoma"/>
            <family val="2"/>
          </rPr>
          <t>: The root ECU node shall apply a 1ms time slot of the schedule table for the transmission of a WRITE frame.</t>
        </r>
      </text>
    </comment>
    <comment ref="J86" authorId="1">
      <text>
        <r>
          <rPr>
            <b/>
            <sz val="9"/>
            <color indexed="81"/>
            <rFont val="Tahoma"/>
            <family val="2"/>
          </rPr>
          <t>MOHANDAS LAOUROU:</t>
        </r>
        <r>
          <rPr>
            <sz val="9"/>
            <color indexed="81"/>
            <rFont val="Tahoma"/>
            <family val="2"/>
          </rPr>
          <t xml:space="preserve">
REQ-0894501 A
</t>
        </r>
        <r>
          <rPr>
            <b/>
            <sz val="9"/>
            <color indexed="81"/>
            <rFont val="Tahoma"/>
            <family val="2"/>
          </rPr>
          <t>Title</t>
        </r>
        <r>
          <rPr>
            <sz val="9"/>
            <color indexed="81"/>
            <rFont val="Tahoma"/>
            <family val="2"/>
          </rPr>
          <t xml:space="preserve">: Root ECU node:
HEADER and READ frame with DATA ≥ 10 bytes 2ms Schedule table Time slot
</t>
        </r>
        <r>
          <rPr>
            <b/>
            <sz val="9"/>
            <color indexed="81"/>
            <rFont val="Tahoma"/>
            <family val="2"/>
          </rPr>
          <t>Description</t>
        </r>
        <r>
          <rPr>
            <sz val="9"/>
            <color indexed="81"/>
            <rFont val="Tahoma"/>
            <family val="2"/>
          </rPr>
          <t>: The root ECU node shall comply to a 2ms time slot of the schedule table for the communication of a HEADER frame followed by a READ frame with a DATA length higher or equal to 10 bytes.</t>
        </r>
      </text>
    </comment>
    <comment ref="J92" authorId="1">
      <text>
        <r>
          <rPr>
            <b/>
            <sz val="9"/>
            <color indexed="81"/>
            <rFont val="Tahoma"/>
            <family val="2"/>
          </rPr>
          <t>MOHANDAS LAOUROU:</t>
        </r>
        <r>
          <rPr>
            <sz val="9"/>
            <color indexed="81"/>
            <rFont val="Tahoma"/>
            <family val="2"/>
          </rPr>
          <t xml:space="preserve">
REQ-0894506 A
</t>
        </r>
        <r>
          <rPr>
            <b/>
            <sz val="9"/>
            <color indexed="81"/>
            <rFont val="Tahoma"/>
            <family val="2"/>
          </rPr>
          <t>Title</t>
        </r>
        <r>
          <rPr>
            <sz val="9"/>
            <color indexed="81"/>
            <rFont val="Tahoma"/>
            <family val="2"/>
          </rPr>
          <t xml:space="preserve">: ECU node: Checksum verification
</t>
        </r>
        <r>
          <rPr>
            <b/>
            <sz val="9"/>
            <color indexed="81"/>
            <rFont val="Tahoma"/>
            <family val="2"/>
          </rPr>
          <t>Description</t>
        </r>
        <r>
          <rPr>
            <sz val="9"/>
            <color indexed="81"/>
            <rFont val="Tahoma"/>
            <family val="2"/>
          </rPr>
          <t>:
The ECU node shall recognize a checksum error when checksum verification is different from 0xFF.
Checksum verification = (DEV_ADDR + ID + DLC + Ʃ[Di]) mod 0xFF + CSUM
• Ʃ[Di] represents the sum of all data bytes of the received frame.</t>
        </r>
      </text>
    </comment>
  </commentList>
</comments>
</file>

<file path=xl/comments5.xml><?xml version="1.0" encoding="utf-8"?>
<comments xmlns="http://schemas.openxmlformats.org/spreadsheetml/2006/main">
  <authors>
    <author>JULIEN POUSSARD - U266726</author>
    <author>MOHANDAS LAOUROU</author>
  </authors>
  <commentList>
    <comment ref="L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N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U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W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D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F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M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O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V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X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E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G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N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P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W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Y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F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H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O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Q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E8" authorId="0">
      <text>
        <r>
          <rPr>
            <sz val="9"/>
            <color indexed="81"/>
            <rFont val="宋体"/>
            <family val="2"/>
            <scheme val="minor"/>
          </rPr>
          <t>- Numéro de l’exigence générique se trouvant dans les spécifications de l'onglet ''document''
- Requirement identifier based on technical specifications in sheet ''Documents''</t>
        </r>
      </text>
    </comment>
    <comment ref="F8" authorId="0">
      <text>
        <r>
          <rPr>
            <sz val="9"/>
            <color indexed="81"/>
            <rFont val="宋体"/>
            <family val="2"/>
            <scheme val="minor"/>
          </rPr>
          <t>- Numéro de l’exigence générique se trouvant dans les spécifications de l'onglet ''document''
- Requirement identifier based on technical specifications in sheet ''Documents''</t>
        </r>
      </text>
    </comment>
    <comment ref="G8" authorId="0">
      <text>
        <r>
          <rPr>
            <sz val="9"/>
            <color indexed="81"/>
            <rFont val="宋体"/>
            <family val="2"/>
            <scheme val="minor"/>
          </rPr>
          <t>-Titre de l’exigence générique se trouvant dans les spécifications de l'onglet ''document''
- Requirement title based on technical specifications in sheet ''Documents''</t>
        </r>
      </text>
    </comment>
    <comment ref="H8" authorId="0">
      <text>
        <r>
          <rPr>
            <sz val="9"/>
            <color indexed="81"/>
            <rFont val="Tahoma"/>
            <family val="2"/>
          </rPr>
          <t>- Libellé de l’exigence (Le texte complet de l’exigence se trouve dans les spécifications de l'onglet ''Documents'')
- Requirement description (Full requirement description is in specifications in sheet ''Documents'')</t>
        </r>
      </text>
    </comment>
    <comment ref="K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R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A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J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S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B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K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T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CC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CL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H25" authorId="1">
      <text>
        <r>
          <rPr>
            <b/>
            <sz val="9"/>
            <color indexed="81"/>
            <rFont val="Tahoma"/>
            <charset val="1"/>
          </rPr>
          <t>MOHANDAS LAOUROU:</t>
        </r>
        <r>
          <rPr>
            <sz val="9"/>
            <color indexed="81"/>
            <rFont val="Tahoma"/>
            <charset val="1"/>
          </rPr>
          <t xml:space="preserve">
REQ-0892712 A
</t>
        </r>
        <r>
          <rPr>
            <b/>
            <sz val="9"/>
            <color indexed="81"/>
            <rFont val="Tahoma"/>
            <family val="2"/>
          </rPr>
          <t>Title</t>
        </r>
        <r>
          <rPr>
            <sz val="9"/>
            <color indexed="81"/>
            <rFont val="Tahoma"/>
            <charset val="1"/>
          </rPr>
          <t xml:space="preserve">: 
Leaf ECU node: 
Display use case
I2C
Tr0 transition 
From OFF_NODE state 
to INIT state
</t>
        </r>
        <r>
          <rPr>
            <b/>
            <sz val="9"/>
            <color indexed="81"/>
            <rFont val="Tahoma"/>
            <family val="2"/>
          </rPr>
          <t>Description:</t>
        </r>
        <r>
          <rPr>
            <sz val="9"/>
            <color indexed="81"/>
            <rFont val="Tahoma"/>
            <charset val="1"/>
          </rPr>
          <t xml:space="preserve">
The leaf ECU node shall apply the following conditions from OFF_NODE state to INIT state:
Transition From OFF_NODE
to INIT
Conditions </t>
        </r>
        <r>
          <rPr>
            <b/>
            <sz val="9"/>
            <color indexed="81"/>
            <rFont val="Tahoma"/>
            <family val="2"/>
          </rPr>
          <t>Power up of the ECU</t>
        </r>
        <r>
          <rPr>
            <sz val="9"/>
            <color indexed="81"/>
            <rFont val="Tahoma"/>
            <charset val="1"/>
          </rPr>
          <t xml:space="preserve">
Actions The leaf ECU node LVDS bi-dir network management shall switch into INIT state.
 The leaf ECU node shall disable frame receiving and sending on the Pass-Through control channel.
 The leaf ECU node shall disable access to the registers of deserializer on the main control channel by the root ECU node.
 The leaf ECU node shall initialize the LVDS low layers during Tinit_LVDS_leaf.
Ref state diagram Tr0</t>
        </r>
      </text>
    </comment>
    <comment ref="H26" authorId="1">
      <text>
        <r>
          <rPr>
            <b/>
            <sz val="9"/>
            <color indexed="81"/>
            <rFont val="Tahoma"/>
            <family val="2"/>
          </rPr>
          <t>MOHANDAS LAOUROU:</t>
        </r>
        <r>
          <rPr>
            <sz val="9"/>
            <color indexed="81"/>
            <rFont val="Tahoma"/>
            <family val="2"/>
          </rPr>
          <t xml:space="preserve">
REQ-0892752 A
</t>
        </r>
        <r>
          <rPr>
            <b/>
            <sz val="9"/>
            <color indexed="81"/>
            <rFont val="Tahoma"/>
            <family val="2"/>
          </rPr>
          <t>Title:</t>
        </r>
        <r>
          <rPr>
            <sz val="9"/>
            <color indexed="81"/>
            <rFont val="Tahoma"/>
            <family val="2"/>
          </rPr>
          <t xml:space="preserve"> 
Leaf ECU node: 
Display use case 
I2C
Tr1 transition 
From INIT state 
to NORMAL state
</t>
        </r>
        <r>
          <rPr>
            <b/>
            <sz val="9"/>
            <color indexed="81"/>
            <rFont val="Tahoma"/>
            <family val="2"/>
          </rPr>
          <t>Description:</t>
        </r>
        <r>
          <rPr>
            <sz val="9"/>
            <color indexed="81"/>
            <rFont val="Tahoma"/>
            <family val="2"/>
          </rPr>
          <t xml:space="preserve">
The leaf ECU node shall apply the following conditions from INIT state to NORMAL state:
Transition From INIT
to NORMAL
Conditions End of Tinit_LVDS_leaf
Actions The leaf ECU node LVDS bi-dir network management shall switch into NORMAL state.
 The leaf ECU node shall enable frame receiving and sending on the Pass-Through control channel.
 The leaf ECU node shall disable access to the registers of deserializer on the main control channel by the root ECU node.
Ref state diagram Tr1</t>
        </r>
      </text>
    </comment>
  </commentList>
</comments>
</file>

<file path=xl/comments6.xml><?xml version="1.0" encoding="utf-8"?>
<comments xmlns="http://schemas.openxmlformats.org/spreadsheetml/2006/main">
  <authors>
    <author>JULIEN POUSSARD - U266726</author>
  </authors>
  <commentList>
    <comment ref="G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I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P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R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Y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A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H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J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Q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S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Z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B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I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K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R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BT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A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C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J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CL3" authorId="0">
      <text>
        <r>
          <rPr>
            <sz val="9"/>
            <color indexed="81"/>
            <rFont val="Tahoma"/>
            <family val="2"/>
          </rPr>
          <t xml:space="preserve">Le fournisseur indique son engagement sur la tenue de chaque exigence (Statut OK ou NOK). 
Des commentaires peuvent être rajoutés à chaque statut.
</t>
        </r>
        <r>
          <rPr>
            <b/>
            <sz val="9"/>
            <color indexed="81"/>
            <rFont val="Tahoma"/>
            <family val="2"/>
          </rPr>
          <t>Combinaisons possibles : 
FNR            PSA</t>
        </r>
        <r>
          <rPr>
            <sz val="9"/>
            <color indexed="81"/>
            <rFont val="Tahoma"/>
            <family val="2"/>
          </rPr>
          <t xml:space="preserve">
OK              OK                              -&gt; Exigence totalement couverte par le FNR
NOK           STANDBY                 -&gt; Exigence partiellement couverte ou non couverte par le FNR :
                                                                * Déviation possible: dans ce cas on passera le STANDBY PSA à DEVIATION 
                                                                   (en indiquant le lien DocInfo vers la note technique justificative du fournisseur)
                                                                * ou Si modif exigence initiale on garde le STANDBY et on passera à OK à la prochaine livraison 
                                                                * ou si l'exigence est jugée non applicable et acceptée par PSA (la colonne applicabilité sera mise à jour lors de la prochaine livraison)
NOK           NOK                            -&gt; Exigence partiellement couverte ou non couverte par le FNR : Point dur
OK              NOK                            -&gt; combinaison interdite/impossible
NOK           OK                               -&gt; combinaison interdite/impossible
The supplier indicate is undertaking for each requirement (Status OK ou NOK). 
Comments could be added for each status.
</t>
        </r>
        <r>
          <rPr>
            <b/>
            <sz val="9"/>
            <color indexed="81"/>
            <rFont val="Tahoma"/>
            <family val="2"/>
          </rPr>
          <t>Possible combination : 
FNR            PSA</t>
        </r>
        <r>
          <rPr>
            <sz val="9"/>
            <color indexed="81"/>
            <rFont val="Tahoma"/>
            <family val="2"/>
          </rPr>
          <t xml:space="preserve">
OK              OK                              -&gt; Requirement fully covered by FNR
NOK           STANDBY                 -&gt; Requirement partially or not covered by FNR :
                                                                * Deviation possible: in this case the STANDBY PSA will change to DEVIATION 
                                                                   (with indication of Docinfo link of deviation request transmited by FNR)
                                                                * or if modification of the original requirement, STANDBY status is retained and will change to OK for the next delivery
                                                                * or if requirement is not considered not applicable et accepted by PSA (column Application will be update for the next delivery)
NOK           NOK                            -&gt; Requirement partially or not covered by FNR :Blocking point
OK              NOK                            -&gt; combination prohibited
NOK           OK                               -&gt; combination prohibited</t>
        </r>
      </text>
    </comment>
    <comment ref="A8" authorId="0">
      <text>
        <r>
          <rPr>
            <sz val="9"/>
            <color indexed="81"/>
            <rFont val="宋体"/>
            <family val="2"/>
            <scheme val="minor"/>
          </rPr>
          <t>- Numéro de l’exigence générique se trouvant dans les spécifications de l'onglet ''document''
- Requirement identifier based on technical specifications in sheet ''Documents''</t>
        </r>
      </text>
    </comment>
    <comment ref="B8" authorId="0">
      <text>
        <r>
          <rPr>
            <sz val="9"/>
            <color indexed="81"/>
            <rFont val="宋体"/>
            <family val="2"/>
            <scheme val="minor"/>
          </rPr>
          <t>-Titre de l’exigence générique se trouvant dans les spécifications de l'onglet ''document''
- Requirement title based on technical specifications in sheet ''Documents''</t>
        </r>
      </text>
    </comment>
    <comment ref="C8" authorId="0">
      <text>
        <r>
          <rPr>
            <sz val="9"/>
            <color indexed="81"/>
            <rFont val="Tahoma"/>
            <family val="2"/>
          </rPr>
          <t>- Libellé de l’exigence (Le texte complet de l’exigence se trouve dans les spécifications de l'onglet ''Documents'')
- Requirement description (Full requirement description is in specifications in sheet ''Documents'')</t>
        </r>
      </text>
    </comment>
    <comment ref="F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M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V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E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N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AW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F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O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BX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 ref="CG8" authorId="0">
      <text>
        <r>
          <rPr>
            <sz val="9"/>
            <color indexed="81"/>
            <rFont val="Tahoma"/>
            <family val="2"/>
          </rPr>
          <t xml:space="preserve">L’application à l’organe de l’exigence générique des spécifications de l'onglet ''Documents''
est renseignée dans cette colonne par l’intermédiaire de </t>
        </r>
        <r>
          <rPr>
            <b/>
            <sz val="9"/>
            <color indexed="81"/>
            <rFont val="Tahoma"/>
            <family val="2"/>
          </rPr>
          <t>« x »</t>
        </r>
        <r>
          <rPr>
            <sz val="9"/>
            <color indexed="81"/>
            <rFont val="Tahoma"/>
            <family val="2"/>
          </rPr>
          <t xml:space="preserve"> : 
        - Présence de « x » exigence applicable
        - Absence de « x » exigence non applicable
Application to UEC of requirement from specification in sheet ''Documents'' is indicated by </t>
        </r>
        <r>
          <rPr>
            <b/>
            <sz val="9"/>
            <color indexed="81"/>
            <rFont val="Tahoma"/>
            <family val="2"/>
          </rPr>
          <t>« x »</t>
        </r>
        <r>
          <rPr>
            <sz val="9"/>
            <color indexed="81"/>
            <rFont val="Tahoma"/>
            <family val="2"/>
          </rPr>
          <t>: 
        - With « x » applicable requirement
        - Without « x » non-applicable requirement</t>
        </r>
      </text>
    </comment>
  </commentList>
</comments>
</file>

<file path=xl/sharedStrings.xml><?xml version="1.0" encoding="utf-8"?>
<sst xmlns="http://schemas.openxmlformats.org/spreadsheetml/2006/main" count="8992" uniqueCount="2481">
  <si>
    <t>1.0</t>
  </si>
  <si>
    <r>
      <t xml:space="preserve">Conformité
</t>
    </r>
    <r>
      <rPr>
        <b/>
        <sz val="14"/>
        <color rgb="FF0070C0"/>
        <rFont val="Arial"/>
        <family val="2"/>
      </rPr>
      <t>Conformity</t>
    </r>
  </si>
  <si>
    <t>V1</t>
  </si>
  <si>
    <t>Date
RFQ</t>
  </si>
  <si>
    <t>V2</t>
  </si>
  <si>
    <r>
      <t xml:space="preserve">Mise à jour
</t>
    </r>
    <r>
      <rPr>
        <b/>
        <sz val="12"/>
        <color rgb="FF0070C0"/>
        <rFont val="Arial"/>
        <family val="2"/>
      </rPr>
      <t>Update</t>
    </r>
  </si>
  <si>
    <t>V3</t>
  </si>
  <si>
    <t>V4</t>
  </si>
  <si>
    <t>V5</t>
  </si>
  <si>
    <t>V6</t>
  </si>
  <si>
    <t>V7</t>
  </si>
  <si>
    <t>V8</t>
  </si>
  <si>
    <t>V9</t>
  </si>
  <si>
    <t>V10</t>
  </si>
  <si>
    <r>
      <t xml:space="preserve">Réponse FNR
</t>
    </r>
    <r>
      <rPr>
        <i/>
        <sz val="10"/>
        <color indexed="12"/>
        <rFont val="Arial"/>
        <family val="2"/>
      </rPr>
      <t>Answers from the supplier, to be completed by him</t>
    </r>
  </si>
  <si>
    <r>
      <t xml:space="preserve">Réponse PSA
</t>
    </r>
    <r>
      <rPr>
        <i/>
        <sz val="10"/>
        <color indexed="12"/>
        <rFont val="Arial"/>
        <family val="2"/>
      </rPr>
      <t>Answers from PSA, to be completed by PSA</t>
    </r>
  </si>
  <si>
    <r>
      <t xml:space="preserve">Exigences OK
</t>
    </r>
    <r>
      <rPr>
        <i/>
        <sz val="10"/>
        <color indexed="12"/>
        <rFont val="Arial"/>
        <family val="2"/>
      </rPr>
      <t>Requirements OK</t>
    </r>
  </si>
  <si>
    <r>
      <t>Exigences NOK</t>
    </r>
    <r>
      <rPr>
        <i/>
        <sz val="10"/>
        <rFont val="Arial"/>
        <family val="2"/>
      </rPr>
      <t xml:space="preserve">
</t>
    </r>
    <r>
      <rPr>
        <i/>
        <sz val="10"/>
        <color indexed="12"/>
        <rFont val="Arial"/>
        <family val="2"/>
      </rPr>
      <t>Requirements NOK</t>
    </r>
  </si>
  <si>
    <r>
      <t xml:space="preserve">Version de Spécification :
</t>
    </r>
    <r>
      <rPr>
        <b/>
        <sz val="10"/>
        <color rgb="FF0070C0"/>
        <rFont val="Arial"/>
        <family val="2"/>
      </rPr>
      <t>Specification Version :</t>
    </r>
  </si>
  <si>
    <t>/</t>
  </si>
  <si>
    <r>
      <t>DEVIATION</t>
    </r>
    <r>
      <rPr>
        <i/>
        <sz val="10"/>
        <rFont val="Arial"/>
        <family val="2"/>
      </rPr>
      <t xml:space="preserve">
</t>
    </r>
    <r>
      <rPr>
        <i/>
        <sz val="10"/>
        <color indexed="12"/>
        <rFont val="Arial"/>
        <family val="2"/>
      </rPr>
      <t>DEVIATION</t>
    </r>
  </si>
  <si>
    <r>
      <t>STANDBY</t>
    </r>
    <r>
      <rPr>
        <i/>
        <sz val="10"/>
        <rFont val="Arial"/>
        <family val="2"/>
      </rPr>
      <t xml:space="preserve">
</t>
    </r>
    <r>
      <rPr>
        <i/>
        <sz val="10"/>
        <color indexed="12"/>
        <rFont val="Arial"/>
        <family val="2"/>
      </rPr>
      <t>STANDBY</t>
    </r>
  </si>
  <si>
    <r>
      <t xml:space="preserve">Applicable
</t>
    </r>
    <r>
      <rPr>
        <b/>
        <sz val="12"/>
        <color rgb="FF0070C0"/>
        <rFont val="Calibri"/>
        <family val="2"/>
      </rPr>
      <t>Application</t>
    </r>
  </si>
  <si>
    <r>
      <t xml:space="preserve">Conformité
</t>
    </r>
    <r>
      <rPr>
        <i/>
        <sz val="10"/>
        <color indexed="12"/>
        <rFont val="Arial"/>
        <family val="2"/>
      </rPr>
      <t>Conformity</t>
    </r>
  </si>
  <si>
    <r>
      <t xml:space="preserve">Commentaires
</t>
    </r>
    <r>
      <rPr>
        <i/>
        <sz val="10"/>
        <color indexed="12"/>
        <rFont val="Arial"/>
        <family val="2"/>
      </rPr>
      <t>Comments</t>
    </r>
  </si>
  <si>
    <r>
      <t xml:space="preserve">Statut PSA
</t>
    </r>
    <r>
      <rPr>
        <i/>
        <sz val="10"/>
        <color indexed="12"/>
        <rFont val="Arial"/>
        <family val="2"/>
      </rPr>
      <t>PSA's status</t>
    </r>
  </si>
  <si>
    <r>
      <t xml:space="preserve">Evolution de l'exigence
</t>
    </r>
    <r>
      <rPr>
        <b/>
        <sz val="12"/>
        <color rgb="FF0070C0"/>
        <rFont val="Calibri"/>
        <family val="2"/>
      </rPr>
      <t>Requirement updated</t>
    </r>
  </si>
  <si>
    <r>
      <t xml:space="preserve">Evolution de l'applicabilité
</t>
    </r>
    <r>
      <rPr>
        <b/>
        <sz val="12"/>
        <color rgb="FF0070C0"/>
        <rFont val="Calibri"/>
        <family val="2"/>
      </rPr>
      <t>Applicability updated</t>
    </r>
  </si>
  <si>
    <t>02016_12_01755</t>
  </si>
  <si>
    <t>GEN-TS-RESEAU-CP_LVDS_BIDIR.0142(2)</t>
  </si>
  <si>
    <t>GEN-TS-RESEAU-CP_LVDS_BIDIR.0020(3)</t>
  </si>
  <si>
    <t>x</t>
  </si>
  <si>
    <t>3.0</t>
  </si>
  <si>
    <t>Mohandas LAOUROU</t>
  </si>
  <si>
    <t>REVISIONS</t>
  </si>
  <si>
    <t>Release</t>
  </si>
  <si>
    <t>Date</t>
  </si>
  <si>
    <t>Changes</t>
  </si>
  <si>
    <t>Author</t>
  </si>
  <si>
    <t>GEN-TS-RESEAU-CP_LVDS_BIDIR.0299(0)</t>
  </si>
  <si>
    <t>The source ECU node shall have to reconfigure the deserializer of the receiver ECU after recovering from the LVDS BIDIR link disconnection.</t>
  </si>
  <si>
    <t>GEN-TS-RESEAU-CP_LVDS_BIDIR.0067(3)</t>
  </si>
  <si>
    <t>The source ECU node shall have the LVDS BIDIR link back operational within the initialization time defined in the document [9] after recovering from the LVDS BIDIR link disconnection.</t>
  </si>
  <si>
    <t>GEN-TS-RESEAU-CP_LVDS_BIDIR.0066(1)</t>
  </si>
  <si>
    <t>The source ECU node shall have the link back operational within the initialization time defined in the document [9] after recovering from a ground loss.</t>
  </si>
  <si>
    <t>GEN-TS-RESEAU-CP_LVDS_BIDIR.0065(1)</t>
  </si>
  <si>
    <t>The source ECU node shall have the link back operational within the initialization time defined in the document [9] after recovering from a power supply loss.</t>
  </si>
  <si>
    <t>GEN-TS-RESEAU-CP_LVDS_BIDIR.0298(0)</t>
  </si>
  <si>
    <t>The receiver ECU node shall have to reconfigure the serializer of the source ECU after recovering from the LVDS BIDIR link disconnection.</t>
  </si>
  <si>
    <t>GEN-TS-RESEAU-CP_LVDS_BIDIR.0064(1)</t>
  </si>
  <si>
    <t>The receiver ECU node shall have the LVDS BIDIR link back operational within the initialization time defined in the document [9] after recovering from the LVDS BIDIR link disconnection.</t>
  </si>
  <si>
    <t>GEN-TS-RESEAU-CP_LVDS_BIDIR.0063(1)</t>
  </si>
  <si>
    <t>The receiver ECU node shall have the link back operational within the initialization time defined in the document [9] after recovering from a ground loss.</t>
  </si>
  <si>
    <t>GEN-TS-RESEAU-CP_LVDS_BIDIR.0053(2)</t>
  </si>
  <si>
    <t>The receiver ECU node shall have the link back operational within the initialization time defined in the document [9] after recovering from a power supply loss.</t>
  </si>
  <si>
    <t>GEN-TS-RESEAU-CP_LVDS_BIDIR.0050(1)</t>
  </si>
  <si>
    <t>The ECU node shall have at least 0.2µF high-frequency surface-mount ceramic capacitors, with sufficient voltage rating to withstand a short to battery, to pass the lower speed reverse control-channel signal and capacitors with a case size less than 3.2mm x 1.6mm to have lower parasitic effects to the high-speed signal.</t>
  </si>
  <si>
    <t>GEN-TS-RESEAU-CP_LVDS_BIDIR.0075(1)</t>
  </si>
  <si>
    <t>GEN-TS-RESEAU-CP_LVDS_BIDIR.0049(2)</t>
  </si>
  <si>
    <t>The source ECU node shall have two capacitors at the serializer output for proper link operation and to provide protection if either ends of the cable is shorted to a high voltage.</t>
  </si>
  <si>
    <t>GEN-TS-RESEAU-CP_LVDS_BIDIR.0048(1)</t>
  </si>
  <si>
    <t>The ECU node shall have a pull-up resistors to meet the fast-mode rise-time requirement, as I2C and UART open-drain lines require pull-up resistors to provide a logic-high level, in order to have a rise time tR = 0.85 x RPULLUP x CBUS less than 300ns.</t>
  </si>
  <si>
    <t>GEN-TS-RESEAU-CP_LVDS_BIDIR.0297(1)</t>
  </si>
  <si>
    <t>The source ECU node shall be configured by the master ECU node for the source spread spectrum functionality.</t>
  </si>
  <si>
    <t>GEN-TS-RESEAU-CP_LVDS_BIDIR.0190(1)</t>
  </si>
  <si>
    <t>The receiver ECU node shall have a diagnostic calibration parameter called RECEIVER_SPREAD_SPECTRUM_x to select the receiver spread spectrum value among No spread spectrum, ±2% or ±4%.</t>
  </si>
  <si>
    <t>GEN-TS-RESEAU-CP_LVDS_BIDIR.0189(1)</t>
  </si>
  <si>
    <t>The receiver ECU node shall have a diagnostic calibration parameter called SOURCE_SPREAD_SPECTRUM_x to select the source spread spectrum value among No spread spectrum, ±0,5%, ±1%, ±1,5%, ±2%, ±3% or ±4%.</t>
  </si>
  <si>
    <t>GEN-TS-RESEAU-CP_LVDS_BIDIR.0194(2)</t>
  </si>
  <si>
    <t>The receiver ECU node shall be configured by the master ECU node for the spread spectrum functionality.</t>
  </si>
  <si>
    <t>GEN-TS-RESEAU-CP_LVDS_BIDIR.0188(1)</t>
  </si>
  <si>
    <t>The source ECU node shall have a diagnostic calibration parameter called RECEIVER_SPREAD_SPECTRUM_x to select the receiver spread spectrum value among  No spread spectrum, ±2% or ±4%.</t>
  </si>
  <si>
    <t>GEN-TS-RESEAU-CP_LVDS_BIDIR.0187(1)</t>
  </si>
  <si>
    <t>The source ECU node shall have a diagnostic calibration parameter called SOURCE_SPREAD_SPECTRUM_x to select the source spread spectrum value among No spread spectrum, ±0,5%, ±1%, ±1,5%, ±2%, ±3% or ±4%.</t>
  </si>
  <si>
    <t>GEN-TS-RESEAU-CP_LVDS_BIDIR.0047(3)</t>
  </si>
  <si>
    <t>GEN-TS-RESEAU-CP_LVDS_BIDIR.0290(0)</t>
  </si>
  <si>
    <t>The receiver ECU node shall have a diagnostic calibration parameter called RECEIVER_EQUALIZER_x to select the receiver equalizer values.</t>
  </si>
  <si>
    <t>GEN-TS-RESEAU-CP_LVDS_BIDIR.0289(1)</t>
  </si>
  <si>
    <t>The receiver ECU node shall be configured by the master ECU node for the equalizer functionality.</t>
  </si>
  <si>
    <t>GEN-TS-RESEAU-CP_LVDS_BIDIR.0288(0)</t>
  </si>
  <si>
    <t>The source ECU node shall have a diagnostic calibration parameter called RECEIVER_EQUALIZER_x to select the receiver equalizer values.</t>
  </si>
  <si>
    <t>GEN-TS-RESEAU-CP_LVDS_BIDIR.0046(2)</t>
  </si>
  <si>
    <t>The receiver ECU node shall use a line equalizer to further compensate cable attenuation at high frequency.</t>
  </si>
  <si>
    <t>GEN-TS-RESEAU-CP_LVDS_BIDIR.0287(1)</t>
  </si>
  <si>
    <t>The source ECU node shall be configured by the receiver ECU node for the pre-emphasis functionality.</t>
  </si>
  <si>
    <t>GEN-TS-RESEAU-CP_LVDS_BIDIR.0285(0)</t>
  </si>
  <si>
    <t>The receiver ECU node shall have a diagnostic calibration parameter called SOURCE_PREEMPHASIS_x to select the source pre-emphasis values.</t>
  </si>
  <si>
    <t>GEN-TS-RESEAU-CP_LVDS_BIDIR.0282(0)</t>
  </si>
  <si>
    <t>The source ECU node shall have a diagnostic calibration parameter called SOURCE_PREEMPHASIS_x to select the serializer pre-emphasis values.</t>
  </si>
  <si>
    <t>GEN-TS-RESEAU-CP_LVDS_BIDIR.0045(3)</t>
  </si>
  <si>
    <t>The source ECU node shall have a pre emphasis or a deemphasis feature of the CML signaling.</t>
  </si>
  <si>
    <t>GEN-TS-RESEAU-CP_LVDS_BIDIR.0200(1)</t>
  </si>
  <si>
    <t>GEN-TS-RESEAU-CP_LVDS_BIDIR.0182(1)</t>
  </si>
  <si>
    <t>GEN-TS-RESEAU-CP_LVDS_BIDIR.0068(4)</t>
  </si>
  <si>
    <t>GEN-TS-RESEAU-CP_LVDS_BIDIR.0281(0)</t>
  </si>
  <si>
    <t>GEN-TS-RESEAU-CP_LVDS_BIDIR.0044(3)</t>
  </si>
  <si>
    <t>GEN-TS-RESEAU-CP_LVDS_BIDIR.0043(2)</t>
  </si>
  <si>
    <t>GEN-TS-RESEAU-CP_LVDS_BIDIR.0042(6)</t>
  </si>
  <si>
    <t>GEN-TS-RESEAU-CP_LVDS_BIDIR.0041(3)</t>
  </si>
  <si>
    <t>GEN-TS-RESEAU-CP_LVDS_BIDIR.0104(2)</t>
  </si>
  <si>
    <t>The receiver ECU node shall be predisposed to manage the interrupt input of the deserializer through a dedicated pin of the microcontroller.</t>
  </si>
  <si>
    <t>GEN-TS-RESEAU-CP_LVDS_BIDIR.0103(2)</t>
  </si>
  <si>
    <t>The source ECU node shall be predisposed to acquire the Interrupt Output of the serializer through a dedicated pin of the microcontroller in the case of the source ECU.</t>
  </si>
  <si>
    <t>GEN-TS-RESEAU-CP_LVDS_BIDIR.0102(2)</t>
  </si>
  <si>
    <t>The receiver ECU node shall be predisposed to acquire the Interrupt Output of the deserializer through a dedicated pin of the microcontroller.</t>
  </si>
  <si>
    <t>GEN-TS-RESEAU-CP_LVDS_BIDIR.0133(3)</t>
  </si>
  <si>
    <t>The receiver ECU node shall be configured with an activated High Immunity mode.</t>
  </si>
  <si>
    <t>GEN-TS-RESEAU-CP_LVDS_BIDIR.0132(3)</t>
  </si>
  <si>
    <t>The source ECU node shall be configured with an activated High Immunity mode.</t>
  </si>
  <si>
    <t>GEN-TS-RESEAU-CP_LVDS_BIDIR.0101(3)</t>
  </si>
  <si>
    <t>The receiver ECU node shall be configured with a deactivated High Immunity mode.</t>
  </si>
  <si>
    <t>GEN-TS-RESEAU-CP_LVDS_BIDIR.0100(3)</t>
  </si>
  <si>
    <t>The source ECU node shall be configured with a deactivated the High Immunity mode.</t>
  </si>
  <si>
    <t>GEN-TS-RESEAU-CP_LVDS_BIDIR.0164(2)</t>
  </si>
  <si>
    <t>The receiver ECU node shall be configured with HIGH_IMMUNITY_MODE_x parameter to select the high immunity mode.</t>
  </si>
  <si>
    <t>GEN-TS-RESEAU-CP_LVDS_BIDIR.0163(2)</t>
  </si>
  <si>
    <t>The source ECU node shall be configured with HIGH_IMMUNITY_MODE_x parameter to select the high immunity mode.</t>
  </si>
  <si>
    <t>GEN-TS-RESEAU-CP_LVDS_BIDIR.0160(2)</t>
  </si>
  <si>
    <t>The receiver ECU node shall have a diagnostic calibration parameter called HIGH_IMMUNITY_MODE_x to activate or deactivate the High Immunity mode.</t>
  </si>
  <si>
    <t>GEN-TS-RESEAU-CP_LVDS_BIDIR.0159(2)</t>
  </si>
  <si>
    <t>The source ECU node shall have a diagnostic calibration parameter called HIGH_IMMUNITY_MODE_x to activate or deactivate the High Immunity mode.</t>
  </si>
  <si>
    <t>GEN-TS-RESEAU-CP_LVDS_BIDIR.0126(2)</t>
  </si>
  <si>
    <t>The receiver ECU node shall have a pre-disposed hardware to manage the activation and the deactivation of High immunity mode through a dedicated pin of the microcontroller.</t>
  </si>
  <si>
    <t>GEN-TS-RESEAU-CP_LVDS_BIDIR.0125(2)</t>
  </si>
  <si>
    <t>The source ECU node shall have a pre-disposed hardware to manage the activation and the deactivation of High immunity mode through a dedicated pin of the microcontroller.</t>
  </si>
  <si>
    <t>GEN-TS-RESEAU-CP_LVDS_BIDIR.0158(2)</t>
  </si>
  <si>
    <t>The receiver ECU node shall manage the start and the stop the deserialization to fit the requirements of the document [9].</t>
  </si>
  <si>
    <t>GEN-TS-RESEAU-CP_LVDS_BIDIR.0072(2)</t>
  </si>
  <si>
    <t>GEN-TS-RESEAU-CP_LVDS_BIDIR.0157(2)</t>
  </si>
  <si>
    <t>The receiver ECU node shall manage the power up and the power down of its deserializer to fit the requirements of the document [9].</t>
  </si>
  <si>
    <t>GEN-TS-RESEAU-CP_LVDS_BIDIR.0071(1)</t>
  </si>
  <si>
    <t>The source ECU node shall manage the power up and the power down of its serializer to fit the requirements of the document [9].</t>
  </si>
  <si>
    <t>GEN-TS-RESEAU-CP_LVDS_BIDIR.0090(1)</t>
  </si>
  <si>
    <t>The receiver ECU node shall manage the Line Fault error monitored by the deserializer.</t>
  </si>
  <si>
    <t>GEN-TS-RESEAU-CP_LVDS_BIDIR.0070(1)</t>
  </si>
  <si>
    <t>The source ECU node shall manage the Line Fault error monitored by the serializer.</t>
  </si>
  <si>
    <t>GEN-TS-RESEAU-CP_LVDS_BIDIR.0035(2)</t>
  </si>
  <si>
    <t>The ECU node shall have a CML channel routed in parallel PCB traces to maintain the differential characteristic impedance.</t>
  </si>
  <si>
    <t>GEN-TS-RESEAU-CP_LVDS_BIDIR.0034(3)</t>
  </si>
  <si>
    <t>The ECU node shall have separate layers for power, ground, GMSL, and digital signals on at least a four-layer PCB.</t>
  </si>
  <si>
    <t>GEN-TS-RESEAU-CP_LVDS_BIDIR.0280(0)</t>
  </si>
  <si>
    <t>The receiver ECU node shall have the video interface output signals of the deserializer separated from GMSL signals to prevent crosstalk.</t>
  </si>
  <si>
    <t>GEN-TS-RESEAU-CP_LVDS_BIDIR.0033(3)</t>
  </si>
  <si>
    <t>The source ECU node shall have the video interface input signals of the serializer separated from GMSL signals to prevent crosstalk.</t>
  </si>
  <si>
    <t>GEN-TS-RESEAU-CP_LVDS_BIDIR.0186(1)</t>
  </si>
  <si>
    <t>The receiver ECU node shall have the power ground transported in the coax shielding for topology presented in figure 13.</t>
  </si>
  <si>
    <t>GEN-TS-RESEAU-CP_LVDS_BIDIR.0185(1)</t>
  </si>
  <si>
    <t>The receiver ECU node shall have the DC power supply transported in the same cable than the GMSL link for topology presented in figure 13.</t>
  </si>
  <si>
    <t>GEN-TS-RESEAU-CP_LVDS_BIDIR.0156(3)</t>
  </si>
  <si>
    <t>The ECU node shall increase the noise margin.</t>
  </si>
  <si>
    <t>GEN-TS-RESEAU-CP_LVDS_BIDIR.0155(3)</t>
  </si>
  <si>
    <t>The ECU node shall minimize the power noise.</t>
  </si>
  <si>
    <t>GEN-TS-RESEAU-CP_LVDS_BIDIR.0154(3)</t>
  </si>
  <si>
    <t>The ECU node shall have a calculated DC resistance.</t>
  </si>
  <si>
    <t>GEN-TS-RESEAU-CP_LVDS_BIDIR.0153(3)</t>
  </si>
  <si>
    <t>The ECU node shall have a power filtering.</t>
  </si>
  <si>
    <t>GEN-TS-RESEAU-CP_LVDS_BIDIR.0152(3)</t>
  </si>
  <si>
    <t>The source ECU node shall have the power ground transported in the coax shielding for topology presented in figure 9.</t>
  </si>
  <si>
    <t>GEN-TS-RESEAU-CP_LVDS_BIDIR.0151(3)</t>
  </si>
  <si>
    <t>The source ECU node shall have the DC power supply transported in the same cable than the GMSL link for topology presented in figure 9.</t>
  </si>
  <si>
    <t>GEN-TS-RESEAU-CP_LVDS_BIDIR.0300(0)</t>
  </si>
  <si>
    <t>GEN-TS-RESEAU-CP_LVDS_BIDIR.0184(1)</t>
  </si>
  <si>
    <t>The source ECU node shall have the power ground transported by the shield cable of the GMSL cable for topologies presented in figure 2, 10, 3, 11, 4 and 12.</t>
  </si>
  <si>
    <t>GEN-TS-RESEAU-CP_LVDS_BIDIR.0183(1)</t>
  </si>
  <si>
    <t>The source ECU node shall have the DC power supply transported in the same cable than the GMSL link for topologies presented in figure 2, 10, 4 and 12 (figure 4 and 12: only for ECU2, NA for ECU3).</t>
  </si>
  <si>
    <t>GEN-TS-RESEAU-CP_LVDS_BIDIR.0032(4)</t>
  </si>
  <si>
    <t>The ECU node shall have the unused second twisted pair not connected for topologies presented in figures 3, 11, 4 and 12.</t>
  </si>
  <si>
    <t>GEN-TS-RESEAU-CP_LVDS_BIDIR.0030(4)</t>
  </si>
  <si>
    <t>The receiver ECU node shall have the power ground transported by the shield cable of the GMSL cable for topologies presented in figure 2, 10, 3, 11, 4 and 12.</t>
  </si>
  <si>
    <t>GEN-TS-RESEAU-CP_LVDS_BIDIR.0029(4)</t>
  </si>
  <si>
    <t>The receiver ECU node shall have the DC power supply transported in the same cable than the GMSL link for topologies presented in figure 2, 10, 4 and 12 (figure 4 and 12: only for ECU2, NA for ECU3).</t>
  </si>
  <si>
    <t>GEN-TS-RESEAU-CP_LVDS_BIDIR.0054(2)</t>
  </si>
  <si>
    <t>GEN-TS-RESEAU-CP_LVDS_BIDIR.0026(6)</t>
  </si>
  <si>
    <t>GEN-TS-RESEAU-CP_LVDS_BIDIR.0279(0)</t>
  </si>
  <si>
    <t>The ECU node shall have the shield of the cable connected to its metallic box.</t>
  </si>
  <si>
    <t>GEN-TS-RESEAU-CP_LVDS_BIDIR.0025(2)</t>
  </si>
  <si>
    <t>The ECU node shall have the shield of the cable connected to its ground.</t>
  </si>
  <si>
    <t>GEN-TS-RESEAU-CP_LVDS_BIDIR.0253(0)</t>
  </si>
  <si>
    <t>GEN-TS-RESEAU-CP_LVDS_BIDIR.0252(0)</t>
  </si>
  <si>
    <t>GEN-TS-RESEAU-CP_LVDS_BIDIR.0251(0)</t>
  </si>
  <si>
    <t>GEN-TS-RESEAU-CP_LVDS_BIDIR.0250(0)</t>
  </si>
  <si>
    <t>GEN-TS-RESEAU-CP_LVDS_BIDIR.0249(0)</t>
  </si>
  <si>
    <t>GEN-TS-RESEAU-CP_LVDS_BIDIR.0248(0)</t>
  </si>
  <si>
    <t>GEN-TS-RESEAU-CP_LVDS_BIDIR.0247(0)</t>
  </si>
  <si>
    <t>GEN-TS-RESEAU-CP_LVDS_BIDIR.0246(0)</t>
  </si>
  <si>
    <t>GEN-TS-RESEAU-CP_LVDS_BIDIR.0245(0)</t>
  </si>
  <si>
    <t>GEN-TS-RESEAU-CP_LVDS_BIDIR.0244(0)</t>
  </si>
  <si>
    <t>GEN-TS-RESEAU-CP_LVDS_BIDIR.0243(0)</t>
  </si>
  <si>
    <t>GEN-TS-RESEAU-CP_LVDS_BIDIR.0242(0)</t>
  </si>
  <si>
    <t>GEN-TS-RESEAU-CP_LVDS_BIDIR.0109(1)</t>
  </si>
  <si>
    <t>GEN-TS-RESEAU-CP_LVDS_BIDIR.0108(1)</t>
  </si>
  <si>
    <t>GEN-TS-RESEAU-CP_LVDS_BIDIR.0019(4)</t>
  </si>
  <si>
    <t>GEN-TS-RESEAU-CP_LVDS_BIDIR.0018(2)</t>
  </si>
  <si>
    <t>GEN-TS-RESEAU-CP_LVDS_BIDIR.0240(0)</t>
  </si>
  <si>
    <t>The receiver ECU node shall have 24 bits VESA Standard Panel mapping for the LVDS Parallel or OpenLDI video interface between the deserializer outputs and the microcontroller or graphic controller inputs.</t>
  </si>
  <si>
    <t>GEN-TS-RESEAU-CP_LVDS_BIDIR.0069(2)</t>
  </si>
  <si>
    <t>The receiver ECU node shall have 18 bits VESA Standard Panel mapping for the LVDS Parallel or OpenLDI video interface between the deserializer outputs and the microcontroller or graphic controller inputs.</t>
  </si>
  <si>
    <t>GEN-TS-RESEAU-CP_LVDS_BIDIR.0239(0)</t>
  </si>
  <si>
    <t>The source ECU node shall be configured in JEIDA 24 bits video coding.</t>
  </si>
  <si>
    <t>GEN-TS-RESEAU-CP_LVDS_BIDIR.0238(0)</t>
  </si>
  <si>
    <t>The source ECU node shall be configured in VESA 24 bits video coding.</t>
  </si>
  <si>
    <t>GEN-TS-RESEAU-CP_LVDS_BIDIR.0237(0)</t>
  </si>
  <si>
    <t>The source ECU node shall be configured in VESA 18 bits video coding.</t>
  </si>
  <si>
    <t>GEN-TS-RESEAU-CP_LVDS_BIDIR.0236(0)</t>
  </si>
  <si>
    <t>The source ECU node shall be configured with the VIDEO_CODING_x parameter to select the video coding.</t>
  </si>
  <si>
    <t>GEN-TS-RESEAU-CP_LVDS_BIDIR.0203(1)</t>
  </si>
  <si>
    <t>GEN-TS-RESEAU-CP_LVDS_BIDIR.0202(1)</t>
  </si>
  <si>
    <t>GEN-TS-RESEAU-CP_LVDS_BIDIR.0007(4)</t>
  </si>
  <si>
    <t>The source ECU node shall support VESA 18 bits video coding for the LVDS Parallel or OpenLDI video interface outputs of the microcontroller or graphic controller when the source pixel depth is 18 bits according to table 1 or table 2.</t>
  </si>
  <si>
    <t>GEN-TS-RESEAU-CP_LVDS_BIDIR.0201(1)</t>
  </si>
  <si>
    <t>The source ECU node shall have a diagnostic calibration parameter called VIDEO_CODING_x to select the video coding.</t>
  </si>
  <si>
    <t>GEN-TS-RESEAU-CP_LVDS_BIDIR.0235(0)</t>
  </si>
  <si>
    <t>The ECU node shall have a pixel clock deviation conformity justification file with worst case analysis on the complete chain of pixel clock generation according to the template [11].</t>
  </si>
  <si>
    <t>GEN-TS-RESEAU-CP_LVDS_BIDIR.0055(3)</t>
  </si>
  <si>
    <t>GEN-TS-RESEAU-CP_LVDS_BIDIR.0170(2)</t>
  </si>
  <si>
    <t>GEN-TS-RESEAU-CP_LVDS_BIDIR.0150(3)</t>
  </si>
  <si>
    <t>The source ECU node shall have a diagnostic calibration parameter called PIXEL_CLOCK_x to modify the source pixel clock value by step of 0,01MHz in the whole range of [12.5MHz;116MHz].</t>
  </si>
  <si>
    <t>GEN-TS-RESEAU-CP_LVDS_BIDIR.0081(5)</t>
  </si>
  <si>
    <t>The source ECU node shall have a diagnostic calibration parameter called PIXEL_CLOCK_x to modify the source pixel clock value by step of 0,01MHz in the whole range of [6,25MHz;104MHz].</t>
  </si>
  <si>
    <t>GEN-TS-RESEAU-CP_LVDS_BIDIR.0131(3)</t>
  </si>
  <si>
    <t>The receiver ECU node shall be configured in HIGH_PCLOCK_RANGE.</t>
  </si>
  <si>
    <t>GEN-TS-RESEAU-CP_LVDS_BIDIR.0130(3)</t>
  </si>
  <si>
    <t>The receiver ECU node shall be configured in LOW_PCLOCK_RANGE.</t>
  </si>
  <si>
    <t>GEN-TS-RESEAU-CP_LVDS_BIDIR.0116(3)</t>
  </si>
  <si>
    <t>The source ECU node shall be configured in HIGH_PCLOCK_RANGE.</t>
  </si>
  <si>
    <t>GEN-TS-RESEAU-CP_LVDS_BIDIR.0115(3)</t>
  </si>
  <si>
    <t>The source ECU node shall be configured in LOW_PCLOCK_RANGE.</t>
  </si>
  <si>
    <t>GEN-TS-RESEAU-CP_LVDS_BIDIR.0149(2)</t>
  </si>
  <si>
    <t>The receiver ECU node shall be configured with PIXEL_CLOCK_RANGE_x parameter to select the pixel clock range.</t>
  </si>
  <si>
    <t>GEN-TS-RESEAU-CP_LVDS_BIDIR.0148(2)</t>
  </si>
  <si>
    <t>The source ECU node shall be configured with the PIXEL_CLOCK_RANGE_x parameter to select the pixel clock range.</t>
  </si>
  <si>
    <t>GEN-TS-RESEAU-CP_LVDS_BIDIR.0145(3)</t>
  </si>
  <si>
    <t>The receiver ECU node shall have a diagnostic calibration parameter called PIXEL_CLOCK_RANGE_x to select the pixel clock ranges between LOW_PCLOCK_RANGE and HIGH_PCLOCK_RANGE.</t>
  </si>
  <si>
    <t>GEN-TS-RESEAU-CP_LVDS_BIDIR.0144(2)</t>
  </si>
  <si>
    <t>The source ECU node shall have a diagnostic calibration parameter called PIXEL_CLOCK_RANGE_x to select the pixel clock ranges between LOW_PCLOCK_RANGE and HIGH_PCLOCK_RANGE.</t>
  </si>
  <si>
    <t>GEN-TS-RESEAU-CP_LVDS_BIDIR.0228(0)</t>
  </si>
  <si>
    <t>The ECU node shall have the HIGH_PCLOCK_RANGE between [33,33 MHz; 116 MHz] in 27 bits High Bandwidth mode.</t>
  </si>
  <si>
    <t>GEN-TS-RESEAU-CP_LVDS_BIDIR.0143(2)</t>
  </si>
  <si>
    <t>GEN-TS-RESEAU-CP_LVDS_BIDIR.0227(0)</t>
  </si>
  <si>
    <t>The ECU node shall have the HIGH_PCLOCK_RANGE between [25 MHz; 87 MHz] in 32 bits mode.</t>
  </si>
  <si>
    <t>The ECU node shall have the LOW_PCLOCK_RANGE between [12,5 MHz;43,5 MHz] in 32 bits mode.</t>
  </si>
  <si>
    <t>GEN-TS-RESEAU-CP_LVDS_BIDIR.0226(0)</t>
  </si>
  <si>
    <t>The ECU node shall have the HIGH_PCLOCK_RANGE between [33,33 MHz; 116 MHz] in 24 bits mode.</t>
  </si>
  <si>
    <t>GEN-TS-RESEAU-CP_LVDS_BIDIR.0141(2)</t>
  </si>
  <si>
    <t>The ECU node shall have the LOW_PCLOCK_RANGE between [16,66 MHz;58 MHz] in 24 bits mode.</t>
  </si>
  <si>
    <t>GEN-TS-RESEAU-CP_LVDS_BIDIR.0225(0)</t>
  </si>
  <si>
    <t>The ECU node shall have the HIGH_PCLOCK_RANGE between [36,66 MHz; 104 MHz] in 27 bits High Bandwidth mode.</t>
  </si>
  <si>
    <t>GEN-TS-RESEAU-CP_LVDS_BIDIR.0095(3)</t>
  </si>
  <si>
    <t>The ECU node shall have the LOW_PCLOCK_RANGE between [18,33 MHz;36,66 MHz] in 27 bits High Bandwidth mode.</t>
  </si>
  <si>
    <t>GEN-TS-RESEAU-CP_LVDS_BIDIR.0224(0)</t>
  </si>
  <si>
    <t>The ECU node shall have the HIGH_PCLOCK_RANGE between [12,5 MHz; 78 MHz] in 32 bits mode.</t>
  </si>
  <si>
    <t>GEN-TS-RESEAU-CP_LVDS_BIDIR.0094(3)</t>
  </si>
  <si>
    <t>The ECU node shall have the LOW_PCLOCK_RANGE between [6,25 MHz; 12,5 MHz] in 32 bits mode.</t>
  </si>
  <si>
    <t>GEN-TS-RESEAU-CP_LVDS_BIDIR.0223(0)</t>
  </si>
  <si>
    <t>The ECU node shall have the HIGH_PCLOCK_RANGE between [16,66 MHz; 104 MHz] in 24 bits mode.</t>
  </si>
  <si>
    <t>GEN-TS-RESEAU-CP_LVDS_BIDIR.0093(3)</t>
  </si>
  <si>
    <t>The ECU node shall have the LOW_PCLOCK_RANGE between [8,33 MHz;16,66 MHz] in 24 bits mode.</t>
  </si>
  <si>
    <t>GEN-TS-RESEAU-CP_LVDS_BIDIR.0222(0)</t>
  </si>
  <si>
    <t>The receiver ECU node shall support a HIGH_PCLOCK_RANGE in 27 bits High Bandwidth mode and be able to receive GMSL frames with any pixel clock value included in this range.</t>
  </si>
  <si>
    <t>GEN-TS-RESEAU-CP_LVDS_BIDIR.0221(0)</t>
  </si>
  <si>
    <t>The receiver ECU node shall support a LOW_PCLOCK_RANGE in 27 bits High Bandwidth mode and receive GMSL frames with any pixel clock value included in this range.</t>
  </si>
  <si>
    <t>GEN-TS-RESEAU-CP_LVDS_BIDIR.0220(0)</t>
  </si>
  <si>
    <t>The receiver ECU node shall support a HIGH_PCLOCK_RANGE in 32 bits mode and receive GMSL frames with any pixel clock value included in this range.</t>
  </si>
  <si>
    <t>GEN-TS-RESEAU-CP_LVDS_BIDIR.0219(0)</t>
  </si>
  <si>
    <t>The receiver ECU node shall support a LOW_PCLOCK_RANGE in 32 bits mode and receive GMSL frames with any pixel clock value included in this range.</t>
  </si>
  <si>
    <t>GEN-TS-RESEAU-CP_LVDS_BIDIR.0218(0)</t>
  </si>
  <si>
    <t>The receiver ECU node shall support a HIGH_PCLOCK_RANGE in 24 bits mode and receive GMSL frames with any pixel clock value included in this range.</t>
  </si>
  <si>
    <t>GEN-TS-RESEAU-CP_LVDS_BIDIR.0092(3)</t>
  </si>
  <si>
    <t>The receiver ECU node shall support a LOW_PCLOCK_RANGE in 24 bits mode and receive GMSL frames with any pixel clock value included in this range.</t>
  </si>
  <si>
    <t>GEN-TS-RESEAU-CP_LVDS_BIDIR.0217(0)</t>
  </si>
  <si>
    <t>The source ECU node shall support a HIGH_PCLOCK_RANGE in 27 bits High Bandwidth mode and transmit GMSL frames with any pixel clock value included in this range.</t>
  </si>
  <si>
    <t>GEN-TS-RESEAU-CP_LVDS_BIDIR.0216(0)</t>
  </si>
  <si>
    <t>The source ECU node shall support a LOW_PCLOCK_RANGE in 27 bits High Bandwidth mode and transmit GMSL frames with any pixel clock value included in this range.</t>
  </si>
  <si>
    <t>GEN-TS-RESEAU-CP_LVDS_BIDIR.0215(0)</t>
  </si>
  <si>
    <t>The source ECU node shall support a HIGH_PCLOCK_RANGE in 32 bits mode and be able to transmit GMSL frames with any pixel clock value included in this range.</t>
  </si>
  <si>
    <t>GEN-TS-RESEAU-CP_LVDS_BIDIR.0214(0)</t>
  </si>
  <si>
    <t>The source ECU node shall support a LOW_PCLOCK_RANGE in 32 bits mode and be able to transmit GMSL frames with any pixel clock value included in this range.</t>
  </si>
  <si>
    <t>GEN-TS-RESEAU-CP_LVDS_BIDIR.0213(0)</t>
  </si>
  <si>
    <t>The source ECU node shall support a HIGH_PCLOCK_RANGE in 24 bits mode and transmit GMSL frames with any pixel clock value included in this range.</t>
  </si>
  <si>
    <t>GEN-TS-RESEAU-CP_LVDS_BIDIR.0091(3)</t>
  </si>
  <si>
    <t>The source ECU node shall support a LOW_PCLOCK_RANGE in 24 bits mode and transmit GMSL frames with any pixel clock value included in this range.</t>
  </si>
  <si>
    <t>GEN-TS-RESEAU-CP_LVDS_BIDIR.0011(3)</t>
  </si>
  <si>
    <t>The ECU node shall have a serializer or deserializer supporting HDCP encryption.</t>
  </si>
  <si>
    <t>GEN-TS-RESEAU-CP_LVDS_BIDIR.0171(1)</t>
  </si>
  <si>
    <t>GEN-TS-RESEAU-CP_LVDS_BIDIR.0212(0)</t>
  </si>
  <si>
    <t>GEN-TS-RESEAU-CP_LVDS_BIDIR.0209(0)</t>
  </si>
  <si>
    <t>GEN-TS-RESEAU-CP_LVDS_BIDIR.0208(0)</t>
  </si>
  <si>
    <t>GEN-TS-RESEAU-CP_LVDS_BIDIR.0207(0)</t>
  </si>
  <si>
    <t>GEN-TS-RESEAU-CP_LVDS_BIDIR.0008(3)</t>
  </si>
  <si>
    <t>GEN-TS-RESEAU-CP_LVDS_BIDIR.0196(1)</t>
  </si>
  <si>
    <t>The ECU node shall be compatible with GMSL2 technology.</t>
  </si>
  <si>
    <t>GEN-TS-RESEAU-CP_LVDS_BIDIR.0195(1)</t>
  </si>
  <si>
    <t>The ECU node shall be compatible with GMSL1 technology.</t>
  </si>
  <si>
    <t>GEN-TS-RESEAU-CP_LVDS_BIDIR.0089(1)</t>
  </si>
  <si>
    <t>The receiver ECU node shall have a deserializer retrieving the pixel clock coming from the source ECU node through the GMSL link.</t>
  </si>
  <si>
    <t>GEN-TS-RESEAU-CP_LVDS_BIDIR.0088(1)</t>
  </si>
  <si>
    <t>The source ECU node shall have a serializer generating the pixel clock.</t>
  </si>
  <si>
    <t>GEN-TS-RESEAU-CP_LVDS_BIDIR.0308(0)</t>
  </si>
  <si>
    <t>The receiver ECU node shall generate the SCL clock that synchronizes the data transfer.</t>
  </si>
  <si>
    <t>GEN-TS-RESEAU-CP_LVDS_BIDIR.0307(0)</t>
  </si>
  <si>
    <t>The ECU node shall be configured to communicate in I2C mode.</t>
  </si>
  <si>
    <t>GEN-TS-RESEAU-CP_LVDS_BIDIR.0306(0)</t>
  </si>
  <si>
    <t>The ECU node shall have a serial interface format, between the microcontroller or the ISP; and the serializer or the deserializer, compatible with GMSL I2C.</t>
  </si>
  <si>
    <t>GEN-TS-RESEAU-CP_LVDS_BIDIR.0040(1)</t>
  </si>
  <si>
    <t>The ECU node component shall have a serializer or a deserializer communicating in base mode.</t>
  </si>
  <si>
    <t>GEN-TS-RESEAU-CP_LVDS_BIDIR.0039(3)</t>
  </si>
  <si>
    <t>The ECU node shall be configured to communicate in UART mode.</t>
  </si>
  <si>
    <t>GEN-TS-RESEAU-CP_LVDS_BIDIR.0006(2)</t>
  </si>
  <si>
    <t>The ECU node shall have a serial interface format between the microcontroller and the serializer or the deserializer, compatible with GMSL UART.</t>
  </si>
  <si>
    <t>GEN-TS-RESEAU-CP_LVDS_BIDIR.0114(4)</t>
  </si>
  <si>
    <t>GEN-TS-RESEAU-CP_LVDS_BIDIR.0113(4)</t>
  </si>
  <si>
    <t>GEN-TS-RESEAU-CP_LVDS_BIDIR.0112(4)</t>
  </si>
  <si>
    <t>GEN-TS-RESEAU-CP_LVDS_BIDIR.0138(2)</t>
  </si>
  <si>
    <t>The receiver ECU node shall be configured with the VIDEO_MODE_x parameter to select the transmission mode.</t>
  </si>
  <si>
    <t>GEN-TS-RESEAU-CP_LVDS_BIDIR.0137(2)</t>
  </si>
  <si>
    <t>The source ECU node shall be configured with the VIDEO_MODE_x parameter to select the transmission mode.</t>
  </si>
  <si>
    <t>GEN-TS-RESEAU-CP_LVDS_BIDIR.0205(0)</t>
  </si>
  <si>
    <t>The ECU node shall have the VIDEO_MODE_x parameter to select the transmission mode between 32 bits or 27 bits high bandwidth modes.</t>
  </si>
  <si>
    <t>GEN-TS-RESEAU-CP_LVDS_BIDIR.0204(0)</t>
  </si>
  <si>
    <t>The ECU node shall have the VIDEO_MODE_x parameter to select the transmission mode among 24 bits, 32 bits or 27 bits high bandwidth modes.</t>
  </si>
  <si>
    <t>GEN-TS-RESEAU-CP_LVDS_BIDIR.0120(2)</t>
  </si>
  <si>
    <t>The receiver ECU node shall have a diagnostic calibration parameter called VIDEO_MODE_x to select the transmission mode.</t>
  </si>
  <si>
    <t>GEN-TS-RESEAU-CP_LVDS_BIDIR.0107(2)</t>
  </si>
  <si>
    <t>The source ECU node shall have a diagnostic calibration parameter called VIDEO_MODE_x to select the transmission mode.</t>
  </si>
  <si>
    <t>GEN-TS-RESEAU-CP_LVDS_BIDIR.0087(2)</t>
  </si>
  <si>
    <t>The receiver ECU node shall have a deserializer supporting the 27 bits High Bandwidth mode.</t>
  </si>
  <si>
    <t>GEN-TS-RESEAU-CP_LVDS_BIDIR.0086(1)</t>
  </si>
  <si>
    <t>The source ECU node shall have a serializer supporting the 27 bits High Bandwidth mode.</t>
  </si>
  <si>
    <t>GEN-TS-RESEAU-CP_LVDS_BIDIR.0085(2)</t>
  </si>
  <si>
    <t>The receiver ECU node shall have a deserializer supporting the 32 bits mode.</t>
  </si>
  <si>
    <t>GEN-TS-RESEAU-CP_LVDS_BIDIR.0084(1)</t>
  </si>
  <si>
    <t>The source ECU node shall have a serializer supporting the 32 bits mode.</t>
  </si>
  <si>
    <t>GEN-TS-RESEAU-CP_LVDS_BIDIR.0083(2)</t>
  </si>
  <si>
    <t>The receiver ECU node shall have a deserializer supporting the 24 bits mode.</t>
  </si>
  <si>
    <t>GEN-TS-RESEAU-CP_LVDS_BIDIR.0082(1)</t>
  </si>
  <si>
    <t>The source ECU node shall have a serializer supporting the 24 bits mode.</t>
  </si>
  <si>
    <t>GEN-TS-RESEAU-CP_LVDS_BIDIR.0118(1)</t>
  </si>
  <si>
    <t>The receiver ECU node shall have a deserializer configured in coaxial mode at power up.</t>
  </si>
  <si>
    <t>GEN-TS-RESEAU-CP_LVDS_BIDIR.0117(1)</t>
  </si>
  <si>
    <t>The source ECU node shall have a serializer configured in coaxial mode at power up.</t>
  </si>
  <si>
    <t>GEN-TS-RESEAU-CP_LVDS_BIDIR.0111(1)</t>
  </si>
  <si>
    <t>The ECU node shall have a coaxial connector.</t>
  </si>
  <si>
    <t>GEN-TS-RESEAU-CP_LVDS_BIDIR.0106(1)</t>
  </si>
  <si>
    <t>The receiver ECU node shall have a deserializer configured in twisted pair mode at power up.</t>
  </si>
  <si>
    <t>GEN-TS-RESEAU-CP_LVDS_BIDIR.0105(1)</t>
  </si>
  <si>
    <t>The source ECU node shall have a serializer configured in twisted pair mode at power up.</t>
  </si>
  <si>
    <t>GEN-TS-RESEAU-CP_LVDS_BIDIR.0002(1)</t>
  </si>
  <si>
    <t>The ECU node shall have a male HSD connector type or compatible.</t>
  </si>
  <si>
    <t>GEN-TS-RESEAU-CP_LVDS_BIDIR.0012(2)</t>
  </si>
  <si>
    <t>GEN-TS-RESEAU-CP_LVDS_BIDIR.0080(2)</t>
  </si>
  <si>
    <t>The receiver ECU node shall have a deserializer integrating the GMSL technology from Maxim.</t>
  </si>
  <si>
    <t>GEN-TS-RESEAU-CP_LVDS_BIDIR.0001(4)</t>
  </si>
  <si>
    <t>The source ECU node shall have a serializer integrating the GMSL technology from Maxim.</t>
  </si>
  <si>
    <t>REQ-0040217</t>
  </si>
  <si>
    <t>A</t>
  </si>
  <si>
    <t>REQ-0040218</t>
  </si>
  <si>
    <t>REQ-0040219</t>
  </si>
  <si>
    <t>REQ-0040220</t>
  </si>
  <si>
    <t>REQ-0040222</t>
  </si>
  <si>
    <t>REQ-0040223</t>
  </si>
  <si>
    <t>REQ-0040224</t>
  </si>
  <si>
    <t>REQ-0040225</t>
  </si>
  <si>
    <t>REQ-0040226</t>
  </si>
  <si>
    <t>REQ-0040230</t>
  </si>
  <si>
    <t>REQ-0040231</t>
  </si>
  <si>
    <t>REQ-0040236</t>
  </si>
  <si>
    <t>REQ-0040237</t>
  </si>
  <si>
    <t>REQ-0040241</t>
  </si>
  <si>
    <t>REQ-0040245</t>
  </si>
  <si>
    <t>REQ-0040252</t>
  </si>
  <si>
    <t>REQ-0040253</t>
  </si>
  <si>
    <t>REQ-0040281</t>
  </si>
  <si>
    <t>REQ-0615818</t>
  </si>
  <si>
    <t>REQ-0040278</t>
  </si>
  <si>
    <t>REQ-0040280</t>
  </si>
  <si>
    <t>REQ-0040283</t>
  </si>
  <si>
    <t>REQ-0040284</t>
  </si>
  <si>
    <t>REQ-0040285</t>
  </si>
  <si>
    <t>REQ-0040291</t>
  </si>
  <si>
    <t>REQ-0040298</t>
  </si>
  <si>
    <t>REQ-0040299</t>
  </si>
  <si>
    <t>REQ-0491510</t>
  </si>
  <si>
    <t>REQ-0491521</t>
  </si>
  <si>
    <t>REQ-0491525</t>
  </si>
  <si>
    <t>REQ-0040322</t>
  </si>
  <si>
    <t>REQ-0040323</t>
  </si>
  <si>
    <t>REQ-0040324</t>
  </si>
  <si>
    <t>REQ-0040325</t>
  </si>
  <si>
    <t>REQ-0040328</t>
  </si>
  <si>
    <t>REQ-0491774</t>
  </si>
  <si>
    <t>REQ-0491764</t>
  </si>
  <si>
    <t>REQ-0491765</t>
  </si>
  <si>
    <t>REQ-0491768</t>
  </si>
  <si>
    <t>REQ-0040335</t>
  </si>
  <si>
    <t>REQ-0040337</t>
  </si>
  <si>
    <t>REQ-0040338</t>
  </si>
  <si>
    <t>REQ-0491769</t>
  </si>
  <si>
    <t>REQ-0491770</t>
  </si>
  <si>
    <t>REQ-0491771</t>
  </si>
  <si>
    <t>REQ-0491772</t>
  </si>
  <si>
    <t>REQ-0491773</t>
  </si>
  <si>
    <t>REQ-0040339</t>
  </si>
  <si>
    <t>REQ-0491878</t>
  </si>
  <si>
    <t>REQ-0491879</t>
  </si>
  <si>
    <t>REQ-0491880</t>
  </si>
  <si>
    <t>REQ-0491881</t>
  </si>
  <si>
    <t>REQ-0491882</t>
  </si>
  <si>
    <t>REQ-0040340</t>
  </si>
  <si>
    <t>REQ-0491883</t>
  </si>
  <si>
    <t>REQ-0040341</t>
  </si>
  <si>
    <t>REQ-0491884</t>
  </si>
  <si>
    <t>REQ-0040342</t>
  </si>
  <si>
    <t>REQ-0491885</t>
  </si>
  <si>
    <t>REQ-0040343</t>
  </si>
  <si>
    <t>REQ-0491886</t>
  </si>
  <si>
    <t>REQ-0040344</t>
  </si>
  <si>
    <t>REQ-0491887</t>
  </si>
  <si>
    <t>REQ-0040345</t>
  </si>
  <si>
    <t>REQ-0491888</t>
  </si>
  <si>
    <t>REQ-0040354</t>
  </si>
  <si>
    <t>REQ-0040355</t>
  </si>
  <si>
    <t>REQ-0040505</t>
  </si>
  <si>
    <t>REQ-0040508</t>
  </si>
  <si>
    <t>REQ-0040515</t>
  </si>
  <si>
    <t>REQ-0040518</t>
  </si>
  <si>
    <t>REQ-0040523</t>
  </si>
  <si>
    <t>REQ-0040524</t>
  </si>
  <si>
    <t>REQ-0040540</t>
  </si>
  <si>
    <t>REQ-0040547</t>
  </si>
  <si>
    <t>REQ-0040552</t>
  </si>
  <si>
    <t>REQ-0040559</t>
  </si>
  <si>
    <t>REQ-0491924</t>
  </si>
  <si>
    <t>REQ-0040600</t>
  </si>
  <si>
    <t>REQ-0040601</t>
  </si>
  <si>
    <t>REQ-0040606</t>
  </si>
  <si>
    <t>REQ-0040612</t>
  </si>
  <si>
    <t>REQ-0492705</t>
  </si>
  <si>
    <t>REQ-0492710</t>
  </si>
  <si>
    <t>REQ-0492711</t>
  </si>
  <si>
    <t>REQ-0492712</t>
  </si>
  <si>
    <t>REQ-0040616</t>
  </si>
  <si>
    <t>REQ-0492713</t>
  </si>
  <si>
    <t>REQ-0040620</t>
  </si>
  <si>
    <t>REQ-0040621</t>
  </si>
  <si>
    <t>REQ-0040623</t>
  </si>
  <si>
    <t>REQ-0040624</t>
  </si>
  <si>
    <t>REQ-0492922</t>
  </si>
  <si>
    <t>REQ-0492923</t>
  </si>
  <si>
    <t>REQ-0492924</t>
  </si>
  <si>
    <t>REQ-0492925</t>
  </si>
  <si>
    <t>REQ-0492926</t>
  </si>
  <si>
    <t>REQ-0492927</t>
  </si>
  <si>
    <t>REQ-0492928</t>
  </si>
  <si>
    <t>REQ-0492929</t>
  </si>
  <si>
    <t>REQ-0492930</t>
  </si>
  <si>
    <t>REQ-0492945</t>
  </si>
  <si>
    <t>REQ-0492946</t>
  </si>
  <si>
    <t>REQ-0492947</t>
  </si>
  <si>
    <t>REQ-0040625</t>
  </si>
  <si>
    <t>REQ-0492951</t>
  </si>
  <si>
    <t>REQ-0040626</t>
  </si>
  <si>
    <t>REQ-0040627</t>
  </si>
  <si>
    <t>REQ-0040630</t>
  </si>
  <si>
    <t>REQ-0040631</t>
  </si>
  <si>
    <t>REQ-0040633</t>
  </si>
  <si>
    <t>REQ-0040634</t>
  </si>
  <si>
    <t>REQ-0040635</t>
  </si>
  <si>
    <t>REQ-0492952</t>
  </si>
  <si>
    <t>REQ-0040642</t>
  </si>
  <si>
    <t>REQ-0040644</t>
  </si>
  <si>
    <t>REQ-0040647</t>
  </si>
  <si>
    <t>REQ-0040649</t>
  </si>
  <si>
    <t>REQ-0040651</t>
  </si>
  <si>
    <t>REQ-0040652</t>
  </si>
  <si>
    <t>REQ-0040653</t>
  </si>
  <si>
    <t>REQ-0040654</t>
  </si>
  <si>
    <t>REQ-0040655</t>
  </si>
  <si>
    <t>REQ-0492966</t>
  </si>
  <si>
    <t>REQ-0040656</t>
  </si>
  <si>
    <t>REQ-0040657</t>
  </si>
  <si>
    <t>REQ-0040658</t>
  </si>
  <si>
    <t>REQ-0040659</t>
  </si>
  <si>
    <t>REQ-0040660</t>
  </si>
  <si>
    <t>REQ-0040661</t>
  </si>
  <si>
    <t>REQ-0040662</t>
  </si>
  <si>
    <t>REQ-0040663</t>
  </si>
  <si>
    <t>REQ-0040664</t>
  </si>
  <si>
    <t>REQ-0040669</t>
  </si>
  <si>
    <t>REQ-0040670</t>
  </si>
  <si>
    <t>REQ-0040677</t>
  </si>
  <si>
    <t>REQ-0040678</t>
  </si>
  <si>
    <t>REQ-0040681</t>
  </si>
  <si>
    <t>REQ-0040682</t>
  </si>
  <si>
    <t>REQ-0040683</t>
  </si>
  <si>
    <t>REQ-0040684</t>
  </si>
  <si>
    <t>REQ-0040685</t>
  </si>
  <si>
    <t>REQ-0040686</t>
  </si>
  <si>
    <t>REQ-0040687</t>
  </si>
  <si>
    <t>REQ-0040689</t>
  </si>
  <si>
    <t>REQ-0040690</t>
  </si>
  <si>
    <t>REQ-0040695</t>
  </si>
  <si>
    <t>REQ-0040698</t>
  </si>
  <si>
    <t>REQ-0040699</t>
  </si>
  <si>
    <t>REQ-0040700</t>
  </si>
  <si>
    <t>REQ-0492991</t>
  </si>
  <si>
    <t>REQ-0040705</t>
  </si>
  <si>
    <t>REQ-0493030</t>
  </si>
  <si>
    <t>REQ-0493033</t>
  </si>
  <si>
    <t>REQ-0040708</t>
  </si>
  <si>
    <t>REQ-0493034</t>
  </si>
  <si>
    <t>REQ-0493047</t>
  </si>
  <si>
    <t>REQ-0493049</t>
  </si>
  <si>
    <t>REQ-0040709</t>
  </si>
  <si>
    <t>REQ-0493050</t>
  </si>
  <si>
    <t>REQ-0493053</t>
  </si>
  <si>
    <t>REQ-0493055</t>
  </si>
  <si>
    <t>REQ-0040716</t>
  </si>
  <si>
    <t>REQ-0040718</t>
  </si>
  <si>
    <t>REQ-0040719</t>
  </si>
  <si>
    <t>REQ-0040725</t>
  </si>
  <si>
    <t>REQ-0040720</t>
  </si>
  <si>
    <t>REQ-0040721</t>
  </si>
  <si>
    <t>REQ-0493104</t>
  </si>
  <si>
    <t>REQ-0040726</t>
  </si>
  <si>
    <t>REQ-0040727</t>
  </si>
  <si>
    <t>REQ-0040728</t>
  </si>
  <si>
    <t>REQ-0040729</t>
  </si>
  <si>
    <t>REQ-0040732</t>
  </si>
  <si>
    <t>REQ-0040737</t>
  </si>
  <si>
    <t>REQ-0040741</t>
  </si>
  <si>
    <t>REQ-0493105</t>
  </si>
  <si>
    <t>REQ-0040748</t>
  </si>
  <si>
    <t>REQ-0040752</t>
  </si>
  <si>
    <t>REQ-0040758</t>
  </si>
  <si>
    <t>REQ-0493106</t>
  </si>
  <si>
    <r>
      <t xml:space="preserve">Revision
</t>
    </r>
    <r>
      <rPr>
        <b/>
        <sz val="12"/>
        <color rgb="FF0070C0"/>
        <rFont val="Calibri"/>
        <family val="2"/>
      </rPr>
      <t>Revision</t>
    </r>
  </si>
  <si>
    <t>RSP</t>
  </si>
  <si>
    <t>Revision</t>
  </si>
  <si>
    <t>[TS1]</t>
  </si>
  <si>
    <t>RSP-0000230</t>
  </si>
  <si>
    <t>[TS2]</t>
  </si>
  <si>
    <t>-</t>
  </si>
  <si>
    <t>[CJF1]</t>
  </si>
  <si>
    <t>The ECU node shall link to the video stream ID: 01.</t>
  </si>
  <si>
    <t>The supplier shall review the Forward channel eye map and the Reverse channel eye map with MAXIM.</t>
  </si>
  <si>
    <t>[VAL]</t>
  </si>
  <si>
    <t>Validation and contents expected for low layers deliveries</t>
  </si>
  <si>
    <t>RSP-0008155</t>
  </si>
  <si>
    <t>02016_15_06111</t>
  </si>
  <si>
    <t>REQ-0744968</t>
  </si>
  <si>
    <t>REQ-0712366</t>
  </si>
  <si>
    <t>REQ-0658434</t>
  </si>
  <si>
    <t>REQ-0712367</t>
  </si>
  <si>
    <t>REQ-0658444</t>
  </si>
  <si>
    <t>REQ-0658495</t>
  </si>
  <si>
    <t>REQ-0658476</t>
  </si>
  <si>
    <t>REQ-0658483</t>
  </si>
  <si>
    <t>REQ-0658478</t>
  </si>
  <si>
    <t>REQ-0658480</t>
  </si>
  <si>
    <t>REQ-0658482</t>
  </si>
  <si>
    <t>REQ-0744964</t>
  </si>
  <si>
    <t>REQ-0712405</t>
  </si>
  <si>
    <t>REQ-0712401</t>
  </si>
  <si>
    <t>REQ-0712426</t>
  </si>
  <si>
    <t>REQ-0745043</t>
  </si>
  <si>
    <t>REQ-0712427</t>
  </si>
  <si>
    <t>REQ-0744965</t>
  </si>
  <si>
    <t>REQ-0744966</t>
  </si>
  <si>
    <t>REQ-0744957</t>
  </si>
  <si>
    <t>REQ-0744958</t>
  </si>
  <si>
    <t>REQ-0732200</t>
  </si>
  <si>
    <t>REQ-0732201</t>
  </si>
  <si>
    <t>REQ-0732568</t>
  </si>
  <si>
    <t>REQ-0732569</t>
  </si>
  <si>
    <t>REQ-0731959</t>
  </si>
  <si>
    <t>REQ-0731956</t>
  </si>
  <si>
    <t>REQ-0731957</t>
  </si>
  <si>
    <t>REQ-0731960</t>
  </si>
  <si>
    <t>REQ-0732570</t>
  </si>
  <si>
    <t>REQ-0732571</t>
  </si>
  <si>
    <t>REQ-0731893</t>
  </si>
  <si>
    <t>REQ-0731895</t>
  </si>
  <si>
    <t>REQ-0731896</t>
  </si>
  <si>
    <t>B</t>
  </si>
  <si>
    <t>C</t>
  </si>
  <si>
    <t>Deserializer approved by Stellantis</t>
  </si>
  <si>
    <t>Connector</t>
  </si>
  <si>
    <t>GMSL2 Forward channel bit rate calibration parameter</t>
  </si>
  <si>
    <t>GMSL2 Forward channel bit rate: 6Gbps</t>
  </si>
  <si>
    <t>GMSL2 Forward channel bit rate: 3Gbps</t>
  </si>
  <si>
    <t>GMSL2 Reverse channel bit rate: 187.5 Mbps</t>
  </si>
  <si>
    <t>UART Main control channel</t>
  </si>
  <si>
    <t>Source UART Pass-through channel 1</t>
  </si>
  <si>
    <t>Source UART Pass-through channel 2</t>
  </si>
  <si>
    <t>Receiver Pass-through HW connection to UART µC</t>
  </si>
  <si>
    <t>Receiver enables Pass-through channel 1 only</t>
  </si>
  <si>
    <t>Receiver enables Pass-through channel 2 only</t>
  </si>
  <si>
    <t>Parallel interface between the ISP/imager and the serializer</t>
  </si>
  <si>
    <t>Parallel interface between the panel and the deserializer</t>
  </si>
  <si>
    <t>OpenLDI interface between the panel and the deserializer</t>
  </si>
  <si>
    <t>Dual OpenLDI interface between the µC and the serializer</t>
  </si>
  <si>
    <t>Dual OpenLDI interface between the panel and the deserializer</t>
  </si>
  <si>
    <t>eDP 1.4a or DP1.4 interface between the µC and the serializer</t>
  </si>
  <si>
    <t>CSI-2 video interface between the ISP/imager and the serializer</t>
  </si>
  <si>
    <t>CSI-2 video interface between the µC and the deserializer</t>
  </si>
  <si>
    <t>Video stream ID: 00</t>
  </si>
  <si>
    <t>Video stream ID: 01</t>
  </si>
  <si>
    <t>Power switch signal</t>
  </si>
  <si>
    <t>Ground of Power switch signal</t>
  </si>
  <si>
    <t>S-Parameters of the source ECU</t>
  </si>
  <si>
    <t>S-Parameters of the receiver ECU</t>
  </si>
  <si>
    <t>Link margin test</t>
  </si>
  <si>
    <t>Source ECU node Link margin calibration</t>
  </si>
  <si>
    <t>Receiver ECU node Link margin calibration</t>
  </si>
  <si>
    <t>Eye map</t>
  </si>
  <si>
    <t>Display use case cable requirements</t>
  </si>
  <si>
    <t>Camera use case cable requirements</t>
  </si>
  <si>
    <t>Spread Spectrum feature on Deserializer</t>
  </si>
  <si>
    <t>Source ECU node configuration of the serializer Spread Spectrum</t>
  </si>
  <si>
    <t>Receiver ECU node configuration of the serializer Spread Spectrum</t>
  </si>
  <si>
    <t>The source ECU node shall have a serializer with a reference chosen in the list approved by Stellantis in Annex A and submitted its approval to insure the compatibility with the deserializer of other ECU node.</t>
  </si>
  <si>
    <t>The receiver ECU node shall have a deserializer with a reference chosen in the list approved by Stellantis in Annex A and submitted its approval to insure the compatibility with the serializer of other ECU node.</t>
  </si>
  <si>
    <t>The ECU node shall have the GMSL link configured in 24 bits mode.</t>
  </si>
  <si>
    <t>The ECU node shall have the GMSL link configured in 32 bits mode.</t>
  </si>
  <si>
    <t>The ECU node shall have the GMSL link configured in 27 bits High Bandwidth mode.</t>
  </si>
  <si>
    <t>The source ECU node shall have a diagnostic calibration parameter called FORWARD_CHANNEL_BIT_RATE_x to select the forward channel bit rate of its serializer between 6 Gbps and 3 Gbps.</t>
  </si>
  <si>
    <t>The ECU node shall have the forward channel bit rate configured at 6Gbps.</t>
  </si>
  <si>
    <t>The ECU node shall have the forward channel bit rate configured at 3 Gbps.</t>
  </si>
  <si>
    <t>The ECU node shall have the reverse channel bit rate configured at 187.5 Mbps.</t>
  </si>
  <si>
    <t>The ECU node shall have a dedicated UART interface of its microcontroller connected to the main control channel of the SerDes.</t>
  </si>
  <si>
    <t>The source ECU node shall have a dedicated UART interface of its microcontroller connected to the pass-through channel 1 of its serializer.</t>
  </si>
  <si>
    <t>The source ECU node shall have a dedicated UART interface of its microcontroller connected to the pass-through channel 2 of its serializer.</t>
  </si>
  <si>
    <t>The receiver ECU node shall have pass-through channels 1 and 2 of its deserializer connected to the same and dedicated UART interface of its microcontroller.</t>
  </si>
  <si>
    <t>The receiver ECU node shall configure the deserializer to enable the pass-through channel 1 and disable pass-through channel 2.</t>
  </si>
  <si>
    <t>The receiver ECU node shall configure the deserializer to enable the pass-through channel 2 and disable pass-through channel 1.</t>
  </si>
  <si>
    <t>The source ECU node shall have a microcontroller with a parallel video interface connected to the serializer.</t>
  </si>
  <si>
    <t>The source ECU node shall have an ISP or an imager with a parallel video interface connected to the serializer.</t>
  </si>
  <si>
    <t>The receiver ECU node shall have a panel with a parallel video interface connected to the deserializer.</t>
  </si>
  <si>
    <t>The source ECU node shall have a microcontroller with an openLDI video interface connected to the serializer.</t>
  </si>
  <si>
    <t>The receiver ECU node shall have a panel with an openLDI video interface connected to the deserializer.</t>
  </si>
  <si>
    <t>The source ECU node shall have a microcontroller with a dual openLDI video interface connected to the serializer.</t>
  </si>
  <si>
    <t>The receiver ECU node shall have a panel with a dual openLDI video interface connected to the deserializer.</t>
  </si>
  <si>
    <t>The source ECU node shall have a microcontroller with an HDMI 1.4 video interface connected to the serializer.</t>
  </si>
  <si>
    <t>The source ECU node shall have a microcontroller with a DSI video interface connected to the serializer.</t>
  </si>
  <si>
    <t>The source ECU node shall have a microcontroller with an eDP 1.4a or DP1.4 video interface connected to the serializer.</t>
  </si>
  <si>
    <t>The source ECU node shall have a microcontroller supporting a CSI-2 video interface with the serializer.</t>
  </si>
  <si>
    <t>The source ECU node shall have an ISP or an imager with a CSI-2 video interface connected to the serializer.</t>
  </si>
  <si>
    <t>The receiver ECU node shall have a microcontroller with a CSI-2 video interface connected to the deserializer.</t>
  </si>
  <si>
    <t>The ECU node shall link to the video stream ID: 00.</t>
  </si>
  <si>
    <t>The source ECU node shall have a diagnostic calibration parameter called PIXEL_CLOCK_x to modify the source pixel clock value by step of 0,01MHz in the whole range of [6,25MHz;215MHz].</t>
  </si>
  <si>
    <t>The source ECU node shall have a pixel clock deviation “Tol_source” from nominal pixel clock "PIXEL_CLOCK_x" &amp;amp;lt; ± 0,04% in the following conditions :
- The deviation applies up to the end of the entire GMSL frame.
-  The deviation is considered in ECU operating range of temperature, operating voltage and ageing drift. 
- The deviation includes inaccuracy of the setting of the pixel clock due to granularity of the configurable pixel clock.</t>
  </si>
  <si>
    <t>The source ECU node shall support VESA 24 bits video coding for the LVDS Parallel and OpenLDI video interface outputs of the microcontroller or graphic controller when the source pixel depth is 18 or 24 bits according to table 1 or table 2.</t>
  </si>
  <si>
    <t>The source ECU node shall support JEIDA 24 bits video coding for the LVDS Parallel and OpenLDI video interface outputs of the microcontroller or graphic controller when the source pixel depth is 24 bits according to table 1 or table 2.</t>
  </si>
  <si>
    <t>The ECU node shall provide a video stream coded on 18-bit RGB color.</t>
  </si>
  <si>
    <t>The ECU node shall provide a video stream coded on 24-bit RGB color.</t>
  </si>
  <si>
    <t>The source ECU node shall trigger on the rising edge of the pixel clock input of the serializer.</t>
  </si>
  <si>
    <t>The receiver ECU node shall trigger on the rising edge of the pixel clock output of the deserializer.</t>
  </si>
  <si>
    <t>The ECU node shall support 8-bit YCbCr 4:2:2 video coding.</t>
  </si>
  <si>
    <t>The ECU node shall support 10-bit YCbCr 4:2:2 video coding.</t>
  </si>
  <si>
    <t>The ECU node shall support 12-bit YCbCr 4:2:2 video coding.</t>
  </si>
  <si>
    <t>The ECU node shall support 8-bit muxed YCbCr 4:2:2 video coding.</t>
  </si>
  <si>
    <t>The ECU node shall support 10-bit muxed YCbCr 4:2:2 video coding.</t>
  </si>
  <si>
    <t>The ECU node shall support 8-bit RAW single load video coding.</t>
  </si>
  <si>
    <t>The ECU node shall support 10-bit RAW single load video coding.</t>
  </si>
  <si>
    <t>The ECU node shall support 12-bit RAW single load video coding.</t>
  </si>
  <si>
    <t>The ECU node shall support 14-bit RAW single load video coding.</t>
  </si>
  <si>
    <t>The ECU node shall support 8-bit RAW double load video coding.</t>
  </si>
  <si>
    <t>The ECU node shall support 10-bit RAW double load video coding.</t>
  </si>
  <si>
    <t>The ECU node shall support 12-bit RAW double load video coding.</t>
  </si>
  <si>
    <t xml:space="preserve">The ECU node shall have a layout including the F1 box filter closed to the HSD connector, for topologies presented in figures 2, 10, 4 and 12, adjustable in function of the EMC results, compliant with the response below and submitted to Stellantis during the HW review.
Filter F1:
</t>
  </si>
  <si>
    <t>The ECU node shall have the following values for the filter F1 components, as a proposal of Stellantis, which could be adjusted according to EMC results and submitted to Stellantis during the HW review:
L0 = 39µH
C0 = C1 = 33nF
F0 = 600 Ω @ 100 MHz (ferrite)</t>
  </si>
  <si>
    <t xml:space="preserve">The ECU node shall have its ground separated from the shield of the twisted pair cable in a way to have a modular connection between the shield and the ground of the ECU in order to prevent current return on the shield either with a capacitor, inductive components, straps, a resistor or any RLC component.
 </t>
  </si>
  <si>
    <t>The ECU node shall have a power switch signal transported in the same cable than the GMSL link for topology presented in figure 2.</t>
  </si>
  <si>
    <t>The ECU node shall have the ground of a power switch signal transported through the shielding of the cable.</t>
  </si>
  <si>
    <t>The ECU node shall have a review of the electrical schematic and the layout of the LVDS interface between the supplier and the manufacturer of the component.
LVDS interfaces represented in this document are given as an indication. In case of a deviation compared to these diagrams, the supplier shall justify his decision. 
Note: The value of the decoupling capacities is related to the frequency of the link, the type of decoupling used on the transmitter and receiver side.
Stellantis expects a report of this review with the acceptation of the design and layout from Analog Device.</t>
  </si>
  <si>
    <t xml:space="preserve">The source ECU node shall manage the start and the stop the serialization to fit the requirements of the document [9].
</t>
  </si>
  <si>
    <t xml:space="preserve">The ECU node shall have the voltage levels described below according to the following conditions: 
Conditions: 
RL = 100 ohms+/-1%.
Temperature range: -40°C +95°C
	Min (mVP-P)	Typ
(mVP-P)	Max
(mVP-P)
Vdiff (without preemphasis)	300 	400 	500 
Vdiff Vod(P) (with 3,3dB preemphasis) (*) 	350	NA	610
Vdiff Vod(D) (with 3,3dB deemphasis) (*)	240	NA	425
The GMSL signal consists on offset voltage named VOS
VOS = [(Vout+) + (Vout-)] / 2
Figure 6 : GMSL Signaling
(*)When preemphasis is enabled, the swing is increased for the 1st bit Vod(p) and if the bit stays the same (no edge) the swing is reduced to lower level Vod(d) :
</t>
  </si>
  <si>
    <t>The Supplier shall deliver an eye diagram measurement report of the source ECU node following the procedure shown in Figure 7 and Figure 8.
Variable conditions of this measurement: 
Data rate:
The ECU node eye diagram has to be measured for both GMSL 30 bits and GMSL 40 bits mode. 
The component eye diagram have to be measured at two pixel clock frequencies :
The pixel clock(s) specified in the “ECU technical specification” of the ECU.
For the display application the maximum pixel clock supported by the GMSL link shall be 104 MHz for GMSL 30 bits data frame or 78 MHz for GMSL 40 bits data frame, which means that the maximum data rate shall be 3.125Gbit/s.
For the camera application the maximum pixel clock supported by the GMSL link shall be 116 MHz for GMSL 30 bits data frame or 87MHz for GMSL 40 bits data frame, which means that the maximum data rate shall be 1.74Gbit/s. 
Eye diagram measurements have to show the following analyzed parameters (see figure 6 above) :
- rise time 10%-90% (A to B)
- fall time 90%-10% (C to D)
- Eye Height (measured between 40% of the Unit Interval duration and 60% of the Unit Interval)
- Eye Width (A to D)
- Total Jitter
Preemphasis value:
Preemphasis has to be disabled.
Cable: 
the cable used for the test is defined in section 5.6.1.1Requirements about cables
Eye diagram pattern:
The Eye Diagram measurements delivered by the supplier have to be similar to the eye patterns given in ANNEX B.</t>
  </si>
  <si>
    <t>The ECU node shall have a total Serial Output Jitter lower than 0,25 UI with the following conditions :
3.125Gbps PRBS signal, measured at VOD = 0V differential
Preemphasis has to be disabled</t>
  </si>
  <si>
    <t>The ECU node shall have a deterministic Serial Output Jitter lower than 0,15 UI with the following conditions :
3.125Gbps PRBS signal</t>
  </si>
  <si>
    <t>The supplier shall deliver a Justification File which details in addition to the measure:
The decomposition of the deterministic jitter at 3,125 Gbps and at the nominal pixel clock defined in the ECU Technical Specification, with the amount of each part :
Periodic jitter
Data Dependent Jitter
Duty-cycle dependent jitter
The justification based on design and hardware analysis
The influence of the temperature and ageing</t>
  </si>
  <si>
    <t xml:space="preserve">The Supplier shall deliver measurement report of the receiver ECU node following the procedure described in Figure 8:
For the following frequency:
The pixel clock specified in the “ECU technical specification” of the ECU.
For the display application the maximum pixel clock supported by the GMSL link shall be 104 MHz for GMSL 30 bits data frame or 78 MHz for GMSL 40 bits data frame.
For the camera application the maximum pixel clock supported by the GMSL link shall be 116 MHz for GMSL 30 bits data frame or 87 MHz for GMSL 40 bits data frame.
For each frequency:
With a short cable with a loss less than 2dB :
Capture eye opening at TP3. Eye opening at TP3 has to meet the GMSL1 channel spec with EQ at minimum and loss is &amp;amp;lt;2dB.
Run a PRBS test without error.
With a long cable of 15 m :
Adjust the EQ levels to compensate additional cable loss
Run a PRBS test without error. 
</t>
  </si>
  <si>
    <t>The supplier of the source ECU node shall deliver a measurement report of the Insertion Loss and Return Loss of the PCB trace from the serializer to the PCB connector that complies to GMSL2 channel specifications.</t>
  </si>
  <si>
    <t>The supplier of the receiver ECU node shall deliver a measurement report of the Insertion Loss and Return Loss of the PCB trace from the PCB connector to the deserializer that complies to GMSL2 channel specifications.</t>
  </si>
  <si>
    <t>The supplier shall provide the Forward Channel and the Reverse Channel link margin test report for the with the following settings and results:
Test settings:
Channel Rate Selection:
Forward 6Gbps
Reverse 187 Mbps
Channel Test Selection: Both Channels
Delay Time for Errors: 25 s
Minimum TX Setting: 50 mV
Iterations: 3
Test results:
Forward Channel link margin ≥ 200 mV
Reverse Channel link margin ≥ 110 mV</t>
  </si>
  <si>
    <t>The source ECU node shall have a diagnostic request parameter called Link_Margin to run the link margin test.</t>
  </si>
  <si>
    <t>The receiver ECU node shall have a diagnostic request parameter called Link_Margin to run the link margin test.</t>
  </si>
  <si>
    <t>The supplier shall test the ECU with cable that meet Stellantis cable specifications and the following lengths:
5m with no inline connector
Worst case cable assembly</t>
  </si>
  <si>
    <t>The supplier shall test the ECU with cables that meet Stellantis cable specifications and the following lengths:
10 meters cable length with 2 inline connectors
Worst case end to end cable length + inline connectors specified
Worst case inline connectors numbers on end-to-end cable length</t>
  </si>
  <si>
    <t>The source ECU node shall have a diagnostic request parameter called PRBS_TEST to run the PRBS test and read the number of detected errors according to the following sequence :
The source ECU activates the PRBS test on serializer side
Then the source ECU activates the PRBS test on deserializer side
Then the source ECU reads the PRBS test result on deserializer side
Then the source ECU stops the PRBS test on deserializer side
Then the source ECU stops the PRBS test on serializer side</t>
  </si>
  <si>
    <t>The receiver ECU node shall have a diagnostic request parameter called PRBS_TEST to run the PRBS test and read the number of detected errors according to the following sequence :
The receiver ECU activates the PRBS test on serializer side
Then the receiver ECU activates the PRBS test on deserializer side
Then the receiver ECU reads the PRBS test result on deserializer side
Then the receiver ECU stops the PRBS test on deserializer side
Then the receiver ECU stops the PRBS test on serializer side</t>
  </si>
  <si>
    <t>The source ECU node shall have a serializer with Spread Spectrum feature.</t>
  </si>
  <si>
    <t xml:space="preserve">The receiver ECU node shall have a deserializer with Spread Spectrum feature.
</t>
  </si>
  <si>
    <t>The source ECU node shall have a diagnostic calibration parameter called SOURCE_SPREAD_SPECTRUM_x to select the serializer spread spectrum value among:
No spread spectrum
±0,0268% 
±0,0580% 
±0,0970%
±0,175%
±0,253%</t>
  </si>
  <si>
    <t>The receiver ECU node shall have a diagnostic calibration parameter called SOURCE_SPREAD_SPECTRUM_x to select the serializer spread spectrum value among:
No spread spectrum
±0,0268% 
±0,0580% 
±0,0970%
±0,175%
±0,253%</t>
  </si>
  <si>
    <t>The receiver ECU node shall have two capacitors at the deserializer intput for proper link operation and to provide protection if either ends of the cable is shorted to a high voltage.</t>
  </si>
  <si>
    <t>The receiver ECU node shall have a panel with an eDP 1.4a or DP1.4 video interface connected with the deserializer.</t>
  </si>
  <si>
    <t>REQ-0729430</t>
  </si>
  <si>
    <t>LL_01 : Certification laboratory</t>
  </si>
  <si>
    <t>REQ-0729431</t>
  </si>
  <si>
    <t>LL_03 : Implementation features</t>
  </si>
  <si>
    <t>REQ-0729426</t>
  </si>
  <si>
    <t>REQ-0729427</t>
  </si>
  <si>
    <t>REQ-0729428</t>
  </si>
  <si>
    <t>REQ-0729429</t>
  </si>
  <si>
    <t>REQ-0727438</t>
  </si>
  <si>
    <t>REQ-0729420</t>
  </si>
  <si>
    <t>REQ-0729421</t>
  </si>
  <si>
    <t>REQ-0729422</t>
  </si>
  <si>
    <t>REQ-0729423</t>
  </si>
  <si>
    <t>REQ-0729433</t>
  </si>
  <si>
    <t>REQ-0729424</t>
  </si>
  <si>
    <t>REQ-0729425</t>
  </si>
  <si>
    <t>LL_04 : Low layers deliveries</t>
  </si>
  <si>
    <t>LL_05 : Planning delivery</t>
  </si>
  <si>
    <t>LL_06: Masking rules</t>
  </si>
  <si>
    <t>LL_08: Template of report</t>
  </si>
  <si>
    <t>Software and hardware delivery sheet</t>
  </si>
  <si>
    <t>Test plan</t>
  </si>
  <si>
    <t>Detailed tests reports</t>
  </si>
  <si>
    <t>STLA report</t>
  </si>
  <si>
    <t>Supplier conformity matrix</t>
  </si>
  <si>
    <t>Schematic</t>
  </si>
  <si>
    <t>BOM</t>
  </si>
  <si>
    <t>CJFs</t>
  </si>
  <si>
    <t>AUTHOR</t>
  </si>
  <si>
    <t>ASSENTOR</t>
  </si>
  <si>
    <t>Name : Mohandas LAOUROU</t>
  </si>
  <si>
    <t xml:space="preserve">Name : </t>
  </si>
  <si>
    <t>Creation</t>
  </si>
  <si>
    <t>GMSL based LVDS Bi-directional I2C Communication Rules Technical Specification</t>
  </si>
  <si>
    <t>Department</t>
  </si>
  <si>
    <t>Ref</t>
  </si>
  <si>
    <t>Requirement Identifier</t>
  </si>
  <si>
    <t>Requirement title</t>
  </si>
  <si>
    <t>Requirement Description</t>
  </si>
  <si>
    <t>The ECU node shall enable Tunneling mode.</t>
  </si>
  <si>
    <t>HFM Jack connector</t>
  </si>
  <si>
    <t>The ECU node shall have a jack HFM connector.</t>
  </si>
  <si>
    <t>The source ECU node shall have a diagnostic calibration parameter called FORWARD_CHANNEL_BIT_RATE_x to select the forward channel bit rate of its serializer between 12 Gbps, 6 Gbps and 3 Gbps.</t>
  </si>
  <si>
    <t>The ECU node shall have the forward channel bit rate configured at 12Gbps.</t>
  </si>
  <si>
    <t>The ECU node shall have a dedicated I2C interface of its microcontroller connected to the main control channel of the SerDes.</t>
  </si>
  <si>
    <t>The source ECU node shall have a dedicated I2C interface of its microcontroller connected to the pass-through channel 1 of its serializer.</t>
  </si>
  <si>
    <t>The receiver ECU node shall have pass-through channels 1 and 2 of its deserializer connected to the same and dedicated I2C interface of its microcontroller.</t>
  </si>
  <si>
    <t>The ECU node SerDes shall support GMSL3 technology.</t>
  </si>
  <si>
    <t>HDCP 1.4</t>
  </si>
  <si>
    <t>The ECU node SerDes shall support HDCP 1.4.</t>
  </si>
  <si>
    <t>HDCP 2.3</t>
  </si>
  <si>
    <t>The ECU node SerDes shall support HDCP 2.3.</t>
  </si>
  <si>
    <t>The ECU node shall enable Auto HDCP of the SerDes.</t>
  </si>
  <si>
    <t>GMSL 3 Pixel clock Range Calibration</t>
  </si>
  <si>
    <t>The supplier of the source ECU node shall deliver a measurement report of the Insertion Loss and Return Loss of the PCB trace from the serializer to the PCB connector that complies to GMSL3 channel specifications.</t>
  </si>
  <si>
    <t>The supplier of the receiver ECU node shall deliver a measurement report of the Insertion Loss and Return Loss of the PCB trace from the PCB connector to the deserializer that complies to GMSL3 channel specifications.</t>
  </si>
  <si>
    <t>The receiver ECU node shall activate the deserializer Automatic Equalizer.</t>
  </si>
  <si>
    <t>The ECU node shall have a jack H-MTD output connector.</t>
  </si>
  <si>
    <t>The ECU node shall have a jack H-MTD input connector.</t>
  </si>
  <si>
    <t>Source ECU node I2C HW link between Ser PT1 and the µC</t>
  </si>
  <si>
    <t>Source ECU node I2C HW link between Ser PT2 and the µC</t>
  </si>
  <si>
    <t>The source ECU node shall have a dedicated I2C interface of its microcontroller connected to the pass-through channel 2 of its serializer.</t>
  </si>
  <si>
    <t>Receiver ECU node I2C HW link between Des PT1 + PT2 and the µC</t>
  </si>
  <si>
    <t>Receiver ECU node PT1 activation and PT2 deactivation</t>
  </si>
  <si>
    <t>Receiver ECU node PT1 deactivation and PT2 activation</t>
  </si>
  <si>
    <t>GMSL3 technology</t>
  </si>
  <si>
    <t>HDCP_ENABLE calibration parameter</t>
  </si>
  <si>
    <t>The ECU node shall have a diagnostic calibration parameter called HDCP_ENABLE to enable or disable HDCP.</t>
  </si>
  <si>
    <t>The ECU node SerDes shall support Tunneling mode.</t>
  </si>
  <si>
    <t>Tunneling Mode support</t>
  </si>
  <si>
    <t>The receiver ECU node shall have a diagnostic calibration parameter called Tunneling mode to select the Tunneling mode or the Pixel mode.</t>
  </si>
  <si>
    <t>Tunneling Mode enable</t>
  </si>
  <si>
    <t>The source ECU node shall have a diagnostic calibration parameter called PIXEL_CLOCK_x to modify the source pixel clock value by step of 0,01MHz in the whole range of [6,25MHz; 455MHz].</t>
  </si>
  <si>
    <t>The supplier shall provide the Forward Channel and the Reverse Channel link margin test report for the with the following settings and results:
Test settings:
•	Channel Rate Selection:
           o	Forward 12Gbps
           o	Reverse 187 Mbps
•	Channel Test Selection: Both Channels
•	Delay Time for Errors: 25 s
•	Minimum TX Setting: 50 mV
•	Iterations: 3
Test results:
•	Forward Channel link margin ≥ 150 mV
•	Reverse Channel link margin ≥ 70 mV</t>
  </si>
  <si>
    <t>Tcom_loss_LVDS</t>
  </si>
  <si>
    <t>Tleaf_power_off</t>
  </si>
  <si>
    <t xml:space="preserve">TiniTLVDS_root </t>
  </si>
  <si>
    <t xml:space="preserve">TiniTLVDS_leaf </t>
  </si>
  <si>
    <t>The root ECU node shall initialize the LVDS bi-dir communication layers in less than TiniTLVDS_root ≤ 600 ms.</t>
  </si>
  <si>
    <t>The leaf ECU node shall initialize the LVDS bi-dir communication layers in less than TiniTLVDS_leaf ≤ 200 ms from power up.</t>
  </si>
  <si>
    <t>The root ECU node shall manage the following parameter</t>
  </si>
  <si>
    <t>The ECU node shall comply to I2C Bus specification.</t>
  </si>
  <si>
    <t>The root ECU node shall consume a READ frame after transmitting a HEADER frame.</t>
  </si>
  <si>
    <t>The ECU node shall consume a frame after its complete and errorless reception.</t>
  </si>
  <si>
    <t>REQ-001</t>
  </si>
  <si>
    <t>REQ-004</t>
  </si>
  <si>
    <t>REQ-005</t>
  </si>
  <si>
    <t>REQ-006</t>
  </si>
  <si>
    <t>REQ-007</t>
  </si>
  <si>
    <t>The ECU node shall have less than 1 per million of complete, errorless and not consumed frames after reception.</t>
  </si>
  <si>
    <t>The ECU node shall produce messages with a constant data length for a same ID value sent in a WRITE frame or a READ frame.</t>
  </si>
  <si>
    <t>REQ-008</t>
  </si>
  <si>
    <t>REQ-009</t>
  </si>
  <si>
    <t>The ECU node shall manage a WRITE frame structured as follow:</t>
  </si>
  <si>
    <t>REQ-010</t>
  </si>
  <si>
    <t xml:space="preserve">The ECU node shall manage a HEADER frame structured as follow: </t>
  </si>
  <si>
    <t>REQ-011</t>
  </si>
  <si>
    <t>The ECU node shall manage a READ frame structured as follow:</t>
  </si>
  <si>
    <t>The ECU node shall manage a WRITE frame with a maximum length of 90 data bytes from D0 to D89 at a bit rate of 1Mbit/s.
WRITE_FRAME_MAX_LEN = 90 bytes</t>
  </si>
  <si>
    <t>The ECU node shall manage a READ frame shall have a maximum length of 90 data bytes from D0 to D89.
READ_FRAME_MAX_LEN = 90 bytes</t>
  </si>
  <si>
    <t>The ECU node shall manage GMSL I2C frame format to write and read in the serializer and the deserializer.</t>
  </si>
  <si>
    <t>REQ-014</t>
  </si>
  <si>
    <t>REQ-015</t>
  </si>
  <si>
    <t>The ECU node shall transmit data bytes according to the big-endian convention.</t>
  </si>
  <si>
    <t>REQ-016</t>
  </si>
  <si>
    <t>The root ECU shall manage following address for its serializer:
-	Serializer DEV_ADDR = 0x80</t>
  </si>
  <si>
    <t>The root ECU shall manage following address for its serializer:
-	Serializer DEV_ADDR = 0x84</t>
  </si>
  <si>
    <t>The root ECU shall manage following address for its serializer:
-	Serializer DEV_ADDR = 0xC0</t>
  </si>
  <si>
    <t>The root ECU shall manage following address for its serializer:
-	Serializer DEV_ADDR = 0xC4</t>
  </si>
  <si>
    <t>REQ-017</t>
  </si>
  <si>
    <t>The ECU node shall manage following addresses for the deserializer and the microcontroller of the leaf ECU node:
Deserializer DEV_ADDR = 0x90
              µC DEV_ADDR = 0xA0</t>
  </si>
  <si>
    <t>REQ-018</t>
  </si>
  <si>
    <t>The ECU node shall manage following addresses for the deserializer and the microcontroller of the leaf ECU node:
Deserializer DEV_ADDR = 0x94
              µC DEV_ADDR = 0xA2</t>
  </si>
  <si>
    <t>REQ-019</t>
  </si>
  <si>
    <t>The ECU node shall manage following addresses for the deserializer and the microcontroller of the leaf ECU node:
Deserializer DEV_ADDR = 0x98
              µC DEV_ADDR = 0xA4</t>
  </si>
  <si>
    <t>REQ-020</t>
  </si>
  <si>
    <t>The ECU node shall manage following addresses for the deserializer and the microcontroller of the leaf ECU node:
Deserializer DEV_ADDR = 0xD0
              µC DEV_ADDR = 0xA6</t>
  </si>
  <si>
    <t>REQ-021</t>
  </si>
  <si>
    <t>The ECU node shall manage following addresses for the deserializer and the microcontroller of the leaf ECU node:
Deserializer DEV_ADDR = 0xD4
              µC DEV_ADDR = 0xA8</t>
  </si>
  <si>
    <t>REQ-022</t>
  </si>
  <si>
    <t>The ECU node shall manage following addresses for the deserializer and the microcontroller of the leaf ECU node:
Deserializer DEV_ADDR = 0xD8
              µC DEV_ADDR = 0xB0</t>
  </si>
  <si>
    <t>REQ-023</t>
  </si>
  <si>
    <t>The ECU node shall manage following addresses for the deserializer and the microcontroller of the leaf ECU node:
Deserializer DEV_ADDR = 0x50
              µC DEV_ADDR = 0xB2</t>
  </si>
  <si>
    <t>REQ-024</t>
  </si>
  <si>
    <t>The ECU node shall manage following addresses for the deserializer and the microcontroller of the leaf ECU node:
Deserializer DEV_ADDR = 0x54
              µC DEV_ADDR = 0xB4</t>
  </si>
  <si>
    <t xml:space="preserve">The ECU node shall manage messages with an ID field presented as follow: </t>
  </si>
  <si>
    <t>The ECU node shall manage a WRITE frame and a HEADER frame with a DLC field:
•	indicating the number of data bytes in addition to one byte of checksum
•	taking for a WRITE frame any value between 2 and WRITE_FRAME_LEN_MAX+1
•	taking for a READ frame any value between 2 and READ_FRAME_LEN_MAX+1</t>
  </si>
  <si>
    <t xml:space="preserve">The ECU node shall send a message with data bytes equal to the number specified in the message database system. </t>
  </si>
  <si>
    <t>The ECU node shall calculate the CRC field from the data:
Checksum = NOT( DEV_ADDR, ID, DLC, [Di] ) where i is included between 0 and DLC-2
The checksum is calculated by:
•	Summing the DEV_ADDR, the ID, the DLC and the data fields with carry; that means summing all values and subtract 0xFF every time the sum is greater or equal to 0x100
•	Then make a bitwise inversion of the result.</t>
  </si>
  <si>
    <t>The ECU node shall send a frame with a transmission time lower or equal to Tframe_max.</t>
  </si>
  <si>
    <t>The ECU node shall apply Tframe_max = 1,2*Tframe_min.</t>
  </si>
  <si>
    <t>The root ECU node shall stop the transmission of a WRITE frame or a HEADER frame the latest after sending the outgoing byte from Ttrans_timeout occurrence.</t>
  </si>
  <si>
    <t>The leaf ECU node shall stop the transmission of a READ frame the latest after sending the outgoing byte from Ttrans_timeout occurrence.</t>
  </si>
  <si>
    <t>The leaf ECU node shall discard a WRITE frame or a HEADER frame after receiving the incoming byte from Trecep_timeout occurrence.</t>
  </si>
  <si>
    <t>The leaf ECU node shall consume a WRITE frame or a HEADER frame when successfully receiving it before Trecep_timeout occurs.</t>
  </si>
  <si>
    <t>The root ECU node shall discard a READ frame after receiving its incoming byte from Trecep_timeout occurrence.</t>
  </si>
  <si>
    <t>The root ECU node shall consume a complete and errorless received READ frame before Trecep_timeout and after the beginning of the slot.</t>
  </si>
  <si>
    <t>The leaf ECU node shall answer by a READ frame to a consumed HEADER frame in less than Tresp_max.</t>
  </si>
  <si>
    <t>The ECU node shall apply a Tresp_max = 0,6ms.</t>
  </si>
  <si>
    <t>The root ECU node shall check all the local events which could trigger the transmission of a sporadic frame before an upcoming occurrence and have an empty sporadic slot when no related local event has occurred.</t>
  </si>
  <si>
    <t>The root ECU node shall transmit a WRITE frame or HEADER frame in the sporadic slot when a local event related to a sporadic frame occurs.</t>
  </si>
  <si>
    <t>The root ECU node shall store all local events related to sporadic frames and transmit each of them on a sporadic slot according to the highest prioritized sporadic frame.</t>
  </si>
  <si>
    <t>The ECU node shall transmit data on the I2C interface at a bit rate of 400 Kbit/s.</t>
  </si>
  <si>
    <t>The ECU node shall transmit data on the I2C interface at a bit rate of 1 Mbit/s.</t>
  </si>
  <si>
    <t>The root ECU node shall have the bit rate deviation called "Droot" complying to the following conditions:
•	The bit rate deviation (Droot) from nominal bit rate (Dnom) is Tol_root &lt; ± 0,5%
•	This deviation applies up to the end of the entire frame (WRITE frame or HEADER frame), shall be met in ECU operating range (temperature, operating voltage, ageing drift,) and includes inaccuracy of the setting of the bit rate due to granularity of the configurable bit rate.
Supplier of ECU shall prove conformity by a justification file with worst case analysis on the complete chain of bit rate generation according to the template [15].</t>
  </si>
  <si>
    <t>The ECU node shall discard a frame when detecting a checksum error while receiving it.</t>
  </si>
  <si>
    <t xml:space="preserve">The leaf ECU node shall rely on the DLC defined in the message database system to check the DLC of a received frame, when the root sends a WRITE frame with a DLC different from the length expected by the leaf (the length defined in the message database system), the leaf consumes the frame, if the frame is correct. </t>
  </si>
  <si>
    <t>The leaf ECU node shall rely on the DLC defined in the message database system to check the DLC of a received frame, when the root sends a HEADER frame with a DLC different from the length expected by the leaf (the length defined in the message database system), the leaf answers to the HEADER frame with a READ frame.</t>
  </si>
  <si>
    <t>The leaf ECU node shall discard a HEADER frame sent to its microcontroller with an undefined DEV ADDR field.</t>
  </si>
  <si>
    <t>The leaf ECU node shall consume a WRITE frame or a HEADER frame with a defined ID field.</t>
  </si>
  <si>
    <t>The leaf ECU node shall discard a WRITE frame or a HEADER frame with an undefined ID field.</t>
  </si>
  <si>
    <t>The leaf ECU node shall set the response_error signal when detecting one of the following errors in a WRITE frame or a HEADER frame: 
-	Checksum error
-	Trecep_timeout error</t>
  </si>
  <si>
    <t>The leaf ECU node shall reset the response_error signal after it has been successfully transmitted on the link.</t>
  </si>
  <si>
    <t>The ECU shall process the next frame when it has detected an error in the current frame.</t>
  </si>
  <si>
    <t>The ECU node shall not implement any error recovery strategies when it detects an error in a frame and shall wait for the next occurrence of the same frame (next detection of same identifier for a leaf node, or next occurrence of frame in schedule table for a root ECU node) to transmit the data given by application at that moment and not the data that was lost.</t>
  </si>
  <si>
    <t>The ECU node shall manage a DIAG_REQ frame with a constant ID field value of 0x3C.</t>
  </si>
  <si>
    <t>The ECU node shall manage a DIAG_REP_HEADER frame with a constant ID field value of 0x3D.</t>
  </si>
  <si>
    <t>The ECU node shall transmit messages with a length larger than 6 bytes with a maximum of 4095 bytes per segmentation beginning with the transmission of a First Frame and continuing with one or more Consecutive Frames.</t>
  </si>
  <si>
    <t>The ECU node shall set a frame counter field for consecutive frames that specifies the number of the transmitted frame, where the First CF of a segmented message has 1 as frame counter value, the second has 2 and so on until 15 and the frame counter is a circular counter that returns to 0 after reaching 15.</t>
  </si>
  <si>
    <t>When a node leaf must answer a diagnostic request, it must wait until the totality of its response is ready before answering the "leaf response frame"(3D, DIAG REP). While waiting, the leaf must leave the “leaf response frame” (3D, DIAG_REP) without message.</t>
  </si>
  <si>
    <t>The ECU node shall discard a Single frame (SF) with a length larger than 6 bytes.</t>
  </si>
  <si>
    <t>The ECU node shall discard a First frame (FF) with a length lower than 7 bytes and therefore the following Consecutive frames (CF).</t>
  </si>
  <si>
    <t>The leaf ECU node shall discard a First frame (FF) and the following consecutive frames with a length larger than leaf_reception_buffer_len parameter defined in the allocation matrix.</t>
  </si>
  <si>
    <t>The frames with an unexpected PCI field are rejected and do not start a segmented session, except the SF and FF frames.
The frames with a unexpected PCI field are:
- a CF unexpected (Session segmented no open) 
- not defined PCI.</t>
  </si>
  <si>
    <t>The ECU node shall stop the reception of a segmented session when it receives a Consecutive frame (CF) with an unexpected frame counter.</t>
  </si>
  <si>
    <t>N_Cr_LVDS</t>
  </si>
  <si>
    <t>N_As_LVDS + N_Cs_LVDS</t>
  </si>
  <si>
    <t>P2_LVDS</t>
  </si>
  <si>
    <t>TIME_OUT_P2_LVDS</t>
  </si>
  <si>
    <t>Segmentation time (ST_min)</t>
  </si>
  <si>
    <t>The root ECU node shall continue to send frames when a defect is confirmed present.</t>
  </si>
  <si>
    <t>The root ECU node shall calculate Rx_SUPERVISION_RATE that represents the number of received frames, of a monitored frame, during the last period of T_SUPERVISION.</t>
  </si>
  <si>
    <t>The root ECU node shall update Rx_SUPERVISION_RATE every period of T_SUPERVISION_UPDATE_DELAY.</t>
  </si>
  <si>
    <t>The root ECU node shall set the communication loss defect as present when Rx_SUPERVISION_RATE is lower than SUPERVISION_RATE_THRESHOLD_MIN.</t>
  </si>
  <si>
    <t>The root ECU node shall set the communication loss defect as absent when Rx_SUPERVISION_RATE is greater than SUPERVISION_RATE_THRESHOLD_MAX.</t>
  </si>
  <si>
    <t>The root ECU node shall calculate LFLT_SUPERVISION_RATE that represents the number of Line Fault samples during the last period of  T_SUPERVISION.</t>
  </si>
  <si>
    <t>The root ECU node shall update LFLT_SUPERVISION_RATE every period of T_SUPERVISION_UPDATE_DELAY.</t>
  </si>
  <si>
    <t>The root ECU node shall set the Line Fault defect as absent when LFLT_SUPERVISION_RATE is lower than SUPERVISION_RATE_THRESHOLD_MIN.</t>
  </si>
  <si>
    <t>The root ECU node shall set the Line Fault defect as present when LFLT_SUPERVISION_RATE is greater than SUPERVISION_RATE_THRESHOLD_MAX.</t>
  </si>
  <si>
    <t>The root ECU node shall initialize Rx_SUPERVISION_RATE counter to its minimum value at power on when the default was confirmed present before switching the power to off.</t>
  </si>
  <si>
    <t>The root ECU node shall initialize Rx_SUPERVISION_RATE counter to its maximum value at power on when the default was confirmed absent before switching the power to off.</t>
  </si>
  <si>
    <t>The root ECU node shall initialize Rx_SUPERVISION_RATE counter to its minimum value when a default was confirmed present before deactivating the supervision.</t>
  </si>
  <si>
    <t>The root ECU node shall initialize Rx_SUPERVISION_RATE counter to its maximum value when a default was confirmed absent before deactivating the supervision.</t>
  </si>
  <si>
    <t>The root ECU node shall initialize LFLT_SUPERVISION_RATE counter to its minimum value at power on when the default was confirmed absent before switching the power to off.</t>
  </si>
  <si>
    <t>The root ECU node shall initialize LFLT_SUPERVISION_RATE counter to its maximum value at power on when the default was confirmed present before switching the power to off.</t>
  </si>
  <si>
    <t>The root ECU node shall initialize LFLT_SUPERVISION_RATE counter to its minimum value when a default was confirmed absent before deactivating the supervision.</t>
  </si>
  <si>
    <t>The root ECU node shall initialize LFLT_SUPERVISION_RATE counter to its maximum value when a default was confirmed present before deactivating the supervision.</t>
  </si>
  <si>
    <t>T_lflt_period shall comply to the following description:</t>
  </si>
  <si>
    <t>T_SUPERVISION shall comply to the following description:</t>
  </si>
  <si>
    <t>T_SUPERVISION_UPDATE_DELAY shall comply to the following description:</t>
  </si>
  <si>
    <t>The SUPERVISION_RATE_THRESHOLD_MAX of a monitored frame counter
 shall comply to a value of 80% of T_SUPERVISION divided by Monitored frame period.</t>
  </si>
  <si>
    <t>The SUPERVISION_RATE_THRESHOLD_MAX of a Line Fault counter
 shall comply to a value of 80% of T_SUPERVISION divided by T_lflt_period.</t>
  </si>
  <si>
    <t>The SUPERVISION_RATE_THRESHOLD_MIN of a Line Fault counter
 shall comply to a value of 20% of T_SUPERVISION divided by T_lflt_period.</t>
  </si>
  <si>
    <t>The leaf ECU node shall send a READ frame named TEST_LEAF_READ, with the following data field, after consuming a TEST_LEAF_HEADER frame without consuming a TEST_LEAF_WRITE frame:</t>
  </si>
  <si>
    <t>The leaf ECU node shall consider as the TESTED_FRAME, the last WRITE frame received before the reception of TEST_LEAF_HEADER when the identifier of the TESTED_FRAME received in the TEST_LEAF_WRITE frame is 0xFF.</t>
  </si>
  <si>
    <t>The leaf ECU node shall receive a Header frame named TEST_LEAF_HEADER with the following feature:
•	Mnemonic (name): TEST_LEAF_HEADER
•	Identifier (ID field) = 0x3F</t>
  </si>
  <si>
    <t>The leaf ECU node shall send a TEST_LEAF_READ frame in response to TEST_LEAF_HEADER, with the following data field:</t>
  </si>
  <si>
    <t>The leaf ECU node shall discard the Ttrans_timeout service when the identifier of the TESTED_FRAME received in the TEST_LEAF_WRITE frame matches with an ID of a WRITE frame defined in the message database system.</t>
  </si>
  <si>
    <t>The leaf ECU node shall discard the Ttrans_timeout service when the identifier of the TESTED_FRAME received in the TEST_ LEAF_WRITE frame is unknown.</t>
  </si>
  <si>
    <t>The leaf ECU node shall delay the sending of its answer frame with the time indicated in the LEAF_DELAY field of the TEST_LEAF_WRITE frame multiplied by 12,8µs (256*50ns) when it receives a TESTED_FRAME.</t>
  </si>
  <si>
    <t>The root ECU node shall receive a READ frame TEST_ROOT_READ with the following data field:</t>
  </si>
  <si>
    <t>The root ECU node shall send a HEADER frame of the schedule table to the test tool, to start the loopback service.</t>
  </si>
  <si>
    <t>The root ECU node shall receive a READ frame named TEST_ROOT_READ in response to the HEADER frame sent to the test tool.</t>
  </si>
  <si>
    <t>The root ECU node shall receive a READ frame named TEST_ROOT_READ with the following features:
•	Mnemonic (name): TEST_ROOT_READ
•	Length: 8 bytes</t>
  </si>
  <si>
    <t>The root ECU node shall receive a TEST_ROOT_READ frame with the identifier of the TESTED_FRAME in the data field matching with the ID of a WRITE frame specified in the message database system, for the loopback service.</t>
  </si>
  <si>
    <t>The root ECU node shall run the loopback service when the identifier of the TESTED_FRAME matches with the ID of a HEADER frame specified in the message database system.</t>
  </si>
  <si>
    <t>The root ECU node shall discard the loopback service when the identifier of the TESTED_FRAME is unknown.</t>
  </si>
  <si>
    <t xml:space="preserve">The root ECU node shall send a WRITE frame named TEST_ROOT_WRITE, in following sporadic slot occurring after receiving the TESTED_FRAME. </t>
  </si>
  <si>
    <t>The root ECU node shall send a WRITE frame named TEST_ROOT_WRITE with the following data field when SERVICE_TYPE is in loopback mode:</t>
  </si>
  <si>
    <t>The root ECU node shall discard the Ttrans_timeout service when the identifier of the TESTED_FRAME received in the TEST_ROOT_READ frame is unknown.</t>
  </si>
  <si>
    <t>The root ECU node shall delay the sending of TESTED_FRAME frame with the time indicated in the ROOT_DELAY field of the TEST_ROOT_READ frame multiplied by 100us when the SERVICE TYPE of the consumed TEST_ROOT_READ frame is 0x02.</t>
  </si>
  <si>
    <t>01991_22_02471</t>
  </si>
  <si>
    <t>The leaf ECU node shall send a READ Frame after consuming an addressed HEADER frame.</t>
  </si>
  <si>
    <t>ECU node: I2C Bus specification</t>
  </si>
  <si>
    <t>Leaf ECU node: READ frame sending</t>
  </si>
  <si>
    <t>Root ECU node: READ frame consumption</t>
  </si>
  <si>
    <t>ECU node: Message constant length</t>
  </si>
  <si>
    <t>ECU node: WRITE frame structure</t>
  </si>
  <si>
    <t>ECU node: HEADER frame structure</t>
  </si>
  <si>
    <t>ECU node: READ frame structure</t>
  </si>
  <si>
    <t>ECU node: WRITE_FRAME_MAX_LEN at 1 Mbit/s</t>
  </si>
  <si>
    <t>ECU node: READ_FRAME_MAX_LEN at 1 Mbit/s</t>
  </si>
  <si>
    <t>ECU node: GMSL I2C SerDes Frame format</t>
  </si>
  <si>
    <t>REQ-002</t>
  </si>
  <si>
    <t>REQ-003</t>
  </si>
  <si>
    <t>ECU node: Data Bytes Big Endian convention</t>
  </si>
  <si>
    <t>Root ECU node: Ser DEV_ADDR = 0x80</t>
  </si>
  <si>
    <t>Root ECU node: Ser DEV_ADDR = 0x84</t>
  </si>
  <si>
    <t>Root ECU node: Ser DEV_ADDR = 0xC0</t>
  </si>
  <si>
    <t>Root ECU node: Ser DEV_ADDR = 0xC4</t>
  </si>
  <si>
    <t>REQ-025</t>
  </si>
  <si>
    <t>REQ-026</t>
  </si>
  <si>
    <t>REQ-027</t>
  </si>
  <si>
    <t>ECU node: ID field</t>
  </si>
  <si>
    <t>ECU node: Data field</t>
  </si>
  <si>
    <t>ECU node: CRC field</t>
  </si>
  <si>
    <t>REQ-028</t>
  </si>
  <si>
    <t>REQ-029</t>
  </si>
  <si>
    <t>REQ-030</t>
  </si>
  <si>
    <t>ECU node: Tframe_max</t>
  </si>
  <si>
    <t>ECU node: Tframe_max value</t>
  </si>
  <si>
    <t>Root ECU node: Ttrans_timeout</t>
  </si>
  <si>
    <t>Leaf ECU node: Ttrans_timeout</t>
  </si>
  <si>
    <t>REQ-032</t>
  </si>
  <si>
    <t>REQ-033</t>
  </si>
  <si>
    <t>REQ-034</t>
  </si>
  <si>
    <t>REQ-035</t>
  </si>
  <si>
    <t>REQ-036</t>
  </si>
  <si>
    <t>Leaf ECU node: Disacrd frame after Trecep_timeout</t>
  </si>
  <si>
    <t>Leaf ECU node: Consume frame before Trecep_timeout</t>
  </si>
  <si>
    <t>Root- ECU node: Consume frame before Trecep_timeout</t>
  </si>
  <si>
    <t>ECU node: Ttrans_timeout = 900 µs</t>
  </si>
  <si>
    <t>Leaf ECU node: Tresp_max</t>
  </si>
  <si>
    <t>Leaf ECU node: Tresp_max value</t>
  </si>
  <si>
    <t xml:space="preserve">Root ECU node: Frame priority on Sporadic slot </t>
  </si>
  <si>
    <t>The root ECU node shall stop the transmission pending of a sporadic frame when it has successfully been transmitted until a new event related to that frame occurs.</t>
  </si>
  <si>
    <t>Root ECU: Sporadic slot (3)</t>
  </si>
  <si>
    <t>ECU node: I2C bit rate = 400 Kbit/s</t>
  </si>
  <si>
    <t>ECU node: I2C bit rate = 1 Mbit/s</t>
  </si>
  <si>
    <t>Root ECU node:  I2C bit rate deviation</t>
  </si>
  <si>
    <t>Leaf ECU node:  I2C bit rate deviation</t>
  </si>
  <si>
    <t>REQ-038</t>
  </si>
  <si>
    <t>REQ-039</t>
  </si>
  <si>
    <t>REQ-040</t>
  </si>
  <si>
    <t>REQ-041</t>
  </si>
  <si>
    <t>REQ-042</t>
  </si>
  <si>
    <t>REQ-043</t>
  </si>
  <si>
    <t>REQ-044</t>
  </si>
  <si>
    <t>REQ-045</t>
  </si>
  <si>
    <t>REQ-047</t>
  </si>
  <si>
    <t>REQ-048</t>
  </si>
  <si>
    <t>REQ-049</t>
  </si>
  <si>
    <t>REQ-052</t>
  </si>
  <si>
    <t>REQ-053</t>
  </si>
  <si>
    <t>REQ-054</t>
  </si>
  <si>
    <t>REQ-055</t>
  </si>
  <si>
    <t>REQ-056</t>
  </si>
  <si>
    <t>REQ-057</t>
  </si>
  <si>
    <t>REQ-058</t>
  </si>
  <si>
    <t>REQ-059</t>
  </si>
  <si>
    <t>REQ-063</t>
  </si>
  <si>
    <t>Root ECU node: 1ms Time slot</t>
  </si>
  <si>
    <t>Root ECU node: 2ms Time slot</t>
  </si>
  <si>
    <t>The ECU node shall verify the checksum 
Checksum_verification = Received_checksum +  
 DEV_ADDR,ID,DLC, [Di] )
 where i is comprised between 0 and DLC-2
with + indicating an addition without carry. 
For the checksum verification, the ECU takes the number of data bytes specified in the message database system to know how many bytes it must take into account (and not the number contained in the DLC)
But the DLC field is taken into account for the checksum verification, like DEV_ADDR, ID and all the data bytes [Di] (see the example below).
A checksum error is detected if Checksum_verification is different from 0xFF.</t>
  </si>
  <si>
    <t>Validation and contents expected for low layers deliveries [VAL]</t>
  </si>
  <si>
    <t>REQ-LVDS-NM-TN_001</t>
  </si>
  <si>
    <t>REQ-LVDS-NM-TN_002</t>
  </si>
  <si>
    <t>REQ-LVDS-NM-TN_003</t>
  </si>
  <si>
    <t>REQ-LVDS-NM-TN_004</t>
  </si>
  <si>
    <t>REQ-LVDS-NM-TN_005</t>
  </si>
  <si>
    <t>REQ-LVDS-NM-TN_006</t>
  </si>
  <si>
    <t>REQ-LVDS-NM-TN_007</t>
  </si>
  <si>
    <t>REQ-LVDS-NM-TN_008</t>
  </si>
  <si>
    <t>REQ-LVDS-NM-TN_009</t>
  </si>
  <si>
    <t>REQ-LVDS-NM-TN_010</t>
  </si>
  <si>
    <t>REQ-LVDS-NM-TN_011</t>
  </si>
  <si>
    <t>REQ-LVDS-NM-TN_012</t>
  </si>
  <si>
    <t>REQ-LVDS-NM-TN_013</t>
  </si>
  <si>
    <t>REQ-LVDS-NM-TN_014</t>
  </si>
  <si>
    <t>REQ-LVDS-NM-TN_015</t>
  </si>
  <si>
    <t>REQ-LVDS-NM-TN_016</t>
  </si>
  <si>
    <t>REQ-LVDS-NM-TN_017</t>
  </si>
  <si>
    <t>REQ-LVDS-NM-TN_018</t>
  </si>
  <si>
    <t>REQ-LVDS-NM-TN_019</t>
  </si>
  <si>
    <t>REQ-LVDS-NM-TN_020</t>
  </si>
  <si>
    <t>REQ-LVDS-NM-TN_021</t>
  </si>
  <si>
    <t>REQ-LVDS-NM-TN_022</t>
  </si>
  <si>
    <t>To be defined</t>
  </si>
  <si>
    <t>Temporary Requirement Identifier</t>
  </si>
  <si>
    <t>ECU node: Frame consumption (1)</t>
  </si>
  <si>
    <t>ECU node: frame consumption (2)</t>
  </si>
  <si>
    <t>ECU node: Des DEV_ADDR = 0x90 &amp; µC DEV_ADDR = 0xA0</t>
  </si>
  <si>
    <t>ECU node: Des DEV_ADDR = 0x94 &amp; µC DEV_ADDR = 0xA2</t>
  </si>
  <si>
    <t>ECU node: Des DEV_ADDR = 0x98 &amp; µC DEV_ADDR = 0xA4</t>
  </si>
  <si>
    <t>ECU node: Des DEV_ADDR = 0xD0 &amp; µC DEV_ADDR = 0xA6</t>
  </si>
  <si>
    <t>ECU node: Des DEV_ADDR = 0xD4 &amp; µC DEV_ADDR = 0xA8</t>
  </si>
  <si>
    <t>ECU node: Des DEV_ADDR = 0xD8 &amp; µC DEV_ADDR = 0xB0</t>
  </si>
  <si>
    <t>ECU node: Des DEV_ADDR = 0x50 &amp; µC DEV_ADDR = 0xB2</t>
  </si>
  <si>
    <t>ECU node: Des DEV_ADDR = 0x54 &amp; µC DEV_ADDR = 0xB4</t>
  </si>
  <si>
    <t>ECU node: DLC field</t>
  </si>
  <si>
    <t>The ECU node shall have Ttrans_timeout equal to 900µs for 1ms schedule table time slot.</t>
  </si>
  <si>
    <t>Root ECU node: Discard frame after Trecep_timeout</t>
  </si>
  <si>
    <t>ECU node: Trecep_timeout = 900 µs</t>
  </si>
  <si>
    <t>The ECU node shall apply a Trecep_timeout of 900µs for the reception of a WRITE frame, a segmented WRITE frame and segmented HEADER frame + READ frame.</t>
  </si>
  <si>
    <t>ECU node:  Trecep_timeout = 1900 µs</t>
  </si>
  <si>
    <t>The ECU node shall apply a Trecep_timeout of 1900µs for the reception of HEADER frame + READ frame.</t>
  </si>
  <si>
    <t>Root ECU node: Sporadic slot (1)</t>
  </si>
  <si>
    <t>Root ECU node: Sporadic slot (2)</t>
  </si>
  <si>
    <t>The leaf ECU node shall have the bit rate deviation called " Dleaf" complying to the following conditions:
•	The bit rate deviation (Dleaf) from nominal bit rate (Dnom) is Tol_leaf &lt; ± 0,5%.
•	This deviation applies up to the end of the entire READ frame, shall be met in ECU operating range (temperature, operating voltage, ageing drift…) and includes inaccuracy of the setting of the bit rate due to granularity of the configurable bit rate. 
Supplier of ECU shall prove conformity by a justification file with worst case analysis on the complete chain of bit rate generation according to the template [15].</t>
  </si>
  <si>
    <t>The root ECU node shall use a 1ms time slot of the schedule table for a WRITE frame, a segmented WRITE frame and segmented HEADER frame + READ frame communication.</t>
  </si>
  <si>
    <t>The root ECU node shall use a 2ms time slot of the schedule table for HEADER frame + READ frame communication.</t>
  </si>
  <si>
    <t>Root ECU node:  Frame start transmission timeout</t>
  </si>
  <si>
    <t>The root ECU node shall send the START condition of a WRITE frame or a HEADER frame within 100µs after the beginning of a schedule table time slot.</t>
  </si>
  <si>
    <t>ECU node: Bus error</t>
  </si>
  <si>
    <t>The ECU node shall discard the ongoing frame transmission when bus error is detected between the START condition and the STOP condition.</t>
  </si>
  <si>
    <t>REQ-065</t>
  </si>
  <si>
    <t>Root ECU node: ACK condition error on WRITE and HEADER frames</t>
  </si>
  <si>
    <t>The root ECU shall discard a WRITE and HEADER frames transmission when a byte is not acknowledge.</t>
  </si>
  <si>
    <t>Leaf ECU node: ACK condition error on READ frame</t>
  </si>
  <si>
    <t>REQ-068</t>
  </si>
  <si>
    <t>ECU node: Checksum error</t>
  </si>
  <si>
    <t>ECU node: Checksum verification</t>
  </si>
  <si>
    <t>REQ-070</t>
  </si>
  <si>
    <t>Leaf ECU node: Check on DLC message database (1)</t>
  </si>
  <si>
    <t>REQ-071</t>
  </si>
  <si>
    <t>Leaf ECU node: Check on DLC message database (2)</t>
  </si>
  <si>
    <t>REQ-072</t>
  </si>
  <si>
    <t>Leaf ECU node: Undefined DEV ADDR</t>
  </si>
  <si>
    <t>REQ-073</t>
  </si>
  <si>
    <t>Leaf ECU node: Defined ID frame comsumption</t>
  </si>
  <si>
    <t>REQ-074</t>
  </si>
  <si>
    <t>Leaf ECU node: Undefined ID frame discard</t>
  </si>
  <si>
    <t>REQ-075</t>
  </si>
  <si>
    <t>Leaf ECU node: Response_error signal</t>
  </si>
  <si>
    <t>REQ-076</t>
  </si>
  <si>
    <t>Leaf ECU node: Leaf ECU node: Response_error signal reset</t>
  </si>
  <si>
    <t>REQ-077</t>
  </si>
  <si>
    <t>ECU node: Next frame processing condition</t>
  </si>
  <si>
    <t>REQ-078</t>
  </si>
  <si>
    <t>ECU node: No error recovery strategy</t>
  </si>
  <si>
    <t>REQ-079</t>
  </si>
  <si>
    <t>ECU node: Diagnostic request identifier = 0x3C</t>
  </si>
  <si>
    <t>REQ-080</t>
  </si>
  <si>
    <t>ECU node: Diagnostic response identifier = 0x3D</t>
  </si>
  <si>
    <t>REQ-081</t>
  </si>
  <si>
    <t>ECU node: Segmented frame Data byte 1 = 0x00</t>
  </si>
  <si>
    <t>The ECU node shall have the first data byte of a segmented frame with the value of 0x00.</t>
  </si>
  <si>
    <t>REQ-084</t>
  </si>
  <si>
    <t>ECU node: Single Frame Data field structure</t>
  </si>
  <si>
    <t>The ECU node shall manage a Single Frame (SF) with the data field structured as follow:</t>
  </si>
  <si>
    <t>REQ-085</t>
  </si>
  <si>
    <t>ECU node: Maximum segmented data length</t>
  </si>
  <si>
    <t>REQ-086</t>
  </si>
  <si>
    <t>ECU node: First Frame Data field structure</t>
  </si>
  <si>
    <t>The ECU node shall transmit a First Frame (FF) with the data field structured as follow:</t>
  </si>
  <si>
    <t>REQ-087</t>
  </si>
  <si>
    <t>ECU node: Consecutive Frame Data field structure</t>
  </si>
  <si>
    <t>The ECU node shall manage a Consecutive Frame (CF) structured as follow:</t>
  </si>
  <si>
    <t>REQ-088</t>
  </si>
  <si>
    <t>ECU node: Consecutive frames counter</t>
  </si>
  <si>
    <t>REQ-089</t>
  </si>
  <si>
    <t>Leaf ECU node: Response to a Header frame</t>
  </si>
  <si>
    <t>REQ-090</t>
  </si>
  <si>
    <t xml:space="preserve">ECU node: Consumption of a segmented frame with Data byte 1 ≠ 0 </t>
  </si>
  <si>
    <t>The ECU node shall consume a received frame with the firs data byte different from 0x00.</t>
  </si>
  <si>
    <t>REQ-091</t>
  </si>
  <si>
    <t>ECU node: Padding</t>
  </si>
  <si>
    <t>The ECU node shall fill the unused data field bytes of the last transmitted segmented frame with the value of 0xFF.</t>
  </si>
  <si>
    <t>REQ-093</t>
  </si>
  <si>
    <t>ECU node: Error in Single Frame (SF)</t>
  </si>
  <si>
    <t>REQ-094</t>
  </si>
  <si>
    <t>ECU node: Error in First Frame (SF)</t>
  </si>
  <si>
    <t>REQ-095</t>
  </si>
  <si>
    <t>Leaf ECU node: leaf_reception_buffer_len error</t>
  </si>
  <si>
    <t>REQ-097</t>
  </si>
  <si>
    <t>ECU node: PCI field error</t>
  </si>
  <si>
    <t>REQ-098</t>
  </si>
  <si>
    <t>ECU node: Frame counter error</t>
  </si>
  <si>
    <t>REQ-099</t>
  </si>
  <si>
    <t>ECU node: N_Cr_LVDS_max management</t>
  </si>
  <si>
    <t>The ECU node shall stop consuming a segmented session when the latency of a Consecutive frame (CF) is higher than N_Cr_LVDS_max.</t>
  </si>
  <si>
    <t>REQ-100</t>
  </si>
  <si>
    <t>ECU node: N_Cr_LVDS definition</t>
  </si>
  <si>
    <t>REQ-101</t>
  </si>
  <si>
    <t>ECU node: N_As_LVDS + N_Cs_LVDS definition</t>
  </si>
  <si>
    <t>REQ-102</t>
  </si>
  <si>
    <t>ECU node: P2_LVDS definition</t>
  </si>
  <si>
    <t>REQ-103</t>
  </si>
  <si>
    <t>ECU node: TIME_OUT_P2_LVDS definition</t>
  </si>
  <si>
    <t>REQ-104</t>
  </si>
  <si>
    <t>ECU node: Segmentation time (ST_min) definition</t>
  </si>
  <si>
    <t>REQ-105</t>
  </si>
  <si>
    <t>Root ECU node: Supervision conditions</t>
  </si>
  <si>
    <t>The root ECU node shall manage supervision of defaults related to LVDS bi-dir communication problems when the supervision is activated according to the value of the data DiagMux_CAN_xx.</t>
  </si>
  <si>
    <t>REQ-106</t>
  </si>
  <si>
    <t>Root ECU node: Frame transmission while defect present</t>
  </si>
  <si>
    <t>REQ-107</t>
  </si>
  <si>
    <t>Root ECU node: Rx_SUPERVISION_RATE</t>
  </si>
  <si>
    <t>REQ-108</t>
  </si>
  <si>
    <t>Root ECU node: Rx_SUPERVISION_RATE update</t>
  </si>
  <si>
    <t>REQ-109</t>
  </si>
  <si>
    <t>Root ECU node: Com loss defect present</t>
  </si>
  <si>
    <t>REQ-110</t>
  </si>
  <si>
    <t>Root ECU node: Com loss defect absent</t>
  </si>
  <si>
    <t>REQ-113</t>
  </si>
  <si>
    <t>Root ECU node: LFLT pin sampling</t>
  </si>
  <si>
    <t>The root ECU node shall sample the LFLT pin every T_lflt_period.</t>
  </si>
  <si>
    <t>REQ-114</t>
  </si>
  <si>
    <t>Root ECU node: LFLT_SUPERVISION_RATE</t>
  </si>
  <si>
    <t>REQ-115</t>
  </si>
  <si>
    <t>Root ECU node: LFLT_SUPERVISION_RATE update</t>
  </si>
  <si>
    <t>REQ-116</t>
  </si>
  <si>
    <t>Root ECU node: Line fault defect absent</t>
  </si>
  <si>
    <t>REQ-117</t>
  </si>
  <si>
    <t>Root ECU node: Line fault defect present</t>
  </si>
  <si>
    <t>REQ-118</t>
  </si>
  <si>
    <t>Root ECU node: Rx_SUPERVISION_RATE counter initialization to min value (1)</t>
  </si>
  <si>
    <t>REQ-119</t>
  </si>
  <si>
    <t>Root ECU node: Rx_SUPERVISION_RATE counter initialization to max value (1)</t>
  </si>
  <si>
    <t>REQ-120</t>
  </si>
  <si>
    <t>Root ECU node: Rx_SUPERVISION_RATE counter initialization to min value (2)</t>
  </si>
  <si>
    <t>REQ-121</t>
  </si>
  <si>
    <t>Root ECU node: Rx_SUPERVISION_RATE counter initialization to max value (2)</t>
  </si>
  <si>
    <t>REQ-122</t>
  </si>
  <si>
    <t>Root ECU node: LFLT_SUPERVISION_RATE counter initialization to min value (1)</t>
  </si>
  <si>
    <t>REQ-123</t>
  </si>
  <si>
    <t>Root ECU node: LFLT_SUPERVISION_RATE counter initialization to max value (1)</t>
  </si>
  <si>
    <t>REQ-124</t>
  </si>
  <si>
    <t>Root ECU node: LFLT_SUPERVISION_RATE counter initialization to min value (2)</t>
  </si>
  <si>
    <t>REQ-125</t>
  </si>
  <si>
    <t>Root ECU node: LFLT_SUPERVISION_RATE counter initialization to max value (2)</t>
  </si>
  <si>
    <t>REQ-126</t>
  </si>
  <si>
    <t>Root ECU node: T_lflt_period</t>
  </si>
  <si>
    <t>REQ-127</t>
  </si>
  <si>
    <t>Root ECU node: T_SUPERVISION</t>
  </si>
  <si>
    <t>REQ-128</t>
  </si>
  <si>
    <t>Root ECU node: T_SUPERVISION_UPDATE_DELAY</t>
  </si>
  <si>
    <t>REQ-129</t>
  </si>
  <si>
    <t>Root ECU node: SUPERVISION_RATE_THRESHOLD_MAX of monitored frame counter</t>
  </si>
  <si>
    <t>REQ-130</t>
  </si>
  <si>
    <t>Root ECU node: SUPERVISION_RATE_THRESHOLD_MIN of monitored frame counter</t>
  </si>
  <si>
    <t>The SUPERVISION_RATE_THRESHOLD_MIN of a monitored frame counter
 shall comply to a value of 20% of T_SUPERVISION divided by Monitored frame period.</t>
  </si>
  <si>
    <t>REQ-131</t>
  </si>
  <si>
    <t>Root ECU node: SUPERVISION_RATE_THRESHOLD_MAX of Line Fault counter</t>
  </si>
  <si>
    <t>REQ-132</t>
  </si>
  <si>
    <t>Root ECU node: SUPERVISION_RATE_THRESHOLD_MIN of Line Fault counter</t>
  </si>
  <si>
    <t>REQ-135</t>
  </si>
  <si>
    <t>Leaf ECU node: TEST_LEAF_READ</t>
  </si>
  <si>
    <t>REQ-137</t>
  </si>
  <si>
    <t>Leaf ECU node: TESTED_FRAME</t>
  </si>
  <si>
    <t>REQ-138</t>
  </si>
  <si>
    <t xml:space="preserve">Leaf ECU node: TEST_LEAF_HEADER ID field </t>
  </si>
  <si>
    <t>REQ-139</t>
  </si>
  <si>
    <t xml:space="preserve">Leaf ECU node: TEST_LEAF_READ Data field </t>
  </si>
  <si>
    <t>REQ-140</t>
  </si>
  <si>
    <t>Leaf ECU node: Ttrans_timeout service discard condition (1)</t>
  </si>
  <si>
    <t>REQ-142</t>
  </si>
  <si>
    <t>Leaf ECU node: Leaf ECU node: Ttrans_timeout service discard condition (3)</t>
  </si>
  <si>
    <t>REQ-143</t>
  </si>
  <si>
    <t>Leaf ECU node: LEAF_DELAY</t>
  </si>
  <si>
    <t>REQ-144</t>
  </si>
  <si>
    <t>Root ECU node: TEST_ROOT_READ Data field</t>
  </si>
  <si>
    <t>REQ-145</t>
  </si>
  <si>
    <t>Root ECU node: Loopback service start condition (1)</t>
  </si>
  <si>
    <t>REQ-146</t>
  </si>
  <si>
    <t>Root ECU node: TEST_ROOT_READ</t>
  </si>
  <si>
    <t>REQ-147</t>
  </si>
  <si>
    <t>Root ECU node: TEST_ROOT_READ length</t>
  </si>
  <si>
    <t>REQ-148</t>
  </si>
  <si>
    <t>Root ECU node:  TEST_ROOT_READ ID</t>
  </si>
  <si>
    <t>REQ-149</t>
  </si>
  <si>
    <t>Root ECU node: Loopback service start condition (2)</t>
  </si>
  <si>
    <t>REQ-150</t>
  </si>
  <si>
    <t>Root ECU node: Loopback service discard condition</t>
  </si>
  <si>
    <t>REQ-152</t>
  </si>
  <si>
    <t>Root ECU node: TEST_ROOT_WRITE</t>
  </si>
  <si>
    <t>REQ-154</t>
  </si>
  <si>
    <t>Root ECU node: TEST_ROOT_WRITE Data field</t>
  </si>
  <si>
    <t>REQ-156</t>
  </si>
  <si>
    <t>Root ECU node: Ttrans_timeout service discard condition (2)</t>
  </si>
  <si>
    <t>REQ-157</t>
  </si>
  <si>
    <t>Root ECU node: ROOT_DELAY</t>
  </si>
  <si>
    <t>Name : Frédéric LIPP</t>
  </si>
  <si>
    <t xml:space="preserve">Department : </t>
  </si>
  <si>
    <t>Node type</t>
  </si>
  <si>
    <t>Supplier</t>
  </si>
  <si>
    <t>Use case</t>
  </si>
  <si>
    <t>DISPLAY</t>
  </si>
  <si>
    <t>Horizontal Resolution (Pixels)</t>
  </si>
  <si>
    <t>Vertical Resolution (Pixels)</t>
  </si>
  <si>
    <t>Frame per second (fps)</t>
  </si>
  <si>
    <t>Video Encoding format</t>
  </si>
  <si>
    <t>RGB</t>
  </si>
  <si>
    <t>Bit per pixel</t>
  </si>
  <si>
    <t>LVDS Tech</t>
  </si>
  <si>
    <t>GMSL</t>
  </si>
  <si>
    <t>GMSL mode</t>
  </si>
  <si>
    <t>SerDes PN</t>
  </si>
  <si>
    <t>Video interface</t>
  </si>
  <si>
    <t xml:space="preserve">400 </t>
  </si>
  <si>
    <t>Support Daisy chain</t>
  </si>
  <si>
    <t>YES</t>
  </si>
  <si>
    <t>Functional data management</t>
  </si>
  <si>
    <t>Diagnostic data management</t>
  </si>
  <si>
    <t>Reflash management</t>
  </si>
  <si>
    <t>Pass-Through Channel #</t>
  </si>
  <si>
    <t>Video stream ID #</t>
  </si>
  <si>
    <t>Pixel clock payload (Pixel per second or Hz)</t>
  </si>
  <si>
    <t>Bandwidth Payload (bit per pixel - bpp)</t>
  </si>
  <si>
    <t>Reverse Channel bit rate (Mbps)</t>
  </si>
  <si>
    <t xml:space="preserve">Kbps: Kilobit per second </t>
  </si>
  <si>
    <t>Mbps: Megabit per second</t>
  </si>
  <si>
    <t>RGB: Red Green Blue</t>
  </si>
  <si>
    <r>
      <rPr>
        <b/>
        <sz val="10"/>
        <rFont val="Arial"/>
        <family val="2"/>
      </rPr>
      <t>GMSL</t>
    </r>
    <r>
      <rPr>
        <sz val="10"/>
        <rFont val="Arial"/>
        <family val="2"/>
      </rPr>
      <t xml:space="preserve">: </t>
    </r>
    <r>
      <rPr>
        <b/>
        <sz val="10"/>
        <rFont val="Arial"/>
        <family val="2"/>
      </rPr>
      <t>G</t>
    </r>
    <r>
      <rPr>
        <sz val="10"/>
        <rFont val="Arial"/>
        <family val="2"/>
      </rPr>
      <t xml:space="preserve">igabit </t>
    </r>
    <r>
      <rPr>
        <b/>
        <sz val="10"/>
        <rFont val="Arial"/>
        <family val="2"/>
      </rPr>
      <t>M</t>
    </r>
    <r>
      <rPr>
        <sz val="10"/>
        <rFont val="Arial"/>
        <family val="2"/>
      </rPr>
      <t xml:space="preserve">ultimedia </t>
    </r>
    <r>
      <rPr>
        <b/>
        <sz val="10"/>
        <rFont val="Arial"/>
        <family val="2"/>
      </rPr>
      <t>S</t>
    </r>
    <r>
      <rPr>
        <sz val="10"/>
        <rFont val="Arial"/>
        <family val="2"/>
      </rPr>
      <t>erial</t>
    </r>
    <r>
      <rPr>
        <b/>
        <sz val="10"/>
        <rFont val="Arial"/>
        <family val="2"/>
      </rPr>
      <t xml:space="preserve"> L</t>
    </r>
    <r>
      <rPr>
        <sz val="10"/>
        <rFont val="Arial"/>
        <family val="2"/>
      </rPr>
      <t>ink</t>
    </r>
  </si>
  <si>
    <t>HFM</t>
  </si>
  <si>
    <r>
      <rPr>
        <b/>
        <sz val="10"/>
        <rFont val="Arial"/>
        <family val="2"/>
      </rPr>
      <t>Tbd</t>
    </r>
    <r>
      <rPr>
        <sz val="10"/>
        <rFont val="Arial"/>
        <family val="2"/>
      </rPr>
      <t xml:space="preserve">: </t>
    </r>
    <r>
      <rPr>
        <b/>
        <sz val="10"/>
        <rFont val="Arial"/>
        <family val="2"/>
      </rPr>
      <t>T</t>
    </r>
    <r>
      <rPr>
        <sz val="10"/>
        <rFont val="Arial"/>
        <family val="2"/>
      </rPr>
      <t xml:space="preserve">o </t>
    </r>
    <r>
      <rPr>
        <b/>
        <sz val="10"/>
        <rFont val="Arial"/>
        <family val="2"/>
      </rPr>
      <t>b</t>
    </r>
    <r>
      <rPr>
        <sz val="10"/>
        <rFont val="Arial"/>
        <family val="2"/>
      </rPr>
      <t xml:space="preserve">e </t>
    </r>
    <r>
      <rPr>
        <b/>
        <sz val="10"/>
        <rFont val="Arial"/>
        <family val="2"/>
      </rPr>
      <t>d</t>
    </r>
    <r>
      <rPr>
        <sz val="10"/>
        <rFont val="Arial"/>
        <family val="2"/>
      </rPr>
      <t>efined</t>
    </r>
  </si>
  <si>
    <t>I2C</t>
  </si>
  <si>
    <t>CC: Control Channel</t>
  </si>
  <si>
    <t>PTC: Pass-Through Channel</t>
  </si>
  <si>
    <t>Bpp: Bit per pixel</t>
  </si>
  <si>
    <r>
      <rPr>
        <b/>
        <sz val="10"/>
        <rFont val="Arial"/>
        <family val="2"/>
      </rPr>
      <t>NA</t>
    </r>
    <r>
      <rPr>
        <sz val="10"/>
        <rFont val="Arial"/>
        <family val="2"/>
      </rPr>
      <t xml:space="preserve"> : </t>
    </r>
    <r>
      <rPr>
        <b/>
        <sz val="10"/>
        <rFont val="Arial"/>
        <family val="2"/>
      </rPr>
      <t>N</t>
    </r>
    <r>
      <rPr>
        <sz val="10"/>
        <rFont val="Arial"/>
        <family val="2"/>
      </rPr>
      <t xml:space="preserve">ot </t>
    </r>
    <r>
      <rPr>
        <b/>
        <sz val="10"/>
        <rFont val="Arial"/>
        <family val="2"/>
      </rPr>
      <t>A</t>
    </r>
    <r>
      <rPr>
        <sz val="10"/>
        <rFont val="Arial"/>
        <family val="2"/>
      </rPr>
      <t>pplicable</t>
    </r>
  </si>
  <si>
    <r>
      <rPr>
        <b/>
        <sz val="10"/>
        <rFont val="Arial"/>
        <family val="2"/>
      </rPr>
      <t>SerDes</t>
    </r>
    <r>
      <rPr>
        <sz val="10"/>
        <rFont val="Arial"/>
        <family val="2"/>
      </rPr>
      <t xml:space="preserve">: </t>
    </r>
    <r>
      <rPr>
        <b/>
        <sz val="10"/>
        <rFont val="Arial"/>
        <family val="2"/>
      </rPr>
      <t>Ser</t>
    </r>
    <r>
      <rPr>
        <sz val="10"/>
        <rFont val="Arial"/>
        <family val="2"/>
      </rPr>
      <t>ializer/</t>
    </r>
    <r>
      <rPr>
        <b/>
        <sz val="10"/>
        <rFont val="Arial"/>
        <family val="2"/>
      </rPr>
      <t>Des</t>
    </r>
    <r>
      <rPr>
        <sz val="10"/>
        <rFont val="Arial"/>
        <family val="2"/>
      </rPr>
      <t>erializer</t>
    </r>
  </si>
  <si>
    <r>
      <rPr>
        <b/>
        <sz val="10"/>
        <rFont val="Arial"/>
        <family val="2"/>
      </rPr>
      <t>PN</t>
    </r>
    <r>
      <rPr>
        <sz val="10"/>
        <rFont val="Arial"/>
        <family val="2"/>
      </rPr>
      <t xml:space="preserve">: </t>
    </r>
    <r>
      <rPr>
        <b/>
        <sz val="10"/>
        <rFont val="Arial"/>
        <family val="2"/>
      </rPr>
      <t>P</t>
    </r>
    <r>
      <rPr>
        <sz val="10"/>
        <rFont val="Arial"/>
        <family val="2"/>
      </rPr>
      <t xml:space="preserve">art </t>
    </r>
    <r>
      <rPr>
        <b/>
        <sz val="10"/>
        <rFont val="Arial"/>
        <family val="2"/>
      </rPr>
      <t>N</t>
    </r>
    <r>
      <rPr>
        <sz val="10"/>
        <rFont val="Arial"/>
        <family val="2"/>
      </rPr>
      <t>umber</t>
    </r>
  </si>
  <si>
    <t>#: Number</t>
  </si>
  <si>
    <r>
      <rPr>
        <b/>
        <sz val="10"/>
        <rFont val="Arial"/>
        <family val="2"/>
      </rPr>
      <t>LVDS</t>
    </r>
    <r>
      <rPr>
        <sz val="10"/>
        <rFont val="Arial"/>
        <family val="2"/>
      </rPr>
      <t xml:space="preserve">: </t>
    </r>
    <r>
      <rPr>
        <b/>
        <sz val="10"/>
        <rFont val="Arial"/>
        <family val="2"/>
      </rPr>
      <t>L</t>
    </r>
    <r>
      <rPr>
        <sz val="10"/>
        <rFont val="Arial"/>
        <family val="2"/>
      </rPr>
      <t xml:space="preserve">ow </t>
    </r>
    <r>
      <rPr>
        <b/>
        <sz val="10"/>
        <rFont val="Arial"/>
        <family val="2"/>
      </rPr>
      <t>V</t>
    </r>
    <r>
      <rPr>
        <sz val="10"/>
        <rFont val="Arial"/>
        <family val="2"/>
      </rPr>
      <t xml:space="preserve">oltage </t>
    </r>
    <r>
      <rPr>
        <b/>
        <sz val="10"/>
        <rFont val="Arial"/>
        <family val="2"/>
      </rPr>
      <t>D</t>
    </r>
    <r>
      <rPr>
        <sz val="10"/>
        <rFont val="Arial"/>
        <family val="2"/>
      </rPr>
      <t xml:space="preserve">ifferential </t>
    </r>
    <r>
      <rPr>
        <b/>
        <sz val="10"/>
        <rFont val="Arial"/>
        <family val="2"/>
      </rPr>
      <t>S</t>
    </r>
    <r>
      <rPr>
        <sz val="10"/>
        <rFont val="Arial"/>
        <family val="2"/>
      </rPr>
      <t>ignal</t>
    </r>
  </si>
  <si>
    <t>LVDS_OUT_X_X</t>
  </si>
  <si>
    <t>LVDS_IN_X_X</t>
  </si>
  <si>
    <r>
      <rPr>
        <b/>
        <sz val="10"/>
        <rFont val="Arial"/>
        <family val="2"/>
      </rPr>
      <t>AM</t>
    </r>
    <r>
      <rPr>
        <sz val="10"/>
        <rFont val="Arial"/>
        <family val="2"/>
      </rPr>
      <t xml:space="preserve">: </t>
    </r>
    <r>
      <rPr>
        <b/>
        <sz val="10"/>
        <rFont val="Arial"/>
        <family val="2"/>
      </rPr>
      <t>A</t>
    </r>
    <r>
      <rPr>
        <sz val="10"/>
        <rFont val="Arial"/>
        <family val="2"/>
      </rPr>
      <t xml:space="preserve">llocation </t>
    </r>
    <r>
      <rPr>
        <b/>
        <sz val="10"/>
        <rFont val="Arial"/>
        <family val="2"/>
      </rPr>
      <t>M</t>
    </r>
    <r>
      <rPr>
        <sz val="10"/>
        <rFont val="Arial"/>
        <family val="2"/>
      </rPr>
      <t>atrix</t>
    </r>
  </si>
  <si>
    <r>
      <rPr>
        <b/>
        <sz val="10"/>
        <rFont val="Arial"/>
        <family val="2"/>
      </rPr>
      <t>I/O</t>
    </r>
    <r>
      <rPr>
        <sz val="10"/>
        <rFont val="Arial"/>
        <family val="2"/>
      </rPr>
      <t xml:space="preserve">: </t>
    </r>
    <r>
      <rPr>
        <b/>
        <sz val="10"/>
        <rFont val="Arial"/>
        <family val="2"/>
      </rPr>
      <t>I</t>
    </r>
    <r>
      <rPr>
        <sz val="10"/>
        <rFont val="Arial"/>
        <family val="2"/>
      </rPr>
      <t>nput</t>
    </r>
    <r>
      <rPr>
        <b/>
        <sz val="10"/>
        <rFont val="Arial"/>
        <family val="2"/>
      </rPr>
      <t>/O</t>
    </r>
    <r>
      <rPr>
        <sz val="10"/>
        <rFont val="Arial"/>
        <family val="2"/>
      </rPr>
      <t>utput</t>
    </r>
  </si>
  <si>
    <r>
      <rPr>
        <b/>
        <sz val="10"/>
        <rFont val="Arial"/>
        <family val="2"/>
      </rPr>
      <t>ADDR</t>
    </r>
    <r>
      <rPr>
        <sz val="10"/>
        <rFont val="Arial"/>
        <family val="2"/>
      </rPr>
      <t xml:space="preserve">: </t>
    </r>
    <r>
      <rPr>
        <b/>
        <sz val="10"/>
        <rFont val="Arial"/>
        <family val="2"/>
      </rPr>
      <t>Addr</t>
    </r>
    <r>
      <rPr>
        <sz val="10"/>
        <rFont val="Arial"/>
        <family val="2"/>
      </rPr>
      <t>ess</t>
    </r>
  </si>
  <si>
    <t>µC/uC: Microcontroller</t>
  </si>
  <si>
    <t>GMSL 2</t>
  </si>
  <si>
    <t>X</t>
  </si>
  <si>
    <t>REQ-0805258</t>
  </si>
  <si>
    <t>LL_09 : Validation strategy</t>
  </si>
  <si>
    <t>REQ-0827279</t>
  </si>
  <si>
    <t>Datasheet</t>
  </si>
  <si>
    <t>Status</t>
  </si>
  <si>
    <t>GMSL based LVDS Bi-directional Network Management Technical Specification</t>
  </si>
  <si>
    <t>[TS3]</t>
  </si>
  <si>
    <t>Comment</t>
  </si>
  <si>
    <t>Ref.</t>
  </si>
  <si>
    <t>Title</t>
  </si>
  <si>
    <t>Applicables Documents</t>
  </si>
  <si>
    <t>Requirement Description -&gt; Release 12.0</t>
  </si>
  <si>
    <t>REQ-GMSL_LVDS_NETWORK_PHY_TN_0006</t>
  </si>
  <si>
    <t>REQ-GMSL_LVDS_NETWORK_PHY_TN_0007</t>
  </si>
  <si>
    <t>REQ-GMSL_LVDS_NETWORK_PHY_TN_0008</t>
  </si>
  <si>
    <t>REQ-GMSL_LVDS_NETWORK_PHY_TN_0009</t>
  </si>
  <si>
    <t>REQ-GMSL_LVDS_NETWORK_PHY_TN_0010</t>
  </si>
  <si>
    <t>REQ-GMSL_LVDS_NETWORK_PHY_TN_0066</t>
  </si>
  <si>
    <t>REQ-GMSL_LVDS_NETWORK_PHY_TN_0040</t>
  </si>
  <si>
    <t>REQ-GMSL_LVDS_NETWORK_PHY_TN_0050</t>
  </si>
  <si>
    <t>REQ-GMSL_LVDS_NETWORK_PHY_TN_0051</t>
  </si>
  <si>
    <t>REQ-GMSL_LVDS_NETWORK_PHY_TN_0041</t>
  </si>
  <si>
    <t>REQ-GMSL_LVDS_NETWORK_PHY_TN_0042</t>
  </si>
  <si>
    <t>REQ-GMSL_LVDS_NETWORK_PHY_TN_0043</t>
  </si>
  <si>
    <t>The ECU node SerDes shall support daisy chain.</t>
  </si>
  <si>
    <t>The source ECU node shall route the Pass-Through control channel 1 to the GMSL link A of the serializer.</t>
  </si>
  <si>
    <t>The source ECU node shall route the Pass-Through control channel 1 to the GMSL link B of the serializer.</t>
  </si>
  <si>
    <t>The source ECU node shall route the Pass-Through control channel 2 to the GMSL link A of the serializer.</t>
  </si>
  <si>
    <t>The source ECU node shall route the Pass-Through control channel 2 to the GMSL link B of the serializer.</t>
  </si>
  <si>
    <t>The source ECU node shall route the video stream to the GMSL link A of the serializer.</t>
  </si>
  <si>
    <t>The source ECU node shall route the video stream to the GMSL link B of the serializer.</t>
  </si>
  <si>
    <t>REQ-GMSL_LVDS_NETWORK_PHY_TN_0011</t>
  </si>
  <si>
    <t>REQ-GMSL_LVDS_NETWORK_PHY_TN_0001</t>
  </si>
  <si>
    <t>REQ-GMSL_LVDS_NETWORK_PHY_TN_0002</t>
  </si>
  <si>
    <t>REQ-GMSL_LVDS_NETWORK_PHY_TN_0003</t>
  </si>
  <si>
    <t>REQ-GMSL_LVDS_NETWORK_PHY_TN_0004</t>
  </si>
  <si>
    <t>REQ-GMSL_LVDS_NETWORK_PHY_TN_0005</t>
  </si>
  <si>
    <t>The receiver ECU node shall configure the deserializer to disable the pass-through channel 1 and enable pass-through channel 2.</t>
  </si>
  <si>
    <t>REQ-GMSL_LVDS_NETWORK_PHY_TN_0049</t>
  </si>
  <si>
    <t>REQ-GMSL_LVDS_NETWORK_PHY_TN_0012</t>
  </si>
  <si>
    <t>REQ-GMSL_LVDS_NETWORK_PHY_TN_0013</t>
  </si>
  <si>
    <t>REQ-GMSL_LVDS_NETWORK_PHY_TN_0057</t>
  </si>
  <si>
    <t>REQ-GMSL_LVDS_NETWORK_PHY_TN_0058</t>
  </si>
  <si>
    <t>REQ-GMSL_LVDS_NETWORK_PHY_TN_0059</t>
  </si>
  <si>
    <t>REQ-GMSL_LVDS_NETWORK_PHY_TN_0060</t>
  </si>
  <si>
    <t>The ECU node shall apply a video stream ID = 0x2 to the SerDes.</t>
  </si>
  <si>
    <t>The ECU node shall apply a video stream ID = 0x3 to the SerDes.</t>
  </si>
  <si>
    <t>The ECU node shall apply a video stream ID = 0x4 to the SerDes.</t>
  </si>
  <si>
    <t>The ECU node shall apply a video stream ID = 0x5 to the SerDes.</t>
  </si>
  <si>
    <t>The ECU node shall apply a video stream ID = 0x6 to the SerDes.</t>
  </si>
  <si>
    <t>The ECU node shall apply a video stream ID = 0x7 to the SerDes.</t>
  </si>
  <si>
    <t>REQ-GMSL_LVDS_NETWORK_PHY_TN_0014</t>
  </si>
  <si>
    <t>REQ-GMSL_LVDS_NETWORK_PHY_TN_0015</t>
  </si>
  <si>
    <t>REQ-GMSL_LVDS_NETWORK_PHY_TN_0016</t>
  </si>
  <si>
    <t>REQ-GMSL_LVDS_NETWORK_PHY_TN_0017</t>
  </si>
  <si>
    <t>REQ-GMSL_LVDS_NETWORK_PHY_TN_0026</t>
  </si>
  <si>
    <t>REQ-GMSL_LVDS_NETWORK_PHY_TN_0027</t>
  </si>
  <si>
    <t>REQ-GMSL_LVDS_NETWORK_PHY_TN_0028</t>
  </si>
  <si>
    <t>REQ-GMSL_LVDS_NETWORK_PHY_TN_0035</t>
  </si>
  <si>
    <t>The ECU node shall have the ground decoupled from the cable shielding.</t>
  </si>
  <si>
    <t>REQ-GMSL_LVDS_NETWORK_PHY_TN_0033</t>
  </si>
  <si>
    <t>REQ-GMSL_LVDS_NETWORK_PHY_TN_0034</t>
  </si>
  <si>
    <t>REQ-GMSL_LVDS_NETWORK_PHY_TN_0029</t>
  </si>
  <si>
    <t>REQ-GMSL_LVDS_NETWORK_PHY_TN_0030</t>
  </si>
  <si>
    <t>REQ-GMSL_LVDS_NETWORK_PHY_TN_0031</t>
  </si>
  <si>
    <t>REQ-GMSL_LVDS_NETWORK_PHY_TN_0032</t>
  </si>
  <si>
    <t>REQ-GMSL_LVDS_NETWORK_PHY_TN_0036</t>
  </si>
  <si>
    <t>REQ-GMSL_LVDS_NETWORK_PHY_TN_0037</t>
  </si>
  <si>
    <t>REQ-GMSL_LVDS_NETWORK_PHY_TN_0038</t>
  </si>
  <si>
    <t>REQ-GMSL_LVDS_NETWORK_PHY_TN_0039</t>
  </si>
  <si>
    <t>REQ-GMSL_LVDS_NETWORK_PHY_TN_0061</t>
  </si>
  <si>
    <t>REQ-GMSL_LVDS_NETWORK_PHY_TN_0045</t>
  </si>
  <si>
    <t>REQ-GMSL_LVDS_NETWORK_PHY_TN_0055</t>
  </si>
  <si>
    <t>REQ-GMSL_LVDS_NETWORK_PHY_TN_0047</t>
  </si>
  <si>
    <t>REQ-GMSL_LVDS_NETWORK_PHY_TN_0048</t>
  </si>
  <si>
    <t>REQ-GMSL_LVDS_NETWORK_PHY_TN_0062</t>
  </si>
  <si>
    <t>REQ-GMSL_LVDS_NETWORK_PHY_TN_0056</t>
  </si>
  <si>
    <t>REQ-GMSL_LVDS_NETWORK_PHY_TN_0046</t>
  </si>
  <si>
    <t>REQ-GMSL_LVDS_NETWORK_PHY_TN_0063</t>
  </si>
  <si>
    <t>REQ-GMSL_LVDS_NETWORK_PHY_TN_0064</t>
  </si>
  <si>
    <t>REQ-GMSL_LVDS_NETWORK_PHY_TN_0065</t>
  </si>
  <si>
    <t>The source ECU node shall acquire an interrupt for a touch on the display through dedicated a serializer GPIO.</t>
  </si>
  <si>
    <t>The receiver ECU node shall generate an interrupt through dedicated a deserializer GPIO when there a touch on the display.</t>
  </si>
  <si>
    <t>The ECU node shall apply the GPIO ID = 0x0 to the SerDes GPIO dedicated to an interrupt for a touch on a display.</t>
  </si>
  <si>
    <t>The ECU node shall apply the GPIO ID = 0x1 to the SerDes GPIO dedicated to an interrupt for a touch on a display.</t>
  </si>
  <si>
    <t>The ECU node shall apply the GPIO ID = 0x2 to the SerDes GPIO dedicated to an interrupt for a touch on a display.</t>
  </si>
  <si>
    <t>The ECU node shall apply the GPIO ID = 0x3 to the SerDes GPIO dedicated to an interrupt for a touch on a display.</t>
  </si>
  <si>
    <t>The ECU node shall apply the GPIO ID = 0x4 to the SerDes GPIO dedicated to an interrupt for a touch on a display.</t>
  </si>
  <si>
    <t>The ECU node shall apply the GPIO ID = 0x5 to the SerDes GPIO dedicated to an interrupt for a touch on a display.</t>
  </si>
  <si>
    <t>The ECU node shall apply the GPIO ID = 0x6 to the SerDes GPIO dedicated to an interrupt for a touch on a display.</t>
  </si>
  <si>
    <t>The ECU node shall apply the GPIO ID = 0x7 to the SerDes GPIO dedicated to an interrupt for a touch on a display.</t>
  </si>
  <si>
    <t>The leaf ECU node shall apply an ID to the deserializer GPIO dedicated to an interrupt for a touch on a display following the value of TOUCH_INT_GPIO_ID_SEL:
-	0x0
-	0x1
-	0x2
-	0x3
-	0x4
-	0x5
-	0x6
-	0x7</t>
  </si>
  <si>
    <t>The source ECU node shall acquire the accelerometer interrupt through a serializer GPIO.</t>
  </si>
  <si>
    <t>The receiver ECU node shall generate the accelerometer interrupt through a deserializer GPIO.</t>
  </si>
  <si>
    <t>The ECU node shall apply the GPIO ID = 0xA to the SerDes GPIO dedicated to the accelerometer interrupt.</t>
  </si>
  <si>
    <t>The ECU node shall apply the GPIO ID = 0xC to the SerDes GPIO dedicated to the accelerometer interrupt.</t>
  </si>
  <si>
    <t>The leaf ECU node shall apply an ID to the deserializer GPIO dedicated to an interrupt from the accelerometer following the value of ACCELERO_INT_GPIO_ID_SEL:
-	0xA
-	0xC</t>
  </si>
  <si>
    <t>The source ECU node shall acquire the 3D gyroscope interrupt through a serializer GPIO.</t>
  </si>
  <si>
    <t>The receiver ECU node shall generate the 3D gyroscope interrupt through a deserializer GPIO.</t>
  </si>
  <si>
    <t>The ECU node shall apply the GPIO ID = 0xB to the SerDes GPIO dedicated to the 3D Gyroscope interrupt.</t>
  </si>
  <si>
    <t>The ECU node shall apply the GPIO ID = 0xD to the SerDes GPIO dedicated to the 3D Gyroscope interrupt.</t>
  </si>
  <si>
    <t>The leaf ECU node shall apply an ID to the deserializer GPIO dedicated to an interrupt from the gyroscope following the value of GYRO_INT_GPIO_ID_SEL:
-	0xB
-	0xD</t>
  </si>
  <si>
    <t>REQ-GMSL_LVDS_NETWORK_PHY_TN_0052</t>
  </si>
  <si>
    <t>REQ-GMSL_LVDS_NETWORK_PHY_TN_0053</t>
  </si>
  <si>
    <t>The supplier of the source ECU node shall deliver a measurement report of the Insertion Loss and Return Loss of the PCB trace from the serializer to the PCB connector that complies to GMSL1 channel specifications.</t>
  </si>
  <si>
    <t>The supplier of the receiver ECU node shall deliver a measurement report of the Insertion Loss and Return Loss of the PCB trace from the PCB connector to the deserializer that complies to GMSL1 channel specifications.</t>
  </si>
  <si>
    <t>REQ-GMSL_LVDS_NETWORK_PHY_TN_0019</t>
  </si>
  <si>
    <t>REQ-GMSL_LVDS_NETWORK_PHY_TN_0020</t>
  </si>
  <si>
    <t>REQ-GMSL_LVDS_NETWORK_PHY_TN_0054</t>
  </si>
  <si>
    <t>The supplier shall provide the Forward Channel and the Reverse Channel link margin test report for the with the following settings and results:
Test settings:
•	Channel Rate Selection:
o	Forward 3Gbps
o	Reverse 187 Mbps
•	Channel Test Selection: Both Channels
•	Delay Time for Errors: 25 s
•	Minimum TX Setting: 50 mV
•	Iterations: 3
Test results:
•	Forward Channel link margin ≥ 200 mV
•	Reverse Channel link margin ≥ 110 mV</t>
  </si>
  <si>
    <t>REQ-GMSL_LVDS_NETWORK_PHY_TN_0021</t>
  </si>
  <si>
    <t>REQ-GMSL_LVDS_NETWORK_PHY_TN_0022</t>
  </si>
  <si>
    <t>REQ-GMSL_LVDS_NETWORK_PHY_TN_0023</t>
  </si>
  <si>
    <t>REQ-GMSL_LVDS_NETWORK_PHY_TN_0024</t>
  </si>
  <si>
    <t>The receiver ECU node shall have a diagnostic calibration parameter called SOURCE_SPREAD_SPECTRUM_x to select the source spread spectrum value among:
-	No spread spectrum
-	±0,25%
-	±0,5%
-	±1%
-	±2%
-	±4%.</t>
  </si>
  <si>
    <t>ECU node: H-MTD Jack output connector</t>
  </si>
  <si>
    <t>ECU node: H-MTD Jack intput connector</t>
  </si>
  <si>
    <t>Source ECU node: GMSL3 Forward channel bit rate calibration parameter</t>
  </si>
  <si>
    <t>ECU node: GMSL3 Forward channel bit rate: 12Gbps</t>
  </si>
  <si>
    <t>ECU node: SerDes Daisy chain support</t>
  </si>
  <si>
    <t>Source ECU node: PT CC 1 routing to GMSL Link A</t>
  </si>
  <si>
    <t>Source ECU node: PT CC 2 routing to GMSL Link A</t>
  </si>
  <si>
    <t>Source ECU node: PT CC 1 routing to GMSL Link B</t>
  </si>
  <si>
    <t>Source ECU node: PT CC 2 routing to GMSL Link B</t>
  </si>
  <si>
    <t>Source ECU node: Video stream routing to GMSL Link A</t>
  </si>
  <si>
    <t>Source ECU node: Video stream routing to GMSL Link B</t>
  </si>
  <si>
    <t>ECU node: I2C Main control channel</t>
  </si>
  <si>
    <t>ECU node: Video Stream ID = 0x2</t>
  </si>
  <si>
    <t>ECU node: Video Stream ID = 0x3</t>
  </si>
  <si>
    <t>ECU node: Video Stream ID = 0x4</t>
  </si>
  <si>
    <t>ECU node: Video Stream ID = 0x5</t>
  </si>
  <si>
    <t>ECU node: Video Stream ID = 0x6</t>
  </si>
  <si>
    <t>ECU node: Video Stream ID = 0x7</t>
  </si>
  <si>
    <t>ECU node: HDCP 1.4</t>
  </si>
  <si>
    <t>ECU node: HDCP 2.3</t>
  </si>
  <si>
    <t>ECU node: Auto HDCP</t>
  </si>
  <si>
    <t>TN_0027 A
Receiver ECU Tunneling Mode calibration parameter</t>
  </si>
  <si>
    <t>Ground decoupling from cable shielding</t>
  </si>
  <si>
    <t>Source ECU node: Touch interrupt GPIO</t>
  </si>
  <si>
    <t>Receiver ECU node: Touch interrupt GPIO</t>
  </si>
  <si>
    <t>ECU node: Touch interrupt GPIO ID = 0x0</t>
  </si>
  <si>
    <t>ECU node: Touch interrupt GPIO ID = 0x1</t>
  </si>
  <si>
    <t>ECU node: Touch interrupt GPIO ID = 0x2</t>
  </si>
  <si>
    <t>ECU node: Touch interrupt GPIO ID = 0x3</t>
  </si>
  <si>
    <t>ECU node: Touch interrupt GPIO ID = 0x4</t>
  </si>
  <si>
    <t>ECU node: Touch interrupt GPIO ID = 0x5</t>
  </si>
  <si>
    <t>ECU node: Touch interrupt GPIO ID = 0x6</t>
  </si>
  <si>
    <t>ECU node: Touch interrupt GPIO ID = 0x7</t>
  </si>
  <si>
    <t>Leaf ECU node: Touch interrupt GPIO ID Selection</t>
  </si>
  <si>
    <t>Source ECU node: Accelerometer interrupt GPIO</t>
  </si>
  <si>
    <t>Receiver ECU node: Accelerometer interrupt GPIO</t>
  </si>
  <si>
    <t>ECU node: Accelerometer interrupt GPIO ID = 0xA</t>
  </si>
  <si>
    <t>ECU node: Accelerometer interrupt GPIO ID = 0xC</t>
  </si>
  <si>
    <t>ECU node: Accelerometer interrupt GPIO ID Selection</t>
  </si>
  <si>
    <t>Source ECU node: 3D Gyroscope interrupt GPIO</t>
  </si>
  <si>
    <t>Receiver ECU node: 3D Gyroscope interrupt GPIO</t>
  </si>
  <si>
    <t>ECU node: 3D Gyroscope interrupt GPIO ID = 0xB</t>
  </si>
  <si>
    <t>ECU node: 3D Gyroscope interrupt GPIO ID = 0xD</t>
  </si>
  <si>
    <t>ECU node: Gyroscope interrupt GPIO ID Selection</t>
  </si>
  <si>
    <t>GMSL 1 S-Parameters of the source ECU</t>
  </si>
  <si>
    <t>GMSL 1 S-Parameters of the receiver ECU</t>
  </si>
  <si>
    <t>Source ECU node: GMSL 3 S-Parameters</t>
  </si>
  <si>
    <t>Receiver ECU node: GMSL 3 S-Parameters</t>
  </si>
  <si>
    <t>ECU node: 3 Gbps forward channel Link margin test</t>
  </si>
  <si>
    <t>ECU node: GMSL 3 Link margin test</t>
  </si>
  <si>
    <t>Source ECU node: Diagnostic calibration parameter ECU GMSL2 BWC GMSL1 Spread-Spectrum</t>
  </si>
  <si>
    <t>Receiver ECU node: diagnostic calibration parameter of GMSL2 BWC GMSL1 Source Spread-Spectrum</t>
  </si>
  <si>
    <t>Node Type</t>
  </si>
  <si>
    <t>HDCP</t>
  </si>
  <si>
    <t>Control channel interface</t>
  </si>
  <si>
    <t>Connector and signal type</t>
  </si>
  <si>
    <t>Root ECU parameter</t>
  </si>
  <si>
    <t>Others</t>
  </si>
  <si>
    <t>Power supply &amp; Groung</t>
  </si>
  <si>
    <t>source</t>
  </si>
  <si>
    <t>receiver</t>
  </si>
  <si>
    <t>HSD</t>
  </si>
  <si>
    <t>Differential</t>
  </si>
  <si>
    <t>H-MTD</t>
  </si>
  <si>
    <t>Fakra</t>
  </si>
  <si>
    <t>Single Ended</t>
  </si>
  <si>
    <t>GMSL 1</t>
  </si>
  <si>
    <t>6 &amp; 3 Gbps</t>
  </si>
  <si>
    <t>6 Gbps</t>
  </si>
  <si>
    <t>3 Gbps</t>
  </si>
  <si>
    <t>GMSL 3</t>
  </si>
  <si>
    <t>12 Gbps</t>
  </si>
  <si>
    <t>GMSL 2/3</t>
  </si>
  <si>
    <t>UART</t>
  </si>
  <si>
    <t>Parellel</t>
  </si>
  <si>
    <t>Open LDI</t>
  </si>
  <si>
    <t>Dual open LDI</t>
  </si>
  <si>
    <t>HDMI 1.4</t>
  </si>
  <si>
    <t>DSI</t>
  </si>
  <si>
    <t>eDP 1.4a or DP 1.4</t>
  </si>
  <si>
    <t>CSI-2</t>
  </si>
  <si>
    <t>Parallel / Open LDI / Dual Open LDI</t>
  </si>
  <si>
    <t>18-bit RGB</t>
  </si>
  <si>
    <t>24-bit RGB</t>
  </si>
  <si>
    <t xml:space="preserve"> 8-bit YCbCr 4:2:2</t>
  </si>
  <si>
    <t>10-bit YCbCr 4:2:2</t>
  </si>
  <si>
    <t>12-bit YCbCr 4:2:2</t>
  </si>
  <si>
    <t>8-bit muxed YCbCr 4:2:2</t>
  </si>
  <si>
    <t>10-bit muxed YCbCr 4:2:2</t>
  </si>
  <si>
    <t xml:space="preserve"> 8-bit RAW single load</t>
  </si>
  <si>
    <t>10-bit RAW single load</t>
  </si>
  <si>
    <t>12-bit RAW single load</t>
  </si>
  <si>
    <t>14-bit RAW single load</t>
  </si>
  <si>
    <t>8-bit RAW double load</t>
  </si>
  <si>
    <t>10-bit RAW double load</t>
  </si>
  <si>
    <t>12-bit RAW double load</t>
  </si>
  <si>
    <t>Tunneling</t>
  </si>
  <si>
    <t>Shielding Coupling to the ECU ground</t>
  </si>
  <si>
    <t>Tbd</t>
  </si>
  <si>
    <t>Power supply - HSD</t>
  </si>
  <si>
    <t>Source</t>
  </si>
  <si>
    <t>Unused second Twisted pair - HSD</t>
  </si>
  <si>
    <t>Shielding Decoupling from the ECU ground</t>
  </si>
  <si>
    <t>Switch signal</t>
  </si>
  <si>
    <t>HIM (GMSL 1)</t>
  </si>
  <si>
    <t>HUD Accelerometer</t>
  </si>
  <si>
    <t>HUD Gyroscope</t>
  </si>
  <si>
    <t>Camera</t>
  </si>
  <si>
    <t>GMSL 2/1</t>
  </si>
  <si>
    <t>Receiver ECU node: Automatic Equalizer (AEQ)</t>
  </si>
  <si>
    <t>ECU node: 0.1µF capacitor</t>
  </si>
  <si>
    <t>The ECU node shall have 0.1µF high-frequency surface-mount ceramic capacitors, with sufficient voltage rating to withstand a short to battery, to pass the lower speed reverse control-channel signal and capacitors with a case size less than 3.2mm x 1.6mm to have lower parasitic effects to the high-speed signal.</t>
  </si>
  <si>
    <t>The source ECU node supplier shall have provide a pixel clock deviation conformity justification file with worst case analysis on the complete chain of pixel clock generation according to thefollowing template [11].</t>
  </si>
  <si>
    <t>REQ-159</t>
  </si>
  <si>
    <t>REQ-160</t>
  </si>
  <si>
    <t>REQ-161</t>
  </si>
  <si>
    <t>REQ-162</t>
  </si>
  <si>
    <t>REQ-163</t>
  </si>
  <si>
    <t>REQ-206</t>
  </si>
  <si>
    <t>REQ-207</t>
  </si>
  <si>
    <t>REQ-208</t>
  </si>
  <si>
    <t>REQ-164</t>
  </si>
  <si>
    <t>REQ-165</t>
  </si>
  <si>
    <t>REQ-166</t>
  </si>
  <si>
    <t>REQ-204</t>
  </si>
  <si>
    <t>REQ-192</t>
  </si>
  <si>
    <t>REQ-193</t>
  </si>
  <si>
    <t>REQ-194</t>
  </si>
  <si>
    <t>REQ-195</t>
  </si>
  <si>
    <t>REQ-196</t>
  </si>
  <si>
    <t>REQ-197</t>
  </si>
  <si>
    <t>REQ-198</t>
  </si>
  <si>
    <t>REQ-199</t>
  </si>
  <si>
    <t>REQ-200</t>
  </si>
  <si>
    <t>REQ-201</t>
  </si>
  <si>
    <t>REQ-202</t>
  </si>
  <si>
    <t>REQ-203</t>
  </si>
  <si>
    <t>ECU node: µC DEV_ADDR = 0xA0</t>
  </si>
  <si>
    <t>ECU node: µC DEV_ADDR = 0xA2</t>
  </si>
  <si>
    <t>ECU node: µC DEV_ADDR = 0xA4</t>
  </si>
  <si>
    <t>ECU node: µC DEV_ADDR = 0xA6</t>
  </si>
  <si>
    <t>ECU node: µC DEV_ADDR = 0xA8</t>
  </si>
  <si>
    <t>ECU node: µC DEV_ADDR = 0xAA</t>
  </si>
  <si>
    <t>ECU node: µC DEV_ADDR = 0xAC</t>
  </si>
  <si>
    <t>ECU node: µC DEV_ADDR = 0xAE</t>
  </si>
  <si>
    <t>ECU node: µC DEV_ADDR = 0xB0</t>
  </si>
  <si>
    <t>ECU node: µC DEV_ADDR = 0xB2</t>
  </si>
  <si>
    <t>ECU node: µC DEV_ADDR = 0xB4</t>
  </si>
  <si>
    <t>ECU node: µC DEV_ADDR = 0xB6</t>
  </si>
  <si>
    <t>ECU node: µC DEV_ADDR = 0xB8</t>
  </si>
  <si>
    <t>ECU node: µC DEV_ADDR = 0xBA</t>
  </si>
  <si>
    <t>ECU node: µC DEV_ADDR = 0xBC</t>
  </si>
  <si>
    <t>ECU node: µC DEV_ADDR = 0xBE</t>
  </si>
  <si>
    <t>ECU node: µC DEV_CDDR = 0xC0</t>
  </si>
  <si>
    <t>ECU node: µC DEV_CDDR = 0xC2</t>
  </si>
  <si>
    <t>ECU node: µC DEV_CDDR = 0xC4</t>
  </si>
  <si>
    <t>ECU node: µC DEV_CDDR = 0xC6</t>
  </si>
  <si>
    <t>ECU node: µC DEV_CDDR = 0xC8</t>
  </si>
  <si>
    <t>ECU node: µC DEV_ADDR = 0xCA</t>
  </si>
  <si>
    <t>ECU node: µC DEV_CDDR = 0xCC</t>
  </si>
  <si>
    <t>ECU node: µC DEV_CDDR = 0xCE</t>
  </si>
  <si>
    <t>The ECU node shall apply the address DEV_ADDR = 0xA0 to the microcontroller of the display.</t>
  </si>
  <si>
    <t>The ECU node shall apply the address DEV_ADDR = 0xA2 to the microcontroller of the display.</t>
  </si>
  <si>
    <t>The ECU node shall apply the address DEV_ADDR = 0xA4 to the microcontroller of the display.</t>
  </si>
  <si>
    <t>The ECU node shall apply the address DEV_ADDR = 0xA6 to the microcontroller of the display.</t>
  </si>
  <si>
    <t>The ECU node shall apply the address DEV_ADDR = 0xA8 to the microcontroller of the display.</t>
  </si>
  <si>
    <t>The ECU node shall apply the address DEV_ADDR = 0xAA to the microcontroller of the display.</t>
  </si>
  <si>
    <t>The ECU node shall apply the address DEV_ADDR = 0xAC to the microcontroller of the display.</t>
  </si>
  <si>
    <t>The ECU node shall apply the address DEV_ADDR = 0xAE to the microcontroller of the display.</t>
  </si>
  <si>
    <t>The ECU node shall apply the address DEV_ADDR = 0xB0 to the microcontroller of the display.</t>
  </si>
  <si>
    <t>The ECU node shall apply the address DEV_ADDR = 0xB2 to the microcontroller of the display.</t>
  </si>
  <si>
    <t>The ECU node shall apply the address DEV_ADDR = 0xB4 to the microcontroller of the display.</t>
  </si>
  <si>
    <t>The ECU node shall apply the address DEV_ADDR = 0xB6 to the microcontroller of the display.</t>
  </si>
  <si>
    <t>The ECU node shall apply the address DEV_ADDR = 0xB8 to the microcontroller of the display.</t>
  </si>
  <si>
    <t>The ECU node shall apply the address DEV_ADDR = 0xBA to the microcontroller of the display.</t>
  </si>
  <si>
    <t>The ECU node shall apply the address DEV_ADDR = 0xBC to the microcontroller of the display.</t>
  </si>
  <si>
    <t>The ECU node shall apply the address DEV_ADDR = 0xBE to the microcontroller of the display.</t>
  </si>
  <si>
    <t>The ECU node shall apply the address DEV_ADDR = 0xC0 to the microcontroller of the display.</t>
  </si>
  <si>
    <t>The ECU node shall apply the address DEV_ADDR = 0xC2 to the microcontroller of the display.</t>
  </si>
  <si>
    <t>The ECU node shall apply the address DEV_ADDR = 0xC4 to the microcontroller of the display.</t>
  </si>
  <si>
    <t>The ECU node shall apply the address DEV_ADDR = 0xC6 to the microcontroller of the display.</t>
  </si>
  <si>
    <t>The ECU node shall apply the address DEV_ADDR = 0xC8 to the microcontroller of the display.</t>
  </si>
  <si>
    <t>The ECU node shall apply the address DEV_ADDR = 0xCA to the microcontroller of the display.</t>
  </si>
  <si>
    <t>The ECU node shall apply the address DEV_ADDR = 0xCC to the microcontroller of the display.</t>
  </si>
  <si>
    <t>The ECU node shall apply the address DEV_ADDR = 0xCE to the microcontroller of the display.</t>
  </si>
  <si>
    <t>The root ECU node shall stop the transmission of a WRITE frame the latest after sending the outgoing byte from Ttrans_timeout_WRITE occurrence.</t>
  </si>
  <si>
    <t>The root ECU node shall apply a timer Ttrans_timeout_WRITE = 900µs.</t>
  </si>
  <si>
    <t>REQ-205</t>
  </si>
  <si>
    <t>Leaf ECU node: Trecep_timeout_WRITE = 900 µs</t>
  </si>
  <si>
    <t>The leaf ECU node shall apply a timer Ttrans_timeout_WRITE = 900µs.</t>
  </si>
  <si>
    <t>REQ-158</t>
  </si>
  <si>
    <t>Root ECU node: Trecep_timeout_READ = 900µs for DATA length ≤ 9 bytes</t>
  </si>
  <si>
    <t>The root ECU node shall apply a timer Trecep_timeout_READ = 900µs for DATA length lower or equal to 9 bytes.</t>
  </si>
  <si>
    <t>N/A</t>
  </si>
  <si>
    <t>REQ-167</t>
  </si>
  <si>
    <t>REQ-168</t>
  </si>
  <si>
    <t>ECU node: Segmented WRITE frame DLC = 31</t>
  </si>
  <si>
    <t>ECU node: Segmented READ frame DLC = 31</t>
  </si>
  <si>
    <t>The ECU node shall manage a segmented WRITE frame with a constant of 30 data bytes and DLC = 31.</t>
  </si>
  <si>
    <t>The ECU node shall manage a segmented READ frame with a constant of 30 data bytes and DLC = 31.</t>
  </si>
  <si>
    <t>REQ-170</t>
  </si>
  <si>
    <t>REQ-171</t>
  </si>
  <si>
    <t>REQ-172</t>
  </si>
  <si>
    <t>Root ECU node: Single Frame (SF) data length error in a READ frame</t>
  </si>
  <si>
    <t>Root ECU node: First Frame (SF) data length error in a READ frame</t>
  </si>
  <si>
    <t>ECU node: reception_buffer_len</t>
  </si>
  <si>
    <t>The root ECU node shall discard a Single Frame (SF) with a message length larger than LEN = 28 bytes.</t>
  </si>
  <si>
    <t>The root ECU node shall discard a First Frame (FF) with a message length lower than LEN = 27 bytes and therefore discard the following Consecutive frames (CF).</t>
  </si>
  <si>
    <t>The ECU node shall have a buffer reception_buffer_len = 4095 bytes.</t>
  </si>
  <si>
    <t>REQ-173</t>
  </si>
  <si>
    <t>REQ-174</t>
  </si>
  <si>
    <t>Leaf ECU node: Loopback service activation</t>
  </si>
  <si>
    <t>Leaf ECU node: Ttrans_timeout service activation</t>
  </si>
  <si>
    <t>The leaf ECU node shall activate the Loopback service when receiving the following TEST_LEAF_WRITE frame.
Mnemonic:	TEST_LEAF_WRITE
Type:	WRITE frame
ID:	0x3EDLC:	0x09
DATA
Bits	Signal	Coding
1.0 to 1.7	SERVICE_TYPE	0x01: Loopback service
		Other : invalid value
2.0 to 2.7	TESTED_FRAME_ID	0x00 to 0x3F: Identifier of TESTED_FRAME. defined in the message database. 
		0xFF: WRITE frame received before TEST_LEAF_HEADER frame 
3.0 to 8.7	RESRVED	0x00: reserved</t>
  </si>
  <si>
    <t xml:space="preserve">The leaf ECU node shall activate the Ttrans_timeout service when receiving the following TEST_LEAF_WRITE frame.
Mnemonic:	TEST_LEAF_WRITE
Type:	WRITE frame
ID:	0x3E
DLC:	0x09
DATA:
Bits	Signal	Coding
1.0 to 1.7	SERVICE_TYPE	0x02: Ttrans_timeout
		Other : invalid value
2.0 to 2.7	TESTED_FRAME_ID	0x00 to 0x3F: ID of TESTED_FRAME defined in the message database.
		Other : invalid value
3.0 to 3.7	LEAF_DELAY	Delay to add before sending the answer.
4.0 to 8.7	RESRVED	0x00: reserved
</t>
  </si>
  <si>
    <t>REQ-182</t>
  </si>
  <si>
    <t>Leaf ECU node: Deserializer Remote Control service activation</t>
  </si>
  <si>
    <t xml:space="preserve">The leaf ECU node shall activate the Deserializer Remote Control service when receiving the following TEST_LEAF_WRITE frame.
Mnemonic:	TEST_LEAF_WRITE
Type:	WRITE frame
ID:	0x3E
DLC:	0x09
DATA
Bits	Signal	Coding
1.0 to 1.7	SERVICE_TYPE	0x03: Deserializer Remote Control service
		Other : invalid value
2.0 to 2.7	DES_REM_C	0x01: The leaf ECU node enables the Deserializer Remote Control from the Serializer. 
		Other : invalid value
3.0 to 8.7	RESRVED	0x00: reserved
</t>
  </si>
  <si>
    <t>REQ-185</t>
  </si>
  <si>
    <t>REQ-188</t>
  </si>
  <si>
    <t>Leaf ECU node: Deserializer Remote Control service deactivation</t>
  </si>
  <si>
    <t xml:space="preserve">Leaf ECU node: Main control channel compliance to 1 Mbps in Deserializer Remote Control service </t>
  </si>
  <si>
    <t>The leaf ECU node shall deactivate the Deserializer Remote Control service when rebooting.</t>
  </si>
  <si>
    <t>The leaf ECU node deserializer shall comply to a bit rate of 1 Mbps on the Main Control Channel when the Deserializer Remote Control service is activated.</t>
  </si>
  <si>
    <t>Leaf</t>
  </si>
  <si>
    <t>Root</t>
  </si>
  <si>
    <t xml:space="preserve">REQ-LVDS-NM-TN_045 </t>
  </si>
  <si>
    <t xml:space="preserve">REQ-LVDS-NM-TN_023 </t>
  </si>
  <si>
    <t>Leaf ECU node: Communication</t>
  </si>
  <si>
    <t>The leaf ECU node shall detect a communication loss when no WRITE frame and HEADER frame is consumed during Tcom_loss_LVDS timeout.</t>
  </si>
  <si>
    <t>ECU node: 
Display use case 
I2C
CMD_LVDS_NM block</t>
  </si>
  <si>
    <t>The ECU node shall apply CMD_LVDS_NM block with the following format to switch into the according LVDS network state:
Bit	Signal	Description	Coding
[3 :0]	CMD_LVDS_NM	LVDS Network Management state	0x0: MAIN.NORMAL.FUNCTIONAL
0x1: MAIN.NORMAL.REQUEST
0x2 : MAIN.NORMAL.RESPONSE
0x3: MAIN.PREPARE-BUS-SLEEP
0xF: invalid
Other values: reserved</t>
  </si>
  <si>
    <t>REQ-LVDS-NM-TN_023</t>
  </si>
  <si>
    <t>REQ-LVDS-NM-TN_024</t>
  </si>
  <si>
    <t>Root ECU node: 
Display use case 
I2C
Tr12 transition 
From BUS-SLEEP.STANDBY state to BUS-SLEEP.LEAF-PWDN state</t>
  </si>
  <si>
    <t>The root ECU node shall apply the following conditions from BUS-SLEEP.STANDBY state to BUS-SLEEP.LEAF-PWDN state:
Transition	From BUS-SLEEP.STANDBY
to BUS-SLEEP.LEAF-PWDN
Conditions	The leaf ECU node is powered down.
Actions	The root ECU node LVDS bi-dir network management shall switch into BUS-SLEEP.LEAF-PWDN state.
	The root ECU node shall disable the schedule table transmission on the Pass-Through control channel.
	The root ECU node shall disable frame sending and receiving to the deserializer on the main control channel.
Ref state diagram	Tr12</t>
  </si>
  <si>
    <t>Root ECU node: 
Display use case 
I2C
Tr9 transition 
From BUS-SLEEP.LEAF-PWDN state 
to MAIN.NORMAL state</t>
  </si>
  <si>
    <t>The root ECU node shall apply the following conditions from BUS-SLEEP.LEAF-PWDN state to MAIN.NORMAL state:
Transition	From BUS-SLEEP.LEAF-PWDN
to MAIN.NORMAL
Conditions	Local wake up event:
The CAN network switches to Network Mode.
AND 
End of Tinit_LVDS_leaf
Actions	The root ECU node LVDS bi-dir network management shall switch into MAIN.NORMAL state.
	The root ECU node shall enable the schedule table transmission on the Pass-Through control channel.
	The root ECU node shall disable frame sending and receiving to the deserializer on the main control channel.
Ref state diagram	Tr9</t>
  </si>
  <si>
    <t>REQ-LVDS-NM-TN_046</t>
  </si>
  <si>
    <t>REQ-LVDS-NM-TN_025</t>
  </si>
  <si>
    <t>REQ-LVDS-NM-TN_026</t>
  </si>
  <si>
    <t>REQ-LVDS-NM-TN_027</t>
  </si>
  <si>
    <t>REQ-LVDS-NM-TN_028</t>
  </si>
  <si>
    <t>REQ-LVDS-NM-TN_029</t>
  </si>
  <si>
    <t>REQ-LVDS-NM-TN_030</t>
  </si>
  <si>
    <t>REQ-LVDS-NM-TN_031</t>
  </si>
  <si>
    <t>REQ-LVDS-NM-TN_032</t>
  </si>
  <si>
    <t>REQ-LVDS-NM-TN_033</t>
  </si>
  <si>
    <t>REQ-LVDS-NM-TN_034</t>
  </si>
  <si>
    <t>REQ-LVDS-NM-TN_035</t>
  </si>
  <si>
    <t>REQ-LVDS-NM-TN_036</t>
  </si>
  <si>
    <t>REQ-LVDS-NM-TN_037</t>
  </si>
  <si>
    <t>REQ-LVDS-NM-TN_038</t>
  </si>
  <si>
    <t>REQ-LVDS-NM-TN_039</t>
  </si>
  <si>
    <t>REQ-LVDS-NM-TN_040</t>
  </si>
  <si>
    <t>REQ-LVDS-NM-TN_041</t>
  </si>
  <si>
    <t>REQ-LVDS-NM-TN_042</t>
  </si>
  <si>
    <t>REQ-LVDS-NM-TN_043</t>
  </si>
  <si>
    <t>REQ-LVDS-NM-TN_044</t>
  </si>
  <si>
    <t xml:space="preserve">ECU node: 
Display use case 
UART
CDE_RESEAU_LVDS </t>
  </si>
  <si>
    <t>The ECU node shall apply the CDE_RESEAU_LVDS block with the following format:
Bit	Signal	Description	Coding
[7 :0]	CDE_PV_LVDS	LVDS life phase state	0x00: MAIN.NORMAL.FUNCTIONAL
0x01: MAIN.NORMAL.REQUEST
0x02: MAIN.NORMAL.RESPONSE
0x03: MAIN.GO-TO-SLEEP
0xFF: invalid
Other values: reserved</t>
  </si>
  <si>
    <t>Root ECU node: 
Display use case 
UART 
Tr0 transition 
From OFF_NODE state 
to BUS-SLEEP.INIT state</t>
  </si>
  <si>
    <t>The root ECU node shall apply the following conditions from OFF_NODE state to BUS-SLEEP.INIT state:
Transition	From OFF_NODE 
to BUS-SLEEP.INIT
Conditions	Power on of the ECU
Actions	The root ECU node LVDS bi-dir network management shall switch into BUS-SLEEP.INIT state.
	The root ECU node shall initialize the LVDS low layers during Tinit_LVDS_root.
	The root ECU node shall disable the schedule table transmission on the Pass-Through control channel.
	The root ECU node shall disable frame sending and receiving to the deserializer on the main control channel.
Ref state diagram	Tr0</t>
  </si>
  <si>
    <t>Root ECU node: 
Display use case 
UART
Tr1 transition 
From BUS-SLEEP.INIT state 
to MAIN.NORMAL state</t>
  </si>
  <si>
    <t>The root ECU node shall apply the following conditions from BUS-SLEEP.INIT state to MAIN.NORMAL state:
Transition	From BUS-SLEEP.INIT 
to MAIN.NORMAL
Conditions	End of Tinit_LVDS_root
AND 
End of Tinit_LVDS_leaf 
AND
Local wake up event:
The CAN network switches to Network Mode.
Actions	The root ECU node LVDS bi-dir network management shall switch into MAIN.NORMAL state.
	The root ECU node shall enable the schedule table transmission on the Pass-Through control channel.
	The root ECU node shall enable frame sending and receiving to the deserializer on the main control channel.
	The root ECU node shall apply calibration parameters value to the deserializer.
Ref state diagram	Tr1</t>
  </si>
  <si>
    <t>Root ECU node: 
Display use case 
UART  
Tr2 transition 
From MAIN.NORMAL state 
to MAIN.PREPARE-BUS-SLEEP state</t>
  </si>
  <si>
    <t>The root ECU node shall apply the following conditions from MAIN.NORMAL state to MAIN.PREPARE-BUS-SLEEP state:
Transition	From MAIN.NORMAL 
to MAIN.PREPARE-BUS-SLEEP
Conditions	Local sleep event:
The CAN network switches to Prepare Bus Sleep Mode.
Actions	The root ECU node LVDS bi-dir network management shall switch into MAIN.PREPARE-BUS-SLEEP state.
	The root ECU node shall enable the schedule table transmission on the Pass-Through control channel.
	The root ECU node shall enable frame sending and receiving to the deserializer on the main control channel.
Ref state diagram	Tr2</t>
  </si>
  <si>
    <t>Root ECU node: 
Display use case 
UART 
Tr3 transition 
From MAIN.PREPARE-BUS-SLEEP state 
to MAIN.NORMAL state</t>
  </si>
  <si>
    <t>The root ECU node shall apply the following conditions from MAIN.PREPARE-BUS-SLEEP state to MAIN.NORMAL state:
Transition	From MAIN.PREPARE-BUS-SLEEP
to MAIN.NORMAL
Conditions	Local wake up event:
The CAN network switches to Network Mode.
Actions	The root ECU node LVDS bi-dir network management shall switch into MAIN.NORMAL state.
	The root ECU node shall enable the schedule table transmission on the Pass-Through control channel.
	The root ECU node shall enable frame sending and receiving to the deserializer on the main control channel.
Ref state diagram	Tr3</t>
  </si>
  <si>
    <t>Root ECU node: 
Display use case 
UART
Tr4 transition 
From MAIN.PREPARE-BUS-SLEEP state 
to BUS-SLEEP.STANDBY state</t>
  </si>
  <si>
    <t>The root ECU node shall apply the following conditions from MAIN.PREPARE-BUS-SLEEP state to BUS-SLEEP.STANDBY state:
Transition	From MAIN.PREPARE-BUS-SLEEP
to BUS-SLEEP.STANDBY
Conditions	Local sleep up event:
The CAN network switches to Bus Sleep Mode.
Actions	The root ECU node LVDS bi-dir network management shall switch into BUS-SLEEP.STANDBY state.
	The root ECU node shall disable the schedule table transmission on the Pass-Through control channel.
	The root ECU node shall disable frame sending and receiving to the deserializer on the main control channel.
Ref state diagram	Tr4</t>
  </si>
  <si>
    <t>Root ECU node: 
Display use case 
UART
Tr13 transition 
From BUS-SLEEP.STANDBY state to MAIN.NORMAL state</t>
  </si>
  <si>
    <t>The root ECU node shall apply the following conditions from BUS-SLEEP.STANDBY state to MAIN.NORMAL state:
Transition	From BUS-SLEEP.STANDBY
to MAIN.NORMAL
Conditions	Local wake up event:
The CAN network switches to Network Mode.
Actions	The root ECU node LVDS bi-dir network management shall switch into MAIN.NORMAL state.
	The root ECU node shall enable the schedule table transmission on the Pass-Through control channel.
	The root ECU node shall enable frame sending and receiving to the deserializer on the main control channel.
Ref state diagram	Tr13</t>
  </si>
  <si>
    <t>Root ECU node: 
Display use case 
UART
Tr12 transition 
From BUS-SLEEP.STANDBY state to BUS-SLEEP.LEAF-PWDN state</t>
  </si>
  <si>
    <t>Root ECU node: 
Display use case 
UART
Tr9 transition 
From BUS-SLEEP.LEAF-PWDN state 
to MAIN.NORMAL state</t>
  </si>
  <si>
    <t>The root ECU node shall apply the following conditions from BUS-SLEEP.LEAF-PWDN state to MAIN.NORMAL state:
Transition	From BUS-SLEEP.LEAF-PWDN
to MAIN.NORMAL
Conditions	Local wake up event:
The CAN network switches to Network Mode.
AND 
End of Tinit_LVDS_leaf
Actions	The root ECU node LVDS bi-dir network management shall switch into MAIN.NORMAL state.
	The root ECU node shall enable the schedule table transmission on the Pass-Through control channel.
	The root ECU node shall enable frame sending and receiving to the deserializer on the main control channel.
	The root ECU node shall apply calibration parameters value to the deserializer.
Ref state diagram	Tr9</t>
  </si>
  <si>
    <t>Root ECU node: 
Display use case 
UART
Tr10 transition 
From BUS-SLEEP.LEAF-PWDN state 
to BUS-SLEEP.ROOT-PWDN state</t>
  </si>
  <si>
    <t>The root ECU node shall apply the following conditions from BUS-SLEEP.LEAF-PWDN state to BUS-SLEEP.ROOT-PWDN state:
Transition	From BUS-SLEEP.LEAF-PWDN
to BUS-SLEEP.ROOT-PWDN
Conditions	End of Tleaf_power_off
Actions	The root ECU node LVDS bi-dir network management shall switch into BUS-SLEEP.ROOT-PWDN state.
	The root ECU node shall power down the serializer.
Ref state diagram	Tr10</t>
  </si>
  <si>
    <t>Root ECU node: 
Display use case 
UART 
Tr11 transition 
From BUS-SLEEP.ROOT-PWDN state 
to BUS-SLEEP.INIT state</t>
  </si>
  <si>
    <t>The root ECU node shall apply the following conditions from BUS-SLEEP.ROOT-PWDN state to BUS-SLEEP.INIT state:
Transition	From BUS-SLEEP.ROOT-PWDN
to BUS-SLEEP.INIT
Conditions	Local wake up event:
The CAN network switches to Network Mode.
Actions	The root ECU node LVDS bi-dir network management shall switch into BUS-SLEEP.INIT state.
	The root ECU node shall initialize the LVDS low layers during Tinit_LVDS_root.
	The root ECU node shall disable the schedule table transmission on the Pass-Through control channel.
	The root ECU node shall disable frame sending and receiving to the deserializer on the main control channel.
Ref state diagram	Tr11</t>
  </si>
  <si>
    <t>Root ECU node: 
Display use case 
UART
Tr5 transition  
From MAIN.NORMAL.FUNCTIONAL state 
to MAIN.NORMAL.REQUEST state</t>
  </si>
  <si>
    <t>The root ECU node shall apply the following conditions from MAIN.NORMAL.FUNCTIONAL state to MAIN.NORMAL.REQUEST state:
Transition	From MAIN.NORMAL.FUNCTIONAL
to MAIN.NORMAL.REQUEST
Conditions	Transmission request of a segmented message
Actions	The root ECU node LVDS bi-dir network management shall switch into MAIN.NORMAL.REQUEST state.
	The root ECU node shall enable the schedule table transmission on the Pass-Through control channel.
	The root ECU node shall enable frame sending and receiving to the deserializer on the main control channel.
Ref state diagram	Tr5</t>
  </si>
  <si>
    <t>Root ECU node: 
Display use case 
UART
Tr6 transition  
From MAIN.NORMAL.REQUEST state 
to MAIN.NORMAL.RESPONSE state</t>
  </si>
  <si>
    <t>The root ECU node shall apply the following conditions from MAIN.NORMAL.REQUEST state to MAIN.NORMAL.RESPONSE state:
Transition	From MAIN.NORMAL.REQUEST
to MAIN.NORMAL.RESPONSE
Conditions	End of transmission of the last frame of a segmented message
Actions	The root ECU node LVDS bi-dir network management shall switch into MAIN.NORMAL.RESPONSE state.
	The root ECU node shall enable the schedule table transmission on the Pass-Through control channel.
	The root ECU node shall enable frame sending and receiving to the deserializer on the main control channel.
Ref state diagram	Tr6</t>
  </si>
  <si>
    <t>Root ECU node: 
Display use case 
UART
Tr7 transition 
From MAIN.NORMAL.RESPONSE state 
to MAIN.NORMAL.FUNCTIONAL state</t>
  </si>
  <si>
    <t>The root ECU node shall apply the following conditions from MAIN.NORMAL.RESPONSE state to MAIN.NORMAL.FUNCTIONAL state:
Transition	From MAIN.NORMAL.RESPONSE
to MAIN.NORMAL.FUNCTIONAL
Conditions	Reception of the last frame of the segmented response
Or 
End of TIME_OUTP2_LVDS
Or 
Reception of an erroneous frame
Or 
End of N_Cr_LVDS
Actions	The root ECU node LVDS bi-dir network management shall switch into MAIN.NORMAL.FUNCTIONAL state.
	The root ECU node shall enable the schedule table transmission on the Pass-Through control channel.
	The root ECU node shall enable frame sending and receiving to the deserializer on the main control channel.
Ref state diagram	Tr7</t>
  </si>
  <si>
    <t>Root ECU node: 
Display use case 
UART
Tr8 transition 
From MAIN.NORMAL.REQUEST state 
to MAIN.NORMAL.FUNCTIONAL state</t>
  </si>
  <si>
    <t>The root ECU node shall apply the following conditions from MAIN.NORMAL.REQUEST state to MAIN.NORMAL.FUNCTIONAL state:
Transition	From MAIN.NORMAL.REQUEST
to MAIN.NORMAL.FUNCTIONAL
Conditions	Expiry of Ttrans_timeout
Actions	The root ECU node LVDS bi-dir network management shall switch into MAIN.NORMAL.FUNCTIONAL state.
	The root ECU node shall enable the schedule table transmission on the Pass-Through control channel.
	The root ECU node shall enable frame sending and receiving to the deserializer on the main control channel.
Ref state diagram	Tr8</t>
  </si>
  <si>
    <t>Leaf ECU node: 
Display use case 
UART
Tr0 transition 
From OFF_NODE state 
to INIT state</t>
  </si>
  <si>
    <t>The leaf ECU node shall apply the following conditions from OFF_NODE state to INIT state:
Transition	From OFF_NODE
to INIT
Conditions	Power up of the ECU
Actions	The leaf ECU node LVDS bi-dir network management shall switch into INIT state.
	The leaf ECU node shall disable frame receiving and sending on the Pass-Through control channel.
	The leaf ECU node shall disable access to the registers of deserializer on the main control channel by the root ECU node.
	The leaf ECU node shall initialize the LVDS low layers during Tinit_LVDS_leaf.
Ref state diagram	Tr0</t>
  </si>
  <si>
    <t>Leaf ECU node: 
Display use case 
UART
Tr1 transition 
From INIT state 
to NORMAL state</t>
  </si>
  <si>
    <t>The leaf ECU node shall apply the following conditions from INIT state to NORMAL state:
Transition	From INIT
to NORMAL
Conditions	End of Tinit_LVDS_leaf
Actions	The leaf ECU node LVDS bi-dir network management shall switch into NORMAL state.
	The leaf ECU node shall enable frame receiving and sending on the Pass-Through control channel.
	The leaf ECU node shall enable deserializer registers access on the main control channel by root ECU node.
	The leaf ECU node shall disable frame sending on the main control channel.
Ref state diagram	Tr1</t>
  </si>
  <si>
    <t>Leaf ECU node: 
Display use case 
UART
Tr2 transition 
From NORMAL state 
to PREPARE-BUS-SLEEP state</t>
  </si>
  <si>
    <t>The leaf ECU node shall apply the following conditions from NORMAL state to PREPARE-BUS-SLEEP state:
Transition	From NORMAL
to PREPARE-BUS-SLEEP
Conditions	Reception of MAIN.GO-TO-SLEEP command.
Actions	The leaf ECU node LVDS bi-dir network management shall switch into PREPARE-BUS-SLEEP state.
	The leaf ECU node shall enable frame receiving and sending on the Pass-Through control channel.
	The leaf ECU node shall disable frame sending on the main control channel.
	The leaf ECU node shall enable access to the registers of deserializer on the main control channel by the root ECU node.
Ref state diagram	Tr2</t>
  </si>
  <si>
    <t>Leaf ECU node: 
Display use case 
UART
Tr3 transition 
From PREPARE-BUS-SLEEP state to NORMAL state</t>
  </si>
  <si>
    <t>The leaf ECU node shall apply the following conditions from PREPARE-BUS-SLEEP state to NORMAL state:
Transition	From PREPARE-BUS-SLEEP
to NORMAL
Conditions	Reception of command to switch to NORMAL state.
Actions	The leaf ECU node LVDS bi-dir network management shall switch into NORMAL state.
	The leaf ECU node shall enable frame receiving and sending on the Pass-Through control channel.
	The leaf ECU node shall disable frame sending on the main control channel.
	The leaf ECU node shall enable access to the registers of deserializer on the main control channel by the root ECU node.
Ref state diagram	Tr3</t>
  </si>
  <si>
    <t>Leaf ECU node: 
Display use case 
UART
Tr4 transition
From NORMAL state 
to LIMP_HOME_MODE state</t>
  </si>
  <si>
    <t>The leaf ECU node shall apply the following conditions from NORMAL state to LIMP_HOME_MODE state:
Transition	From NORMAL
to LIMP_HOME_MODE
Conditions	Loss of communication
Actions	The leaf ECU node LVDS bi-dir network management shall switch into LIMP_HOME_MODE state.
	The leaf ECU node shall enable frame receiving and sending on the Pass-Through control channel.
	The leaf ECU node shall disable frame sending on the main control channel.
	The leaf ECU node shall enable access to the registers of deserializer on the main control channel by the root ECU node.
Ref state diagram	Tr4</t>
  </si>
  <si>
    <t>Leaf ECU node: 
Display use case 
UART
Tr5 transition 
From LIMP_HOME_MODE state 
to NORMAL state</t>
  </si>
  <si>
    <t>The leaf ECU node shall apply the following conditions from LIMP_HOME_MODE state to NORMAL state:
Transition	From LIMP_HOME_MODE
to NORMAL
Conditions	Return of communication:
The leaf ECU node shall exit the LIMP_HOME_MODE state when it consumes a WRITE frame or HEADER frame.
Actions	The leaf ECU node LVDS bi-dir network management shall switch into NORMAL state.
	The leaf ECU node shall enable frame receiving and sending on the Pass-Through control channel.
	The leaf ECU node shall disable frame sending on the main control channel.
	The leaf ECU node shall enable access to the registers of deserializer on the main control channel by the root ECU node.
Ref state diagram	Tr5</t>
  </si>
  <si>
    <t xml:space="preserve">REQ-LVDS-NM-TN_047 </t>
  </si>
  <si>
    <t>REQ-LVDS-NM-TN_048</t>
  </si>
  <si>
    <t>Leaf ECU node: LIMP_HOME_MODE signal</t>
  </si>
  <si>
    <t>The leaf ECU node shall set the LIMP_HOME_MODE signal when switching into LIMP_HOME_MODE state.</t>
  </si>
  <si>
    <t>Leaf ECU node: LIMP_HOME_MODE signal reset</t>
  </si>
  <si>
    <t>The leaf ECU node shall reset the LIMP_HOME_MODE signal after it was successfully transmitted on the link.</t>
  </si>
  <si>
    <t xml:space="preserve">The ECU node shall comply to the following format for a WRITE frame:
Byte	Field	Description
0	 DEV ADDR
(W)	Device
WRITE
 address	Indicates to which device the frame is addressed.
DEV_ADDR is on 7 MSB. DEV_ADDR bit 0 is set to 0.
1	ID	Identifier	Allows the leaf ECU node to identify the message.
2	DLC	Data 
Length Coding	Indicates the number of data bytes sent in the frame, including the CSUM.
 3:N-2	Dx
(x = data byte N°)	Data	Allows to transmit data coded from D0 to DWRITE_FRAME_LEN_MAX - 1
N-1	CSUM	Checksum	Value computed using transmitted data to ensure message integrity.
</t>
  </si>
  <si>
    <t xml:space="preserve">The ECU node shall comply to the following format for a READ frame:
Byte	Field	Description
0:N-2 	Dx
(x = data byte N°)	Data	Allows to transmit data coded from D0 to DREAD_FRAME_LEN_MAX - 1
N-1	CSUM	Checksum	Value computed using transmitted data to ensure message integrity.
</t>
  </si>
  <si>
    <t>The ECU node shall comply for a WRITE frame to a maximum length of 30 data bytes from D0 to D29 at a bit rate of 400 Kbps.
WRITE_FRAME_MAX_LEN = 30 bytes</t>
  </si>
  <si>
    <t>The ECU node shall comply to GMSL I2C frame format to address the SerDes on the main control channel.</t>
  </si>
  <si>
    <t>The root ECU shall apply the address DEV_ADDR = 0x80 to it serializer.</t>
  </si>
  <si>
    <t>The root ECU shall apply the address DEV_ADDR = 0x84 to it serializer.</t>
  </si>
  <si>
    <t>The root ECU shall apply the address DEV_ADDR = 0xC0 to it serializer.</t>
  </si>
  <si>
    <t>The root ECU shall apply the address DEV_ADDR = 0xC4 to it serializer.</t>
  </si>
  <si>
    <t>The leaf ECU node shall apply the address DEV_ADDR = 0x90 to it deserializer.</t>
  </si>
  <si>
    <t>The leaf ECU node shall apply the address DEV_ADDR = 0x94 to it deserializer.</t>
  </si>
  <si>
    <t>The leaf ECU node shall apply the address DEV_ADDR = 0x98 to it deserializer.</t>
  </si>
  <si>
    <t>The leaf ECU node shall apply the address DEV_ADDR = 0xD0 to it deserializer.</t>
  </si>
  <si>
    <t>The leaf ECU node shall apply the address DEV_ADDR = 0xD4 to it deserializer.</t>
  </si>
  <si>
    <t>The leaf ECU node shall apply the address DEV_ADDR = 0xD8 to it deserializer.</t>
  </si>
  <si>
    <t>The leaf ECU node shall apply the address DEV_ADDR = 0x50 to it deserializer.</t>
  </si>
  <si>
    <t>The leaf ECU node shall apply the address DEV_ADDR = 0x54 to it deserializer.</t>
  </si>
  <si>
    <t xml:space="preserve">The ECU node shall apply to DLC field the value DLC = number of data bytes in the DATA field of a frame + 1 byte for CSUM. 
</t>
  </si>
  <si>
    <t>The ECU node shall calculate the CSUM field from the data by:
•	summing the DEV_ADDR, the ID, the DLC and the data fields with carry
•	subtracting 0xFF every time the previous sum is greater or equal to 0x100
•	then make a bitwise inversion of the result.</t>
  </si>
  <si>
    <t>The leaf ECU node shall discard a WRITE frame when receiving its incoming byte while Trecep_timeout_WRITE occurs.</t>
  </si>
  <si>
    <t>The leaf ECU node shall consume a WRITE frame when receiving it before Trecep_timeout_WRITE occurs.</t>
  </si>
  <si>
    <t>The root ECU node shall discard a READ frame when receiving its incoming byte while Trecep_timeout_READ occurs.</t>
  </si>
  <si>
    <t>The root ECU node shall consume a READ frame before Trecep_timeout_READ and after the beginning of the following schedule table timeslot.</t>
  </si>
  <si>
    <t xml:space="preserve">The ECU node shall comply to a bit rate of 400 Kbps on the I2C Pass-Through Control channel. </t>
  </si>
  <si>
    <t>The root ECU node shall comply to the I2C bit rate deviation Droot as follow:
•	Droot &lt; Dnom + Tol_root
•	Droot is the I2C bit rate deviation.
•	Dnom is the I2C nominal bit rate
•	Tol_root = ± 0,5%, is the tolerance on I2C nominal bit rate
•	Droot applies up to the end of the entire frame.
•	Droot shall be met in the ECU operating range (temperature, operating voltage, ageing drift,)
•	Droot shall include inaccuracies of the bit rate setting due to granularity of the configurable bit rate.
•	The supplier of the ECU node shall provide a justification file with worst case analysis on the complete chain of bit rate generation according to the template [15].
•	The supplier of the ECU node shall provide a justification file for each I2C channel.</t>
  </si>
  <si>
    <t>The root ECU node shall apply a 1ms time slot of the schedule table for the transmission of a WRITE frame.</t>
  </si>
  <si>
    <t>The root ECU node shall send the first bit of a WRITE frame or a HEADER frame less than 100µs after the beginning of a schedule table time slot.</t>
  </si>
  <si>
    <t>The ECU node shall resend a byte when receiving a NACK bit.</t>
  </si>
  <si>
    <t>The leaf ECU node shall consume a WRITE frame or a HEADER frame with a DLC field defined in the message database.</t>
  </si>
  <si>
    <t>The leaf ECU node shall discard a WRITE frame or a HEADER frame with a DLC field undefined in the message database.</t>
  </si>
  <si>
    <t>The leaf ECU node shall set the RESPONSE_ERROR signal when detecting one of the following errors in a WRITE frame or a HEADER frame: 
-	Checksum error
-	Trecep_timeout_WRITE error
-	Ttrans_timeout_READ error</t>
  </si>
  <si>
    <t>The ECU node shall implement no error recovery strategy and wait for the following occurrence of a frame in the schedule table to transmit an errorless frame.</t>
  </si>
  <si>
    <t>The leaf ECU node shall wait for the whole response message readiness before starting to send the first DIAG_REP.</t>
  </si>
  <si>
    <t>The ECU node shall discard a First frame (FF) and the following Consecutive Frames (CF) with a message length larger than reception_buffer_len.</t>
  </si>
  <si>
    <t>The ECU node shall stop the segmentation session when receiving a Consecutive Frame (CF) with an undefined PCI field or an unexpected Consecutive Frame (CF).</t>
  </si>
  <si>
    <t xml:space="preserve">N_Cr_The ECU node shall apply a time-out N_Cr_LVDS from the reception of a Consecutive Frame (CF) to the next one.
Parameter	N_Cr_LVDS
Min (ms)	N/A
Max (ms)	N_Cr_LVDS_max = 100 ms
</t>
  </si>
  <si>
    <t xml:space="preserve">The ECU node shall stop a segmented session when the time between two consecutive CF frame is higher than N_As_LVDS + N_Cs_LVDS.
Parameter	N_As_LVDS + N_Cs_LVDS
Min (ms)	N/A
Max (ms)	(N_As_LVDS + N_Cs_LVDS)_max = 90 ms
</t>
  </si>
  <si>
    <t>The leaf ECU node shall send a Single Frame (SF) or a First Frame (FF) in the range of P2_LVDS min and max values after receiving the last frame of a diagnostic request.
Parameter	P2_LVDS
Description	Time-out from the reception of last frame of DIAG_REQ (ID= 0x3C) to the sending of the First Frame (FF) or Single Frame (FF) of a DIAG_REP (ID = 0x3D)
Conditions	•	The leaf ECU can answer before P2_LVDS_Min_1.
•	The leaf ECU shall answer to a short diagnostic request between P2_LVDS_Min_1 and P2_LVDS_Max.
•	The leaf ECU shall answer to a long diagnostic request between P2_LVDS_Min_1 2 and P2_LVDS_Max.
•	The leaf ECU can answer after P2_LVDS_Max.
Min (ms)	P2_LVDS_Min_1 = 10ms
P2_LVDS_Min_2 = 200ms
Max (ms)	P2_LVDS_Max = 500ms</t>
  </si>
  <si>
    <t xml:space="preserve">The root ECU node shall stop a segmented session when TIME_OUT_P2_LVDS elapsed.
Parameter	TIME_OUT_P2_LVDS
Description	Time-out from the sending of last frame of DIAG_REQ (ID= 0x3C) to the reception of the First Frame (FF) of a DIAG_REP (ID = 0x3D)
Min (ms)	N/A
Max (ms)	500 ms
</t>
  </si>
  <si>
    <t xml:space="preserve">The leaf ECU node shall be ready to receive or send the next segment in ST_min time.
Parameter	ST_min: Segmentation time
Description	Time between the sending or reception of a segment and the next segment.
Min (ms)	N/A
Max (ms)	ST_min = 0 ms
</t>
  </si>
  <si>
    <t>The leaf ECU node shall consider the WRITE frame received before the reception of TEST_LEAF_HEADER as the TESTED_FRAME when TESTED_FRAME_ID = 0xFF in a Loopback service.</t>
  </si>
  <si>
    <t xml:space="preserve">The leaf ECU node shall send the TEST_LEAF_READ frame when receiving the following TEST_LEAF_HEADER frame:
Mnemonic:	TEST_LEAF_HEADER
Type:	HEADER frame
ID:	0x3F
DLC:	READ_FRAME_MAX_LEN + 1
</t>
  </si>
  <si>
    <t xml:space="preserve">The leaf ECU node shall send the following TEST_LEAF_READ frame when receiving a TEST_WRITE frame and a TEST_LEAF_HEADER frame:
Mnemonic:	TEST_LEAF_READ
Type:	READ frame
ID:	0x3E
DLC:	READ_FRAME_MAX_LEN + 1
DATA:
Byte 	Signal	Coding
1	SERVICE_TYPE	0x01: Loopback service:
2	TEST_LEAF_READ_ID	ID of TEST_LEAF_READ
3	DEV_ADDR	Device address of the TESTED_FRAME 
4	ID	ID of TESTED_FRAME
5	DLC	DLC of TESTED_FRAME
6 to 
(DLC-1)+6	DATA	All DATA of TESTED_FRAME
DLC+6	CSUM	CSUM of TESTED_FRAME
DLC+7 to READ_FRAME_MAX_LEN	Unused bytes	0xFF
</t>
  </si>
  <si>
    <t>The leaf ECU node shall discard the Ttrans_timeout service when TESTED_FRAME_ID matches with the ID of a WRITE frame defined in the message database system.</t>
  </si>
  <si>
    <t>The leaf ECU node shall discard the Ttrans_timeout service when TESTED_FRAME_ID is undefined.</t>
  </si>
  <si>
    <t xml:space="preserve">The root ECU node shall activate the Ttrans_timeout service when receiving the following TEST_ROOT_READ frame.
Mnemonic:	TEST_ROOT_READ
Type:	READ frame
ID:	NA
DATA length:	8 bytes
DATA:
Bits	Signal	Coding
1.0 to 1.7	SERVICE_TYPE	0x02: Ttrans_timeout
		Other : invalid value
2.0 to 2.7	TESTED_FRAME_ID	0x00 to 0x3F: ID of TESTED_FRAME defined in the message database.
		Other : invalid value
3.0 to 3.7	LEAF_DELAY	Delay to add before sending the answer.
4.0 to 8.7	RESRVED	0x00: reserved
</t>
  </si>
  <si>
    <t>The root ECU node shall send a segmented WRITE frame named TEST_ROOT_WRITE with the following data field when SERVICE_TYPE is in loopback mode:
Mnemonic:	TEST_ROOT_WRITE
Type:	WRITE frame
ID:	0x3A
DLC:	WRITE_FRAME_LEN_MAX
DATA:
Byte 	Signal	Coding
1	SERVICE_TYPE	0x01: Loopback service:
2	TEST_ROOT_READ_ID	ID of TEST_LEAF_READ
3	DEV_ADDR	Device address of the TESTED_FRAME 
4	ID	ID of TESTED_FRAME
5	DLC	DLC of TESTED_FRAME
	DATA	All DATA of TESTED_FRAME
	CSUM	CSUM of TESTED_FRAME</t>
  </si>
  <si>
    <t>The ECU node shall comply to the following format for a HEADER frame:
Byte	Field	Description
0	DEV ADDR
(W)	Device 
WRITE
address	Indicates which device shall answer with data.
DEV_ADDR is on 7 MSB.
DEV_ADDR bit 0 is set to 0
1	ID	Identifier	Allows the leaf ECU node to identify the message.
2	DLC	Data 
Length 
Coding	Indicates the number of data bytes requested in the frame, including CSUM 
3	DEV ADDR
(R)	Device 
READ
address	Indicates which device shall answer with data.
DEV_ADDR is on 7 MSB.
DEV_ADDR bit 0 is set to 1</t>
  </si>
  <si>
    <t>The ECU node shall comply for a READ frame to a maximum length of 50 45 data bytes from D0 to D49 D44 at a bit rate of 400 KbpsKbps.
READ_FRAME_MAX_LEN = 50 45 bytes</t>
  </si>
  <si>
    <t>The root ECU node shall apply a timer Trecep_timeout_READ = 1900µs for DATA length higher or equal to 10 bytes</t>
  </si>
  <si>
    <t>The leaf ECU node shall apply a timer Ttrans_timeout_READ = 1900µs for DATA length higher or equal to 10 bytes.</t>
  </si>
  <si>
    <t>The root ECU node shall comply to the bit rate of 1 Mbps on the I2C Main Control channel.</t>
  </si>
  <si>
    <t>The leaf ECU node shall comply to the I2C bit rate deviation Droot, of Pass-Through Control channel, as follow:
•	Droot &lt; Dnom + Tol_root
•	Droot is the I2C bit rate deviation.
•	Dnom is the I2C nominal bit rate
•	Tol_root = ± 0,5%, is the tolerance on I2C nominal bit rate
•	Droot applies up to the end of the entire frame.
•	Droot shall be met in the ECU operating range (temperature, operating voltage, ageing drift,)
•	The supplier of the ECU node shall provide a justification file with worst case analysis on the complete chain of bit rate generation according to the template [15].</t>
  </si>
  <si>
    <t>The root ECU node shall comply to a 2ms time slot of the schedule table for the communication of a HEADER frame followed by a READ frame with a DATA length higher or equal to 10 bytes.</t>
  </si>
  <si>
    <t>The ECU node shall manage a First Frame (FF) with the following data field format:
Frame field	Byte	Byte field	Bits	Description	Decode
DATA	1	NAD	7:0	NAD is not used	0x00
	2	PCI	7:4	The type of frame: FF	0x1
			3:0	Message length (MSB)	LEN/256
	3	LEN	7:0	Message length (LSB)	LEN
	4	SID	7:0	SID is not used. It is replaced by Payload Data byte 1	D1
	5	Payload Data bytes	7:0	Payload Data byte 2	D2
	…		…	…	…
	n		7:0	Payload Data byte n-3	Dn-3</t>
  </si>
  <si>
    <t xml:space="preserve">The ECU node shall manage a consecutive frame (CF) with the following data field format:
Byte	Field	Bits	Description	Decode
1	NAD	7 :0	NAD is not used	0x00
2	PCI	7 :4	The type of frame CF	0x2
		3 :0	Frame counter	0 to 15
3	Data bytes	7 :0	Payload Data bytes 1	D1:D6
…	…	…		
n		7 :0	Payload Data byte n-2	Dn-2
</t>
  </si>
  <si>
    <t>The leaf ECU node shall discard a Single Frame (SF) with a message length larger than LEN = WRITE_FRAME _MAX_LEN - 2.</t>
  </si>
  <si>
    <t>The leaf ECU node shall discard a First Frame (FF) with a message length lower than LEN = WRITE_FRAME _MAX_LEN - 3 and therefore discard the following Consecutive frames (CF).</t>
  </si>
  <si>
    <t>Control channel</t>
  </si>
  <si>
    <t>Root ECU node: 
Display use case 
I2C
Tr10 transition 
From BUS-SLEEP.LEAF-PWDN state 
to BUS-SLEEP.ROOT-PWDN state</t>
  </si>
  <si>
    <t>Root ECU node: 
Display use case 
I2C
Tr11 transition 
From BUS-SLEEP.LEAF-PWDN state 
to BUS-SLEEP.ROOT-PWDN state</t>
  </si>
  <si>
    <t>Root ECU node: 
Display use case 
I2C
Tr5 transition 
From MAIN.NORMAL.FUNCTIONAL state 
to MAIN.NORMAL.REQUEST state</t>
  </si>
  <si>
    <t>The root ECU node shall apply the following conditions from MAIN.NORMAL.FUNCTIONAL state to MAIN.NORMAL.REQUEST state:
Transition	From MAIN.NORMAL.FUNCTIONAL
to MAIN.NORMAL.REQUEST
Conditions	Transmission request of a segmented message
Actions	The root ECU node LVDS bi-dir network management shall switch into MAIN.NORMAL.REQUEST state.
	The root ECU node shall enable the schedule table transmission on the Pass-Through control channel.
	The root ECU node shall disable frame sending and receiving to the deserializer on the main control channel.
Ref state diagram	Tr5</t>
  </si>
  <si>
    <t>Root ECU node: 
Display use case 
I2C
Tr6 transition 
From MAIN.NORMAL.REQUEST state 
to MAIN.NORMAL.RESPONSE state</t>
  </si>
  <si>
    <t>The root ECU node shall apply the following conditions from MAIN.NORMAL.REQUEST state to MAIN.NORMAL.RESPONSE state:
Transition	From MAIN.NORMAL.REQUEST
to MAIN.NORMAL.RESPONSE
Conditions	End of transmission of the last frame of a segmented message
Actions	The root ECU node LVDS bi-dir network management shall switch into MAIN.NORMAL.RESPONSE state.
	The root ECU node shall enable the schedule table transmission on the Pass-Through control channel.
	The root ECU node shall disable frame sending and receiving to the deserializer on the main control channel.
Ref state diagram	Tr6</t>
  </si>
  <si>
    <t>Root ECU node: 
Display use case 
I2C
Tr7 transition 
From MAIN.NORMAL.RESPONSE state 
to MAIN.NORMAL.FUNCTIONAL state</t>
  </si>
  <si>
    <t>The root ECU node shall apply the following conditions from MAIN.NORMAL.RESPONSE state to MAIN.NORMAL.FUNCTIONAL state:
Transition	From MAIN.NORMAL.RESPONSE
to MAIN.NORMAL.FUNCTIONAL
Conditions	Reception of the last frame of the segmented response
OR 
End of TIME_OUTP2_LVDS
OR
Reception of an erroneous frame
OR 
End of N_Cr_LVDS
Actions	The root ECU node LVDS bi-dir network management shall switch into MAIN.NORMAL.FUNCTIONAL state.
	The root ECU node shall enable the schedule table transmission on the Pass-Through control channel.
	The root ECU node shall disable frame sending and receiving to the deserializer on the main control channel.
Ref state diagram	Tr7</t>
  </si>
  <si>
    <t>Root ECU node: 
Display use case 
I2C
Tr8 transition 
From MAIN.NORMAL.REQUEST state 
to MAIN.NORMAL.FUNCTIONAL state</t>
  </si>
  <si>
    <t>The root ECU node shall apply the following conditions from MAIN.NORMAL.REQUEST state to MAIN.NORMAL.FUNCTIONAL state:
Transition	From MAIN.NORMAL.REQUEST
to MAIN.NORMAL.FUNCTIONAL
Conditions	Expiry of Ttrans_timeout_WRITE
Actions	The root ECU node LVDS bi-dir network management shall switch into MAIN.NORMAL.FUNCTIONAL state.
	The root ECU node shall enable the schedule table transmission on the Pass-Through control channel.
	The root ECU node shall disable frame sending and receiving to the deserializer on the main control channel.
Ref state diagram	Tr8</t>
  </si>
  <si>
    <t>Leaf ECU node: 
Display use case
I2C
Tr0 transition 
From OFF_NODE state 
to INIT state</t>
  </si>
  <si>
    <t>Leaf ECU node: 
Display use case 
I2C
Tr1 transition 
From INIT state 
to NORMAL state</t>
  </si>
  <si>
    <t>The leaf ECU node shall apply the following conditions from INIT state to NORMAL state:
Transition	From INIT
to NORMAL
Conditions	End of Tinit_LVDS_leaf
Actions	The leaf ECU node LVDS bi-dir network management shall switch into NORMAL state.
	The leaf ECU node shall enable frame receiving and sending on the Pass-Through control channel.
	The leaf ECU node shall disable access to the registers of deserializer on the main control channel by the root ECU node.
Ref state diagram	Tr1</t>
  </si>
  <si>
    <t>Leaf ECU node: 
Display use case 
I2C
Tr2 transition 
From NORMAL state 
to PREPARE-BUS-SLEEP state</t>
  </si>
  <si>
    <t>The leaf ECU node shall apply the following conditions from NORMAL state to PREPARE-BUS-SLEEP state:
Transition	From NORMAL
to PREPARE-BUS-SLEEP
Conditions	Reception of command to switch to PREPARE-BUS-SLEEP state.
Actions	The leaf ECU node LVDS bi-dir network management shall switch into PREPARE-BUS-SLEEP state.
	The leaf ECU node shall enable frame receiving and sending on the Pass-Through control channel.
	The leaf ECU node shall disable access to the registers of deserializer on the main control channel by the root ECU node.
Ref state diagram	Tr2</t>
  </si>
  <si>
    <t>Leaf ECU node: 
Display use case 
I2C
Tr3 transition 
From PREPARE-BUS-SLEEP state to NORMAL state</t>
  </si>
  <si>
    <t>The leaf ECU node shall apply the following conditions from PREPARE-BUS-SLEEP state to NORMAL state:
Transition	From PREPARE-BUS-SLEEP
to NORMAL
Conditions	Reception of command to switch to NORMAL state.
Actions	The leaf ECU node LVDS bi-dir network management shall switch into NORMAL state.
	The leaf ECU node shall enable frame receiving and sending on the Pass-Through control channel.
	The leaf ECU node shall disable access to the registers of deserializer on the main control channel by the root ECU node.
Ref state diagram	Tr3</t>
  </si>
  <si>
    <t>Leaf ECU node: 
Display use case 
I2C
Tr4 transition 
From NORMAL state 
to LIMP_HOME_MODE state</t>
  </si>
  <si>
    <t>The leaf ECU node shall apply the following conditions from NORMAL state to LIMP_HOME_MODE state:
Transition	From NORMAL
to LIMP_HOME_MODE
Conditions	Loss of communication
Actions	The leaf ECU node LVDS bi-dir network management shall switch into LIMP_HOME_MODE state.
	The leaf ECU node shall enable frame receiving and sending on the Pass-Through control channel.
	The leaf ECU node shall disable access to the registers of deserializer on the main control channel by the root ECU node.
Ref state diagram	Tr4</t>
  </si>
  <si>
    <t>Leaf ECU node: 
Display use case 
I2C
Tr5 transition 
From LIMP_HOME_MODE state 
to NORMAL state</t>
  </si>
  <si>
    <t>The leaf ECU node shall apply the following conditions from LIMP_HOME_MODE state to NORMAL state:
Transition	From LIMP_HOME_MODE
to NORMAL
Conditions	Return of communication:
The leaf ECU node shall exit the LIMP_HOME_MODE state when it consumes a WRITE frame or HEADER frame.
Actions	The leaf ECU node LVDS bi-dir network management shall switch into NORMAL state.
	The leaf ECU node shall enable frame receiving and sending on the Pass-Through control channel.
	The leaf ECU node shall disable access to the registers of deserializer on the main control channel by the root ECU node.
Ref state diagram	Tr5</t>
  </si>
  <si>
    <t>Root ECU node: 
Display use case
I2C
Tr1 transition 
From OFF_NODE state 
to BUS-SLEEP.INIT state</t>
  </si>
  <si>
    <t>Root ECU node: 
Display use case
I2C
Tr1 transition 
From BUS-SLEEP.INIT state 
to MAIN.NORMAL state</t>
  </si>
  <si>
    <t xml:space="preserve">Root ECU node: 
Display use case 
I2C
Tr2 transition 
From MAIN.NORMAL state 
to MAIN.PREPARE-BUS-SLEEP </t>
  </si>
  <si>
    <t>Root ECU node: 
Display use case 
I2C
Tr3 transition 
From MAIN.PREPARE-BUS-SLEEP state 
to MAIN.NORMAL state</t>
  </si>
  <si>
    <t>Root ECU node: 
Display use case 
I2C
Tr4 transition 
From MAIN.PREPARE-BUS-SLEEP state 
to BUS-SLEEP.STANDBY state</t>
  </si>
  <si>
    <t>Root ECU node: 
Display use case 
I2C
Tr13 transition 
From BUS-SLEEP.STANDBY state to MAIN.NORMAL state</t>
  </si>
  <si>
    <t>The root ECU node shall apply the following conditions from BUS-SLEEP.INIT state to MAIN.NORMAL state:
Transition	From BUS-SLEEP.INIT 
to MAIN.NORMAL
Conditions	End of Tinit_LVDS_root
AND 
End of Tinit_LVDS_leaf 
AND
Local wake up event:
The CAN network switches to Network Mode.
Actions	The root ECU node LVDS bi-dir network management shall switch into MAIN.NORMAL state.
	The root ECU node shall enable the schedule table transmission on the Pass-Through control channel.
	The root ECU node shall disable frame sending and receiving to the deserializer on the main control channel.
Ref state diagram	Tr1</t>
  </si>
  <si>
    <t>The root ECU node shall apply the following conditions from MAIN.NORMAL state to MAIN.PREPARE-BUS-SLEEP state:
Transition	From MAIN.NORMAL 
to MAIN.PREPARE-BUS-SLEEP
Conditions	Local sleep event:
The CAN network switches to Prepare Bus Sleep Mode.
Actions	The root ECU node LVDS bi-dir network management shall switch into MAIN.PREPARE-BUS-SLEEP state.
	The root ECU node shall enable the schedule table transmission on the Pass-Through control channel.
	The root ECU node shall disable frame sending and receiving to the deserializer on the main control channel.
Ref state diagram	Tr2</t>
  </si>
  <si>
    <t>The root ECU node shall apply the following conditions from MAIN.PREPARE-BUS-SLEEP state to MAIN.NORMAL state:
Transition	From MAIN.PREPARE-BUS-SLEEP
to MAIN.NORMAL
Conditions	Local wake up event:
The CAN network switches to Network Mode.
Actions	The root ECU node LVDS bi-dir network management shall switch into MAIN.NORMAL state.
	The root ECU node shall enable the schedule table transmission on the Pass-Through control channel.
	The root ECU node shall disable frame sending and receiving to the deserializer on the main control channel.
Ref state diagram	Tr3</t>
  </si>
  <si>
    <t>The root ECU node shall apply the following conditions from BUS-SLEEP.STANDBY state to MAIN.NORMAL state:
Transition	From BUS-SLEEP.STANDBY
to MAIN.NORMAL
Conditions	Local wake up event:
The CAN network switches to Network Mode.
Actions	The root ECU node LVDS bi-dir network management shall switch into MAIN.NORMAL state.
	The root ECU node shall enable the schedule table transmission on the Pass-Through control channel.
	The root ECU node shall disable frame sending and receiving to the deserializer on the main control channel.
Ref state diagram	Tr13</t>
  </si>
  <si>
    <t>Support HDCP</t>
  </si>
  <si>
    <t>GMSL based LVDS Bi-directional Physical Layer Technical Specification</t>
  </si>
  <si>
    <t>Version</t>
  </si>
  <si>
    <t>13.0</t>
  </si>
  <si>
    <t>RSP-0010966</t>
  </si>
  <si>
    <t>RSP-0010967</t>
  </si>
  <si>
    <t>Applicability</t>
  </si>
  <si>
    <t>Updated requirement</t>
  </si>
  <si>
    <t>Applicability update</t>
  </si>
  <si>
    <t>Update</t>
  </si>
  <si>
    <t>Specification Version :</t>
  </si>
  <si>
    <r>
      <t xml:space="preserve">Réponse STLA
</t>
    </r>
    <r>
      <rPr>
        <i/>
        <sz val="10"/>
        <color indexed="12"/>
        <rFont val="Arial"/>
        <family val="2"/>
      </rPr>
      <t>Answers from STLA, to be completed by STLA</t>
    </r>
  </si>
  <si>
    <t>Requirements OK</t>
  </si>
  <si>
    <t>Requirements NOK</t>
  </si>
  <si>
    <t>DEVIATION</t>
  </si>
  <si>
    <t>STANDBY</t>
  </si>
  <si>
    <t>Conformity</t>
  </si>
  <si>
    <t>Comments</t>
  </si>
  <si>
    <t>STLA's status</t>
  </si>
  <si>
    <t>REQ-0892551</t>
  </si>
  <si>
    <t>REQ-0892552</t>
  </si>
  <si>
    <t>REQ-0892553</t>
  </si>
  <si>
    <t>REQ-0892554</t>
  </si>
  <si>
    <t>REQ-0892555</t>
  </si>
  <si>
    <t>REQ-0892556</t>
  </si>
  <si>
    <t>REQ-0892557</t>
  </si>
  <si>
    <t>REQ-0892639</t>
  </si>
  <si>
    <t>REQ-0892671</t>
  </si>
  <si>
    <t>REQ-0892673</t>
  </si>
  <si>
    <t>REQ-0892675</t>
  </si>
  <si>
    <t>REQ-0892703</t>
  </si>
  <si>
    <t>REQ-0892705</t>
  </si>
  <si>
    <t>REQ-0892707</t>
  </si>
  <si>
    <t>REQ-0892708</t>
  </si>
  <si>
    <t>REQ-0892709</t>
  </si>
  <si>
    <t>REQ-0892712</t>
  </si>
  <si>
    <t>REQ-0892752</t>
  </si>
  <si>
    <t>REQ-0892753</t>
  </si>
  <si>
    <t>REQ-0892754</t>
  </si>
  <si>
    <t>REQ-0892761</t>
  </si>
  <si>
    <t>REQ-0892855</t>
  </si>
  <si>
    <t>REQ-0891986</t>
  </si>
  <si>
    <t>REQ-0891987</t>
  </si>
  <si>
    <t>REQ-0891988</t>
  </si>
  <si>
    <t>REQ-0891989</t>
  </si>
  <si>
    <t>REQ-0891990</t>
  </si>
  <si>
    <t>REQ-0891991</t>
  </si>
  <si>
    <t>REQ-0891992</t>
  </si>
  <si>
    <t>REQ-0891993</t>
  </si>
  <si>
    <t>REQ-0891994</t>
  </si>
  <si>
    <t>REQ-0891995</t>
  </si>
  <si>
    <t>REQ-0891998</t>
  </si>
  <si>
    <t>REQ-0891999</t>
  </si>
  <si>
    <t>REQ-0892000</t>
  </si>
  <si>
    <t>REQ-0892001</t>
  </si>
  <si>
    <t>REQ-0892002</t>
  </si>
  <si>
    <t>REQ-0892003</t>
  </si>
  <si>
    <t>REQ-0892004</t>
  </si>
  <si>
    <t>REQ-0892005</t>
  </si>
  <si>
    <t>REQ-0892006</t>
  </si>
  <si>
    <t>REQ-0892007</t>
  </si>
  <si>
    <t>REQ-0892008</t>
  </si>
  <si>
    <t>REQ-0892009</t>
  </si>
  <si>
    <t>REQ-0892010</t>
  </si>
  <si>
    <t>REQ-0892011</t>
  </si>
  <si>
    <t>REQ-0892012</t>
  </si>
  <si>
    <t>REQ-0892013</t>
  </si>
  <si>
    <t>REQ-0892014</t>
  </si>
  <si>
    <t>REQ-0892262</t>
  </si>
  <si>
    <t>The ECU node shall comply to I2C protocol as described in document [11] .</t>
  </si>
  <si>
    <t>REQ-0892263</t>
  </si>
  <si>
    <t>REQ-0892264</t>
  </si>
  <si>
    <t>REQ-0892270</t>
  </si>
  <si>
    <t>REQ-0892271</t>
  </si>
  <si>
    <t>REQ-0892323</t>
  </si>
  <si>
    <t>REQ-0892324</t>
  </si>
  <si>
    <t>ECU node: WRITE frame format</t>
  </si>
  <si>
    <t>The ECU node shall comply to the following format for a WRITE frame:
Byte	Field	Description
0	 DEV ADDR
(W)	Device
WRITE
 address	Indicates to which device the frame is addressed.
DEV_ADDR is on 7 MSB. DEV_ADDR bit 0 is set to 0.
1	ID	Identifier	Allows the leaf ECU node to identify the message.
2	DLC	Data 
Length Coding	Indicates the number of data bytes sent in the frame, including the CSUM.
 3:N-2	Dx
(x = data byte N°)	Data	Allows to transmit data coded from D0 to DWRITE_FRAME_LEN_MAX - 1
N-1	CSUM	Checksum	Value computed using transmitted data to ensure message integrity.</t>
  </si>
  <si>
    <t>REQ-0892325</t>
  </si>
  <si>
    <t>ECU node: HEADER frame format</t>
  </si>
  <si>
    <t>REQ-0892326</t>
  </si>
  <si>
    <t>ECU node: READ READ frame format</t>
  </si>
  <si>
    <t>The ECU node shall comply to the following format for a READ frame:</t>
  </si>
  <si>
    <t>REQ-0892327</t>
  </si>
  <si>
    <t>ECU node: WRITE_FRAME_MAX_LEN at 400 Kbps</t>
  </si>
  <si>
    <t>REQ-0892328</t>
  </si>
  <si>
    <t>ECU node: READ_FRAME_MAX_LEN at 400 Kbps</t>
  </si>
  <si>
    <t>The ECU node shall comply for a READ frame to a maximum length of 45 data bytes from D0 to D44 at a bit rate of 400 Kbps.
READ_FRAME_MAX_LEN = 45 bytes</t>
  </si>
  <si>
    <t>REQ-0892329</t>
  </si>
  <si>
    <t>REQ-0892330</t>
  </si>
  <si>
    <t>REQ-0892331</t>
  </si>
  <si>
    <t>REQ-0892332</t>
  </si>
  <si>
    <t>REQ-0892333</t>
  </si>
  <si>
    <t>REQ-0892334</t>
  </si>
  <si>
    <t>REQ-0892335</t>
  </si>
  <si>
    <t>Leaf ECU node: Des DEV_ADDR = 0x90</t>
  </si>
  <si>
    <t>REQ-0892336</t>
  </si>
  <si>
    <t>Leaf ECU node: Des DEV_ADDR = 0x94</t>
  </si>
  <si>
    <t>REQ-0892338</t>
  </si>
  <si>
    <t>Leaf ECU node: Des DEV_ADDR = 0x98</t>
  </si>
  <si>
    <t>REQ-0892339</t>
  </si>
  <si>
    <t>Leaf ECU node: Des DEV_ADDR = 0xD0</t>
  </si>
  <si>
    <t>REQ-0892340</t>
  </si>
  <si>
    <t>Leaf ECU node: Des DEV_ADDR = 0xD4</t>
  </si>
  <si>
    <t>REQ-0892341</t>
  </si>
  <si>
    <t>Leaf ECU node: Des DEV_ADDR = 0xD8</t>
  </si>
  <si>
    <t>REQ-0892342</t>
  </si>
  <si>
    <t>Leaf ECU node: Des DEV_ADDR = 0x50</t>
  </si>
  <si>
    <t>REQ-0892343</t>
  </si>
  <si>
    <t>Leaf ECU node: Des DEV_ADDR = 0x54</t>
  </si>
  <si>
    <t>REQ-0892344</t>
  </si>
  <si>
    <t>REQ-0892345</t>
  </si>
  <si>
    <t>REQ-0892346</t>
  </si>
  <si>
    <t>REQ-0894450</t>
  </si>
  <si>
    <t>REQ-0894451</t>
  </si>
  <si>
    <t>REQ-0894452</t>
  </si>
  <si>
    <t>REQ-0894453</t>
  </si>
  <si>
    <t>REQ-0894454</t>
  </si>
  <si>
    <t>REQ-0894455</t>
  </si>
  <si>
    <t>REQ-0894456</t>
  </si>
  <si>
    <t>REQ-0894457</t>
  </si>
  <si>
    <t>REQ-0894458</t>
  </si>
  <si>
    <t>REQ-0894459</t>
  </si>
  <si>
    <t>REQ-0894460</t>
  </si>
  <si>
    <t>REQ-0894461</t>
  </si>
  <si>
    <t>REQ-0894462</t>
  </si>
  <si>
    <t>REQ-0894463</t>
  </si>
  <si>
    <t>REQ-0894464</t>
  </si>
  <si>
    <t>REQ-0894465</t>
  </si>
  <si>
    <t>REQ-0894466</t>
  </si>
  <si>
    <t>REQ-0894467</t>
  </si>
  <si>
    <t>REQ-0894468</t>
  </si>
  <si>
    <t>REQ-0894469</t>
  </si>
  <si>
    <t>REQ-0894470</t>
  </si>
  <si>
    <t>REQ-0894471</t>
  </si>
  <si>
    <t>REQ-0894472</t>
  </si>
  <si>
    <t xml:space="preserve">The ECU node shall apply to DLC field the value DLC = number of data bytes in the DATA field of a frame + 1 byte for CSUM. </t>
  </si>
  <si>
    <t>REQ-0894473</t>
  </si>
  <si>
    <t>REQ-0894474</t>
  </si>
  <si>
    <t>The ECU node shall calculate the CSUM field from the data by:
•	summing the DEV_ADDR, the ID, the DLC and the data fields with carry
•	subtracting 0xFF every time the previous sum is greater or equal to 0x100
then make a bitwise inversion of the result.</t>
  </si>
  <si>
    <t>REQ-0894475</t>
  </si>
  <si>
    <t>REQ-0894476</t>
  </si>
  <si>
    <t>REQ-0894477</t>
  </si>
  <si>
    <t>Root ECU node: WRITE frame transmission stop condition on Ttrans_timeout_WRITE</t>
  </si>
  <si>
    <t>REQ-0894478</t>
  </si>
  <si>
    <t>Leaf ECU node: READ frame transmission stop condition on Ttrans_timeout_READ</t>
  </si>
  <si>
    <t>The leaf ECU node shall stop the transmission of a READ frame the latest after sending the outgoing byte from Ttrans_timeout_READ occurrence.</t>
  </si>
  <si>
    <t>REQ-0894479</t>
  </si>
  <si>
    <t>REQ-0894480</t>
  </si>
  <si>
    <t>REQ-0894481</t>
  </si>
  <si>
    <t>Leaf ECU node: WRITE frame discard condition on Trecep_timeout_WRITE</t>
  </si>
  <si>
    <t>REQ-0894482</t>
  </si>
  <si>
    <t>Leaf ECU node: WRITE frame consumption condition on Trecep_timeout_WRITE</t>
  </si>
  <si>
    <t>REQ-0894483</t>
  </si>
  <si>
    <t>Root ECU node: READ frame discard condition on Trecep_timeout_READ</t>
  </si>
  <si>
    <t>REQ-0894484</t>
  </si>
  <si>
    <t>Root ECU node: READ frame consumption condition on Trecep_timeout_READ</t>
  </si>
  <si>
    <t>REQ-0894485</t>
  </si>
  <si>
    <t>REQ-0894486</t>
  </si>
  <si>
    <t>REQ-0894488</t>
  </si>
  <si>
    <t>REQ-0894489</t>
  </si>
  <si>
    <t>REQ-0894490</t>
  </si>
  <si>
    <t>REQ-0894491</t>
  </si>
  <si>
    <t>REQ-0894492</t>
  </si>
  <si>
    <t>REQ-0894493</t>
  </si>
  <si>
    <t>REQ-0894494</t>
  </si>
  <si>
    <t>REQ-0894495</t>
  </si>
  <si>
    <t>ECU node: I2C PT CC bit rate = 400 Kbps</t>
  </si>
  <si>
    <t>The ECU node shall comply to a bit rate of 400 Kbps on the I2C Pass-Through Control channel.</t>
  </si>
  <si>
    <t>REQ-0894496</t>
  </si>
  <si>
    <t>Root ECU node: I2C Main control channel bit rate = 1 Mbps</t>
  </si>
  <si>
    <t>REQ-0894497</t>
  </si>
  <si>
    <t>Root ECU node: I2C Droot</t>
  </si>
  <si>
    <t>REQ-0894498</t>
  </si>
  <si>
    <t>Leaf ECU node: I2C PTC channel bit rate compliancy</t>
  </si>
  <si>
    <t>REQ-0894499</t>
  </si>
  <si>
    <t>REQ-0894501</t>
  </si>
  <si>
    <t>REQ-0894502</t>
  </si>
  <si>
    <t>Root ECU node: Frame start transmission in the schedule table time slot</t>
  </si>
  <si>
    <t>REQ-0894503</t>
  </si>
  <si>
    <t>REQ-0894504</t>
  </si>
  <si>
    <t>ECU node: NACK</t>
  </si>
  <si>
    <t>REQ-0894505</t>
  </si>
  <si>
    <t>REQ-0894506</t>
  </si>
  <si>
    <t>REQ-0894507</t>
  </si>
  <si>
    <t>Leaf ECU node: Defined DLC</t>
  </si>
  <si>
    <t>REQ-0894508</t>
  </si>
  <si>
    <t xml:space="preserve">Leaf ECU node: Undefined DLC </t>
  </si>
  <si>
    <t>REQ-0894509</t>
  </si>
  <si>
    <t>REQ-0894510</t>
  </si>
  <si>
    <t>REQ-0894511</t>
  </si>
  <si>
    <t>REQ-0894512</t>
  </si>
  <si>
    <t>Leaf ECU node: RESPONSE_ERROR signal</t>
  </si>
  <si>
    <t>REQ-0894513</t>
  </si>
  <si>
    <t>REQ-0894514</t>
  </si>
  <si>
    <t>REQ-0894515</t>
  </si>
  <si>
    <t>REQ-0894519</t>
  </si>
  <si>
    <t>REQ-0894520</t>
  </si>
  <si>
    <t>REQ-0894528</t>
  </si>
  <si>
    <t>REQ-0894529</t>
  </si>
  <si>
    <t>The ECU node shall manage a WRITE frame with a constant of 30 data bytes and DLC = 31 in a Single (SF), a First (FF) and Consecutive (CF) frames.</t>
  </si>
  <si>
    <t>REQ-0894530</t>
  </si>
  <si>
    <t>The ECU node shall manage a READ frame with a constant of 30 data bytes and DLC = 31 in a Single (SF), a First (FF) and Consecutive (CF) frames.</t>
  </si>
  <si>
    <t>REQ-0894531</t>
  </si>
  <si>
    <t>ECU node: Single Frame DATA field format</t>
  </si>
  <si>
    <t xml:space="preserve">The ECU node shall manage a Single Frame (SF) with the following data field format:
Frame field	Byte	Byte
field	Bits	Description	Decode
DATA	1	NAD	7:0	NAD is not used	0x00
	2	PCI	7:4	The type of frame: SF	0x0
			3:0	Message length (MSB)	LEN/256
	3	SID	7:0	SID is not used. It is replaced by Message length (LSB)	LEN
	4	Payload	7:0	Payload Data byte 1	D1
	…		…	…	…
	30		7:0	Payload Data byte 27	D27
</t>
  </si>
  <si>
    <t>REQ-0894532</t>
  </si>
  <si>
    <t>ECU node: Segmented data max length</t>
  </si>
  <si>
    <t>The ECU node shall transmit a message with a length larger than 28 bytes up to a maximum of 4095 bytes per segmentation starting with the transmission of a First Frame followed with one or more Consecutive Frames.</t>
  </si>
  <si>
    <t>REQ-0894533</t>
  </si>
  <si>
    <t>ECU node: First Frame DATA field format</t>
  </si>
  <si>
    <t>The ECU node shall manage a First Frame (FF) with the following data field format:
Frame field	Byte	Byte field	Bits	Description	Decode
DATA	1	NAD	7:0	NAD is not used	0x00
	2	PCI	7:4	The type of frame: FF	0x1
			3:0	Message length (MSB)	LEN/256
	3	LEN	7:0	Message length (LSB)	LEN
	4	SID	7:0	SID is not used. It is replaced by Payload byte 1	D1
	5	Payload
7:0	Payload byte 2
D2
	…		…	…	…
	30
	7:0	Payload byte 27
D27</t>
  </si>
  <si>
    <t>REQ-0894534</t>
  </si>
  <si>
    <t>ECU node: Consecutive Frame DATA field format</t>
  </si>
  <si>
    <t>The ECU node shall manage a consecutive frame (CF) with the following data field format:
Byte	Field	Bits	Description	Decode
1	NAD	7 :0	NAD is not used	0x00
2	PCI	7 :4	The type of frame CF	0x2
		3 :0	Frame counter	0 to 15
3	Data bytes	7 :0	Payload byte 1
D1:D6
…	…	…		
30
	7 :0	Payload byte 28
D28</t>
  </si>
  <si>
    <t>REQ-0894535</t>
  </si>
  <si>
    <t>REQ-0894536</t>
  </si>
  <si>
    <t>Leaf ECU node: Response to a HEADER frame</t>
  </si>
  <si>
    <t>REQ-0894537</t>
  </si>
  <si>
    <t>REQ-0894538</t>
  </si>
  <si>
    <t>REQ-0894539</t>
  </si>
  <si>
    <t>Leaf ECU node: Single Frame (SF) data length error in a WRITE frame</t>
  </si>
  <si>
    <t>The leaf ECU node shall discard a Single Frame (SF) with a message length larger than LEN = 27 bytes.</t>
  </si>
  <si>
    <t>REQ-0894540</t>
  </si>
  <si>
    <t>Leaf ECU node: First Frame (SF) data length error in a WRITE frame</t>
  </si>
  <si>
    <t>The leaf ECU node shall discard a First Frame (FF) with a message length lower or equal to LEN = 27 bytes and therefore discard the following Consecutive frames (CF).</t>
  </si>
  <si>
    <t>REQ-0894541</t>
  </si>
  <si>
    <t>REQ-0894542</t>
  </si>
  <si>
    <t>REQ-0894543</t>
  </si>
  <si>
    <t>REQ-0894544</t>
  </si>
  <si>
    <t>ECU node: reception_buffer_len error</t>
  </si>
  <si>
    <t>REQ-0894545</t>
  </si>
  <si>
    <t>REQ-0894546</t>
  </si>
  <si>
    <t>REQ-0894547</t>
  </si>
  <si>
    <t>REQ-0894548</t>
  </si>
  <si>
    <t>ECU node: N_Cr_LVDS</t>
  </si>
  <si>
    <t xml:space="preserve">The ECU node shall apply a time-out N_Cr_LVDS from the reception of a Consecutive Frame (CF) to the next one.  </t>
  </si>
  <si>
    <t>REQ-0894549</t>
  </si>
  <si>
    <t>ECU node: N_As_LVDS + N_Cs_LVDS</t>
  </si>
  <si>
    <t>The ECU node shall stop a segmented session when the time between two consecutive CF frame is higher than N_As_LVDS + N_Cs_LVDS.</t>
  </si>
  <si>
    <t>REQ-0894550</t>
  </si>
  <si>
    <t>Leaf ECU node: P2_LVDS</t>
  </si>
  <si>
    <t>The leaf ECU node shall send a Single Frame (SF) or a First Frame (FF) in the range of P2_LVDS min and max values after receiving the last frame of a diagnostic request.</t>
  </si>
  <si>
    <t>REQ-0894551</t>
  </si>
  <si>
    <t>The root ECU node shall stop a segmented session when TIME_OUT_P2_LVDS elapsed.</t>
  </si>
  <si>
    <t>REQ-0894552</t>
  </si>
  <si>
    <t>Leaf ECU node: ST_min (Segmentation time)</t>
  </si>
  <si>
    <t>The leaf ECU node shall be ready to receive or send the next segment in ST_min time.</t>
  </si>
  <si>
    <t>REQ-0894553</t>
  </si>
  <si>
    <t>REQ-0894554</t>
  </si>
  <si>
    <t>REQ-0894555</t>
  </si>
  <si>
    <t>REQ-0894556</t>
  </si>
  <si>
    <t>REQ-0894557</t>
  </si>
  <si>
    <t>REQ-0894558</t>
  </si>
  <si>
    <t>REQ-0894559</t>
  </si>
  <si>
    <t>REQ-0894560</t>
  </si>
  <si>
    <t>REQ-0894561</t>
  </si>
  <si>
    <t>REQ-0894562</t>
  </si>
  <si>
    <t>REQ-0894563</t>
  </si>
  <si>
    <t>REQ-0894564</t>
  </si>
  <si>
    <t>REQ-0894565</t>
  </si>
  <si>
    <t>REQ-0894566</t>
  </si>
  <si>
    <t>REQ-0894567</t>
  </si>
  <si>
    <t>REQ-0894568</t>
  </si>
  <si>
    <t>REQ-0894569</t>
  </si>
  <si>
    <t>REQ-0894570</t>
  </si>
  <si>
    <t>REQ-0894571</t>
  </si>
  <si>
    <t>REQ-0894572</t>
  </si>
  <si>
    <t>REQ-0894573</t>
  </si>
  <si>
    <t>REQ-0894574</t>
  </si>
  <si>
    <t>REQ-0894575</t>
  </si>
  <si>
    <t>REQ-0894576</t>
  </si>
  <si>
    <t>REQ-0894577</t>
  </si>
  <si>
    <t>REQ-0894578</t>
  </si>
  <si>
    <t>REQ-0894579</t>
  </si>
  <si>
    <t>REQ-0894580</t>
  </si>
  <si>
    <t>REQ-0894581</t>
  </si>
  <si>
    <t>Leaf ECU node: Invalid testability service</t>
  </si>
  <si>
    <t>The leaf ECU node shall send the following TEST_LEAF_READ frame when receiving TEST_LEAF_HEADER frame without receiving TEST_LEAF_WRITE frame.
Mnemonic:	TEST_LEAF_READ
Type:	READ frame
DATA:
Bits	Signal	Coding
1.0 to READ_FRAME_LEN_MAX	Invalid value	0xFF</t>
  </si>
  <si>
    <t>REQ-0894582</t>
  </si>
  <si>
    <t>REQ-0894583</t>
  </si>
  <si>
    <t>Leaf ECU node: Loopback service TESTED_FRAME_ID = 0xFF</t>
  </si>
  <si>
    <t>REQ-0894584</t>
  </si>
  <si>
    <t>Leaf ECU node: Loopback request</t>
  </si>
  <si>
    <t>The leaf ECU node shall send the TEST_LEAF_READ frame when receiving the following TEST_LEAF_HEADER frame:
Mnemonic:	TEST_LEAF_HEADER
Type:	HEADER frame
ID:	0x3FDLC:	READ_FRAME_MAX_LEN + 1</t>
  </si>
  <si>
    <t>REQ-0894585</t>
  </si>
  <si>
    <t>Leaf ECU node: Loopback response</t>
  </si>
  <si>
    <t>REQ-0894586</t>
  </si>
  <si>
    <t>Leaf ECU node: Ttrans_timeout service discard on WRITE frame ID</t>
  </si>
  <si>
    <t>REQ-0894587</t>
  </si>
  <si>
    <t>Leaf ECU node: Ttrans_timeout service discard on undefined TESTED_FRAME_ID</t>
  </si>
  <si>
    <t>REQ-0894588</t>
  </si>
  <si>
    <t>The leaf ECU node shall delay the sending of TESTTED_FRAME with LEAF_DELAY multiplied by 12,8µs when it receives a TESTED_FRAME.</t>
  </si>
  <si>
    <t>REQ-0894589</t>
  </si>
  <si>
    <t>REQ-0894590</t>
  </si>
  <si>
    <t>REQ-0894591</t>
  </si>
  <si>
    <t>Root ECU node : Loopback service activation</t>
  </si>
  <si>
    <t>The root ECU node shall activate the Loopback service when receiving the following TEST_ROOT_READ frame.
DATA
Bits	Signal	Coding
1.0 to 1.7	ID	0x3B
2.0 to 2.7
SERVICE_TYPE	0x01: Loopback service
		Other : invalid value3.0 to 3.7
TESTED_FRAME_ID	0x00 to 0x3F: Identifier of TESTED_FRAME. Defined in the message database. 
		0xFF: Last READ frame received before TEST_ROOT_READ frame transmission
4.0 to 8.7
RESRVED	0x00: reserved</t>
  </si>
  <si>
    <t>REQ-0894592</t>
  </si>
  <si>
    <t>Root ECU node : Ttrans_timeout service activation</t>
  </si>
  <si>
    <t>The root ECU node shall activate the Ttrans_timeout service when receiving the following TEST_ROOT_READ frame.
Mnemonic:	TEST_ROOT_READType:	READ frame
DATA length:
8 bytes
DATA:
Bits	Signal	Coding
1.0 to 1.7	SERVICE_TYPE	0x02: Ttrans_timeout
		Other : invalid value
2.0 to 2.7	TESTED_FRAME_ID	0x00 to 0x3F: ID of TESTED_FRAME defined in the message database.
		Other : invalid value
3.0 to 3.7	LEAF_DELAY	Delay to add before sending the answer.
4.0 to 8.7	RESRVED	0x00: reserved</t>
  </si>
  <si>
    <t>REQ-0894593</t>
  </si>
  <si>
    <t>REQ-0894594</t>
  </si>
  <si>
    <t>REQ-0894595</t>
  </si>
  <si>
    <t>REQ-0894596</t>
  </si>
  <si>
    <t>REQ-0894597</t>
  </si>
  <si>
    <t>REQ-0894598</t>
  </si>
  <si>
    <t>REQ-0894599</t>
  </si>
  <si>
    <t>The root ECU node shall send a segmented WRITE frame named TEST_ROOT_WRITE with the following data field when SERVICE_TYPE is in loopback mode:
Mnemonic:	TEST_ROOT_WRITE
Type:	WRITE frame
ID:	0x3A
DLC:	WRITE_FRAME_LEN_MAX</t>
  </si>
  <si>
    <t>REQ-0894600</t>
  </si>
  <si>
    <t>REQ-0894601</t>
  </si>
  <si>
    <t>REQ-0898997</t>
  </si>
  <si>
    <t>REQ-0899005</t>
  </si>
  <si>
    <t>REQ-0899008</t>
  </si>
  <si>
    <t>REQ-0899058</t>
  </si>
  <si>
    <t>REQ-0899063</t>
  </si>
  <si>
    <t>REQ-0899065</t>
  </si>
  <si>
    <t>REQ-0899066</t>
  </si>
  <si>
    <t>REQ-0899068</t>
  </si>
  <si>
    <t>REQ-0899070</t>
  </si>
  <si>
    <t>REQ-0899071</t>
  </si>
  <si>
    <t>REQ-0899072</t>
  </si>
  <si>
    <t>REQ-0899764</t>
  </si>
  <si>
    <t>REQ-0899765</t>
  </si>
  <si>
    <t>REQ-0899766</t>
  </si>
  <si>
    <t>REQ-0899767</t>
  </si>
  <si>
    <t>REQ-0899768</t>
  </si>
  <si>
    <t>REQ-0899769</t>
  </si>
  <si>
    <t>REQ-0899075</t>
  </si>
  <si>
    <t>REQ-0899091</t>
  </si>
  <si>
    <t>REQ-0899094</t>
  </si>
  <si>
    <t>REQ-0899095</t>
  </si>
  <si>
    <t>REQ-0899096</t>
  </si>
  <si>
    <t>REQ-0899097</t>
  </si>
  <si>
    <t>REQ-0899098</t>
  </si>
  <si>
    <t>REQ-0899099</t>
  </si>
  <si>
    <t>REQ-0899101</t>
  </si>
  <si>
    <t>REQ-0899103</t>
  </si>
  <si>
    <t>REQ-0899105</t>
  </si>
  <si>
    <t>The source ECU node shall have a pixel clock deviation “Tol_source” from nominal pixel clock "PIXEL_CLOCK_x" &lt;  ± 0,04% in the following conditions :
- The deviation applies up to the end of the entire GMSL frame.
-  The deviation is considered in ECU operating range of temperature, operating voltage and ageing drift. 
- The deviation includes inaccuracy of the setting of the pixel clock due to granularity of the configurable pixel clock.</t>
  </si>
  <si>
    <t>The source ECU node supplier shall provide a pixel clock deviation conformity justification file with worst case analysis on the complete chain of pixel clock generation following template [11].</t>
  </si>
  <si>
    <t>REQ-0899165</t>
  </si>
  <si>
    <t>REQ-0899167</t>
  </si>
  <si>
    <t>REQ-0899168</t>
  </si>
  <si>
    <t>Receiver ECU Tunneling Mode calibration parameter</t>
  </si>
  <si>
    <t>REQ-0899169</t>
  </si>
  <si>
    <t>The ECU node shall have a layout including the F1 box filter closed to the HSD connector, for topologies presented in figures 2, 10, 4 and 12, adjustable in function of the EMC results, compliant with the response below and submitted to Stellantis during the HW review.
Filter F1:</t>
  </si>
  <si>
    <t>The ECU node shall have its ground separated from the shield of the twisted pair cable in a way to have a modular connection between the shield and the ground of the ECU in order to prevent current return on the shield either with a capacitor, inductive components, straps, a resistor or any RLC component.</t>
  </si>
  <si>
    <t>REQ-0899192</t>
  </si>
  <si>
    <t xml:space="preserve">The source ECU node shall manage the start and the stop of the serialization to fit the requirements of the document [9].
</t>
  </si>
  <si>
    <t>REQ-0899370</t>
  </si>
  <si>
    <t>REQ-0899371</t>
  </si>
  <si>
    <t>REQ-0899372</t>
  </si>
  <si>
    <t>REQ-0899373</t>
  </si>
  <si>
    <t>REQ-0899374</t>
  </si>
  <si>
    <t>REQ-0899375</t>
  </si>
  <si>
    <t>REQ-0899376</t>
  </si>
  <si>
    <t>REQ-0899377</t>
  </si>
  <si>
    <t>REQ-0899378</t>
  </si>
  <si>
    <t>REQ-0899379</t>
  </si>
  <si>
    <t>REQ-0899380</t>
  </si>
  <si>
    <t>REQ-0899381</t>
  </si>
  <si>
    <t>REQ-0899382</t>
  </si>
  <si>
    <t>REQ-0899383</t>
  </si>
  <si>
    <t>REQ-0899384</t>
  </si>
  <si>
    <t>REQ-0899385</t>
  </si>
  <si>
    <t>REQ-0899386</t>
  </si>
  <si>
    <t>REQ-0899387</t>
  </si>
  <si>
    <t>REQ-0899388</t>
  </si>
  <si>
    <t>REQ-0899389</t>
  </si>
  <si>
    <t>REQ-0899390</t>
  </si>
  <si>
    <t>REQ-0899391</t>
  </si>
  <si>
    <t>REQ-0899392</t>
  </si>
  <si>
    <t>REQ-0899393</t>
  </si>
  <si>
    <t>REQ-0899394</t>
  </si>
  <si>
    <t>REQ-0899395</t>
  </si>
  <si>
    <t>The supplier shall provide the Forward Channel and the Reverse Channel link margin test report for the with the following settings and results:
Test settings:
•	Channel Rate Selection:
o	Forward 6Gbps
o	Reverse 187 Mbps
•	Channel Test Selection: Both Channels
•	Delay Time for Errors: 25 s
•	Minimum TX Setting: 50 mV
•	Iterations: 3
Test results:
•	Forward Channel link margin ≥ 200 mV
•	Reverse Channel link margin ≥ 110 mV</t>
  </si>
  <si>
    <t>REQ-0899770</t>
  </si>
  <si>
    <t>REQ-0899528</t>
  </si>
  <si>
    <t>The receiver ECU node shall have a deserializer with Spread Spectrum feature.</t>
  </si>
  <si>
    <t>REQ-0899402</t>
  </si>
  <si>
    <t>REQ-0899400</t>
  </si>
  <si>
    <t>REQ-GMSL_LVDS_NETWORK_PHY_TN_0006 A</t>
  </si>
  <si>
    <t>REQ-GMSL_LVDS_NETWORK_PHY_TN_0007 A</t>
  </si>
  <si>
    <t>REQ-GMSL_LVDS_NETWORK_PHY_TN_0008 A</t>
  </si>
  <si>
    <t>REQ-GMSL_LVDS_NETWORK_PHY_TN_0009 A</t>
  </si>
  <si>
    <t>REQ-GMSL_LVDS_NETWORK_PHY_TN_0010 A</t>
  </si>
  <si>
    <t>REQ-GMSL_LVDS_NETWORK_PHY_TN_0066 A</t>
  </si>
  <si>
    <t>REQ-GMSL_LVDS_NETWORK_PHY_TN_0040 A</t>
  </si>
  <si>
    <t>REQ-GMSL_LVDS_NETWORK_PHY_TN_0050 A</t>
  </si>
  <si>
    <t>REQ-GMSL_LVDS_NETWORK_PHY_TN_0051 A</t>
  </si>
  <si>
    <t>REQ-GMSL_LVDS_NETWORK_PHY_TN_0041 A</t>
  </si>
  <si>
    <t>REQ-GMSL_LVDS_NETWORK_PHY_TN_0042 A</t>
  </si>
  <si>
    <t>REQ-GMSL_LVDS_NETWORK_PHY_TN_0043 A</t>
  </si>
  <si>
    <t>REQ-GMSL_LVDS_NETWORK_PHY_TN_0011 A</t>
  </si>
  <si>
    <t>REQ-GMSL_LVDS_NETWORK_PHY_TN_0001 A</t>
  </si>
  <si>
    <t>REQ-GMSL_LVDS_NETWORK_PHY_TN_0002 A</t>
  </si>
  <si>
    <t>REQ-GMSL_LVDS_NETWORK_PHY_TN_0003 A</t>
  </si>
  <si>
    <t>REQ-GMSL_LVDS_NETWORK_PHY_TN_0004 A</t>
  </si>
  <si>
    <t>REQ-GMSL_LVDS_NETWORK_PHY_TN_0005 A</t>
  </si>
  <si>
    <t>REQ-GMSL_LVDS_NETWORK_PHY_TN_0049 A</t>
  </si>
  <si>
    <t>REQ-GMSL_LVDS_NETWORK_PHY_TN_0012 B</t>
  </si>
  <si>
    <t>REQ-GMSL_LVDS_NETWORK_PHY_TN_0013 B</t>
  </si>
  <si>
    <t>REQ-GMSL_LVDS_NETWORK_PHY_TN_0057 A</t>
  </si>
  <si>
    <t>REQ-GMSL_LVDS_NETWORK_PHY_TN_0058 A</t>
  </si>
  <si>
    <t>REQ-GMSL_LVDS_NETWORK_PHY_TN_0059 A</t>
  </si>
  <si>
    <t>REQ-GMSL_LVDS_NETWORK_PHY_TN_0060 A</t>
  </si>
  <si>
    <t>REQ-GMSL_LVDS_NETWORK_PHY_TN_0014 A</t>
  </si>
  <si>
    <t>REQ-GMSL_LVDS_NETWORK_PHY_TN_0015 A</t>
  </si>
  <si>
    <t>REQ-GMSL_LVDS_NETWORK_PHY_TN_0016 A</t>
  </si>
  <si>
    <t>REQ-GMSL_LVDS_NETWORK_PHY_TN_0017 A</t>
  </si>
  <si>
    <t>REQ-GMSL_LVDS_NETWORK_PHY_TN_0018  A</t>
  </si>
  <si>
    <t>REQ-GMSL_LVDS_NETWORK_PHY_TN_0026 A</t>
  </si>
  <si>
    <t>REQ-GMSL_LVDS_NETWORK_PHY_TN_0027 A</t>
  </si>
  <si>
    <t>REQ-GMSL_LVDS_NETWORK_PHY_TN_0028 A</t>
  </si>
  <si>
    <t>REQ-GMSL_LVDS_NETWORK_PHY_TN_0035 A</t>
  </si>
  <si>
    <t>REQ-GMSL_LVDS_NETWORK_PHY_TN_0033 B</t>
  </si>
  <si>
    <t>REQ-GMSL_LVDS_NETWORK_PHY_TN_0034 B</t>
  </si>
  <si>
    <t>REQ-GMSL_LVDS_NETWORK_PHY_TN_0029 A</t>
  </si>
  <si>
    <t>REQ-GMSL_LVDS_NETWORK_PHY_TN_0030 A</t>
  </si>
  <si>
    <t>REQ-GMSL_LVDS_NETWORK_PHY_TN_0031 A</t>
  </si>
  <si>
    <t>REQ-GMSL_LVDS_NETWORK_PHY_TN_0032 A</t>
  </si>
  <si>
    <t>REQ-GMSL_LVDS_NETWORK_PHY_TN_0036 A</t>
  </si>
  <si>
    <t>REQ-GMSL_LVDS_NETWORK_PHY_TN_0037 A</t>
  </si>
  <si>
    <t>REQ-GMSL_LVDS_NETWORK_PHY_TN_0038 A</t>
  </si>
  <si>
    <t>REQ-GMSL_LVDS_NETWORK_PHY_TN_0039 A</t>
  </si>
  <si>
    <t>REQ-GMSL_LVDS_NETWORK_PHY_TN_0061 A</t>
  </si>
  <si>
    <t>REQ-GMSL_LVDS_NETWORK_PHY_TN_0045 A</t>
  </si>
  <si>
    <t>REQ-GMSL_LVDS_NETWORK_PHY_TN_0055 A</t>
  </si>
  <si>
    <t>REQ-GMSL_LVDS_NETWORK_PHY_TN_0047 A</t>
  </si>
  <si>
    <t>REQ-GMSL_LVDS_NETWORK_PHY_TN_0048 A</t>
  </si>
  <si>
    <t>REQ-GMSL_LVDS_NETWORK_PHY_TN_0062 A</t>
  </si>
  <si>
    <t>REQ-GMSL_LVDS_NETWORK_PHY_TN_0056 A</t>
  </si>
  <si>
    <t>REQ-GMSL_LVDS_NETWORK_PHY_TN_0046 A</t>
  </si>
  <si>
    <t>REQ-GMSL_LVDS_NETWORK_PHY_TN_0063 A</t>
  </si>
  <si>
    <t>REQ-GMSL_LVDS_NETWORK_PHY_TN_0064 A</t>
  </si>
  <si>
    <t>REQ-GMSL_LVDS_NETWORK_PHY_TN_0065 A</t>
  </si>
  <si>
    <t>REQ-GMSL_LVDS_NETWORK_PHY_TN_0052 A</t>
  </si>
  <si>
    <t>REQ-GMSL_LVDS_NETWORK_PHY_TN_0053 A</t>
  </si>
  <si>
    <t>REQ-GMSL_LVDS_NETWORK_PHY_TN_0019 A</t>
  </si>
  <si>
    <t>REQ-GMSL_LVDS_NETWORK_PHY_TN_0020 A</t>
  </si>
  <si>
    <t>REQ-GMSL_LVDS_NETWORK_PHY_TN_0054 A</t>
  </si>
  <si>
    <t>REQ-GMSL_LVDS_NETWORK_PHY_TN_0021 A</t>
  </si>
  <si>
    <t>REQ-GMSL_LVDS_NETWORK_PHY_TN_0022 A</t>
  </si>
  <si>
    <t>REQ-GMSL_LVDS_NETWORK_PHY_TN_0023 A</t>
  </si>
  <si>
    <t>REQ-GMSL_LVDS_NETWORK_PHY_TN_0024 A</t>
  </si>
  <si>
    <t>REQ-001 B</t>
  </si>
  <si>
    <t>REQ-004 A</t>
  </si>
  <si>
    <t>REQ-005 A</t>
  </si>
  <si>
    <t>REQ-006 A</t>
  </si>
  <si>
    <t>REQ-007 A</t>
  </si>
  <si>
    <t>REQ-008 A</t>
  </si>
  <si>
    <t>REQ-009 B</t>
  </si>
  <si>
    <t>REQ-010 C</t>
  </si>
  <si>
    <t>REQ-011 B</t>
  </si>
  <si>
    <t>REQ-002 B</t>
  </si>
  <si>
    <t>REQ-003 C</t>
  </si>
  <si>
    <t>REQ-014 B</t>
  </si>
  <si>
    <t>REQ-015 A</t>
  </si>
  <si>
    <t>REQ-016 B</t>
  </si>
  <si>
    <t>REQ-025 B</t>
  </si>
  <si>
    <t>REQ-026 B</t>
  </si>
  <si>
    <t>REQ-027 B</t>
  </si>
  <si>
    <t>REQ-017 B</t>
  </si>
  <si>
    <t>REQ-018 B</t>
  </si>
  <si>
    <t>REQ-019 B</t>
  </si>
  <si>
    <t>REQ-020 B</t>
  </si>
  <si>
    <t>REQ-021 B</t>
  </si>
  <si>
    <t>REQ-022 B</t>
  </si>
  <si>
    <t>REQ-023 B</t>
  </si>
  <si>
    <t>REQ-024 B</t>
  </si>
  <si>
    <t>REQ-159 A</t>
  </si>
  <si>
    <t>REQ-160 A</t>
  </si>
  <si>
    <t>REQ-161 A</t>
  </si>
  <si>
    <t>REQ-162 A</t>
  </si>
  <si>
    <t>REQ-163 A</t>
  </si>
  <si>
    <t>REQ-206 A</t>
  </si>
  <si>
    <t>REQ-207 A</t>
  </si>
  <si>
    <t>REQ-208 A</t>
  </si>
  <si>
    <t>REQ-164 A</t>
  </si>
  <si>
    <t>REQ-165 A</t>
  </si>
  <si>
    <t>REQ-166 A</t>
  </si>
  <si>
    <t>REQ-204 A</t>
  </si>
  <si>
    <t>REQ-192 A</t>
  </si>
  <si>
    <t>REQ-193 A</t>
  </si>
  <si>
    <t>REQ-194 A</t>
  </si>
  <si>
    <t>REQ-195 A</t>
  </si>
  <si>
    <t>REQ-196 A</t>
  </si>
  <si>
    <t>REQ-197 A</t>
  </si>
  <si>
    <t>REQ-198 A</t>
  </si>
  <si>
    <t>REQ-199 A</t>
  </si>
  <si>
    <t>REQ-200 A</t>
  </si>
  <si>
    <t>REQ-201 A</t>
  </si>
  <si>
    <t>REQ-202 A</t>
  </si>
  <si>
    <t>REQ-203 A</t>
  </si>
  <si>
    <t>REQ-027 A</t>
  </si>
  <si>
    <t>REQ-028 B</t>
  </si>
  <si>
    <t>REQ-029 A</t>
  </si>
  <si>
    <t>REQ-030 B</t>
  </si>
  <si>
    <t>REQ-032 A</t>
  </si>
  <si>
    <t>REQ-033 A</t>
  </si>
  <si>
    <t>REQ-034 B</t>
  </si>
  <si>
    <t>REQ-035 B</t>
  </si>
  <si>
    <t>REQ-036 B</t>
  </si>
  <si>
    <t>REQ-205 A</t>
  </si>
  <si>
    <t>REQ-038 B</t>
  </si>
  <si>
    <t>REQ-039 B</t>
  </si>
  <si>
    <t>REQ-040 B</t>
  </si>
  <si>
    <t>REQ-041 B</t>
  </si>
  <si>
    <t>REQ-158 A</t>
  </si>
  <si>
    <t>REQ-042 C</t>
  </si>
  <si>
    <t>REQ-043 C</t>
  </si>
  <si>
    <t>REQ-044 A</t>
  </si>
  <si>
    <t>REQ-045 A</t>
  </si>
  <si>
    <t>REQ-047 A</t>
  </si>
  <si>
    <t>REQ-048 A</t>
  </si>
  <si>
    <t>REQ-049 A</t>
  </si>
  <si>
    <t>REQ-052 A</t>
  </si>
  <si>
    <t>REQ-053 B</t>
  </si>
  <si>
    <t>REQ-054 C</t>
  </si>
  <si>
    <t>REQ-055 B</t>
  </si>
  <si>
    <t>REQ-056 C</t>
  </si>
  <si>
    <t>REQ-057 B</t>
  </si>
  <si>
    <t>REQ-058 C</t>
  </si>
  <si>
    <t>REQ-059 B</t>
  </si>
  <si>
    <t>REQ-063 A</t>
  </si>
  <si>
    <t>REQ-065 B</t>
  </si>
  <si>
    <t>REQ-068 A</t>
  </si>
  <si>
    <t>REQ-069 C</t>
  </si>
  <si>
    <t>REQ-070 B</t>
  </si>
  <si>
    <t>REQ-071 B</t>
  </si>
  <si>
    <t>REQ-072 A</t>
  </si>
  <si>
    <t>REQ-073 A</t>
  </si>
  <si>
    <t>REQ-074 A</t>
  </si>
  <si>
    <t>REQ-075 B</t>
  </si>
  <si>
    <t>REQ-076 A</t>
  </si>
  <si>
    <t>REQ-077 A</t>
  </si>
  <si>
    <t>REQ-078 B</t>
  </si>
  <si>
    <t>REQ-079 A</t>
  </si>
  <si>
    <t>REQ-080 A</t>
  </si>
  <si>
    <t>REQ-081 A</t>
  </si>
  <si>
    <t>REQ-167 C</t>
  </si>
  <si>
    <t>REQ-168 C</t>
  </si>
  <si>
    <t>REQ-084 C</t>
  </si>
  <si>
    <t>REQ-085 C</t>
  </si>
  <si>
    <t>REQ-086 C</t>
  </si>
  <si>
    <t>REQ-087 C</t>
  </si>
  <si>
    <t>REQ-088 A</t>
  </si>
  <si>
    <t>REQ-089 B</t>
  </si>
  <si>
    <t>REQ-090 A</t>
  </si>
  <si>
    <t>REQ-091 A</t>
  </si>
  <si>
    <t>REQ-093 D</t>
  </si>
  <si>
    <t>REQ-094 D</t>
  </si>
  <si>
    <t>REQ-170 B</t>
  </si>
  <si>
    <t>REQ-171 B</t>
  </si>
  <si>
    <t>REQ-172 A</t>
  </si>
  <si>
    <t>REQ-095 B</t>
  </si>
  <si>
    <t>REQ-097 B</t>
  </si>
  <si>
    <t>REQ-098 A</t>
  </si>
  <si>
    <t>REQ-099 A</t>
  </si>
  <si>
    <t>REQ-100 B</t>
  </si>
  <si>
    <t>REQ-101 B</t>
  </si>
  <si>
    <t>REQ-102 B</t>
  </si>
  <si>
    <t>REQ-103 B</t>
  </si>
  <si>
    <t>REQ-104 B</t>
  </si>
  <si>
    <t>REQ-105 A</t>
  </si>
  <si>
    <t>REQ-106 A</t>
  </si>
  <si>
    <t>REQ-107 A</t>
  </si>
  <si>
    <t>REQ-108 A</t>
  </si>
  <si>
    <t>REQ-109 A</t>
  </si>
  <si>
    <t>REQ-110 A</t>
  </si>
  <si>
    <t>REQ-113 A</t>
  </si>
  <si>
    <t>REQ-114 A</t>
  </si>
  <si>
    <t>REQ-115 A</t>
  </si>
  <si>
    <t>REQ-116 A</t>
  </si>
  <si>
    <t>REQ-117 A</t>
  </si>
  <si>
    <t>REQ-118 A</t>
  </si>
  <si>
    <t>REQ-119 A</t>
  </si>
  <si>
    <t>REQ-120 A</t>
  </si>
  <si>
    <t>REQ-121 A</t>
  </si>
  <si>
    <t>REQ-122 A</t>
  </si>
  <si>
    <t>REQ-123 A</t>
  </si>
  <si>
    <t>REQ-124 A</t>
  </si>
  <si>
    <t>REQ-125 A</t>
  </si>
  <si>
    <t>REQ-126 A</t>
  </si>
  <si>
    <t>REQ-127 A</t>
  </si>
  <si>
    <t>REQ-128 A</t>
  </si>
  <si>
    <t>REQ-129 A</t>
  </si>
  <si>
    <t>REQ-130 A</t>
  </si>
  <si>
    <t>REQ-131 A</t>
  </si>
  <si>
    <t>REQ-132 A</t>
  </si>
  <si>
    <t>REQ-173 B</t>
  </si>
  <si>
    <t>REQ-174 A</t>
  </si>
  <si>
    <t>REQ-135 B</t>
  </si>
  <si>
    <t>REQ-182 A</t>
  </si>
  <si>
    <t>REQ-137 B</t>
  </si>
  <si>
    <t>REQ-138 B</t>
  </si>
  <si>
    <t>REQ-139 B</t>
  </si>
  <si>
    <t>REQ-140 B</t>
  </si>
  <si>
    <t>REQ-142 B</t>
  </si>
  <si>
    <t>REQ-143 B</t>
  </si>
  <si>
    <t>REQ-185 A</t>
  </si>
  <si>
    <t>REQ-188 A</t>
  </si>
  <si>
    <t>REQ-144 D</t>
  </si>
  <si>
    <t>REQ-147 B</t>
  </si>
  <si>
    <t>REQ-145 A</t>
  </si>
  <si>
    <t>REQ-146 A</t>
  </si>
  <si>
    <t>REQ-148 A</t>
  </si>
  <si>
    <t>REQ-149 A</t>
  </si>
  <si>
    <t>REQ-150 A</t>
  </si>
  <si>
    <t>REQ-152 A</t>
  </si>
  <si>
    <t>REQ-154 B</t>
  </si>
  <si>
    <t>REQ-156 A</t>
  </si>
  <si>
    <t>REQ-157 A</t>
  </si>
  <si>
    <t>REQ-069</t>
  </si>
  <si>
    <t>REQ-0899533</t>
  </si>
  <si>
    <t>REQ-GMSL_LVDS_NETWORK_PHY_TN_0018</t>
  </si>
  <si>
    <t>References documents</t>
  </si>
  <si>
    <t>Applicable project(s)</t>
  </si>
  <si>
    <t>Classification</t>
  </si>
  <si>
    <t>RFQ Date</t>
  </si>
  <si>
    <t>The root ECU node shall apply a timer Trecep_timeout_READ = 1900µs.</t>
  </si>
  <si>
    <t>The leaf ECU node shall apply a timer Ttrans_timeout_READ = 1900µs.</t>
  </si>
  <si>
    <t>Root ECU node: Schedule table Time slot = 2ms</t>
  </si>
  <si>
    <t>The root ECU node shall comply to a 2ms time slot of the schedule table for the communication of a HEADER frame followed by a READ frame.</t>
  </si>
  <si>
    <t>The ECU node shall manage messages with an ID field presented as follow:
	Bit 7	Bit 6	Bit 5	Bit 4	Bit 3	Bit 2	Bit 1	Bit 0
Desc.	Reserved (Future use)	Frame identifier
Value	0	ID</t>
  </si>
  <si>
    <t>The leaf ECU node shall discard a READ frame transmission when a byte is not acknowledged.</t>
  </si>
  <si>
    <r>
      <t xml:space="preserve">The leaf ECU node shall apply the following conditions from LIMP_HOME_MODE state to NORMAL state:
Transition	From LIMP_HOME_MODE
to NORMAL
Conditions	Return of communication:
</t>
    </r>
    <r>
      <rPr>
        <sz val="10"/>
        <color rgb="FF00B050"/>
        <rFont val="Calibri"/>
        <family val="2"/>
      </rPr>
      <t xml:space="preserve">AND
Wake-up signal is ON.
</t>
    </r>
    <r>
      <rPr>
        <sz val="10"/>
        <rFont val="Calibri"/>
        <family val="2"/>
      </rPr>
      <t>The leaf ECU node shall exit the LIMP_HOME_MODE state when it consumes a WRITE frame or HEADER frame.
Actions	The leaf ECU node LVDS bi-dir network management shall switch into NORMAL state.
	The leaf ECU node shall enable frame receiving and sending on the Pass-Through control channel.
	The leaf ECU node shall disable access to the registers of deserializer on the main control channel by the root ECU node.
Ref state diagram	Tr5</t>
    </r>
  </si>
  <si>
    <t>Leaf ECU node: 
Display use case
I2C
Tr6 transition 
From INIT state 
to OFF_NODE state</t>
  </si>
  <si>
    <t>The leaf ECU node shall apply the following conditions from OFF_NODE state to INIT state:
Transition	From INIT
to OFF_NODE
Conditions	Wake-up signal is OFF.
Actions	The leaf ECU node LVDS bi-dir network management shall switch into OFF_NODE state.
	The leaf ECU node shall power down the deserializer.
Ref state diagram	Tr6</t>
  </si>
  <si>
    <t>Leaf ECU node: 
Display use case
I2C
Tr7 transition 
From NORMAL state 
to OFF_NODE state</t>
  </si>
  <si>
    <t>Leaf ECU node: 
Display use case
I2C
Tr8 transition 
From LIMP_HOME state 
to OFF_NODE state</t>
  </si>
  <si>
    <t>U</t>
  </si>
  <si>
    <t>The leaf ECU node shall manage the following parameter:
Parameter:      Tcom_loss_LVDS
Description:    Time without correct frame reception
Min:                  360 ms
Nominal:          400 ms
Max:                 440 ms</t>
  </si>
  <si>
    <t>Bit rate (Kbps)</t>
  </si>
  <si>
    <t>Control interface</t>
  </si>
  <si>
    <t>Dual H-MTD + 6</t>
  </si>
  <si>
    <t>Deserializer Address</t>
  </si>
  <si>
    <t>LVDS input Forward Channel bit rate (Gbps)</t>
  </si>
  <si>
    <t>LVDS output Forward Channel bit rate (Gbps)</t>
  </si>
  <si>
    <r>
      <t xml:space="preserve">0x90
</t>
    </r>
    <r>
      <rPr>
        <b/>
        <sz val="11"/>
        <color rgb="FFFF0000"/>
        <rFont val="Calibri"/>
        <family val="2"/>
      </rPr>
      <t>(Temporary !)</t>
    </r>
  </si>
  <si>
    <r>
      <t xml:space="preserve">PT1
</t>
    </r>
    <r>
      <rPr>
        <b/>
        <sz val="11"/>
        <color rgb="FFFF0000"/>
        <rFont val="Calibri"/>
        <family val="2"/>
      </rPr>
      <t>(Temporary !)</t>
    </r>
  </si>
  <si>
    <r>
      <t xml:space="preserve">0x0
</t>
    </r>
    <r>
      <rPr>
        <b/>
        <sz val="11"/>
        <color rgb="FFFF0000"/>
        <rFont val="Calibri"/>
        <family val="2"/>
      </rPr>
      <t>(Temporary !)</t>
    </r>
  </si>
  <si>
    <r>
      <rPr>
        <i/>
        <sz val="10"/>
        <rFont val="Arial"/>
        <family val="2"/>
      </rPr>
      <t xml:space="preserve">
</t>
    </r>
    <r>
      <rPr>
        <i/>
        <sz val="10"/>
        <color indexed="12"/>
        <rFont val="Arial"/>
        <family val="2"/>
      </rPr>
      <t>STANDBY</t>
    </r>
  </si>
  <si>
    <r>
      <t xml:space="preserve">x
</t>
    </r>
    <r>
      <rPr>
        <b/>
        <sz val="10"/>
        <color rgb="FF00B050"/>
        <rFont val="Calibri"/>
        <family val="2"/>
      </rPr>
      <t>Dual H-MTD + 6</t>
    </r>
  </si>
  <si>
    <r>
      <t xml:space="preserve">x
LVDS Input 
</t>
    </r>
    <r>
      <rPr>
        <b/>
        <sz val="10"/>
        <color rgb="FF00B050"/>
        <rFont val="Calibri"/>
        <family val="2"/>
      </rPr>
      <t>AND</t>
    </r>
    <r>
      <rPr>
        <b/>
        <sz val="10"/>
        <rFont val="Calibri"/>
        <family val="2"/>
      </rPr>
      <t xml:space="preserve"> Output</t>
    </r>
  </si>
  <si>
    <t>Date RFQ</t>
  </si>
  <si>
    <t>Leaf ECU node: 
Display use case
UART
Tr9 transition 
From PREPARE-BUS-SLEEP state 
to OFF_NODE state</t>
  </si>
  <si>
    <t>Leaf ECU node: 
Display use case
UART
Tr8 transition 
From LIMP_HOME state 
to OFF_NODE state</t>
  </si>
  <si>
    <t>Leaf ECU node: 
Display use case
UART
Tr7 transition 
From NORMAL state 
to OFF_NODE state</t>
  </si>
  <si>
    <t>Leaf ECU node: 
Display use case
UART
Tr6 transition 
From INIT state 
to OFF_NODE state</t>
  </si>
  <si>
    <t>Architecture</t>
  </si>
  <si>
    <t>Platforms</t>
  </si>
  <si>
    <t>Applicable projects</t>
  </si>
  <si>
    <r>
      <t xml:space="preserve">x
</t>
    </r>
    <r>
      <rPr>
        <b/>
        <sz val="10"/>
        <color rgb="FFFF0000"/>
        <rFont val="Calibri"/>
        <family val="2"/>
      </rPr>
      <t>Temporary configuration !</t>
    </r>
  </si>
  <si>
    <t>2.0</t>
  </si>
  <si>
    <t>SLAVE</t>
  </si>
  <si>
    <t>x
LVDS input</t>
  </si>
  <si>
    <r>
      <t xml:space="preserve">x
</t>
    </r>
    <r>
      <rPr>
        <b/>
        <sz val="10"/>
        <color rgb="FFFF0000"/>
        <rFont val="Calibri"/>
        <family val="2"/>
      </rPr>
      <t>To be confirmed!</t>
    </r>
  </si>
  <si>
    <t>Microcontroller Address</t>
  </si>
  <si>
    <t>Answers from the supplier, to be completed by him</t>
  </si>
  <si>
    <t>Answers from STLA, to be completed by STLA</t>
  </si>
  <si>
    <t>OK Requirements</t>
  </si>
  <si>
    <t>Updated Applicability</t>
  </si>
  <si>
    <t>RFQ
Date</t>
  </si>
  <si>
    <t>The root ECU node shall apply a timer Ttrans_timeout_WRITE = 1900µs.</t>
  </si>
  <si>
    <t>Root ECU node: Ttrans_timeout_WRITE = 1900 µs</t>
  </si>
  <si>
    <t>The leaf ECU node shall apply a timer Trecep_timeout_WRITE = 1900µs.</t>
  </si>
  <si>
    <t>Leaf ECU node: Trecep_timeout_WRITE = 1900 µs</t>
  </si>
  <si>
    <t>Trecep_timeout_READ = 1900µs</t>
  </si>
  <si>
    <t>Leaf ECU node: Ttrans_timeout_READ = 1900µs</t>
  </si>
  <si>
    <t>Root ECU node: WRITE frame 2ms Schedule table Time slot</t>
  </si>
  <si>
    <t>The root ECU node shall apply a 2ms time slot of the schedule table for the transmission of a WRITE frame.</t>
  </si>
  <si>
    <t>The ECU node shall recognize a checksum error when checksum verification is different from 0xFF.
Checksum verification = (DEV_ADDR + ID + DLC + Ʃ[Di]) + CSUM
•	By removing 0xFF to (DEV_ADDR + ID + DLC + Ʃ[Di]) until it is equal or lower than 0xFF.
•	Ʃ[Di] represents the sum of all data bytes of the received frame.</t>
  </si>
  <si>
    <t xml:space="preserve">REQ-1002644 </t>
  </si>
  <si>
    <t>01991_22_02451</t>
  </si>
  <si>
    <r>
      <t xml:space="preserve">The leaf ECU node shall apply the following conditions from OFF_NODE state to INIT state:
Transition	From OFF_NODE
to INIT
Conditions	</t>
    </r>
    <r>
      <rPr>
        <sz val="10"/>
        <color rgb="FF00B050"/>
        <rFont val="Calibri"/>
        <family val="2"/>
      </rPr>
      <t>Wake-up signal is ON.</t>
    </r>
    <r>
      <rPr>
        <sz val="10"/>
        <rFont val="Calibri"/>
        <family val="2"/>
      </rPr>
      <t xml:space="preserve">
Actions	The leaf ECU node LVDS bi-dir network management shall switch into INIT state.
	The leaf ECU node shall disable frame receiving and sending on the Pass-Through control channel.
	The leaf ECU node shall disable access to the registers of deserializer on the main control channel by the root ECU node.
	The leaf ECU node shall initialize the LVDS low layers during Tinit_LVDS_leaf.
Ref state diagram	Tr0</t>
    </r>
  </si>
  <si>
    <r>
      <t xml:space="preserve">The leaf ECU node shall apply the following conditions from INIT state to NORMAL state:
Transition	From INIT
to NORMAL
Conditions	End of Tinit_LVDS_leaf
</t>
    </r>
    <r>
      <rPr>
        <sz val="10"/>
        <color rgb="FF00B050"/>
        <rFont val="Calibri"/>
        <family val="2"/>
      </rPr>
      <t xml:space="preserve">AND
Wake-up signal is ON
</t>
    </r>
    <r>
      <rPr>
        <sz val="10"/>
        <rFont val="Calibri"/>
        <family val="2"/>
      </rPr>
      <t>Actions	The leaf ECU node LVDS bi-dir network management shall switch into NORMAL state.
	The leaf ECU node shall enable frame receiving and sending on the Pass-Through control channel.
	The leaf ECU node shall disable access to the registers of deserializer on the main control channel by the root ECU node.
Ref state diagram	Tr1</t>
    </r>
  </si>
  <si>
    <r>
      <t xml:space="preserve">The leaf ECU node shall apply the following conditions from NORMAL state to PREPARE-BUS-SLEEP state:
Transition	From NORMAL
to PREPARE-BUS-SLEEP
Conditions	Reception of command to switch to PREPARE-BUS-SLEEP state.
</t>
    </r>
    <r>
      <rPr>
        <sz val="10"/>
        <color rgb="FF00B050"/>
        <rFont val="Calibri"/>
        <family val="2"/>
      </rPr>
      <t xml:space="preserve">AND
Wake-up signal is ON.
</t>
    </r>
    <r>
      <rPr>
        <sz val="10"/>
        <rFont val="Calibri"/>
        <family val="2"/>
      </rPr>
      <t>Actions	The leaf ECU node LVDS bi-dir network management shall switch into PREPARE-BUS-SLEEP state.
	The leaf ECU node shall enable frame receiving and sending on the Pass-Through control channel.
	The leaf ECU node shall disable access to the registers of deserializer on the main control channel by the root ECU node.
Ref state diagram	Tr2</t>
    </r>
  </si>
  <si>
    <r>
      <t xml:space="preserve">The leaf ECU node shall apply the following conditions from PREPARE-BUS-SLEEP state to NORMAL state:
Transition	From PREPARE-BUS-SLEEP
to NORMAL
Conditions	Reception of command to switch to NORMAL state.
</t>
    </r>
    <r>
      <rPr>
        <sz val="10"/>
        <color rgb="FF00B050"/>
        <rFont val="Calibri"/>
        <family val="2"/>
      </rPr>
      <t xml:space="preserve">AND
Wake-up signal is ON.
</t>
    </r>
    <r>
      <rPr>
        <sz val="10"/>
        <rFont val="Calibri"/>
        <family val="2"/>
      </rPr>
      <t>Actions	The leaf ECU node LVDS bi-dir network management shall switch into NORMAL state.
	The leaf ECU node shall enable frame receiving and sending on the Pass-Through control channel.
	The leaf ECU node shall disable access to the registers of deserializer on the main control channel by the root ECU node.
Ref state diagram	Tr3</t>
    </r>
  </si>
  <si>
    <r>
      <t xml:space="preserve">The leaf ECU node shall apply the following conditions from NORMAL state to LIMP_HOME_MODE state:
Transition	From NORMAL
to LIMP_HOME_MODE
Conditions	Loss of communication
</t>
    </r>
    <r>
      <rPr>
        <sz val="10"/>
        <color rgb="FF00B050"/>
        <rFont val="Calibri"/>
        <family val="2"/>
      </rPr>
      <t xml:space="preserve">AND
Wake-up signal is ON.
</t>
    </r>
    <r>
      <rPr>
        <sz val="10"/>
        <rFont val="Calibri"/>
        <family val="2"/>
      </rPr>
      <t>Actions	The leaf ECU node LVDS bi-dir network management shall switch into LIMP_HOME_MODE state.
	The leaf ECU node shall enable frame receiving and sending on the Pass-Through control channel.
	The leaf ECU node shall disable access to the registers of deserializer on the main control channel by the root ECU node.
Ref state diagram	Tr4</t>
    </r>
  </si>
  <si>
    <t xml:space="preserve">REQ-1000553 </t>
  </si>
  <si>
    <t xml:space="preserve">REQ-1000554 </t>
  </si>
  <si>
    <t xml:space="preserve">REQ-1000555 </t>
  </si>
  <si>
    <t xml:space="preserve">REQ-1000556 </t>
  </si>
  <si>
    <t xml:space="preserve">Leaf ECU node: 
Display use case
I2C
Tr9 transition 
From PREPARE-BUS-SLEEP state </t>
  </si>
  <si>
    <t>The leaf ECU node shall apply the following conditions from OFF_NODE state to INIT state:
Transition	From NORMAL
to OFF_NODE
Conditions	Wake-up signal is OFF.
Actions	The leaf ECU node LVDS bi-dir network management shall switch into OFF_NODE state.
	The leaf ECU node shall power down the deserializer.
Ref state diagram	Tr7</t>
  </si>
  <si>
    <t>The leaf ECU node shall apply the following conditions from OFF_NODE state to INIT state:
Transition	From LIMP_HOME
to OFF_NODE
Conditions	Wake-up signal is OFF.
Actions	The leaf ECU node LVDS bi-dir network management shall switch into OFF_NODE state.
	The leaf ECU node shall power down the deserializer.
Ref state diagram	Tr8</t>
  </si>
  <si>
    <t>The leaf ECU node shall apply the following conditions from OFF_NODE state to INIT state:
Transition	From PREPARE-BUS-SLEEP
to OFF_NODE
Conditions	Wake-up signal is OFF.
Actions	The leaf ECU node LVDS bi-dir network management shall switch into OFF_NODE state.
	The leaf ECU node shall power down the deserializer.
Ref state diagram	Tr9</t>
  </si>
  <si>
    <r>
      <t xml:space="preserve">The leaf ECU node shall apply the following conditions from INIT state to NORMAL state:
Transition	From INIT
to NORMAL
Conditions	End of Tinit_LVDS_leaf
</t>
    </r>
    <r>
      <rPr>
        <sz val="10"/>
        <color rgb="FF00B050"/>
        <rFont val="Calibri"/>
        <family val="2"/>
      </rPr>
      <t xml:space="preserve">AND
Wake-up signal is ON.
</t>
    </r>
    <r>
      <rPr>
        <sz val="10"/>
        <rFont val="Calibri"/>
        <family val="2"/>
      </rPr>
      <t>Actions	The leaf ECU node LVDS bi-dir network management shall switch into NORMAL state.
	The leaf ECU node shall enable frame receiving and sending on the Pass-Through control channel.
	The leaf ECU node shall enable deserializer registers access on the main control channel by root ECU node.
	The leaf ECU node shall disable frame sending on the main control channel.
Ref state diagram	Tr1</t>
    </r>
  </si>
  <si>
    <r>
      <t xml:space="preserve">The leaf ECU node shall apply the following conditions from NORMAL state to PREPARE-BUS-SLEEP state:
Transition	From NORMAL
to PREPARE-BUS-SLEEP
Conditions	Reception of MAIN.GO-TO-SLEEP command.
</t>
    </r>
    <r>
      <rPr>
        <sz val="10"/>
        <color rgb="FF00B050"/>
        <rFont val="Calibri"/>
        <family val="2"/>
      </rPr>
      <t xml:space="preserve">AND
Wake-up signal is ON.
</t>
    </r>
    <r>
      <rPr>
        <sz val="10"/>
        <rFont val="Calibri"/>
        <family val="2"/>
      </rPr>
      <t>Actions	The leaf ECU node LVDS bi-dir network management shall switch into PREPARE-BUS-SLEEP state.
	The leaf ECU node shall enable frame receiving and sending on the Pass-Through control channel.
	The leaf ECU node shall disable frame sending on the main control channel.
	The leaf ECU node shall enable access to the registers of deserializer on the main control channel by the root ECU node.
Ref state diagram	Tr2</t>
    </r>
  </si>
  <si>
    <r>
      <t xml:space="preserve">The leaf ECU node shall apply the following conditions from PREPARE-BUS-SLEEP state to NORMAL state:
Transition	From PREPARE-BUS-SLEEP
to NORMAL
Conditions	Reception of command to switch to NORMAL state.
</t>
    </r>
    <r>
      <rPr>
        <sz val="10"/>
        <color rgb="FF00B050"/>
        <rFont val="Calibri"/>
        <family val="2"/>
      </rPr>
      <t xml:space="preserve">AND
Wake-up signal is ON.
</t>
    </r>
    <r>
      <rPr>
        <sz val="10"/>
        <rFont val="Calibri"/>
        <family val="2"/>
      </rPr>
      <t>Actions	The leaf ECU node LVDS bi-dir network management shall switch into NORMAL state.
	The leaf ECU node shall enable frame receiving and sending on the Pass-Through control channel.
	The leaf ECU node shall disable frame sending on the main control channel.
	The leaf ECU node shall enable access to the registers of deserializer on the main control channel by the root ECU node.
Ref state diagram	Tr3</t>
    </r>
  </si>
  <si>
    <r>
      <t xml:space="preserve">The leaf ECU node shall apply the following conditions from NORMAL state to LIMP_HOME_MODE state:
Transition	From NORMAL
to LIMP_HOME_MODE
Conditions	Loss of communication
</t>
    </r>
    <r>
      <rPr>
        <sz val="10"/>
        <color rgb="FF00B050"/>
        <rFont val="Calibri"/>
        <family val="2"/>
      </rPr>
      <t xml:space="preserve">AND
Wake-up signal is ON.
</t>
    </r>
    <r>
      <rPr>
        <sz val="10"/>
        <rFont val="Calibri"/>
        <family val="2"/>
      </rPr>
      <t>Actions	The leaf ECU node LVDS bi-dir network management shall switch into LIMP_HOME_MODE state.
	The leaf ECU node shall enable frame receiving and sending on the Pass-Through control channel.
	The leaf ECU node shall disable frame sending on the main control channel.
	The leaf ECU node shall enable access to the registers of deserializer on the main control channel by the root ECU node.
Ref state diagram	Tr4</t>
    </r>
  </si>
  <si>
    <r>
      <t xml:space="preserve">The leaf ECU node shall apply the following conditions from LIMP_HOME_MODE state to NORMAL state:
Transition	From LIMP_HOME_MODE
to NORMAL
Conditions	Return of communication:
</t>
    </r>
    <r>
      <rPr>
        <sz val="10"/>
        <color rgb="FF00B050"/>
        <rFont val="Calibri"/>
        <family val="2"/>
      </rPr>
      <t xml:space="preserve">AND
Wake-up signal is ON.
</t>
    </r>
    <r>
      <rPr>
        <sz val="10"/>
        <rFont val="Calibri"/>
        <family val="2"/>
      </rPr>
      <t>The leaf ECU node shall exit the LIMP_HOME_MODE state when it consumes a WRITE frame or HEADER frame.
Actions	The leaf ECU node LVDS bi-dir network management shall switch into NORMAL state.
	The leaf ECU node shall enable frame receiving and sending on the Pass-Through control channel.
	The leaf ECU node shall disable frame sending on the main control channel.
	The leaf ECU node shall enable access to the registers of deserializer on the main control channel by the root ECU node.
Ref state diagram	Tr5</t>
    </r>
  </si>
  <si>
    <t>REQ-1000557</t>
  </si>
  <si>
    <t>REQ-1000558</t>
  </si>
  <si>
    <t>REQ-1000560</t>
  </si>
  <si>
    <t>EXE/PDT/EHE/EEAV/NWDG/HSNC</t>
  </si>
  <si>
    <t>Department :  EXE/PDT/EHE/EEAV/NWDG/HSNC</t>
  </si>
  <si>
    <t>Department :
EXE/PDT/SWE/CKPT/CIDI/DICD</t>
  </si>
  <si>
    <t>Department :</t>
  </si>
  <si>
    <r>
      <t xml:space="preserve">Allocation Matrix of LVDS requirements for </t>
    </r>
    <r>
      <rPr>
        <b/>
        <sz val="16"/>
        <color rgb="FF00B050"/>
        <rFont val="Calibri"/>
        <family val="2"/>
      </rPr>
      <t>DM17F</t>
    </r>
  </si>
  <si>
    <r>
      <rPr>
        <sz val="10"/>
        <color rgb="FF0070C0"/>
        <rFont val="Calibri"/>
        <family val="2"/>
      </rPr>
      <t xml:space="preserve">This document presents the application matrix for specifications related to the </t>
    </r>
    <r>
      <rPr>
        <sz val="10"/>
        <color rgb="FF00B050"/>
        <rFont val="Calibri"/>
        <family val="2"/>
      </rPr>
      <t xml:space="preserve">DM17F </t>
    </r>
    <r>
      <rPr>
        <sz val="10"/>
        <color rgb="FF0070C0"/>
        <rFont val="Calibri"/>
        <family val="2"/>
      </rPr>
      <t>which will be developed according to specifications LVDS Bi-Dir.</t>
    </r>
    <r>
      <rPr>
        <sz val="10"/>
        <rFont val="Calibri"/>
        <family val="2"/>
      </rPr>
      <t xml:space="preserve">
</t>
    </r>
  </si>
  <si>
    <t>R8U/R8L/DT2/HD2</t>
  </si>
  <si>
    <t>DM17F</t>
  </si>
  <si>
    <t>ATLANTIS HIGH - R2P0</t>
  </si>
  <si>
    <t>To be defined !</t>
  </si>
  <si>
    <t>0xC8</t>
  </si>
  <si>
    <t>01991_25_01611</t>
  </si>
  <si>
    <t>DM17F is an LVDS bi-dir slave node which:
- comply to the Display use case of the LVDS Bi-Dir Technical specification
- has a GMSL3 deserializer
- has a dual connector H-MTD + 6 inputs
- supports a resolution of 2560x1440 pixels at a frequency of 60 frame per second
- has a 24 bits RGB pixel color depth
- has an external power supply and is woken up by a wired interface signal
- supports Daisy Chain
- implements HDCP 2.3
- transmits data over I2C bus at a bit rate of 400 Kbps
- implements reflash request through LVDS Network
- implements functional request through LVDS Network
- implements diagnostic request through LVDS Network
Therefore, the following requirements are applied:</t>
  </si>
  <si>
    <t>OK</t>
  </si>
  <si>
    <t>NOK</t>
  </si>
  <si>
    <r>
      <t>Project 14.9 has been agreed upon with STLA. Decation STLA has accepted</t>
    </r>
    <r>
      <rPr>
        <sz val="10"/>
        <rFont val="宋体"/>
        <family val="3"/>
        <charset val="134"/>
      </rPr>
      <t xml:space="preserve">：
</t>
    </r>
    <r>
      <rPr>
        <sz val="10"/>
        <rFont val="Arial"/>
        <family val="2"/>
      </rPr>
      <t>When a READ frame timeout occurs , display can keep sending the original data, same as normal case.There are questions about the customer review and the clarification is still ongoing</t>
    </r>
    <phoneticPr fontId="54" type="noConversion"/>
  </si>
  <si>
    <r>
      <t>Project 14.9 has been agreed upon with STLA. Decation STLA has accepted</t>
    </r>
    <r>
      <rPr>
        <sz val="10"/>
        <rFont val="宋体"/>
        <family val="3"/>
        <charset val="134"/>
      </rPr>
      <t>：</t>
    </r>
    <r>
      <rPr>
        <sz val="10"/>
        <rFont val="Arial"/>
        <family val="2"/>
      </rPr>
      <t xml:space="preserve">
When the Trecep_timeout_WRITE occurs, the display system receives the write frame normally and then display system shall ignore these signals received after time out occurs and don’t deal with them.</t>
    </r>
    <phoneticPr fontId="54" type="noConversion"/>
  </si>
  <si>
    <r>
      <rPr>
        <sz val="10"/>
        <rFont val="宋体"/>
        <family val="3"/>
        <charset val="134"/>
      </rPr>
      <t xml:space="preserve">
</t>
    </r>
    <r>
      <rPr>
        <sz val="10"/>
        <rFont val="Arial"/>
        <family val="2"/>
      </rPr>
      <t>When detect checksum error, the display system shall receive the write frame normally and then the display system shall ignore these signals and don’t deal with the received signals.</t>
    </r>
    <phoneticPr fontId="54" type="noConversion"/>
  </si>
  <si>
    <r>
      <t>Project 14.9 has been agreed upon with STLA. Decation STLA has accepted</t>
    </r>
    <r>
      <rPr>
        <sz val="10"/>
        <rFont val="宋体"/>
        <family val="3"/>
        <charset val="134"/>
      </rPr>
      <t xml:space="preserve">：
</t>
    </r>
    <r>
      <rPr>
        <sz val="10"/>
        <rFont val="Arial"/>
        <family val="2"/>
      </rPr>
      <t>When detect DLC field data is not defined, the display system shall receive the WRITE frame or HEADER frame normally and then the display</t>
    </r>
    <phoneticPr fontId="54" type="noConversion"/>
  </si>
  <si>
    <t xml:space="preserve">
When detect an undefined DEV ADDR, the display system shall feedback only with NACK</t>
    <phoneticPr fontId="54" type="noConversion"/>
  </si>
  <si>
    <r>
      <rPr>
        <sz val="10"/>
        <rFont val="宋体"/>
        <family val="3"/>
        <charset val="134"/>
      </rPr>
      <t xml:space="preserve">
</t>
    </r>
    <r>
      <rPr>
        <sz val="10"/>
        <rFont val="Arial"/>
        <family val="2"/>
      </rPr>
      <t>When detect ID field data is not defined, the display system shall receive the WRITE frame or HEADER frame normally and then the display system shall ignore these signals and don't deal with the received signals.</t>
    </r>
    <phoneticPr fontId="54" type="noConversion"/>
  </si>
  <si>
    <r>
      <t>Project 14.9 has been agreed upon with STLA. Decation STLA has accepted</t>
    </r>
    <r>
      <rPr>
        <sz val="10"/>
        <rFont val="宋体"/>
        <family val="3"/>
        <charset val="134"/>
      </rPr>
      <t xml:space="preserve">：
</t>
    </r>
    <r>
      <rPr>
        <sz val="10"/>
        <rFont val="Arial"/>
        <family val="2"/>
      </rPr>
      <t>The  Max(ms) ST_min = 100µs applies to the minimum time between the stop condition of a frame and the start condition of the next/consecutive frame.</t>
    </r>
    <phoneticPr fontId="54" type="noConversion"/>
  </si>
  <si>
    <t>In Annex A, there is no recommened GMSL3 deserializer.Current Tianme selected type is MAX96880BGTN/VY+T</t>
    <phoneticPr fontId="54" type="noConversion"/>
  </si>
  <si>
    <t>same deal solution with 10.25 J4U</t>
    <phoneticPr fontId="5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</si>
</sst>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
  </numFmts>
  <fonts count="56" x14ac:knownFonts="1">
    <font>
      <sz val="10"/>
      <name val="Arial"/>
      <family val="2"/>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sz val="10"/>
      <name val="Calibri"/>
      <family val="2"/>
    </font>
    <font>
      <b/>
      <sz val="10"/>
      <name val="Calibri"/>
      <family val="2"/>
    </font>
    <font>
      <b/>
      <sz val="10"/>
      <color theme="4"/>
      <name val="Calibri"/>
      <family val="2"/>
    </font>
    <font>
      <b/>
      <sz val="10"/>
      <color rgb="FF0070C0"/>
      <name val="Calibri"/>
      <family val="2"/>
    </font>
    <font>
      <b/>
      <sz val="16"/>
      <color rgb="FFFF0000"/>
      <name val="Calibri"/>
      <family val="2"/>
    </font>
    <font>
      <b/>
      <sz val="11"/>
      <name val="Calibri"/>
      <family val="2"/>
    </font>
    <font>
      <b/>
      <sz val="12"/>
      <name val="Calibri"/>
      <family val="2"/>
    </font>
    <font>
      <b/>
      <sz val="12"/>
      <color rgb="FF0070C0"/>
      <name val="Calibri"/>
      <family val="2"/>
    </font>
    <font>
      <sz val="11"/>
      <name val="Calibri"/>
      <family val="2"/>
    </font>
    <font>
      <b/>
      <sz val="12"/>
      <name val="Arial"/>
      <family val="2"/>
    </font>
    <font>
      <b/>
      <sz val="12"/>
      <color rgb="FF0070C0"/>
      <name val="Arial"/>
      <family val="2"/>
    </font>
    <font>
      <b/>
      <sz val="14"/>
      <name val="Arial"/>
      <family val="2"/>
    </font>
    <font>
      <b/>
      <sz val="14"/>
      <color rgb="FF0070C0"/>
      <name val="Arial"/>
      <family val="2"/>
    </font>
    <font>
      <b/>
      <sz val="10"/>
      <name val="Arial"/>
      <family val="2"/>
    </font>
    <font>
      <i/>
      <sz val="10"/>
      <color indexed="12"/>
      <name val="Arial"/>
      <family val="2"/>
    </font>
    <font>
      <i/>
      <sz val="10"/>
      <name val="Arial"/>
      <family val="2"/>
    </font>
    <font>
      <b/>
      <sz val="10"/>
      <color rgb="FF0070C0"/>
      <name val="Arial"/>
      <family val="2"/>
    </font>
    <font>
      <b/>
      <sz val="11"/>
      <name val="Arial"/>
      <family val="2"/>
    </font>
    <font>
      <sz val="9"/>
      <color indexed="81"/>
      <name val="Tahoma"/>
      <family val="2"/>
    </font>
    <font>
      <b/>
      <sz val="9"/>
      <color indexed="81"/>
      <name val="Tahoma"/>
      <family val="2"/>
    </font>
    <font>
      <sz val="9"/>
      <color indexed="81"/>
      <name val="宋体"/>
      <family val="2"/>
      <scheme val="minor"/>
    </font>
    <font>
      <u/>
      <sz val="10"/>
      <color indexed="12"/>
      <name val="Arial"/>
      <family val="2"/>
    </font>
    <font>
      <u/>
      <sz val="10"/>
      <name val="Arial"/>
      <family val="2"/>
    </font>
    <font>
      <b/>
      <i/>
      <sz val="14"/>
      <name val="Arial"/>
      <family val="2"/>
    </font>
    <font>
      <u/>
      <sz val="10"/>
      <color theme="10"/>
      <name val="Arial"/>
      <family val="2"/>
    </font>
    <font>
      <sz val="10"/>
      <name val="Arial"/>
      <family val="2"/>
    </font>
    <font>
      <sz val="10"/>
      <name val="Helv"/>
    </font>
    <font>
      <u/>
      <sz val="12"/>
      <color indexed="12"/>
      <name val="Arial"/>
      <family val="2"/>
    </font>
    <font>
      <sz val="9"/>
      <color indexed="8"/>
      <name val="Arial"/>
      <family val="2"/>
    </font>
    <font>
      <sz val="7"/>
      <name val="Small Fonts"/>
      <family val="2"/>
    </font>
    <font>
      <sz val="10"/>
      <color theme="1"/>
      <name val="Calibri"/>
      <family val="2"/>
    </font>
    <font>
      <b/>
      <sz val="12"/>
      <color theme="1"/>
      <name val="Calibri"/>
      <family val="2"/>
    </font>
    <font>
      <b/>
      <sz val="10"/>
      <color theme="1"/>
      <name val="Calibri"/>
      <family val="2"/>
    </font>
    <font>
      <sz val="11"/>
      <color rgb="FF0070C0"/>
      <name val="Calibri"/>
      <family val="2"/>
    </font>
    <font>
      <sz val="11"/>
      <color theme="1"/>
      <name val="Calibri"/>
      <family val="2"/>
    </font>
    <font>
      <b/>
      <sz val="10"/>
      <color rgb="FF00B050"/>
      <name val="Calibri"/>
      <family val="2"/>
    </font>
    <font>
      <b/>
      <sz val="16"/>
      <color rgb="FF0070C0"/>
      <name val="Calibri"/>
      <family val="2"/>
    </font>
    <font>
      <sz val="10"/>
      <color rgb="FF0070C0"/>
      <name val="Calibri"/>
      <family val="2"/>
    </font>
    <font>
      <b/>
      <sz val="11"/>
      <color theme="1"/>
      <name val="Calibri"/>
      <family val="2"/>
    </font>
    <font>
      <sz val="10"/>
      <color theme="1"/>
      <name val="宋体"/>
      <family val="2"/>
      <scheme val="minor"/>
    </font>
    <font>
      <sz val="10"/>
      <name val="宋体"/>
      <family val="2"/>
      <scheme val="minor"/>
    </font>
    <font>
      <sz val="10"/>
      <color rgb="FF00B050"/>
      <name val="Calibri"/>
      <family val="2"/>
    </font>
    <font>
      <sz val="11"/>
      <color rgb="FFFF0000"/>
      <name val="宋体"/>
      <family val="2"/>
      <scheme val="minor"/>
    </font>
    <font>
      <b/>
      <sz val="10"/>
      <color rgb="FFFF0000"/>
      <name val="Calibri"/>
      <family val="2"/>
    </font>
    <font>
      <b/>
      <sz val="11"/>
      <color rgb="FFFF0000"/>
      <name val="Calibri"/>
      <family val="2"/>
    </font>
    <font>
      <b/>
      <sz val="16"/>
      <color rgb="FF00B050"/>
      <name val="Calibri"/>
      <family val="2"/>
    </font>
    <font>
      <sz val="9"/>
      <color indexed="81"/>
      <name val="Tahoma"/>
      <charset val="1"/>
    </font>
    <font>
      <b/>
      <sz val="9"/>
      <color indexed="81"/>
      <name val="Tahoma"/>
      <charset val="1"/>
    </font>
    <font>
      <sz val="9"/>
      <name val="宋体"/>
      <family val="3"/>
      <charset val="134"/>
    </font>
    <font>
      <sz val="10"/>
      <name val="宋体"/>
      <family val="3"/>
      <charset val="134"/>
    </font>
  </fonts>
  <fills count="17">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rgb="FFC0C0C0"/>
        <bgColor indexed="64"/>
      </patternFill>
    </fill>
    <fill>
      <patternFill patternType="solid">
        <fgColor theme="1" tint="0.49998474074526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rgb="FFFFC000"/>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rgb="FFBFBFBF"/>
        <bgColor indexed="64"/>
      </patternFill>
    </fill>
    <fill>
      <patternFill patternType="solid">
        <fgColor rgb="FFFFFFFF"/>
        <bgColor indexed="64"/>
      </patternFill>
    </fill>
    <fill>
      <patternFill patternType="solid">
        <fgColor indexed="47"/>
        <bgColor indexed="64"/>
      </patternFill>
    </fill>
    <fill>
      <patternFill patternType="solid">
        <fgColor rgb="FFFFFF00"/>
        <bgColor indexed="64"/>
      </patternFill>
    </fill>
  </fills>
  <borders count="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thick">
        <color indexed="10"/>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thin">
        <color indexed="64"/>
      </left>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medium">
        <color indexed="64"/>
      </top>
      <bottom style="medium">
        <color indexed="64"/>
      </bottom>
      <diagonal/>
    </border>
  </borders>
  <cellStyleXfs count="80">
    <xf numFmtId="0" fontId="0" fillId="0" borderId="0"/>
    <xf numFmtId="0" fontId="5" fillId="0" borderId="0"/>
    <xf numFmtId="0" fontId="5" fillId="0" borderId="7"/>
    <xf numFmtId="0" fontId="27" fillId="0" borderId="0" applyNumberFormat="0" applyFill="0" applyBorder="0" applyAlignment="0" applyProtection="0">
      <alignment vertical="top"/>
      <protection locked="0"/>
    </xf>
    <xf numFmtId="0" fontId="5" fillId="0" borderId="0"/>
    <xf numFmtId="0" fontId="5" fillId="0" borderId="0"/>
    <xf numFmtId="0" fontId="15" fillId="0" borderId="0">
      <alignment horizontal="center"/>
    </xf>
    <xf numFmtId="0" fontId="15" fillId="0" borderId="0"/>
    <xf numFmtId="0" fontId="19" fillId="0" borderId="0"/>
    <xf numFmtId="0" fontId="28" fillId="0" borderId="0"/>
    <xf numFmtId="0" fontId="5" fillId="0" borderId="0"/>
    <xf numFmtId="0" fontId="5" fillId="0" borderId="0"/>
    <xf numFmtId="0" fontId="5" fillId="0" borderId="0"/>
    <xf numFmtId="0" fontId="5" fillId="0" borderId="0"/>
    <xf numFmtId="0" fontId="5" fillId="0" borderId="0"/>
    <xf numFmtId="0" fontId="5" fillId="0" borderId="0"/>
    <xf numFmtId="0" fontId="19" fillId="0" borderId="7"/>
    <xf numFmtId="0" fontId="29" fillId="0" borderId="35"/>
    <xf numFmtId="0" fontId="30" fillId="0" borderId="0" applyNumberFormat="0" applyFill="0" applyBorder="0" applyAlignment="0" applyProtection="0"/>
    <xf numFmtId="0" fontId="31" fillId="0" borderId="0"/>
    <xf numFmtId="0" fontId="5" fillId="0" borderId="7"/>
    <xf numFmtId="0" fontId="5" fillId="0" borderId="7"/>
    <xf numFmtId="0" fontId="5" fillId="0" borderId="7"/>
    <xf numFmtId="0" fontId="5" fillId="0" borderId="7"/>
    <xf numFmtId="0" fontId="33" fillId="0" borderId="11" applyNumberFormat="0" applyFill="0" applyBorder="0" applyAlignment="0" applyProtection="0">
      <alignment vertical="center"/>
      <protection locked="0"/>
    </xf>
    <xf numFmtId="0" fontId="5" fillId="0" borderId="0"/>
    <xf numFmtId="0" fontId="34" fillId="15" borderId="7" applyNumberFormat="0">
      <alignment horizontal="left" vertical="center" wrapText="1"/>
    </xf>
    <xf numFmtId="0" fontId="35" fillId="1" borderId="39"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2" fillId="0" borderId="0"/>
    <xf numFmtId="0" fontId="4" fillId="0" borderId="0"/>
    <xf numFmtId="0" fontId="3" fillId="0" borderId="0"/>
    <xf numFmtId="0" fontId="5" fillId="0" borderId="0"/>
    <xf numFmtId="0" fontId="5" fillId="0" borderId="0"/>
    <xf numFmtId="0" fontId="5" fillId="0" borderId="0"/>
    <xf numFmtId="9" fontId="5" fillId="0" borderId="0" applyFont="0" applyFill="0" applyBorder="0" applyAlignment="0" applyProtection="0"/>
    <xf numFmtId="0" fontId="2" fillId="0" borderId="0"/>
    <xf numFmtId="9" fontId="5"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498">
    <xf numFmtId="0" fontId="0" fillId="0" borderId="0" xfId="0"/>
    <xf numFmtId="0" fontId="6" fillId="4" borderId="14" xfId="0" applyNumberFormat="1" applyFont="1" applyFill="1" applyBorder="1" applyAlignment="1">
      <alignment vertical="center"/>
    </xf>
    <xf numFmtId="0" fontId="6" fillId="4" borderId="15" xfId="0" applyNumberFormat="1" applyFont="1" applyFill="1" applyBorder="1" applyAlignment="1">
      <alignment vertical="center"/>
    </xf>
    <xf numFmtId="0" fontId="11" fillId="5" borderId="23" xfId="0" applyNumberFormat="1" applyFont="1" applyFill="1" applyBorder="1" applyAlignment="1">
      <alignment horizontal="center" vertical="center" wrapText="1"/>
    </xf>
    <xf numFmtId="0" fontId="0" fillId="0" borderId="29" xfId="0" applyBorder="1" applyAlignment="1" applyProtection="1">
      <alignment horizontal="center" vertical="center"/>
      <protection locked="0"/>
    </xf>
    <xf numFmtId="0" fontId="0" fillId="0" borderId="5"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7" fillId="14" borderId="22" xfId="0" applyFont="1" applyFill="1" applyBorder="1" applyAlignment="1" applyProtection="1">
      <alignment horizontal="center" vertical="center" wrapText="1"/>
    </xf>
    <xf numFmtId="0" fontId="0" fillId="0" borderId="33" xfId="0" applyBorder="1" applyAlignment="1" applyProtection="1">
      <alignment horizontal="center" vertical="center"/>
      <protection locked="0"/>
    </xf>
    <xf numFmtId="0" fontId="0" fillId="4" borderId="36" xfId="0" applyFill="1" applyBorder="1" applyProtection="1"/>
    <xf numFmtId="0" fontId="0" fillId="4" borderId="23" xfId="0" applyFill="1" applyBorder="1" applyProtection="1"/>
    <xf numFmtId="0" fontId="0" fillId="4" borderId="15" xfId="0" applyFill="1" applyBorder="1" applyProtection="1"/>
    <xf numFmtId="0" fontId="0" fillId="4" borderId="14" xfId="0" applyFill="1" applyBorder="1" applyProtection="1"/>
    <xf numFmtId="0" fontId="14" fillId="0" borderId="16" xfId="0" applyNumberFormat="1" applyFont="1" applyFill="1" applyBorder="1" applyAlignment="1">
      <alignment vertical="center" wrapText="1"/>
    </xf>
    <xf numFmtId="0" fontId="0" fillId="6" borderId="0" xfId="0" applyFill="1"/>
    <xf numFmtId="0" fontId="0" fillId="7" borderId="2" xfId="0" applyFill="1" applyBorder="1" applyProtection="1"/>
    <xf numFmtId="0" fontId="0" fillId="7" borderId="0" xfId="0" applyFill="1" applyProtection="1"/>
    <xf numFmtId="0" fontId="0" fillId="6" borderId="0" xfId="0" applyFill="1" applyProtection="1"/>
    <xf numFmtId="0" fontId="19" fillId="7" borderId="0" xfId="0" applyFont="1" applyFill="1" applyBorder="1" applyAlignment="1" applyProtection="1">
      <alignment horizontal="center" wrapText="1"/>
    </xf>
    <xf numFmtId="0" fontId="19" fillId="7" borderId="0" xfId="0" applyFont="1" applyFill="1" applyAlignment="1" applyProtection="1">
      <alignment horizontal="center" wrapText="1"/>
    </xf>
    <xf numFmtId="0" fontId="0" fillId="7" borderId="0" xfId="0" applyFill="1" applyBorder="1" applyProtection="1"/>
    <xf numFmtId="0" fontId="19" fillId="11" borderId="6" xfId="1" applyFont="1" applyFill="1" applyBorder="1" applyAlignment="1" applyProtection="1">
      <alignment horizontal="center" vertical="center" wrapText="1"/>
    </xf>
    <xf numFmtId="0" fontId="5" fillId="11" borderId="8" xfId="1" applyFont="1" applyFill="1" applyBorder="1" applyAlignment="1" applyProtection="1">
      <alignment horizontal="center" vertical="center" wrapText="1"/>
    </xf>
    <xf numFmtId="0" fontId="5" fillId="7" borderId="0" xfId="0" applyFont="1" applyFill="1" applyBorder="1" applyAlignment="1" applyProtection="1">
      <alignment horizontal="left" vertical="center" wrapText="1"/>
    </xf>
    <xf numFmtId="0" fontId="5" fillId="11" borderId="6" xfId="1" applyFont="1" applyFill="1" applyBorder="1" applyAlignment="1" applyProtection="1">
      <alignment horizontal="center" vertical="center" wrapText="1"/>
    </xf>
    <xf numFmtId="0" fontId="0" fillId="0" borderId="0" xfId="0" applyBorder="1" applyProtection="1"/>
    <xf numFmtId="0" fontId="12" fillId="7" borderId="0" xfId="0" applyFont="1" applyFill="1" applyBorder="1" applyAlignment="1" applyProtection="1">
      <alignment horizontal="center" vertical="center" wrapText="1"/>
    </xf>
    <xf numFmtId="0" fontId="12" fillId="13" borderId="28" xfId="0" applyFont="1" applyFill="1" applyBorder="1" applyAlignment="1" applyProtection="1">
      <alignment horizontal="center" vertical="center" wrapText="1"/>
    </xf>
    <xf numFmtId="49" fontId="5" fillId="11" borderId="29" xfId="1" applyNumberFormat="1" applyFont="1" applyFill="1" applyBorder="1" applyAlignment="1" applyProtection="1">
      <alignment horizontal="center" vertical="center" wrapText="1"/>
    </xf>
    <xf numFmtId="49" fontId="5" fillId="11" borderId="5" xfId="1" applyNumberFormat="1" applyFill="1" applyBorder="1" applyAlignment="1" applyProtection="1">
      <alignment horizontal="center" vertical="center" wrapText="1"/>
    </xf>
    <xf numFmtId="49" fontId="5" fillId="11" borderId="4" xfId="1" applyNumberFormat="1" applyFont="1" applyFill="1" applyBorder="1" applyAlignment="1" applyProtection="1">
      <alignment horizontal="center" vertical="center" wrapText="1"/>
    </xf>
    <xf numFmtId="0" fontId="7" fillId="7" borderId="0"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0" fillId="0" borderId="17" xfId="0" applyBorder="1" applyProtection="1"/>
    <xf numFmtId="0" fontId="7" fillId="14" borderId="0" xfId="0" applyFont="1" applyFill="1" applyBorder="1" applyAlignment="1" applyProtection="1">
      <alignment horizontal="center" vertical="center" wrapText="1"/>
    </xf>
    <xf numFmtId="0" fontId="0" fillId="0" borderId="0" xfId="0" applyBorder="1" applyAlignment="1" applyProtection="1">
      <alignment horizontal="center" vertical="center"/>
    </xf>
    <xf numFmtId="0" fontId="0" fillId="0" borderId="0" xfId="0" applyBorder="1" applyAlignment="1" applyProtection="1">
      <alignment horizontal="left" vertical="center"/>
    </xf>
    <xf numFmtId="0" fontId="0" fillId="0" borderId="18" xfId="0" applyBorder="1" applyAlignment="1" applyProtection="1">
      <alignment horizontal="left" vertical="center"/>
    </xf>
    <xf numFmtId="0" fontId="6" fillId="0" borderId="17" xfId="0" applyFont="1" applyBorder="1" applyAlignment="1" applyProtection="1">
      <alignment horizontal="center" vertical="center" wrapText="1"/>
    </xf>
    <xf numFmtId="0" fontId="7" fillId="0" borderId="0" xfId="0" applyFont="1" applyFill="1" applyBorder="1" applyAlignment="1" applyProtection="1">
      <alignment horizontal="center" vertical="center" wrapText="1"/>
    </xf>
    <xf numFmtId="0" fontId="0" fillId="0" borderId="0" xfId="0" applyFill="1" applyBorder="1" applyProtection="1"/>
    <xf numFmtId="0" fontId="0" fillId="0" borderId="15" xfId="0" applyBorder="1" applyProtection="1"/>
    <xf numFmtId="0" fontId="0" fillId="7" borderId="15" xfId="0" applyFill="1" applyBorder="1" applyProtection="1"/>
    <xf numFmtId="0" fontId="0" fillId="0" borderId="14" xfId="0" applyBorder="1" applyProtection="1"/>
    <xf numFmtId="0" fontId="0" fillId="0" borderId="15" xfId="0" applyBorder="1" applyAlignment="1" applyProtection="1">
      <alignment horizontal="center" vertical="center"/>
    </xf>
    <xf numFmtId="0" fontId="0" fillId="0" borderId="15" xfId="0" applyBorder="1" applyAlignment="1" applyProtection="1">
      <alignment horizontal="left" vertical="center"/>
    </xf>
    <xf numFmtId="0" fontId="0" fillId="0" borderId="16" xfId="0" applyBorder="1" applyAlignment="1" applyProtection="1">
      <alignment horizontal="left" vertical="center"/>
    </xf>
    <xf numFmtId="0" fontId="0" fillId="0" borderId="15" xfId="0" applyFill="1" applyBorder="1" applyProtection="1"/>
    <xf numFmtId="0" fontId="0" fillId="6" borderId="0" xfId="0" applyFill="1" applyAlignment="1" applyProtection="1">
      <alignment horizontal="center" vertical="center"/>
    </xf>
    <xf numFmtId="0" fontId="0" fillId="6" borderId="0" xfId="0" applyFill="1" applyAlignment="1" applyProtection="1">
      <alignment horizontal="left" vertical="center"/>
    </xf>
    <xf numFmtId="0" fontId="0" fillId="7" borderId="23" xfId="0" applyFill="1" applyBorder="1" applyProtection="1"/>
    <xf numFmtId="0" fontId="0" fillId="7" borderId="18" xfId="0" applyFill="1" applyBorder="1" applyProtection="1"/>
    <xf numFmtId="0" fontId="19" fillId="7" borderId="18" xfId="0" applyFont="1" applyFill="1" applyBorder="1" applyAlignment="1" applyProtection="1">
      <alignment horizontal="center" wrapText="1"/>
    </xf>
    <xf numFmtId="0" fontId="5" fillId="7" borderId="18" xfId="0" applyFont="1" applyFill="1" applyBorder="1" applyAlignment="1" applyProtection="1">
      <alignment horizontal="left" vertical="center" wrapText="1"/>
    </xf>
    <xf numFmtId="0" fontId="12" fillId="7" borderId="18" xfId="0" applyFont="1" applyFill="1" applyBorder="1" applyAlignment="1" applyProtection="1">
      <alignment horizontal="center" vertical="center" wrapText="1"/>
    </xf>
    <xf numFmtId="0" fontId="7" fillId="7" borderId="18" xfId="0" applyFont="1" applyFill="1" applyBorder="1" applyAlignment="1" applyProtection="1">
      <alignment horizontal="center" vertical="center" wrapText="1"/>
    </xf>
    <xf numFmtId="0" fontId="0" fillId="7" borderId="16" xfId="0" applyFill="1" applyBorder="1" applyProtection="1"/>
    <xf numFmtId="0" fontId="0" fillId="7" borderId="36" xfId="0" applyFill="1" applyBorder="1" applyProtection="1"/>
    <xf numFmtId="0" fontId="0" fillId="7" borderId="37" xfId="0" applyFill="1" applyBorder="1" applyProtection="1"/>
    <xf numFmtId="0" fontId="12" fillId="13" borderId="28" xfId="0" applyFont="1" applyFill="1" applyBorder="1" applyAlignment="1">
      <alignment horizontal="center" vertical="center" wrapText="1"/>
    </xf>
    <xf numFmtId="0" fontId="19" fillId="7" borderId="36" xfId="0" applyFont="1" applyFill="1" applyBorder="1" applyAlignment="1" applyProtection="1">
      <alignment horizontal="center" wrapText="1"/>
    </xf>
    <xf numFmtId="0" fontId="5" fillId="7" borderId="36" xfId="0" applyFont="1" applyFill="1" applyBorder="1" applyAlignment="1" applyProtection="1">
      <alignment horizontal="left" vertical="center" wrapText="1"/>
    </xf>
    <xf numFmtId="0" fontId="12" fillId="7" borderId="36" xfId="0" applyFont="1" applyFill="1" applyBorder="1" applyAlignment="1" applyProtection="1">
      <alignment horizontal="center" vertical="center" wrapText="1"/>
    </xf>
    <xf numFmtId="0" fontId="7" fillId="7" borderId="36" xfId="0" applyFont="1" applyFill="1" applyBorder="1" applyAlignment="1" applyProtection="1">
      <alignment horizontal="center" vertical="center" wrapText="1"/>
    </xf>
    <xf numFmtId="0" fontId="0" fillId="0" borderId="36" xfId="0" applyBorder="1" applyProtection="1"/>
    <xf numFmtId="0" fontId="0" fillId="0" borderId="23" xfId="0" applyBorder="1" applyProtection="1"/>
    <xf numFmtId="0" fontId="0" fillId="4" borderId="15" xfId="0" applyFill="1" applyBorder="1" applyAlignment="1" applyProtection="1">
      <alignment horizontal="center" vertical="center"/>
    </xf>
    <xf numFmtId="0" fontId="0" fillId="4" borderId="15" xfId="0" applyFill="1" applyBorder="1" applyAlignment="1" applyProtection="1">
      <alignment horizontal="left" vertical="center"/>
    </xf>
    <xf numFmtId="0" fontId="0" fillId="4" borderId="37" xfId="0" applyFill="1" applyBorder="1" applyProtection="1"/>
    <xf numFmtId="0" fontId="6" fillId="4" borderId="17"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0" fillId="4" borderId="0" xfId="0" applyFill="1" applyBorder="1" applyAlignment="1" applyProtection="1">
      <alignment horizontal="center" vertical="center"/>
      <protection locked="0"/>
    </xf>
    <xf numFmtId="0" fontId="0" fillId="4" borderId="0" xfId="0" applyFill="1" applyBorder="1" applyAlignment="1" applyProtection="1">
      <alignment horizontal="left" vertical="center"/>
      <protection locked="0"/>
    </xf>
    <xf numFmtId="0" fontId="6" fillId="4" borderId="1" xfId="0" applyFont="1" applyFill="1" applyBorder="1" applyAlignment="1" applyProtection="1">
      <alignment horizontal="center" vertical="center" wrapText="1"/>
    </xf>
    <xf numFmtId="0" fontId="7" fillId="4" borderId="2" xfId="0" applyFont="1" applyFill="1" applyBorder="1" applyAlignment="1" applyProtection="1">
      <alignment horizontal="center" vertical="center" wrapText="1"/>
    </xf>
    <xf numFmtId="0" fontId="0" fillId="4" borderId="2" xfId="0" applyFill="1" applyBorder="1" applyAlignment="1" applyProtection="1">
      <alignment horizontal="center" vertical="center"/>
      <protection locked="0"/>
    </xf>
    <xf numFmtId="0" fontId="0" fillId="4" borderId="2"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8" xfId="0" applyFill="1" applyBorder="1" applyAlignment="1" applyProtection="1">
      <alignment horizontal="left" vertical="center"/>
      <protection locked="0"/>
    </xf>
    <xf numFmtId="0" fontId="6" fillId="0" borderId="40" xfId="0" applyFont="1" applyBorder="1" applyAlignment="1" applyProtection="1">
      <alignment horizontal="left" vertical="center" wrapText="1"/>
    </xf>
    <xf numFmtId="0" fontId="0" fillId="0" borderId="37" xfId="0" applyBorder="1" applyProtection="1"/>
    <xf numFmtId="0" fontId="0" fillId="0" borderId="1" xfId="0" applyBorder="1" applyProtection="1"/>
    <xf numFmtId="0" fontId="7" fillId="14" borderId="2" xfId="0" applyFont="1" applyFill="1" applyBorder="1" applyAlignment="1" applyProtection="1">
      <alignment horizontal="center" vertical="center" wrapText="1"/>
    </xf>
    <xf numFmtId="0" fontId="0" fillId="0" borderId="2" xfId="0" applyBorder="1" applyAlignment="1" applyProtection="1">
      <alignment horizontal="center" vertical="center"/>
    </xf>
    <xf numFmtId="0" fontId="0" fillId="0" borderId="2" xfId="0" applyBorder="1" applyAlignment="1" applyProtection="1">
      <alignment horizontal="left" vertical="center"/>
    </xf>
    <xf numFmtId="0" fontId="0" fillId="0" borderId="3" xfId="0" applyBorder="1" applyAlignment="1" applyProtection="1">
      <alignment horizontal="left" vertical="center"/>
    </xf>
    <xf numFmtId="0" fontId="6" fillId="0" borderId="21" xfId="0" applyFont="1" applyBorder="1" applyAlignment="1" applyProtection="1">
      <alignment horizontal="center" vertical="center" wrapText="1"/>
    </xf>
    <xf numFmtId="0" fontId="7" fillId="0" borderId="34" xfId="0" applyFont="1" applyFill="1" applyBorder="1" applyAlignment="1" applyProtection="1">
      <alignment horizontal="center" vertical="center" wrapText="1"/>
    </xf>
    <xf numFmtId="0" fontId="7" fillId="0" borderId="32" xfId="0" applyFont="1" applyFill="1" applyBorder="1" applyAlignment="1" applyProtection="1">
      <alignment horizontal="center" vertical="center" wrapText="1"/>
    </xf>
    <xf numFmtId="0" fontId="7" fillId="0" borderId="8" xfId="0" applyFont="1" applyFill="1" applyBorder="1" applyAlignment="1" applyProtection="1">
      <alignment horizontal="center" vertical="center" wrapText="1"/>
    </xf>
    <xf numFmtId="0" fontId="7" fillId="14" borderId="8" xfId="0" applyFont="1" applyFill="1" applyBorder="1" applyAlignment="1" applyProtection="1">
      <alignment horizontal="center" vertical="center" wrapText="1"/>
    </xf>
    <xf numFmtId="0" fontId="6" fillId="4" borderId="16" xfId="0" applyNumberFormat="1" applyFont="1" applyFill="1" applyBorder="1" applyAlignment="1">
      <alignment horizontal="center" vertical="center"/>
    </xf>
    <xf numFmtId="0" fontId="6" fillId="2" borderId="0" xfId="1" applyNumberFormat="1" applyFont="1" applyFill="1" applyAlignment="1">
      <alignment vertical="center"/>
    </xf>
    <xf numFmtId="0" fontId="6" fillId="2" borderId="0" xfId="1" applyNumberFormat="1" applyFont="1" applyFill="1" applyAlignment="1">
      <alignment horizontal="center" vertical="center"/>
    </xf>
    <xf numFmtId="0" fontId="6" fillId="2" borderId="0" xfId="1" applyNumberFormat="1" applyFont="1" applyFill="1" applyBorder="1" applyAlignment="1">
      <alignment vertical="center"/>
    </xf>
    <xf numFmtId="0" fontId="6" fillId="2" borderId="0" xfId="1" applyFont="1" applyFill="1"/>
    <xf numFmtId="0" fontId="38" fillId="3" borderId="6" xfId="0" applyNumberFormat="1" applyFont="1" applyFill="1" applyBorder="1" applyAlignment="1">
      <alignment horizontal="center" vertical="center" wrapText="1"/>
    </xf>
    <xf numFmtId="0" fontId="38" fillId="3" borderId="7" xfId="0" applyNumberFormat="1" applyFont="1" applyFill="1" applyBorder="1" applyAlignment="1">
      <alignment horizontal="center" vertical="center" wrapText="1"/>
    </xf>
    <xf numFmtId="0" fontId="38" fillId="3" borderId="11" xfId="0" applyNumberFormat="1" applyFont="1" applyFill="1" applyBorder="1" applyAlignment="1">
      <alignment horizontal="center" vertical="center" wrapText="1"/>
    </xf>
    <xf numFmtId="0" fontId="38" fillId="3" borderId="8" xfId="0" applyNumberFormat="1" applyFont="1" applyFill="1" applyBorder="1" applyAlignment="1">
      <alignment horizontal="center" vertical="center" wrapText="1"/>
    </xf>
    <xf numFmtId="0" fontId="7" fillId="14" borderId="5" xfId="0" applyFont="1" applyFill="1" applyBorder="1" applyAlignment="1" applyProtection="1">
      <alignment horizontal="center" vertical="center" wrapText="1"/>
    </xf>
    <xf numFmtId="0" fontId="6" fillId="0" borderId="40" xfId="0" applyFont="1" applyBorder="1" applyAlignment="1" applyProtection="1">
      <alignment horizontal="center" vertical="center" wrapText="1"/>
    </xf>
    <xf numFmtId="0" fontId="6" fillId="0" borderId="31" xfId="0" applyFont="1" applyFill="1" applyBorder="1" applyAlignment="1" applyProtection="1">
      <alignment horizontal="center" vertical="center" wrapText="1"/>
    </xf>
    <xf numFmtId="0" fontId="6" fillId="0" borderId="29" xfId="0" applyFont="1" applyFill="1" applyBorder="1" applyAlignment="1" applyProtection="1">
      <alignment horizontal="center" vertical="center" wrapText="1"/>
    </xf>
    <xf numFmtId="0" fontId="6" fillId="0" borderId="21" xfId="0" applyFont="1" applyFill="1" applyBorder="1" applyAlignment="1" applyProtection="1">
      <alignment horizontal="left" vertical="center" wrapText="1"/>
    </xf>
    <xf numFmtId="0" fontId="19" fillId="11" borderId="10" xfId="1" applyFont="1" applyFill="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42" xfId="0" applyFont="1" applyBorder="1" applyAlignment="1" applyProtection="1">
      <alignment horizontal="center" vertical="center" wrapText="1"/>
    </xf>
    <xf numFmtId="0" fontId="6" fillId="0" borderId="41" xfId="0" applyFont="1" applyBorder="1" applyAlignment="1" applyProtection="1">
      <alignment horizontal="center" vertical="center" wrapText="1"/>
    </xf>
    <xf numFmtId="0" fontId="6" fillId="4" borderId="2"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wrapText="1"/>
    </xf>
    <xf numFmtId="0" fontId="0" fillId="0" borderId="6" xfId="0" applyBorder="1" applyAlignment="1" applyProtection="1">
      <alignment horizontal="center" vertical="center"/>
      <protection locked="0"/>
    </xf>
    <xf numFmtId="0" fontId="0" fillId="0" borderId="8" xfId="0" applyBorder="1" applyAlignment="1" applyProtection="1">
      <alignment horizontal="left" vertical="center"/>
      <protection locked="0"/>
    </xf>
    <xf numFmtId="0" fontId="0" fillId="0" borderId="1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left" vertical="center"/>
      <protection locked="0"/>
    </xf>
    <xf numFmtId="0" fontId="6" fillId="0" borderId="11" xfId="0" applyFont="1" applyBorder="1" applyAlignment="1" applyProtection="1">
      <alignment horizontal="center" vertical="center" wrapText="1"/>
    </xf>
    <xf numFmtId="0" fontId="0" fillId="0" borderId="16" xfId="0" applyBorder="1" applyProtection="1"/>
    <xf numFmtId="0" fontId="12" fillId="13" borderId="30" xfId="1" applyFont="1" applyFill="1" applyBorder="1" applyAlignment="1">
      <alignment horizontal="center" vertical="center" wrapText="1"/>
    </xf>
    <xf numFmtId="0" fontId="6" fillId="0" borderId="47" xfId="0" applyFont="1" applyBorder="1" applyAlignment="1" applyProtection="1">
      <alignment horizontal="center" vertical="center" wrapText="1"/>
    </xf>
    <xf numFmtId="0" fontId="6" fillId="0" borderId="39" xfId="0" applyFont="1" applyBorder="1" applyAlignment="1" applyProtection="1">
      <alignment horizontal="center" vertical="center" wrapText="1"/>
    </xf>
    <xf numFmtId="0" fontId="6" fillId="0" borderId="45" xfId="0" applyFont="1" applyBorder="1" applyAlignment="1" applyProtection="1">
      <alignment horizontal="left" vertical="center" wrapText="1"/>
    </xf>
    <xf numFmtId="0" fontId="6" fillId="0" borderId="49" xfId="0" applyFont="1" applyBorder="1" applyAlignment="1" applyProtection="1">
      <alignment horizontal="left" vertical="center" wrapText="1"/>
    </xf>
    <xf numFmtId="0" fontId="0" fillId="7" borderId="14" xfId="0" applyFill="1" applyBorder="1" applyProtection="1"/>
    <xf numFmtId="0" fontId="7" fillId="0" borderId="13" xfId="0" applyFont="1" applyFill="1" applyBorder="1" applyAlignment="1" applyProtection="1">
      <alignment horizontal="center" vertical="center" wrapText="1"/>
    </xf>
    <xf numFmtId="0" fontId="0" fillId="0" borderId="42" xfId="0" applyBorder="1" applyProtection="1"/>
    <xf numFmtId="0" fontId="6" fillId="0" borderId="31" xfId="0" applyFont="1" applyBorder="1" applyAlignment="1">
      <alignment horizontal="center" vertical="center" wrapText="1"/>
    </xf>
    <xf numFmtId="0" fontId="6" fillId="0" borderId="31" xfId="0" applyFont="1" applyBorder="1" applyAlignment="1" applyProtection="1">
      <alignment horizontal="center" vertical="center" wrapText="1"/>
    </xf>
    <xf numFmtId="0" fontId="6" fillId="0" borderId="31" xfId="0" applyFont="1" applyBorder="1" applyAlignment="1" applyProtection="1">
      <alignment horizontal="left" vertical="center" wrapText="1"/>
    </xf>
    <xf numFmtId="0" fontId="5" fillId="0" borderId="1" xfId="1" applyNumberFormat="1" applyFill="1" applyBorder="1"/>
    <xf numFmtId="0" fontId="5" fillId="0" borderId="2" xfId="1" applyNumberFormat="1" applyFill="1" applyBorder="1"/>
    <xf numFmtId="0" fontId="5" fillId="0" borderId="3" xfId="1" applyNumberFormat="1" applyFill="1" applyBorder="1"/>
    <xf numFmtId="0" fontId="5" fillId="5" borderId="0" xfId="1" applyFill="1"/>
    <xf numFmtId="0" fontId="12" fillId="5" borderId="0" xfId="1" applyNumberFormat="1" applyFont="1" applyFill="1" applyBorder="1" applyAlignment="1">
      <alignment vertical="center"/>
    </xf>
    <xf numFmtId="0" fontId="5" fillId="0" borderId="17" xfId="1" applyNumberFormat="1" applyFill="1" applyBorder="1"/>
    <xf numFmtId="0" fontId="5" fillId="0" borderId="0" xfId="1" applyNumberFormat="1" applyFill="1" applyBorder="1"/>
    <xf numFmtId="0" fontId="5" fillId="0" borderId="18" xfId="1" applyNumberFormat="1" applyFill="1" applyBorder="1"/>
    <xf numFmtId="0" fontId="12" fillId="0" borderId="23" xfId="1" applyNumberFormat="1" applyFont="1" applyFill="1" applyBorder="1" applyAlignment="1">
      <alignment horizontal="center" vertical="center" wrapText="1"/>
    </xf>
    <xf numFmtId="0" fontId="13" fillId="5" borderId="24" xfId="1" applyNumberFormat="1" applyFont="1" applyFill="1" applyBorder="1" applyAlignment="1">
      <alignment horizontal="center" vertical="center" wrapText="1"/>
    </xf>
    <xf numFmtId="0" fontId="11" fillId="5" borderId="23" xfId="1" applyNumberFormat="1" applyFont="1" applyFill="1" applyBorder="1" applyAlignment="1">
      <alignment horizontal="center" vertical="center" wrapText="1"/>
    </xf>
    <xf numFmtId="0" fontId="40" fillId="0" borderId="16" xfId="1" quotePrefix="1" applyNumberFormat="1" applyFont="1" applyFill="1" applyBorder="1" applyAlignment="1">
      <alignment horizontal="center" vertical="center" wrapText="1"/>
    </xf>
    <xf numFmtId="0" fontId="5" fillId="0" borderId="14" xfId="1" applyNumberFormat="1" applyFill="1" applyBorder="1"/>
    <xf numFmtId="0" fontId="5" fillId="0" borderId="15" xfId="1" applyNumberFormat="1" applyFill="1" applyBorder="1"/>
    <xf numFmtId="0" fontId="5" fillId="0" borderId="16" xfId="1" applyNumberFormat="1" applyFill="1" applyBorder="1"/>
    <xf numFmtId="0" fontId="5" fillId="6" borderId="0" xfId="1" applyFill="1"/>
    <xf numFmtId="0" fontId="7" fillId="16" borderId="8" xfId="0" applyFont="1" applyFill="1" applyBorder="1" applyAlignment="1" applyProtection="1">
      <alignment horizontal="center" vertical="center" wrapText="1"/>
    </xf>
    <xf numFmtId="0" fontId="6" fillId="2" borderId="0" xfId="1" applyNumberFormat="1" applyFont="1" applyFill="1" applyAlignment="1">
      <alignment vertical="center" wrapText="1"/>
    </xf>
    <xf numFmtId="0" fontId="6" fillId="0" borderId="31" xfId="0" applyFont="1" applyBorder="1" applyAlignment="1">
      <alignment horizontal="left" vertical="center" wrapText="1"/>
    </xf>
    <xf numFmtId="0" fontId="36" fillId="0" borderId="6" xfId="0" applyFont="1" applyBorder="1" applyAlignment="1">
      <alignment horizontal="center" vertical="center" wrapText="1"/>
    </xf>
    <xf numFmtId="14" fontId="36" fillId="0" borderId="7" xfId="0" applyNumberFormat="1" applyFont="1" applyBorder="1" applyAlignment="1">
      <alignment horizontal="center" vertical="center"/>
    </xf>
    <xf numFmtId="0" fontId="36" fillId="0" borderId="11" xfId="0" applyFont="1" applyBorder="1" applyAlignment="1">
      <alignment horizontal="left" vertical="center" wrapText="1"/>
    </xf>
    <xf numFmtId="0" fontId="36" fillId="0" borderId="8" xfId="0" applyFont="1" applyBorder="1" applyAlignment="1">
      <alignment vertical="center" wrapText="1"/>
    </xf>
    <xf numFmtId="0" fontId="11" fillId="5" borderId="23" xfId="0" applyFont="1" applyFill="1" applyBorder="1" applyAlignment="1">
      <alignment horizontal="center" vertical="center" wrapText="1"/>
    </xf>
    <xf numFmtId="0" fontId="14" fillId="0" borderId="16" xfId="0" applyFont="1" applyBorder="1" applyAlignment="1">
      <alignment vertical="center" wrapText="1"/>
    </xf>
    <xf numFmtId="0" fontId="40" fillId="0" borderId="16" xfId="0" applyFont="1" applyBorder="1" applyAlignment="1">
      <alignment horizontal="center" vertical="center" wrapText="1"/>
    </xf>
    <xf numFmtId="0" fontId="30" fillId="0" borderId="30" xfId="18" applyFill="1" applyBorder="1" applyAlignment="1">
      <alignment horizontal="center" vertical="center"/>
    </xf>
    <xf numFmtId="0" fontId="13" fillId="13" borderId="30" xfId="0" applyFont="1" applyFill="1" applyBorder="1" applyAlignment="1">
      <alignment horizontal="center" vertical="center" wrapText="1"/>
    </xf>
    <xf numFmtId="0" fontId="13" fillId="13" borderId="30" xfId="1" applyFont="1" applyFill="1" applyBorder="1" applyAlignment="1">
      <alignment horizontal="center" vertical="center" wrapText="1"/>
    </xf>
    <xf numFmtId="0" fontId="13" fillId="13" borderId="28" xfId="0" applyFont="1" applyFill="1" applyBorder="1" applyAlignment="1">
      <alignment horizontal="center" vertical="center" wrapText="1"/>
    </xf>
    <xf numFmtId="0" fontId="6" fillId="0" borderId="31" xfId="0" applyFont="1" applyFill="1" applyBorder="1" applyAlignment="1">
      <alignment horizontal="left" vertical="center" wrapText="1"/>
    </xf>
    <xf numFmtId="0" fontId="30" fillId="0" borderId="16" xfId="18" applyFill="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46" xfId="0" applyFont="1" applyBorder="1" applyAlignment="1">
      <alignment horizontal="center" vertical="center" wrapText="1"/>
    </xf>
    <xf numFmtId="0" fontId="13" fillId="13" borderId="27" xfId="0" applyFont="1" applyFill="1" applyBorder="1" applyAlignment="1">
      <alignment horizontal="center" vertical="center" wrapText="1"/>
    </xf>
    <xf numFmtId="0" fontId="36" fillId="0" borderId="31" xfId="0" applyFont="1" applyBorder="1" applyAlignment="1">
      <alignment horizontal="left" vertical="center" wrapText="1"/>
    </xf>
    <xf numFmtId="0" fontId="7" fillId="14" borderId="8" xfId="0" applyFont="1" applyFill="1" applyBorder="1" applyAlignment="1">
      <alignment horizontal="center" vertical="center" wrapText="1"/>
    </xf>
    <xf numFmtId="0" fontId="5" fillId="0" borderId="1" xfId="1" applyBorder="1"/>
    <xf numFmtId="0" fontId="5" fillId="0" borderId="2" xfId="1" applyBorder="1" applyAlignment="1">
      <alignment horizontal="left"/>
    </xf>
    <xf numFmtId="0" fontId="5" fillId="0" borderId="2" xfId="1" applyBorder="1"/>
    <xf numFmtId="0" fontId="5" fillId="0" borderId="3" xfId="1" applyBorder="1"/>
    <xf numFmtId="0" fontId="5" fillId="0" borderId="17" xfId="1" applyBorder="1"/>
    <xf numFmtId="0" fontId="44" fillId="0" borderId="30" xfId="1" applyFont="1" applyBorder="1" applyAlignment="1">
      <alignment horizontal="center" vertical="top" wrapText="1"/>
    </xf>
    <xf numFmtId="0" fontId="5" fillId="0" borderId="18" xfId="1" applyBorder="1"/>
    <xf numFmtId="0" fontId="12" fillId="0" borderId="17" xfId="1" applyFont="1" applyBorder="1" applyAlignment="1">
      <alignment horizontal="center" vertical="center" wrapText="1"/>
    </xf>
    <xf numFmtId="0" fontId="11" fillId="5" borderId="30" xfId="1" applyFont="1" applyFill="1" applyBorder="1" applyAlignment="1">
      <alignment horizontal="left" vertical="center" wrapText="1"/>
    </xf>
    <xf numFmtId="0" fontId="40" fillId="0" borderId="23" xfId="1" applyFont="1" applyBorder="1" applyAlignment="1">
      <alignment horizontal="center" vertical="top" wrapText="1"/>
    </xf>
    <xf numFmtId="3" fontId="40" fillId="0" borderId="23" xfId="1" applyNumberFormat="1" applyFont="1" applyBorder="1" applyAlignment="1">
      <alignment horizontal="center" vertical="center" wrapText="1"/>
    </xf>
    <xf numFmtId="1" fontId="40" fillId="0" borderId="23" xfId="1" applyNumberFormat="1" applyFont="1" applyBorder="1" applyAlignment="1">
      <alignment horizontal="center" vertical="center" wrapText="1"/>
    </xf>
    <xf numFmtId="0" fontId="11" fillId="5" borderId="23" xfId="1" applyFont="1" applyFill="1" applyBorder="1" applyAlignment="1">
      <alignment horizontal="left" vertical="center" wrapText="1"/>
    </xf>
    <xf numFmtId="0" fontId="40" fillId="0" borderId="30" xfId="1" quotePrefix="1" applyFont="1" applyBorder="1" applyAlignment="1">
      <alignment horizontal="center" vertical="center" wrapText="1"/>
    </xf>
    <xf numFmtId="16" fontId="40" fillId="16" borderId="23" xfId="1" quotePrefix="1" applyNumberFormat="1" applyFont="1" applyFill="1" applyBorder="1" applyAlignment="1">
      <alignment horizontal="center" vertical="center" wrapText="1"/>
    </xf>
    <xf numFmtId="0" fontId="40" fillId="0" borderId="23" xfId="1" quotePrefix="1" applyFont="1" applyBorder="1" applyAlignment="1">
      <alignment horizontal="center" vertical="center" wrapText="1"/>
    </xf>
    <xf numFmtId="0" fontId="12" fillId="0" borderId="36" xfId="1" applyFont="1" applyBorder="1" applyAlignment="1">
      <alignment horizontal="center" vertical="center" wrapText="1"/>
    </xf>
    <xf numFmtId="16" fontId="40" fillId="0" borderId="23" xfId="1" quotePrefix="1" applyNumberFormat="1" applyFont="1" applyBorder="1" applyAlignment="1">
      <alignment horizontal="center" vertical="center" wrapText="1"/>
    </xf>
    <xf numFmtId="0" fontId="5" fillId="0" borderId="0" xfId="1"/>
    <xf numFmtId="176" fontId="40" fillId="0" borderId="30" xfId="1" applyNumberFormat="1" applyFont="1" applyBorder="1" applyAlignment="1">
      <alignment horizontal="center" vertical="center" wrapText="1"/>
    </xf>
    <xf numFmtId="16" fontId="40" fillId="16" borderId="30" xfId="1" quotePrefix="1" applyNumberFormat="1" applyFont="1" applyFill="1" applyBorder="1" applyAlignment="1">
      <alignment horizontal="center" vertical="center" wrapText="1"/>
    </xf>
    <xf numFmtId="0" fontId="5" fillId="6" borderId="0" xfId="1" applyFill="1" applyAlignment="1">
      <alignment horizontal="left"/>
    </xf>
    <xf numFmtId="0" fontId="5" fillId="6" borderId="0" xfId="1" quotePrefix="1" applyFill="1" applyAlignment="1">
      <alignment horizontal="left"/>
    </xf>
    <xf numFmtId="0" fontId="0" fillId="7" borderId="2" xfId="0" applyFill="1" applyBorder="1"/>
    <xf numFmtId="0" fontId="0" fillId="7" borderId="37" xfId="0" applyFill="1" applyBorder="1"/>
    <xf numFmtId="0" fontId="19" fillId="7" borderId="0" xfId="0" applyFont="1" applyFill="1" applyAlignment="1">
      <alignment horizontal="center" wrapText="1"/>
    </xf>
    <xf numFmtId="0" fontId="19" fillId="7" borderId="18" xfId="0" applyFont="1" applyFill="1" applyBorder="1" applyAlignment="1">
      <alignment horizontal="center" wrapText="1"/>
    </xf>
    <xf numFmtId="0" fontId="0" fillId="7" borderId="0" xfId="0" applyFill="1"/>
    <xf numFmtId="0" fontId="19" fillId="11" borderId="6" xfId="1" applyFont="1" applyFill="1" applyBorder="1" applyAlignment="1">
      <alignment horizontal="center" vertical="center" wrapText="1"/>
    </xf>
    <xf numFmtId="0" fontId="5" fillId="11" borderId="8" xfId="1" applyFill="1" applyBorder="1" applyAlignment="1">
      <alignment horizontal="center" vertical="center" wrapText="1"/>
    </xf>
    <xf numFmtId="0" fontId="19" fillId="11" borderId="10" xfId="1" applyFont="1" applyFill="1" applyBorder="1" applyAlignment="1">
      <alignment horizontal="center" vertical="center" wrapText="1"/>
    </xf>
    <xf numFmtId="0" fontId="0" fillId="7" borderId="18" xfId="0" applyFill="1" applyBorder="1"/>
    <xf numFmtId="0" fontId="5" fillId="7" borderId="0" xfId="0" applyFont="1" applyFill="1" applyAlignment="1">
      <alignment horizontal="left" vertical="center" wrapText="1"/>
    </xf>
    <xf numFmtId="0" fontId="5" fillId="7" borderId="18" xfId="0" applyFont="1" applyFill="1" applyBorder="1" applyAlignment="1">
      <alignment horizontal="left" vertical="center" wrapText="1"/>
    </xf>
    <xf numFmtId="0" fontId="5" fillId="11" borderId="6" xfId="1" applyFill="1" applyBorder="1" applyAlignment="1">
      <alignment horizontal="center" vertical="center" wrapText="1"/>
    </xf>
    <xf numFmtId="0" fontId="13" fillId="13" borderId="43" xfId="0" applyFont="1" applyFill="1" applyBorder="1" applyAlignment="1">
      <alignment horizontal="center" vertical="center" wrapText="1"/>
    </xf>
    <xf numFmtId="0" fontId="12" fillId="7" borderId="0" xfId="0" applyFont="1" applyFill="1" applyAlignment="1">
      <alignment horizontal="center" vertical="center" wrapText="1"/>
    </xf>
    <xf numFmtId="49" fontId="5" fillId="11" borderId="29" xfId="1" applyNumberFormat="1" applyFill="1" applyBorder="1" applyAlignment="1">
      <alignment horizontal="center" vertical="center" wrapText="1"/>
    </xf>
    <xf numFmtId="49" fontId="5" fillId="11" borderId="5" xfId="1" applyNumberFormat="1" applyFill="1" applyBorder="1" applyAlignment="1">
      <alignment horizontal="center" vertical="center" wrapText="1"/>
    </xf>
    <xf numFmtId="49" fontId="5" fillId="11" borderId="4" xfId="1" applyNumberFormat="1" applyFill="1" applyBorder="1" applyAlignment="1">
      <alignment horizontal="center" vertical="center" wrapText="1"/>
    </xf>
    <xf numFmtId="0" fontId="12" fillId="7" borderId="18" xfId="0" applyFont="1" applyFill="1" applyBorder="1" applyAlignment="1">
      <alignment horizontal="center" vertical="center" wrapText="1"/>
    </xf>
    <xf numFmtId="0" fontId="7" fillId="7" borderId="18" xfId="0" applyFont="1" applyFill="1" applyBorder="1" applyAlignment="1">
      <alignment horizontal="center" vertical="center" wrapText="1"/>
    </xf>
    <xf numFmtId="0" fontId="7" fillId="7" borderId="0" xfId="0" applyFont="1" applyFill="1" applyAlignment="1">
      <alignment horizontal="center" vertical="center" wrapText="1"/>
    </xf>
    <xf numFmtId="0" fontId="6" fillId="0" borderId="11" xfId="0" applyFont="1" applyBorder="1" applyAlignment="1">
      <alignment horizontal="left" vertical="center" wrapText="1"/>
    </xf>
    <xf numFmtId="0" fontId="6" fillId="0" borderId="49" xfId="0" applyFont="1" applyBorder="1" applyAlignment="1">
      <alignment horizontal="left" vertical="center" wrapText="1"/>
    </xf>
    <xf numFmtId="0" fontId="7" fillId="0" borderId="32" xfId="0" applyFont="1" applyBorder="1" applyAlignment="1">
      <alignment horizontal="center" vertical="center" wrapText="1"/>
    </xf>
    <xf numFmtId="0" fontId="7" fillId="0" borderId="13" xfId="0" applyFont="1" applyBorder="1" applyAlignment="1">
      <alignment horizontal="center" vertical="center" wrapText="1"/>
    </xf>
    <xf numFmtId="0" fontId="0" fillId="0" borderId="42" xfId="0" applyBorder="1"/>
    <xf numFmtId="0" fontId="0" fillId="0" borderId="23" xfId="0" applyBorder="1"/>
    <xf numFmtId="0" fontId="0" fillId="7" borderId="15" xfId="0" applyFill="1" applyBorder="1"/>
    <xf numFmtId="0" fontId="0" fillId="0" borderId="14" xfId="0" applyBorder="1"/>
    <xf numFmtId="0" fontId="0" fillId="0" borderId="15" xfId="0" applyBorder="1"/>
    <xf numFmtId="0" fontId="0" fillId="0" borderId="15" xfId="0" applyBorder="1" applyAlignment="1">
      <alignment horizontal="center" vertical="center"/>
    </xf>
    <xf numFmtId="0" fontId="0" fillId="0" borderId="15" xfId="0" applyBorder="1" applyAlignment="1">
      <alignment horizontal="left" vertical="center"/>
    </xf>
    <xf numFmtId="0" fontId="0" fillId="0" borderId="16" xfId="0" applyBorder="1" applyAlignment="1">
      <alignment horizontal="left" vertical="center"/>
    </xf>
    <xf numFmtId="0" fontId="0" fillId="7" borderId="23" xfId="0" applyFill="1" applyBorder="1"/>
    <xf numFmtId="0" fontId="0" fillId="7" borderId="14" xfId="0" applyFill="1" applyBorder="1"/>
    <xf numFmtId="0" fontId="0" fillId="0" borderId="16" xfId="0" applyBorder="1"/>
    <xf numFmtId="0" fontId="0" fillId="7" borderId="16" xfId="0" applyFill="1" applyBorder="1"/>
    <xf numFmtId="0" fontId="0" fillId="6" borderId="0" xfId="0" applyFill="1" applyAlignment="1">
      <alignment horizontal="center" vertical="center"/>
    </xf>
    <xf numFmtId="0" fontId="0" fillId="6" borderId="0" xfId="0" applyFill="1" applyAlignment="1">
      <alignment horizontal="left" vertical="center"/>
    </xf>
    <xf numFmtId="0" fontId="14" fillId="0" borderId="16" xfId="0" applyFont="1" applyBorder="1" applyAlignment="1">
      <alignment horizontal="center" vertical="center" wrapText="1"/>
    </xf>
    <xf numFmtId="0" fontId="44" fillId="0" borderId="16" xfId="0" quotePrefix="1" applyFont="1" applyFill="1" applyBorder="1" applyAlignment="1">
      <alignment horizontal="center" vertical="center" wrapText="1"/>
    </xf>
    <xf numFmtId="0" fontId="0" fillId="6" borderId="0" xfId="0" applyFill="1" applyAlignment="1" applyProtection="1">
      <alignment vertical="center" wrapText="1"/>
    </xf>
    <xf numFmtId="0" fontId="19" fillId="6" borderId="0" xfId="0" applyFont="1" applyFill="1" applyAlignment="1" applyProtection="1">
      <alignment vertical="center" wrapText="1"/>
    </xf>
    <xf numFmtId="0" fontId="6" fillId="0" borderId="49" xfId="0" applyFont="1" applyBorder="1" applyAlignment="1">
      <alignment horizontal="center" vertical="center" wrapText="1"/>
    </xf>
    <xf numFmtId="0" fontId="45" fillId="0" borderId="9" xfId="0" applyFont="1" applyBorder="1" applyAlignment="1">
      <alignment vertical="center" wrapText="1"/>
    </xf>
    <xf numFmtId="0" fontId="19" fillId="11" borderId="10" xfId="1" applyFont="1" applyFill="1" applyBorder="1" applyAlignment="1" applyProtection="1">
      <alignment horizontal="center" vertical="center" wrapText="1"/>
    </xf>
    <xf numFmtId="0" fontId="6" fillId="0" borderId="9" xfId="0" applyFont="1" applyBorder="1" applyAlignment="1" applyProtection="1">
      <alignment horizontal="center" vertical="center" wrapText="1"/>
    </xf>
    <xf numFmtId="0" fontId="0" fillId="0" borderId="0" xfId="0" applyAlignment="1">
      <alignment vertical="center"/>
    </xf>
    <xf numFmtId="0" fontId="19" fillId="6" borderId="0" xfId="0" applyFont="1" applyFill="1" applyAlignment="1">
      <alignment horizontal="center" vertical="center"/>
    </xf>
    <xf numFmtId="0" fontId="19" fillId="6" borderId="0" xfId="0" applyFont="1" applyFill="1" applyAlignment="1">
      <alignment horizontal="center" vertical="center" wrapText="1"/>
    </xf>
    <xf numFmtId="0" fontId="5" fillId="6" borderId="0" xfId="0" applyFont="1" applyFill="1" applyAlignment="1">
      <alignment horizontal="center" vertical="center"/>
    </xf>
    <xf numFmtId="0" fontId="6" fillId="0" borderId="48" xfId="0" applyFont="1" applyBorder="1" applyAlignment="1">
      <alignment horizontal="left" vertical="center" wrapText="1"/>
    </xf>
    <xf numFmtId="0" fontId="6" fillId="0" borderId="32" xfId="0" applyFont="1" applyBorder="1" applyAlignment="1">
      <alignment horizontal="left" vertical="center" wrapText="1"/>
    </xf>
    <xf numFmtId="0" fontId="0" fillId="16" borderId="0" xfId="0" applyFill="1" applyAlignment="1">
      <alignment horizontal="center" vertical="center"/>
    </xf>
    <xf numFmtId="0" fontId="19" fillId="6" borderId="0" xfId="0" applyFont="1" applyFill="1" applyAlignment="1" applyProtection="1">
      <alignment horizontal="center" vertical="center"/>
    </xf>
    <xf numFmtId="0" fontId="19" fillId="6" borderId="0" xfId="0" applyFont="1" applyFill="1" applyAlignment="1" applyProtection="1">
      <alignment horizontal="center" vertical="center" wrapText="1"/>
    </xf>
    <xf numFmtId="0" fontId="6" fillId="0" borderId="48" xfId="0" applyFont="1" applyBorder="1" applyAlignment="1" applyProtection="1">
      <alignment horizontal="left" vertical="center" wrapText="1"/>
    </xf>
    <xf numFmtId="0" fontId="6" fillId="0" borderId="7" xfId="0" applyFont="1" applyFill="1" applyBorder="1" applyAlignment="1">
      <alignment horizontal="center" vertical="center" wrapText="1"/>
    </xf>
    <xf numFmtId="3" fontId="40" fillId="0" borderId="30" xfId="1" applyNumberFormat="1" applyFont="1" applyFill="1" applyBorder="1" applyAlignment="1">
      <alignment horizontal="center" vertical="center" wrapText="1"/>
    </xf>
    <xf numFmtId="0" fontId="46" fillId="0" borderId="31" xfId="0" applyFont="1" applyBorder="1" applyAlignment="1" applyProtection="1">
      <alignment horizontal="center" vertical="center" wrapText="1"/>
    </xf>
    <xf numFmtId="0" fontId="46" fillId="0" borderId="49" xfId="0" applyFont="1" applyBorder="1" applyAlignment="1">
      <alignment horizontal="left" vertical="center" wrapText="1"/>
    </xf>
    <xf numFmtId="3" fontId="40" fillId="0" borderId="30" xfId="1" quotePrefix="1" applyNumberFormat="1" applyFont="1" applyFill="1" applyBorder="1" applyAlignment="1">
      <alignment horizontal="center" vertical="center" wrapText="1"/>
    </xf>
    <xf numFmtId="0" fontId="19" fillId="9" borderId="1" xfId="1" applyFont="1" applyFill="1" applyBorder="1" applyAlignment="1" applyProtection="1">
      <alignment horizontal="center" vertical="center" wrapText="1"/>
    </xf>
    <xf numFmtId="0" fontId="19" fillId="9" borderId="2" xfId="1" applyFont="1" applyFill="1" applyBorder="1" applyAlignment="1" applyProtection="1">
      <alignment horizontal="center" vertical="center" wrapText="1"/>
    </xf>
    <xf numFmtId="0" fontId="15" fillId="10" borderId="1" xfId="0" applyFont="1" applyFill="1" applyBorder="1" applyAlignment="1" applyProtection="1">
      <alignment horizontal="center" vertical="center" wrapText="1"/>
    </xf>
    <xf numFmtId="0" fontId="15" fillId="10" borderId="3" xfId="0" applyFont="1" applyFill="1" applyBorder="1" applyAlignment="1" applyProtection="1">
      <alignment horizontal="center" vertical="center" wrapText="1"/>
    </xf>
    <xf numFmtId="0" fontId="15" fillId="10" borderId="17" xfId="0" applyFont="1" applyFill="1" applyBorder="1" applyAlignment="1" applyProtection="1">
      <alignment horizontal="center" vertical="center" wrapText="1"/>
    </xf>
    <xf numFmtId="0" fontId="15" fillId="10" borderId="18" xfId="0" applyFont="1" applyFill="1" applyBorder="1" applyAlignment="1" applyProtection="1">
      <alignment horizontal="center" vertical="center" wrapText="1"/>
    </xf>
    <xf numFmtId="0" fontId="15" fillId="10" borderId="14" xfId="0" applyFont="1" applyFill="1" applyBorder="1" applyAlignment="1" applyProtection="1">
      <alignment horizontal="center" vertical="center" wrapText="1"/>
    </xf>
    <xf numFmtId="0" fontId="15" fillId="10" borderId="16" xfId="0" applyFont="1" applyFill="1" applyBorder="1" applyAlignment="1" applyProtection="1">
      <alignment horizontal="center" vertical="center" wrapText="1"/>
    </xf>
    <xf numFmtId="0" fontId="19" fillId="9" borderId="25" xfId="1" applyFont="1" applyFill="1" applyBorder="1" applyAlignment="1" applyProtection="1">
      <alignment horizontal="center" vertical="center" wrapText="1"/>
    </xf>
    <xf numFmtId="0" fontId="19" fillId="9" borderId="26" xfId="1" applyFont="1" applyFill="1" applyBorder="1" applyAlignment="1" applyProtection="1">
      <alignment horizontal="center" vertical="center" wrapText="1"/>
    </xf>
    <xf numFmtId="0" fontId="19" fillId="11" borderId="19" xfId="1" applyFont="1" applyFill="1" applyBorder="1" applyAlignment="1" applyProtection="1">
      <alignment horizontal="center" vertical="center" wrapText="1"/>
    </xf>
    <xf numFmtId="0" fontId="19" fillId="11" borderId="20" xfId="1" applyFont="1" applyFill="1" applyBorder="1" applyAlignment="1" applyProtection="1">
      <alignment horizontal="center" vertical="center" wrapText="1"/>
    </xf>
    <xf numFmtId="0" fontId="19" fillId="11" borderId="10" xfId="1" applyFont="1" applyFill="1" applyBorder="1" applyAlignment="1" applyProtection="1">
      <alignment horizontal="center" vertical="center" wrapText="1"/>
    </xf>
    <xf numFmtId="0" fontId="19" fillId="11" borderId="8" xfId="1" applyFont="1" applyFill="1" applyBorder="1" applyAlignment="1" applyProtection="1">
      <alignment horizontal="center" vertical="center" wrapText="1"/>
    </xf>
    <xf numFmtId="0" fontId="19" fillId="11" borderId="10" xfId="1" applyFont="1" applyFill="1" applyBorder="1" applyAlignment="1">
      <alignment horizontal="center" vertical="center" wrapText="1"/>
    </xf>
    <xf numFmtId="0" fontId="13" fillId="5" borderId="24" xfId="1" applyFont="1" applyFill="1" applyBorder="1" applyAlignment="1">
      <alignment horizontal="center" vertical="center" wrapText="1"/>
    </xf>
    <xf numFmtId="0" fontId="5" fillId="0" borderId="15" xfId="1" applyBorder="1"/>
    <xf numFmtId="0" fontId="40" fillId="0" borderId="16" xfId="1" quotePrefix="1" applyFont="1" applyBorder="1" applyAlignment="1">
      <alignment horizontal="center" vertical="center" wrapText="1"/>
    </xf>
    <xf numFmtId="0" fontId="20" fillId="11" borderId="8" xfId="1" applyFont="1" applyFill="1" applyBorder="1" applyAlignment="1">
      <alignment horizontal="center" vertical="center" wrapText="1"/>
    </xf>
    <xf numFmtId="49" fontId="20" fillId="11" borderId="29" xfId="1" applyNumberFormat="1" applyFont="1" applyFill="1" applyBorder="1" applyAlignment="1">
      <alignment horizontal="center" vertical="center" wrapText="1"/>
    </xf>
    <xf numFmtId="49" fontId="20" fillId="11" borderId="5" xfId="1" applyNumberFormat="1" applyFont="1" applyFill="1" applyBorder="1" applyAlignment="1">
      <alignment horizontal="center" vertical="center" wrapText="1"/>
    </xf>
    <xf numFmtId="49" fontId="20" fillId="11" borderId="4" xfId="1" applyNumberFormat="1" applyFont="1" applyFill="1" applyBorder="1" applyAlignment="1">
      <alignment horizontal="center" vertical="center" wrapText="1"/>
    </xf>
    <xf numFmtId="49" fontId="20" fillId="11" borderId="29" xfId="1" applyNumberFormat="1" applyFont="1" applyFill="1" applyBorder="1" applyAlignment="1" applyProtection="1">
      <alignment horizontal="center" vertical="center" wrapText="1"/>
    </xf>
    <xf numFmtId="49" fontId="20" fillId="11" borderId="5" xfId="1" applyNumberFormat="1" applyFont="1" applyFill="1" applyBorder="1" applyAlignment="1" applyProtection="1">
      <alignment horizontal="center" vertical="center" wrapText="1"/>
    </xf>
    <xf numFmtId="49" fontId="20" fillId="11" borderId="4" xfId="1" applyNumberFormat="1" applyFont="1" applyFill="1" applyBorder="1" applyAlignment="1" applyProtection="1">
      <alignment horizontal="center" vertical="center" wrapText="1"/>
    </xf>
    <xf numFmtId="0" fontId="20" fillId="11" borderId="8" xfId="1" applyFont="1" applyFill="1" applyBorder="1" applyAlignment="1" applyProtection="1">
      <alignment horizontal="center" vertical="center" wrapText="1"/>
    </xf>
    <xf numFmtId="0" fontId="46" fillId="0" borderId="32" xfId="2" applyFont="1" applyBorder="1" applyAlignment="1">
      <alignment horizontal="left" vertical="center" wrapText="1"/>
    </xf>
    <xf numFmtId="0" fontId="46" fillId="0" borderId="32" xfId="2" applyFont="1" applyFill="1" applyBorder="1" applyAlignment="1">
      <alignment horizontal="left" vertical="center" wrapText="1"/>
    </xf>
    <xf numFmtId="0" fontId="0" fillId="0" borderId="37" xfId="0" applyBorder="1" applyAlignment="1" applyProtection="1">
      <alignment wrapText="1"/>
    </xf>
    <xf numFmtId="0" fontId="0" fillId="0" borderId="36" xfId="0" applyBorder="1" applyAlignment="1" applyProtection="1">
      <alignment wrapText="1"/>
    </xf>
    <xf numFmtId="0" fontId="0" fillId="0" borderId="23" xfId="0" applyBorder="1" applyAlignment="1" applyProtection="1">
      <alignment wrapText="1"/>
    </xf>
    <xf numFmtId="0" fontId="0" fillId="6" borderId="0" xfId="0" applyFill="1" applyAlignment="1" applyProtection="1">
      <alignment wrapText="1"/>
    </xf>
    <xf numFmtId="0" fontId="19" fillId="11" borderId="10" xfId="1" applyFont="1" applyFill="1" applyBorder="1" applyAlignment="1">
      <alignment horizontal="center" vertical="center" wrapText="1"/>
    </xf>
    <xf numFmtId="0" fontId="19" fillId="11" borderId="10" xfId="1" applyFont="1" applyFill="1" applyBorder="1" applyAlignment="1" applyProtection="1">
      <alignment horizontal="center" vertical="center" wrapText="1"/>
    </xf>
    <xf numFmtId="0" fontId="48" fillId="0" borderId="18" xfId="1" applyFont="1" applyBorder="1"/>
    <xf numFmtId="0" fontId="44" fillId="0" borderId="0" xfId="1" applyFont="1" applyBorder="1" applyAlignment="1">
      <alignment horizontal="center" vertical="top" wrapText="1"/>
    </xf>
    <xf numFmtId="0" fontId="40" fillId="0" borderId="30" xfId="1" applyFont="1" applyBorder="1" applyAlignment="1">
      <alignment horizontal="center" vertical="top" wrapText="1"/>
    </xf>
    <xf numFmtId="16" fontId="40" fillId="0" borderId="23" xfId="1" quotePrefix="1" applyNumberFormat="1" applyFont="1" applyFill="1" applyBorder="1" applyAlignment="1">
      <alignment horizontal="center" vertical="center" wrapText="1"/>
    </xf>
    <xf numFmtId="0" fontId="5" fillId="0" borderId="0" xfId="1" applyBorder="1" applyAlignment="1">
      <alignment horizontal="left"/>
    </xf>
    <xf numFmtId="0" fontId="5" fillId="0" borderId="0" xfId="1" applyBorder="1"/>
    <xf numFmtId="0" fontId="12" fillId="0" borderId="14" xfId="1" applyFont="1" applyBorder="1" applyAlignment="1">
      <alignment horizontal="center" vertical="center" wrapText="1"/>
    </xf>
    <xf numFmtId="0" fontId="5" fillId="0" borderId="15" xfId="1" applyBorder="1" applyAlignment="1">
      <alignment horizontal="left"/>
    </xf>
    <xf numFmtId="0" fontId="5" fillId="0" borderId="16" xfId="1" applyBorder="1"/>
    <xf numFmtId="0" fontId="6" fillId="0" borderId="6" xfId="0" applyFont="1" applyFill="1" applyBorder="1" applyAlignment="1" applyProtection="1">
      <alignment horizontal="center" vertical="center" wrapText="1"/>
    </xf>
    <xf numFmtId="0" fontId="21" fillId="11" borderId="8" xfId="1" applyFont="1" applyFill="1" applyBorder="1" applyAlignment="1" applyProtection="1">
      <alignment horizontal="center" vertical="center" wrapText="1"/>
    </xf>
    <xf numFmtId="0" fontId="6" fillId="0" borderId="9" xfId="0" applyFont="1" applyFill="1" applyBorder="1" applyAlignment="1" applyProtection="1">
      <alignment horizontal="center" vertical="center" wrapText="1"/>
    </xf>
    <xf numFmtId="0" fontId="7" fillId="0" borderId="20" xfId="0" applyFont="1" applyFill="1" applyBorder="1" applyAlignment="1" applyProtection="1">
      <alignment horizontal="center" vertical="center" wrapText="1"/>
    </xf>
    <xf numFmtId="0" fontId="7" fillId="14" borderId="13" xfId="0" applyFont="1" applyFill="1" applyBorder="1" applyAlignment="1" applyProtection="1">
      <alignment horizontal="center" vertical="center" wrapText="1"/>
    </xf>
    <xf numFmtId="0" fontId="7" fillId="14" borderId="55" xfId="0" applyFont="1" applyFill="1" applyBorder="1" applyAlignment="1" applyProtection="1">
      <alignment horizontal="center" vertical="center" wrapText="1"/>
    </xf>
    <xf numFmtId="0" fontId="6" fillId="0" borderId="49" xfId="0" applyFont="1" applyFill="1" applyBorder="1" applyAlignment="1" applyProtection="1">
      <alignment horizontal="center" vertical="center" wrapText="1"/>
    </xf>
    <xf numFmtId="0" fontId="6" fillId="0" borderId="34" xfId="0" applyFont="1" applyBorder="1" applyAlignment="1" applyProtection="1">
      <alignment horizontal="center" vertical="center" wrapText="1"/>
    </xf>
    <xf numFmtId="0" fontId="6" fillId="0" borderId="11" xfId="0" applyFont="1" applyFill="1" applyBorder="1" applyAlignment="1" applyProtection="1">
      <alignment horizontal="center" vertical="center" wrapText="1"/>
    </xf>
    <xf numFmtId="0" fontId="7" fillId="0" borderId="8" xfId="0" applyFont="1" applyFill="1" applyBorder="1" applyAlignment="1">
      <alignment horizontal="center" vertical="center" wrapText="1"/>
    </xf>
    <xf numFmtId="0" fontId="40" fillId="0" borderId="23" xfId="1" quotePrefix="1" applyFont="1" applyBorder="1" applyAlignment="1">
      <alignment horizontal="center" vertical="top" wrapText="1"/>
    </xf>
    <xf numFmtId="0" fontId="7" fillId="4" borderId="8" xfId="0" applyFont="1" applyFill="1" applyBorder="1" applyAlignment="1" applyProtection="1">
      <alignment horizontal="center" vertical="center" wrapText="1"/>
    </xf>
    <xf numFmtId="16" fontId="40" fillId="0" borderId="30" xfId="1" quotePrefix="1" applyNumberFormat="1" applyFont="1" applyFill="1" applyBorder="1" applyAlignment="1">
      <alignment horizontal="center" vertical="center" wrapText="1"/>
    </xf>
    <xf numFmtId="0" fontId="19" fillId="11" borderId="10" xfId="1" applyFont="1" applyFill="1" applyBorder="1" applyAlignment="1" applyProtection="1">
      <alignment horizontal="center" vertical="center" wrapText="1"/>
    </xf>
    <xf numFmtId="0" fontId="39" fillId="0" borderId="16" xfId="1" applyNumberFormat="1" applyFont="1" applyFill="1" applyBorder="1" applyAlignment="1">
      <alignment horizontal="center" vertical="center" wrapText="1"/>
    </xf>
    <xf numFmtId="0" fontId="7" fillId="14" borderId="8" xfId="0" quotePrefix="1" applyFont="1" applyFill="1" applyBorder="1" applyAlignment="1" applyProtection="1">
      <alignment horizontal="center" vertical="center" wrapText="1"/>
    </xf>
    <xf numFmtId="0" fontId="6" fillId="0" borderId="56" xfId="0" applyFont="1" applyBorder="1" applyAlignment="1">
      <alignment horizontal="center" vertical="center" wrapText="1"/>
    </xf>
    <xf numFmtId="0" fontId="6" fillId="0" borderId="49" xfId="0" applyFont="1" applyFill="1" applyBorder="1" applyAlignment="1" applyProtection="1">
      <alignment horizontal="left" vertical="center" wrapText="1"/>
    </xf>
    <xf numFmtId="0" fontId="6" fillId="0" borderId="49" xfId="0" applyFont="1" applyFill="1" applyBorder="1" applyAlignment="1">
      <alignment horizontal="left" vertical="center" wrapText="1"/>
    </xf>
    <xf numFmtId="0" fontId="36" fillId="0" borderId="31" xfId="0" applyFont="1" applyFill="1" applyBorder="1" applyAlignment="1">
      <alignment horizontal="left" vertical="center" wrapText="1"/>
    </xf>
    <xf numFmtId="0" fontId="13" fillId="13" borderId="57" xfId="0" applyFont="1" applyFill="1" applyBorder="1" applyAlignment="1">
      <alignment horizontal="center" vertical="center" wrapText="1"/>
    </xf>
    <xf numFmtId="0" fontId="6" fillId="0" borderId="12" xfId="0" applyFont="1" applyBorder="1" applyAlignment="1">
      <alignment horizontal="center" vertical="center" wrapText="1"/>
    </xf>
    <xf numFmtId="0" fontId="6" fillId="0" borderId="33" xfId="0" applyFont="1" applyFill="1" applyBorder="1" applyAlignment="1" applyProtection="1">
      <alignment horizontal="left" vertical="center" wrapText="1"/>
    </xf>
    <xf numFmtId="0" fontId="36" fillId="0" borderId="32" xfId="0" applyFont="1" applyBorder="1" applyAlignment="1">
      <alignment horizontal="center" vertical="center" wrapText="1"/>
    </xf>
    <xf numFmtId="0" fontId="36" fillId="0" borderId="32" xfId="0" applyFont="1" applyFill="1" applyBorder="1" applyAlignment="1">
      <alignment horizontal="center" vertical="center" wrapText="1"/>
    </xf>
    <xf numFmtId="0" fontId="36" fillId="0" borderId="49" xfId="0" applyFont="1" applyBorder="1" applyAlignment="1">
      <alignment horizontal="center" vertical="center" wrapText="1"/>
    </xf>
    <xf numFmtId="0" fontId="6" fillId="0" borderId="34" xfId="0" applyFont="1" applyFill="1" applyBorder="1" applyAlignment="1" applyProtection="1">
      <alignment horizontal="left" vertical="center" wrapText="1"/>
    </xf>
    <xf numFmtId="0" fontId="6" fillId="0" borderId="12" xfId="0" applyFont="1" applyFill="1" applyBorder="1" applyAlignment="1">
      <alignment horizontal="center" vertical="center" wrapText="1"/>
    </xf>
    <xf numFmtId="0" fontId="6" fillId="0" borderId="56" xfId="0" applyFont="1" applyFill="1" applyBorder="1" applyAlignment="1">
      <alignment horizontal="center" vertical="center" wrapText="1"/>
    </xf>
    <xf numFmtId="0" fontId="6" fillId="0" borderId="45" xfId="0" applyFont="1" applyBorder="1" applyAlignment="1">
      <alignment horizontal="center" vertical="center" wrapText="1"/>
    </xf>
    <xf numFmtId="0" fontId="6" fillId="0" borderId="32" xfId="0" quotePrefix="1" applyFont="1" applyBorder="1" applyAlignment="1">
      <alignment horizontal="center" vertical="center" wrapText="1"/>
    </xf>
    <xf numFmtId="0" fontId="6" fillId="0" borderId="32" xfId="0" applyFont="1" applyBorder="1" applyAlignment="1">
      <alignment horizontal="center" vertical="center" wrapText="1"/>
    </xf>
    <xf numFmtId="0" fontId="6" fillId="0" borderId="49" xfId="0" quotePrefix="1" applyFont="1" applyFill="1" applyBorder="1" applyAlignment="1">
      <alignment horizontal="center" vertical="center" wrapText="1"/>
    </xf>
    <xf numFmtId="0" fontId="6" fillId="0" borderId="49" xfId="0" quotePrefix="1" applyFont="1" applyBorder="1" applyAlignment="1">
      <alignment horizontal="center" vertical="center" wrapText="1"/>
    </xf>
    <xf numFmtId="0" fontId="40" fillId="0" borderId="16" xfId="0" quotePrefix="1" applyFont="1" applyFill="1" applyBorder="1" applyAlignment="1">
      <alignment horizontal="center" vertical="center" wrapText="1"/>
    </xf>
    <xf numFmtId="0" fontId="40" fillId="0" borderId="16" xfId="1" applyFont="1" applyFill="1" applyBorder="1" applyAlignment="1">
      <alignment horizontal="center" vertical="center" wrapText="1"/>
    </xf>
    <xf numFmtId="0" fontId="0" fillId="0" borderId="8" xfId="0" applyBorder="1" applyAlignment="1" applyProtection="1">
      <alignment horizontal="left" vertical="center" wrapText="1"/>
      <protection locked="0"/>
    </xf>
    <xf numFmtId="0" fontId="6" fillId="0" borderId="21" xfId="1" applyFont="1" applyBorder="1" applyAlignment="1">
      <alignment horizontal="center" vertical="center" wrapText="1"/>
    </xf>
    <xf numFmtId="0" fontId="6" fillId="0" borderId="54" xfId="1" applyFont="1" applyBorder="1" applyAlignment="1">
      <alignment horizontal="center" vertical="center" wrapText="1"/>
    </xf>
    <xf numFmtId="0" fontId="6" fillId="0" borderId="22" xfId="1" applyFont="1" applyBorder="1" applyAlignment="1">
      <alignment horizontal="center" vertical="center" wrapText="1"/>
    </xf>
    <xf numFmtId="0" fontId="43" fillId="0" borderId="19" xfId="1" applyFont="1" applyBorder="1" applyAlignment="1">
      <alignment horizontal="center" vertical="center" wrapText="1"/>
    </xf>
    <xf numFmtId="0" fontId="6" fillId="0" borderId="53" xfId="1" applyFont="1" applyBorder="1" applyAlignment="1">
      <alignment horizontal="center" vertical="center" wrapText="1"/>
    </xf>
    <xf numFmtId="0" fontId="6" fillId="0" borderId="20" xfId="1" applyFont="1" applyBorder="1" applyAlignment="1">
      <alignment horizontal="center" vertical="center" wrapText="1"/>
    </xf>
    <xf numFmtId="0" fontId="6" fillId="0" borderId="6" xfId="1" applyFont="1" applyBorder="1" applyAlignment="1">
      <alignment horizontal="center" vertical="center" wrapText="1"/>
    </xf>
    <xf numFmtId="0" fontId="6" fillId="0" borderId="7" xfId="1" applyFont="1" applyBorder="1" applyAlignment="1">
      <alignment horizontal="center" vertical="center" wrapText="1"/>
    </xf>
    <xf numFmtId="0" fontId="6" fillId="0" borderId="8" xfId="1" applyFont="1" applyBorder="1" applyAlignment="1">
      <alignment horizontal="center" vertical="center" wrapText="1"/>
    </xf>
    <xf numFmtId="0" fontId="6" fillId="0" borderId="21" xfId="0" applyFont="1" applyBorder="1" applyAlignment="1">
      <alignment horizontal="center" vertical="center" wrapText="1"/>
    </xf>
    <xf numFmtId="0" fontId="6" fillId="0" borderId="54" xfId="0" applyFont="1" applyBorder="1" applyAlignment="1">
      <alignment horizontal="center" vertical="center" wrapText="1"/>
    </xf>
    <xf numFmtId="0" fontId="6" fillId="0" borderId="22" xfId="0" applyFont="1" applyBorder="1" applyAlignment="1">
      <alignment horizontal="center" vertical="center" wrapText="1"/>
    </xf>
    <xf numFmtId="0" fontId="42" fillId="0" borderId="1" xfId="1" applyFont="1" applyBorder="1" applyAlignment="1">
      <alignment horizontal="center" vertical="center" wrapText="1"/>
    </xf>
    <xf numFmtId="0" fontId="10" fillId="0" borderId="2" xfId="1" applyFont="1" applyBorder="1" applyAlignment="1">
      <alignment horizontal="center" vertical="center" wrapText="1"/>
    </xf>
    <xf numFmtId="0" fontId="10" fillId="0" borderId="3" xfId="1" applyFont="1" applyBorder="1" applyAlignment="1">
      <alignment horizontal="center" vertical="center" wrapText="1"/>
    </xf>
    <xf numFmtId="0" fontId="10" fillId="0" borderId="14" xfId="1" applyFont="1" applyBorder="1" applyAlignment="1">
      <alignment horizontal="center" vertical="center" wrapText="1"/>
    </xf>
    <xf numFmtId="0" fontId="10" fillId="0" borderId="15" xfId="1" applyFont="1" applyBorder="1" applyAlignment="1">
      <alignment horizontal="center" vertical="center" wrapText="1"/>
    </xf>
    <xf numFmtId="0" fontId="10" fillId="0" borderId="16" xfId="1" applyFont="1" applyBorder="1" applyAlignment="1">
      <alignment horizontal="center" vertical="center" wrapText="1"/>
    </xf>
    <xf numFmtId="0" fontId="11" fillId="0" borderId="17" xfId="1" applyFont="1" applyBorder="1" applyAlignment="1">
      <alignment horizontal="left" vertical="center" wrapText="1"/>
    </xf>
    <xf numFmtId="0" fontId="11" fillId="0" borderId="0" xfId="1" applyFont="1" applyAlignment="1">
      <alignment horizontal="left" vertical="center"/>
    </xf>
    <xf numFmtId="0" fontId="11" fillId="0" borderId="18" xfId="1" applyFont="1" applyBorder="1" applyAlignment="1">
      <alignment horizontal="left" vertical="center"/>
    </xf>
    <xf numFmtId="0" fontId="6" fillId="0" borderId="19" xfId="1" applyFont="1" applyBorder="1" applyAlignment="1">
      <alignment horizontal="left" vertical="top" wrapText="1"/>
    </xf>
    <xf numFmtId="0" fontId="6" fillId="0" borderId="53" xfId="1" applyFont="1" applyBorder="1" applyAlignment="1">
      <alignment horizontal="left" vertical="top" wrapText="1"/>
    </xf>
    <xf numFmtId="0" fontId="6" fillId="0" borderId="20" xfId="1" applyFont="1" applyBorder="1" applyAlignment="1">
      <alignment horizontal="left" vertical="top" wrapText="1"/>
    </xf>
    <xf numFmtId="0" fontId="6" fillId="0" borderId="6" xfId="1" applyFont="1" applyBorder="1" applyAlignment="1">
      <alignment horizontal="left" vertical="top" wrapText="1"/>
    </xf>
    <xf numFmtId="0" fontId="6" fillId="0" borderId="7" xfId="1" applyFont="1" applyBorder="1" applyAlignment="1">
      <alignment horizontal="left" vertical="top" wrapText="1"/>
    </xf>
    <xf numFmtId="0" fontId="6" fillId="0" borderId="8" xfId="1" applyFont="1" applyBorder="1" applyAlignment="1">
      <alignment horizontal="left" vertical="top" wrapText="1"/>
    </xf>
    <xf numFmtId="0" fontId="6" fillId="0" borderId="21" xfId="1" applyFont="1" applyBorder="1" applyAlignment="1">
      <alignment horizontal="left" vertical="top" wrapText="1"/>
    </xf>
    <xf numFmtId="0" fontId="6" fillId="0" borderId="54" xfId="1" applyFont="1" applyBorder="1" applyAlignment="1">
      <alignment horizontal="left" vertical="top" wrapText="1"/>
    </xf>
    <xf numFmtId="0" fontId="6" fillId="0" borderId="22" xfId="1" applyFont="1" applyBorder="1" applyAlignment="1">
      <alignment horizontal="left" vertical="top" wrapText="1"/>
    </xf>
    <xf numFmtId="0" fontId="6" fillId="0" borderId="17" xfId="1" applyFont="1" applyBorder="1" applyAlignment="1">
      <alignment horizontal="justify" vertical="center" wrapText="1"/>
    </xf>
    <xf numFmtId="0" fontId="6" fillId="0" borderId="0" xfId="1" applyFont="1" applyAlignment="1">
      <alignment horizontal="justify" vertical="center" wrapText="1"/>
    </xf>
    <xf numFmtId="0" fontId="6" fillId="0" borderId="18" xfId="1" applyFont="1" applyBorder="1" applyAlignment="1">
      <alignment horizontal="justify" vertical="center" wrapText="1"/>
    </xf>
    <xf numFmtId="0" fontId="6" fillId="0" borderId="50" xfId="0" applyFont="1" applyBorder="1" applyAlignment="1">
      <alignment horizontal="center" vertical="center"/>
    </xf>
    <xf numFmtId="0" fontId="6" fillId="0" borderId="51" xfId="0" applyFont="1" applyBorder="1" applyAlignment="1">
      <alignment horizontal="center" vertical="center"/>
    </xf>
    <xf numFmtId="0" fontId="6" fillId="0" borderId="52" xfId="0" applyFont="1" applyBorder="1" applyAlignment="1">
      <alignment horizontal="center" vertical="center"/>
    </xf>
    <xf numFmtId="0" fontId="6" fillId="0" borderId="38" xfId="1" applyNumberFormat="1" applyFont="1" applyBorder="1" applyAlignment="1">
      <alignment vertical="center"/>
    </xf>
    <xf numFmtId="0" fontId="6" fillId="0" borderId="25" xfId="1" applyNumberFormat="1" applyFont="1" applyBorder="1" applyAlignment="1">
      <alignment vertical="center"/>
    </xf>
    <xf numFmtId="0" fontId="6" fillId="0" borderId="26" xfId="1" applyNumberFormat="1" applyFont="1" applyBorder="1" applyAlignment="1">
      <alignment vertical="center"/>
    </xf>
    <xf numFmtId="0" fontId="7" fillId="3" borderId="50" xfId="0" applyFont="1" applyFill="1" applyBorder="1" applyAlignment="1">
      <alignment horizontal="center" vertical="center" wrapText="1"/>
    </xf>
    <xf numFmtId="0" fontId="7" fillId="3" borderId="4" xfId="0" applyFont="1" applyFill="1" applyBorder="1" applyAlignment="1">
      <alignment horizontal="center" vertical="center"/>
    </xf>
    <xf numFmtId="0" fontId="6" fillId="0" borderId="47" xfId="0" applyFont="1" applyBorder="1" applyAlignment="1">
      <alignment horizontal="center" vertical="center"/>
    </xf>
    <xf numFmtId="0" fontId="6" fillId="0" borderId="5" xfId="0" applyFont="1" applyBorder="1" applyAlignment="1">
      <alignment horizontal="center" vertical="center"/>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xf>
    <xf numFmtId="0" fontId="6" fillId="0" borderId="7" xfId="1" applyFont="1" applyFill="1" applyBorder="1" applyAlignment="1">
      <alignment horizontal="center" vertical="center" wrapText="1"/>
    </xf>
    <xf numFmtId="0" fontId="6" fillId="0" borderId="7" xfId="1" applyFont="1" applyFill="1" applyBorder="1" applyAlignment="1">
      <alignment horizontal="center" vertical="center"/>
    </xf>
    <xf numFmtId="0" fontId="8" fillId="3" borderId="7" xfId="1" applyFont="1" applyFill="1" applyBorder="1" applyAlignment="1">
      <alignment horizontal="center" vertical="center"/>
    </xf>
    <xf numFmtId="0" fontId="7" fillId="3" borderId="7" xfId="1" applyFont="1" applyFill="1" applyBorder="1" applyAlignment="1">
      <alignment horizontal="center" vertical="center"/>
    </xf>
    <xf numFmtId="0" fontId="9" fillId="3" borderId="9" xfId="0" applyFont="1" applyFill="1" applyBorder="1" applyAlignment="1">
      <alignment horizontal="center" vertical="center" wrapText="1"/>
    </xf>
    <xf numFmtId="0" fontId="7" fillId="3" borderId="10" xfId="0" applyFont="1" applyFill="1" applyBorder="1" applyAlignment="1">
      <alignment horizontal="center" vertical="center"/>
    </xf>
    <xf numFmtId="0" fontId="6" fillId="0" borderId="11" xfId="1" applyFont="1" applyFill="1" applyBorder="1" applyAlignment="1">
      <alignment horizontal="center" vertical="center" wrapText="1"/>
    </xf>
    <xf numFmtId="0" fontId="6" fillId="0" borderId="12" xfId="1" applyFont="1" applyFill="1" applyBorder="1" applyAlignment="1">
      <alignment horizontal="center" vertical="center"/>
    </xf>
    <xf numFmtId="0" fontId="6" fillId="0" borderId="10" xfId="1" applyFont="1" applyFill="1" applyBorder="1" applyAlignment="1">
      <alignment horizontal="center" vertical="center"/>
    </xf>
    <xf numFmtId="0" fontId="6" fillId="0" borderId="11" xfId="1" applyFont="1" applyFill="1" applyBorder="1" applyAlignment="1">
      <alignment horizontal="center" vertical="center"/>
    </xf>
    <xf numFmtId="0" fontId="6" fillId="0" borderId="13" xfId="1" applyFont="1" applyFill="1" applyBorder="1" applyAlignment="1">
      <alignment horizontal="center" vertical="center"/>
    </xf>
    <xf numFmtId="0" fontId="9" fillId="3" borderId="6" xfId="0" applyFont="1" applyFill="1" applyBorder="1" applyAlignment="1">
      <alignment horizontal="center" vertical="center" wrapText="1"/>
    </xf>
    <xf numFmtId="0" fontId="6" fillId="0" borderId="7" xfId="0" applyFont="1" applyBorder="1" applyAlignment="1">
      <alignment horizontal="center" vertical="center"/>
    </xf>
    <xf numFmtId="0" fontId="6" fillId="0" borderId="8" xfId="0" applyFont="1" applyBorder="1" applyAlignment="1">
      <alignment horizontal="center" vertical="center"/>
    </xf>
    <xf numFmtId="0" fontId="6" fillId="0" borderId="7" xfId="1" applyFont="1" applyBorder="1" applyAlignment="1">
      <alignment horizontal="center" vertical="center"/>
    </xf>
    <xf numFmtId="0" fontId="6" fillId="0" borderId="8" xfId="1" applyFont="1" applyBorder="1" applyAlignment="1">
      <alignment horizontal="center" vertical="center"/>
    </xf>
    <xf numFmtId="0" fontId="37" fillId="0" borderId="38" xfId="0" applyNumberFormat="1" applyFont="1" applyBorder="1" applyAlignment="1">
      <alignment horizontal="center" vertical="center"/>
    </xf>
    <xf numFmtId="0" fontId="37" fillId="0" borderId="25" xfId="0" applyNumberFormat="1" applyFont="1" applyBorder="1" applyAlignment="1">
      <alignment horizontal="center" vertical="center"/>
    </xf>
    <xf numFmtId="0" fontId="37" fillId="0" borderId="26" xfId="0" applyNumberFormat="1" applyFont="1" applyBorder="1" applyAlignment="1">
      <alignment horizontal="center" vertical="center"/>
    </xf>
    <xf numFmtId="0" fontId="13" fillId="0" borderId="17" xfId="1" applyNumberFormat="1" applyFont="1" applyFill="1" applyBorder="1" applyAlignment="1">
      <alignment horizontal="center" vertical="center"/>
    </xf>
    <xf numFmtId="0" fontId="12" fillId="0" borderId="0" xfId="1" applyNumberFormat="1" applyFont="1" applyFill="1" applyBorder="1" applyAlignment="1">
      <alignment horizontal="center" vertical="center"/>
    </xf>
    <xf numFmtId="0" fontId="12" fillId="0" borderId="18" xfId="1" applyNumberFormat="1" applyFont="1" applyFill="1" applyBorder="1" applyAlignment="1">
      <alignment horizontal="center" vertical="center"/>
    </xf>
    <xf numFmtId="0" fontId="17" fillId="0" borderId="30" xfId="0" applyFont="1" applyBorder="1" applyAlignment="1" applyProtection="1">
      <alignment horizontal="center" vertical="center" wrapText="1"/>
    </xf>
    <xf numFmtId="0" fontId="0" fillId="0" borderId="17" xfId="0" applyFont="1" applyFill="1" applyBorder="1" applyAlignment="1" applyProtection="1">
      <alignment horizontal="left" vertical="center" wrapText="1"/>
    </xf>
    <xf numFmtId="0" fontId="0" fillId="0" borderId="0" xfId="0" applyFont="1" applyFill="1" applyBorder="1" applyAlignment="1" applyProtection="1">
      <alignment horizontal="left" vertical="center" wrapText="1"/>
    </xf>
    <xf numFmtId="0" fontId="0" fillId="0" borderId="18" xfId="0" applyFont="1" applyFill="1" applyBorder="1" applyAlignment="1" applyProtection="1">
      <alignment horizontal="left" vertical="center" wrapText="1"/>
    </xf>
    <xf numFmtId="0" fontId="0" fillId="0" borderId="14" xfId="0" applyFont="1" applyFill="1" applyBorder="1" applyAlignment="1" applyProtection="1">
      <alignment horizontal="left" vertical="center" wrapText="1"/>
    </xf>
    <xf numFmtId="0" fontId="0" fillId="0" borderId="15" xfId="0" applyFont="1" applyFill="1" applyBorder="1" applyAlignment="1" applyProtection="1">
      <alignment horizontal="left" vertical="center" wrapText="1"/>
    </xf>
    <xf numFmtId="0" fontId="0" fillId="0" borderId="16" xfId="0" applyFont="1" applyFill="1" applyBorder="1" applyAlignment="1" applyProtection="1">
      <alignment horizontal="left" vertical="center" wrapText="1"/>
    </xf>
    <xf numFmtId="0" fontId="15" fillId="8" borderId="1" xfId="0" applyFont="1" applyFill="1" applyBorder="1" applyAlignment="1" applyProtection="1">
      <alignment horizontal="center" vertical="center" wrapText="1"/>
    </xf>
    <xf numFmtId="0" fontId="15" fillId="8" borderId="3"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15" fillId="8" borderId="18"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9" fillId="9" borderId="1" xfId="1" applyFont="1" applyFill="1" applyBorder="1" applyAlignment="1" applyProtection="1">
      <alignment horizontal="center" vertical="center" wrapText="1"/>
    </xf>
    <xf numFmtId="0" fontId="19" fillId="9" borderId="2" xfId="1" applyFont="1" applyFill="1" applyBorder="1" applyAlignment="1" applyProtection="1">
      <alignment horizontal="center" vertical="center" wrapText="1"/>
    </xf>
    <xf numFmtId="0" fontId="19" fillId="9" borderId="3" xfId="1" applyFont="1" applyFill="1" applyBorder="1" applyAlignment="1" applyProtection="1">
      <alignment horizontal="center" vertical="center" wrapText="1"/>
    </xf>
    <xf numFmtId="0" fontId="16" fillId="10" borderId="1" xfId="0" applyFont="1" applyFill="1" applyBorder="1" applyAlignment="1" applyProtection="1">
      <alignment horizontal="center" vertical="center" wrapText="1"/>
    </xf>
    <xf numFmtId="0" fontId="16" fillId="10" borderId="3" xfId="0" applyFont="1" applyFill="1" applyBorder="1" applyAlignment="1" applyProtection="1">
      <alignment horizontal="center" vertical="center" wrapText="1"/>
    </xf>
    <xf numFmtId="0" fontId="16" fillId="10" borderId="17" xfId="0" applyFont="1" applyFill="1" applyBorder="1" applyAlignment="1" applyProtection="1">
      <alignment horizontal="center" vertical="center" wrapText="1"/>
    </xf>
    <xf numFmtId="0" fontId="16" fillId="10" borderId="18" xfId="0" applyFont="1" applyFill="1" applyBorder="1" applyAlignment="1" applyProtection="1">
      <alignment horizontal="center" vertical="center" wrapText="1"/>
    </xf>
    <xf numFmtId="0" fontId="16" fillId="10" borderId="14" xfId="0" applyFont="1" applyFill="1" applyBorder="1" applyAlignment="1" applyProtection="1">
      <alignment horizontal="center" vertical="center" wrapText="1"/>
    </xf>
    <xf numFmtId="0" fontId="16" fillId="10" borderId="16" xfId="0" applyFont="1" applyFill="1" applyBorder="1" applyAlignment="1" applyProtection="1">
      <alignment horizontal="center" vertical="center" wrapText="1"/>
    </xf>
    <xf numFmtId="0" fontId="22" fillId="12" borderId="1" xfId="0" applyFont="1" applyFill="1" applyBorder="1" applyAlignment="1" applyProtection="1">
      <alignment horizontal="center" vertical="center" wrapText="1"/>
    </xf>
    <xf numFmtId="0" fontId="19" fillId="12" borderId="3" xfId="0" applyFont="1" applyFill="1" applyBorder="1" applyAlignment="1" applyProtection="1">
      <alignment horizontal="center" vertical="center" wrapText="1"/>
    </xf>
    <xf numFmtId="0" fontId="16" fillId="0" borderId="1" xfId="0" applyFont="1" applyBorder="1" applyAlignment="1" applyProtection="1">
      <alignment horizontal="center" vertical="center" wrapText="1"/>
    </xf>
    <xf numFmtId="0" fontId="16" fillId="0" borderId="2" xfId="0" applyFont="1" applyBorder="1" applyAlignment="1" applyProtection="1">
      <alignment horizontal="center" vertical="center" wrapText="1"/>
    </xf>
    <xf numFmtId="0" fontId="15" fillId="0" borderId="2" xfId="0" applyFont="1" applyBorder="1" applyAlignment="1" applyProtection="1">
      <alignment horizontal="center" vertical="center" wrapText="1"/>
    </xf>
    <xf numFmtId="0" fontId="15" fillId="0" borderId="3" xfId="0" applyFont="1" applyBorder="1" applyAlignment="1" applyProtection="1">
      <alignment horizontal="center" vertical="center" wrapText="1"/>
    </xf>
    <xf numFmtId="0" fontId="18" fillId="0" borderId="43" xfId="0" applyFont="1" applyBorder="1" applyAlignment="1" applyProtection="1">
      <alignment horizontal="center" vertical="center" wrapText="1"/>
    </xf>
    <xf numFmtId="0" fontId="17" fillId="0" borderId="44" xfId="0" applyFont="1" applyBorder="1" applyAlignment="1" applyProtection="1">
      <alignment horizontal="center" vertical="center" wrapText="1"/>
    </xf>
    <xf numFmtId="0" fontId="17" fillId="0" borderId="24" xfId="0" applyFont="1" applyBorder="1" applyAlignment="1" applyProtection="1">
      <alignment horizontal="center" vertical="center" wrapText="1"/>
    </xf>
    <xf numFmtId="0" fontId="18" fillId="0" borderId="30" xfId="0" applyFont="1" applyBorder="1" applyAlignment="1" applyProtection="1">
      <alignment horizontal="center" vertical="center" wrapText="1"/>
    </xf>
    <xf numFmtId="0" fontId="23" fillId="12" borderId="14" xfId="0" applyFont="1" applyFill="1" applyBorder="1" applyAlignment="1" applyProtection="1">
      <alignment horizontal="center" vertical="center" wrapText="1"/>
    </xf>
    <xf numFmtId="0" fontId="23" fillId="12" borderId="16" xfId="0" applyFont="1" applyFill="1" applyBorder="1" applyAlignment="1" applyProtection="1">
      <alignment horizontal="center" vertical="center" wrapText="1"/>
    </xf>
    <xf numFmtId="0" fontId="19" fillId="12" borderId="1" xfId="0" applyFont="1" applyFill="1" applyBorder="1" applyAlignment="1" applyProtection="1">
      <alignment horizontal="center" vertical="center" wrapText="1"/>
    </xf>
    <xf numFmtId="0" fontId="15" fillId="10" borderId="3" xfId="0" applyFont="1" applyFill="1" applyBorder="1" applyAlignment="1" applyProtection="1">
      <alignment horizontal="center" vertical="center" wrapText="1"/>
    </xf>
    <xf numFmtId="0" fontId="15" fillId="10" borderId="17" xfId="0" applyFont="1" applyFill="1" applyBorder="1" applyAlignment="1" applyProtection="1">
      <alignment horizontal="center" vertical="center" wrapText="1"/>
    </xf>
    <xf numFmtId="0" fontId="15" fillId="10" borderId="18" xfId="0" applyFont="1" applyFill="1" applyBorder="1" applyAlignment="1" applyProtection="1">
      <alignment horizontal="center" vertical="center" wrapText="1"/>
    </xf>
    <xf numFmtId="0" fontId="15" fillId="10" borderId="14" xfId="0" applyFont="1" applyFill="1" applyBorder="1" applyAlignment="1" applyProtection="1">
      <alignment horizontal="center" vertical="center" wrapText="1"/>
    </xf>
    <xf numFmtId="0" fontId="15" fillId="10" borderId="16" xfId="0" applyFont="1" applyFill="1" applyBorder="1" applyAlignment="1" applyProtection="1">
      <alignment horizontal="center" vertical="center" wrapText="1"/>
    </xf>
    <xf numFmtId="0" fontId="19" fillId="9" borderId="25" xfId="1" applyFont="1" applyFill="1" applyBorder="1" applyAlignment="1" applyProtection="1">
      <alignment horizontal="center" vertical="center" wrapText="1"/>
    </xf>
    <xf numFmtId="0" fontId="19" fillId="9" borderId="26" xfId="1" applyFont="1" applyFill="1" applyBorder="1" applyAlignment="1" applyProtection="1">
      <alignment horizontal="center" vertical="center" wrapText="1"/>
    </xf>
    <xf numFmtId="0" fontId="20" fillId="11" borderId="19" xfId="1" applyFont="1" applyFill="1" applyBorder="1" applyAlignment="1">
      <alignment horizontal="center" vertical="center" wrapText="1"/>
    </xf>
    <xf numFmtId="0" fontId="19" fillId="11" borderId="20" xfId="1" applyFont="1" applyFill="1" applyBorder="1" applyAlignment="1">
      <alignment horizontal="center" vertical="center" wrapText="1"/>
    </xf>
    <xf numFmtId="0" fontId="20" fillId="11" borderId="10" xfId="1" applyFont="1" applyFill="1" applyBorder="1" applyAlignment="1">
      <alignment horizontal="center" vertical="center" wrapText="1"/>
    </xf>
    <xf numFmtId="0" fontId="19" fillId="11" borderId="8" xfId="1" applyFont="1" applyFill="1" applyBorder="1" applyAlignment="1">
      <alignment horizontal="center" vertical="center" wrapText="1"/>
    </xf>
    <xf numFmtId="0" fontId="20" fillId="11" borderId="38" xfId="1" applyFont="1" applyFill="1" applyBorder="1" applyAlignment="1" applyProtection="1">
      <alignment horizontal="center" vertical="center" wrapText="1"/>
    </xf>
    <xf numFmtId="0" fontId="19" fillId="11" borderId="26" xfId="1" applyFont="1" applyFill="1" applyBorder="1" applyAlignment="1" applyProtection="1">
      <alignment horizontal="center" vertical="center" wrapText="1"/>
    </xf>
    <xf numFmtId="0" fontId="20" fillId="11" borderId="9" xfId="1" applyFont="1" applyFill="1" applyBorder="1" applyAlignment="1" applyProtection="1">
      <alignment horizontal="center" vertical="center" wrapText="1"/>
    </xf>
    <xf numFmtId="0" fontId="19" fillId="11" borderId="13" xfId="1" applyFont="1" applyFill="1" applyBorder="1" applyAlignment="1" applyProtection="1">
      <alignment horizontal="center" vertical="center" wrapText="1"/>
    </xf>
    <xf numFmtId="0" fontId="19" fillId="11" borderId="19" xfId="1" applyFont="1" applyFill="1" applyBorder="1" applyAlignment="1">
      <alignment horizontal="center" vertical="center" wrapText="1"/>
    </xf>
    <xf numFmtId="0" fontId="19" fillId="11" borderId="10" xfId="1" applyFont="1" applyFill="1" applyBorder="1" applyAlignment="1">
      <alignment horizontal="center" vertical="center" wrapText="1"/>
    </xf>
    <xf numFmtId="0" fontId="19" fillId="11" borderId="19" xfId="1" applyFont="1" applyFill="1" applyBorder="1" applyAlignment="1" applyProtection="1">
      <alignment horizontal="center" vertical="center" wrapText="1"/>
    </xf>
    <xf numFmtId="0" fontId="19" fillId="11" borderId="20" xfId="1" applyFont="1" applyFill="1" applyBorder="1" applyAlignment="1" applyProtection="1">
      <alignment horizontal="center" vertical="center" wrapText="1"/>
    </xf>
    <xf numFmtId="0" fontId="19" fillId="11" borderId="10" xfId="1" applyFont="1" applyFill="1" applyBorder="1" applyAlignment="1" applyProtection="1">
      <alignment horizontal="center" vertical="center" wrapText="1"/>
    </xf>
    <xf numFmtId="0" fontId="19" fillId="11" borderId="8" xfId="1" applyFont="1" applyFill="1" applyBorder="1" applyAlignment="1" applyProtection="1">
      <alignment horizontal="center" vertical="center" wrapText="1"/>
    </xf>
    <xf numFmtId="0" fontId="15" fillId="10" borderId="1" xfId="0" applyFont="1" applyFill="1" applyBorder="1" applyAlignment="1" applyProtection="1">
      <alignment horizontal="center" vertical="center" wrapText="1"/>
    </xf>
    <xf numFmtId="0" fontId="18" fillId="0" borderId="37" xfId="0" applyFont="1" applyBorder="1" applyAlignment="1" applyProtection="1">
      <alignment horizontal="center" vertical="center" wrapText="1"/>
    </xf>
    <xf numFmtId="0" fontId="17" fillId="0" borderId="37" xfId="0" applyFont="1" applyBorder="1" applyAlignment="1" applyProtection="1">
      <alignment horizontal="center" vertical="center" wrapText="1"/>
    </xf>
    <xf numFmtId="0" fontId="15" fillId="12" borderId="3" xfId="0" applyFont="1" applyFill="1" applyBorder="1" applyAlignment="1" applyProtection="1">
      <alignment horizontal="center" vertical="center" wrapText="1"/>
    </xf>
    <xf numFmtId="0" fontId="16" fillId="0" borderId="3" xfId="0" applyFont="1" applyBorder="1" applyAlignment="1" applyProtection="1">
      <alignment horizontal="center" vertical="center" wrapText="1"/>
    </xf>
    <xf numFmtId="0" fontId="16" fillId="0" borderId="17" xfId="0" applyFont="1" applyBorder="1" applyAlignment="1" applyProtection="1">
      <alignment horizontal="center" vertical="center" wrapText="1"/>
    </xf>
    <xf numFmtId="0" fontId="16" fillId="0" borderId="0" xfId="0" applyFont="1" applyBorder="1" applyAlignment="1" applyProtection="1">
      <alignment horizontal="center" vertical="center" wrapText="1"/>
    </xf>
    <xf numFmtId="0" fontId="15" fillId="0" borderId="0" xfId="0" applyFont="1" applyBorder="1" applyAlignment="1" applyProtection="1">
      <alignment horizontal="center" vertical="center" wrapText="1"/>
    </xf>
    <xf numFmtId="0" fontId="16" fillId="10" borderId="1" xfId="0" applyFont="1" applyFill="1" applyBorder="1" applyAlignment="1">
      <alignment horizontal="center" vertical="center" wrapText="1"/>
    </xf>
    <xf numFmtId="0" fontId="15" fillId="10" borderId="3" xfId="0" applyFont="1" applyFill="1" applyBorder="1" applyAlignment="1">
      <alignment horizontal="center" vertical="center" wrapText="1"/>
    </xf>
    <xf numFmtId="0" fontId="15" fillId="10" borderId="17" xfId="0" applyFont="1" applyFill="1" applyBorder="1" applyAlignment="1">
      <alignment horizontal="center" vertical="center" wrapText="1"/>
    </xf>
    <xf numFmtId="0" fontId="15" fillId="10" borderId="18" xfId="0" applyFont="1" applyFill="1" applyBorder="1" applyAlignment="1">
      <alignment horizontal="center" vertical="center" wrapText="1"/>
    </xf>
    <xf numFmtId="0" fontId="15" fillId="10" borderId="15" xfId="0" applyFont="1" applyFill="1" applyBorder="1" applyAlignment="1">
      <alignment horizontal="center" vertical="center" wrapText="1"/>
    </xf>
    <xf numFmtId="0" fontId="15" fillId="10" borderId="16" xfId="0" applyFont="1" applyFill="1" applyBorder="1" applyAlignment="1">
      <alignment horizontal="center" vertical="center" wrapText="1"/>
    </xf>
    <xf numFmtId="0" fontId="17" fillId="0" borderId="30" xfId="0" applyFont="1" applyBorder="1" applyAlignment="1">
      <alignment horizontal="center" vertical="center" wrapText="1"/>
    </xf>
    <xf numFmtId="0" fontId="0" fillId="0" borderId="17" xfId="0" applyBorder="1" applyAlignment="1">
      <alignment horizontal="left" vertical="center" wrapText="1"/>
    </xf>
    <xf numFmtId="0" fontId="0" fillId="0" borderId="0" xfId="0"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15" fillId="8" borderId="1" xfId="0" applyFont="1" applyFill="1" applyBorder="1" applyAlignment="1">
      <alignment horizontal="center" vertical="center" wrapText="1"/>
    </xf>
    <xf numFmtId="0" fontId="15" fillId="8" borderId="3"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9" fillId="9" borderId="1" xfId="1" applyFont="1" applyFill="1" applyBorder="1" applyAlignment="1">
      <alignment horizontal="center" vertical="center" wrapText="1"/>
    </xf>
    <xf numFmtId="0" fontId="19" fillId="9" borderId="2" xfId="1" applyFont="1" applyFill="1" applyBorder="1" applyAlignment="1">
      <alignment horizontal="center" vertical="center" wrapText="1"/>
    </xf>
    <xf numFmtId="0" fontId="19" fillId="9" borderId="3" xfId="1" applyFont="1" applyFill="1" applyBorder="1" applyAlignment="1">
      <alignment horizontal="center" vertical="center" wrapText="1"/>
    </xf>
    <xf numFmtId="0" fontId="16" fillId="0" borderId="17" xfId="0" applyFont="1" applyBorder="1" applyAlignment="1">
      <alignment horizontal="center" vertical="center" wrapText="1"/>
    </xf>
    <xf numFmtId="0" fontId="15" fillId="0" borderId="0" xfId="0" applyFont="1" applyAlignment="1">
      <alignment horizontal="center" vertical="center" wrapText="1"/>
    </xf>
    <xf numFmtId="0" fontId="18" fillId="0" borderId="43" xfId="0" applyFont="1" applyBorder="1" applyAlignment="1">
      <alignment horizontal="center" vertical="center" wrapText="1"/>
    </xf>
    <xf numFmtId="0" fontId="17" fillId="0" borderId="44" xfId="0" applyFont="1" applyBorder="1" applyAlignment="1">
      <alignment horizontal="center" vertical="center" wrapText="1"/>
    </xf>
    <xf numFmtId="0" fontId="17" fillId="0" borderId="24" xfId="0" applyFont="1" applyBorder="1" applyAlignment="1">
      <alignment horizontal="center" vertical="center" wrapText="1"/>
    </xf>
    <xf numFmtId="0" fontId="18" fillId="0" borderId="30" xfId="0" applyFont="1" applyBorder="1" applyAlignment="1">
      <alignment horizontal="center" vertical="center" wrapText="1"/>
    </xf>
    <xf numFmtId="0" fontId="19" fillId="9" borderId="25" xfId="1" applyFont="1" applyFill="1" applyBorder="1" applyAlignment="1">
      <alignment horizontal="center" vertical="center" wrapText="1"/>
    </xf>
    <xf numFmtId="0" fontId="19" fillId="9" borderId="26" xfId="1" applyFont="1" applyFill="1" applyBorder="1" applyAlignment="1">
      <alignment horizontal="center" vertical="center" wrapText="1"/>
    </xf>
    <xf numFmtId="0" fontId="15" fillId="10" borderId="1" xfId="0" applyFont="1" applyFill="1" applyBorder="1" applyAlignment="1">
      <alignment horizontal="center" vertical="center" wrapText="1"/>
    </xf>
    <xf numFmtId="0" fontId="15" fillId="10" borderId="14" xfId="0" applyFont="1" applyFill="1" applyBorder="1" applyAlignment="1">
      <alignment horizontal="center" vertical="center" wrapText="1"/>
    </xf>
    <xf numFmtId="0" fontId="19" fillId="12" borderId="1" xfId="0" applyFont="1" applyFill="1" applyBorder="1" applyAlignment="1">
      <alignment horizontal="center" vertical="center" wrapText="1"/>
    </xf>
    <xf numFmtId="0" fontId="15" fillId="12" borderId="3" xfId="0" applyFont="1" applyFill="1" applyBorder="1" applyAlignment="1">
      <alignment horizontal="center" vertical="center" wrapText="1"/>
    </xf>
    <xf numFmtId="0" fontId="23" fillId="12" borderId="14" xfId="0" applyFont="1" applyFill="1" applyBorder="1" applyAlignment="1">
      <alignment horizontal="center" vertical="center" wrapText="1"/>
    </xf>
    <xf numFmtId="0" fontId="23" fillId="12" borderId="16" xfId="0" applyFont="1" applyFill="1" applyBorder="1" applyAlignment="1">
      <alignment horizontal="center" vertical="center" wrapText="1"/>
    </xf>
    <xf numFmtId="0" fontId="22" fillId="12" borderId="1" xfId="0" applyFont="1" applyFill="1" applyBorder="1" applyAlignment="1">
      <alignment horizontal="center" vertical="center" wrapText="1"/>
    </xf>
    <xf numFmtId="0" fontId="19" fillId="12" borderId="3" xfId="0" applyFont="1" applyFill="1" applyBorder="1" applyAlignment="1">
      <alignment horizontal="center" vertical="center" wrapText="1"/>
    </xf>
  </cellXfs>
  <cellStyles count="80">
    <cellStyle name="entry" xfId="2"/>
    <cellStyle name="entry 2" xfId="20"/>
    <cellStyle name="entry 2 2" xfId="21"/>
    <cellStyle name="entry 3" xfId="22"/>
    <cellStyle name="entry 4" xfId="23"/>
    <cellStyle name="Hyperlink12" xfId="24"/>
    <cellStyle name="Lien hypertexte 2" xfId="3"/>
    <cellStyle name="Normal 2" xfId="1"/>
    <cellStyle name="Normal 3" xfId="4"/>
    <cellStyle name="Normal 4" xfId="25"/>
    <cellStyle name="Normal 4 2" xfId="64"/>
    <cellStyle name="Normal 4 2 2" xfId="69"/>
    <cellStyle name="Normal 4 2 2 2" xfId="79"/>
    <cellStyle name="Normal 4 2 3" xfId="74"/>
    <cellStyle name="Normal 4 3" xfId="67"/>
    <cellStyle name="Normal 4 3 2" xfId="77"/>
    <cellStyle name="Normal 4 4" xfId="62"/>
    <cellStyle name="Normal 4 5" xfId="72"/>
    <cellStyle name="Normal 5" xfId="19"/>
    <cellStyle name="Normal 5 2" xfId="56"/>
    <cellStyle name="Normal 5 2 2" xfId="66"/>
    <cellStyle name="Normal 5 2 2 2" xfId="76"/>
    <cellStyle name="Normal 5 2 3" xfId="61"/>
    <cellStyle name="Normal 5 2 4" xfId="71"/>
    <cellStyle name="Normal 5 3" xfId="63"/>
    <cellStyle name="Normal 5 3 2" xfId="68"/>
    <cellStyle name="Normal 5 3 2 2" xfId="78"/>
    <cellStyle name="Normal 5 3 3" xfId="73"/>
    <cellStyle name="Normal 5 4" xfId="65"/>
    <cellStyle name="Normal 5 4 2" xfId="75"/>
    <cellStyle name="Normal 5 5" xfId="59"/>
    <cellStyle name="Normal 5 6" xfId="70"/>
    <cellStyle name="Normal 9" xfId="55"/>
    <cellStyle name="P2_Autopopulate" xfId="26"/>
    <cellStyle name="para" xfId="5"/>
    <cellStyle name="PIDs" xfId="27"/>
    <cellStyle name="Pourcentage 2" xfId="58"/>
    <cellStyle name="Pourcentage 3" xfId="60"/>
    <cellStyle name="sect" xfId="6"/>
    <cellStyle name="sect1" xfId="7"/>
    <cellStyle name="sect2" xfId="8"/>
    <cellStyle name="sect3" xfId="9"/>
    <cellStyle name="sect4" xfId="10"/>
    <cellStyle name="sect4 2" xfId="28"/>
    <cellStyle name="sect4 2 2" xfId="29"/>
    <cellStyle name="sect4 3" xfId="30"/>
    <cellStyle name="sect4 4" xfId="31"/>
    <cellStyle name="sect5" xfId="11"/>
    <cellStyle name="sect5 2" xfId="32"/>
    <cellStyle name="sect5 2 2" xfId="33"/>
    <cellStyle name="sect5 3" xfId="34"/>
    <cellStyle name="sect5 4" xfId="35"/>
    <cellStyle name="sect6" xfId="12"/>
    <cellStyle name="sect6 2" xfId="36"/>
    <cellStyle name="sect6 2 2" xfId="37"/>
    <cellStyle name="sect6 3" xfId="38"/>
    <cellStyle name="sect6 4" xfId="39"/>
    <cellStyle name="sect7" xfId="13"/>
    <cellStyle name="sect7 2" xfId="40"/>
    <cellStyle name="sect7 2 2" xfId="41"/>
    <cellStyle name="sect7 3" xfId="42"/>
    <cellStyle name="sect7 4" xfId="43"/>
    <cellStyle name="sect8" xfId="14"/>
    <cellStyle name="sect8 2" xfId="44"/>
    <cellStyle name="sect8 2 2" xfId="45"/>
    <cellStyle name="sect8 3" xfId="46"/>
    <cellStyle name="sect8 4" xfId="47"/>
    <cellStyle name="sect9" xfId="15"/>
    <cellStyle name="sect9 2" xfId="48"/>
    <cellStyle name="sect9 2 2" xfId="49"/>
    <cellStyle name="sect9 3" xfId="50"/>
    <cellStyle name="sect9 4" xfId="51"/>
    <cellStyle name="Standard 2" xfId="53"/>
    <cellStyle name="Standard 3" xfId="54"/>
    <cellStyle name="Standard_CAN CP 96 649 895 9B ind OR" xfId="57"/>
    <cellStyle name="Style 1" xfId="52"/>
    <cellStyle name="tableTitle" xfId="16"/>
    <cellStyle name="title" xfId="17"/>
    <cellStyle name="常规" xfId="0" builtinId="0"/>
    <cellStyle name="超链接" xfId="18" builtinId="8"/>
  </cellStyles>
  <dxfs count="1303">
    <dxf>
      <fill>
        <patternFill>
          <bgColor theme="0" tint="-0.24994659260841701"/>
        </patternFill>
      </fill>
    </dxf>
    <dxf>
      <fill>
        <patternFill>
          <bgColor theme="0" tint="-0.24994659260841701"/>
        </patternFill>
      </fill>
    </dxf>
    <dxf>
      <fill>
        <patternFill>
          <bgColor rgb="FF92D050"/>
        </patternFill>
      </fill>
    </dxf>
    <dxf>
      <font>
        <color auto="1"/>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
      <fill>
        <patternFill>
          <bgColor rgb="FFFFC000"/>
        </patternFill>
      </fill>
    </dxf>
    <dxf>
      <fill>
        <patternFill patternType="lightUp"/>
      </fill>
    </dxf>
    <dxf>
      <fill>
        <patternFill>
          <bgColor rgb="FFFF0000"/>
        </patternFill>
      </fill>
    </dxf>
    <dxf>
      <fill>
        <patternFill>
          <bgColor theme="0" tint="-0.24994659260841701"/>
        </patternFill>
      </fill>
    </dxf>
    <dxf>
      <fill>
        <patternFill>
          <bgColor theme="0" tint="-0.24994659260841701"/>
        </patternFill>
      </fill>
    </dxf>
    <dxf>
      <fill>
        <patternFill>
          <bgColor rgb="FFFFC000"/>
        </patternFill>
      </fill>
    </dxf>
    <dxf>
      <fill>
        <patternFill>
          <bgColor rgb="FFFFFF99"/>
        </patternFill>
      </fill>
    </dxf>
    <dxf>
      <fill>
        <patternFill>
          <bgColor rgb="FF92D050"/>
        </patternFill>
      </fill>
    </dxf>
    <dxf>
      <font>
        <color auto="1"/>
      </font>
      <fill>
        <patternFill>
          <bgColor rgb="FFFF0000"/>
        </patternFill>
      </fill>
    </dxf>
  </dxfs>
  <tableStyles count="0" defaultTableStyle="TableStyleMedium2" defaultPivotStyle="PivotStyleLight16"/>
  <colors>
    <mruColors>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styles" Target="styles.xml"/>
  <Relationship Id="rId11" Type="http://schemas.openxmlformats.org/officeDocument/2006/relationships/sharedStrings" Target="sharedStrings.xml"/>
  <Relationship Id="rId12" Type="http://schemas.openxmlformats.org/officeDocument/2006/relationships/calcChain" Target="calcChain.xml"/>
  <Relationship Id="rId13" Type="http://schemas.openxmlformats.org/officeDocument/2006/relationships/customXml" Target="../customXml/item1.xml"/>
  <Relationship Id="rId14" Type="http://schemas.openxmlformats.org/officeDocument/2006/relationships/customXml" Target="../customXml/item2.xml"/>
  <Relationship Id="rId15" Type="http://schemas.openxmlformats.org/officeDocument/2006/relationships/customXml" Target="../customXml/item3.xml"/>
  <Relationship Id="rId16"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theme" Target="theme/theme1.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dr:twoCellAnchor editAs="oneCell">
    <xdr:from>
      <xdr:col>1</xdr:col>
      <xdr:colOff>228600</xdr:colOff>
      <xdr:row>0</xdr:row>
      <xdr:rowOff>0</xdr:rowOff>
    </xdr:from>
    <xdr:to>
      <xdr:col>8</xdr:col>
      <xdr:colOff>608</xdr:colOff>
      <xdr:row>0</xdr:row>
      <xdr:rowOff>876422</xdr:rowOff>
    </xdr:to>
    <xdr:pic>
      <xdr:nvPicPr>
        <xdr:cNvPr id="6" name="Image 5">
          <a:extLst>
            <a:ext uri="{FF2B5EF4-FFF2-40B4-BE49-F238E27FC236}">
              <a16:creationId xmlns=""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876300" y="0"/>
          <a:ext cx="4353533" cy="876422"/>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s>

</file>

<file path=xl/worksheets/_rels/sheet3.xml.rels><?xml version="1.0" encoding="UTF-8"?>

<Relationships xmlns="http://schemas.openxmlformats.org/package/2006/relationships">
  <Relationship Id="rId1" Type="http://schemas.openxmlformats.org/officeDocument/2006/relationships/hyperlink" TargetMode="External" Target="http://docinfogroupe.inetpsa.com/ead/doc/ref.02016_15_06111/v.5.0/fiche"/>
  <Relationship Id="rId2" Type="http://schemas.openxmlformats.org/officeDocument/2006/relationships/hyperlink" TargetMode="External" Target="http://docinfogroupe.inetpsa.com/ead/doc/ref.01991_22_02451/v.5.0/fiche"/>
  <Relationship Id="rId3" Type="http://schemas.openxmlformats.org/officeDocument/2006/relationships/hyperlink" TargetMode="External" Target="http://docinfogroupe.inetpsa.com/ead/doc/ref.01991_22_02471/v.10.0/fiche"/>
  <Relationship Id="rId4" Type="http://schemas.openxmlformats.org/officeDocument/2006/relationships/hyperlink" TargetMode="External" Target="http://docinfogroupe.inetpsa.com/ead/doc/ref.02016_12_01755/v.18.0/fiche"/>
  <Relationship Id="rId5" Type="http://schemas.openxmlformats.org/officeDocument/2006/relationships/printerSettings" Target="../printerSettings/printerSettings3.bin"/>
  <Relationship Id="rId6" Type="http://schemas.openxmlformats.org/officeDocument/2006/relationships/vmlDrawing" Target="../drawings/vmlDrawing1.vml"/>
  <Relationship Id="rId7" Type="http://schemas.openxmlformats.org/officeDocument/2006/relationships/comments" Target="../comments1.xml"/>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 Id="rId2" Type="http://schemas.openxmlformats.org/officeDocument/2006/relationships/vmlDrawing" Target="../drawings/vmlDrawing2.vml"/>
  <Relationship Id="rId3" Type="http://schemas.openxmlformats.org/officeDocument/2006/relationships/comments" Target="../comments2.xml"/>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5.bin"/>
  <Relationship Id="rId2" Type="http://schemas.openxmlformats.org/officeDocument/2006/relationships/vmlDrawing" Target="../drawings/vmlDrawing3.vml"/>
  <Relationship Id="rId3" Type="http://schemas.openxmlformats.org/officeDocument/2006/relationships/comments" Target="../comments3.xml"/>
</Relationships>

</file>

<file path=xl/worksheets/_rels/sheet6.xml.rels><?xml version="1.0" encoding="UTF-8"?>

<Relationships xmlns="http://schemas.openxmlformats.org/package/2006/relationships">
  <Relationship Id="rId1" Type="http://schemas.openxmlformats.org/officeDocument/2006/relationships/printerSettings" Target="../printerSettings/printerSettings6.bin"/>
  <Relationship Id="rId2" Type="http://schemas.openxmlformats.org/officeDocument/2006/relationships/vmlDrawing" Target="../drawings/vmlDrawing4.vml"/>
  <Relationship Id="rId3" Type="http://schemas.openxmlformats.org/officeDocument/2006/relationships/comments" Target="../comments4.xml"/>
</Relationships>

</file>

<file path=xl/worksheets/_rels/sheet7.xml.rels><?xml version="1.0" encoding="UTF-8"?>

<Relationships xmlns="http://schemas.openxmlformats.org/package/2006/relationships">
  <Relationship Id="rId1" Type="http://schemas.openxmlformats.org/officeDocument/2006/relationships/printerSettings" Target="../printerSettings/printerSettings7.bin"/>
  <Relationship Id="rId2" Type="http://schemas.openxmlformats.org/officeDocument/2006/relationships/vmlDrawing" Target="../drawings/vmlDrawing5.vml"/>
  <Relationship Id="rId3" Type="http://schemas.openxmlformats.org/officeDocument/2006/relationships/comments" Target="../comments5.xml"/>
</Relationships>

</file>

<file path=xl/worksheets/_rels/sheet8.xml.rels><?xml version="1.0" encoding="UTF-8"?>

<Relationships xmlns="http://schemas.openxmlformats.org/package/2006/relationships">
  <Relationship Id="rId1" Type="http://schemas.openxmlformats.org/officeDocument/2006/relationships/printerSettings" Target="../printerSettings/printerSettings8.bin"/>
  <Relationship Id="rId2" Type="http://schemas.openxmlformats.org/officeDocument/2006/relationships/vmlDrawing" Target="../drawings/vmlDrawing6.vml"/>
  <Relationship Id="rId3" Type="http://schemas.openxmlformats.org/officeDocument/2006/relationships/comments" Target="../comments6.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K37"/>
  <sheetViews>
    <sheetView showGridLines="0" zoomScaleNormal="100" zoomScaleSheetLayoutView="130" workbookViewId="0">
      <selection activeCell="C3" sqref="C3:E3"/>
    </sheetView>
  </sheetViews>
  <sheetFormatPr defaultColWidth="11.453125" defaultRowHeight="13" x14ac:dyDescent="0.25"/>
  <cols>
    <col min="1" max="1" width="9.7265625" style="92" customWidth="1"/>
    <col min="2" max="2" width="10.453125" style="92" customWidth="1"/>
    <col min="3" max="3" width="9.453125" style="92" customWidth="1"/>
    <col min="4" max="5" width="9.7265625" style="92" customWidth="1"/>
    <col min="6" max="6" width="10" style="92" customWidth="1"/>
    <col min="7" max="8" width="9.7265625" style="92" customWidth="1"/>
    <col min="9" max="9" width="15" style="92" customWidth="1"/>
    <col min="10" max="10" width="11.453125" style="92"/>
    <col min="11" max="11" width="75.26953125" style="92" customWidth="1"/>
    <col min="12" max="16384" width="11.453125" style="92"/>
  </cols>
  <sheetData>
    <row r="1" spans="1:9" ht="72" customHeight="1" x14ac:dyDescent="0.25">
      <c r="A1" s="367"/>
      <c r="B1" s="368"/>
      <c r="C1" s="368"/>
      <c r="D1" s="368"/>
      <c r="E1" s="368"/>
      <c r="F1" s="368"/>
      <c r="G1" s="368"/>
      <c r="H1" s="368"/>
      <c r="I1" s="369"/>
    </row>
    <row r="2" spans="1:9" ht="27" customHeight="1" x14ac:dyDescent="0.25">
      <c r="A2" s="370" t="s">
        <v>731</v>
      </c>
      <c r="B2" s="371"/>
      <c r="C2" s="372" t="s">
        <v>2457</v>
      </c>
      <c r="D2" s="372"/>
      <c r="E2" s="372"/>
      <c r="F2" s="372"/>
      <c r="G2" s="372"/>
      <c r="H2" s="372"/>
      <c r="I2" s="373"/>
    </row>
    <row r="3" spans="1:9" ht="27" customHeight="1" x14ac:dyDescent="0.25">
      <c r="A3" s="374" t="s">
        <v>732</v>
      </c>
      <c r="B3" s="375"/>
      <c r="C3" s="376" t="s">
        <v>2468</v>
      </c>
      <c r="D3" s="377"/>
      <c r="E3" s="377"/>
      <c r="F3" s="378" t="s">
        <v>35</v>
      </c>
      <c r="G3" s="379"/>
      <c r="H3" s="390" t="s">
        <v>0</v>
      </c>
      <c r="I3" s="391"/>
    </row>
    <row r="4" spans="1:9" ht="34.5" customHeight="1" x14ac:dyDescent="0.25">
      <c r="A4" s="380" t="s">
        <v>2378</v>
      </c>
      <c r="B4" s="381"/>
      <c r="C4" s="382" t="s">
        <v>2463</v>
      </c>
      <c r="D4" s="383"/>
      <c r="E4" s="384"/>
      <c r="F4" s="385"/>
      <c r="G4" s="383"/>
      <c r="H4" s="383"/>
      <c r="I4" s="386"/>
    </row>
    <row r="5" spans="1:9" ht="27" customHeight="1" x14ac:dyDescent="0.25">
      <c r="A5" s="387" t="s">
        <v>2379</v>
      </c>
      <c r="B5" s="375"/>
      <c r="C5" s="388"/>
      <c r="D5" s="388"/>
      <c r="E5" s="388"/>
      <c r="F5" s="388"/>
      <c r="G5" s="388"/>
      <c r="H5" s="388"/>
      <c r="I5" s="389"/>
    </row>
    <row r="6" spans="1:9" ht="21" customHeight="1" thickBot="1" x14ac:dyDescent="0.3">
      <c r="A6" s="364"/>
      <c r="B6" s="365"/>
      <c r="C6" s="365"/>
      <c r="D6" s="365"/>
      <c r="E6" s="365"/>
      <c r="F6" s="365"/>
      <c r="G6" s="365"/>
      <c r="H6" s="365"/>
      <c r="I6" s="366"/>
    </row>
    <row r="7" spans="1:9" s="93" customFormat="1" ht="54" customHeight="1" x14ac:dyDescent="0.25">
      <c r="A7" s="343" t="s">
        <v>2461</v>
      </c>
      <c r="B7" s="344"/>
      <c r="C7" s="344"/>
      <c r="D7" s="344"/>
      <c r="E7" s="344"/>
      <c r="F7" s="344"/>
      <c r="G7" s="344"/>
      <c r="H7" s="344"/>
      <c r="I7" s="345"/>
    </row>
    <row r="8" spans="1:9" ht="27.75" customHeight="1" thickBot="1" x14ac:dyDescent="0.3">
      <c r="A8" s="346"/>
      <c r="B8" s="347"/>
      <c r="C8" s="347"/>
      <c r="D8" s="347"/>
      <c r="E8" s="347"/>
      <c r="F8" s="347"/>
      <c r="G8" s="347"/>
      <c r="H8" s="347"/>
      <c r="I8" s="348"/>
    </row>
    <row r="9" spans="1:9" ht="30" customHeight="1" thickBot="1" x14ac:dyDescent="0.3">
      <c r="A9" s="349"/>
      <c r="B9" s="350"/>
      <c r="C9" s="350"/>
      <c r="D9" s="350"/>
      <c r="E9" s="350"/>
      <c r="F9" s="350"/>
      <c r="G9" s="350"/>
      <c r="H9" s="350"/>
      <c r="I9" s="351"/>
    </row>
    <row r="10" spans="1:9" ht="15" customHeight="1" x14ac:dyDescent="0.25">
      <c r="A10" s="352" t="s">
        <v>2462</v>
      </c>
      <c r="B10" s="353"/>
      <c r="C10" s="353"/>
      <c r="D10" s="353"/>
      <c r="E10" s="353"/>
      <c r="F10" s="353"/>
      <c r="G10" s="353"/>
      <c r="H10" s="353"/>
      <c r="I10" s="354"/>
    </row>
    <row r="11" spans="1:9" ht="15" customHeight="1" x14ac:dyDescent="0.25">
      <c r="A11" s="355"/>
      <c r="B11" s="356"/>
      <c r="C11" s="356"/>
      <c r="D11" s="356"/>
      <c r="E11" s="356"/>
      <c r="F11" s="356"/>
      <c r="G11" s="356"/>
      <c r="H11" s="356"/>
      <c r="I11" s="357"/>
    </row>
    <row r="12" spans="1:9" ht="15" customHeight="1" x14ac:dyDescent="0.25">
      <c r="A12" s="355"/>
      <c r="B12" s="356"/>
      <c r="C12" s="356"/>
      <c r="D12" s="356"/>
      <c r="E12" s="356"/>
      <c r="F12" s="356"/>
      <c r="G12" s="356"/>
      <c r="H12" s="356"/>
      <c r="I12" s="357"/>
    </row>
    <row r="13" spans="1:9" ht="15" customHeight="1" x14ac:dyDescent="0.25">
      <c r="A13" s="355"/>
      <c r="B13" s="356"/>
      <c r="C13" s="356"/>
      <c r="D13" s="356"/>
      <c r="E13" s="356"/>
      <c r="F13" s="356"/>
      <c r="G13" s="356"/>
      <c r="H13" s="356"/>
      <c r="I13" s="357"/>
    </row>
    <row r="14" spans="1:9" ht="17.25" customHeight="1" thickBot="1" x14ac:dyDescent="0.3">
      <c r="A14" s="358"/>
      <c r="B14" s="359"/>
      <c r="C14" s="359"/>
      <c r="D14" s="359"/>
      <c r="E14" s="359"/>
      <c r="F14" s="359"/>
      <c r="G14" s="359"/>
      <c r="H14" s="359"/>
      <c r="I14" s="360"/>
    </row>
    <row r="15" spans="1:9" ht="25.5" customHeight="1" thickBot="1" x14ac:dyDescent="0.3">
      <c r="A15" s="361"/>
      <c r="B15" s="362"/>
      <c r="C15" s="362"/>
      <c r="D15" s="362"/>
      <c r="E15" s="362"/>
      <c r="F15" s="362"/>
      <c r="G15" s="362"/>
      <c r="H15" s="362"/>
      <c r="I15" s="363"/>
    </row>
    <row r="16" spans="1:9" ht="28.9" customHeight="1" x14ac:dyDescent="0.25">
      <c r="A16" s="334" t="s">
        <v>725</v>
      </c>
      <c r="B16" s="335"/>
      <c r="C16" s="336"/>
      <c r="D16" s="334" t="s">
        <v>726</v>
      </c>
      <c r="E16" s="335"/>
      <c r="F16" s="336"/>
      <c r="G16" s="334" t="s">
        <v>726</v>
      </c>
      <c r="H16" s="335"/>
      <c r="I16" s="336"/>
    </row>
    <row r="17" spans="1:11" ht="17.25" customHeight="1" x14ac:dyDescent="0.25">
      <c r="A17" s="337" t="s">
        <v>727</v>
      </c>
      <c r="B17" s="338"/>
      <c r="C17" s="339"/>
      <c r="D17" s="337" t="s">
        <v>1199</v>
      </c>
      <c r="E17" s="338"/>
      <c r="F17" s="339"/>
      <c r="G17" s="337" t="s">
        <v>728</v>
      </c>
      <c r="H17" s="338"/>
      <c r="I17" s="339"/>
    </row>
    <row r="18" spans="1:11" ht="42.75" customHeight="1" thickBot="1" x14ac:dyDescent="0.3">
      <c r="A18" s="340" t="s">
        <v>2458</v>
      </c>
      <c r="B18" s="341"/>
      <c r="C18" s="342"/>
      <c r="D18" s="331" t="s">
        <v>2459</v>
      </c>
      <c r="E18" s="332"/>
      <c r="F18" s="333"/>
      <c r="G18" s="331" t="s">
        <v>2460</v>
      </c>
      <c r="H18" s="332"/>
      <c r="I18" s="333"/>
    </row>
    <row r="19" spans="1:11" s="94" customFormat="1" x14ac:dyDescent="0.25">
      <c r="A19" s="334" t="s">
        <v>726</v>
      </c>
      <c r="B19" s="335"/>
      <c r="C19" s="336"/>
      <c r="D19" s="334" t="s">
        <v>726</v>
      </c>
      <c r="E19" s="335"/>
      <c r="F19" s="336"/>
      <c r="G19" s="334" t="s">
        <v>726</v>
      </c>
      <c r="H19" s="335"/>
      <c r="I19" s="336"/>
    </row>
    <row r="20" spans="1:11" x14ac:dyDescent="0.25">
      <c r="A20" s="337" t="s">
        <v>728</v>
      </c>
      <c r="B20" s="338"/>
      <c r="C20" s="339"/>
      <c r="D20" s="337" t="s">
        <v>728</v>
      </c>
      <c r="E20" s="338"/>
      <c r="F20" s="339"/>
      <c r="G20" s="337" t="s">
        <v>728</v>
      </c>
      <c r="H20" s="338"/>
      <c r="I20" s="339"/>
    </row>
    <row r="21" spans="1:11" ht="13.5" customHeight="1" thickBot="1" x14ac:dyDescent="0.3">
      <c r="A21" s="331" t="s">
        <v>1200</v>
      </c>
      <c r="B21" s="332"/>
      <c r="C21" s="333"/>
      <c r="D21" s="331" t="s">
        <v>1200</v>
      </c>
      <c r="E21" s="332"/>
      <c r="F21" s="333"/>
      <c r="G21" s="331" t="s">
        <v>1200</v>
      </c>
      <c r="H21" s="332"/>
      <c r="I21" s="333"/>
    </row>
    <row r="23" spans="1:11" x14ac:dyDescent="0.3">
      <c r="C23" s="95"/>
      <c r="D23" s="95"/>
    </row>
    <row r="24" spans="1:11" x14ac:dyDescent="0.3">
      <c r="C24" s="95"/>
      <c r="D24" s="95"/>
    </row>
    <row r="25" spans="1:11" x14ac:dyDescent="0.3">
      <c r="C25" s="95"/>
      <c r="D25" s="95"/>
    </row>
    <row r="26" spans="1:11" x14ac:dyDescent="0.3">
      <c r="C26" s="95"/>
      <c r="D26" s="95"/>
    </row>
    <row r="27" spans="1:11" x14ac:dyDescent="0.3">
      <c r="C27" s="95"/>
      <c r="D27" s="95"/>
    </row>
    <row r="28" spans="1:11" x14ac:dyDescent="0.3">
      <c r="C28" s="95"/>
      <c r="D28" s="95"/>
    </row>
    <row r="29" spans="1:11" x14ac:dyDescent="0.3">
      <c r="C29" s="95"/>
      <c r="D29" s="95"/>
      <c r="E29" s="93"/>
    </row>
    <row r="30" spans="1:11" x14ac:dyDescent="0.3">
      <c r="C30" s="95"/>
      <c r="D30" s="95"/>
    </row>
    <row r="31" spans="1:11" ht="195" x14ac:dyDescent="0.3">
      <c r="C31" s="95"/>
      <c r="D31" s="95"/>
      <c r="K31" s="146" t="s">
        <v>2469</v>
      </c>
    </row>
    <row r="32" spans="1:11" x14ac:dyDescent="0.3">
      <c r="C32" s="95"/>
      <c r="D32" s="95"/>
    </row>
    <row r="33" spans="3:4" x14ac:dyDescent="0.3">
      <c r="C33" s="95"/>
      <c r="D33" s="95"/>
    </row>
    <row r="34" spans="3:4" x14ac:dyDescent="0.3">
      <c r="C34" s="95"/>
      <c r="D34" s="95"/>
    </row>
    <row r="35" spans="3:4" x14ac:dyDescent="0.3">
      <c r="C35" s="95"/>
      <c r="D35" s="95"/>
    </row>
    <row r="36" spans="3:4" x14ac:dyDescent="0.3">
      <c r="C36" s="95"/>
      <c r="D36" s="95"/>
    </row>
    <row r="37" spans="3:4" x14ac:dyDescent="0.3">
      <c r="C37" s="95"/>
      <c r="D37" s="95"/>
    </row>
  </sheetData>
  <sheetProtection password="CA6F" sheet="1" objects="1" scenarios="1"/>
  <mergeCells count="35">
    <mergeCell ref="A6:I6"/>
    <mergeCell ref="A1:I1"/>
    <mergeCell ref="A2:B2"/>
    <mergeCell ref="C2:I2"/>
    <mergeCell ref="A3:B3"/>
    <mergeCell ref="C3:E3"/>
    <mergeCell ref="F3:G3"/>
    <mergeCell ref="A4:B4"/>
    <mergeCell ref="C4:E4"/>
    <mergeCell ref="F4:I4"/>
    <mergeCell ref="A5:B5"/>
    <mergeCell ref="C5:I5"/>
    <mergeCell ref="H3:I3"/>
    <mergeCell ref="A7:I8"/>
    <mergeCell ref="A9:I9"/>
    <mergeCell ref="A10:I14"/>
    <mergeCell ref="A15:I15"/>
    <mergeCell ref="A16:C16"/>
    <mergeCell ref="D16:F16"/>
    <mergeCell ref="G16:I16"/>
    <mergeCell ref="A17:C17"/>
    <mergeCell ref="D17:F17"/>
    <mergeCell ref="G17:I17"/>
    <mergeCell ref="A18:C18"/>
    <mergeCell ref="D18:F18"/>
    <mergeCell ref="G18:I18"/>
    <mergeCell ref="G21:I21"/>
    <mergeCell ref="A19:C19"/>
    <mergeCell ref="D19:F19"/>
    <mergeCell ref="G19:I19"/>
    <mergeCell ref="A20:C20"/>
    <mergeCell ref="D20:F20"/>
    <mergeCell ref="G20:I20"/>
    <mergeCell ref="A21:C21"/>
    <mergeCell ref="D21:F21"/>
  </mergeCells>
  <phoneticPr fontId="54" type="noConversion"/>
  <pageMargins left="0.78740157499999996" right="0.78740157499999996" top="0.984251969" bottom="0.984251969" header="0.4921259845" footer="0.4921259845"/>
  <pageSetup paperSize="9" scale="97" orientation="portrait" horizontalDpi="300" verticalDpi="300" r:id="rId1"/>
  <headerFooter alignWithMargins="0">
    <oddHeader>&amp;L00952_09_00795 V3.0&amp;CModèle DSEE - Plan type Excel - &amp;A&amp;R04/05/11 11:39</oddHeader>
    <oddFooter>&amp;LFRANKENBERG NELLY-U203567&amp;C- page &amp;P / &amp;N -&amp;RA usage interne</oddFooter>
  </headerFooter>
  <colBreaks count="1" manualBreakCount="1">
    <brk id="9"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D4"/>
  <sheetViews>
    <sheetView showGridLines="0" zoomScaleNormal="100" zoomScaleSheetLayoutView="130" workbookViewId="0">
      <pane ySplit="2" topLeftCell="A3" activePane="bottomLeft" state="frozen"/>
      <selection pane="bottomLeft" activeCell="C3" sqref="C3"/>
    </sheetView>
  </sheetViews>
  <sheetFormatPr defaultColWidth="11.54296875" defaultRowHeight="12.5" x14ac:dyDescent="0.25"/>
  <cols>
    <col min="1" max="1" width="9.7265625" style="14" customWidth="1"/>
    <col min="2" max="2" width="14" style="14" customWidth="1"/>
    <col min="3" max="3" width="57.7265625" style="14" customWidth="1"/>
    <col min="4" max="4" width="17.7265625" style="14" bestFit="1" customWidth="1"/>
    <col min="5" max="16384" width="11.54296875" style="14"/>
  </cols>
  <sheetData>
    <row r="1" spans="1:4" ht="15.5" x14ac:dyDescent="0.25">
      <c r="A1" s="392" t="s">
        <v>34</v>
      </c>
      <c r="B1" s="393"/>
      <c r="C1" s="393"/>
      <c r="D1" s="394"/>
    </row>
    <row r="2" spans="1:4" ht="14.25" customHeight="1" x14ac:dyDescent="0.25">
      <c r="A2" s="96" t="s">
        <v>35</v>
      </c>
      <c r="B2" s="97" t="s">
        <v>36</v>
      </c>
      <c r="C2" s="98" t="s">
        <v>37</v>
      </c>
      <c r="D2" s="99" t="s">
        <v>38</v>
      </c>
    </row>
    <row r="3" spans="1:4" ht="18" customHeight="1" x14ac:dyDescent="0.25">
      <c r="A3" s="148" t="s">
        <v>0</v>
      </c>
      <c r="B3" s="149">
        <v>45994</v>
      </c>
      <c r="C3" s="150" t="s">
        <v>729</v>
      </c>
      <c r="D3" s="151" t="s">
        <v>33</v>
      </c>
    </row>
    <row r="4" spans="1:4" ht="13.5" thickBot="1" x14ac:dyDescent="0.3">
      <c r="A4" s="1"/>
      <c r="B4" s="2"/>
      <c r="C4" s="2"/>
      <c r="D4" s="91"/>
    </row>
  </sheetData>
  <sheetProtection password="CA6F" sheet="1" objects="1" scenarios="1"/>
  <mergeCells count="1">
    <mergeCell ref="A1:D1"/>
  </mergeCells>
  <phoneticPr fontId="54" type="noConversion"/>
  <pageMargins left="0.78740157499999996" right="0.78740157499999996" top="0.984251969" bottom="0.984251969" header="0.4921259845" footer="0.4921259845"/>
  <pageSetup paperSize="9" scale="97" orientation="portrait" horizontalDpi="300" verticalDpi="300" r:id="rId1"/>
  <headerFooter alignWithMargins="0">
    <oddHeader>&amp;L00952_09_00795 V3.0&amp;CModèle DSEE - Plan type Excel - &amp;A&amp;R04/05/11 11:39</oddHeader>
    <oddFooter>&amp;LFRANKENBERG NELLY-U203567&amp;C- page &amp;P / &amp;N -&amp;RA usage interne</oddFooter>
  </headerFooter>
  <colBreaks count="1" manualBreakCount="1">
    <brk id="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5"/>
  <sheetViews>
    <sheetView showGridLines="0" zoomScaleNormal="100" workbookViewId="0">
      <selection activeCell="G4" sqref="G4"/>
    </sheetView>
  </sheetViews>
  <sheetFormatPr defaultColWidth="11.54296875" defaultRowHeight="12.5" x14ac:dyDescent="0.25"/>
  <cols>
    <col min="1" max="1" width="8" style="144" customWidth="1"/>
    <col min="2" max="2" width="74.453125" style="144" bestFit="1" customWidth="1"/>
    <col min="3" max="3" width="13.81640625" style="144" customWidth="1"/>
    <col min="4" max="4" width="9.1796875" style="144" bestFit="1" customWidth="1"/>
    <col min="5" max="5" width="15.54296875" style="144" bestFit="1" customWidth="1"/>
    <col min="6" max="6" width="9.453125" style="144" customWidth="1"/>
    <col min="7" max="7" width="8.7265625" style="144" bestFit="1" customWidth="1"/>
    <col min="8" max="8" width="10.453125" style="144" bestFit="1" customWidth="1"/>
    <col min="9" max="9" width="11.54296875" style="144"/>
    <col min="10" max="27" width="11.54296875" style="132"/>
    <col min="28" max="16384" width="11.54296875" style="144"/>
  </cols>
  <sheetData>
    <row r="1" spans="1:13" x14ac:dyDescent="0.25">
      <c r="A1" s="129"/>
      <c r="B1" s="130"/>
      <c r="C1" s="130"/>
      <c r="D1" s="130"/>
      <c r="E1" s="130"/>
      <c r="F1" s="169"/>
      <c r="G1" s="130"/>
      <c r="H1" s="130"/>
      <c r="I1" s="131"/>
    </row>
    <row r="2" spans="1:13" ht="24" customHeight="1" x14ac:dyDescent="0.25">
      <c r="A2" s="395" t="s">
        <v>1260</v>
      </c>
      <c r="B2" s="396"/>
      <c r="C2" s="396"/>
      <c r="D2" s="396"/>
      <c r="E2" s="396"/>
      <c r="F2" s="396"/>
      <c r="G2" s="396"/>
      <c r="H2" s="396"/>
      <c r="I2" s="397"/>
      <c r="J2" s="133"/>
      <c r="K2" s="133"/>
      <c r="L2" s="133"/>
      <c r="M2" s="133"/>
    </row>
    <row r="3" spans="1:13" ht="13" thickBot="1" x14ac:dyDescent="0.3">
      <c r="A3" s="134"/>
      <c r="B3" s="135"/>
      <c r="C3" s="135"/>
      <c r="D3" s="135"/>
      <c r="E3" s="135"/>
      <c r="F3" s="185"/>
      <c r="G3" s="135"/>
      <c r="H3" s="135"/>
      <c r="I3" s="136"/>
    </row>
    <row r="4" spans="1:13" ht="16" thickBot="1" x14ac:dyDescent="0.3">
      <c r="A4" s="137"/>
      <c r="B4" s="138" t="s">
        <v>1259</v>
      </c>
      <c r="C4" s="138" t="s">
        <v>536</v>
      </c>
      <c r="D4" s="138" t="s">
        <v>537</v>
      </c>
      <c r="E4" s="138" t="s">
        <v>1258</v>
      </c>
      <c r="F4" s="266" t="s">
        <v>1762</v>
      </c>
      <c r="G4" s="138" t="s">
        <v>1254</v>
      </c>
      <c r="H4" s="138" t="s">
        <v>1257</v>
      </c>
      <c r="I4" s="136"/>
    </row>
    <row r="5" spans="1:13" ht="36" customHeight="1" thickBot="1" x14ac:dyDescent="0.3">
      <c r="A5" s="152" t="s">
        <v>538</v>
      </c>
      <c r="B5" s="153" t="s">
        <v>1761</v>
      </c>
      <c r="C5" s="154" t="s">
        <v>539</v>
      </c>
      <c r="D5" s="328">
        <v>4</v>
      </c>
      <c r="E5" s="154" t="s">
        <v>28</v>
      </c>
      <c r="F5" s="155" t="s">
        <v>1763</v>
      </c>
      <c r="G5" s="229" t="s">
        <v>541</v>
      </c>
      <c r="H5" s="229" t="s">
        <v>541</v>
      </c>
      <c r="I5" s="136"/>
    </row>
    <row r="6" spans="1:13" ht="36" customHeight="1" thickBot="1" x14ac:dyDescent="0.3">
      <c r="A6" s="152" t="s">
        <v>540</v>
      </c>
      <c r="B6" s="153" t="s">
        <v>730</v>
      </c>
      <c r="C6" s="154" t="s">
        <v>1764</v>
      </c>
      <c r="D6" s="328">
        <v>3</v>
      </c>
      <c r="E6" s="154" t="s">
        <v>908</v>
      </c>
      <c r="F6" s="160" t="s">
        <v>32</v>
      </c>
      <c r="G6" s="229" t="s">
        <v>541</v>
      </c>
      <c r="H6" s="229" t="s">
        <v>541</v>
      </c>
      <c r="I6" s="136"/>
    </row>
    <row r="7" spans="1:13" ht="36" customHeight="1" thickBot="1" x14ac:dyDescent="0.3">
      <c r="A7" s="152" t="s">
        <v>1256</v>
      </c>
      <c r="B7" s="153" t="s">
        <v>1255</v>
      </c>
      <c r="C7" s="154" t="s">
        <v>1765</v>
      </c>
      <c r="D7" s="328">
        <v>2</v>
      </c>
      <c r="E7" s="154" t="s">
        <v>2435</v>
      </c>
      <c r="F7" s="160" t="s">
        <v>2415</v>
      </c>
      <c r="G7" s="229" t="s">
        <v>541</v>
      </c>
      <c r="H7" s="229" t="s">
        <v>541</v>
      </c>
      <c r="I7" s="136"/>
    </row>
    <row r="8" spans="1:13" s="14" customFormat="1" ht="33.75" customHeight="1" thickBot="1" x14ac:dyDescent="0.3">
      <c r="A8" s="3" t="s">
        <v>545</v>
      </c>
      <c r="B8" s="13" t="s">
        <v>546</v>
      </c>
      <c r="C8" s="268" t="s">
        <v>547</v>
      </c>
      <c r="D8" s="329">
        <v>3</v>
      </c>
      <c r="E8" s="228" t="s">
        <v>548</v>
      </c>
      <c r="F8" s="160" t="s">
        <v>32</v>
      </c>
      <c r="G8" s="229" t="s">
        <v>541</v>
      </c>
      <c r="H8" s="229" t="s">
        <v>541</v>
      </c>
      <c r="I8" s="136"/>
    </row>
    <row r="9" spans="1:13" s="132" customFormat="1" x14ac:dyDescent="0.25">
      <c r="A9" s="134"/>
      <c r="B9" s="135"/>
      <c r="C9" s="135"/>
      <c r="D9" s="135"/>
      <c r="E9" s="135"/>
      <c r="F9" s="185"/>
      <c r="G9" s="135"/>
      <c r="H9" s="135"/>
      <c r="I9" s="136"/>
    </row>
    <row r="10" spans="1:13" s="132" customFormat="1" ht="15.5" x14ac:dyDescent="0.25">
      <c r="A10" s="395" t="s">
        <v>2377</v>
      </c>
      <c r="B10" s="396"/>
      <c r="C10" s="396"/>
      <c r="D10" s="396"/>
      <c r="E10" s="396"/>
      <c r="F10" s="396"/>
      <c r="G10" s="396"/>
      <c r="H10" s="396"/>
      <c r="I10" s="397"/>
      <c r="J10" s="133"/>
      <c r="K10" s="133"/>
      <c r="L10" s="133"/>
      <c r="M10" s="133"/>
    </row>
    <row r="11" spans="1:13" s="132" customFormat="1" ht="13" thickBot="1" x14ac:dyDescent="0.3">
      <c r="A11" s="134"/>
      <c r="B11" s="135"/>
      <c r="C11" s="135"/>
      <c r="D11" s="135"/>
      <c r="E11" s="135"/>
      <c r="F11" s="185"/>
      <c r="G11" s="135"/>
      <c r="H11" s="135"/>
      <c r="I11" s="136"/>
    </row>
    <row r="12" spans="1:13" s="132" customFormat="1" ht="16" thickBot="1" x14ac:dyDescent="0.3">
      <c r="A12" s="137"/>
      <c r="B12" s="138" t="s">
        <v>1259</v>
      </c>
      <c r="C12" s="138" t="s">
        <v>536</v>
      </c>
      <c r="D12" s="138" t="s">
        <v>537</v>
      </c>
      <c r="E12" s="138" t="s">
        <v>1258</v>
      </c>
      <c r="F12" s="266" t="s">
        <v>1762</v>
      </c>
      <c r="G12" s="138" t="s">
        <v>1254</v>
      </c>
      <c r="H12" s="138" t="s">
        <v>1257</v>
      </c>
      <c r="I12" s="136"/>
    </row>
    <row r="13" spans="1:13" s="132" customFormat="1" ht="15" thickBot="1" x14ac:dyDescent="0.3">
      <c r="A13" s="139" t="s">
        <v>542</v>
      </c>
      <c r="B13" s="308" t="s">
        <v>1558</v>
      </c>
      <c r="C13" s="140" t="s">
        <v>541</v>
      </c>
      <c r="D13" s="140" t="s">
        <v>541</v>
      </c>
      <c r="E13" s="140" t="s">
        <v>541</v>
      </c>
      <c r="F13" s="154" t="s">
        <v>541</v>
      </c>
      <c r="G13" s="154" t="s">
        <v>541</v>
      </c>
      <c r="H13" s="154" t="s">
        <v>541</v>
      </c>
      <c r="I13" s="136"/>
    </row>
    <row r="14" spans="1:13" s="132" customFormat="1" x14ac:dyDescent="0.25">
      <c r="A14" s="134"/>
      <c r="B14" s="135"/>
      <c r="C14" s="135"/>
      <c r="D14" s="135"/>
      <c r="E14" s="135"/>
      <c r="F14" s="185"/>
      <c r="G14" s="135"/>
      <c r="H14" s="135"/>
      <c r="I14" s="136"/>
    </row>
    <row r="15" spans="1:13" s="132" customFormat="1" ht="13" thickBot="1" x14ac:dyDescent="0.3">
      <c r="A15" s="141"/>
      <c r="B15" s="142"/>
      <c r="C15" s="142"/>
      <c r="D15" s="142"/>
      <c r="E15" s="142"/>
      <c r="F15" s="267"/>
      <c r="G15" s="142"/>
      <c r="H15" s="142"/>
      <c r="I15" s="143"/>
    </row>
  </sheetData>
  <sheetProtection password="CA6F" sheet="1" objects="1" scenarios="1"/>
  <mergeCells count="2">
    <mergeCell ref="A2:I2"/>
    <mergeCell ref="A10:I10"/>
  </mergeCells>
  <phoneticPr fontId="54" type="noConversion"/>
  <hyperlinks>
    <hyperlink ref="F8" r:id="rId1"/>
    <hyperlink ref="F7" r:id="rId2"/>
    <hyperlink ref="F6" r:id="rId3"/>
    <hyperlink ref="F5" r:id="rId4" display="http://docinfogroupe.inetpsa.com/ead/doc/ref.02016_12_01755/v.18.0/fiche"/>
  </hyperlinks>
  <pageMargins left="0.7" right="0.7" top="0.75" bottom="0.75" header="0.3" footer="0.3"/>
  <pageSetup paperSize="9"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outlinePr summaryBelow="0"/>
  </sheetPr>
  <dimension ref="A1:V98"/>
  <sheetViews>
    <sheetView showGridLines="0" zoomScale="106" zoomScaleNormal="106" workbookViewId="0">
      <pane xSplit="2" ySplit="2" topLeftCell="C3" activePane="bottomRight" state="frozen"/>
      <selection pane="topRight" activeCell="G20" sqref="G20:I20"/>
      <selection pane="bottomLeft" activeCell="G20" sqref="G20:I20"/>
      <selection pane="bottomRight" activeCell="C18" sqref="C18"/>
    </sheetView>
  </sheetViews>
  <sheetFormatPr defaultColWidth="11.54296875" defaultRowHeight="12.5" x14ac:dyDescent="0.25"/>
  <cols>
    <col min="1" max="1" width="7.7265625" style="144" customWidth="1"/>
    <col min="2" max="2" width="48.1796875" style="188" customWidth="1"/>
    <col min="3" max="3" width="20.81640625" style="144" bestFit="1" customWidth="1"/>
    <col min="4" max="4" width="11.54296875" style="144"/>
    <col min="5" max="22" width="11.54296875" style="132"/>
    <col min="23" max="16384" width="11.54296875" style="144"/>
  </cols>
  <sheetData>
    <row r="1" spans="1:22" ht="13" thickBot="1" x14ac:dyDescent="0.3">
      <c r="A1" s="167"/>
      <c r="B1" s="168"/>
      <c r="C1" s="169"/>
      <c r="D1" s="170"/>
    </row>
    <row r="2" spans="1:22" s="132" customFormat="1" ht="15" thickBot="1" x14ac:dyDescent="0.3">
      <c r="A2" s="171"/>
      <c r="B2" s="289"/>
      <c r="C2" s="172" t="s">
        <v>2464</v>
      </c>
      <c r="D2" s="173"/>
    </row>
    <row r="3" spans="1:22" s="132" customFormat="1" ht="15" thickBot="1" x14ac:dyDescent="0.3">
      <c r="A3" s="171"/>
      <c r="B3" s="175" t="s">
        <v>2412</v>
      </c>
      <c r="C3" s="304" t="s">
        <v>541</v>
      </c>
      <c r="D3" s="173"/>
    </row>
    <row r="4" spans="1:22" s="132" customFormat="1" ht="15" thickBot="1" x14ac:dyDescent="0.3">
      <c r="A4" s="171"/>
      <c r="B4" s="175" t="s">
        <v>2413</v>
      </c>
      <c r="C4" s="176" t="s">
        <v>2463</v>
      </c>
      <c r="D4" s="173"/>
    </row>
    <row r="5" spans="1:22" s="132" customFormat="1" ht="15" thickBot="1" x14ac:dyDescent="0.3">
      <c r="A5" s="171"/>
      <c r="B5" s="175" t="s">
        <v>2411</v>
      </c>
      <c r="C5" s="287" t="s">
        <v>2465</v>
      </c>
      <c r="D5" s="173"/>
    </row>
    <row r="6" spans="1:22" s="132" customFormat="1" ht="15" thickBot="1" x14ac:dyDescent="0.3">
      <c r="A6" s="171"/>
      <c r="B6" s="289"/>
      <c r="C6" s="286"/>
      <c r="D6" s="173"/>
    </row>
    <row r="7" spans="1:22" s="132" customFormat="1" ht="16" thickBot="1" x14ac:dyDescent="0.3">
      <c r="A7" s="174"/>
      <c r="B7" s="175" t="s">
        <v>1201</v>
      </c>
      <c r="C7" s="287" t="s">
        <v>2416</v>
      </c>
      <c r="D7" s="173"/>
    </row>
    <row r="8" spans="1:22" s="132" customFormat="1" ht="16" thickBot="1" x14ac:dyDescent="0.3">
      <c r="A8" s="174"/>
      <c r="B8" s="175" t="s">
        <v>1202</v>
      </c>
      <c r="C8" s="181" t="s">
        <v>2466</v>
      </c>
      <c r="D8" s="173"/>
    </row>
    <row r="9" spans="1:22" s="132" customFormat="1" ht="16" thickBot="1" x14ac:dyDescent="0.3">
      <c r="A9" s="174"/>
      <c r="B9" s="175" t="s">
        <v>1203</v>
      </c>
      <c r="C9" s="176" t="s">
        <v>1204</v>
      </c>
      <c r="D9" s="173"/>
    </row>
    <row r="10" spans="1:22" s="132" customFormat="1" ht="19.5" customHeight="1" thickBot="1" x14ac:dyDescent="0.3">
      <c r="A10" s="174"/>
      <c r="B10" s="175" t="s">
        <v>1205</v>
      </c>
      <c r="C10" s="177">
        <v>2560</v>
      </c>
      <c r="D10" s="173"/>
    </row>
    <row r="11" spans="1:22" s="132" customFormat="1" ht="19.5" customHeight="1" thickBot="1" x14ac:dyDescent="0.3">
      <c r="A11" s="174"/>
      <c r="B11" s="175" t="s">
        <v>1206</v>
      </c>
      <c r="C11" s="177">
        <v>1440</v>
      </c>
      <c r="D11" s="173"/>
    </row>
    <row r="12" spans="1:22" s="132" customFormat="1" ht="19.5" customHeight="1" thickBot="1" x14ac:dyDescent="0.3">
      <c r="A12" s="174"/>
      <c r="B12" s="175" t="s">
        <v>1207</v>
      </c>
      <c r="C12" s="178">
        <v>60</v>
      </c>
      <c r="D12" s="173"/>
    </row>
    <row r="13" spans="1:22" s="132" customFormat="1" ht="16" thickBot="1" x14ac:dyDescent="0.3">
      <c r="A13" s="174"/>
      <c r="B13" s="179" t="s">
        <v>1208</v>
      </c>
      <c r="C13" s="180" t="s">
        <v>1209</v>
      </c>
      <c r="D13" s="173"/>
    </row>
    <row r="14" spans="1:22" ht="16" thickBot="1" x14ac:dyDescent="0.3">
      <c r="A14" s="174"/>
      <c r="B14" s="179" t="s">
        <v>1210</v>
      </c>
      <c r="C14" s="180">
        <v>24</v>
      </c>
      <c r="D14" s="173"/>
      <c r="E14" s="144"/>
      <c r="F14" s="144"/>
      <c r="G14" s="144"/>
      <c r="H14" s="144"/>
      <c r="I14" s="144"/>
      <c r="J14" s="144"/>
      <c r="K14" s="144"/>
      <c r="L14" s="144"/>
      <c r="M14" s="144"/>
      <c r="N14" s="144"/>
      <c r="O14" s="144"/>
      <c r="P14" s="144"/>
      <c r="Q14" s="144"/>
      <c r="R14" s="144"/>
      <c r="S14" s="144"/>
      <c r="T14" s="144"/>
      <c r="U14" s="144"/>
      <c r="V14" s="144"/>
    </row>
    <row r="15" spans="1:22" s="132" customFormat="1" ht="16" thickBot="1" x14ac:dyDescent="0.3">
      <c r="A15" s="174"/>
      <c r="B15" s="175" t="s">
        <v>1211</v>
      </c>
      <c r="C15" s="176" t="s">
        <v>1212</v>
      </c>
      <c r="D15" s="173"/>
    </row>
    <row r="16" spans="1:22" s="132" customFormat="1" ht="16" thickBot="1" x14ac:dyDescent="0.3">
      <c r="A16" s="174"/>
      <c r="B16" s="175" t="s">
        <v>1213</v>
      </c>
      <c r="C16" s="176" t="s">
        <v>1435</v>
      </c>
      <c r="D16" s="173"/>
    </row>
    <row r="17" spans="1:22" s="132" customFormat="1" ht="16" thickBot="1" x14ac:dyDescent="0.3">
      <c r="A17" s="174"/>
      <c r="B17" s="179" t="s">
        <v>1214</v>
      </c>
      <c r="C17" s="181" t="s">
        <v>1004</v>
      </c>
      <c r="D17" s="173"/>
    </row>
    <row r="18" spans="1:22" s="132" customFormat="1" ht="16" thickBot="1" x14ac:dyDescent="0.3">
      <c r="A18" s="174"/>
      <c r="B18" s="179" t="s">
        <v>586</v>
      </c>
      <c r="C18" s="176" t="s">
        <v>2396</v>
      </c>
      <c r="D18" s="173"/>
    </row>
    <row r="19" spans="1:22" s="132" customFormat="1" ht="16" thickBot="1" x14ac:dyDescent="0.3">
      <c r="A19" s="174"/>
      <c r="B19" s="179" t="s">
        <v>1215</v>
      </c>
      <c r="C19" s="181" t="s">
        <v>1004</v>
      </c>
      <c r="D19" s="173"/>
    </row>
    <row r="20" spans="1:22" s="132" customFormat="1" ht="16" thickBot="1" x14ac:dyDescent="0.3">
      <c r="A20" s="174"/>
      <c r="B20" s="179" t="s">
        <v>2395</v>
      </c>
      <c r="C20" s="288" t="s">
        <v>1233</v>
      </c>
      <c r="D20" s="173"/>
    </row>
    <row r="21" spans="1:22" ht="16.5" customHeight="1" thickBot="1" x14ac:dyDescent="0.3">
      <c r="A21" s="183"/>
      <c r="B21" s="179" t="s">
        <v>2394</v>
      </c>
      <c r="C21" s="184" t="s">
        <v>1216</v>
      </c>
      <c r="D21" s="173"/>
      <c r="E21" s="144"/>
      <c r="F21" s="144"/>
      <c r="G21" s="144"/>
      <c r="H21" s="144"/>
      <c r="I21" s="144"/>
      <c r="J21" s="144"/>
      <c r="K21" s="144"/>
      <c r="L21" s="144"/>
      <c r="M21" s="144"/>
      <c r="N21" s="144"/>
      <c r="O21" s="144"/>
      <c r="P21" s="144"/>
      <c r="Q21" s="144"/>
      <c r="R21" s="144"/>
      <c r="S21" s="144"/>
      <c r="T21" s="144"/>
      <c r="U21" s="144"/>
      <c r="V21" s="144"/>
    </row>
    <row r="22" spans="1:22" ht="16" thickBot="1" x14ac:dyDescent="0.3">
      <c r="A22" s="174"/>
      <c r="B22" s="179" t="s">
        <v>1217</v>
      </c>
      <c r="C22" s="182" t="s">
        <v>1218</v>
      </c>
      <c r="D22" s="173"/>
      <c r="E22" s="144"/>
      <c r="F22" s="144"/>
      <c r="G22" s="144"/>
      <c r="H22" s="144"/>
      <c r="I22" s="144"/>
      <c r="J22" s="144"/>
      <c r="K22" s="144"/>
      <c r="L22" s="144"/>
      <c r="M22" s="144"/>
      <c r="N22" s="144"/>
      <c r="O22" s="144"/>
      <c r="P22" s="144"/>
      <c r="Q22" s="144"/>
      <c r="R22" s="144"/>
      <c r="S22" s="144"/>
      <c r="T22" s="144"/>
      <c r="U22" s="144"/>
      <c r="V22" s="144"/>
    </row>
    <row r="23" spans="1:22" ht="16" thickBot="1" x14ac:dyDescent="0.3">
      <c r="A23" s="174"/>
      <c r="B23" s="179" t="s">
        <v>1760</v>
      </c>
      <c r="C23" s="182" t="s">
        <v>747</v>
      </c>
      <c r="D23" s="173"/>
      <c r="E23" s="144"/>
      <c r="F23" s="144"/>
      <c r="G23" s="144"/>
      <c r="H23" s="144"/>
      <c r="I23" s="144"/>
      <c r="J23" s="144"/>
      <c r="K23" s="144"/>
      <c r="L23" s="144"/>
      <c r="M23" s="144"/>
      <c r="N23" s="144"/>
      <c r="O23" s="144"/>
      <c r="P23" s="144"/>
      <c r="Q23" s="144"/>
      <c r="R23" s="144"/>
      <c r="S23" s="144"/>
      <c r="T23" s="144"/>
      <c r="U23" s="144"/>
      <c r="V23" s="144"/>
    </row>
    <row r="24" spans="1:22" ht="16" thickBot="1" x14ac:dyDescent="0.3">
      <c r="A24" s="174"/>
      <c r="B24" s="179" t="s">
        <v>1219</v>
      </c>
      <c r="C24" s="182" t="s">
        <v>1218</v>
      </c>
      <c r="D24" s="173"/>
      <c r="E24" s="144"/>
      <c r="F24" s="144"/>
      <c r="G24" s="144"/>
      <c r="H24" s="144"/>
      <c r="I24" s="144"/>
      <c r="J24" s="144"/>
      <c r="K24" s="144"/>
      <c r="L24" s="144"/>
      <c r="M24" s="144"/>
      <c r="N24" s="144"/>
      <c r="O24" s="144"/>
      <c r="P24" s="144"/>
      <c r="Q24" s="144"/>
      <c r="R24" s="144"/>
      <c r="S24" s="144"/>
      <c r="T24" s="144"/>
      <c r="U24" s="144"/>
      <c r="V24" s="144"/>
    </row>
    <row r="25" spans="1:22" ht="16" thickBot="1" x14ac:dyDescent="0.3">
      <c r="A25" s="174"/>
      <c r="B25" s="179" t="s">
        <v>1220</v>
      </c>
      <c r="C25" s="182" t="s">
        <v>1218</v>
      </c>
      <c r="D25" s="173"/>
      <c r="E25" s="144"/>
      <c r="F25" s="144"/>
      <c r="G25" s="144"/>
      <c r="H25" s="144"/>
      <c r="I25" s="144"/>
      <c r="J25" s="144"/>
      <c r="K25" s="144"/>
      <c r="L25" s="144"/>
      <c r="M25" s="144"/>
      <c r="N25" s="144"/>
      <c r="O25" s="144"/>
      <c r="P25" s="144"/>
      <c r="Q25" s="144"/>
      <c r="R25" s="144"/>
      <c r="S25" s="144"/>
      <c r="T25" s="144"/>
      <c r="U25" s="144"/>
      <c r="V25" s="144"/>
    </row>
    <row r="26" spans="1:22" ht="16" thickBot="1" x14ac:dyDescent="0.3">
      <c r="A26" s="174"/>
      <c r="B26" s="179" t="s">
        <v>1221</v>
      </c>
      <c r="C26" s="182" t="s">
        <v>1218</v>
      </c>
      <c r="D26" s="173"/>
      <c r="E26" s="144"/>
      <c r="F26" s="144"/>
      <c r="G26" s="144"/>
      <c r="H26" s="144"/>
      <c r="I26" s="144"/>
      <c r="J26" s="144"/>
      <c r="K26" s="144"/>
      <c r="L26" s="144"/>
      <c r="M26" s="144"/>
      <c r="N26" s="144"/>
      <c r="O26" s="144"/>
      <c r="P26" s="144"/>
      <c r="Q26" s="144"/>
      <c r="R26" s="144"/>
      <c r="S26" s="144"/>
      <c r="T26" s="144"/>
      <c r="U26" s="144"/>
      <c r="V26" s="144"/>
    </row>
    <row r="27" spans="1:22" s="132" customFormat="1" ht="16" thickBot="1" x14ac:dyDescent="0.3">
      <c r="A27" s="174"/>
      <c r="B27" s="289"/>
      <c r="C27" s="290"/>
      <c r="D27" s="173"/>
    </row>
    <row r="28" spans="1:22" s="132" customFormat="1" ht="16" thickBot="1" x14ac:dyDescent="0.3">
      <c r="A28" s="174"/>
      <c r="B28" s="175" t="s">
        <v>2419</v>
      </c>
      <c r="C28" s="306" t="s">
        <v>2467</v>
      </c>
      <c r="D28" s="173"/>
    </row>
    <row r="29" spans="1:22" s="132" customFormat="1" ht="29.5" thickBot="1" x14ac:dyDescent="0.3">
      <c r="A29" s="174"/>
      <c r="B29" s="175" t="s">
        <v>2397</v>
      </c>
      <c r="C29" s="187" t="s">
        <v>2400</v>
      </c>
      <c r="D29" s="285"/>
    </row>
    <row r="30" spans="1:22" s="132" customFormat="1" ht="29.5" thickBot="1" x14ac:dyDescent="0.3">
      <c r="A30" s="174"/>
      <c r="B30" s="179" t="s">
        <v>1222</v>
      </c>
      <c r="C30" s="181" t="s">
        <v>2401</v>
      </c>
      <c r="D30" s="285"/>
    </row>
    <row r="31" spans="1:22" s="132" customFormat="1" ht="29.5" thickBot="1" x14ac:dyDescent="0.3">
      <c r="A31" s="174"/>
      <c r="B31" s="179" t="s">
        <v>1223</v>
      </c>
      <c r="C31" s="181" t="s">
        <v>2402</v>
      </c>
      <c r="D31" s="285"/>
    </row>
    <row r="32" spans="1:22" s="132" customFormat="1" ht="16" thickBot="1" x14ac:dyDescent="0.3">
      <c r="A32" s="174"/>
      <c r="B32" s="289"/>
      <c r="C32" s="290"/>
      <c r="D32" s="173"/>
    </row>
    <row r="33" spans="1:4" s="132" customFormat="1" ht="16" thickBot="1" x14ac:dyDescent="0.3">
      <c r="A33" s="174"/>
      <c r="B33" s="175" t="s">
        <v>1224</v>
      </c>
      <c r="C33" s="250">
        <f>$C$10*$C$11*$C$12</f>
        <v>221184000</v>
      </c>
      <c r="D33" s="173"/>
    </row>
    <row r="34" spans="1:4" s="132" customFormat="1" ht="16" thickBot="1" x14ac:dyDescent="0.3">
      <c r="A34" s="174"/>
      <c r="B34" s="175" t="s">
        <v>1225</v>
      </c>
      <c r="C34" s="250">
        <f>$C$10*$C$11*$C$12*$C$14</f>
        <v>5308416000</v>
      </c>
      <c r="D34" s="173"/>
    </row>
    <row r="35" spans="1:4" s="132" customFormat="1" ht="16" thickBot="1" x14ac:dyDescent="0.3">
      <c r="A35" s="174"/>
      <c r="B35" s="289"/>
      <c r="C35" s="290"/>
      <c r="D35" s="173"/>
    </row>
    <row r="36" spans="1:4" ht="16" thickBot="1" x14ac:dyDescent="0.3">
      <c r="A36" s="174"/>
      <c r="B36" s="175" t="s">
        <v>2398</v>
      </c>
      <c r="C36" s="247">
        <v>12</v>
      </c>
      <c r="D36" s="173"/>
    </row>
    <row r="37" spans="1:4" ht="16" thickBot="1" x14ac:dyDescent="0.3">
      <c r="A37" s="174"/>
      <c r="B37" s="175" t="s">
        <v>2399</v>
      </c>
      <c r="C37" s="247">
        <v>3</v>
      </c>
      <c r="D37" s="173"/>
    </row>
    <row r="38" spans="1:4" ht="16" thickBot="1" x14ac:dyDescent="0.3">
      <c r="A38" s="174"/>
      <c r="B38" s="175" t="s">
        <v>1226</v>
      </c>
      <c r="C38" s="186">
        <v>187.5</v>
      </c>
      <c r="D38" s="173"/>
    </row>
    <row r="39" spans="1:4" ht="16" thickBot="1" x14ac:dyDescent="0.3">
      <c r="A39" s="291"/>
      <c r="B39" s="292"/>
      <c r="C39" s="267"/>
      <c r="D39" s="293"/>
    </row>
    <row r="42" spans="1:4" x14ac:dyDescent="0.25">
      <c r="B42" s="144"/>
    </row>
    <row r="43" spans="1:4" x14ac:dyDescent="0.25">
      <c r="B43" s="144"/>
    </row>
    <row r="44" spans="1:4" x14ac:dyDescent="0.25">
      <c r="B44" s="144"/>
    </row>
    <row r="45" spans="1:4" x14ac:dyDescent="0.25">
      <c r="B45" s="144"/>
    </row>
    <row r="46" spans="1:4" x14ac:dyDescent="0.25">
      <c r="B46" s="144"/>
    </row>
    <row r="47" spans="1:4" x14ac:dyDescent="0.25">
      <c r="B47" s="144"/>
    </row>
    <row r="48" spans="1:4" x14ac:dyDescent="0.25">
      <c r="B48" s="144"/>
    </row>
    <row r="49" spans="2:2" x14ac:dyDescent="0.25">
      <c r="B49" s="144"/>
    </row>
    <row r="50" spans="2:2" x14ac:dyDescent="0.25">
      <c r="B50" s="144"/>
    </row>
    <row r="51" spans="2:2" x14ac:dyDescent="0.25">
      <c r="B51" s="144"/>
    </row>
    <row r="52" spans="2:2" x14ac:dyDescent="0.25">
      <c r="B52" s="144"/>
    </row>
    <row r="53" spans="2:2" x14ac:dyDescent="0.25">
      <c r="B53" s="144"/>
    </row>
    <row r="54" spans="2:2" x14ac:dyDescent="0.25">
      <c r="B54" s="144"/>
    </row>
    <row r="55" spans="2:2" x14ac:dyDescent="0.25">
      <c r="B55" s="144"/>
    </row>
    <row r="56" spans="2:2" x14ac:dyDescent="0.25">
      <c r="B56" s="144"/>
    </row>
    <row r="57" spans="2:2" x14ac:dyDescent="0.25">
      <c r="B57" s="144"/>
    </row>
    <row r="58" spans="2:2" x14ac:dyDescent="0.25">
      <c r="B58" s="144"/>
    </row>
    <row r="59" spans="2:2" x14ac:dyDescent="0.25">
      <c r="B59" s="144"/>
    </row>
    <row r="60" spans="2:2" x14ac:dyDescent="0.25">
      <c r="B60" s="144"/>
    </row>
    <row r="61" spans="2:2" x14ac:dyDescent="0.25">
      <c r="B61" s="144"/>
    </row>
    <row r="62" spans="2:2" x14ac:dyDescent="0.25">
      <c r="B62" s="144"/>
    </row>
    <row r="78" spans="2:2" x14ac:dyDescent="0.25">
      <c r="B78" s="188" t="s">
        <v>1227</v>
      </c>
    </row>
    <row r="79" spans="2:2" x14ac:dyDescent="0.25">
      <c r="B79" s="188" t="s">
        <v>1228</v>
      </c>
    </row>
    <row r="80" spans="2:2" x14ac:dyDescent="0.25">
      <c r="B80" s="188" t="s">
        <v>1229</v>
      </c>
    </row>
    <row r="81" spans="2:2" ht="13" x14ac:dyDescent="0.3">
      <c r="B81" s="188" t="s">
        <v>1230</v>
      </c>
    </row>
    <row r="82" spans="2:2" x14ac:dyDescent="0.25">
      <c r="B82" s="188" t="s">
        <v>1231</v>
      </c>
    </row>
    <row r="83" spans="2:2" ht="13" x14ac:dyDescent="0.3">
      <c r="B83" s="188" t="s">
        <v>1232</v>
      </c>
    </row>
    <row r="84" spans="2:2" x14ac:dyDescent="0.25">
      <c r="B84" s="188" t="s">
        <v>1233</v>
      </c>
    </row>
    <row r="85" spans="2:2" x14ac:dyDescent="0.25">
      <c r="B85" s="188" t="s">
        <v>1234</v>
      </c>
    </row>
    <row r="86" spans="2:2" x14ac:dyDescent="0.25">
      <c r="B86" s="188" t="s">
        <v>1235</v>
      </c>
    </row>
    <row r="87" spans="2:2" x14ac:dyDescent="0.25">
      <c r="B87" s="188" t="s">
        <v>1236</v>
      </c>
    </row>
    <row r="88" spans="2:2" ht="13" x14ac:dyDescent="0.3">
      <c r="B88" s="189" t="s">
        <v>1237</v>
      </c>
    </row>
    <row r="89" spans="2:2" ht="13" x14ac:dyDescent="0.3">
      <c r="B89" s="188" t="s">
        <v>1238</v>
      </c>
    </row>
    <row r="90" spans="2:2" ht="13" x14ac:dyDescent="0.3">
      <c r="B90" s="188" t="s">
        <v>1239</v>
      </c>
    </row>
    <row r="91" spans="2:2" x14ac:dyDescent="0.25">
      <c r="B91" s="188" t="s">
        <v>1240</v>
      </c>
    </row>
    <row r="92" spans="2:2" ht="13" x14ac:dyDescent="0.3">
      <c r="B92" s="188" t="s">
        <v>1241</v>
      </c>
    </row>
    <row r="93" spans="2:2" x14ac:dyDescent="0.25">
      <c r="B93" s="188" t="s">
        <v>1242</v>
      </c>
    </row>
    <row r="94" spans="2:2" x14ac:dyDescent="0.25">
      <c r="B94" s="188" t="s">
        <v>1243</v>
      </c>
    </row>
    <row r="95" spans="2:2" ht="13" x14ac:dyDescent="0.3">
      <c r="B95" s="188" t="s">
        <v>1244</v>
      </c>
    </row>
    <row r="96" spans="2:2" ht="13" x14ac:dyDescent="0.3">
      <c r="B96" s="188" t="s">
        <v>1245</v>
      </c>
    </row>
    <row r="97" spans="2:2" ht="13" x14ac:dyDescent="0.3">
      <c r="B97" s="188" t="s">
        <v>1246</v>
      </c>
    </row>
    <row r="98" spans="2:2" x14ac:dyDescent="0.25">
      <c r="B98" s="188" t="s">
        <v>1247</v>
      </c>
    </row>
  </sheetData>
  <sheetProtection password="CA6F" sheet="1" objects="1" scenarios="1"/>
  <phoneticPr fontId="54"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dimension ref="A1:DI294"/>
  <sheetViews>
    <sheetView showGridLines="0" tabSelected="1" topLeftCell="F1" zoomScaleNormal="100" workbookViewId="0">
      <pane xSplit="4" topLeftCell="J1" activePane="topRight" state="frozen"/>
      <selection pane="topRight" activeCell="Q30" sqref="Q30"/>
    </sheetView>
  </sheetViews>
  <sheetFormatPr defaultColWidth="11.54296875" defaultRowHeight="12.5" outlineLevelCol="1" x14ac:dyDescent="0.25"/>
  <cols>
    <col min="1" max="4" width="11.54296875" style="17" hidden="1" customWidth="1" outlineLevel="1"/>
    <col min="5" max="5" width="9.26953125" style="17" hidden="1" customWidth="1" outlineLevel="1"/>
    <col min="6" max="6" width="14.453125" style="17" customWidth="1" collapsed="1"/>
    <col min="7" max="7" width="35.54296875" style="282" hidden="1" customWidth="1" outlineLevel="1"/>
    <col min="8" max="8" width="32.1796875" style="17" bestFit="1" customWidth="1" collapsed="1"/>
    <col min="9" max="9" width="67.7265625" style="17" customWidth="1"/>
    <col min="10" max="10" width="2.54296875" style="17" customWidth="1"/>
    <col min="11" max="11" width="10.1796875" style="17" customWidth="1"/>
    <col min="12" max="12" width="14" style="17" customWidth="1"/>
    <col min="13" max="13" width="13" style="48" customWidth="1" outlineLevel="1"/>
    <col min="14" max="14" width="24.26953125" style="49" customWidth="1" outlineLevel="1"/>
    <col min="15" max="15" width="11.54296875" style="48" customWidth="1" outlineLevel="1"/>
    <col min="16" max="16" width="23.26953125" style="49" customWidth="1" outlineLevel="1"/>
    <col min="17" max="17" width="3.26953125" style="17" customWidth="1"/>
    <col min="18" max="18" width="10.54296875" style="17" customWidth="1"/>
    <col min="19" max="19" width="14.1796875" style="17" customWidth="1"/>
    <col min="20" max="20" width="13.1796875" style="17" hidden="1" customWidth="1" outlineLevel="1"/>
    <col min="21" max="21" width="13.81640625" style="17" hidden="1" customWidth="1" outlineLevel="1"/>
    <col min="22" max="22" width="10.453125" style="48" hidden="1" customWidth="1" outlineLevel="1"/>
    <col min="23" max="23" width="28.81640625" style="49" hidden="1" customWidth="1" outlineLevel="1"/>
    <col min="24" max="24" width="10.7265625" style="48" hidden="1" customWidth="1" outlineLevel="1"/>
    <col min="25" max="25" width="28.81640625" style="49" hidden="1" customWidth="1" outlineLevel="1"/>
    <col min="26" max="26" width="3.26953125" style="17" customWidth="1" collapsed="1"/>
    <col min="27" max="27" width="9.26953125" style="17" customWidth="1"/>
    <col min="28" max="28" width="14.54296875" style="17" customWidth="1"/>
    <col min="29" max="29" width="14" style="17" hidden="1" customWidth="1" outlineLevel="1"/>
    <col min="30" max="30" width="14.81640625" style="17" hidden="1" customWidth="1" outlineLevel="1"/>
    <col min="31" max="31" width="13.26953125" style="48" hidden="1" customWidth="1" outlineLevel="1"/>
    <col min="32" max="32" width="28.81640625" style="49" hidden="1" customWidth="1" outlineLevel="1"/>
    <col min="33" max="33" width="11.54296875" style="48" hidden="1" customWidth="1" outlineLevel="1"/>
    <col min="34" max="34" width="28.81640625" style="49" hidden="1" customWidth="1" outlineLevel="1"/>
    <col min="35" max="35" width="3.26953125" style="17" customWidth="1" collapsed="1"/>
    <col min="36" max="36" width="9.7265625" style="17" customWidth="1"/>
    <col min="37" max="37" width="13.1796875" style="17" customWidth="1"/>
    <col min="38" max="38" width="14.1796875" style="17" hidden="1" customWidth="1" outlineLevel="1"/>
    <col min="39" max="39" width="13.1796875" style="17" hidden="1" customWidth="1" outlineLevel="1"/>
    <col min="40" max="40" width="12.7265625" style="48" hidden="1" customWidth="1" outlineLevel="1"/>
    <col min="41" max="41" width="28.81640625" style="49" hidden="1" customWidth="1" outlineLevel="1"/>
    <col min="42" max="42" width="11.54296875" style="48" hidden="1" customWidth="1" outlineLevel="1"/>
    <col min="43" max="43" width="28.81640625" style="49" hidden="1" customWidth="1" outlineLevel="1"/>
    <col min="44" max="44" width="3.26953125" style="17" customWidth="1" collapsed="1"/>
    <col min="45" max="45" width="13.7265625" style="17" bestFit="1" customWidth="1"/>
    <col min="46" max="46" width="16.81640625" style="17" bestFit="1" customWidth="1"/>
    <col min="47" max="47" width="24.54296875" style="17" hidden="1" customWidth="1" outlineLevel="1"/>
    <col min="48" max="48" width="29" style="17" hidden="1" customWidth="1" outlineLevel="1"/>
    <col min="49" max="49" width="21" style="48" hidden="1" customWidth="1" outlineLevel="1"/>
    <col min="50" max="50" width="28.81640625" style="49" hidden="1" customWidth="1" outlineLevel="1"/>
    <col min="51" max="51" width="21" style="48" hidden="1" customWidth="1" outlineLevel="1"/>
    <col min="52" max="52" width="28.81640625" style="49" hidden="1" customWidth="1" outlineLevel="1"/>
    <col min="53" max="53" width="3.26953125" style="17" customWidth="1" collapsed="1"/>
    <col min="54" max="54" width="13.7265625" style="17" bestFit="1" customWidth="1"/>
    <col min="55" max="55" width="16.81640625" style="17" bestFit="1" customWidth="1"/>
    <col min="56" max="56" width="24.54296875" style="17" hidden="1" customWidth="1" outlineLevel="1"/>
    <col min="57" max="57" width="29" style="17" hidden="1" customWidth="1" outlineLevel="1"/>
    <col min="58" max="58" width="21" style="48" hidden="1" customWidth="1" outlineLevel="1"/>
    <col min="59" max="59" width="28.81640625" style="49" hidden="1" customWidth="1" outlineLevel="1"/>
    <col min="60" max="60" width="21" style="48" hidden="1" customWidth="1" outlineLevel="1"/>
    <col min="61" max="61" width="28.81640625" style="49" hidden="1" customWidth="1" outlineLevel="1"/>
    <col min="62" max="62" width="3.26953125" style="17" customWidth="1" collapsed="1"/>
    <col min="63" max="63" width="13.7265625" style="17" bestFit="1" customWidth="1"/>
    <col min="64" max="64" width="16.81640625" style="17" bestFit="1" customWidth="1"/>
    <col min="65" max="65" width="24.54296875" style="17" hidden="1" customWidth="1" outlineLevel="1"/>
    <col min="66" max="66" width="29" style="17" hidden="1" customWidth="1" outlineLevel="1"/>
    <col min="67" max="67" width="21" style="48" hidden="1" customWidth="1" outlineLevel="1"/>
    <col min="68" max="68" width="28.81640625" style="49" hidden="1" customWidth="1" outlineLevel="1"/>
    <col min="69" max="69" width="21" style="48" hidden="1" customWidth="1" outlineLevel="1"/>
    <col min="70" max="70" width="28.81640625" style="49" hidden="1" customWidth="1" outlineLevel="1"/>
    <col min="71" max="71" width="3.26953125" style="17" customWidth="1" collapsed="1"/>
    <col min="72" max="72" width="13.7265625" style="17" bestFit="1" customWidth="1"/>
    <col min="73" max="73" width="16.81640625" style="17" bestFit="1" customWidth="1"/>
    <col min="74" max="74" width="24.54296875" style="17" hidden="1" customWidth="1" outlineLevel="1"/>
    <col min="75" max="75" width="29" style="17" hidden="1" customWidth="1" outlineLevel="1"/>
    <col min="76" max="76" width="21" style="48" hidden="1" customWidth="1" outlineLevel="1"/>
    <col min="77" max="77" width="28.81640625" style="49" hidden="1" customWidth="1" outlineLevel="1"/>
    <col min="78" max="78" width="21" style="48" hidden="1" customWidth="1" outlineLevel="1"/>
    <col min="79" max="79" width="28.81640625" style="49" hidden="1" customWidth="1" outlineLevel="1"/>
    <col min="80" max="80" width="3.26953125" style="17" customWidth="1" collapsed="1"/>
    <col min="81" max="81" width="13.7265625" style="17" bestFit="1" customWidth="1"/>
    <col min="82" max="82" width="16.81640625" style="17" bestFit="1" customWidth="1"/>
    <col min="83" max="83" width="24.54296875" style="17" hidden="1" customWidth="1" outlineLevel="1"/>
    <col min="84" max="84" width="29" style="17" hidden="1" customWidth="1" outlineLevel="1"/>
    <col min="85" max="85" width="21" style="48" hidden="1" customWidth="1" outlineLevel="1"/>
    <col min="86" max="86" width="28.81640625" style="49" hidden="1" customWidth="1" outlineLevel="1"/>
    <col min="87" max="87" width="21" style="48" hidden="1" customWidth="1" outlineLevel="1"/>
    <col min="88" max="88" width="28.81640625" style="49" hidden="1" customWidth="1" outlineLevel="1"/>
    <col min="89" max="89" width="3.26953125" style="17" customWidth="1" collapsed="1"/>
    <col min="90" max="90" width="13.7265625" style="17" bestFit="1" customWidth="1"/>
    <col min="91" max="91" width="16.81640625" style="17" bestFit="1" customWidth="1"/>
    <col min="92" max="92" width="24.54296875" style="17" hidden="1" customWidth="1" outlineLevel="1"/>
    <col min="93" max="93" width="29" style="17" hidden="1" customWidth="1" outlineLevel="1"/>
    <col min="94" max="94" width="21" style="48" hidden="1" customWidth="1" outlineLevel="1"/>
    <col min="95" max="95" width="28.81640625" style="49" hidden="1" customWidth="1" outlineLevel="1"/>
    <col min="96" max="96" width="21" style="48" hidden="1" customWidth="1" outlineLevel="1"/>
    <col min="97" max="97" width="28.81640625" style="49" hidden="1" customWidth="1" outlineLevel="1"/>
    <col min="98" max="98" width="3.26953125" style="17" customWidth="1" collapsed="1"/>
    <col min="99" max="99" width="11.54296875" style="17"/>
    <col min="100" max="100" width="79.7265625" style="17" hidden="1" customWidth="1" outlineLevel="1"/>
    <col min="101" max="112" width="11.54296875" style="17" hidden="1" customWidth="1" outlineLevel="1"/>
    <col min="113" max="113" width="11.54296875" style="17" collapsed="1"/>
    <col min="114" max="16384" width="11.54296875" style="17"/>
  </cols>
  <sheetData>
    <row r="1" spans="1:112" ht="32.25" customHeight="1" thickBot="1" x14ac:dyDescent="0.3">
      <c r="F1" s="422" t="str">
        <f>Documents!B5</f>
        <v>GMSL based LVDS Bi-directional Physical Layer Technical Specification</v>
      </c>
      <c r="G1" s="423"/>
      <c r="H1" s="424"/>
      <c r="I1" s="425"/>
      <c r="J1" s="58"/>
      <c r="K1" s="426" t="s">
        <v>1776</v>
      </c>
      <c r="L1" s="427"/>
      <c r="M1" s="427"/>
      <c r="N1" s="427"/>
      <c r="O1" s="427"/>
      <c r="P1" s="428"/>
      <c r="Q1" s="58"/>
      <c r="R1" s="426" t="s">
        <v>1776</v>
      </c>
      <c r="S1" s="427"/>
      <c r="T1" s="427"/>
      <c r="U1" s="427"/>
      <c r="V1" s="427"/>
      <c r="W1" s="427"/>
      <c r="X1" s="427"/>
      <c r="Y1" s="428"/>
      <c r="Z1" s="58"/>
      <c r="AA1" s="429" t="s">
        <v>1776</v>
      </c>
      <c r="AB1" s="398"/>
      <c r="AC1" s="398"/>
      <c r="AD1" s="398"/>
      <c r="AE1" s="398"/>
      <c r="AF1" s="398"/>
      <c r="AG1" s="398"/>
      <c r="AH1" s="398"/>
      <c r="AI1" s="58"/>
      <c r="AJ1" s="429" t="s">
        <v>1776</v>
      </c>
      <c r="AK1" s="398"/>
      <c r="AL1" s="398"/>
      <c r="AM1" s="398"/>
      <c r="AN1" s="398"/>
      <c r="AO1" s="398"/>
      <c r="AP1" s="398"/>
      <c r="AQ1" s="398"/>
      <c r="AR1" s="58"/>
      <c r="AS1" s="398" t="s">
        <v>1</v>
      </c>
      <c r="AT1" s="398"/>
      <c r="AU1" s="398"/>
      <c r="AV1" s="398"/>
      <c r="AW1" s="398"/>
      <c r="AX1" s="398"/>
      <c r="AY1" s="398"/>
      <c r="AZ1" s="398"/>
      <c r="BA1" s="58"/>
      <c r="BB1" s="398" t="s">
        <v>1</v>
      </c>
      <c r="BC1" s="398"/>
      <c r="BD1" s="398"/>
      <c r="BE1" s="398"/>
      <c r="BF1" s="398"/>
      <c r="BG1" s="398"/>
      <c r="BH1" s="398"/>
      <c r="BI1" s="398"/>
      <c r="BJ1" s="58"/>
      <c r="BK1" s="398" t="s">
        <v>1</v>
      </c>
      <c r="BL1" s="398"/>
      <c r="BM1" s="398"/>
      <c r="BN1" s="398"/>
      <c r="BO1" s="398"/>
      <c r="BP1" s="398"/>
      <c r="BQ1" s="398"/>
      <c r="BR1" s="398"/>
      <c r="BS1" s="58"/>
      <c r="BT1" s="398" t="s">
        <v>1</v>
      </c>
      <c r="BU1" s="398"/>
      <c r="BV1" s="398"/>
      <c r="BW1" s="398"/>
      <c r="BX1" s="398"/>
      <c r="BY1" s="398"/>
      <c r="BZ1" s="398"/>
      <c r="CA1" s="398"/>
      <c r="CB1" s="58"/>
      <c r="CC1" s="398" t="s">
        <v>1</v>
      </c>
      <c r="CD1" s="398"/>
      <c r="CE1" s="398"/>
      <c r="CF1" s="398"/>
      <c r="CG1" s="398"/>
      <c r="CH1" s="398"/>
      <c r="CI1" s="398"/>
      <c r="CJ1" s="398"/>
      <c r="CK1" s="58"/>
      <c r="CL1" s="398" t="s">
        <v>1</v>
      </c>
      <c r="CM1" s="398"/>
      <c r="CN1" s="398"/>
      <c r="CO1" s="398"/>
      <c r="CP1" s="398"/>
      <c r="CQ1" s="398"/>
      <c r="CR1" s="398"/>
      <c r="CS1" s="398"/>
      <c r="CT1" s="58"/>
    </row>
    <row r="2" spans="1:112" ht="41.25" customHeight="1" thickBot="1" x14ac:dyDescent="0.35">
      <c r="F2" s="399" t="str">
        <f>'First Page'!K31</f>
        <v>DM17F is an LVDS bi-dir slave node which:
- comply to the Display use case of the LVDS Bi-Dir Technical specification
- has a GMSL3 deserializer
- has a dual connector H-MTD + 6 inputs
- supports a resolution of 2560x1440 pixels at a frequency of 60 frame per second
- has a 24 bits RGB pixel color depth
- has an external power supply and is woken up by a wired interface signal
- supports Daisy Chain
- implements HDCP 2.3
- transmits data over I2C bus at a bit rate of 400 Kbps
- implements reflash request through LVDS Network
- implements functional request through LVDS Network
- implements diagnostic request through LVDS Network
Therefore, the following requirements are applied:</v>
      </c>
      <c r="G2" s="400"/>
      <c r="H2" s="400"/>
      <c r="I2" s="401"/>
      <c r="J2" s="60"/>
      <c r="K2" s="405" t="s">
        <v>2</v>
      </c>
      <c r="L2" s="406"/>
      <c r="M2" s="411" t="s">
        <v>3</v>
      </c>
      <c r="N2" s="412"/>
      <c r="O2" s="412"/>
      <c r="P2" s="413"/>
      <c r="Q2" s="19"/>
      <c r="R2" s="405" t="s">
        <v>4</v>
      </c>
      <c r="S2" s="406"/>
      <c r="T2" s="414" t="s">
        <v>1769</v>
      </c>
      <c r="U2" s="415"/>
      <c r="V2" s="411" t="s">
        <v>2424</v>
      </c>
      <c r="W2" s="412"/>
      <c r="X2" s="412"/>
      <c r="Y2" s="413"/>
      <c r="Z2" s="19"/>
      <c r="AA2" s="405" t="s">
        <v>6</v>
      </c>
      <c r="AB2" s="406"/>
      <c r="AC2" s="414" t="s">
        <v>1769</v>
      </c>
      <c r="AD2" s="433"/>
      <c r="AE2" s="411" t="s">
        <v>2380</v>
      </c>
      <c r="AF2" s="412"/>
      <c r="AG2" s="438"/>
      <c r="AH2" s="439"/>
      <c r="AI2" s="19"/>
      <c r="AJ2" s="405" t="s">
        <v>7</v>
      </c>
      <c r="AK2" s="406"/>
      <c r="AL2" s="414" t="s">
        <v>1769</v>
      </c>
      <c r="AM2" s="433"/>
      <c r="AN2" s="411" t="s">
        <v>2380</v>
      </c>
      <c r="AO2" s="412"/>
      <c r="AP2" s="438"/>
      <c r="AQ2" s="439"/>
      <c r="AR2" s="19"/>
      <c r="AS2" s="405" t="s">
        <v>8</v>
      </c>
      <c r="AT2" s="406"/>
      <c r="AU2" s="253" t="s">
        <v>5</v>
      </c>
      <c r="AV2" s="254"/>
      <c r="AW2" s="251" t="s">
        <v>3</v>
      </c>
      <c r="AX2" s="252"/>
      <c r="AY2" s="259"/>
      <c r="AZ2" s="260"/>
      <c r="BA2" s="19"/>
      <c r="BB2" s="405" t="s">
        <v>9</v>
      </c>
      <c r="BC2" s="406"/>
      <c r="BD2" s="253" t="s">
        <v>5</v>
      </c>
      <c r="BE2" s="254"/>
      <c r="BF2" s="251" t="s">
        <v>3</v>
      </c>
      <c r="BG2" s="252"/>
      <c r="BH2" s="259"/>
      <c r="BI2" s="260"/>
      <c r="BJ2" s="19"/>
      <c r="BK2" s="405" t="s">
        <v>10</v>
      </c>
      <c r="BL2" s="406"/>
      <c r="BM2" s="253" t="s">
        <v>5</v>
      </c>
      <c r="BN2" s="254"/>
      <c r="BO2" s="251" t="s">
        <v>3</v>
      </c>
      <c r="BP2" s="252"/>
      <c r="BQ2" s="259"/>
      <c r="BR2" s="260"/>
      <c r="BS2" s="19"/>
      <c r="BT2" s="405" t="s">
        <v>11</v>
      </c>
      <c r="BU2" s="406"/>
      <c r="BV2" s="253" t="s">
        <v>5</v>
      </c>
      <c r="BW2" s="254"/>
      <c r="BX2" s="251" t="s">
        <v>3</v>
      </c>
      <c r="BY2" s="252"/>
      <c r="BZ2" s="259"/>
      <c r="CA2" s="260"/>
      <c r="CB2" s="19"/>
      <c r="CC2" s="405" t="s">
        <v>12</v>
      </c>
      <c r="CD2" s="406"/>
      <c r="CE2" s="253" t="s">
        <v>5</v>
      </c>
      <c r="CF2" s="254"/>
      <c r="CG2" s="251" t="s">
        <v>3</v>
      </c>
      <c r="CH2" s="252"/>
      <c r="CI2" s="259"/>
      <c r="CJ2" s="260"/>
      <c r="CK2" s="19"/>
      <c r="CL2" s="405" t="s">
        <v>13</v>
      </c>
      <c r="CM2" s="406"/>
      <c r="CN2" s="454" t="s">
        <v>5</v>
      </c>
      <c r="CO2" s="433"/>
      <c r="CP2" s="411" t="s">
        <v>3</v>
      </c>
      <c r="CQ2" s="412"/>
      <c r="CR2" s="438"/>
      <c r="CS2" s="439"/>
      <c r="CT2" s="52"/>
    </row>
    <row r="3" spans="1:112" ht="43.15" customHeight="1" x14ac:dyDescent="0.3">
      <c r="F3" s="399"/>
      <c r="G3" s="400"/>
      <c r="H3" s="400"/>
      <c r="I3" s="401"/>
      <c r="J3" s="60"/>
      <c r="K3" s="407"/>
      <c r="L3" s="408"/>
      <c r="M3" s="440" t="s">
        <v>2420</v>
      </c>
      <c r="N3" s="441"/>
      <c r="O3" s="442" t="s">
        <v>2421</v>
      </c>
      <c r="P3" s="443"/>
      <c r="Q3" s="19"/>
      <c r="R3" s="407"/>
      <c r="S3" s="408"/>
      <c r="T3" s="416"/>
      <c r="U3" s="417"/>
      <c r="V3" s="444" t="s">
        <v>2420</v>
      </c>
      <c r="W3" s="445"/>
      <c r="X3" s="446" t="s">
        <v>2421</v>
      </c>
      <c r="Y3" s="447"/>
      <c r="Z3" s="19"/>
      <c r="AA3" s="407"/>
      <c r="AB3" s="408"/>
      <c r="AC3" s="434"/>
      <c r="AD3" s="435"/>
      <c r="AE3" s="448" t="s">
        <v>14</v>
      </c>
      <c r="AF3" s="441"/>
      <c r="AG3" s="449" t="s">
        <v>1771</v>
      </c>
      <c r="AH3" s="443"/>
      <c r="AI3" s="19"/>
      <c r="AJ3" s="407"/>
      <c r="AK3" s="408"/>
      <c r="AL3" s="434"/>
      <c r="AM3" s="435"/>
      <c r="AN3" s="448" t="s">
        <v>14</v>
      </c>
      <c r="AO3" s="441"/>
      <c r="AP3" s="449" t="s">
        <v>1771</v>
      </c>
      <c r="AQ3" s="443"/>
      <c r="AR3" s="19"/>
      <c r="AS3" s="407"/>
      <c r="AT3" s="408"/>
      <c r="AU3" s="255"/>
      <c r="AV3" s="256"/>
      <c r="AW3" s="261" t="s">
        <v>14</v>
      </c>
      <c r="AX3" s="262"/>
      <c r="AY3" s="263" t="s">
        <v>15</v>
      </c>
      <c r="AZ3" s="264"/>
      <c r="BA3" s="19"/>
      <c r="BB3" s="407"/>
      <c r="BC3" s="408"/>
      <c r="BD3" s="255"/>
      <c r="BE3" s="256"/>
      <c r="BF3" s="261" t="s">
        <v>14</v>
      </c>
      <c r="BG3" s="262"/>
      <c r="BH3" s="263" t="s">
        <v>15</v>
      </c>
      <c r="BI3" s="264"/>
      <c r="BJ3" s="19"/>
      <c r="BK3" s="407"/>
      <c r="BL3" s="408"/>
      <c r="BM3" s="255"/>
      <c r="BN3" s="256"/>
      <c r="BO3" s="261" t="s">
        <v>14</v>
      </c>
      <c r="BP3" s="262"/>
      <c r="BQ3" s="263" t="s">
        <v>15</v>
      </c>
      <c r="BR3" s="264"/>
      <c r="BS3" s="19"/>
      <c r="BT3" s="407"/>
      <c r="BU3" s="408"/>
      <c r="BV3" s="255"/>
      <c r="BW3" s="256"/>
      <c r="BX3" s="261" t="s">
        <v>14</v>
      </c>
      <c r="BY3" s="262"/>
      <c r="BZ3" s="263" t="s">
        <v>15</v>
      </c>
      <c r="CA3" s="264"/>
      <c r="CB3" s="19"/>
      <c r="CC3" s="407"/>
      <c r="CD3" s="408"/>
      <c r="CE3" s="255"/>
      <c r="CF3" s="256"/>
      <c r="CG3" s="261" t="s">
        <v>14</v>
      </c>
      <c r="CH3" s="262"/>
      <c r="CI3" s="263" t="s">
        <v>15</v>
      </c>
      <c r="CJ3" s="264"/>
      <c r="CK3" s="19"/>
      <c r="CL3" s="407"/>
      <c r="CM3" s="408"/>
      <c r="CN3" s="434"/>
      <c r="CO3" s="435"/>
      <c r="CP3" s="450" t="s">
        <v>14</v>
      </c>
      <c r="CQ3" s="451"/>
      <c r="CR3" s="452" t="s">
        <v>15</v>
      </c>
      <c r="CS3" s="453"/>
      <c r="CT3" s="52"/>
    </row>
    <row r="4" spans="1:112" ht="30" customHeight="1" x14ac:dyDescent="0.25">
      <c r="F4" s="399"/>
      <c r="G4" s="400"/>
      <c r="H4" s="400"/>
      <c r="I4" s="401"/>
      <c r="J4" s="57"/>
      <c r="K4" s="407"/>
      <c r="L4" s="408"/>
      <c r="M4" s="21">
        <f>COUNTIF(M9:M1048576,"OK")</f>
        <v>36</v>
      </c>
      <c r="N4" s="276" t="s">
        <v>1772</v>
      </c>
      <c r="O4" s="263">
        <f>COUNTIF(O9:O1048576,"OK")</f>
        <v>0</v>
      </c>
      <c r="P4" s="276" t="s">
        <v>1772</v>
      </c>
      <c r="Q4" s="16"/>
      <c r="R4" s="407"/>
      <c r="S4" s="408"/>
      <c r="T4" s="416"/>
      <c r="U4" s="417"/>
      <c r="V4" s="21">
        <f>COUNTIF(V9:V1048576,"OK")</f>
        <v>0</v>
      </c>
      <c r="W4" s="276" t="s">
        <v>1772</v>
      </c>
      <c r="X4" s="263">
        <f>COUNTIF(X9:X1048576,"OK")</f>
        <v>0</v>
      </c>
      <c r="Y4" s="276" t="s">
        <v>2422</v>
      </c>
      <c r="Z4" s="16"/>
      <c r="AA4" s="407"/>
      <c r="AB4" s="408"/>
      <c r="AC4" s="434"/>
      <c r="AD4" s="435"/>
      <c r="AE4" s="21">
        <f>COUNTIF(AE9:AE1048576,"OK")</f>
        <v>0</v>
      </c>
      <c r="AF4" s="276" t="s">
        <v>1772</v>
      </c>
      <c r="AG4" s="263">
        <f>COUNTIF(AG9:AG1048576,"OK")</f>
        <v>0</v>
      </c>
      <c r="AH4" s="276" t="s">
        <v>1772</v>
      </c>
      <c r="AI4" s="16"/>
      <c r="AJ4" s="407"/>
      <c r="AK4" s="408"/>
      <c r="AL4" s="434"/>
      <c r="AM4" s="435"/>
      <c r="AN4" s="21">
        <f>COUNTIF(AN9:AN1048576,"OK")</f>
        <v>0</v>
      </c>
      <c r="AO4" s="276" t="s">
        <v>1772</v>
      </c>
      <c r="AP4" s="284">
        <f>COUNTIF(AP9:AP1048576,"OK")</f>
        <v>0</v>
      </c>
      <c r="AQ4" s="276" t="s">
        <v>1772</v>
      </c>
      <c r="AR4" s="16"/>
      <c r="AS4" s="407"/>
      <c r="AT4" s="408"/>
      <c r="AU4" s="255"/>
      <c r="AV4" s="256"/>
      <c r="AW4" s="21">
        <f>COUNTIF(AW9:AW1048576,"OK")</f>
        <v>0</v>
      </c>
      <c r="AX4" s="22" t="s">
        <v>16</v>
      </c>
      <c r="AY4" s="263">
        <f>COUNTIF(AY9:AY1048576,"OK")</f>
        <v>0</v>
      </c>
      <c r="AZ4" s="22" t="s">
        <v>16</v>
      </c>
      <c r="BA4" s="16"/>
      <c r="BB4" s="407"/>
      <c r="BC4" s="408"/>
      <c r="BD4" s="255"/>
      <c r="BE4" s="256"/>
      <c r="BF4" s="21">
        <f>COUNTIF(BF9:BF1048576,"OK")</f>
        <v>0</v>
      </c>
      <c r="BG4" s="22" t="s">
        <v>16</v>
      </c>
      <c r="BH4" s="263">
        <f>COUNTIF(BH9:BH1048576,"OK")</f>
        <v>0</v>
      </c>
      <c r="BI4" s="22" t="s">
        <v>16</v>
      </c>
      <c r="BJ4" s="16"/>
      <c r="BK4" s="407"/>
      <c r="BL4" s="408"/>
      <c r="BM4" s="255"/>
      <c r="BN4" s="256"/>
      <c r="BO4" s="21">
        <f>COUNTIF(BO9:BO1048576,"OK")</f>
        <v>0</v>
      </c>
      <c r="BP4" s="22" t="s">
        <v>16</v>
      </c>
      <c r="BQ4" s="263">
        <f>COUNTIF(BQ9:BQ1048576,"OK")</f>
        <v>0</v>
      </c>
      <c r="BR4" s="22" t="s">
        <v>16</v>
      </c>
      <c r="BS4" s="16"/>
      <c r="BT4" s="407"/>
      <c r="BU4" s="408"/>
      <c r="BV4" s="255"/>
      <c r="BW4" s="256"/>
      <c r="BX4" s="21">
        <f>COUNTIF(BX9:BX1048576,"OK")</f>
        <v>0</v>
      </c>
      <c r="BY4" s="22" t="s">
        <v>16</v>
      </c>
      <c r="BZ4" s="263">
        <f>COUNTIF(BZ9:BZ1048576,"OK")</f>
        <v>0</v>
      </c>
      <c r="CA4" s="22" t="s">
        <v>16</v>
      </c>
      <c r="CB4" s="16"/>
      <c r="CC4" s="407"/>
      <c r="CD4" s="408"/>
      <c r="CE4" s="255"/>
      <c r="CF4" s="256"/>
      <c r="CG4" s="21">
        <f>COUNTIF(CG9:CG1048576,"OK")</f>
        <v>0</v>
      </c>
      <c r="CH4" s="22" t="s">
        <v>16</v>
      </c>
      <c r="CI4" s="263">
        <f>COUNTIF(CI9:CI1048576,"OK")</f>
        <v>0</v>
      </c>
      <c r="CJ4" s="22" t="s">
        <v>16</v>
      </c>
      <c r="CK4" s="16"/>
      <c r="CL4" s="407"/>
      <c r="CM4" s="408"/>
      <c r="CN4" s="434"/>
      <c r="CO4" s="435"/>
      <c r="CP4" s="21">
        <f>COUNTIF(CP9:CP1048576,"OK")</f>
        <v>0</v>
      </c>
      <c r="CQ4" s="22" t="s">
        <v>16</v>
      </c>
      <c r="CR4" s="263">
        <f>COUNTIF(CR9:CR1048576,"OK")</f>
        <v>0</v>
      </c>
      <c r="CS4" s="22" t="s">
        <v>16</v>
      </c>
      <c r="CT4" s="51"/>
    </row>
    <row r="5" spans="1:112" ht="35.5" customHeight="1" thickBot="1" x14ac:dyDescent="0.3">
      <c r="F5" s="399"/>
      <c r="G5" s="400"/>
      <c r="H5" s="400"/>
      <c r="I5" s="401"/>
      <c r="J5" s="61"/>
      <c r="K5" s="409"/>
      <c r="L5" s="410"/>
      <c r="M5" s="21">
        <f>COUNTIF(M9:M1048576,"NOK")</f>
        <v>0</v>
      </c>
      <c r="N5" s="276" t="s">
        <v>1773</v>
      </c>
      <c r="O5" s="263">
        <f>COUNTIF(O9:O1048576,"NOK")</f>
        <v>0</v>
      </c>
      <c r="P5" s="276" t="s">
        <v>1773</v>
      </c>
      <c r="Q5" s="23"/>
      <c r="R5" s="409"/>
      <c r="S5" s="410"/>
      <c r="T5" s="416"/>
      <c r="U5" s="417"/>
      <c r="V5" s="21">
        <f>COUNTIF(V9:V1048576,"NOK")</f>
        <v>0</v>
      </c>
      <c r="W5" s="276" t="s">
        <v>1773</v>
      </c>
      <c r="X5" s="263">
        <f>COUNTIF(X9:X1048576,"NOK")</f>
        <v>0</v>
      </c>
      <c r="Y5" s="276" t="s">
        <v>1773</v>
      </c>
      <c r="Z5" s="23"/>
      <c r="AA5" s="407"/>
      <c r="AB5" s="408"/>
      <c r="AC5" s="434"/>
      <c r="AD5" s="435"/>
      <c r="AE5" s="21">
        <f>COUNTIF(AE9:AE1048576,"NOK")</f>
        <v>0</v>
      </c>
      <c r="AF5" s="276" t="s">
        <v>1773</v>
      </c>
      <c r="AG5" s="263">
        <f>COUNTIF(AG9:AG1048576,"NOK")</f>
        <v>0</v>
      </c>
      <c r="AH5" s="276" t="s">
        <v>1773</v>
      </c>
      <c r="AI5" s="23"/>
      <c r="AJ5" s="407"/>
      <c r="AK5" s="408"/>
      <c r="AL5" s="434"/>
      <c r="AM5" s="435"/>
      <c r="AN5" s="21">
        <f>COUNTIF(AN9:AN1048576,"NOK")</f>
        <v>0</v>
      </c>
      <c r="AO5" s="276" t="s">
        <v>1773</v>
      </c>
      <c r="AP5" s="284">
        <f>COUNTIF(AP9:AP1048576,"NOK")</f>
        <v>0</v>
      </c>
      <c r="AQ5" s="276" t="s">
        <v>1773</v>
      </c>
      <c r="AR5" s="23"/>
      <c r="AS5" s="409"/>
      <c r="AT5" s="410"/>
      <c r="AU5" s="255"/>
      <c r="AV5" s="256"/>
      <c r="AW5" s="21">
        <f>COUNTIF(AW9:AW1048576,"NOK")</f>
        <v>0</v>
      </c>
      <c r="AX5" s="22" t="s">
        <v>17</v>
      </c>
      <c r="AY5" s="263">
        <f>COUNTIF(AY9:AY1048576,"NOK")</f>
        <v>0</v>
      </c>
      <c r="AZ5" s="22" t="s">
        <v>17</v>
      </c>
      <c r="BA5" s="23"/>
      <c r="BB5" s="409"/>
      <c r="BC5" s="410"/>
      <c r="BD5" s="255"/>
      <c r="BE5" s="256"/>
      <c r="BF5" s="21">
        <f>COUNTIF(BF9:BF1048576,"NOK")</f>
        <v>0</v>
      </c>
      <c r="BG5" s="22" t="s">
        <v>17</v>
      </c>
      <c r="BH5" s="263">
        <f>COUNTIF(BH9:BH1048576,"NOK")</f>
        <v>0</v>
      </c>
      <c r="BI5" s="22" t="s">
        <v>17</v>
      </c>
      <c r="BJ5" s="23"/>
      <c r="BK5" s="409"/>
      <c r="BL5" s="410"/>
      <c r="BM5" s="255"/>
      <c r="BN5" s="256"/>
      <c r="BO5" s="21">
        <f>COUNTIF(BO9:BO1048576,"NOK")</f>
        <v>0</v>
      </c>
      <c r="BP5" s="22" t="s">
        <v>17</v>
      </c>
      <c r="BQ5" s="263">
        <f>COUNTIF(BQ9:BQ1048576,"NOK")</f>
        <v>0</v>
      </c>
      <c r="BR5" s="22" t="s">
        <v>17</v>
      </c>
      <c r="BS5" s="23"/>
      <c r="BT5" s="409"/>
      <c r="BU5" s="410"/>
      <c r="BV5" s="255"/>
      <c r="BW5" s="256"/>
      <c r="BX5" s="21">
        <f>COUNTIF(BX9:BX1048576,"NOK")</f>
        <v>0</v>
      </c>
      <c r="BY5" s="22" t="s">
        <v>17</v>
      </c>
      <c r="BZ5" s="263">
        <f>COUNTIF(BZ9:BZ1048576,"NOK")</f>
        <v>0</v>
      </c>
      <c r="CA5" s="22" t="s">
        <v>17</v>
      </c>
      <c r="CB5" s="23"/>
      <c r="CC5" s="409"/>
      <c r="CD5" s="410"/>
      <c r="CE5" s="255"/>
      <c r="CF5" s="256"/>
      <c r="CG5" s="21">
        <f>COUNTIF(CG9:CG1048576,"NOK")</f>
        <v>0</v>
      </c>
      <c r="CH5" s="22" t="s">
        <v>17</v>
      </c>
      <c r="CI5" s="263">
        <f>COUNTIF(CI9:CI1048576,"NOK")</f>
        <v>0</v>
      </c>
      <c r="CJ5" s="22" t="s">
        <v>17</v>
      </c>
      <c r="CK5" s="23"/>
      <c r="CL5" s="409"/>
      <c r="CM5" s="410"/>
      <c r="CN5" s="434"/>
      <c r="CO5" s="435"/>
      <c r="CP5" s="21">
        <f>COUNTIF(CP9:CP1048576,"NOK")</f>
        <v>0</v>
      </c>
      <c r="CQ5" s="22" t="s">
        <v>17</v>
      </c>
      <c r="CR5" s="263">
        <f>COUNTIF(CR9:CR1048576,"NOK")</f>
        <v>0</v>
      </c>
      <c r="CS5" s="22" t="s">
        <v>17</v>
      </c>
      <c r="CT5" s="53"/>
    </row>
    <row r="6" spans="1:112" ht="35.5" customHeight="1" x14ac:dyDescent="0.25">
      <c r="F6" s="399"/>
      <c r="G6" s="400"/>
      <c r="H6" s="400"/>
      <c r="I6" s="401"/>
      <c r="J6" s="61"/>
      <c r="K6" s="420" t="s">
        <v>1770</v>
      </c>
      <c r="L6" s="421"/>
      <c r="M6" s="24" t="s">
        <v>19</v>
      </c>
      <c r="N6" s="22" t="s">
        <v>19</v>
      </c>
      <c r="O6" s="263">
        <f>COUNTIF(O9:O1048576,"DEVIATION")</f>
        <v>0</v>
      </c>
      <c r="P6" s="276" t="s">
        <v>1774</v>
      </c>
      <c r="Q6" s="23"/>
      <c r="R6" s="420" t="s">
        <v>1770</v>
      </c>
      <c r="S6" s="421"/>
      <c r="T6" s="416"/>
      <c r="U6" s="417"/>
      <c r="V6" s="24" t="s">
        <v>19</v>
      </c>
      <c r="W6" s="22" t="s">
        <v>19</v>
      </c>
      <c r="X6" s="263">
        <f>COUNTIF(X9:X1048576,"DEVIATION")</f>
        <v>0</v>
      </c>
      <c r="Y6" s="276" t="s">
        <v>1774</v>
      </c>
      <c r="Z6" s="23"/>
      <c r="AA6" s="420" t="s">
        <v>1770</v>
      </c>
      <c r="AB6" s="421"/>
      <c r="AC6" s="434"/>
      <c r="AD6" s="435"/>
      <c r="AE6" s="24" t="s">
        <v>19</v>
      </c>
      <c r="AF6" s="22" t="s">
        <v>19</v>
      </c>
      <c r="AG6" s="263">
        <f>COUNTIF(AG9:AG1048576,"DEVIATION")</f>
        <v>0</v>
      </c>
      <c r="AH6" s="276" t="s">
        <v>1774</v>
      </c>
      <c r="AI6" s="23"/>
      <c r="AJ6" s="420" t="s">
        <v>1770</v>
      </c>
      <c r="AK6" s="421"/>
      <c r="AL6" s="434"/>
      <c r="AM6" s="435"/>
      <c r="AN6" s="24" t="s">
        <v>19</v>
      </c>
      <c r="AO6" s="22" t="s">
        <v>19</v>
      </c>
      <c r="AP6" s="284">
        <f>COUNTIF(AP9:AP1048576,"DEVIATION")</f>
        <v>0</v>
      </c>
      <c r="AQ6" s="276" t="s">
        <v>1774</v>
      </c>
      <c r="AR6" s="23"/>
      <c r="AS6" s="432" t="s">
        <v>18</v>
      </c>
      <c r="AT6" s="421"/>
      <c r="AU6" s="255"/>
      <c r="AV6" s="256"/>
      <c r="AW6" s="24" t="s">
        <v>19</v>
      </c>
      <c r="AX6" s="22" t="s">
        <v>19</v>
      </c>
      <c r="AY6" s="263">
        <f>COUNTIF(AY9:AY1048576,"DEVIATION")</f>
        <v>0</v>
      </c>
      <c r="AZ6" s="22" t="s">
        <v>20</v>
      </c>
      <c r="BA6" s="23"/>
      <c r="BB6" s="432" t="s">
        <v>18</v>
      </c>
      <c r="BC6" s="421"/>
      <c r="BD6" s="255"/>
      <c r="BE6" s="256"/>
      <c r="BF6" s="24" t="s">
        <v>19</v>
      </c>
      <c r="BG6" s="22" t="s">
        <v>19</v>
      </c>
      <c r="BH6" s="263">
        <f>COUNTIF(BH9:BH1048576,"DEVIATION")</f>
        <v>0</v>
      </c>
      <c r="BI6" s="22" t="s">
        <v>20</v>
      </c>
      <c r="BJ6" s="23"/>
      <c r="BK6" s="432" t="s">
        <v>18</v>
      </c>
      <c r="BL6" s="421"/>
      <c r="BM6" s="255"/>
      <c r="BN6" s="256"/>
      <c r="BO6" s="24" t="s">
        <v>19</v>
      </c>
      <c r="BP6" s="22" t="s">
        <v>19</v>
      </c>
      <c r="BQ6" s="263">
        <f>COUNTIF(BQ9:BQ1048576,"DEVIATION")</f>
        <v>0</v>
      </c>
      <c r="BR6" s="22" t="s">
        <v>20</v>
      </c>
      <c r="BS6" s="23"/>
      <c r="BT6" s="432" t="s">
        <v>18</v>
      </c>
      <c r="BU6" s="421"/>
      <c r="BV6" s="255"/>
      <c r="BW6" s="256"/>
      <c r="BX6" s="24" t="s">
        <v>19</v>
      </c>
      <c r="BY6" s="22" t="s">
        <v>19</v>
      </c>
      <c r="BZ6" s="263">
        <f>COUNTIF(BZ9:BZ1048576,"DEVIATION")</f>
        <v>0</v>
      </c>
      <c r="CA6" s="22" t="s">
        <v>20</v>
      </c>
      <c r="CB6" s="23"/>
      <c r="CC6" s="432" t="s">
        <v>18</v>
      </c>
      <c r="CD6" s="421"/>
      <c r="CE6" s="255"/>
      <c r="CF6" s="256"/>
      <c r="CG6" s="24" t="s">
        <v>19</v>
      </c>
      <c r="CH6" s="22" t="s">
        <v>19</v>
      </c>
      <c r="CI6" s="263">
        <f>COUNTIF(CI9:CI1048576,"DEVIATION")</f>
        <v>0</v>
      </c>
      <c r="CJ6" s="22" t="s">
        <v>20</v>
      </c>
      <c r="CK6" s="23"/>
      <c r="CL6" s="432" t="s">
        <v>18</v>
      </c>
      <c r="CM6" s="421"/>
      <c r="CN6" s="434"/>
      <c r="CO6" s="435"/>
      <c r="CP6" s="24" t="s">
        <v>19</v>
      </c>
      <c r="CQ6" s="22" t="s">
        <v>19</v>
      </c>
      <c r="CR6" s="263">
        <f>COUNTIF(CR9:CR1048576,"DEVIATION")</f>
        <v>0</v>
      </c>
      <c r="CS6" s="22" t="s">
        <v>20</v>
      </c>
      <c r="CT6" s="53"/>
    </row>
    <row r="7" spans="1:112" ht="30" customHeight="1" thickBot="1" x14ac:dyDescent="0.3">
      <c r="F7" s="402"/>
      <c r="G7" s="403"/>
      <c r="H7" s="403"/>
      <c r="I7" s="404"/>
      <c r="J7" s="57"/>
      <c r="K7" s="430" t="s">
        <v>1763</v>
      </c>
      <c r="L7" s="431"/>
      <c r="M7" s="24" t="s">
        <v>19</v>
      </c>
      <c r="N7" s="22" t="s">
        <v>19</v>
      </c>
      <c r="O7" s="263">
        <f>COUNTIF(O9:O1048576,"STANDBY")</f>
        <v>0</v>
      </c>
      <c r="P7" s="295" t="s">
        <v>2403</v>
      </c>
      <c r="Q7" s="16"/>
      <c r="R7" s="430"/>
      <c r="S7" s="431"/>
      <c r="T7" s="418"/>
      <c r="U7" s="419"/>
      <c r="V7" s="24" t="s">
        <v>19</v>
      </c>
      <c r="W7" s="22" t="s">
        <v>19</v>
      </c>
      <c r="X7" s="263">
        <f>COUNTIF(X9:X1048576,"STANDBY")</f>
        <v>0</v>
      </c>
      <c r="Y7" s="276" t="s">
        <v>1775</v>
      </c>
      <c r="Z7" s="16"/>
      <c r="AA7" s="430"/>
      <c r="AB7" s="431"/>
      <c r="AC7" s="436"/>
      <c r="AD7" s="437"/>
      <c r="AE7" s="24" t="s">
        <v>19</v>
      </c>
      <c r="AF7" s="22" t="s">
        <v>19</v>
      </c>
      <c r="AG7" s="263">
        <f>COUNTIF(AG9:AG1048576,"STANDBY")</f>
        <v>0</v>
      </c>
      <c r="AH7" s="276" t="s">
        <v>1775</v>
      </c>
      <c r="AI7" s="16"/>
      <c r="AJ7" s="430"/>
      <c r="AK7" s="431"/>
      <c r="AL7" s="436"/>
      <c r="AM7" s="437"/>
      <c r="AN7" s="24" t="s">
        <v>19</v>
      </c>
      <c r="AO7" s="22" t="s">
        <v>19</v>
      </c>
      <c r="AP7" s="284">
        <f>COUNTIF(AP9:AP1048576,"STANDBY")</f>
        <v>0</v>
      </c>
      <c r="AQ7" s="276" t="s">
        <v>1775</v>
      </c>
      <c r="AR7" s="16"/>
      <c r="AS7" s="430"/>
      <c r="AT7" s="431"/>
      <c r="AU7" s="257"/>
      <c r="AV7" s="258"/>
      <c r="AW7" s="24" t="s">
        <v>19</v>
      </c>
      <c r="AX7" s="22" t="s">
        <v>19</v>
      </c>
      <c r="AY7" s="263">
        <f>COUNTIF(AY9:AY1048576,"STANDBY")</f>
        <v>0</v>
      </c>
      <c r="AZ7" s="22" t="s">
        <v>21</v>
      </c>
      <c r="BA7" s="16"/>
      <c r="BB7" s="430"/>
      <c r="BC7" s="431"/>
      <c r="BD7" s="257"/>
      <c r="BE7" s="258"/>
      <c r="BF7" s="24" t="s">
        <v>19</v>
      </c>
      <c r="BG7" s="22" t="s">
        <v>19</v>
      </c>
      <c r="BH7" s="263">
        <f>COUNTIF(BH9:BH1048576,"STANDBY")</f>
        <v>0</v>
      </c>
      <c r="BI7" s="22" t="s">
        <v>21</v>
      </c>
      <c r="BJ7" s="16"/>
      <c r="BK7" s="430"/>
      <c r="BL7" s="431"/>
      <c r="BM7" s="257"/>
      <c r="BN7" s="258"/>
      <c r="BO7" s="24" t="s">
        <v>19</v>
      </c>
      <c r="BP7" s="22" t="s">
        <v>19</v>
      </c>
      <c r="BQ7" s="263">
        <f>COUNTIF(BQ9:BQ1048576,"STANDBY")</f>
        <v>0</v>
      </c>
      <c r="BR7" s="22" t="s">
        <v>21</v>
      </c>
      <c r="BS7" s="16"/>
      <c r="BT7" s="430"/>
      <c r="BU7" s="431"/>
      <c r="BV7" s="257"/>
      <c r="BW7" s="258"/>
      <c r="BX7" s="24" t="s">
        <v>19</v>
      </c>
      <c r="BY7" s="22" t="s">
        <v>19</v>
      </c>
      <c r="BZ7" s="263">
        <f>COUNTIF(BZ9:BZ1048576,"STANDBY")</f>
        <v>0</v>
      </c>
      <c r="CA7" s="22" t="s">
        <v>21</v>
      </c>
      <c r="CB7" s="16"/>
      <c r="CC7" s="430"/>
      <c r="CD7" s="431"/>
      <c r="CE7" s="257"/>
      <c r="CF7" s="258"/>
      <c r="CG7" s="24" t="s">
        <v>19</v>
      </c>
      <c r="CH7" s="22" t="s">
        <v>19</v>
      </c>
      <c r="CI7" s="263">
        <f>COUNTIF(CI9:CI1048576,"STANDBY")</f>
        <v>0</v>
      </c>
      <c r="CJ7" s="22" t="s">
        <v>21</v>
      </c>
      <c r="CK7" s="16"/>
      <c r="CL7" s="430"/>
      <c r="CM7" s="431"/>
      <c r="CN7" s="436"/>
      <c r="CO7" s="437"/>
      <c r="CP7" s="24" t="s">
        <v>19</v>
      </c>
      <c r="CQ7" s="22" t="s">
        <v>19</v>
      </c>
      <c r="CR7" s="263">
        <f>COUNTIF(CR9:CR1048576,"STANDBY")</f>
        <v>0</v>
      </c>
      <c r="CS7" s="22" t="s">
        <v>21</v>
      </c>
      <c r="CT7" s="51"/>
    </row>
    <row r="8" spans="1:112" ht="39.5" thickBot="1" x14ac:dyDescent="0.3">
      <c r="F8" s="164" t="s">
        <v>733</v>
      </c>
      <c r="G8" s="164" t="s">
        <v>1005</v>
      </c>
      <c r="H8" s="156" t="s">
        <v>734</v>
      </c>
      <c r="I8" s="156" t="s">
        <v>735</v>
      </c>
      <c r="J8" s="62"/>
      <c r="K8" s="157" t="s">
        <v>537</v>
      </c>
      <c r="L8" s="158" t="s">
        <v>1766</v>
      </c>
      <c r="M8" s="273" t="s">
        <v>1776</v>
      </c>
      <c r="N8" s="274" t="s">
        <v>1777</v>
      </c>
      <c r="O8" s="275" t="s">
        <v>1778</v>
      </c>
      <c r="P8" s="274" t="s">
        <v>1777</v>
      </c>
      <c r="Q8" s="26"/>
      <c r="R8" s="157" t="s">
        <v>537</v>
      </c>
      <c r="S8" s="158" t="s">
        <v>1766</v>
      </c>
      <c r="T8" s="157" t="s">
        <v>1767</v>
      </c>
      <c r="U8" s="157" t="s">
        <v>2423</v>
      </c>
      <c r="V8" s="273" t="s">
        <v>1776</v>
      </c>
      <c r="W8" s="274" t="s">
        <v>1777</v>
      </c>
      <c r="X8" s="275" t="s">
        <v>1778</v>
      </c>
      <c r="Y8" s="274" t="s">
        <v>1777</v>
      </c>
      <c r="Z8" s="26"/>
      <c r="AA8" s="157" t="s">
        <v>537</v>
      </c>
      <c r="AB8" s="158" t="s">
        <v>1766</v>
      </c>
      <c r="AC8" s="157" t="s">
        <v>1767</v>
      </c>
      <c r="AD8" s="157" t="s">
        <v>1768</v>
      </c>
      <c r="AE8" s="273" t="s">
        <v>1776</v>
      </c>
      <c r="AF8" s="274" t="s">
        <v>1777</v>
      </c>
      <c r="AG8" s="275" t="s">
        <v>1778</v>
      </c>
      <c r="AH8" s="274" t="s">
        <v>1777</v>
      </c>
      <c r="AI8" s="26"/>
      <c r="AJ8" s="157" t="s">
        <v>537</v>
      </c>
      <c r="AK8" s="158" t="s">
        <v>1766</v>
      </c>
      <c r="AL8" s="157" t="s">
        <v>1767</v>
      </c>
      <c r="AM8" s="157" t="s">
        <v>1768</v>
      </c>
      <c r="AN8" s="273" t="s">
        <v>1776</v>
      </c>
      <c r="AO8" s="274" t="s">
        <v>1777</v>
      </c>
      <c r="AP8" s="275" t="s">
        <v>1778</v>
      </c>
      <c r="AQ8" s="274" t="s">
        <v>1777</v>
      </c>
      <c r="AR8" s="26"/>
      <c r="AS8" s="118" t="s">
        <v>535</v>
      </c>
      <c r="AT8" s="59" t="s">
        <v>22</v>
      </c>
      <c r="AU8" s="27" t="s">
        <v>26</v>
      </c>
      <c r="AV8" s="27" t="s">
        <v>27</v>
      </c>
      <c r="AW8" s="28" t="s">
        <v>23</v>
      </c>
      <c r="AX8" s="29" t="s">
        <v>24</v>
      </c>
      <c r="AY8" s="30" t="s">
        <v>25</v>
      </c>
      <c r="AZ8" s="29" t="s">
        <v>24</v>
      </c>
      <c r="BA8" s="26"/>
      <c r="BB8" s="118" t="s">
        <v>535</v>
      </c>
      <c r="BC8" s="59" t="s">
        <v>22</v>
      </c>
      <c r="BD8" s="27" t="s">
        <v>26</v>
      </c>
      <c r="BE8" s="27" t="s">
        <v>27</v>
      </c>
      <c r="BF8" s="28" t="s">
        <v>23</v>
      </c>
      <c r="BG8" s="29" t="s">
        <v>24</v>
      </c>
      <c r="BH8" s="30" t="s">
        <v>25</v>
      </c>
      <c r="BI8" s="29" t="s">
        <v>24</v>
      </c>
      <c r="BJ8" s="26"/>
      <c r="BK8" s="118" t="s">
        <v>535</v>
      </c>
      <c r="BL8" s="59" t="s">
        <v>22</v>
      </c>
      <c r="BM8" s="27" t="s">
        <v>26</v>
      </c>
      <c r="BN8" s="27" t="s">
        <v>27</v>
      </c>
      <c r="BO8" s="28" t="s">
        <v>23</v>
      </c>
      <c r="BP8" s="29" t="s">
        <v>24</v>
      </c>
      <c r="BQ8" s="30" t="s">
        <v>25</v>
      </c>
      <c r="BR8" s="29" t="s">
        <v>24</v>
      </c>
      <c r="BS8" s="26"/>
      <c r="BT8" s="118" t="s">
        <v>535</v>
      </c>
      <c r="BU8" s="59" t="s">
        <v>22</v>
      </c>
      <c r="BV8" s="27" t="s">
        <v>26</v>
      </c>
      <c r="BW8" s="27" t="s">
        <v>27</v>
      </c>
      <c r="BX8" s="28" t="s">
        <v>23</v>
      </c>
      <c r="BY8" s="29" t="s">
        <v>24</v>
      </c>
      <c r="BZ8" s="30" t="s">
        <v>25</v>
      </c>
      <c r="CA8" s="29" t="s">
        <v>24</v>
      </c>
      <c r="CB8" s="26"/>
      <c r="CC8" s="118" t="s">
        <v>535</v>
      </c>
      <c r="CD8" s="59" t="s">
        <v>22</v>
      </c>
      <c r="CE8" s="27" t="s">
        <v>26</v>
      </c>
      <c r="CF8" s="27" t="s">
        <v>27</v>
      </c>
      <c r="CG8" s="28" t="s">
        <v>23</v>
      </c>
      <c r="CH8" s="29" t="s">
        <v>24</v>
      </c>
      <c r="CI8" s="30" t="s">
        <v>25</v>
      </c>
      <c r="CJ8" s="29" t="s">
        <v>24</v>
      </c>
      <c r="CK8" s="26"/>
      <c r="CL8" s="118" t="s">
        <v>535</v>
      </c>
      <c r="CM8" s="59" t="s">
        <v>22</v>
      </c>
      <c r="CN8" s="27" t="s">
        <v>26</v>
      </c>
      <c r="CO8" s="27" t="s">
        <v>27</v>
      </c>
      <c r="CP8" s="28" t="s">
        <v>23</v>
      </c>
      <c r="CQ8" s="29" t="s">
        <v>24</v>
      </c>
      <c r="CR8" s="30" t="s">
        <v>25</v>
      </c>
      <c r="CS8" s="29" t="s">
        <v>24</v>
      </c>
      <c r="CT8" s="54"/>
      <c r="CV8" s="231" t="s">
        <v>1261</v>
      </c>
      <c r="CX8" s="237" t="s">
        <v>1417</v>
      </c>
      <c r="CY8" s="237" t="s">
        <v>1212</v>
      </c>
      <c r="CZ8" s="237" t="s">
        <v>1418</v>
      </c>
      <c r="DA8" s="238" t="s">
        <v>1419</v>
      </c>
      <c r="DB8" s="237" t="s">
        <v>1203</v>
      </c>
      <c r="DC8" s="238" t="s">
        <v>1420</v>
      </c>
      <c r="DD8" s="238" t="s">
        <v>1421</v>
      </c>
      <c r="DE8" s="237" t="s">
        <v>1422</v>
      </c>
      <c r="DF8" s="238" t="s">
        <v>1215</v>
      </c>
      <c r="DG8" s="238" t="s">
        <v>1423</v>
      </c>
      <c r="DH8" s="14"/>
    </row>
    <row r="9" spans="1:112" ht="25.5" customHeight="1" x14ac:dyDescent="0.25">
      <c r="A9" s="17" t="s">
        <v>353</v>
      </c>
      <c r="B9" s="17" t="s">
        <v>541</v>
      </c>
      <c r="C9" s="17" t="s">
        <v>351</v>
      </c>
      <c r="D9" s="17" t="s">
        <v>352</v>
      </c>
      <c r="E9" s="17" t="b">
        <f t="shared" ref="E9:E72" si="0">D9=I9</f>
        <v>1</v>
      </c>
      <c r="F9" s="127" t="s">
        <v>353</v>
      </c>
      <c r="G9" s="248" t="s">
        <v>541</v>
      </c>
      <c r="H9" s="128" t="s">
        <v>351</v>
      </c>
      <c r="I9" s="128" t="s">
        <v>352</v>
      </c>
      <c r="J9" s="31"/>
      <c r="K9" s="127" t="s">
        <v>354</v>
      </c>
      <c r="L9" s="90"/>
      <c r="M9" s="111"/>
      <c r="N9" s="112"/>
      <c r="O9" s="113"/>
      <c r="P9" s="112"/>
      <c r="Q9" s="31"/>
      <c r="R9" s="127"/>
      <c r="S9" s="90"/>
      <c r="T9" s="88" t="str">
        <f t="shared" ref="T9:T58" si="1">IF(LEFT(S9,1)&lt;&gt;"x","NA",IF(RIGHT(R9,3)=RIGHT(K9,3),IF(RIGHT(R9,3)&lt;&gt;RIGHT(K9,3),IF(OR(AND(RIGHT(R9,3)=RIGHT(K9,3),S9=L9)),"NO","YES"),"NO"),IF(OR(RIGHT(R9,3)=RIGHT(K9,3)),"ERROR","YES")))</f>
        <v>NA</v>
      </c>
      <c r="U9" s="88" t="str">
        <f t="shared" ref="U9:U58" si="2">IF(LEFT(L9,1)&lt;&gt;LEFT(S9,1),"YES",IF(LEFT(S9,1)="x","NO","NA"))</f>
        <v>NA</v>
      </c>
      <c r="V9" s="111"/>
      <c r="W9" s="112"/>
      <c r="X9" s="113"/>
      <c r="Y9" s="112"/>
      <c r="Z9" s="31"/>
      <c r="AA9" s="296"/>
      <c r="AB9" s="89"/>
      <c r="AC9" s="88" t="str">
        <f t="shared" ref="AC9:AC72" si="3">IF(LEFT(AB9,1)&lt;&gt;"x","NA",IF(RIGHT(AA9,3)=RIGHT(R9,3),IF(RIGHT(AA9,3)&lt;&gt;RIGHT(K9,3),IF(OR(AND(RIGHT(AA9,3)=RIGHT(R9,3),AB9=S9),AND(RIGHT(AA9,3)=RIGHT(K9,3),AB9=L9)),"NO","YES"),"NO"),IF(OR(RIGHT(AA9,3)=RIGHT(R9,3),RIGHT(AA9,3)=RIGHT(K9,3)),"ERROR","YES")))</f>
        <v>NA</v>
      </c>
      <c r="AD9" s="88" t="str">
        <f t="shared" ref="AD9:AD72" si="4">IF(LEFT(S9,1)&lt;&gt;LEFT(AB9,1),"YES",IF(LEFT(AB9,1)="x","NO","NA"))</f>
        <v>NA</v>
      </c>
      <c r="AE9" s="111"/>
      <c r="AF9" s="112"/>
      <c r="AG9" s="113"/>
      <c r="AH9" s="112"/>
      <c r="AI9" s="31"/>
      <c r="AJ9" s="294"/>
      <c r="AK9" s="89"/>
      <c r="AL9" s="88" t="str">
        <f t="shared" ref="AL9:AL72" si="5">IF(LEFT(AK9,1)&lt;&gt;"x","NA",IF(RIGHT(AJ9,3)=RIGHT(AA9,3),IF(RIGHT(AJ9,3)&lt;&gt;RIGHT(T9,3),IF(OR(AND(RIGHT(AJ9,3)=RIGHT(AA9,3),AK9=AB9),AND(RIGHT(AJ9,3)=RIGHT(T9,3),AK9=U9)),"NO","YES"),"NO"),IF(OR(RIGHT(AJ9,3)=RIGHT(AA9,3),RIGHT(AJ9,3)=RIGHT(T9,3)),"ERROR","YES")))</f>
        <v>NA</v>
      </c>
      <c r="AM9" s="88" t="str">
        <f t="shared" ref="AM9:AM72" si="6">IF(LEFT(AB9,1)&lt;&gt;LEFT(AK9,1),"YES",IF(LEFT(AK9,1)="x","NO","NA"))</f>
        <v>NA</v>
      </c>
      <c r="AN9" s="111"/>
      <c r="AO9" s="112"/>
      <c r="AP9" s="113"/>
      <c r="AQ9" s="112"/>
      <c r="AR9" s="31"/>
      <c r="AS9" s="32"/>
      <c r="AT9" s="90"/>
      <c r="AU9" s="88"/>
      <c r="AV9" s="88"/>
      <c r="AW9" s="111"/>
      <c r="AX9" s="112"/>
      <c r="AY9" s="113"/>
      <c r="AZ9" s="112"/>
      <c r="BA9" s="31"/>
      <c r="BB9" s="32"/>
      <c r="BC9" s="90"/>
      <c r="BD9" s="88"/>
      <c r="BE9" s="88"/>
      <c r="BF9" s="111"/>
      <c r="BG9" s="112"/>
      <c r="BH9" s="113"/>
      <c r="BI9" s="112"/>
      <c r="BJ9" s="31"/>
      <c r="BK9" s="32"/>
      <c r="BL9" s="90"/>
      <c r="BM9" s="88"/>
      <c r="BN9" s="88"/>
      <c r="BO9" s="111"/>
      <c r="BP9" s="112"/>
      <c r="BQ9" s="113"/>
      <c r="BR9" s="112"/>
      <c r="BS9" s="31"/>
      <c r="BT9" s="32"/>
      <c r="BU9" s="90"/>
      <c r="BV9" s="88"/>
      <c r="BW9" s="88"/>
      <c r="BX9" s="111"/>
      <c r="BY9" s="112"/>
      <c r="BZ9" s="113"/>
      <c r="CA9" s="112"/>
      <c r="CB9" s="31"/>
      <c r="CC9" s="32"/>
      <c r="CD9" s="90"/>
      <c r="CE9" s="88"/>
      <c r="CF9" s="88"/>
      <c r="CG9" s="111"/>
      <c r="CH9" s="112"/>
      <c r="CI9" s="113"/>
      <c r="CJ9" s="112"/>
      <c r="CK9" s="31"/>
      <c r="CL9" s="32"/>
      <c r="CM9" s="90"/>
      <c r="CN9" s="88"/>
      <c r="CO9" s="88"/>
      <c r="CP9" s="111"/>
      <c r="CQ9" s="112"/>
      <c r="CR9" s="113"/>
      <c r="CS9" s="112"/>
      <c r="CT9" s="55"/>
      <c r="CV9" s="230" t="s">
        <v>352</v>
      </c>
      <c r="CX9" s="226" t="s">
        <v>1424</v>
      </c>
      <c r="CY9" s="226" t="s">
        <v>541</v>
      </c>
      <c r="CZ9" s="226" t="s">
        <v>541</v>
      </c>
      <c r="DA9" s="226" t="s">
        <v>541</v>
      </c>
      <c r="DB9" s="226"/>
      <c r="DC9" s="226" t="s">
        <v>541</v>
      </c>
      <c r="DD9" s="226" t="s">
        <v>541</v>
      </c>
      <c r="DE9" s="226" t="s">
        <v>541</v>
      </c>
      <c r="DF9" s="226" t="s">
        <v>541</v>
      </c>
      <c r="DG9" s="226" t="s">
        <v>541</v>
      </c>
      <c r="DH9" s="14"/>
    </row>
    <row r="10" spans="1:112" ht="25.5" customHeight="1" x14ac:dyDescent="0.25">
      <c r="A10" s="17" t="s">
        <v>355</v>
      </c>
      <c r="B10" s="17" t="s">
        <v>541</v>
      </c>
      <c r="C10" s="17" t="s">
        <v>349</v>
      </c>
      <c r="D10" s="17" t="s">
        <v>350</v>
      </c>
      <c r="E10" s="17" t="b">
        <f t="shared" si="0"/>
        <v>1</v>
      </c>
      <c r="F10" s="127" t="s">
        <v>355</v>
      </c>
      <c r="G10" s="248" t="s">
        <v>541</v>
      </c>
      <c r="H10" s="128" t="s">
        <v>349</v>
      </c>
      <c r="I10" s="128" t="s">
        <v>350</v>
      </c>
      <c r="J10" s="31"/>
      <c r="K10" s="102" t="s">
        <v>583</v>
      </c>
      <c r="L10" s="90" t="s">
        <v>31</v>
      </c>
      <c r="M10" s="111" t="s">
        <v>2470</v>
      </c>
      <c r="N10" s="112"/>
      <c r="O10" s="113"/>
      <c r="P10" s="112"/>
      <c r="Q10" s="31"/>
      <c r="R10" s="102"/>
      <c r="S10" s="90"/>
      <c r="T10" s="88" t="str">
        <f t="shared" si="1"/>
        <v>NA</v>
      </c>
      <c r="U10" s="88" t="str">
        <f t="shared" si="2"/>
        <v>YES</v>
      </c>
      <c r="V10" s="111"/>
      <c r="W10" s="112"/>
      <c r="X10" s="113"/>
      <c r="Y10" s="112"/>
      <c r="Z10" s="31"/>
      <c r="AA10" s="296"/>
      <c r="AB10" s="89"/>
      <c r="AC10" s="88" t="str">
        <f t="shared" si="3"/>
        <v>NA</v>
      </c>
      <c r="AD10" s="88" t="str">
        <f t="shared" si="4"/>
        <v>NA</v>
      </c>
      <c r="AE10" s="111"/>
      <c r="AF10" s="112"/>
      <c r="AG10" s="113"/>
      <c r="AH10" s="112"/>
      <c r="AI10" s="31"/>
      <c r="AJ10" s="294"/>
      <c r="AK10" s="89"/>
      <c r="AL10" s="88" t="str">
        <f t="shared" si="5"/>
        <v>NA</v>
      </c>
      <c r="AM10" s="88" t="str">
        <f t="shared" si="6"/>
        <v>NA</v>
      </c>
      <c r="AN10" s="111"/>
      <c r="AO10" s="112"/>
      <c r="AP10" s="113"/>
      <c r="AQ10" s="112"/>
      <c r="AR10" s="31"/>
      <c r="AS10" s="32"/>
      <c r="AT10" s="90"/>
      <c r="AU10" s="88"/>
      <c r="AV10" s="88"/>
      <c r="AW10" s="111"/>
      <c r="AX10" s="112"/>
      <c r="AY10" s="113"/>
      <c r="AZ10" s="112"/>
      <c r="BA10" s="31"/>
      <c r="BB10" s="32"/>
      <c r="BC10" s="90"/>
      <c r="BD10" s="88"/>
      <c r="BE10" s="88"/>
      <c r="BF10" s="111"/>
      <c r="BG10" s="112"/>
      <c r="BH10" s="113"/>
      <c r="BI10" s="112"/>
      <c r="BJ10" s="31"/>
      <c r="BK10" s="32"/>
      <c r="BL10" s="90"/>
      <c r="BM10" s="88"/>
      <c r="BN10" s="88"/>
      <c r="BO10" s="111"/>
      <c r="BP10" s="112"/>
      <c r="BQ10" s="113"/>
      <c r="BR10" s="112"/>
      <c r="BS10" s="31"/>
      <c r="BT10" s="32"/>
      <c r="BU10" s="90"/>
      <c r="BV10" s="88"/>
      <c r="BW10" s="88"/>
      <c r="BX10" s="111"/>
      <c r="BY10" s="112"/>
      <c r="BZ10" s="113"/>
      <c r="CA10" s="112"/>
      <c r="CB10" s="31"/>
      <c r="CC10" s="32"/>
      <c r="CD10" s="90"/>
      <c r="CE10" s="88"/>
      <c r="CF10" s="88"/>
      <c r="CG10" s="111"/>
      <c r="CH10" s="112"/>
      <c r="CI10" s="113"/>
      <c r="CJ10" s="112"/>
      <c r="CK10" s="31"/>
      <c r="CL10" s="32"/>
      <c r="CM10" s="90"/>
      <c r="CN10" s="88"/>
      <c r="CO10" s="88"/>
      <c r="CP10" s="111"/>
      <c r="CQ10" s="112"/>
      <c r="CR10" s="113"/>
      <c r="CS10" s="112"/>
      <c r="CT10" s="55"/>
      <c r="CV10" s="230" t="s">
        <v>350</v>
      </c>
      <c r="CX10" s="226" t="s">
        <v>1425</v>
      </c>
      <c r="CY10" s="226" t="s">
        <v>541</v>
      </c>
      <c r="CZ10" s="226" t="s">
        <v>541</v>
      </c>
      <c r="DA10" s="226" t="s">
        <v>541</v>
      </c>
      <c r="DB10" s="14"/>
      <c r="DC10" s="226" t="s">
        <v>541</v>
      </c>
      <c r="DD10" s="226" t="s">
        <v>541</v>
      </c>
      <c r="DE10" s="226" t="s">
        <v>541</v>
      </c>
      <c r="DF10" s="226" t="s">
        <v>541</v>
      </c>
      <c r="DG10" s="226" t="s">
        <v>541</v>
      </c>
      <c r="DH10" s="14"/>
    </row>
    <row r="11" spans="1:112" ht="38.25" customHeight="1" x14ac:dyDescent="0.25">
      <c r="A11" s="17" t="s">
        <v>356</v>
      </c>
      <c r="B11" s="17" t="s">
        <v>541</v>
      </c>
      <c r="C11" s="17" t="s">
        <v>348</v>
      </c>
      <c r="D11" s="17" t="s">
        <v>620</v>
      </c>
      <c r="E11" s="17" t="b">
        <f t="shared" si="0"/>
        <v>1</v>
      </c>
      <c r="F11" s="127" t="s">
        <v>356</v>
      </c>
      <c r="G11" s="248" t="s">
        <v>541</v>
      </c>
      <c r="H11" s="128" t="s">
        <v>348</v>
      </c>
      <c r="I11" s="128" t="s">
        <v>620</v>
      </c>
      <c r="J11" s="31"/>
      <c r="K11" s="102" t="s">
        <v>583</v>
      </c>
      <c r="L11" s="90"/>
      <c r="M11" s="111"/>
      <c r="N11" s="112"/>
      <c r="O11" s="113"/>
      <c r="P11" s="112"/>
      <c r="Q11" s="31"/>
      <c r="R11" s="102"/>
      <c r="S11" s="90"/>
      <c r="T11" s="88" t="str">
        <f t="shared" si="1"/>
        <v>NA</v>
      </c>
      <c r="U11" s="88" t="str">
        <f t="shared" si="2"/>
        <v>NA</v>
      </c>
      <c r="V11" s="111"/>
      <c r="W11" s="112"/>
      <c r="X11" s="113"/>
      <c r="Y11" s="112"/>
      <c r="Z11" s="31"/>
      <c r="AA11" s="296"/>
      <c r="AB11" s="89"/>
      <c r="AC11" s="88" t="str">
        <f t="shared" si="3"/>
        <v>NA</v>
      </c>
      <c r="AD11" s="88" t="str">
        <f t="shared" si="4"/>
        <v>NA</v>
      </c>
      <c r="AE11" s="111"/>
      <c r="AF11" s="112"/>
      <c r="AG11" s="113"/>
      <c r="AH11" s="112"/>
      <c r="AI11" s="31"/>
      <c r="AJ11" s="294"/>
      <c r="AK11" s="89"/>
      <c r="AL11" s="88" t="str">
        <f t="shared" si="5"/>
        <v>NA</v>
      </c>
      <c r="AM11" s="88" t="str">
        <f t="shared" si="6"/>
        <v>NA</v>
      </c>
      <c r="AN11" s="111"/>
      <c r="AO11" s="112"/>
      <c r="AP11" s="113"/>
      <c r="AQ11" s="112"/>
      <c r="AR11" s="31"/>
      <c r="AS11" s="32"/>
      <c r="AT11" s="90"/>
      <c r="AU11" s="88"/>
      <c r="AV11" s="88"/>
      <c r="AW11" s="111"/>
      <c r="AX11" s="112"/>
      <c r="AY11" s="113"/>
      <c r="AZ11" s="112"/>
      <c r="BA11" s="31"/>
      <c r="BB11" s="32"/>
      <c r="BC11" s="90"/>
      <c r="BD11" s="88"/>
      <c r="BE11" s="88"/>
      <c r="BF11" s="111"/>
      <c r="BG11" s="112"/>
      <c r="BH11" s="113"/>
      <c r="BI11" s="112"/>
      <c r="BJ11" s="31"/>
      <c r="BK11" s="32"/>
      <c r="BL11" s="90"/>
      <c r="BM11" s="88"/>
      <c r="BN11" s="88"/>
      <c r="BO11" s="111"/>
      <c r="BP11" s="112"/>
      <c r="BQ11" s="113"/>
      <c r="BR11" s="112"/>
      <c r="BS11" s="31"/>
      <c r="BT11" s="32"/>
      <c r="BU11" s="90"/>
      <c r="BV11" s="88"/>
      <c r="BW11" s="88"/>
      <c r="BX11" s="111"/>
      <c r="BY11" s="112"/>
      <c r="BZ11" s="113"/>
      <c r="CA11" s="112"/>
      <c r="CB11" s="31"/>
      <c r="CC11" s="32"/>
      <c r="CD11" s="90"/>
      <c r="CE11" s="88"/>
      <c r="CF11" s="88"/>
      <c r="CG11" s="111"/>
      <c r="CH11" s="112"/>
      <c r="CI11" s="113"/>
      <c r="CJ11" s="112"/>
      <c r="CK11" s="31"/>
      <c r="CL11" s="32"/>
      <c r="CM11" s="90"/>
      <c r="CN11" s="88"/>
      <c r="CO11" s="88"/>
      <c r="CP11" s="111"/>
      <c r="CQ11" s="112"/>
      <c r="CR11" s="113"/>
      <c r="CS11" s="112"/>
      <c r="CT11" s="55"/>
      <c r="CV11" s="230" t="s">
        <v>620</v>
      </c>
      <c r="CX11" s="226" t="s">
        <v>1424</v>
      </c>
      <c r="CY11" s="226" t="s">
        <v>541</v>
      </c>
      <c r="CZ11" s="226" t="s">
        <v>541</v>
      </c>
      <c r="DA11" s="226" t="s">
        <v>541</v>
      </c>
      <c r="DB11" s="226"/>
      <c r="DC11" s="226" t="s">
        <v>541</v>
      </c>
      <c r="DD11" s="226" t="s">
        <v>541</v>
      </c>
      <c r="DE11" s="226" t="s">
        <v>541</v>
      </c>
      <c r="DF11" s="226" t="s">
        <v>541</v>
      </c>
      <c r="DG11" s="226" t="s">
        <v>541</v>
      </c>
      <c r="DH11" s="14"/>
    </row>
    <row r="12" spans="1:112" ht="39" x14ac:dyDescent="0.25">
      <c r="A12" s="17" t="s">
        <v>549</v>
      </c>
      <c r="B12" s="17" t="s">
        <v>541</v>
      </c>
      <c r="C12" s="17" t="s">
        <v>585</v>
      </c>
      <c r="D12" s="17" t="s">
        <v>621</v>
      </c>
      <c r="E12" s="17" t="b">
        <f t="shared" si="0"/>
        <v>1</v>
      </c>
      <c r="F12" s="127" t="s">
        <v>549</v>
      </c>
      <c r="G12" s="248" t="s">
        <v>541</v>
      </c>
      <c r="H12" s="128" t="s">
        <v>585</v>
      </c>
      <c r="I12" s="128" t="s">
        <v>621</v>
      </c>
      <c r="J12" s="31"/>
      <c r="K12" s="102" t="s">
        <v>354</v>
      </c>
      <c r="L12" s="90" t="s">
        <v>31</v>
      </c>
      <c r="M12" s="111" t="s">
        <v>2470</v>
      </c>
      <c r="N12" s="112" t="s">
        <v>2479</v>
      </c>
      <c r="O12" s="113"/>
      <c r="P12" s="112"/>
      <c r="Q12" s="31"/>
      <c r="R12" s="102"/>
      <c r="S12" s="90"/>
      <c r="T12" s="88" t="str">
        <f t="shared" si="1"/>
        <v>NA</v>
      </c>
      <c r="U12" s="88" t="str">
        <f t="shared" si="2"/>
        <v>YES</v>
      </c>
      <c r="V12" s="111"/>
      <c r="W12" s="112"/>
      <c r="X12" s="113"/>
      <c r="Y12" s="112"/>
      <c r="Z12" s="31"/>
      <c r="AA12" s="296"/>
      <c r="AB12" s="89"/>
      <c r="AC12" s="88" t="str">
        <f t="shared" si="3"/>
        <v>NA</v>
      </c>
      <c r="AD12" s="88" t="str">
        <f t="shared" si="4"/>
        <v>NA</v>
      </c>
      <c r="AE12" s="111"/>
      <c r="AF12" s="112"/>
      <c r="AG12" s="113"/>
      <c r="AH12" s="112"/>
      <c r="AI12" s="31"/>
      <c r="AJ12" s="294"/>
      <c r="AK12" s="89"/>
      <c r="AL12" s="88" t="str">
        <f t="shared" si="5"/>
        <v>NA</v>
      </c>
      <c r="AM12" s="88" t="str">
        <f t="shared" si="6"/>
        <v>NA</v>
      </c>
      <c r="AN12" s="111"/>
      <c r="AO12" s="112"/>
      <c r="AP12" s="113"/>
      <c r="AQ12" s="112"/>
      <c r="AR12" s="31"/>
      <c r="AS12" s="32"/>
      <c r="AT12" s="90"/>
      <c r="AU12" s="88"/>
      <c r="AV12" s="88"/>
      <c r="AW12" s="111"/>
      <c r="AX12" s="112"/>
      <c r="AY12" s="113"/>
      <c r="AZ12" s="112"/>
      <c r="BA12" s="31"/>
      <c r="BB12" s="32"/>
      <c r="BC12" s="90"/>
      <c r="BD12" s="88"/>
      <c r="BE12" s="88"/>
      <c r="BF12" s="111"/>
      <c r="BG12" s="112"/>
      <c r="BH12" s="113"/>
      <c r="BI12" s="112"/>
      <c r="BJ12" s="31"/>
      <c r="BK12" s="32"/>
      <c r="BL12" s="90"/>
      <c r="BM12" s="88"/>
      <c r="BN12" s="88"/>
      <c r="BO12" s="111"/>
      <c r="BP12" s="112"/>
      <c r="BQ12" s="113"/>
      <c r="BR12" s="112"/>
      <c r="BS12" s="31"/>
      <c r="BT12" s="32"/>
      <c r="BU12" s="90"/>
      <c r="BV12" s="88"/>
      <c r="BW12" s="88"/>
      <c r="BX12" s="111"/>
      <c r="BY12" s="112"/>
      <c r="BZ12" s="113"/>
      <c r="CA12" s="112"/>
      <c r="CB12" s="31"/>
      <c r="CC12" s="32"/>
      <c r="CD12" s="90"/>
      <c r="CE12" s="88"/>
      <c r="CF12" s="88"/>
      <c r="CG12" s="111"/>
      <c r="CH12" s="112"/>
      <c r="CI12" s="113"/>
      <c r="CJ12" s="112"/>
      <c r="CK12" s="31"/>
      <c r="CL12" s="32"/>
      <c r="CM12" s="90"/>
      <c r="CN12" s="88"/>
      <c r="CO12" s="88"/>
      <c r="CP12" s="111"/>
      <c r="CQ12" s="112"/>
      <c r="CR12" s="113"/>
      <c r="CS12" s="112"/>
      <c r="CT12" s="55"/>
      <c r="CV12" s="230" t="s">
        <v>621</v>
      </c>
      <c r="CX12" s="226" t="s">
        <v>1425</v>
      </c>
      <c r="CY12" s="226" t="s">
        <v>541</v>
      </c>
      <c r="CZ12" s="226" t="s">
        <v>541</v>
      </c>
      <c r="DA12" s="226" t="s">
        <v>541</v>
      </c>
      <c r="DB12" s="14"/>
      <c r="DC12" s="226" t="s">
        <v>541</v>
      </c>
      <c r="DD12" s="226" t="s">
        <v>541</v>
      </c>
      <c r="DE12" s="226" t="s">
        <v>541</v>
      </c>
      <c r="DF12" s="226" t="s">
        <v>541</v>
      </c>
      <c r="DG12" s="226" t="s">
        <v>541</v>
      </c>
      <c r="DH12" s="14"/>
    </row>
    <row r="13" spans="1:112" ht="13" x14ac:dyDescent="0.25">
      <c r="A13" s="17" t="s">
        <v>357</v>
      </c>
      <c r="B13" s="17" t="s">
        <v>541</v>
      </c>
      <c r="C13" s="17" t="s">
        <v>346</v>
      </c>
      <c r="D13" s="17" t="s">
        <v>347</v>
      </c>
      <c r="E13" s="17" t="b">
        <f t="shared" si="0"/>
        <v>1</v>
      </c>
      <c r="F13" s="127" t="s">
        <v>357</v>
      </c>
      <c r="G13" s="248" t="s">
        <v>541</v>
      </c>
      <c r="H13" s="128" t="s">
        <v>346</v>
      </c>
      <c r="I13" s="128" t="s">
        <v>347</v>
      </c>
      <c r="J13" s="31"/>
      <c r="K13" s="102" t="s">
        <v>354</v>
      </c>
      <c r="L13" s="89"/>
      <c r="M13" s="111"/>
      <c r="N13" s="112"/>
      <c r="O13" s="113"/>
      <c r="P13" s="112"/>
      <c r="Q13" s="31"/>
      <c r="R13" s="102"/>
      <c r="S13" s="89"/>
      <c r="T13" s="88" t="str">
        <f t="shared" si="1"/>
        <v>NA</v>
      </c>
      <c r="U13" s="88" t="str">
        <f t="shared" si="2"/>
        <v>NA</v>
      </c>
      <c r="V13" s="111"/>
      <c r="W13" s="112"/>
      <c r="X13" s="113"/>
      <c r="Y13" s="112"/>
      <c r="Z13" s="31"/>
      <c r="AA13" s="296"/>
      <c r="AB13" s="89"/>
      <c r="AC13" s="88" t="str">
        <f t="shared" si="3"/>
        <v>NA</v>
      </c>
      <c r="AD13" s="88" t="str">
        <f t="shared" si="4"/>
        <v>NA</v>
      </c>
      <c r="AE13" s="111"/>
      <c r="AF13" s="112"/>
      <c r="AG13" s="113"/>
      <c r="AH13" s="112"/>
      <c r="AI13" s="31"/>
      <c r="AJ13" s="294"/>
      <c r="AK13" s="89"/>
      <c r="AL13" s="88" t="str">
        <f t="shared" si="5"/>
        <v>NA</v>
      </c>
      <c r="AM13" s="88" t="str">
        <f t="shared" si="6"/>
        <v>NA</v>
      </c>
      <c r="AN13" s="111"/>
      <c r="AO13" s="112"/>
      <c r="AP13" s="113"/>
      <c r="AQ13" s="112"/>
      <c r="AR13" s="31"/>
      <c r="AS13" s="32"/>
      <c r="AT13" s="90"/>
      <c r="AU13" s="88"/>
      <c r="AV13" s="88"/>
      <c r="AW13" s="111"/>
      <c r="AX13" s="112"/>
      <c r="AY13" s="113"/>
      <c r="AZ13" s="112"/>
      <c r="BA13" s="31"/>
      <c r="BB13" s="32"/>
      <c r="BC13" s="90"/>
      <c r="BD13" s="88"/>
      <c r="BE13" s="88"/>
      <c r="BF13" s="111"/>
      <c r="BG13" s="112"/>
      <c r="BH13" s="113"/>
      <c r="BI13" s="112"/>
      <c r="BJ13" s="31"/>
      <c r="BK13" s="32"/>
      <c r="BL13" s="90"/>
      <c r="BM13" s="88"/>
      <c r="BN13" s="88"/>
      <c r="BO13" s="111"/>
      <c r="BP13" s="112"/>
      <c r="BQ13" s="113"/>
      <c r="BR13" s="112"/>
      <c r="BS13" s="31"/>
      <c r="BT13" s="32"/>
      <c r="BU13" s="90"/>
      <c r="BV13" s="88"/>
      <c r="BW13" s="88"/>
      <c r="BX13" s="111"/>
      <c r="BY13" s="112"/>
      <c r="BZ13" s="113"/>
      <c r="CA13" s="112"/>
      <c r="CB13" s="31"/>
      <c r="CC13" s="32"/>
      <c r="CD13" s="90"/>
      <c r="CE13" s="88"/>
      <c r="CF13" s="88"/>
      <c r="CG13" s="111"/>
      <c r="CH13" s="112"/>
      <c r="CI13" s="113"/>
      <c r="CJ13" s="112"/>
      <c r="CK13" s="31"/>
      <c r="CL13" s="32"/>
      <c r="CM13" s="90"/>
      <c r="CN13" s="88"/>
      <c r="CO13" s="88"/>
      <c r="CP13" s="111"/>
      <c r="CQ13" s="112"/>
      <c r="CR13" s="113"/>
      <c r="CS13" s="112"/>
      <c r="CT13" s="55"/>
      <c r="CV13" s="230" t="s">
        <v>347</v>
      </c>
      <c r="CX13" s="226" t="s">
        <v>541</v>
      </c>
      <c r="CY13" s="226" t="s">
        <v>541</v>
      </c>
      <c r="CZ13" s="226" t="s">
        <v>541</v>
      </c>
      <c r="DA13" s="226" t="s">
        <v>541</v>
      </c>
      <c r="DB13" s="14"/>
      <c r="DC13" s="226" t="s">
        <v>1426</v>
      </c>
      <c r="DD13" s="226" t="s">
        <v>541</v>
      </c>
      <c r="DE13" s="226" t="s">
        <v>541</v>
      </c>
      <c r="DF13" s="226" t="s">
        <v>541</v>
      </c>
      <c r="DG13" s="226" t="s">
        <v>541</v>
      </c>
      <c r="DH13" s="14"/>
    </row>
    <row r="14" spans="1:112" ht="12.75" customHeight="1" x14ac:dyDescent="0.25">
      <c r="A14" s="17" t="s">
        <v>358</v>
      </c>
      <c r="B14" s="17" t="s">
        <v>541</v>
      </c>
      <c r="C14" s="17" t="s">
        <v>344</v>
      </c>
      <c r="D14" s="17" t="s">
        <v>345</v>
      </c>
      <c r="E14" s="17" t="b">
        <f t="shared" si="0"/>
        <v>1</v>
      </c>
      <c r="F14" s="127" t="s">
        <v>358</v>
      </c>
      <c r="G14" s="248" t="s">
        <v>541</v>
      </c>
      <c r="H14" s="128" t="s">
        <v>344</v>
      </c>
      <c r="I14" s="128" t="s">
        <v>345</v>
      </c>
      <c r="J14" s="31"/>
      <c r="K14" s="102" t="s">
        <v>354</v>
      </c>
      <c r="L14" s="90"/>
      <c r="M14" s="111"/>
      <c r="N14" s="112"/>
      <c r="O14" s="113"/>
      <c r="P14" s="112"/>
      <c r="Q14" s="31"/>
      <c r="R14" s="102"/>
      <c r="S14" s="90"/>
      <c r="T14" s="88" t="str">
        <f t="shared" si="1"/>
        <v>NA</v>
      </c>
      <c r="U14" s="88" t="str">
        <f t="shared" si="2"/>
        <v>NA</v>
      </c>
      <c r="V14" s="111"/>
      <c r="W14" s="112"/>
      <c r="X14" s="113"/>
      <c r="Y14" s="112"/>
      <c r="Z14" s="31"/>
      <c r="AA14" s="296"/>
      <c r="AB14" s="89"/>
      <c r="AC14" s="88" t="str">
        <f t="shared" si="3"/>
        <v>NA</v>
      </c>
      <c r="AD14" s="88" t="str">
        <f t="shared" si="4"/>
        <v>NA</v>
      </c>
      <c r="AE14" s="111"/>
      <c r="AF14" s="112"/>
      <c r="AG14" s="113"/>
      <c r="AH14" s="112"/>
      <c r="AI14" s="31"/>
      <c r="AJ14" s="294"/>
      <c r="AK14" s="89"/>
      <c r="AL14" s="88" t="str">
        <f t="shared" si="5"/>
        <v>NA</v>
      </c>
      <c r="AM14" s="88" t="str">
        <f t="shared" si="6"/>
        <v>NA</v>
      </c>
      <c r="AN14" s="111"/>
      <c r="AO14" s="112"/>
      <c r="AP14" s="113"/>
      <c r="AQ14" s="112"/>
      <c r="AR14" s="31"/>
      <c r="AS14" s="32"/>
      <c r="AT14" s="90"/>
      <c r="AU14" s="88"/>
      <c r="AV14" s="88"/>
      <c r="AW14" s="111"/>
      <c r="AX14" s="112"/>
      <c r="AY14" s="113"/>
      <c r="AZ14" s="112"/>
      <c r="BA14" s="31"/>
      <c r="BB14" s="32"/>
      <c r="BC14" s="90"/>
      <c r="BD14" s="88"/>
      <c r="BE14" s="88"/>
      <c r="BF14" s="111"/>
      <c r="BG14" s="112"/>
      <c r="BH14" s="113"/>
      <c r="BI14" s="112"/>
      <c r="BJ14" s="31"/>
      <c r="BK14" s="32"/>
      <c r="BL14" s="90"/>
      <c r="BM14" s="88"/>
      <c r="BN14" s="88"/>
      <c r="BO14" s="111"/>
      <c r="BP14" s="112"/>
      <c r="BQ14" s="113"/>
      <c r="BR14" s="112"/>
      <c r="BS14" s="31"/>
      <c r="BT14" s="32"/>
      <c r="BU14" s="90"/>
      <c r="BV14" s="88"/>
      <c r="BW14" s="88"/>
      <c r="BX14" s="111"/>
      <c r="BY14" s="112"/>
      <c r="BZ14" s="113"/>
      <c r="CA14" s="112"/>
      <c r="CB14" s="31"/>
      <c r="CC14" s="32"/>
      <c r="CD14" s="90"/>
      <c r="CE14" s="88"/>
      <c r="CF14" s="88"/>
      <c r="CG14" s="111"/>
      <c r="CH14" s="112"/>
      <c r="CI14" s="113"/>
      <c r="CJ14" s="112"/>
      <c r="CK14" s="31"/>
      <c r="CL14" s="32"/>
      <c r="CM14" s="90"/>
      <c r="CN14" s="88"/>
      <c r="CO14" s="88"/>
      <c r="CP14" s="111"/>
      <c r="CQ14" s="112"/>
      <c r="CR14" s="113"/>
      <c r="CS14" s="112"/>
      <c r="CT14" s="55"/>
      <c r="CV14" s="230" t="s">
        <v>345</v>
      </c>
      <c r="CX14" s="226" t="s">
        <v>1424</v>
      </c>
      <c r="CY14" s="226" t="s">
        <v>541</v>
      </c>
      <c r="CZ14" s="226" t="s">
        <v>541</v>
      </c>
      <c r="DA14" s="226" t="s">
        <v>541</v>
      </c>
      <c r="DB14" s="226"/>
      <c r="DC14" s="226" t="s">
        <v>1427</v>
      </c>
      <c r="DD14" s="226" t="s">
        <v>541</v>
      </c>
      <c r="DE14" s="226" t="s">
        <v>541</v>
      </c>
      <c r="DF14" s="226" t="s">
        <v>541</v>
      </c>
      <c r="DG14" s="226" t="s">
        <v>541</v>
      </c>
      <c r="DH14" s="14"/>
    </row>
    <row r="15" spans="1:112" ht="26" x14ac:dyDescent="0.25">
      <c r="A15" s="17" t="s">
        <v>359</v>
      </c>
      <c r="B15" s="17" t="s">
        <v>541</v>
      </c>
      <c r="C15" s="17" t="s">
        <v>342</v>
      </c>
      <c r="D15" s="17" t="s">
        <v>343</v>
      </c>
      <c r="E15" s="17" t="b">
        <f t="shared" si="0"/>
        <v>1</v>
      </c>
      <c r="F15" s="127" t="s">
        <v>359</v>
      </c>
      <c r="G15" s="248" t="s">
        <v>541</v>
      </c>
      <c r="H15" s="128" t="s">
        <v>342</v>
      </c>
      <c r="I15" s="128" t="s">
        <v>343</v>
      </c>
      <c r="J15" s="31"/>
      <c r="K15" s="102" t="s">
        <v>354</v>
      </c>
      <c r="L15" s="89" t="s">
        <v>31</v>
      </c>
      <c r="M15" s="111" t="s">
        <v>2470</v>
      </c>
      <c r="N15" s="112"/>
      <c r="O15" s="113"/>
      <c r="P15" s="112"/>
      <c r="Q15" s="31"/>
      <c r="R15" s="102"/>
      <c r="S15" s="89"/>
      <c r="T15" s="88" t="str">
        <f t="shared" si="1"/>
        <v>NA</v>
      </c>
      <c r="U15" s="88" t="str">
        <f t="shared" si="2"/>
        <v>YES</v>
      </c>
      <c r="V15" s="111"/>
      <c r="W15" s="112"/>
      <c r="X15" s="113"/>
      <c r="Y15" s="112"/>
      <c r="Z15" s="31"/>
      <c r="AA15" s="296"/>
      <c r="AB15" s="89"/>
      <c r="AC15" s="88" t="str">
        <f t="shared" si="3"/>
        <v>NA</v>
      </c>
      <c r="AD15" s="88" t="str">
        <f t="shared" si="4"/>
        <v>NA</v>
      </c>
      <c r="AE15" s="111"/>
      <c r="AF15" s="112"/>
      <c r="AG15" s="113"/>
      <c r="AH15" s="112"/>
      <c r="AI15" s="31"/>
      <c r="AJ15" s="294"/>
      <c r="AK15" s="89"/>
      <c r="AL15" s="88" t="str">
        <f t="shared" si="5"/>
        <v>NA</v>
      </c>
      <c r="AM15" s="88" t="str">
        <f t="shared" si="6"/>
        <v>NA</v>
      </c>
      <c r="AN15" s="111"/>
      <c r="AO15" s="112"/>
      <c r="AP15" s="113"/>
      <c r="AQ15" s="112"/>
      <c r="AR15" s="31"/>
      <c r="AS15" s="32"/>
      <c r="AT15" s="90"/>
      <c r="AU15" s="88"/>
      <c r="AV15" s="88"/>
      <c r="AW15" s="111"/>
      <c r="AX15" s="112"/>
      <c r="AY15" s="113"/>
      <c r="AZ15" s="112"/>
      <c r="BA15" s="31"/>
      <c r="BB15" s="32"/>
      <c r="BC15" s="90"/>
      <c r="BD15" s="88"/>
      <c r="BE15" s="88"/>
      <c r="BF15" s="111"/>
      <c r="BG15" s="112"/>
      <c r="BH15" s="113"/>
      <c r="BI15" s="112"/>
      <c r="BJ15" s="31"/>
      <c r="BK15" s="32"/>
      <c r="BL15" s="90"/>
      <c r="BM15" s="88"/>
      <c r="BN15" s="88"/>
      <c r="BO15" s="111"/>
      <c r="BP15" s="112"/>
      <c r="BQ15" s="113"/>
      <c r="BR15" s="112"/>
      <c r="BS15" s="31"/>
      <c r="BT15" s="32"/>
      <c r="BU15" s="90"/>
      <c r="BV15" s="88"/>
      <c r="BW15" s="88"/>
      <c r="BX15" s="111"/>
      <c r="BY15" s="112"/>
      <c r="BZ15" s="113"/>
      <c r="CA15" s="112"/>
      <c r="CB15" s="31"/>
      <c r="CC15" s="32"/>
      <c r="CD15" s="90"/>
      <c r="CE15" s="88"/>
      <c r="CF15" s="88"/>
      <c r="CG15" s="111"/>
      <c r="CH15" s="112"/>
      <c r="CI15" s="113"/>
      <c r="CJ15" s="112"/>
      <c r="CK15" s="31"/>
      <c r="CL15" s="32"/>
      <c r="CM15" s="90"/>
      <c r="CN15" s="88"/>
      <c r="CO15" s="88"/>
      <c r="CP15" s="111"/>
      <c r="CQ15" s="112"/>
      <c r="CR15" s="113"/>
      <c r="CS15" s="112"/>
      <c r="CT15" s="55"/>
      <c r="CV15" s="230" t="s">
        <v>343</v>
      </c>
      <c r="CX15" s="226" t="s">
        <v>1425</v>
      </c>
      <c r="CY15" s="226" t="s">
        <v>541</v>
      </c>
      <c r="CZ15" s="226" t="s">
        <v>541</v>
      </c>
      <c r="DA15" s="226" t="s">
        <v>541</v>
      </c>
      <c r="DB15" s="14"/>
      <c r="DC15" s="226" t="s">
        <v>1427</v>
      </c>
      <c r="DD15" s="226" t="s">
        <v>541</v>
      </c>
      <c r="DE15" s="226" t="s">
        <v>541</v>
      </c>
      <c r="DF15" s="226" t="s">
        <v>541</v>
      </c>
      <c r="DG15" s="226" t="s">
        <v>541</v>
      </c>
      <c r="DH15" s="14"/>
    </row>
    <row r="16" spans="1:112" ht="13" x14ac:dyDescent="0.25">
      <c r="A16" s="17" t="s">
        <v>1004</v>
      </c>
      <c r="B16" s="17" t="s">
        <v>1262</v>
      </c>
      <c r="C16" s="17" t="s">
        <v>1365</v>
      </c>
      <c r="D16" s="17" t="s">
        <v>754</v>
      </c>
      <c r="E16" s="17" t="b">
        <f t="shared" si="0"/>
        <v>1</v>
      </c>
      <c r="F16" s="232" t="s">
        <v>2071</v>
      </c>
      <c r="G16" s="277" t="s">
        <v>2142</v>
      </c>
      <c r="H16" s="128" t="s">
        <v>1365</v>
      </c>
      <c r="I16" s="233" t="s">
        <v>754</v>
      </c>
      <c r="J16" s="31"/>
      <c r="K16" s="102" t="s">
        <v>354</v>
      </c>
      <c r="L16" s="90"/>
      <c r="M16" s="111"/>
      <c r="N16" s="112"/>
      <c r="O16" s="113"/>
      <c r="P16" s="112"/>
      <c r="Q16" s="31"/>
      <c r="R16" s="102"/>
      <c r="S16" s="90"/>
      <c r="T16" s="88" t="str">
        <f t="shared" si="1"/>
        <v>NA</v>
      </c>
      <c r="U16" s="88" t="str">
        <f t="shared" si="2"/>
        <v>NA</v>
      </c>
      <c r="V16" s="111"/>
      <c r="W16" s="112"/>
      <c r="X16" s="113"/>
      <c r="Y16" s="112"/>
      <c r="Z16" s="31"/>
      <c r="AA16" s="296"/>
      <c r="AB16" s="89"/>
      <c r="AC16" s="88" t="str">
        <f t="shared" si="3"/>
        <v>NA</v>
      </c>
      <c r="AD16" s="88" t="str">
        <f t="shared" si="4"/>
        <v>NA</v>
      </c>
      <c r="AE16" s="111"/>
      <c r="AF16" s="112"/>
      <c r="AG16" s="113"/>
      <c r="AH16" s="112"/>
      <c r="AI16" s="31"/>
      <c r="AJ16" s="294"/>
      <c r="AK16" s="89"/>
      <c r="AL16" s="88" t="str">
        <f t="shared" si="5"/>
        <v>NA</v>
      </c>
      <c r="AM16" s="88" t="str">
        <f t="shared" si="6"/>
        <v>NA</v>
      </c>
      <c r="AN16" s="111"/>
      <c r="AO16" s="112"/>
      <c r="AP16" s="113"/>
      <c r="AQ16" s="112"/>
      <c r="AR16" s="31"/>
      <c r="AS16" s="32"/>
      <c r="AT16" s="90"/>
      <c r="AU16" s="88"/>
      <c r="AV16" s="88"/>
      <c r="AW16" s="111"/>
      <c r="AX16" s="112"/>
      <c r="AY16" s="113"/>
      <c r="AZ16" s="112"/>
      <c r="BA16" s="31"/>
      <c r="BB16" s="32"/>
      <c r="BC16" s="90"/>
      <c r="BD16" s="88"/>
      <c r="BE16" s="88"/>
      <c r="BF16" s="111"/>
      <c r="BG16" s="112"/>
      <c r="BH16" s="113"/>
      <c r="BI16" s="112"/>
      <c r="BJ16" s="31"/>
      <c r="BK16" s="32"/>
      <c r="BL16" s="90"/>
      <c r="BM16" s="88"/>
      <c r="BN16" s="88"/>
      <c r="BO16" s="111"/>
      <c r="BP16" s="112"/>
      <c r="BQ16" s="113"/>
      <c r="BR16" s="112"/>
      <c r="BS16" s="31"/>
      <c r="BT16" s="32"/>
      <c r="BU16" s="90"/>
      <c r="BV16" s="88"/>
      <c r="BW16" s="88"/>
      <c r="BX16" s="111"/>
      <c r="BY16" s="112"/>
      <c r="BZ16" s="113"/>
      <c r="CA16" s="112"/>
      <c r="CB16" s="31"/>
      <c r="CC16" s="32"/>
      <c r="CD16" s="90"/>
      <c r="CE16" s="88"/>
      <c r="CF16" s="88"/>
      <c r="CG16" s="111"/>
      <c r="CH16" s="112"/>
      <c r="CI16" s="113"/>
      <c r="CJ16" s="112"/>
      <c r="CK16" s="31"/>
      <c r="CL16" s="32"/>
      <c r="CM16" s="90"/>
      <c r="CN16" s="88"/>
      <c r="CO16" s="88"/>
      <c r="CP16" s="111"/>
      <c r="CQ16" s="112"/>
      <c r="CR16" s="113"/>
      <c r="CS16" s="112"/>
      <c r="CT16" s="55"/>
      <c r="CV16" s="230"/>
      <c r="CX16" s="226" t="s">
        <v>541</v>
      </c>
      <c r="CY16" s="226" t="s">
        <v>541</v>
      </c>
      <c r="CZ16" s="226" t="s">
        <v>541</v>
      </c>
      <c r="DA16" s="226" t="s">
        <v>541</v>
      </c>
      <c r="DB16" s="226"/>
      <c r="DC16" s="226" t="s">
        <v>1428</v>
      </c>
      <c r="DD16" s="226" t="s">
        <v>541</v>
      </c>
      <c r="DE16" s="226" t="s">
        <v>541</v>
      </c>
      <c r="DF16" s="226" t="s">
        <v>541</v>
      </c>
      <c r="DG16" s="226" t="s">
        <v>541</v>
      </c>
      <c r="DH16" s="14"/>
    </row>
    <row r="17" spans="1:112" ht="26" x14ac:dyDescent="0.25">
      <c r="A17" s="17" t="s">
        <v>1004</v>
      </c>
      <c r="B17" s="17" t="s">
        <v>1263</v>
      </c>
      <c r="C17" s="17" t="s">
        <v>1366</v>
      </c>
      <c r="D17" s="17" t="s">
        <v>755</v>
      </c>
      <c r="E17" s="17" t="b">
        <f t="shared" si="0"/>
        <v>1</v>
      </c>
      <c r="F17" s="232" t="s">
        <v>2072</v>
      </c>
      <c r="G17" s="277" t="s">
        <v>2143</v>
      </c>
      <c r="H17" s="128" t="s">
        <v>1366</v>
      </c>
      <c r="I17" s="233" t="s">
        <v>755</v>
      </c>
      <c r="J17" s="31"/>
      <c r="K17" s="102" t="s">
        <v>354</v>
      </c>
      <c r="L17" s="90" t="s">
        <v>2404</v>
      </c>
      <c r="M17" s="111" t="s">
        <v>2470</v>
      </c>
      <c r="N17" s="112"/>
      <c r="O17" s="113"/>
      <c r="P17" s="112"/>
      <c r="Q17" s="31"/>
      <c r="R17" s="102"/>
      <c r="S17" s="90"/>
      <c r="T17" s="88" t="str">
        <f t="shared" si="1"/>
        <v>NA</v>
      </c>
      <c r="U17" s="88" t="str">
        <f t="shared" si="2"/>
        <v>YES</v>
      </c>
      <c r="V17" s="111"/>
      <c r="W17" s="112"/>
      <c r="X17" s="113"/>
      <c r="Y17" s="112"/>
      <c r="Z17" s="31"/>
      <c r="AA17" s="296"/>
      <c r="AB17" s="89"/>
      <c r="AC17" s="88" t="str">
        <f t="shared" ref="AC17" si="7">IF(LEFT(AB17,1)&lt;&gt;"x","NA",IF(RIGHT(AA17,3)=RIGHT(R17,3),IF(RIGHT(AA17,3)&lt;&gt;RIGHT(K17,3),IF(OR(AND(RIGHT(AA17,3)=RIGHT(R17,3),AB17=S17),AND(RIGHT(AA17,3)=RIGHT(K17,3),AB17=L17)),"NO","YES"),"NO"),IF(OR(RIGHT(AA17,3)=RIGHT(R17,3),RIGHT(AA17,3)=RIGHT(K17,3)),"ERROR","YES")))</f>
        <v>NA</v>
      </c>
      <c r="AD17" s="88" t="str">
        <f t="shared" ref="AD17" si="8">IF(LEFT(S17,1)&lt;&gt;LEFT(AB17,1),"YES",IF(LEFT(AB17,1)="x","NO","NA"))</f>
        <v>NA</v>
      </c>
      <c r="AE17" s="111"/>
      <c r="AF17" s="112"/>
      <c r="AG17" s="113"/>
      <c r="AH17" s="112"/>
      <c r="AI17" s="31"/>
      <c r="AJ17" s="294"/>
      <c r="AK17" s="89"/>
      <c r="AL17" s="88" t="str">
        <f t="shared" si="5"/>
        <v>NA</v>
      </c>
      <c r="AM17" s="88" t="str">
        <f t="shared" si="6"/>
        <v>NA</v>
      </c>
      <c r="AN17" s="111"/>
      <c r="AO17" s="112"/>
      <c r="AP17" s="113"/>
      <c r="AQ17" s="112"/>
      <c r="AR17" s="31"/>
      <c r="AS17" s="32"/>
      <c r="AT17" s="90"/>
      <c r="AU17" s="88"/>
      <c r="AV17" s="88"/>
      <c r="AW17" s="111"/>
      <c r="AX17" s="112"/>
      <c r="AY17" s="113"/>
      <c r="AZ17" s="112"/>
      <c r="BA17" s="31"/>
      <c r="BB17" s="32"/>
      <c r="BC17" s="90"/>
      <c r="BD17" s="88"/>
      <c r="BE17" s="88"/>
      <c r="BF17" s="111"/>
      <c r="BG17" s="112"/>
      <c r="BH17" s="113"/>
      <c r="BI17" s="112"/>
      <c r="BJ17" s="31"/>
      <c r="BK17" s="32"/>
      <c r="BL17" s="90"/>
      <c r="BM17" s="88"/>
      <c r="BN17" s="88"/>
      <c r="BO17" s="111"/>
      <c r="BP17" s="112"/>
      <c r="BQ17" s="113"/>
      <c r="BR17" s="112"/>
      <c r="BS17" s="31"/>
      <c r="BT17" s="32"/>
      <c r="BU17" s="90"/>
      <c r="BV17" s="88"/>
      <c r="BW17" s="88"/>
      <c r="BX17" s="111"/>
      <c r="BY17" s="112"/>
      <c r="BZ17" s="113"/>
      <c r="CA17" s="112"/>
      <c r="CB17" s="31"/>
      <c r="CC17" s="32"/>
      <c r="CD17" s="90"/>
      <c r="CE17" s="88"/>
      <c r="CF17" s="88"/>
      <c r="CG17" s="111"/>
      <c r="CH17" s="112"/>
      <c r="CI17" s="113"/>
      <c r="CJ17" s="112"/>
      <c r="CK17" s="31"/>
      <c r="CL17" s="32"/>
      <c r="CM17" s="90"/>
      <c r="CN17" s="88"/>
      <c r="CO17" s="88"/>
      <c r="CP17" s="111"/>
      <c r="CQ17" s="112"/>
      <c r="CR17" s="113"/>
      <c r="CS17" s="112"/>
      <c r="CT17" s="55"/>
      <c r="CV17" s="230"/>
      <c r="CX17" s="226" t="s">
        <v>541</v>
      </c>
      <c r="CY17" s="226" t="s">
        <v>541</v>
      </c>
      <c r="CZ17" s="226" t="s">
        <v>541</v>
      </c>
      <c r="DA17" s="226" t="s">
        <v>541</v>
      </c>
      <c r="DB17" s="226"/>
      <c r="DC17" s="226" t="s">
        <v>1428</v>
      </c>
      <c r="DD17" s="226" t="s">
        <v>541</v>
      </c>
      <c r="DE17" s="226" t="s">
        <v>541</v>
      </c>
      <c r="DF17" s="226" t="s">
        <v>541</v>
      </c>
      <c r="DG17" s="226" t="s">
        <v>541</v>
      </c>
      <c r="DH17" s="14"/>
    </row>
    <row r="18" spans="1:112" ht="12.75" customHeight="1" x14ac:dyDescent="0.25">
      <c r="A18" s="17" t="s">
        <v>360</v>
      </c>
      <c r="B18" s="17" t="s">
        <v>541</v>
      </c>
      <c r="C18" s="17" t="s">
        <v>340</v>
      </c>
      <c r="D18" s="17" t="s">
        <v>341</v>
      </c>
      <c r="E18" s="17" t="b">
        <f t="shared" si="0"/>
        <v>1</v>
      </c>
      <c r="F18" s="127" t="s">
        <v>360</v>
      </c>
      <c r="G18" s="248" t="s">
        <v>541</v>
      </c>
      <c r="H18" s="128" t="s">
        <v>340</v>
      </c>
      <c r="I18" s="128" t="s">
        <v>341</v>
      </c>
      <c r="J18" s="31"/>
      <c r="K18" s="102" t="s">
        <v>354</v>
      </c>
      <c r="L18" s="90"/>
      <c r="M18" s="111"/>
      <c r="N18" s="112"/>
      <c r="O18" s="113"/>
      <c r="P18" s="112"/>
      <c r="Q18" s="31"/>
      <c r="R18" s="102"/>
      <c r="S18" s="90"/>
      <c r="T18" s="88" t="str">
        <f t="shared" si="1"/>
        <v>NA</v>
      </c>
      <c r="U18" s="88" t="str">
        <f t="shared" si="2"/>
        <v>NA</v>
      </c>
      <c r="V18" s="111"/>
      <c r="W18" s="112"/>
      <c r="X18" s="113"/>
      <c r="Y18" s="112"/>
      <c r="Z18" s="31"/>
      <c r="AA18" s="296"/>
      <c r="AB18" s="89"/>
      <c r="AC18" s="88" t="str">
        <f t="shared" si="3"/>
        <v>NA</v>
      </c>
      <c r="AD18" s="88" t="str">
        <f t="shared" si="4"/>
        <v>NA</v>
      </c>
      <c r="AE18" s="111"/>
      <c r="AF18" s="112"/>
      <c r="AG18" s="113"/>
      <c r="AH18" s="112"/>
      <c r="AI18" s="31"/>
      <c r="AJ18" s="294"/>
      <c r="AK18" s="89"/>
      <c r="AL18" s="88" t="str">
        <f t="shared" si="5"/>
        <v>NA</v>
      </c>
      <c r="AM18" s="88" t="str">
        <f t="shared" si="6"/>
        <v>NA</v>
      </c>
      <c r="AN18" s="111"/>
      <c r="AO18" s="112"/>
      <c r="AP18" s="113"/>
      <c r="AQ18" s="112"/>
      <c r="AR18" s="31"/>
      <c r="AS18" s="32"/>
      <c r="AT18" s="90"/>
      <c r="AU18" s="88"/>
      <c r="AV18" s="88"/>
      <c r="AW18" s="111"/>
      <c r="AX18" s="112"/>
      <c r="AY18" s="113"/>
      <c r="AZ18" s="112"/>
      <c r="BA18" s="31"/>
      <c r="BB18" s="32"/>
      <c r="BC18" s="90"/>
      <c r="BD18" s="88"/>
      <c r="BE18" s="88"/>
      <c r="BF18" s="111"/>
      <c r="BG18" s="112"/>
      <c r="BH18" s="113"/>
      <c r="BI18" s="112"/>
      <c r="BJ18" s="31"/>
      <c r="BK18" s="32"/>
      <c r="BL18" s="90"/>
      <c r="BM18" s="88"/>
      <c r="BN18" s="88"/>
      <c r="BO18" s="111"/>
      <c r="BP18" s="112"/>
      <c r="BQ18" s="113"/>
      <c r="BR18" s="112"/>
      <c r="BS18" s="31"/>
      <c r="BT18" s="32"/>
      <c r="BU18" s="90"/>
      <c r="BV18" s="88"/>
      <c r="BW18" s="88"/>
      <c r="BX18" s="111"/>
      <c r="BY18" s="112"/>
      <c r="BZ18" s="113"/>
      <c r="CA18" s="112"/>
      <c r="CB18" s="31"/>
      <c r="CC18" s="32"/>
      <c r="CD18" s="90"/>
      <c r="CE18" s="88"/>
      <c r="CF18" s="88"/>
      <c r="CG18" s="111"/>
      <c r="CH18" s="112"/>
      <c r="CI18" s="113"/>
      <c r="CJ18" s="112"/>
      <c r="CK18" s="31"/>
      <c r="CL18" s="32"/>
      <c r="CM18" s="90"/>
      <c r="CN18" s="88"/>
      <c r="CO18" s="88"/>
      <c r="CP18" s="111"/>
      <c r="CQ18" s="112"/>
      <c r="CR18" s="113"/>
      <c r="CS18" s="112"/>
      <c r="CT18" s="55"/>
      <c r="CV18" s="230" t="s">
        <v>341</v>
      </c>
      <c r="CX18" s="226" t="s">
        <v>541</v>
      </c>
      <c r="CY18" s="226" t="s">
        <v>541</v>
      </c>
      <c r="CZ18" s="226" t="s">
        <v>541</v>
      </c>
      <c r="DA18" s="226" t="s">
        <v>541</v>
      </c>
      <c r="DB18" s="14"/>
      <c r="DC18" s="226" t="s">
        <v>1429</v>
      </c>
      <c r="DD18" s="226" t="s">
        <v>541</v>
      </c>
      <c r="DE18" s="226" t="s">
        <v>541</v>
      </c>
      <c r="DF18" s="226" t="s">
        <v>541</v>
      </c>
      <c r="DG18" s="226" t="s">
        <v>541</v>
      </c>
      <c r="DH18" s="14"/>
    </row>
    <row r="19" spans="1:112" ht="12.75" customHeight="1" x14ac:dyDescent="0.25">
      <c r="A19" s="17" t="s">
        <v>1004</v>
      </c>
      <c r="B19" s="17" t="s">
        <v>1264</v>
      </c>
      <c r="C19" s="17" t="s">
        <v>737</v>
      </c>
      <c r="D19" s="17" t="s">
        <v>738</v>
      </c>
      <c r="E19" s="17" t="b">
        <f t="shared" si="0"/>
        <v>1</v>
      </c>
      <c r="F19" s="232" t="s">
        <v>2073</v>
      </c>
      <c r="G19" s="277" t="s">
        <v>2144</v>
      </c>
      <c r="H19" s="128" t="s">
        <v>737</v>
      </c>
      <c r="I19" s="233" t="s">
        <v>738</v>
      </c>
      <c r="J19" s="31"/>
      <c r="K19" s="102" t="s">
        <v>354</v>
      </c>
      <c r="L19" s="90"/>
      <c r="M19" s="111"/>
      <c r="N19" s="112"/>
      <c r="O19" s="113"/>
      <c r="P19" s="112"/>
      <c r="Q19" s="31"/>
      <c r="R19" s="102"/>
      <c r="S19" s="90"/>
      <c r="T19" s="88" t="str">
        <f t="shared" si="1"/>
        <v>NA</v>
      </c>
      <c r="U19" s="88" t="str">
        <f t="shared" si="2"/>
        <v>NA</v>
      </c>
      <c r="V19" s="111"/>
      <c r="W19" s="112"/>
      <c r="X19" s="113"/>
      <c r="Y19" s="112"/>
      <c r="Z19" s="31"/>
      <c r="AA19" s="296"/>
      <c r="AB19" s="89"/>
      <c r="AC19" s="88" t="str">
        <f t="shared" ref="AC19" si="9">IF(LEFT(AB19,1)&lt;&gt;"x","NA",IF(RIGHT(AA19,3)=RIGHT(R19,3),IF(RIGHT(AA19,3)&lt;&gt;RIGHT(K19,3),IF(OR(AND(RIGHT(AA19,3)=RIGHT(R19,3),AB19=S19),AND(RIGHT(AA19,3)=RIGHT(K19,3),AB19=L19)),"NO","YES"),"NO"),IF(OR(RIGHT(AA19,3)=RIGHT(R19,3),RIGHT(AA19,3)=RIGHT(K19,3)),"ERROR","YES")))</f>
        <v>NA</v>
      </c>
      <c r="AD19" s="88" t="str">
        <f t="shared" ref="AD19" si="10">IF(LEFT(S19,1)&lt;&gt;LEFT(AB19,1),"YES",IF(LEFT(AB19,1)="x","NO","NA"))</f>
        <v>NA</v>
      </c>
      <c r="AE19" s="111"/>
      <c r="AF19" s="112"/>
      <c r="AG19" s="113"/>
      <c r="AH19" s="112"/>
      <c r="AI19" s="31"/>
      <c r="AJ19" s="294"/>
      <c r="AK19" s="89"/>
      <c r="AL19" s="88" t="str">
        <f t="shared" si="5"/>
        <v>NA</v>
      </c>
      <c r="AM19" s="88" t="str">
        <f t="shared" si="6"/>
        <v>NA</v>
      </c>
      <c r="AN19" s="111"/>
      <c r="AO19" s="112"/>
      <c r="AP19" s="113"/>
      <c r="AQ19" s="112"/>
      <c r="AR19" s="31"/>
      <c r="AS19" s="32"/>
      <c r="AT19" s="90"/>
      <c r="AU19" s="88"/>
      <c r="AV19" s="88"/>
      <c r="AW19" s="111"/>
      <c r="AX19" s="112"/>
      <c r="AY19" s="113"/>
      <c r="AZ19" s="112"/>
      <c r="BA19" s="31"/>
      <c r="BB19" s="32"/>
      <c r="BC19" s="90"/>
      <c r="BD19" s="88"/>
      <c r="BE19" s="88"/>
      <c r="BF19" s="111"/>
      <c r="BG19" s="112"/>
      <c r="BH19" s="113"/>
      <c r="BI19" s="112"/>
      <c r="BJ19" s="31"/>
      <c r="BK19" s="32"/>
      <c r="BL19" s="90"/>
      <c r="BM19" s="88"/>
      <c r="BN19" s="88"/>
      <c r="BO19" s="111"/>
      <c r="BP19" s="112"/>
      <c r="BQ19" s="113"/>
      <c r="BR19" s="112"/>
      <c r="BS19" s="31"/>
      <c r="BT19" s="32"/>
      <c r="BU19" s="90"/>
      <c r="BV19" s="88"/>
      <c r="BW19" s="88"/>
      <c r="BX19" s="111"/>
      <c r="BY19" s="112"/>
      <c r="BZ19" s="113"/>
      <c r="CA19" s="112"/>
      <c r="CB19" s="31"/>
      <c r="CC19" s="32"/>
      <c r="CD19" s="90"/>
      <c r="CE19" s="88"/>
      <c r="CF19" s="88"/>
      <c r="CG19" s="111"/>
      <c r="CH19" s="112"/>
      <c r="CI19" s="113"/>
      <c r="CJ19" s="112"/>
      <c r="CK19" s="31"/>
      <c r="CL19" s="32"/>
      <c r="CM19" s="90"/>
      <c r="CN19" s="88"/>
      <c r="CO19" s="88"/>
      <c r="CP19" s="111"/>
      <c r="CQ19" s="112"/>
      <c r="CR19" s="113"/>
      <c r="CS19" s="112"/>
      <c r="CT19" s="55"/>
      <c r="CV19" s="230"/>
      <c r="CX19" s="226" t="s">
        <v>541</v>
      </c>
      <c r="CY19" s="226" t="s">
        <v>541</v>
      </c>
      <c r="CZ19" s="226" t="s">
        <v>541</v>
      </c>
      <c r="DA19" s="226" t="s">
        <v>541</v>
      </c>
      <c r="DB19" s="14"/>
      <c r="DC19" s="226" t="s">
        <v>1231</v>
      </c>
      <c r="DD19" s="226" t="s">
        <v>541</v>
      </c>
      <c r="DE19" s="226" t="s">
        <v>541</v>
      </c>
      <c r="DF19" s="226" t="s">
        <v>541</v>
      </c>
      <c r="DG19" s="226" t="s">
        <v>541</v>
      </c>
      <c r="DH19" s="14"/>
    </row>
    <row r="20" spans="1:112" ht="12.75" customHeight="1" x14ac:dyDescent="0.25">
      <c r="A20" s="17" t="s">
        <v>361</v>
      </c>
      <c r="B20" s="17" t="s">
        <v>541</v>
      </c>
      <c r="C20" s="17" t="s">
        <v>338</v>
      </c>
      <c r="D20" s="17" t="s">
        <v>339</v>
      </c>
      <c r="E20" s="17" t="b">
        <f t="shared" si="0"/>
        <v>1</v>
      </c>
      <c r="F20" s="127" t="s">
        <v>361</v>
      </c>
      <c r="G20" s="248" t="s">
        <v>541</v>
      </c>
      <c r="H20" s="128" t="s">
        <v>338</v>
      </c>
      <c r="I20" s="128" t="s">
        <v>339</v>
      </c>
      <c r="J20" s="31"/>
      <c r="K20" s="102" t="s">
        <v>354</v>
      </c>
      <c r="L20" s="90"/>
      <c r="M20" s="111"/>
      <c r="N20" s="112"/>
      <c r="O20" s="113"/>
      <c r="P20" s="112"/>
      <c r="Q20" s="31"/>
      <c r="R20" s="102"/>
      <c r="S20" s="90"/>
      <c r="T20" s="88" t="str">
        <f t="shared" si="1"/>
        <v>NA</v>
      </c>
      <c r="U20" s="88" t="str">
        <f t="shared" si="2"/>
        <v>NA</v>
      </c>
      <c r="V20" s="111"/>
      <c r="W20" s="112"/>
      <c r="X20" s="113"/>
      <c r="Y20" s="112"/>
      <c r="Z20" s="31"/>
      <c r="AA20" s="296"/>
      <c r="AB20" s="89"/>
      <c r="AC20" s="88" t="str">
        <f t="shared" si="3"/>
        <v>NA</v>
      </c>
      <c r="AD20" s="88" t="str">
        <f t="shared" si="4"/>
        <v>NA</v>
      </c>
      <c r="AE20" s="111"/>
      <c r="AF20" s="112"/>
      <c r="AG20" s="113"/>
      <c r="AH20" s="112"/>
      <c r="AI20" s="31"/>
      <c r="AJ20" s="294"/>
      <c r="AK20" s="89"/>
      <c r="AL20" s="88" t="str">
        <f t="shared" si="5"/>
        <v>NA</v>
      </c>
      <c r="AM20" s="88" t="str">
        <f t="shared" si="6"/>
        <v>NA</v>
      </c>
      <c r="AN20" s="111"/>
      <c r="AO20" s="112"/>
      <c r="AP20" s="113"/>
      <c r="AQ20" s="112"/>
      <c r="AR20" s="31"/>
      <c r="AS20" s="32"/>
      <c r="AT20" s="90"/>
      <c r="AU20" s="88"/>
      <c r="AV20" s="88"/>
      <c r="AW20" s="111"/>
      <c r="AX20" s="112"/>
      <c r="AY20" s="113"/>
      <c r="AZ20" s="112"/>
      <c r="BA20" s="31"/>
      <c r="BB20" s="32"/>
      <c r="BC20" s="90"/>
      <c r="BD20" s="88"/>
      <c r="BE20" s="88"/>
      <c r="BF20" s="111"/>
      <c r="BG20" s="112"/>
      <c r="BH20" s="113"/>
      <c r="BI20" s="112"/>
      <c r="BJ20" s="31"/>
      <c r="BK20" s="32"/>
      <c r="BL20" s="90"/>
      <c r="BM20" s="88"/>
      <c r="BN20" s="88"/>
      <c r="BO20" s="111"/>
      <c r="BP20" s="112"/>
      <c r="BQ20" s="113"/>
      <c r="BR20" s="112"/>
      <c r="BS20" s="31"/>
      <c r="BT20" s="32"/>
      <c r="BU20" s="90"/>
      <c r="BV20" s="88"/>
      <c r="BW20" s="88"/>
      <c r="BX20" s="111"/>
      <c r="BY20" s="112"/>
      <c r="BZ20" s="113"/>
      <c r="CA20" s="112"/>
      <c r="CB20" s="31"/>
      <c r="CC20" s="32"/>
      <c r="CD20" s="90"/>
      <c r="CE20" s="88"/>
      <c r="CF20" s="88"/>
      <c r="CG20" s="111"/>
      <c r="CH20" s="112"/>
      <c r="CI20" s="113"/>
      <c r="CJ20" s="112"/>
      <c r="CK20" s="31"/>
      <c r="CL20" s="32"/>
      <c r="CM20" s="90"/>
      <c r="CN20" s="88"/>
      <c r="CO20" s="88"/>
      <c r="CP20" s="111"/>
      <c r="CQ20" s="112"/>
      <c r="CR20" s="113"/>
      <c r="CS20" s="112"/>
      <c r="CT20" s="55"/>
      <c r="CV20" s="230" t="s">
        <v>339</v>
      </c>
      <c r="CX20" s="226" t="s">
        <v>1424</v>
      </c>
      <c r="CY20" s="226" t="s">
        <v>541</v>
      </c>
      <c r="CZ20" s="226" t="s">
        <v>541</v>
      </c>
      <c r="DA20" s="226" t="s">
        <v>541</v>
      </c>
      <c r="DB20" s="14"/>
      <c r="DC20" s="226" t="s">
        <v>1430</v>
      </c>
      <c r="DD20" s="226" t="s">
        <v>541</v>
      </c>
      <c r="DE20" s="226" t="s">
        <v>541</v>
      </c>
      <c r="DF20" s="226" t="s">
        <v>541</v>
      </c>
      <c r="DG20" s="226" t="s">
        <v>541</v>
      </c>
      <c r="DH20" s="14"/>
    </row>
    <row r="21" spans="1:112" ht="12.75" customHeight="1" x14ac:dyDescent="0.25">
      <c r="A21" s="17" t="s">
        <v>362</v>
      </c>
      <c r="B21" s="17" t="s">
        <v>541</v>
      </c>
      <c r="C21" s="17" t="s">
        <v>336</v>
      </c>
      <c r="D21" s="17" t="s">
        <v>337</v>
      </c>
      <c r="E21" s="17" t="b">
        <f t="shared" si="0"/>
        <v>1</v>
      </c>
      <c r="F21" s="127" t="s">
        <v>362</v>
      </c>
      <c r="G21" s="248" t="s">
        <v>541</v>
      </c>
      <c r="H21" s="128" t="s">
        <v>336</v>
      </c>
      <c r="I21" s="128" t="s">
        <v>337</v>
      </c>
      <c r="J21" s="31"/>
      <c r="K21" s="102" t="s">
        <v>354</v>
      </c>
      <c r="L21" s="90"/>
      <c r="M21" s="111"/>
      <c r="N21" s="112"/>
      <c r="O21" s="113"/>
      <c r="P21" s="112"/>
      <c r="Q21" s="31"/>
      <c r="R21" s="102"/>
      <c r="S21" s="90"/>
      <c r="T21" s="88" t="str">
        <f t="shared" si="1"/>
        <v>NA</v>
      </c>
      <c r="U21" s="88" t="str">
        <f t="shared" si="2"/>
        <v>NA</v>
      </c>
      <c r="V21" s="111"/>
      <c r="W21" s="112"/>
      <c r="X21" s="113"/>
      <c r="Y21" s="112"/>
      <c r="Z21" s="31"/>
      <c r="AA21" s="296"/>
      <c r="AB21" s="89"/>
      <c r="AC21" s="88" t="str">
        <f t="shared" si="3"/>
        <v>NA</v>
      </c>
      <c r="AD21" s="88" t="str">
        <f t="shared" si="4"/>
        <v>NA</v>
      </c>
      <c r="AE21" s="111"/>
      <c r="AF21" s="112"/>
      <c r="AG21" s="113"/>
      <c r="AH21" s="112"/>
      <c r="AI21" s="31"/>
      <c r="AJ21" s="294"/>
      <c r="AK21" s="89"/>
      <c r="AL21" s="88" t="str">
        <f t="shared" si="5"/>
        <v>NA</v>
      </c>
      <c r="AM21" s="88" t="str">
        <f t="shared" si="6"/>
        <v>NA</v>
      </c>
      <c r="AN21" s="111"/>
      <c r="AO21" s="112"/>
      <c r="AP21" s="113"/>
      <c r="AQ21" s="112"/>
      <c r="AR21" s="31"/>
      <c r="AS21" s="32"/>
      <c r="AT21" s="90"/>
      <c r="AU21" s="88"/>
      <c r="AV21" s="88"/>
      <c r="AW21" s="111"/>
      <c r="AX21" s="112"/>
      <c r="AY21" s="113"/>
      <c r="AZ21" s="112"/>
      <c r="BA21" s="31"/>
      <c r="BB21" s="32"/>
      <c r="BC21" s="90"/>
      <c r="BD21" s="88"/>
      <c r="BE21" s="88"/>
      <c r="BF21" s="111"/>
      <c r="BG21" s="112"/>
      <c r="BH21" s="113"/>
      <c r="BI21" s="112"/>
      <c r="BJ21" s="31"/>
      <c r="BK21" s="32"/>
      <c r="BL21" s="90"/>
      <c r="BM21" s="88"/>
      <c r="BN21" s="88"/>
      <c r="BO21" s="111"/>
      <c r="BP21" s="112"/>
      <c r="BQ21" s="113"/>
      <c r="BR21" s="112"/>
      <c r="BS21" s="31"/>
      <c r="BT21" s="32"/>
      <c r="BU21" s="90"/>
      <c r="BV21" s="88"/>
      <c r="BW21" s="88"/>
      <c r="BX21" s="111"/>
      <c r="BY21" s="112"/>
      <c r="BZ21" s="113"/>
      <c r="CA21" s="112"/>
      <c r="CB21" s="31"/>
      <c r="CC21" s="32"/>
      <c r="CD21" s="90"/>
      <c r="CE21" s="88"/>
      <c r="CF21" s="88"/>
      <c r="CG21" s="111"/>
      <c r="CH21" s="112"/>
      <c r="CI21" s="113"/>
      <c r="CJ21" s="112"/>
      <c r="CK21" s="31"/>
      <c r="CL21" s="32"/>
      <c r="CM21" s="90"/>
      <c r="CN21" s="88"/>
      <c r="CO21" s="88"/>
      <c r="CP21" s="111"/>
      <c r="CQ21" s="112"/>
      <c r="CR21" s="113"/>
      <c r="CS21" s="112"/>
      <c r="CT21" s="55"/>
      <c r="CV21" s="230" t="s">
        <v>337</v>
      </c>
      <c r="CX21" s="226" t="s">
        <v>1425</v>
      </c>
      <c r="CY21" s="226" t="s">
        <v>541</v>
      </c>
      <c r="CZ21" s="226" t="s">
        <v>541</v>
      </c>
      <c r="DA21" s="226" t="s">
        <v>541</v>
      </c>
      <c r="DB21" s="14"/>
      <c r="DC21" s="226" t="s">
        <v>1430</v>
      </c>
      <c r="DD21" s="226" t="s">
        <v>541</v>
      </c>
      <c r="DE21" s="226" t="s">
        <v>541</v>
      </c>
      <c r="DF21" s="226" t="s">
        <v>541</v>
      </c>
      <c r="DG21" s="226" t="s">
        <v>541</v>
      </c>
      <c r="DH21" s="14"/>
    </row>
    <row r="22" spans="1:112" ht="12.75" customHeight="1" x14ac:dyDescent="0.25">
      <c r="A22" s="17" t="s">
        <v>363</v>
      </c>
      <c r="B22" s="17" t="s">
        <v>541</v>
      </c>
      <c r="C22" s="17" t="s">
        <v>334</v>
      </c>
      <c r="D22" s="17" t="s">
        <v>335</v>
      </c>
      <c r="E22" s="17" t="b">
        <f t="shared" si="0"/>
        <v>1</v>
      </c>
      <c r="F22" s="127" t="s">
        <v>363</v>
      </c>
      <c r="G22" s="248" t="s">
        <v>541</v>
      </c>
      <c r="H22" s="128" t="s">
        <v>334</v>
      </c>
      <c r="I22" s="128" t="s">
        <v>335</v>
      </c>
      <c r="J22" s="31"/>
      <c r="K22" s="102" t="s">
        <v>354</v>
      </c>
      <c r="L22" s="90"/>
      <c r="M22" s="111"/>
      <c r="N22" s="112"/>
      <c r="O22" s="113"/>
      <c r="P22" s="112"/>
      <c r="Q22" s="31"/>
      <c r="R22" s="102"/>
      <c r="S22" s="90"/>
      <c r="T22" s="88" t="str">
        <f t="shared" si="1"/>
        <v>NA</v>
      </c>
      <c r="U22" s="88" t="str">
        <f t="shared" si="2"/>
        <v>NA</v>
      </c>
      <c r="V22" s="111"/>
      <c r="W22" s="112"/>
      <c r="X22" s="113"/>
      <c r="Y22" s="112"/>
      <c r="Z22" s="31"/>
      <c r="AA22" s="296"/>
      <c r="AB22" s="89"/>
      <c r="AC22" s="88" t="str">
        <f t="shared" si="3"/>
        <v>NA</v>
      </c>
      <c r="AD22" s="88" t="str">
        <f t="shared" si="4"/>
        <v>NA</v>
      </c>
      <c r="AE22" s="111"/>
      <c r="AF22" s="112"/>
      <c r="AG22" s="113"/>
      <c r="AH22" s="112"/>
      <c r="AI22" s="31"/>
      <c r="AJ22" s="294"/>
      <c r="AK22" s="89"/>
      <c r="AL22" s="88" t="str">
        <f t="shared" si="5"/>
        <v>NA</v>
      </c>
      <c r="AM22" s="88" t="str">
        <f t="shared" si="6"/>
        <v>NA</v>
      </c>
      <c r="AN22" s="111"/>
      <c r="AO22" s="112"/>
      <c r="AP22" s="113"/>
      <c r="AQ22" s="112"/>
      <c r="AR22" s="31"/>
      <c r="AS22" s="32"/>
      <c r="AT22" s="90"/>
      <c r="AU22" s="88"/>
      <c r="AV22" s="88"/>
      <c r="AW22" s="111"/>
      <c r="AX22" s="112"/>
      <c r="AY22" s="113"/>
      <c r="AZ22" s="112"/>
      <c r="BA22" s="31"/>
      <c r="BB22" s="32"/>
      <c r="BC22" s="90"/>
      <c r="BD22" s="88"/>
      <c r="BE22" s="88"/>
      <c r="BF22" s="111"/>
      <c r="BG22" s="112"/>
      <c r="BH22" s="113"/>
      <c r="BI22" s="112"/>
      <c r="BJ22" s="31"/>
      <c r="BK22" s="32"/>
      <c r="BL22" s="90"/>
      <c r="BM22" s="88"/>
      <c r="BN22" s="88"/>
      <c r="BO22" s="111"/>
      <c r="BP22" s="112"/>
      <c r="BQ22" s="113"/>
      <c r="BR22" s="112"/>
      <c r="BS22" s="31"/>
      <c r="BT22" s="32"/>
      <c r="BU22" s="90"/>
      <c r="BV22" s="88"/>
      <c r="BW22" s="88"/>
      <c r="BX22" s="111"/>
      <c r="BY22" s="112"/>
      <c r="BZ22" s="113"/>
      <c r="CA22" s="112"/>
      <c r="CB22" s="31"/>
      <c r="CC22" s="32"/>
      <c r="CD22" s="90"/>
      <c r="CE22" s="88"/>
      <c r="CF22" s="88"/>
      <c r="CG22" s="111"/>
      <c r="CH22" s="112"/>
      <c r="CI22" s="113"/>
      <c r="CJ22" s="112"/>
      <c r="CK22" s="31"/>
      <c r="CL22" s="32"/>
      <c r="CM22" s="90"/>
      <c r="CN22" s="88"/>
      <c r="CO22" s="88"/>
      <c r="CP22" s="111"/>
      <c r="CQ22" s="112"/>
      <c r="CR22" s="113"/>
      <c r="CS22" s="112"/>
      <c r="CT22" s="55"/>
      <c r="CV22" s="230" t="s">
        <v>335</v>
      </c>
      <c r="CX22" s="226" t="s">
        <v>1424</v>
      </c>
      <c r="CY22" s="226" t="s">
        <v>1431</v>
      </c>
      <c r="CZ22" s="226" t="s">
        <v>541</v>
      </c>
      <c r="DA22" s="226" t="s">
        <v>541</v>
      </c>
      <c r="DB22" s="14"/>
      <c r="DC22" s="226" t="s">
        <v>541</v>
      </c>
      <c r="DD22" s="226" t="s">
        <v>541</v>
      </c>
      <c r="DE22" s="226" t="s">
        <v>541</v>
      </c>
      <c r="DF22" s="226" t="s">
        <v>541</v>
      </c>
      <c r="DG22" s="226" t="s">
        <v>541</v>
      </c>
      <c r="DH22" s="14"/>
    </row>
    <row r="23" spans="1:112" ht="12.75" customHeight="1" x14ac:dyDescent="0.25">
      <c r="A23" s="17" t="s">
        <v>364</v>
      </c>
      <c r="B23" s="17" t="s">
        <v>541</v>
      </c>
      <c r="C23" s="17" t="s">
        <v>332</v>
      </c>
      <c r="D23" s="17" t="s">
        <v>333</v>
      </c>
      <c r="E23" s="17" t="b">
        <f t="shared" si="0"/>
        <v>1</v>
      </c>
      <c r="F23" s="127" t="s">
        <v>364</v>
      </c>
      <c r="G23" s="248" t="s">
        <v>541</v>
      </c>
      <c r="H23" s="128" t="s">
        <v>332</v>
      </c>
      <c r="I23" s="128" t="s">
        <v>333</v>
      </c>
      <c r="J23" s="31"/>
      <c r="K23" s="102" t="s">
        <v>354</v>
      </c>
      <c r="L23" s="90"/>
      <c r="M23" s="111"/>
      <c r="N23" s="112"/>
      <c r="O23" s="113"/>
      <c r="P23" s="112"/>
      <c r="Q23" s="31"/>
      <c r="R23" s="102"/>
      <c r="S23" s="90"/>
      <c r="T23" s="88" t="str">
        <f t="shared" si="1"/>
        <v>NA</v>
      </c>
      <c r="U23" s="88" t="str">
        <f t="shared" si="2"/>
        <v>NA</v>
      </c>
      <c r="V23" s="111"/>
      <c r="W23" s="112"/>
      <c r="X23" s="113"/>
      <c r="Y23" s="112"/>
      <c r="Z23" s="31"/>
      <c r="AA23" s="296"/>
      <c r="AB23" s="89"/>
      <c r="AC23" s="88" t="str">
        <f t="shared" si="3"/>
        <v>NA</v>
      </c>
      <c r="AD23" s="88" t="str">
        <f t="shared" si="4"/>
        <v>NA</v>
      </c>
      <c r="AE23" s="111"/>
      <c r="AF23" s="112"/>
      <c r="AG23" s="113"/>
      <c r="AH23" s="112"/>
      <c r="AI23" s="31"/>
      <c r="AJ23" s="294"/>
      <c r="AK23" s="89"/>
      <c r="AL23" s="88" t="str">
        <f t="shared" si="5"/>
        <v>NA</v>
      </c>
      <c r="AM23" s="88" t="str">
        <f t="shared" si="6"/>
        <v>NA</v>
      </c>
      <c r="AN23" s="111"/>
      <c r="AO23" s="112"/>
      <c r="AP23" s="113"/>
      <c r="AQ23" s="112"/>
      <c r="AR23" s="31"/>
      <c r="AS23" s="32"/>
      <c r="AT23" s="90"/>
      <c r="AU23" s="88"/>
      <c r="AV23" s="88"/>
      <c r="AW23" s="111"/>
      <c r="AX23" s="112"/>
      <c r="AY23" s="113"/>
      <c r="AZ23" s="112"/>
      <c r="BA23" s="31"/>
      <c r="BB23" s="32"/>
      <c r="BC23" s="90"/>
      <c r="BD23" s="88"/>
      <c r="BE23" s="88"/>
      <c r="BF23" s="111"/>
      <c r="BG23" s="112"/>
      <c r="BH23" s="113"/>
      <c r="BI23" s="112"/>
      <c r="BJ23" s="31"/>
      <c r="BK23" s="32"/>
      <c r="BL23" s="90"/>
      <c r="BM23" s="88"/>
      <c r="BN23" s="88"/>
      <c r="BO23" s="111"/>
      <c r="BP23" s="112"/>
      <c r="BQ23" s="113"/>
      <c r="BR23" s="112"/>
      <c r="BS23" s="31"/>
      <c r="BT23" s="32"/>
      <c r="BU23" s="90"/>
      <c r="BV23" s="88"/>
      <c r="BW23" s="88"/>
      <c r="BX23" s="111"/>
      <c r="BY23" s="112"/>
      <c r="BZ23" s="113"/>
      <c r="CA23" s="112"/>
      <c r="CB23" s="31"/>
      <c r="CC23" s="32"/>
      <c r="CD23" s="90"/>
      <c r="CE23" s="88"/>
      <c r="CF23" s="88"/>
      <c r="CG23" s="111"/>
      <c r="CH23" s="112"/>
      <c r="CI23" s="113"/>
      <c r="CJ23" s="112"/>
      <c r="CK23" s="31"/>
      <c r="CL23" s="32"/>
      <c r="CM23" s="90"/>
      <c r="CN23" s="88"/>
      <c r="CO23" s="88"/>
      <c r="CP23" s="111"/>
      <c r="CQ23" s="112"/>
      <c r="CR23" s="113"/>
      <c r="CS23" s="112"/>
      <c r="CT23" s="55"/>
      <c r="CV23" s="230" t="s">
        <v>333</v>
      </c>
      <c r="CX23" s="226" t="s">
        <v>1425</v>
      </c>
      <c r="CY23" s="226" t="s">
        <v>1431</v>
      </c>
      <c r="CZ23" s="226" t="s">
        <v>541</v>
      </c>
      <c r="DA23" s="226" t="s">
        <v>541</v>
      </c>
      <c r="DB23" s="14"/>
      <c r="DC23" s="226" t="s">
        <v>541</v>
      </c>
      <c r="DD23" s="226" t="s">
        <v>541</v>
      </c>
      <c r="DE23" s="226" t="s">
        <v>541</v>
      </c>
      <c r="DF23" s="226" t="s">
        <v>541</v>
      </c>
      <c r="DG23" s="226" t="s">
        <v>541</v>
      </c>
      <c r="DH23" s="14"/>
    </row>
    <row r="24" spans="1:112" ht="12.75" customHeight="1" x14ac:dyDescent="0.25">
      <c r="A24" s="17" t="s">
        <v>365</v>
      </c>
      <c r="B24" s="17" t="s">
        <v>541</v>
      </c>
      <c r="C24" s="17" t="s">
        <v>330</v>
      </c>
      <c r="D24" s="17" t="s">
        <v>331</v>
      </c>
      <c r="E24" s="17" t="b">
        <f t="shared" si="0"/>
        <v>1</v>
      </c>
      <c r="F24" s="127" t="s">
        <v>365</v>
      </c>
      <c r="G24" s="248" t="s">
        <v>541</v>
      </c>
      <c r="H24" s="128" t="s">
        <v>330</v>
      </c>
      <c r="I24" s="128" t="s">
        <v>331</v>
      </c>
      <c r="J24" s="31"/>
      <c r="K24" s="102" t="s">
        <v>354</v>
      </c>
      <c r="L24" s="90"/>
      <c r="M24" s="111"/>
      <c r="N24" s="112"/>
      <c r="O24" s="113"/>
      <c r="P24" s="112"/>
      <c r="Q24" s="31"/>
      <c r="R24" s="102"/>
      <c r="S24" s="90"/>
      <c r="T24" s="88" t="str">
        <f t="shared" si="1"/>
        <v>NA</v>
      </c>
      <c r="U24" s="88" t="str">
        <f t="shared" si="2"/>
        <v>NA</v>
      </c>
      <c r="V24" s="111"/>
      <c r="W24" s="112"/>
      <c r="X24" s="113"/>
      <c r="Y24" s="112"/>
      <c r="Z24" s="31"/>
      <c r="AA24" s="296"/>
      <c r="AB24" s="89"/>
      <c r="AC24" s="88" t="str">
        <f t="shared" si="3"/>
        <v>NA</v>
      </c>
      <c r="AD24" s="88" t="str">
        <f t="shared" si="4"/>
        <v>NA</v>
      </c>
      <c r="AE24" s="111"/>
      <c r="AF24" s="112"/>
      <c r="AG24" s="113"/>
      <c r="AH24" s="112"/>
      <c r="AI24" s="31"/>
      <c r="AJ24" s="294"/>
      <c r="AK24" s="89"/>
      <c r="AL24" s="88" t="str">
        <f t="shared" si="5"/>
        <v>NA</v>
      </c>
      <c r="AM24" s="88" t="str">
        <f t="shared" si="6"/>
        <v>NA</v>
      </c>
      <c r="AN24" s="111"/>
      <c r="AO24" s="112"/>
      <c r="AP24" s="113"/>
      <c r="AQ24" s="112"/>
      <c r="AR24" s="31"/>
      <c r="AS24" s="32"/>
      <c r="AT24" s="90"/>
      <c r="AU24" s="88"/>
      <c r="AV24" s="88"/>
      <c r="AW24" s="111"/>
      <c r="AX24" s="112"/>
      <c r="AY24" s="113"/>
      <c r="AZ24" s="112"/>
      <c r="BA24" s="31"/>
      <c r="BB24" s="32"/>
      <c r="BC24" s="90"/>
      <c r="BD24" s="88"/>
      <c r="BE24" s="88"/>
      <c r="BF24" s="111"/>
      <c r="BG24" s="112"/>
      <c r="BH24" s="113"/>
      <c r="BI24" s="112"/>
      <c r="BJ24" s="31"/>
      <c r="BK24" s="32"/>
      <c r="BL24" s="90"/>
      <c r="BM24" s="88"/>
      <c r="BN24" s="88"/>
      <c r="BO24" s="111"/>
      <c r="BP24" s="112"/>
      <c r="BQ24" s="113"/>
      <c r="BR24" s="112"/>
      <c r="BS24" s="31"/>
      <c r="BT24" s="32"/>
      <c r="BU24" s="90"/>
      <c r="BV24" s="88"/>
      <c r="BW24" s="88"/>
      <c r="BX24" s="111"/>
      <c r="BY24" s="112"/>
      <c r="BZ24" s="113"/>
      <c r="CA24" s="112"/>
      <c r="CB24" s="31"/>
      <c r="CC24" s="32"/>
      <c r="CD24" s="90"/>
      <c r="CE24" s="88"/>
      <c r="CF24" s="88"/>
      <c r="CG24" s="111"/>
      <c r="CH24" s="112"/>
      <c r="CI24" s="113"/>
      <c r="CJ24" s="112"/>
      <c r="CK24" s="31"/>
      <c r="CL24" s="32"/>
      <c r="CM24" s="90"/>
      <c r="CN24" s="88"/>
      <c r="CO24" s="88"/>
      <c r="CP24" s="111"/>
      <c r="CQ24" s="112"/>
      <c r="CR24" s="113"/>
      <c r="CS24" s="112"/>
      <c r="CT24" s="55"/>
      <c r="CV24" s="230" t="s">
        <v>331</v>
      </c>
      <c r="CX24" s="226" t="s">
        <v>1424</v>
      </c>
      <c r="CY24" s="226" t="s">
        <v>1431</v>
      </c>
      <c r="CZ24" s="226" t="s">
        <v>541</v>
      </c>
      <c r="DA24" s="226" t="s">
        <v>541</v>
      </c>
      <c r="DB24" s="14"/>
      <c r="DC24" s="226" t="s">
        <v>541</v>
      </c>
      <c r="DD24" s="226" t="s">
        <v>541</v>
      </c>
      <c r="DE24" s="226" t="s">
        <v>541</v>
      </c>
      <c r="DF24" s="226" t="s">
        <v>541</v>
      </c>
      <c r="DG24" s="226" t="s">
        <v>541</v>
      </c>
      <c r="DH24" s="14"/>
    </row>
    <row r="25" spans="1:112" ht="12.75" customHeight="1" x14ac:dyDescent="0.25">
      <c r="A25" s="17" t="s">
        <v>366</v>
      </c>
      <c r="B25" s="17" t="s">
        <v>541</v>
      </c>
      <c r="C25" s="17" t="s">
        <v>328</v>
      </c>
      <c r="D25" s="17" t="s">
        <v>329</v>
      </c>
      <c r="E25" s="17" t="b">
        <f t="shared" si="0"/>
        <v>1</v>
      </c>
      <c r="F25" s="127" t="s">
        <v>366</v>
      </c>
      <c r="G25" s="248" t="s">
        <v>541</v>
      </c>
      <c r="H25" s="128" t="s">
        <v>328</v>
      </c>
      <c r="I25" s="128" t="s">
        <v>329</v>
      </c>
      <c r="J25" s="31"/>
      <c r="K25" s="102" t="s">
        <v>354</v>
      </c>
      <c r="L25" s="90"/>
      <c r="M25" s="111"/>
      <c r="N25" s="112"/>
      <c r="O25" s="113"/>
      <c r="P25" s="112"/>
      <c r="Q25" s="31"/>
      <c r="R25" s="102"/>
      <c r="S25" s="90"/>
      <c r="T25" s="88" t="str">
        <f t="shared" si="1"/>
        <v>NA</v>
      </c>
      <c r="U25" s="88" t="str">
        <f t="shared" si="2"/>
        <v>NA</v>
      </c>
      <c r="V25" s="111"/>
      <c r="W25" s="112"/>
      <c r="X25" s="113"/>
      <c r="Y25" s="112"/>
      <c r="Z25" s="31"/>
      <c r="AA25" s="296"/>
      <c r="AB25" s="89"/>
      <c r="AC25" s="88" t="str">
        <f t="shared" si="3"/>
        <v>NA</v>
      </c>
      <c r="AD25" s="88" t="str">
        <f t="shared" si="4"/>
        <v>NA</v>
      </c>
      <c r="AE25" s="111"/>
      <c r="AF25" s="112"/>
      <c r="AG25" s="113"/>
      <c r="AH25" s="112"/>
      <c r="AI25" s="31"/>
      <c r="AJ25" s="294"/>
      <c r="AK25" s="89"/>
      <c r="AL25" s="88" t="str">
        <f t="shared" si="5"/>
        <v>NA</v>
      </c>
      <c r="AM25" s="88" t="str">
        <f t="shared" si="6"/>
        <v>NA</v>
      </c>
      <c r="AN25" s="111"/>
      <c r="AO25" s="112"/>
      <c r="AP25" s="113"/>
      <c r="AQ25" s="112"/>
      <c r="AR25" s="31"/>
      <c r="AS25" s="32"/>
      <c r="AT25" s="90"/>
      <c r="AU25" s="88"/>
      <c r="AV25" s="88"/>
      <c r="AW25" s="111"/>
      <c r="AX25" s="112"/>
      <c r="AY25" s="113"/>
      <c r="AZ25" s="112"/>
      <c r="BA25" s="31"/>
      <c r="BB25" s="32"/>
      <c r="BC25" s="90"/>
      <c r="BD25" s="88"/>
      <c r="BE25" s="88"/>
      <c r="BF25" s="111"/>
      <c r="BG25" s="112"/>
      <c r="BH25" s="113"/>
      <c r="BI25" s="112"/>
      <c r="BJ25" s="31"/>
      <c r="BK25" s="32"/>
      <c r="BL25" s="90"/>
      <c r="BM25" s="88"/>
      <c r="BN25" s="88"/>
      <c r="BO25" s="111"/>
      <c r="BP25" s="112"/>
      <c r="BQ25" s="113"/>
      <c r="BR25" s="112"/>
      <c r="BS25" s="31"/>
      <c r="BT25" s="32"/>
      <c r="BU25" s="90"/>
      <c r="BV25" s="88"/>
      <c r="BW25" s="88"/>
      <c r="BX25" s="111"/>
      <c r="BY25" s="112"/>
      <c r="BZ25" s="113"/>
      <c r="CA25" s="112"/>
      <c r="CB25" s="31"/>
      <c r="CC25" s="32"/>
      <c r="CD25" s="90"/>
      <c r="CE25" s="88"/>
      <c r="CF25" s="88"/>
      <c r="CG25" s="111"/>
      <c r="CH25" s="112"/>
      <c r="CI25" s="113"/>
      <c r="CJ25" s="112"/>
      <c r="CK25" s="31"/>
      <c r="CL25" s="32"/>
      <c r="CM25" s="90"/>
      <c r="CN25" s="88"/>
      <c r="CO25" s="88"/>
      <c r="CP25" s="111"/>
      <c r="CQ25" s="112"/>
      <c r="CR25" s="113"/>
      <c r="CS25" s="112"/>
      <c r="CT25" s="55"/>
      <c r="CV25" s="230" t="s">
        <v>329</v>
      </c>
      <c r="CX25" s="226" t="s">
        <v>1425</v>
      </c>
      <c r="CY25" s="226" t="s">
        <v>1431</v>
      </c>
      <c r="CZ25" s="226" t="s">
        <v>541</v>
      </c>
      <c r="DA25" s="226" t="s">
        <v>541</v>
      </c>
      <c r="DB25" s="14"/>
      <c r="DC25" s="226" t="s">
        <v>541</v>
      </c>
      <c r="DD25" s="226" t="s">
        <v>541</v>
      </c>
      <c r="DE25" s="226" t="s">
        <v>541</v>
      </c>
      <c r="DF25" s="226" t="s">
        <v>541</v>
      </c>
      <c r="DG25" s="226" t="s">
        <v>541</v>
      </c>
      <c r="DH25" s="14"/>
    </row>
    <row r="26" spans="1:112" ht="12.75" customHeight="1" x14ac:dyDescent="0.25">
      <c r="A26" s="17" t="s">
        <v>367</v>
      </c>
      <c r="B26" s="17" t="s">
        <v>541</v>
      </c>
      <c r="C26" s="17" t="s">
        <v>326</v>
      </c>
      <c r="D26" s="17" t="s">
        <v>327</v>
      </c>
      <c r="E26" s="17" t="b">
        <f t="shared" si="0"/>
        <v>1</v>
      </c>
      <c r="F26" s="127" t="s">
        <v>367</v>
      </c>
      <c r="G26" s="248" t="s">
        <v>541</v>
      </c>
      <c r="H26" s="128" t="s">
        <v>326</v>
      </c>
      <c r="I26" s="128" t="s">
        <v>327</v>
      </c>
      <c r="J26" s="31"/>
      <c r="K26" s="102" t="s">
        <v>354</v>
      </c>
      <c r="L26" s="90"/>
      <c r="M26" s="111"/>
      <c r="N26" s="112"/>
      <c r="O26" s="113"/>
      <c r="P26" s="112"/>
      <c r="Q26" s="31"/>
      <c r="R26" s="102"/>
      <c r="S26" s="90"/>
      <c r="T26" s="88" t="str">
        <f t="shared" si="1"/>
        <v>NA</v>
      </c>
      <c r="U26" s="88" t="str">
        <f t="shared" si="2"/>
        <v>NA</v>
      </c>
      <c r="V26" s="111"/>
      <c r="W26" s="112"/>
      <c r="X26" s="113"/>
      <c r="Y26" s="112"/>
      <c r="Z26" s="31"/>
      <c r="AA26" s="296"/>
      <c r="AB26" s="89"/>
      <c r="AC26" s="88" t="str">
        <f t="shared" si="3"/>
        <v>NA</v>
      </c>
      <c r="AD26" s="88" t="str">
        <f t="shared" si="4"/>
        <v>NA</v>
      </c>
      <c r="AE26" s="111"/>
      <c r="AF26" s="112"/>
      <c r="AG26" s="113"/>
      <c r="AH26" s="112"/>
      <c r="AI26" s="31"/>
      <c r="AJ26" s="294"/>
      <c r="AK26" s="89"/>
      <c r="AL26" s="88" t="str">
        <f t="shared" si="5"/>
        <v>NA</v>
      </c>
      <c r="AM26" s="88" t="str">
        <f t="shared" si="6"/>
        <v>NA</v>
      </c>
      <c r="AN26" s="111"/>
      <c r="AO26" s="112"/>
      <c r="AP26" s="113"/>
      <c r="AQ26" s="112"/>
      <c r="AR26" s="31"/>
      <c r="AS26" s="32"/>
      <c r="AT26" s="90"/>
      <c r="AU26" s="88"/>
      <c r="AV26" s="88"/>
      <c r="AW26" s="111"/>
      <c r="AX26" s="112"/>
      <c r="AY26" s="113"/>
      <c r="AZ26" s="112"/>
      <c r="BA26" s="31"/>
      <c r="BB26" s="32"/>
      <c r="BC26" s="90"/>
      <c r="BD26" s="88"/>
      <c r="BE26" s="88"/>
      <c r="BF26" s="111"/>
      <c r="BG26" s="112"/>
      <c r="BH26" s="113"/>
      <c r="BI26" s="112"/>
      <c r="BJ26" s="31"/>
      <c r="BK26" s="32"/>
      <c r="BL26" s="90"/>
      <c r="BM26" s="88"/>
      <c r="BN26" s="88"/>
      <c r="BO26" s="111"/>
      <c r="BP26" s="112"/>
      <c r="BQ26" s="113"/>
      <c r="BR26" s="112"/>
      <c r="BS26" s="31"/>
      <c r="BT26" s="32"/>
      <c r="BU26" s="90"/>
      <c r="BV26" s="88"/>
      <c r="BW26" s="88"/>
      <c r="BX26" s="111"/>
      <c r="BY26" s="112"/>
      <c r="BZ26" s="113"/>
      <c r="CA26" s="112"/>
      <c r="CB26" s="31"/>
      <c r="CC26" s="32"/>
      <c r="CD26" s="90"/>
      <c r="CE26" s="88"/>
      <c r="CF26" s="88"/>
      <c r="CG26" s="111"/>
      <c r="CH26" s="112"/>
      <c r="CI26" s="113"/>
      <c r="CJ26" s="112"/>
      <c r="CK26" s="31"/>
      <c r="CL26" s="32"/>
      <c r="CM26" s="90"/>
      <c r="CN26" s="88"/>
      <c r="CO26" s="88"/>
      <c r="CP26" s="111"/>
      <c r="CQ26" s="112"/>
      <c r="CR26" s="113"/>
      <c r="CS26" s="112"/>
      <c r="CT26" s="55"/>
      <c r="CV26" s="230" t="s">
        <v>327</v>
      </c>
      <c r="CX26" s="226" t="s">
        <v>1424</v>
      </c>
      <c r="CY26" s="226" t="s">
        <v>1431</v>
      </c>
      <c r="CZ26" s="226" t="s">
        <v>541</v>
      </c>
      <c r="DA26" s="226" t="s">
        <v>541</v>
      </c>
      <c r="DB26" s="14"/>
      <c r="DC26" s="226" t="s">
        <v>541</v>
      </c>
      <c r="DD26" s="226" t="s">
        <v>541</v>
      </c>
      <c r="DE26" s="226" t="s">
        <v>541</v>
      </c>
      <c r="DF26" s="226" t="s">
        <v>541</v>
      </c>
      <c r="DG26" s="226" t="s">
        <v>541</v>
      </c>
      <c r="DH26" s="14"/>
    </row>
    <row r="27" spans="1:112" ht="12.75" customHeight="1" x14ac:dyDescent="0.25">
      <c r="A27" s="17" t="s">
        <v>368</v>
      </c>
      <c r="B27" s="17" t="s">
        <v>541</v>
      </c>
      <c r="C27" s="17" t="s">
        <v>324</v>
      </c>
      <c r="D27" s="17" t="s">
        <v>325</v>
      </c>
      <c r="E27" s="17" t="b">
        <f t="shared" si="0"/>
        <v>1</v>
      </c>
      <c r="F27" s="127" t="s">
        <v>368</v>
      </c>
      <c r="G27" s="248" t="s">
        <v>541</v>
      </c>
      <c r="H27" s="128" t="s">
        <v>324</v>
      </c>
      <c r="I27" s="128" t="s">
        <v>325</v>
      </c>
      <c r="J27" s="31"/>
      <c r="K27" s="102" t="s">
        <v>354</v>
      </c>
      <c r="L27" s="90"/>
      <c r="M27" s="111"/>
      <c r="N27" s="112"/>
      <c r="O27" s="113"/>
      <c r="P27" s="112"/>
      <c r="Q27" s="31"/>
      <c r="R27" s="102"/>
      <c r="S27" s="90"/>
      <c r="T27" s="88" t="str">
        <f t="shared" si="1"/>
        <v>NA</v>
      </c>
      <c r="U27" s="88" t="str">
        <f t="shared" si="2"/>
        <v>NA</v>
      </c>
      <c r="V27" s="111"/>
      <c r="W27" s="112"/>
      <c r="X27" s="113"/>
      <c r="Y27" s="112"/>
      <c r="Z27" s="31"/>
      <c r="AA27" s="296"/>
      <c r="AB27" s="89"/>
      <c r="AC27" s="88" t="str">
        <f t="shared" si="3"/>
        <v>NA</v>
      </c>
      <c r="AD27" s="88" t="str">
        <f t="shared" si="4"/>
        <v>NA</v>
      </c>
      <c r="AE27" s="111"/>
      <c r="AF27" s="112"/>
      <c r="AG27" s="113"/>
      <c r="AH27" s="112"/>
      <c r="AI27" s="31"/>
      <c r="AJ27" s="294"/>
      <c r="AK27" s="89"/>
      <c r="AL27" s="88" t="str">
        <f t="shared" si="5"/>
        <v>NA</v>
      </c>
      <c r="AM27" s="88" t="str">
        <f t="shared" si="6"/>
        <v>NA</v>
      </c>
      <c r="AN27" s="111"/>
      <c r="AO27" s="112"/>
      <c r="AP27" s="113"/>
      <c r="AQ27" s="112"/>
      <c r="AR27" s="31"/>
      <c r="AS27" s="32"/>
      <c r="AT27" s="90"/>
      <c r="AU27" s="88"/>
      <c r="AV27" s="88"/>
      <c r="AW27" s="111"/>
      <c r="AX27" s="112"/>
      <c r="AY27" s="113"/>
      <c r="AZ27" s="112"/>
      <c r="BA27" s="31"/>
      <c r="BB27" s="32"/>
      <c r="BC27" s="90"/>
      <c r="BD27" s="88"/>
      <c r="BE27" s="88"/>
      <c r="BF27" s="111"/>
      <c r="BG27" s="112"/>
      <c r="BH27" s="113"/>
      <c r="BI27" s="112"/>
      <c r="BJ27" s="31"/>
      <c r="BK27" s="32"/>
      <c r="BL27" s="90"/>
      <c r="BM27" s="88"/>
      <c r="BN27" s="88"/>
      <c r="BO27" s="111"/>
      <c r="BP27" s="112"/>
      <c r="BQ27" s="113"/>
      <c r="BR27" s="112"/>
      <c r="BS27" s="31"/>
      <c r="BT27" s="32"/>
      <c r="BU27" s="90"/>
      <c r="BV27" s="88"/>
      <c r="BW27" s="88"/>
      <c r="BX27" s="111"/>
      <c r="BY27" s="112"/>
      <c r="BZ27" s="113"/>
      <c r="CA27" s="112"/>
      <c r="CB27" s="31"/>
      <c r="CC27" s="32"/>
      <c r="CD27" s="90"/>
      <c r="CE27" s="88"/>
      <c r="CF27" s="88"/>
      <c r="CG27" s="111"/>
      <c r="CH27" s="112"/>
      <c r="CI27" s="113"/>
      <c r="CJ27" s="112"/>
      <c r="CK27" s="31"/>
      <c r="CL27" s="32"/>
      <c r="CM27" s="90"/>
      <c r="CN27" s="88"/>
      <c r="CO27" s="88"/>
      <c r="CP27" s="111"/>
      <c r="CQ27" s="112"/>
      <c r="CR27" s="113"/>
      <c r="CS27" s="112"/>
      <c r="CT27" s="55"/>
      <c r="CV27" s="230" t="s">
        <v>325</v>
      </c>
      <c r="CX27" s="226" t="s">
        <v>1425</v>
      </c>
      <c r="CY27" s="226" t="s">
        <v>1431</v>
      </c>
      <c r="CZ27" s="226" t="s">
        <v>541</v>
      </c>
      <c r="DA27" s="226" t="s">
        <v>541</v>
      </c>
      <c r="DB27" s="14"/>
      <c r="DC27" s="226" t="s">
        <v>541</v>
      </c>
      <c r="DD27" s="226" t="s">
        <v>541</v>
      </c>
      <c r="DE27" s="226" t="s">
        <v>541</v>
      </c>
      <c r="DF27" s="226" t="s">
        <v>541</v>
      </c>
      <c r="DG27" s="226" t="s">
        <v>541</v>
      </c>
      <c r="DH27" s="14"/>
    </row>
    <row r="28" spans="1:112" ht="12.75" customHeight="1" x14ac:dyDescent="0.25">
      <c r="A28" s="17" t="s">
        <v>369</v>
      </c>
      <c r="B28" s="17" t="s">
        <v>541</v>
      </c>
      <c r="C28" s="17" t="s">
        <v>322</v>
      </c>
      <c r="D28" s="17" t="s">
        <v>323</v>
      </c>
      <c r="E28" s="17" t="b">
        <f t="shared" si="0"/>
        <v>1</v>
      </c>
      <c r="F28" s="127" t="s">
        <v>369</v>
      </c>
      <c r="G28" s="248" t="s">
        <v>541</v>
      </c>
      <c r="H28" s="128" t="s">
        <v>322</v>
      </c>
      <c r="I28" s="128" t="s">
        <v>323</v>
      </c>
      <c r="J28" s="31"/>
      <c r="K28" s="102" t="s">
        <v>354</v>
      </c>
      <c r="L28" s="90"/>
      <c r="M28" s="111"/>
      <c r="N28" s="112"/>
      <c r="O28" s="113"/>
      <c r="P28" s="112"/>
      <c r="Q28" s="31"/>
      <c r="R28" s="102"/>
      <c r="S28" s="90"/>
      <c r="T28" s="88" t="str">
        <f t="shared" si="1"/>
        <v>NA</v>
      </c>
      <c r="U28" s="88" t="str">
        <f t="shared" si="2"/>
        <v>NA</v>
      </c>
      <c r="V28" s="111"/>
      <c r="W28" s="112"/>
      <c r="X28" s="113"/>
      <c r="Y28" s="112"/>
      <c r="Z28" s="31"/>
      <c r="AA28" s="296"/>
      <c r="AB28" s="89"/>
      <c r="AC28" s="88" t="str">
        <f t="shared" si="3"/>
        <v>NA</v>
      </c>
      <c r="AD28" s="88" t="str">
        <f t="shared" si="4"/>
        <v>NA</v>
      </c>
      <c r="AE28" s="111"/>
      <c r="AF28" s="112"/>
      <c r="AG28" s="113"/>
      <c r="AH28" s="112"/>
      <c r="AI28" s="31"/>
      <c r="AJ28" s="294"/>
      <c r="AK28" s="89"/>
      <c r="AL28" s="88" t="str">
        <f t="shared" si="5"/>
        <v>NA</v>
      </c>
      <c r="AM28" s="88" t="str">
        <f t="shared" si="6"/>
        <v>NA</v>
      </c>
      <c r="AN28" s="111"/>
      <c r="AO28" s="112"/>
      <c r="AP28" s="113"/>
      <c r="AQ28" s="112"/>
      <c r="AR28" s="31"/>
      <c r="AS28" s="32"/>
      <c r="AT28" s="90"/>
      <c r="AU28" s="88"/>
      <c r="AV28" s="88"/>
      <c r="AW28" s="111"/>
      <c r="AX28" s="112"/>
      <c r="AY28" s="113"/>
      <c r="AZ28" s="112"/>
      <c r="BA28" s="31"/>
      <c r="BB28" s="32"/>
      <c r="BC28" s="90"/>
      <c r="BD28" s="88"/>
      <c r="BE28" s="88"/>
      <c r="BF28" s="111"/>
      <c r="BG28" s="112"/>
      <c r="BH28" s="113"/>
      <c r="BI28" s="112"/>
      <c r="BJ28" s="31"/>
      <c r="BK28" s="32"/>
      <c r="BL28" s="90"/>
      <c r="BM28" s="88"/>
      <c r="BN28" s="88"/>
      <c r="BO28" s="111"/>
      <c r="BP28" s="112"/>
      <c r="BQ28" s="113"/>
      <c r="BR28" s="112"/>
      <c r="BS28" s="31"/>
      <c r="BT28" s="32"/>
      <c r="BU28" s="90"/>
      <c r="BV28" s="88"/>
      <c r="BW28" s="88"/>
      <c r="BX28" s="111"/>
      <c r="BY28" s="112"/>
      <c r="BZ28" s="113"/>
      <c r="CA28" s="112"/>
      <c r="CB28" s="31"/>
      <c r="CC28" s="32"/>
      <c r="CD28" s="90"/>
      <c r="CE28" s="88"/>
      <c r="CF28" s="88"/>
      <c r="CG28" s="111"/>
      <c r="CH28" s="112"/>
      <c r="CI28" s="113"/>
      <c r="CJ28" s="112"/>
      <c r="CK28" s="31"/>
      <c r="CL28" s="32"/>
      <c r="CM28" s="90"/>
      <c r="CN28" s="88"/>
      <c r="CO28" s="88"/>
      <c r="CP28" s="111"/>
      <c r="CQ28" s="112"/>
      <c r="CR28" s="113"/>
      <c r="CS28" s="112"/>
      <c r="CT28" s="55"/>
      <c r="CV28" s="230" t="s">
        <v>323</v>
      </c>
      <c r="CX28" s="226" t="s">
        <v>1424</v>
      </c>
      <c r="CY28" s="226" t="s">
        <v>1431</v>
      </c>
      <c r="CZ28" s="226" t="s">
        <v>541</v>
      </c>
      <c r="DA28" s="226" t="s">
        <v>541</v>
      </c>
      <c r="DB28" s="14"/>
      <c r="DC28" s="226" t="s">
        <v>541</v>
      </c>
      <c r="DD28" s="226" t="s">
        <v>1421</v>
      </c>
      <c r="DE28" s="226" t="s">
        <v>541</v>
      </c>
      <c r="DF28" s="226" t="s">
        <v>541</v>
      </c>
      <c r="DG28" s="226" t="s">
        <v>541</v>
      </c>
      <c r="DH28" s="14"/>
    </row>
    <row r="29" spans="1:112" ht="12.75" customHeight="1" x14ac:dyDescent="0.25">
      <c r="A29" s="17" t="s">
        <v>370</v>
      </c>
      <c r="B29" s="17" t="s">
        <v>541</v>
      </c>
      <c r="C29" s="17" t="s">
        <v>320</v>
      </c>
      <c r="D29" s="17" t="s">
        <v>321</v>
      </c>
      <c r="E29" s="17" t="b">
        <f t="shared" si="0"/>
        <v>1</v>
      </c>
      <c r="F29" s="127" t="s">
        <v>370</v>
      </c>
      <c r="G29" s="248" t="s">
        <v>541</v>
      </c>
      <c r="H29" s="128" t="s">
        <v>320</v>
      </c>
      <c r="I29" s="128" t="s">
        <v>321</v>
      </c>
      <c r="J29" s="31"/>
      <c r="K29" s="102" t="s">
        <v>354</v>
      </c>
      <c r="L29" s="90"/>
      <c r="M29" s="111"/>
      <c r="N29" s="112"/>
      <c r="O29" s="113"/>
      <c r="P29" s="112"/>
      <c r="Q29" s="31"/>
      <c r="R29" s="102"/>
      <c r="S29" s="90"/>
      <c r="T29" s="88" t="str">
        <f t="shared" si="1"/>
        <v>NA</v>
      </c>
      <c r="U29" s="88" t="str">
        <f t="shared" si="2"/>
        <v>NA</v>
      </c>
      <c r="V29" s="111"/>
      <c r="W29" s="112"/>
      <c r="X29" s="113"/>
      <c r="Y29" s="112"/>
      <c r="Z29" s="31"/>
      <c r="AA29" s="296"/>
      <c r="AB29" s="89"/>
      <c r="AC29" s="88" t="str">
        <f t="shared" si="3"/>
        <v>NA</v>
      </c>
      <c r="AD29" s="88" t="str">
        <f t="shared" si="4"/>
        <v>NA</v>
      </c>
      <c r="AE29" s="111"/>
      <c r="AF29" s="112"/>
      <c r="AG29" s="113"/>
      <c r="AH29" s="112"/>
      <c r="AI29" s="31"/>
      <c r="AJ29" s="294"/>
      <c r="AK29" s="89"/>
      <c r="AL29" s="88" t="str">
        <f t="shared" si="5"/>
        <v>NA</v>
      </c>
      <c r="AM29" s="88" t="str">
        <f t="shared" si="6"/>
        <v>NA</v>
      </c>
      <c r="AN29" s="111"/>
      <c r="AO29" s="112"/>
      <c r="AP29" s="113"/>
      <c r="AQ29" s="112"/>
      <c r="AR29" s="31"/>
      <c r="AS29" s="32"/>
      <c r="AT29" s="90"/>
      <c r="AU29" s="88"/>
      <c r="AV29" s="88"/>
      <c r="AW29" s="111"/>
      <c r="AX29" s="112"/>
      <c r="AY29" s="113"/>
      <c r="AZ29" s="112"/>
      <c r="BA29" s="31"/>
      <c r="BB29" s="32"/>
      <c r="BC29" s="90"/>
      <c r="BD29" s="88"/>
      <c r="BE29" s="88"/>
      <c r="BF29" s="111"/>
      <c r="BG29" s="112"/>
      <c r="BH29" s="113"/>
      <c r="BI29" s="112"/>
      <c r="BJ29" s="31"/>
      <c r="BK29" s="32"/>
      <c r="BL29" s="90"/>
      <c r="BM29" s="88"/>
      <c r="BN29" s="88"/>
      <c r="BO29" s="111"/>
      <c r="BP29" s="112"/>
      <c r="BQ29" s="113"/>
      <c r="BR29" s="112"/>
      <c r="BS29" s="31"/>
      <c r="BT29" s="32"/>
      <c r="BU29" s="90"/>
      <c r="BV29" s="88"/>
      <c r="BW29" s="88"/>
      <c r="BX29" s="111"/>
      <c r="BY29" s="112"/>
      <c r="BZ29" s="113"/>
      <c r="CA29" s="112"/>
      <c r="CB29" s="31"/>
      <c r="CC29" s="32"/>
      <c r="CD29" s="90"/>
      <c r="CE29" s="88"/>
      <c r="CF29" s="88"/>
      <c r="CG29" s="111"/>
      <c r="CH29" s="112"/>
      <c r="CI29" s="113"/>
      <c r="CJ29" s="112"/>
      <c r="CK29" s="31"/>
      <c r="CL29" s="32"/>
      <c r="CM29" s="90"/>
      <c r="CN29" s="88"/>
      <c r="CO29" s="88"/>
      <c r="CP29" s="111"/>
      <c r="CQ29" s="112"/>
      <c r="CR29" s="113"/>
      <c r="CS29" s="112"/>
      <c r="CT29" s="55"/>
      <c r="CV29" s="230" t="s">
        <v>321</v>
      </c>
      <c r="CX29" s="226" t="s">
        <v>1425</v>
      </c>
      <c r="CY29" s="226" t="s">
        <v>1431</v>
      </c>
      <c r="CZ29" s="226" t="s">
        <v>541</v>
      </c>
      <c r="DA29" s="226" t="s">
        <v>541</v>
      </c>
      <c r="DB29" s="14"/>
      <c r="DC29" s="226" t="s">
        <v>541</v>
      </c>
      <c r="DD29" s="226" t="s">
        <v>1421</v>
      </c>
      <c r="DE29" s="226" t="s">
        <v>541</v>
      </c>
      <c r="DF29" s="226" t="s">
        <v>541</v>
      </c>
      <c r="DG29" s="226" t="s">
        <v>541</v>
      </c>
      <c r="DH29" s="14"/>
    </row>
    <row r="30" spans="1:112" ht="12.75" customHeight="1" x14ac:dyDescent="0.25">
      <c r="A30" s="17" t="s">
        <v>371</v>
      </c>
      <c r="B30" s="17" t="s">
        <v>541</v>
      </c>
      <c r="C30" s="17" t="s">
        <v>318</v>
      </c>
      <c r="D30" s="17" t="s">
        <v>319</v>
      </c>
      <c r="E30" s="17" t="b">
        <f t="shared" si="0"/>
        <v>1</v>
      </c>
      <c r="F30" s="127" t="s">
        <v>371</v>
      </c>
      <c r="G30" s="248" t="s">
        <v>541</v>
      </c>
      <c r="H30" s="128" t="s">
        <v>318</v>
      </c>
      <c r="I30" s="128" t="s">
        <v>319</v>
      </c>
      <c r="J30" s="31"/>
      <c r="K30" s="102" t="s">
        <v>354</v>
      </c>
      <c r="L30" s="90"/>
      <c r="M30" s="111"/>
      <c r="N30" s="112"/>
      <c r="O30" s="113"/>
      <c r="P30" s="112"/>
      <c r="Q30" s="31"/>
      <c r="R30" s="102"/>
      <c r="S30" s="90"/>
      <c r="T30" s="88" t="str">
        <f t="shared" si="1"/>
        <v>NA</v>
      </c>
      <c r="U30" s="88" t="str">
        <f t="shared" si="2"/>
        <v>NA</v>
      </c>
      <c r="V30" s="111"/>
      <c r="W30" s="112"/>
      <c r="X30" s="113"/>
      <c r="Y30" s="112"/>
      <c r="Z30" s="31"/>
      <c r="AA30" s="296"/>
      <c r="AB30" s="89"/>
      <c r="AC30" s="88" t="str">
        <f t="shared" si="3"/>
        <v>NA</v>
      </c>
      <c r="AD30" s="88" t="str">
        <f t="shared" si="4"/>
        <v>NA</v>
      </c>
      <c r="AE30" s="111"/>
      <c r="AF30" s="112"/>
      <c r="AG30" s="113"/>
      <c r="AH30" s="112"/>
      <c r="AI30" s="31"/>
      <c r="AJ30" s="294"/>
      <c r="AK30" s="89"/>
      <c r="AL30" s="88" t="str">
        <f t="shared" si="5"/>
        <v>NA</v>
      </c>
      <c r="AM30" s="88" t="str">
        <f t="shared" si="6"/>
        <v>NA</v>
      </c>
      <c r="AN30" s="111"/>
      <c r="AO30" s="112"/>
      <c r="AP30" s="113"/>
      <c r="AQ30" s="112"/>
      <c r="AR30" s="31"/>
      <c r="AS30" s="32"/>
      <c r="AT30" s="90"/>
      <c r="AU30" s="88"/>
      <c r="AV30" s="88"/>
      <c r="AW30" s="111"/>
      <c r="AX30" s="112"/>
      <c r="AY30" s="113"/>
      <c r="AZ30" s="112"/>
      <c r="BA30" s="31"/>
      <c r="BB30" s="32"/>
      <c r="BC30" s="90"/>
      <c r="BD30" s="88"/>
      <c r="BE30" s="88"/>
      <c r="BF30" s="111"/>
      <c r="BG30" s="112"/>
      <c r="BH30" s="113"/>
      <c r="BI30" s="112"/>
      <c r="BJ30" s="31"/>
      <c r="BK30" s="32"/>
      <c r="BL30" s="90"/>
      <c r="BM30" s="88"/>
      <c r="BN30" s="88"/>
      <c r="BO30" s="111"/>
      <c r="BP30" s="112"/>
      <c r="BQ30" s="113"/>
      <c r="BR30" s="112"/>
      <c r="BS30" s="31"/>
      <c r="BT30" s="32"/>
      <c r="BU30" s="90"/>
      <c r="BV30" s="88"/>
      <c r="BW30" s="88"/>
      <c r="BX30" s="111"/>
      <c r="BY30" s="112"/>
      <c r="BZ30" s="113"/>
      <c r="CA30" s="112"/>
      <c r="CB30" s="31"/>
      <c r="CC30" s="32"/>
      <c r="CD30" s="90"/>
      <c r="CE30" s="88"/>
      <c r="CF30" s="88"/>
      <c r="CG30" s="111"/>
      <c r="CH30" s="112"/>
      <c r="CI30" s="113"/>
      <c r="CJ30" s="112"/>
      <c r="CK30" s="31"/>
      <c r="CL30" s="32"/>
      <c r="CM30" s="90"/>
      <c r="CN30" s="88"/>
      <c r="CO30" s="88"/>
      <c r="CP30" s="111"/>
      <c r="CQ30" s="112"/>
      <c r="CR30" s="113"/>
      <c r="CS30" s="112"/>
      <c r="CT30" s="55"/>
      <c r="CV30" s="230" t="s">
        <v>319</v>
      </c>
      <c r="CX30" s="226" t="s">
        <v>1424</v>
      </c>
      <c r="CY30" s="226" t="s">
        <v>1431</v>
      </c>
      <c r="CZ30" s="226" t="s">
        <v>541</v>
      </c>
      <c r="DA30" s="226" t="s">
        <v>541</v>
      </c>
      <c r="DB30" s="14"/>
      <c r="DC30" s="226" t="s">
        <v>541</v>
      </c>
      <c r="DD30" s="226" t="s">
        <v>1421</v>
      </c>
      <c r="DE30" s="226" t="s">
        <v>541</v>
      </c>
      <c r="DF30" s="226" t="s">
        <v>541</v>
      </c>
      <c r="DG30" s="226" t="s">
        <v>541</v>
      </c>
      <c r="DH30" s="14"/>
    </row>
    <row r="31" spans="1:112" ht="12.75" customHeight="1" x14ac:dyDescent="0.25">
      <c r="A31" s="17" t="s">
        <v>372</v>
      </c>
      <c r="B31" s="17" t="s">
        <v>541</v>
      </c>
      <c r="C31" s="17" t="s">
        <v>316</v>
      </c>
      <c r="D31" s="17" t="s">
        <v>317</v>
      </c>
      <c r="E31" s="17" t="b">
        <f t="shared" si="0"/>
        <v>1</v>
      </c>
      <c r="F31" s="127" t="s">
        <v>372</v>
      </c>
      <c r="G31" s="248" t="s">
        <v>541</v>
      </c>
      <c r="H31" s="128" t="s">
        <v>316</v>
      </c>
      <c r="I31" s="128" t="s">
        <v>317</v>
      </c>
      <c r="J31" s="31"/>
      <c r="K31" s="102" t="s">
        <v>354</v>
      </c>
      <c r="L31" s="90"/>
      <c r="M31" s="111"/>
      <c r="N31" s="112"/>
      <c r="O31" s="113"/>
      <c r="P31" s="112"/>
      <c r="Q31" s="31"/>
      <c r="R31" s="102"/>
      <c r="S31" s="90"/>
      <c r="T31" s="88" t="str">
        <f t="shared" si="1"/>
        <v>NA</v>
      </c>
      <c r="U31" s="88" t="str">
        <f t="shared" si="2"/>
        <v>NA</v>
      </c>
      <c r="V31" s="111"/>
      <c r="W31" s="112"/>
      <c r="X31" s="113"/>
      <c r="Y31" s="112"/>
      <c r="Z31" s="31"/>
      <c r="AA31" s="296"/>
      <c r="AB31" s="89"/>
      <c r="AC31" s="88" t="str">
        <f t="shared" si="3"/>
        <v>NA</v>
      </c>
      <c r="AD31" s="88" t="str">
        <f t="shared" si="4"/>
        <v>NA</v>
      </c>
      <c r="AE31" s="111"/>
      <c r="AF31" s="112"/>
      <c r="AG31" s="113"/>
      <c r="AH31" s="112"/>
      <c r="AI31" s="31"/>
      <c r="AJ31" s="294"/>
      <c r="AK31" s="89"/>
      <c r="AL31" s="88" t="str">
        <f t="shared" si="5"/>
        <v>NA</v>
      </c>
      <c r="AM31" s="88" t="str">
        <f t="shared" si="6"/>
        <v>NA</v>
      </c>
      <c r="AN31" s="111"/>
      <c r="AO31" s="112"/>
      <c r="AP31" s="113"/>
      <c r="AQ31" s="112"/>
      <c r="AR31" s="31"/>
      <c r="AS31" s="32"/>
      <c r="AT31" s="90"/>
      <c r="AU31" s="88"/>
      <c r="AV31" s="88"/>
      <c r="AW31" s="111"/>
      <c r="AX31" s="112"/>
      <c r="AY31" s="113"/>
      <c r="AZ31" s="112"/>
      <c r="BA31" s="31"/>
      <c r="BB31" s="32"/>
      <c r="BC31" s="90"/>
      <c r="BD31" s="88"/>
      <c r="BE31" s="88"/>
      <c r="BF31" s="111"/>
      <c r="BG31" s="112"/>
      <c r="BH31" s="113"/>
      <c r="BI31" s="112"/>
      <c r="BJ31" s="31"/>
      <c r="BK31" s="32"/>
      <c r="BL31" s="90"/>
      <c r="BM31" s="88"/>
      <c r="BN31" s="88"/>
      <c r="BO31" s="111"/>
      <c r="BP31" s="112"/>
      <c r="BQ31" s="113"/>
      <c r="BR31" s="112"/>
      <c r="BS31" s="31"/>
      <c r="BT31" s="32"/>
      <c r="BU31" s="90"/>
      <c r="BV31" s="88"/>
      <c r="BW31" s="88"/>
      <c r="BX31" s="111"/>
      <c r="BY31" s="112"/>
      <c r="BZ31" s="113"/>
      <c r="CA31" s="112"/>
      <c r="CB31" s="31"/>
      <c r="CC31" s="32"/>
      <c r="CD31" s="90"/>
      <c r="CE31" s="88"/>
      <c r="CF31" s="88"/>
      <c r="CG31" s="111"/>
      <c r="CH31" s="112"/>
      <c r="CI31" s="113"/>
      <c r="CJ31" s="112"/>
      <c r="CK31" s="31"/>
      <c r="CL31" s="32"/>
      <c r="CM31" s="90"/>
      <c r="CN31" s="88"/>
      <c r="CO31" s="88"/>
      <c r="CP31" s="111"/>
      <c r="CQ31" s="112"/>
      <c r="CR31" s="113"/>
      <c r="CS31" s="112"/>
      <c r="CT31" s="55"/>
      <c r="CV31" s="230" t="s">
        <v>317</v>
      </c>
      <c r="CX31" s="226" t="s">
        <v>1424</v>
      </c>
      <c r="CY31" s="226" t="s">
        <v>1431</v>
      </c>
      <c r="CZ31" s="226" t="s">
        <v>541</v>
      </c>
      <c r="DA31" s="226" t="s">
        <v>541</v>
      </c>
      <c r="DB31" s="14"/>
      <c r="DC31" s="226" t="s">
        <v>541</v>
      </c>
      <c r="DD31" s="226" t="s">
        <v>1421</v>
      </c>
      <c r="DE31" s="226" t="s">
        <v>541</v>
      </c>
      <c r="DF31" s="226" t="s">
        <v>541</v>
      </c>
      <c r="DG31" s="226" t="s">
        <v>541</v>
      </c>
      <c r="DH31" s="14"/>
    </row>
    <row r="32" spans="1:112" ht="12.75" customHeight="1" x14ac:dyDescent="0.25">
      <c r="A32" s="17" t="s">
        <v>373</v>
      </c>
      <c r="B32" s="17" t="s">
        <v>541</v>
      </c>
      <c r="C32" s="17" t="s">
        <v>314</v>
      </c>
      <c r="D32" s="17" t="s">
        <v>315</v>
      </c>
      <c r="E32" s="17" t="b">
        <f t="shared" si="0"/>
        <v>1</v>
      </c>
      <c r="F32" s="127" t="s">
        <v>373</v>
      </c>
      <c r="G32" s="248" t="s">
        <v>541</v>
      </c>
      <c r="H32" s="128" t="s">
        <v>314</v>
      </c>
      <c r="I32" s="128" t="s">
        <v>315</v>
      </c>
      <c r="J32" s="31"/>
      <c r="K32" s="102" t="s">
        <v>354</v>
      </c>
      <c r="L32" s="90"/>
      <c r="M32" s="111"/>
      <c r="N32" s="112"/>
      <c r="O32" s="113"/>
      <c r="P32" s="112"/>
      <c r="Q32" s="31"/>
      <c r="R32" s="102"/>
      <c r="S32" s="90"/>
      <c r="T32" s="88" t="str">
        <f t="shared" si="1"/>
        <v>NA</v>
      </c>
      <c r="U32" s="88" t="str">
        <f t="shared" si="2"/>
        <v>NA</v>
      </c>
      <c r="V32" s="111"/>
      <c r="W32" s="112"/>
      <c r="X32" s="113"/>
      <c r="Y32" s="112"/>
      <c r="Z32" s="31"/>
      <c r="AA32" s="296"/>
      <c r="AB32" s="89"/>
      <c r="AC32" s="88" t="str">
        <f t="shared" si="3"/>
        <v>NA</v>
      </c>
      <c r="AD32" s="88" t="str">
        <f t="shared" si="4"/>
        <v>NA</v>
      </c>
      <c r="AE32" s="111"/>
      <c r="AF32" s="112"/>
      <c r="AG32" s="113"/>
      <c r="AH32" s="112"/>
      <c r="AI32" s="31"/>
      <c r="AJ32" s="294"/>
      <c r="AK32" s="89"/>
      <c r="AL32" s="88" t="str">
        <f t="shared" si="5"/>
        <v>NA</v>
      </c>
      <c r="AM32" s="88" t="str">
        <f t="shared" si="6"/>
        <v>NA</v>
      </c>
      <c r="AN32" s="111"/>
      <c r="AO32" s="112"/>
      <c r="AP32" s="113"/>
      <c r="AQ32" s="112"/>
      <c r="AR32" s="31"/>
      <c r="AS32" s="32"/>
      <c r="AT32" s="90"/>
      <c r="AU32" s="88"/>
      <c r="AV32" s="88"/>
      <c r="AW32" s="111"/>
      <c r="AX32" s="112"/>
      <c r="AY32" s="113"/>
      <c r="AZ32" s="112"/>
      <c r="BA32" s="31"/>
      <c r="BB32" s="32"/>
      <c r="BC32" s="90"/>
      <c r="BD32" s="88"/>
      <c r="BE32" s="88"/>
      <c r="BF32" s="111"/>
      <c r="BG32" s="112"/>
      <c r="BH32" s="113"/>
      <c r="BI32" s="112"/>
      <c r="BJ32" s="31"/>
      <c r="BK32" s="32"/>
      <c r="BL32" s="90"/>
      <c r="BM32" s="88"/>
      <c r="BN32" s="88"/>
      <c r="BO32" s="111"/>
      <c r="BP32" s="112"/>
      <c r="BQ32" s="113"/>
      <c r="BR32" s="112"/>
      <c r="BS32" s="31"/>
      <c r="BT32" s="32"/>
      <c r="BU32" s="90"/>
      <c r="BV32" s="88"/>
      <c r="BW32" s="88"/>
      <c r="BX32" s="111"/>
      <c r="BY32" s="112"/>
      <c r="BZ32" s="113"/>
      <c r="CA32" s="112"/>
      <c r="CB32" s="31"/>
      <c r="CC32" s="32"/>
      <c r="CD32" s="90"/>
      <c r="CE32" s="88"/>
      <c r="CF32" s="88"/>
      <c r="CG32" s="111"/>
      <c r="CH32" s="112"/>
      <c r="CI32" s="113"/>
      <c r="CJ32" s="112"/>
      <c r="CK32" s="31"/>
      <c r="CL32" s="32"/>
      <c r="CM32" s="90"/>
      <c r="CN32" s="88"/>
      <c r="CO32" s="88"/>
      <c r="CP32" s="111"/>
      <c r="CQ32" s="112"/>
      <c r="CR32" s="113"/>
      <c r="CS32" s="112"/>
      <c r="CT32" s="55"/>
      <c r="CV32" s="230" t="s">
        <v>315</v>
      </c>
      <c r="CX32" s="226" t="s">
        <v>1424</v>
      </c>
      <c r="CY32" s="226" t="s">
        <v>1431</v>
      </c>
      <c r="CZ32" s="226" t="s">
        <v>541</v>
      </c>
      <c r="DA32" s="226" t="s">
        <v>541</v>
      </c>
      <c r="DB32" s="14"/>
      <c r="DC32" s="226" t="s">
        <v>541</v>
      </c>
      <c r="DD32" s="226" t="s">
        <v>541</v>
      </c>
      <c r="DE32" s="226" t="s">
        <v>541</v>
      </c>
      <c r="DF32" s="226" t="s">
        <v>541</v>
      </c>
      <c r="DG32" s="226" t="s">
        <v>541</v>
      </c>
      <c r="DH32" s="14"/>
    </row>
    <row r="33" spans="1:112" ht="12.75" customHeight="1" x14ac:dyDescent="0.25">
      <c r="A33" s="17" t="s">
        <v>374</v>
      </c>
      <c r="B33" s="17" t="s">
        <v>541</v>
      </c>
      <c r="C33" s="17" t="s">
        <v>312</v>
      </c>
      <c r="D33" s="17" t="s">
        <v>313</v>
      </c>
      <c r="E33" s="17" t="b">
        <f t="shared" si="0"/>
        <v>1</v>
      </c>
      <c r="F33" s="127" t="s">
        <v>374</v>
      </c>
      <c r="G33" s="248" t="s">
        <v>541</v>
      </c>
      <c r="H33" s="128" t="s">
        <v>312</v>
      </c>
      <c r="I33" s="128" t="s">
        <v>313</v>
      </c>
      <c r="J33" s="31"/>
      <c r="K33" s="102" t="s">
        <v>354</v>
      </c>
      <c r="L33" s="90"/>
      <c r="M33" s="111"/>
      <c r="N33" s="112"/>
      <c r="O33" s="113"/>
      <c r="P33" s="112"/>
      <c r="Q33" s="31"/>
      <c r="R33" s="102"/>
      <c r="S33" s="90"/>
      <c r="T33" s="88" t="str">
        <f t="shared" si="1"/>
        <v>NA</v>
      </c>
      <c r="U33" s="88" t="str">
        <f t="shared" si="2"/>
        <v>NA</v>
      </c>
      <c r="V33" s="111"/>
      <c r="W33" s="112"/>
      <c r="X33" s="113"/>
      <c r="Y33" s="112"/>
      <c r="Z33" s="31"/>
      <c r="AA33" s="296"/>
      <c r="AB33" s="89"/>
      <c r="AC33" s="88" t="str">
        <f t="shared" si="3"/>
        <v>NA</v>
      </c>
      <c r="AD33" s="88" t="str">
        <f t="shared" si="4"/>
        <v>NA</v>
      </c>
      <c r="AE33" s="111"/>
      <c r="AF33" s="112"/>
      <c r="AG33" s="113"/>
      <c r="AH33" s="112"/>
      <c r="AI33" s="31"/>
      <c r="AJ33" s="294"/>
      <c r="AK33" s="89"/>
      <c r="AL33" s="88" t="str">
        <f t="shared" si="5"/>
        <v>NA</v>
      </c>
      <c r="AM33" s="88" t="str">
        <f t="shared" si="6"/>
        <v>NA</v>
      </c>
      <c r="AN33" s="111"/>
      <c r="AO33" s="112"/>
      <c r="AP33" s="113"/>
      <c r="AQ33" s="112"/>
      <c r="AR33" s="31"/>
      <c r="AS33" s="32"/>
      <c r="AT33" s="90"/>
      <c r="AU33" s="88"/>
      <c r="AV33" s="88"/>
      <c r="AW33" s="111"/>
      <c r="AX33" s="112"/>
      <c r="AY33" s="113"/>
      <c r="AZ33" s="112"/>
      <c r="BA33" s="31"/>
      <c r="BB33" s="32"/>
      <c r="BC33" s="90"/>
      <c r="BD33" s="88"/>
      <c r="BE33" s="88"/>
      <c r="BF33" s="111"/>
      <c r="BG33" s="112"/>
      <c r="BH33" s="113"/>
      <c r="BI33" s="112"/>
      <c r="BJ33" s="31"/>
      <c r="BK33" s="32"/>
      <c r="BL33" s="90"/>
      <c r="BM33" s="88"/>
      <c r="BN33" s="88"/>
      <c r="BO33" s="111"/>
      <c r="BP33" s="112"/>
      <c r="BQ33" s="113"/>
      <c r="BR33" s="112"/>
      <c r="BS33" s="31"/>
      <c r="BT33" s="32"/>
      <c r="BU33" s="90"/>
      <c r="BV33" s="88"/>
      <c r="BW33" s="88"/>
      <c r="BX33" s="111"/>
      <c r="BY33" s="112"/>
      <c r="BZ33" s="113"/>
      <c r="CA33" s="112"/>
      <c r="CB33" s="31"/>
      <c r="CC33" s="32"/>
      <c r="CD33" s="90"/>
      <c r="CE33" s="88"/>
      <c r="CF33" s="88"/>
      <c r="CG33" s="111"/>
      <c r="CH33" s="112"/>
      <c r="CI33" s="113"/>
      <c r="CJ33" s="112"/>
      <c r="CK33" s="31"/>
      <c r="CL33" s="32"/>
      <c r="CM33" s="90"/>
      <c r="CN33" s="88"/>
      <c r="CO33" s="88"/>
      <c r="CP33" s="111"/>
      <c r="CQ33" s="112"/>
      <c r="CR33" s="113"/>
      <c r="CS33" s="112"/>
      <c r="CT33" s="55"/>
      <c r="CV33" s="230" t="s">
        <v>313</v>
      </c>
      <c r="CX33" s="226" t="s">
        <v>1425</v>
      </c>
      <c r="CY33" s="226" t="s">
        <v>1431</v>
      </c>
      <c r="CZ33" s="226" t="s">
        <v>541</v>
      </c>
      <c r="DA33" s="226" t="s">
        <v>541</v>
      </c>
      <c r="DB33" s="14"/>
      <c r="DC33" s="226" t="s">
        <v>541</v>
      </c>
      <c r="DD33" s="226" t="s">
        <v>541</v>
      </c>
      <c r="DE33" s="226" t="s">
        <v>541</v>
      </c>
      <c r="DF33" s="226" t="s">
        <v>541</v>
      </c>
      <c r="DG33" s="226" t="s">
        <v>541</v>
      </c>
      <c r="DH33" s="14"/>
    </row>
    <row r="34" spans="1:112" ht="12.75" customHeight="1" x14ac:dyDescent="0.25">
      <c r="A34" s="17" t="s">
        <v>375</v>
      </c>
      <c r="B34" s="17" t="s">
        <v>541</v>
      </c>
      <c r="C34" s="17" t="s">
        <v>311</v>
      </c>
      <c r="D34" s="17" t="s">
        <v>622</v>
      </c>
      <c r="E34" s="17" t="b">
        <f t="shared" si="0"/>
        <v>1</v>
      </c>
      <c r="F34" s="127" t="s">
        <v>375</v>
      </c>
      <c r="G34" s="248" t="s">
        <v>541</v>
      </c>
      <c r="H34" s="128" t="s">
        <v>311</v>
      </c>
      <c r="I34" s="128" t="s">
        <v>622</v>
      </c>
      <c r="J34" s="31"/>
      <c r="K34" s="102" t="s">
        <v>583</v>
      </c>
      <c r="L34" s="90"/>
      <c r="M34" s="111"/>
      <c r="N34" s="112"/>
      <c r="O34" s="113"/>
      <c r="P34" s="112"/>
      <c r="Q34" s="31"/>
      <c r="R34" s="102"/>
      <c r="S34" s="90"/>
      <c r="T34" s="88" t="str">
        <f t="shared" si="1"/>
        <v>NA</v>
      </c>
      <c r="U34" s="88" t="str">
        <f t="shared" si="2"/>
        <v>NA</v>
      </c>
      <c r="V34" s="111"/>
      <c r="W34" s="112"/>
      <c r="X34" s="113"/>
      <c r="Y34" s="112"/>
      <c r="Z34" s="31"/>
      <c r="AA34" s="296"/>
      <c r="AB34" s="89"/>
      <c r="AC34" s="88" t="str">
        <f t="shared" si="3"/>
        <v>NA</v>
      </c>
      <c r="AD34" s="88" t="str">
        <f t="shared" si="4"/>
        <v>NA</v>
      </c>
      <c r="AE34" s="111"/>
      <c r="AF34" s="112"/>
      <c r="AG34" s="113"/>
      <c r="AH34" s="112"/>
      <c r="AI34" s="31"/>
      <c r="AJ34" s="294"/>
      <c r="AK34" s="89"/>
      <c r="AL34" s="88" t="str">
        <f t="shared" si="5"/>
        <v>NA</v>
      </c>
      <c r="AM34" s="88" t="str">
        <f t="shared" si="6"/>
        <v>NA</v>
      </c>
      <c r="AN34" s="111"/>
      <c r="AO34" s="112"/>
      <c r="AP34" s="113"/>
      <c r="AQ34" s="112"/>
      <c r="AR34" s="31"/>
      <c r="AS34" s="32"/>
      <c r="AT34" s="90"/>
      <c r="AU34" s="88"/>
      <c r="AV34" s="88"/>
      <c r="AW34" s="111"/>
      <c r="AX34" s="112"/>
      <c r="AY34" s="113"/>
      <c r="AZ34" s="112"/>
      <c r="BA34" s="31"/>
      <c r="BB34" s="32"/>
      <c r="BC34" s="90"/>
      <c r="BD34" s="88"/>
      <c r="BE34" s="88"/>
      <c r="BF34" s="111"/>
      <c r="BG34" s="112"/>
      <c r="BH34" s="113"/>
      <c r="BI34" s="112"/>
      <c r="BJ34" s="31"/>
      <c r="BK34" s="32"/>
      <c r="BL34" s="90"/>
      <c r="BM34" s="88"/>
      <c r="BN34" s="88"/>
      <c r="BO34" s="111"/>
      <c r="BP34" s="112"/>
      <c r="BQ34" s="113"/>
      <c r="BR34" s="112"/>
      <c r="BS34" s="31"/>
      <c r="BT34" s="32"/>
      <c r="BU34" s="90"/>
      <c r="BV34" s="88"/>
      <c r="BW34" s="88"/>
      <c r="BX34" s="111"/>
      <c r="BY34" s="112"/>
      <c r="BZ34" s="113"/>
      <c r="CA34" s="112"/>
      <c r="CB34" s="31"/>
      <c r="CC34" s="32"/>
      <c r="CD34" s="90"/>
      <c r="CE34" s="88"/>
      <c r="CF34" s="88"/>
      <c r="CG34" s="111"/>
      <c r="CH34" s="112"/>
      <c r="CI34" s="113"/>
      <c r="CJ34" s="112"/>
      <c r="CK34" s="31"/>
      <c r="CL34" s="32"/>
      <c r="CM34" s="90"/>
      <c r="CN34" s="88"/>
      <c r="CO34" s="88"/>
      <c r="CP34" s="111"/>
      <c r="CQ34" s="112"/>
      <c r="CR34" s="113"/>
      <c r="CS34" s="112"/>
      <c r="CT34" s="55"/>
      <c r="CV34" s="230" t="s">
        <v>622</v>
      </c>
      <c r="CX34" s="226" t="s">
        <v>541</v>
      </c>
      <c r="CY34" s="226" t="s">
        <v>1431</v>
      </c>
      <c r="CZ34" s="226" t="s">
        <v>541</v>
      </c>
      <c r="DA34" s="226" t="s">
        <v>541</v>
      </c>
      <c r="DB34" s="14"/>
      <c r="DC34" s="226" t="s">
        <v>541</v>
      </c>
      <c r="DD34" s="226" t="s">
        <v>541</v>
      </c>
      <c r="DE34" s="226" t="s">
        <v>541</v>
      </c>
      <c r="DF34" s="226" t="s">
        <v>541</v>
      </c>
      <c r="DG34" s="226" t="s">
        <v>541</v>
      </c>
      <c r="DH34" s="14"/>
    </row>
    <row r="35" spans="1:112" ht="12.75" customHeight="1" x14ac:dyDescent="0.25">
      <c r="A35" s="17" t="s">
        <v>376</v>
      </c>
      <c r="B35" s="17" t="s">
        <v>541</v>
      </c>
      <c r="C35" s="17" t="s">
        <v>310</v>
      </c>
      <c r="D35" s="17" t="s">
        <v>623</v>
      </c>
      <c r="E35" s="17" t="b">
        <f t="shared" si="0"/>
        <v>1</v>
      </c>
      <c r="F35" s="127" t="s">
        <v>376</v>
      </c>
      <c r="G35" s="248" t="s">
        <v>541</v>
      </c>
      <c r="H35" s="128" t="s">
        <v>310</v>
      </c>
      <c r="I35" s="128" t="s">
        <v>623</v>
      </c>
      <c r="J35" s="31"/>
      <c r="K35" s="102" t="s">
        <v>583</v>
      </c>
      <c r="L35" s="90"/>
      <c r="M35" s="111"/>
      <c r="N35" s="112"/>
      <c r="O35" s="113"/>
      <c r="P35" s="112"/>
      <c r="Q35" s="31"/>
      <c r="R35" s="102"/>
      <c r="S35" s="90"/>
      <c r="T35" s="88" t="str">
        <f t="shared" si="1"/>
        <v>NA</v>
      </c>
      <c r="U35" s="88" t="str">
        <f t="shared" si="2"/>
        <v>NA</v>
      </c>
      <c r="V35" s="111"/>
      <c r="W35" s="112"/>
      <c r="X35" s="113"/>
      <c r="Y35" s="112"/>
      <c r="Z35" s="31"/>
      <c r="AA35" s="296"/>
      <c r="AB35" s="89"/>
      <c r="AC35" s="88" t="str">
        <f t="shared" si="3"/>
        <v>NA</v>
      </c>
      <c r="AD35" s="88" t="str">
        <f t="shared" si="4"/>
        <v>NA</v>
      </c>
      <c r="AE35" s="111"/>
      <c r="AF35" s="112"/>
      <c r="AG35" s="113"/>
      <c r="AH35" s="112"/>
      <c r="AI35" s="31"/>
      <c r="AJ35" s="294"/>
      <c r="AK35" s="89"/>
      <c r="AL35" s="88" t="str">
        <f t="shared" si="5"/>
        <v>NA</v>
      </c>
      <c r="AM35" s="88" t="str">
        <f t="shared" si="6"/>
        <v>NA</v>
      </c>
      <c r="AN35" s="111"/>
      <c r="AO35" s="112"/>
      <c r="AP35" s="113"/>
      <c r="AQ35" s="112"/>
      <c r="AR35" s="31"/>
      <c r="AS35" s="32"/>
      <c r="AT35" s="90"/>
      <c r="AU35" s="88"/>
      <c r="AV35" s="88"/>
      <c r="AW35" s="111"/>
      <c r="AX35" s="112"/>
      <c r="AY35" s="113"/>
      <c r="AZ35" s="112"/>
      <c r="BA35" s="31"/>
      <c r="BB35" s="32"/>
      <c r="BC35" s="90"/>
      <c r="BD35" s="88"/>
      <c r="BE35" s="88"/>
      <c r="BF35" s="111"/>
      <c r="BG35" s="112"/>
      <c r="BH35" s="113"/>
      <c r="BI35" s="112"/>
      <c r="BJ35" s="31"/>
      <c r="BK35" s="32"/>
      <c r="BL35" s="90"/>
      <c r="BM35" s="88"/>
      <c r="BN35" s="88"/>
      <c r="BO35" s="111"/>
      <c r="BP35" s="112"/>
      <c r="BQ35" s="113"/>
      <c r="BR35" s="112"/>
      <c r="BS35" s="31"/>
      <c r="BT35" s="32"/>
      <c r="BU35" s="90"/>
      <c r="BV35" s="88"/>
      <c r="BW35" s="88"/>
      <c r="BX35" s="111"/>
      <c r="BY35" s="112"/>
      <c r="BZ35" s="113"/>
      <c r="CA35" s="112"/>
      <c r="CB35" s="31"/>
      <c r="CC35" s="32"/>
      <c r="CD35" s="90"/>
      <c r="CE35" s="88"/>
      <c r="CF35" s="88"/>
      <c r="CG35" s="111"/>
      <c r="CH35" s="112"/>
      <c r="CI35" s="113"/>
      <c r="CJ35" s="112"/>
      <c r="CK35" s="31"/>
      <c r="CL35" s="32"/>
      <c r="CM35" s="90"/>
      <c r="CN35" s="88"/>
      <c r="CO35" s="88"/>
      <c r="CP35" s="111"/>
      <c r="CQ35" s="112"/>
      <c r="CR35" s="113"/>
      <c r="CS35" s="112"/>
      <c r="CT35" s="55"/>
      <c r="CV35" s="230" t="s">
        <v>623</v>
      </c>
      <c r="CX35" s="226" t="s">
        <v>541</v>
      </c>
      <c r="CY35" s="226" t="s">
        <v>1431</v>
      </c>
      <c r="CZ35" s="226" t="s">
        <v>541</v>
      </c>
      <c r="DA35" s="226" t="s">
        <v>541</v>
      </c>
      <c r="DB35" s="14"/>
      <c r="DC35" s="226" t="s">
        <v>541</v>
      </c>
      <c r="DD35" s="226" t="s">
        <v>541</v>
      </c>
      <c r="DE35" s="226" t="s">
        <v>541</v>
      </c>
      <c r="DF35" s="226" t="s">
        <v>541</v>
      </c>
      <c r="DG35" s="226" t="s">
        <v>541</v>
      </c>
      <c r="DH35" s="14"/>
    </row>
    <row r="36" spans="1:112" ht="12.75" customHeight="1" x14ac:dyDescent="0.25">
      <c r="A36" s="17" t="s">
        <v>377</v>
      </c>
      <c r="B36" s="17" t="s">
        <v>541</v>
      </c>
      <c r="C36" s="17" t="s">
        <v>309</v>
      </c>
      <c r="D36" s="17" t="s">
        <v>624</v>
      </c>
      <c r="E36" s="17" t="b">
        <f t="shared" si="0"/>
        <v>1</v>
      </c>
      <c r="F36" s="127" t="s">
        <v>377</v>
      </c>
      <c r="G36" s="248" t="s">
        <v>541</v>
      </c>
      <c r="H36" s="128" t="s">
        <v>309</v>
      </c>
      <c r="I36" s="128" t="s">
        <v>624</v>
      </c>
      <c r="J36" s="31"/>
      <c r="K36" s="102" t="s">
        <v>583</v>
      </c>
      <c r="L36" s="90"/>
      <c r="M36" s="111"/>
      <c r="N36" s="112"/>
      <c r="O36" s="113"/>
      <c r="P36" s="112"/>
      <c r="Q36" s="31"/>
      <c r="R36" s="102"/>
      <c r="S36" s="90"/>
      <c r="T36" s="88" t="str">
        <f t="shared" si="1"/>
        <v>NA</v>
      </c>
      <c r="U36" s="88" t="str">
        <f t="shared" si="2"/>
        <v>NA</v>
      </c>
      <c r="V36" s="111"/>
      <c r="W36" s="112"/>
      <c r="X36" s="113"/>
      <c r="Y36" s="112"/>
      <c r="Z36" s="31"/>
      <c r="AA36" s="296"/>
      <c r="AB36" s="89"/>
      <c r="AC36" s="88" t="str">
        <f t="shared" si="3"/>
        <v>NA</v>
      </c>
      <c r="AD36" s="88" t="str">
        <f t="shared" si="4"/>
        <v>NA</v>
      </c>
      <c r="AE36" s="111"/>
      <c r="AF36" s="112"/>
      <c r="AG36" s="113"/>
      <c r="AH36" s="112"/>
      <c r="AI36" s="31"/>
      <c r="AJ36" s="294"/>
      <c r="AK36" s="89"/>
      <c r="AL36" s="88" t="str">
        <f t="shared" si="5"/>
        <v>NA</v>
      </c>
      <c r="AM36" s="88" t="str">
        <f t="shared" si="6"/>
        <v>NA</v>
      </c>
      <c r="AN36" s="111"/>
      <c r="AO36" s="112"/>
      <c r="AP36" s="113"/>
      <c r="AQ36" s="112"/>
      <c r="AR36" s="31"/>
      <c r="AS36" s="32"/>
      <c r="AT36" s="90"/>
      <c r="AU36" s="88"/>
      <c r="AV36" s="88"/>
      <c r="AW36" s="111"/>
      <c r="AX36" s="112"/>
      <c r="AY36" s="113"/>
      <c r="AZ36" s="112"/>
      <c r="BA36" s="31"/>
      <c r="BB36" s="32"/>
      <c r="BC36" s="90"/>
      <c r="BD36" s="88"/>
      <c r="BE36" s="88"/>
      <c r="BF36" s="111"/>
      <c r="BG36" s="112"/>
      <c r="BH36" s="113"/>
      <c r="BI36" s="112"/>
      <c r="BJ36" s="31"/>
      <c r="BK36" s="32"/>
      <c r="BL36" s="90"/>
      <c r="BM36" s="88"/>
      <c r="BN36" s="88"/>
      <c r="BO36" s="111"/>
      <c r="BP36" s="112"/>
      <c r="BQ36" s="113"/>
      <c r="BR36" s="112"/>
      <c r="BS36" s="31"/>
      <c r="BT36" s="32"/>
      <c r="BU36" s="90"/>
      <c r="BV36" s="88"/>
      <c r="BW36" s="88"/>
      <c r="BX36" s="111"/>
      <c r="BY36" s="112"/>
      <c r="BZ36" s="113"/>
      <c r="CA36" s="112"/>
      <c r="CB36" s="31"/>
      <c r="CC36" s="32"/>
      <c r="CD36" s="90"/>
      <c r="CE36" s="88"/>
      <c r="CF36" s="88"/>
      <c r="CG36" s="111"/>
      <c r="CH36" s="112"/>
      <c r="CI36" s="113"/>
      <c r="CJ36" s="112"/>
      <c r="CK36" s="31"/>
      <c r="CL36" s="32"/>
      <c r="CM36" s="90"/>
      <c r="CN36" s="88"/>
      <c r="CO36" s="88"/>
      <c r="CP36" s="111"/>
      <c r="CQ36" s="112"/>
      <c r="CR36" s="113"/>
      <c r="CS36" s="112"/>
      <c r="CT36" s="55"/>
      <c r="CV36" s="230" t="s">
        <v>624</v>
      </c>
      <c r="CX36" s="226" t="s">
        <v>541</v>
      </c>
      <c r="CY36" s="226" t="s">
        <v>1431</v>
      </c>
      <c r="CZ36" s="226" t="s">
        <v>541</v>
      </c>
      <c r="DA36" s="226" t="s">
        <v>541</v>
      </c>
      <c r="DB36" s="14"/>
      <c r="DC36" s="226" t="s">
        <v>541</v>
      </c>
      <c r="DD36" s="226" t="s">
        <v>541</v>
      </c>
      <c r="DE36" s="226" t="s">
        <v>541</v>
      </c>
      <c r="DF36" s="226" t="s">
        <v>541</v>
      </c>
      <c r="DG36" s="226" t="s">
        <v>541</v>
      </c>
      <c r="DH36" s="14"/>
    </row>
    <row r="37" spans="1:112" ht="35.25" customHeight="1" x14ac:dyDescent="0.25">
      <c r="A37" s="17" t="s">
        <v>550</v>
      </c>
      <c r="B37" s="17" t="s">
        <v>541</v>
      </c>
      <c r="C37" s="17" t="s">
        <v>587</v>
      </c>
      <c r="D37" s="17" t="s">
        <v>625</v>
      </c>
      <c r="E37" s="17" t="b">
        <f t="shared" si="0"/>
        <v>1</v>
      </c>
      <c r="F37" s="127" t="s">
        <v>550</v>
      </c>
      <c r="G37" s="248" t="s">
        <v>541</v>
      </c>
      <c r="H37" s="128" t="s">
        <v>587</v>
      </c>
      <c r="I37" s="128" t="s">
        <v>625</v>
      </c>
      <c r="J37" s="31"/>
      <c r="K37" s="102" t="s">
        <v>354</v>
      </c>
      <c r="L37" s="90"/>
      <c r="M37" s="111"/>
      <c r="N37" s="112"/>
      <c r="O37" s="113"/>
      <c r="P37" s="112"/>
      <c r="Q37" s="31"/>
      <c r="R37" s="102"/>
      <c r="S37" s="90"/>
      <c r="T37" s="88" t="str">
        <f t="shared" si="1"/>
        <v>NA</v>
      </c>
      <c r="U37" s="88" t="str">
        <f t="shared" si="2"/>
        <v>NA</v>
      </c>
      <c r="V37" s="111"/>
      <c r="W37" s="112"/>
      <c r="X37" s="113"/>
      <c r="Y37" s="112"/>
      <c r="Z37" s="31"/>
      <c r="AA37" s="296"/>
      <c r="AB37" s="89"/>
      <c r="AC37" s="88" t="str">
        <f t="shared" si="3"/>
        <v>NA</v>
      </c>
      <c r="AD37" s="88" t="str">
        <f t="shared" si="4"/>
        <v>NA</v>
      </c>
      <c r="AE37" s="111"/>
      <c r="AF37" s="112"/>
      <c r="AG37" s="113"/>
      <c r="AH37" s="112"/>
      <c r="AI37" s="31"/>
      <c r="AJ37" s="294"/>
      <c r="AK37" s="89"/>
      <c r="AL37" s="88" t="str">
        <f t="shared" si="5"/>
        <v>NA</v>
      </c>
      <c r="AM37" s="88" t="str">
        <f t="shared" si="6"/>
        <v>NA</v>
      </c>
      <c r="AN37" s="111"/>
      <c r="AO37" s="112"/>
      <c r="AP37" s="113"/>
      <c r="AQ37" s="112"/>
      <c r="AR37" s="31"/>
      <c r="AS37" s="32"/>
      <c r="AT37" s="90"/>
      <c r="AU37" s="88"/>
      <c r="AV37" s="88"/>
      <c r="AW37" s="111"/>
      <c r="AX37" s="112"/>
      <c r="AY37" s="113"/>
      <c r="AZ37" s="112"/>
      <c r="BA37" s="31"/>
      <c r="BB37" s="32"/>
      <c r="BC37" s="90"/>
      <c r="BD37" s="88"/>
      <c r="BE37" s="88"/>
      <c r="BF37" s="111"/>
      <c r="BG37" s="112"/>
      <c r="BH37" s="113"/>
      <c r="BI37" s="112"/>
      <c r="BJ37" s="31"/>
      <c r="BK37" s="32"/>
      <c r="BL37" s="90"/>
      <c r="BM37" s="88"/>
      <c r="BN37" s="88"/>
      <c r="BO37" s="111"/>
      <c r="BP37" s="112"/>
      <c r="BQ37" s="113"/>
      <c r="BR37" s="112"/>
      <c r="BS37" s="31"/>
      <c r="BT37" s="32"/>
      <c r="BU37" s="90"/>
      <c r="BV37" s="88"/>
      <c r="BW37" s="88"/>
      <c r="BX37" s="111"/>
      <c r="BY37" s="112"/>
      <c r="BZ37" s="113"/>
      <c r="CA37" s="112"/>
      <c r="CB37" s="31"/>
      <c r="CC37" s="32"/>
      <c r="CD37" s="90"/>
      <c r="CE37" s="88"/>
      <c r="CF37" s="88"/>
      <c r="CG37" s="111"/>
      <c r="CH37" s="112"/>
      <c r="CI37" s="113"/>
      <c r="CJ37" s="112"/>
      <c r="CK37" s="31"/>
      <c r="CL37" s="32"/>
      <c r="CM37" s="90"/>
      <c r="CN37" s="88"/>
      <c r="CO37" s="88"/>
      <c r="CP37" s="111"/>
      <c r="CQ37" s="112"/>
      <c r="CR37" s="113"/>
      <c r="CS37" s="112"/>
      <c r="CT37" s="55"/>
      <c r="CV37" s="230" t="s">
        <v>625</v>
      </c>
      <c r="CX37" s="226" t="s">
        <v>1424</v>
      </c>
      <c r="CY37" s="239" t="s">
        <v>1432</v>
      </c>
      <c r="CZ37" s="226" t="s">
        <v>541</v>
      </c>
      <c r="DA37" s="226" t="s">
        <v>541</v>
      </c>
      <c r="DB37" s="14"/>
      <c r="DC37" s="226" t="s">
        <v>541</v>
      </c>
      <c r="DD37" s="226" t="s">
        <v>1421</v>
      </c>
      <c r="DE37" s="226" t="s">
        <v>541</v>
      </c>
      <c r="DF37" s="226" t="s">
        <v>541</v>
      </c>
      <c r="DG37" s="226" t="s">
        <v>541</v>
      </c>
      <c r="DH37" s="14"/>
    </row>
    <row r="38" spans="1:112" ht="13" x14ac:dyDescent="0.25">
      <c r="A38" s="17" t="s">
        <v>551</v>
      </c>
      <c r="B38" s="17" t="s">
        <v>541</v>
      </c>
      <c r="C38" s="17" t="s">
        <v>588</v>
      </c>
      <c r="D38" s="17" t="s">
        <v>626</v>
      </c>
      <c r="E38" s="17" t="b">
        <f t="shared" si="0"/>
        <v>1</v>
      </c>
      <c r="F38" s="127" t="s">
        <v>551</v>
      </c>
      <c r="G38" s="248" t="s">
        <v>541</v>
      </c>
      <c r="H38" s="128" t="s">
        <v>588</v>
      </c>
      <c r="I38" s="128" t="s">
        <v>626</v>
      </c>
      <c r="J38" s="31"/>
      <c r="K38" s="102" t="s">
        <v>354</v>
      </c>
      <c r="L38" s="90"/>
      <c r="M38" s="111"/>
      <c r="N38" s="112"/>
      <c r="O38" s="113"/>
      <c r="P38" s="112"/>
      <c r="Q38" s="31"/>
      <c r="R38" s="102"/>
      <c r="S38" s="90"/>
      <c r="T38" s="88" t="str">
        <f t="shared" si="1"/>
        <v>NA</v>
      </c>
      <c r="U38" s="88" t="str">
        <f t="shared" si="2"/>
        <v>NA</v>
      </c>
      <c r="V38" s="111"/>
      <c r="W38" s="112"/>
      <c r="X38" s="113"/>
      <c r="Y38" s="112"/>
      <c r="Z38" s="31"/>
      <c r="AA38" s="296"/>
      <c r="AB38" s="89"/>
      <c r="AC38" s="88" t="str">
        <f t="shared" si="3"/>
        <v>NA</v>
      </c>
      <c r="AD38" s="88" t="str">
        <f t="shared" si="4"/>
        <v>NA</v>
      </c>
      <c r="AE38" s="111"/>
      <c r="AF38" s="112"/>
      <c r="AG38" s="113"/>
      <c r="AH38" s="112"/>
      <c r="AI38" s="31"/>
      <c r="AJ38" s="294"/>
      <c r="AK38" s="89"/>
      <c r="AL38" s="88" t="str">
        <f t="shared" si="5"/>
        <v>NA</v>
      </c>
      <c r="AM38" s="88" t="str">
        <f t="shared" si="6"/>
        <v>NA</v>
      </c>
      <c r="AN38" s="111"/>
      <c r="AO38" s="112"/>
      <c r="AP38" s="113"/>
      <c r="AQ38" s="112"/>
      <c r="AR38" s="31"/>
      <c r="AS38" s="32"/>
      <c r="AT38" s="90"/>
      <c r="AU38" s="88"/>
      <c r="AV38" s="88"/>
      <c r="AW38" s="111"/>
      <c r="AX38" s="112"/>
      <c r="AY38" s="113"/>
      <c r="AZ38" s="112"/>
      <c r="BA38" s="31"/>
      <c r="BB38" s="32"/>
      <c r="BC38" s="90"/>
      <c r="BD38" s="88"/>
      <c r="BE38" s="88"/>
      <c r="BF38" s="111"/>
      <c r="BG38" s="112"/>
      <c r="BH38" s="113"/>
      <c r="BI38" s="112"/>
      <c r="BJ38" s="31"/>
      <c r="BK38" s="32"/>
      <c r="BL38" s="90"/>
      <c r="BM38" s="88"/>
      <c r="BN38" s="88"/>
      <c r="BO38" s="111"/>
      <c r="BP38" s="112"/>
      <c r="BQ38" s="113"/>
      <c r="BR38" s="112"/>
      <c r="BS38" s="31"/>
      <c r="BT38" s="32"/>
      <c r="BU38" s="90"/>
      <c r="BV38" s="88"/>
      <c r="BW38" s="88"/>
      <c r="BX38" s="111"/>
      <c r="BY38" s="112"/>
      <c r="BZ38" s="113"/>
      <c r="CA38" s="112"/>
      <c r="CB38" s="31"/>
      <c r="CC38" s="32"/>
      <c r="CD38" s="90"/>
      <c r="CE38" s="88"/>
      <c r="CF38" s="88"/>
      <c r="CG38" s="111"/>
      <c r="CH38" s="112"/>
      <c r="CI38" s="113"/>
      <c r="CJ38" s="112"/>
      <c r="CK38" s="31"/>
      <c r="CL38" s="32"/>
      <c r="CM38" s="90"/>
      <c r="CN38" s="88"/>
      <c r="CO38" s="88"/>
      <c r="CP38" s="111"/>
      <c r="CQ38" s="112"/>
      <c r="CR38" s="113"/>
      <c r="CS38" s="112"/>
      <c r="CT38" s="55"/>
      <c r="CV38" s="230" t="s">
        <v>626</v>
      </c>
      <c r="CX38" s="226" t="s">
        <v>541</v>
      </c>
      <c r="CY38" s="226" t="s">
        <v>1433</v>
      </c>
      <c r="CZ38" s="226" t="s">
        <v>541</v>
      </c>
      <c r="DA38" s="226" t="s">
        <v>541</v>
      </c>
      <c r="DB38" s="226"/>
      <c r="DC38" s="226" t="s">
        <v>541</v>
      </c>
      <c r="DD38" s="226" t="s">
        <v>541</v>
      </c>
      <c r="DE38" s="226" t="s">
        <v>541</v>
      </c>
      <c r="DF38" s="226" t="s">
        <v>541</v>
      </c>
      <c r="DG38" s="226" t="s">
        <v>541</v>
      </c>
      <c r="DH38" s="14"/>
    </row>
    <row r="39" spans="1:112" ht="12.75" customHeight="1" x14ac:dyDescent="0.25">
      <c r="A39" s="17" t="s">
        <v>552</v>
      </c>
      <c r="B39" s="17" t="s">
        <v>541</v>
      </c>
      <c r="C39" s="17" t="s">
        <v>589</v>
      </c>
      <c r="D39" s="17" t="s">
        <v>627</v>
      </c>
      <c r="E39" s="17" t="b">
        <f t="shared" si="0"/>
        <v>1</v>
      </c>
      <c r="F39" s="127" t="s">
        <v>552</v>
      </c>
      <c r="G39" s="248" t="s">
        <v>541</v>
      </c>
      <c r="H39" s="128" t="s">
        <v>589</v>
      </c>
      <c r="I39" s="128" t="s">
        <v>627</v>
      </c>
      <c r="J39" s="31"/>
      <c r="K39" s="102" t="s">
        <v>583</v>
      </c>
      <c r="L39" s="90"/>
      <c r="M39" s="111"/>
      <c r="N39" s="112"/>
      <c r="O39" s="113"/>
      <c r="P39" s="112"/>
      <c r="Q39" s="31"/>
      <c r="R39" s="102"/>
      <c r="S39" s="90"/>
      <c r="T39" s="88" t="str">
        <f t="shared" si="1"/>
        <v>NA</v>
      </c>
      <c r="U39" s="88" t="str">
        <f t="shared" si="2"/>
        <v>NA</v>
      </c>
      <c r="V39" s="111"/>
      <c r="W39" s="112"/>
      <c r="X39" s="113"/>
      <c r="Y39" s="112"/>
      <c r="Z39" s="31"/>
      <c r="AA39" s="296"/>
      <c r="AB39" s="89"/>
      <c r="AC39" s="88" t="str">
        <f t="shared" si="3"/>
        <v>NA</v>
      </c>
      <c r="AD39" s="88" t="str">
        <f t="shared" si="4"/>
        <v>NA</v>
      </c>
      <c r="AE39" s="111"/>
      <c r="AF39" s="112"/>
      <c r="AG39" s="113"/>
      <c r="AH39" s="112"/>
      <c r="AI39" s="31"/>
      <c r="AJ39" s="294"/>
      <c r="AK39" s="89"/>
      <c r="AL39" s="88" t="str">
        <f t="shared" si="5"/>
        <v>NA</v>
      </c>
      <c r="AM39" s="88" t="str">
        <f t="shared" si="6"/>
        <v>NA</v>
      </c>
      <c r="AN39" s="111"/>
      <c r="AO39" s="112"/>
      <c r="AP39" s="113"/>
      <c r="AQ39" s="112"/>
      <c r="AR39" s="31"/>
      <c r="AS39" s="32"/>
      <c r="AT39" s="90"/>
      <c r="AU39" s="88"/>
      <c r="AV39" s="88"/>
      <c r="AW39" s="111"/>
      <c r="AX39" s="112"/>
      <c r="AY39" s="113"/>
      <c r="AZ39" s="112"/>
      <c r="BA39" s="31"/>
      <c r="BB39" s="32"/>
      <c r="BC39" s="90"/>
      <c r="BD39" s="88"/>
      <c r="BE39" s="88"/>
      <c r="BF39" s="111"/>
      <c r="BG39" s="112"/>
      <c r="BH39" s="113"/>
      <c r="BI39" s="112"/>
      <c r="BJ39" s="31"/>
      <c r="BK39" s="32"/>
      <c r="BL39" s="90"/>
      <c r="BM39" s="88"/>
      <c r="BN39" s="88"/>
      <c r="BO39" s="111"/>
      <c r="BP39" s="112"/>
      <c r="BQ39" s="113"/>
      <c r="BR39" s="112"/>
      <c r="BS39" s="31"/>
      <c r="BT39" s="32"/>
      <c r="BU39" s="90"/>
      <c r="BV39" s="88"/>
      <c r="BW39" s="88"/>
      <c r="BX39" s="111"/>
      <c r="BY39" s="112"/>
      <c r="BZ39" s="113"/>
      <c r="CA39" s="112"/>
      <c r="CB39" s="31"/>
      <c r="CC39" s="32"/>
      <c r="CD39" s="90"/>
      <c r="CE39" s="88"/>
      <c r="CF39" s="88"/>
      <c r="CG39" s="111"/>
      <c r="CH39" s="112"/>
      <c r="CI39" s="113"/>
      <c r="CJ39" s="112"/>
      <c r="CK39" s="31"/>
      <c r="CL39" s="32"/>
      <c r="CM39" s="90"/>
      <c r="CN39" s="88"/>
      <c r="CO39" s="88"/>
      <c r="CP39" s="111"/>
      <c r="CQ39" s="112"/>
      <c r="CR39" s="113"/>
      <c r="CS39" s="112"/>
      <c r="CT39" s="55"/>
      <c r="CV39" s="230" t="s">
        <v>627</v>
      </c>
      <c r="CX39" s="226" t="s">
        <v>541</v>
      </c>
      <c r="CY39" s="226" t="s">
        <v>1434</v>
      </c>
      <c r="CZ39" s="226" t="s">
        <v>541</v>
      </c>
      <c r="DA39" s="226" t="s">
        <v>541</v>
      </c>
      <c r="DB39" s="226"/>
      <c r="DC39" s="226" t="s">
        <v>541</v>
      </c>
      <c r="DD39" s="226" t="s">
        <v>541</v>
      </c>
      <c r="DE39" s="226" t="s">
        <v>541</v>
      </c>
      <c r="DF39" s="226" t="s">
        <v>541</v>
      </c>
      <c r="DG39" s="226" t="s">
        <v>541</v>
      </c>
      <c r="DH39" s="14"/>
    </row>
    <row r="40" spans="1:112" ht="12.75" customHeight="1" x14ac:dyDescent="0.25">
      <c r="A40" s="17" t="s">
        <v>1004</v>
      </c>
      <c r="B40" s="17" t="s">
        <v>1265</v>
      </c>
      <c r="C40" s="17" t="s">
        <v>1367</v>
      </c>
      <c r="D40" s="17" t="s">
        <v>739</v>
      </c>
      <c r="E40" s="17" t="b">
        <f t="shared" si="0"/>
        <v>1</v>
      </c>
      <c r="F40" s="232" t="s">
        <v>2074</v>
      </c>
      <c r="G40" s="277" t="s">
        <v>2145</v>
      </c>
      <c r="H40" s="128" t="s">
        <v>1367</v>
      </c>
      <c r="I40" s="233" t="s">
        <v>739</v>
      </c>
      <c r="J40" s="31"/>
      <c r="K40" s="102" t="s">
        <v>354</v>
      </c>
      <c r="L40" s="90"/>
      <c r="M40" s="111"/>
      <c r="N40" s="112"/>
      <c r="O40" s="113"/>
      <c r="P40" s="112"/>
      <c r="Q40" s="31"/>
      <c r="R40" s="102"/>
      <c r="S40" s="90"/>
      <c r="T40" s="88" t="str">
        <f t="shared" si="1"/>
        <v>NA</v>
      </c>
      <c r="U40" s="88" t="str">
        <f t="shared" si="2"/>
        <v>NA</v>
      </c>
      <c r="V40" s="111"/>
      <c r="W40" s="112"/>
      <c r="X40" s="113"/>
      <c r="Y40" s="112"/>
      <c r="Z40" s="31"/>
      <c r="AA40" s="296"/>
      <c r="AB40" s="89"/>
      <c r="AC40" s="88" t="str">
        <f t="shared" ref="AC40:AC41" si="11">IF(LEFT(AB40,1)&lt;&gt;"x","NA",IF(RIGHT(AA40,3)=RIGHT(R40,3),IF(RIGHT(AA40,3)&lt;&gt;RIGHT(K40,3),IF(OR(AND(RIGHT(AA40,3)=RIGHT(R40,3),AB40=S40),AND(RIGHT(AA40,3)=RIGHT(K40,3),AB40=L40)),"NO","YES"),"NO"),IF(OR(RIGHT(AA40,3)=RIGHT(R40,3),RIGHT(AA40,3)=RIGHT(K40,3)),"ERROR","YES")))</f>
        <v>NA</v>
      </c>
      <c r="AD40" s="88" t="str">
        <f t="shared" ref="AD40:AD41" si="12">IF(LEFT(S40,1)&lt;&gt;LEFT(AB40,1),"YES",IF(LEFT(AB40,1)="x","NO","NA"))</f>
        <v>NA</v>
      </c>
      <c r="AE40" s="111"/>
      <c r="AF40" s="112"/>
      <c r="AG40" s="113"/>
      <c r="AH40" s="112"/>
      <c r="AI40" s="31"/>
      <c r="AJ40" s="294"/>
      <c r="AK40" s="89"/>
      <c r="AL40" s="88" t="str">
        <f t="shared" si="5"/>
        <v>NA</v>
      </c>
      <c r="AM40" s="88" t="str">
        <f t="shared" si="6"/>
        <v>NA</v>
      </c>
      <c r="AN40" s="111"/>
      <c r="AO40" s="112"/>
      <c r="AP40" s="113"/>
      <c r="AQ40" s="112"/>
      <c r="AR40" s="31"/>
      <c r="AS40" s="32"/>
      <c r="AT40" s="90"/>
      <c r="AU40" s="88"/>
      <c r="AV40" s="88"/>
      <c r="AW40" s="111"/>
      <c r="AX40" s="112"/>
      <c r="AY40" s="113"/>
      <c r="AZ40" s="112"/>
      <c r="BA40" s="31"/>
      <c r="BB40" s="32"/>
      <c r="BC40" s="90"/>
      <c r="BD40" s="88"/>
      <c r="BE40" s="88"/>
      <c r="BF40" s="111"/>
      <c r="BG40" s="112"/>
      <c r="BH40" s="113"/>
      <c r="BI40" s="112"/>
      <c r="BJ40" s="31"/>
      <c r="BK40" s="32"/>
      <c r="BL40" s="90"/>
      <c r="BM40" s="88"/>
      <c r="BN40" s="88"/>
      <c r="BO40" s="111"/>
      <c r="BP40" s="112"/>
      <c r="BQ40" s="113"/>
      <c r="BR40" s="112"/>
      <c r="BS40" s="31"/>
      <c r="BT40" s="32"/>
      <c r="BU40" s="90"/>
      <c r="BV40" s="88"/>
      <c r="BW40" s="88"/>
      <c r="BX40" s="111"/>
      <c r="BY40" s="112"/>
      <c r="BZ40" s="113"/>
      <c r="CA40" s="112"/>
      <c r="CB40" s="31"/>
      <c r="CC40" s="32"/>
      <c r="CD40" s="90"/>
      <c r="CE40" s="88"/>
      <c r="CF40" s="88"/>
      <c r="CG40" s="111"/>
      <c r="CH40" s="112"/>
      <c r="CI40" s="113"/>
      <c r="CJ40" s="112"/>
      <c r="CK40" s="31"/>
      <c r="CL40" s="32"/>
      <c r="CM40" s="90"/>
      <c r="CN40" s="88"/>
      <c r="CO40" s="88"/>
      <c r="CP40" s="111"/>
      <c r="CQ40" s="112"/>
      <c r="CR40" s="113"/>
      <c r="CS40" s="112"/>
      <c r="CT40" s="55"/>
      <c r="CV40" s="230"/>
      <c r="CX40" s="226" t="s">
        <v>1424</v>
      </c>
      <c r="CY40" s="226" t="s">
        <v>1435</v>
      </c>
      <c r="CZ40" s="226" t="s">
        <v>541</v>
      </c>
      <c r="DA40" s="226" t="s">
        <v>541</v>
      </c>
      <c r="DB40" s="226"/>
      <c r="DC40" s="226" t="s">
        <v>541</v>
      </c>
      <c r="DD40" s="226" t="s">
        <v>1421</v>
      </c>
      <c r="DE40" s="226" t="s">
        <v>541</v>
      </c>
      <c r="DF40" s="226" t="s">
        <v>541</v>
      </c>
      <c r="DG40" s="226" t="s">
        <v>541</v>
      </c>
      <c r="DH40" s="14"/>
    </row>
    <row r="41" spans="1:112" ht="26" x14ac:dyDescent="0.25">
      <c r="A41" s="17" t="s">
        <v>1004</v>
      </c>
      <c r="B41" s="17" t="s">
        <v>1266</v>
      </c>
      <c r="C41" s="17" t="s">
        <v>1368</v>
      </c>
      <c r="D41" s="17" t="s">
        <v>740</v>
      </c>
      <c r="E41" s="17" t="b">
        <f t="shared" si="0"/>
        <v>1</v>
      </c>
      <c r="F41" s="232" t="s">
        <v>2074</v>
      </c>
      <c r="G41" s="277" t="s">
        <v>2146</v>
      </c>
      <c r="H41" s="128" t="s">
        <v>1368</v>
      </c>
      <c r="I41" s="233" t="s">
        <v>740</v>
      </c>
      <c r="J41" s="31"/>
      <c r="K41" s="102" t="s">
        <v>354</v>
      </c>
      <c r="L41" s="90" t="s">
        <v>2417</v>
      </c>
      <c r="M41" s="111" t="s">
        <v>2470</v>
      </c>
      <c r="N41" s="112"/>
      <c r="O41" s="113"/>
      <c r="P41" s="112"/>
      <c r="Q41" s="31"/>
      <c r="R41" s="102"/>
      <c r="S41" s="90"/>
      <c r="T41" s="88" t="str">
        <f t="shared" si="1"/>
        <v>NA</v>
      </c>
      <c r="U41" s="88" t="str">
        <f t="shared" si="2"/>
        <v>YES</v>
      </c>
      <c r="V41" s="111"/>
      <c r="W41" s="112"/>
      <c r="X41" s="113"/>
      <c r="Y41" s="112"/>
      <c r="Z41" s="31"/>
      <c r="AA41" s="296"/>
      <c r="AB41" s="89"/>
      <c r="AC41" s="88" t="str">
        <f t="shared" si="11"/>
        <v>NA</v>
      </c>
      <c r="AD41" s="88" t="str">
        <f t="shared" si="12"/>
        <v>NA</v>
      </c>
      <c r="AE41" s="111"/>
      <c r="AF41" s="112"/>
      <c r="AG41" s="113"/>
      <c r="AH41" s="112"/>
      <c r="AI41" s="31"/>
      <c r="AJ41" s="294"/>
      <c r="AK41" s="89"/>
      <c r="AL41" s="88" t="str">
        <f t="shared" si="5"/>
        <v>NA</v>
      </c>
      <c r="AM41" s="88" t="str">
        <f t="shared" si="6"/>
        <v>NA</v>
      </c>
      <c r="AN41" s="111"/>
      <c r="AO41" s="112"/>
      <c r="AP41" s="113"/>
      <c r="AQ41" s="112"/>
      <c r="AR41" s="31"/>
      <c r="AS41" s="32"/>
      <c r="AT41" s="90"/>
      <c r="AU41" s="88"/>
      <c r="AV41" s="88"/>
      <c r="AW41" s="111"/>
      <c r="AX41" s="112"/>
      <c r="AY41" s="113"/>
      <c r="AZ41" s="112"/>
      <c r="BA41" s="31"/>
      <c r="BB41" s="32"/>
      <c r="BC41" s="90"/>
      <c r="BD41" s="88"/>
      <c r="BE41" s="88"/>
      <c r="BF41" s="111"/>
      <c r="BG41" s="112"/>
      <c r="BH41" s="113"/>
      <c r="BI41" s="112"/>
      <c r="BJ41" s="31"/>
      <c r="BK41" s="32"/>
      <c r="BL41" s="90"/>
      <c r="BM41" s="88"/>
      <c r="BN41" s="88"/>
      <c r="BO41" s="111"/>
      <c r="BP41" s="112"/>
      <c r="BQ41" s="113"/>
      <c r="BR41" s="112"/>
      <c r="BS41" s="31"/>
      <c r="BT41" s="32"/>
      <c r="BU41" s="90"/>
      <c r="BV41" s="88"/>
      <c r="BW41" s="88"/>
      <c r="BX41" s="111"/>
      <c r="BY41" s="112"/>
      <c r="BZ41" s="113"/>
      <c r="CA41" s="112"/>
      <c r="CB41" s="31"/>
      <c r="CC41" s="32"/>
      <c r="CD41" s="90"/>
      <c r="CE41" s="88"/>
      <c r="CF41" s="88"/>
      <c r="CG41" s="111"/>
      <c r="CH41" s="112"/>
      <c r="CI41" s="113"/>
      <c r="CJ41" s="112"/>
      <c r="CK41" s="31"/>
      <c r="CL41" s="32"/>
      <c r="CM41" s="90"/>
      <c r="CN41" s="88"/>
      <c r="CO41" s="88"/>
      <c r="CP41" s="111"/>
      <c r="CQ41" s="112"/>
      <c r="CR41" s="113"/>
      <c r="CS41" s="112"/>
      <c r="CT41" s="55"/>
      <c r="CV41" s="230"/>
      <c r="CX41" s="226" t="s">
        <v>541</v>
      </c>
      <c r="CY41" s="226" t="s">
        <v>1436</v>
      </c>
      <c r="CZ41" s="226" t="s">
        <v>541</v>
      </c>
      <c r="DA41" s="226" t="s">
        <v>541</v>
      </c>
      <c r="DB41" s="226"/>
      <c r="DC41" s="226" t="s">
        <v>541</v>
      </c>
      <c r="DD41" s="226" t="s">
        <v>541</v>
      </c>
      <c r="DE41" s="226" t="s">
        <v>541</v>
      </c>
      <c r="DF41" s="226" t="s">
        <v>541</v>
      </c>
      <c r="DG41" s="226" t="s">
        <v>541</v>
      </c>
      <c r="DH41" s="14"/>
    </row>
    <row r="42" spans="1:112" ht="12.75" customHeight="1" x14ac:dyDescent="0.25">
      <c r="A42" s="17" t="s">
        <v>553</v>
      </c>
      <c r="B42" s="17" t="s">
        <v>541</v>
      </c>
      <c r="C42" s="17" t="s">
        <v>590</v>
      </c>
      <c r="D42" s="17" t="s">
        <v>628</v>
      </c>
      <c r="E42" s="17" t="b">
        <f t="shared" si="0"/>
        <v>1</v>
      </c>
      <c r="F42" s="127" t="s">
        <v>553</v>
      </c>
      <c r="G42" s="248" t="s">
        <v>541</v>
      </c>
      <c r="H42" s="128" t="s">
        <v>590</v>
      </c>
      <c r="I42" s="128" t="s">
        <v>628</v>
      </c>
      <c r="J42" s="31"/>
      <c r="K42" s="102" t="s">
        <v>354</v>
      </c>
      <c r="L42" s="90" t="s">
        <v>31</v>
      </c>
      <c r="M42" s="111" t="s">
        <v>2470</v>
      </c>
      <c r="N42" s="112"/>
      <c r="O42" s="113"/>
      <c r="P42" s="112"/>
      <c r="Q42" s="31"/>
      <c r="R42" s="102"/>
      <c r="S42" s="90"/>
      <c r="T42" s="88" t="str">
        <f t="shared" si="1"/>
        <v>NA</v>
      </c>
      <c r="U42" s="88" t="str">
        <f t="shared" si="2"/>
        <v>YES</v>
      </c>
      <c r="V42" s="111"/>
      <c r="W42" s="112"/>
      <c r="X42" s="113"/>
      <c r="Y42" s="112"/>
      <c r="Z42" s="31"/>
      <c r="AA42" s="296"/>
      <c r="AB42" s="89"/>
      <c r="AC42" s="88" t="str">
        <f t="shared" si="3"/>
        <v>NA</v>
      </c>
      <c r="AD42" s="88" t="str">
        <f t="shared" si="4"/>
        <v>NA</v>
      </c>
      <c r="AE42" s="111"/>
      <c r="AF42" s="112"/>
      <c r="AG42" s="113"/>
      <c r="AH42" s="112"/>
      <c r="AI42" s="31"/>
      <c r="AJ42" s="294"/>
      <c r="AK42" s="89"/>
      <c r="AL42" s="88" t="str">
        <f t="shared" si="5"/>
        <v>NA</v>
      </c>
      <c r="AM42" s="88" t="str">
        <f t="shared" si="6"/>
        <v>NA</v>
      </c>
      <c r="AN42" s="111"/>
      <c r="AO42" s="112"/>
      <c r="AP42" s="113"/>
      <c r="AQ42" s="112"/>
      <c r="AR42" s="31"/>
      <c r="AS42" s="32"/>
      <c r="AT42" s="90"/>
      <c r="AU42" s="88"/>
      <c r="AV42" s="88"/>
      <c r="AW42" s="111"/>
      <c r="AX42" s="112"/>
      <c r="AY42" s="113"/>
      <c r="AZ42" s="112"/>
      <c r="BA42" s="31"/>
      <c r="BB42" s="32"/>
      <c r="BC42" s="90"/>
      <c r="BD42" s="88"/>
      <c r="BE42" s="88"/>
      <c r="BF42" s="111"/>
      <c r="BG42" s="112"/>
      <c r="BH42" s="113"/>
      <c r="BI42" s="112"/>
      <c r="BJ42" s="31"/>
      <c r="BK42" s="32"/>
      <c r="BL42" s="90"/>
      <c r="BM42" s="88"/>
      <c r="BN42" s="88"/>
      <c r="BO42" s="111"/>
      <c r="BP42" s="112"/>
      <c r="BQ42" s="113"/>
      <c r="BR42" s="112"/>
      <c r="BS42" s="31"/>
      <c r="BT42" s="32"/>
      <c r="BU42" s="90"/>
      <c r="BV42" s="88"/>
      <c r="BW42" s="88"/>
      <c r="BX42" s="111"/>
      <c r="BY42" s="112"/>
      <c r="BZ42" s="113"/>
      <c r="CA42" s="112"/>
      <c r="CB42" s="31"/>
      <c r="CC42" s="32"/>
      <c r="CD42" s="90"/>
      <c r="CE42" s="88"/>
      <c r="CF42" s="88"/>
      <c r="CG42" s="111"/>
      <c r="CH42" s="112"/>
      <c r="CI42" s="113"/>
      <c r="CJ42" s="112"/>
      <c r="CK42" s="31"/>
      <c r="CL42" s="32"/>
      <c r="CM42" s="90"/>
      <c r="CN42" s="88"/>
      <c r="CO42" s="88"/>
      <c r="CP42" s="111"/>
      <c r="CQ42" s="112"/>
      <c r="CR42" s="113"/>
      <c r="CS42" s="112"/>
      <c r="CT42" s="55"/>
      <c r="CV42" s="230" t="s">
        <v>628</v>
      </c>
      <c r="CX42" s="226" t="s">
        <v>541</v>
      </c>
      <c r="CY42" s="226" t="s">
        <v>1437</v>
      </c>
      <c r="CZ42" s="226" t="s">
        <v>541</v>
      </c>
      <c r="DA42" s="226" t="s">
        <v>541</v>
      </c>
      <c r="DB42" s="226"/>
      <c r="DC42" s="226" t="s">
        <v>541</v>
      </c>
      <c r="DD42" s="226" t="s">
        <v>541</v>
      </c>
      <c r="DE42" s="226" t="s">
        <v>541</v>
      </c>
      <c r="DF42" s="226" t="s">
        <v>541</v>
      </c>
      <c r="DG42" s="226" t="s">
        <v>541</v>
      </c>
      <c r="DH42" s="14"/>
    </row>
    <row r="43" spans="1:112" ht="13" x14ac:dyDescent="0.25">
      <c r="A43" s="17" t="s">
        <v>1004</v>
      </c>
      <c r="B43" s="17" t="s">
        <v>1267</v>
      </c>
      <c r="C43" s="17" t="s">
        <v>1369</v>
      </c>
      <c r="D43" s="17" t="s">
        <v>1274</v>
      </c>
      <c r="E43" s="17" t="b">
        <f t="shared" si="0"/>
        <v>1</v>
      </c>
      <c r="F43" s="232" t="s">
        <v>2075</v>
      </c>
      <c r="G43" s="277" t="s">
        <v>2147</v>
      </c>
      <c r="H43" s="128" t="s">
        <v>1369</v>
      </c>
      <c r="I43" s="233" t="s">
        <v>1274</v>
      </c>
      <c r="J43" s="31"/>
      <c r="K43" s="102" t="s">
        <v>354</v>
      </c>
      <c r="L43" s="90" t="s">
        <v>31</v>
      </c>
      <c r="M43" s="111" t="s">
        <v>2470</v>
      </c>
      <c r="N43" s="112"/>
      <c r="O43" s="113"/>
      <c r="P43" s="112"/>
      <c r="Q43" s="31"/>
      <c r="R43" s="102"/>
      <c r="S43" s="90"/>
      <c r="T43" s="88" t="str">
        <f t="shared" si="1"/>
        <v>NA</v>
      </c>
      <c r="U43" s="88" t="str">
        <f t="shared" si="2"/>
        <v>YES</v>
      </c>
      <c r="V43" s="111"/>
      <c r="W43" s="112"/>
      <c r="X43" s="113"/>
      <c r="Y43" s="112"/>
      <c r="Z43" s="31"/>
      <c r="AA43" s="296"/>
      <c r="AB43" s="89"/>
      <c r="AC43" s="88" t="str">
        <f t="shared" ref="AC43:AC49" si="13">IF(LEFT(AB43,1)&lt;&gt;"x","NA",IF(RIGHT(AA43,3)=RIGHT(R43,3),IF(RIGHT(AA43,3)&lt;&gt;RIGHT(K43,3),IF(OR(AND(RIGHT(AA43,3)=RIGHT(R43,3),AB43=S43),AND(RIGHT(AA43,3)=RIGHT(K43,3),AB43=L43)),"NO","YES"),"NO"),IF(OR(RIGHT(AA43,3)=RIGHT(R43,3),RIGHT(AA43,3)=RIGHT(K43,3)),"ERROR","YES")))</f>
        <v>NA</v>
      </c>
      <c r="AD43" s="88" t="str">
        <f t="shared" ref="AD43:AD49" si="14">IF(LEFT(S43,1)&lt;&gt;LEFT(AB43,1),"YES",IF(LEFT(AB43,1)="x","NO","NA"))</f>
        <v>NA</v>
      </c>
      <c r="AE43" s="111"/>
      <c r="AF43" s="112"/>
      <c r="AG43" s="113"/>
      <c r="AH43" s="112"/>
      <c r="AI43" s="31"/>
      <c r="AJ43" s="294"/>
      <c r="AK43" s="89"/>
      <c r="AL43" s="88" t="str">
        <f t="shared" si="5"/>
        <v>NA</v>
      </c>
      <c r="AM43" s="88" t="str">
        <f t="shared" si="6"/>
        <v>NA</v>
      </c>
      <c r="AN43" s="111"/>
      <c r="AO43" s="112"/>
      <c r="AP43" s="113"/>
      <c r="AQ43" s="112"/>
      <c r="AR43" s="31"/>
      <c r="AS43" s="32"/>
      <c r="AT43" s="90"/>
      <c r="AU43" s="88"/>
      <c r="AV43" s="88"/>
      <c r="AW43" s="111"/>
      <c r="AX43" s="112"/>
      <c r="AY43" s="113"/>
      <c r="AZ43" s="112"/>
      <c r="BA43" s="31"/>
      <c r="BB43" s="32"/>
      <c r="BC43" s="90"/>
      <c r="BD43" s="88"/>
      <c r="BE43" s="88"/>
      <c r="BF43" s="111"/>
      <c r="BG43" s="112"/>
      <c r="BH43" s="113"/>
      <c r="BI43" s="112"/>
      <c r="BJ43" s="31"/>
      <c r="BK43" s="32"/>
      <c r="BL43" s="90"/>
      <c r="BM43" s="88"/>
      <c r="BN43" s="88"/>
      <c r="BO43" s="111"/>
      <c r="BP43" s="112"/>
      <c r="BQ43" s="113"/>
      <c r="BR43" s="112"/>
      <c r="BS43" s="31"/>
      <c r="BT43" s="32"/>
      <c r="BU43" s="90"/>
      <c r="BV43" s="88"/>
      <c r="BW43" s="88"/>
      <c r="BX43" s="111"/>
      <c r="BY43" s="112"/>
      <c r="BZ43" s="113"/>
      <c r="CA43" s="112"/>
      <c r="CB43" s="31"/>
      <c r="CC43" s="32"/>
      <c r="CD43" s="90"/>
      <c r="CE43" s="88"/>
      <c r="CF43" s="88"/>
      <c r="CG43" s="111"/>
      <c r="CH43" s="112"/>
      <c r="CI43" s="113"/>
      <c r="CJ43" s="112"/>
      <c r="CK43" s="31"/>
      <c r="CL43" s="32"/>
      <c r="CM43" s="90"/>
      <c r="CN43" s="88"/>
      <c r="CO43" s="88"/>
      <c r="CP43" s="111"/>
      <c r="CQ43" s="112"/>
      <c r="CR43" s="113"/>
      <c r="CS43" s="112"/>
      <c r="CT43" s="55"/>
      <c r="CV43" s="230"/>
      <c r="CX43" s="226" t="s">
        <v>541</v>
      </c>
      <c r="CY43" s="226" t="s">
        <v>1437</v>
      </c>
      <c r="CZ43" s="226" t="s">
        <v>541</v>
      </c>
      <c r="DA43" s="226" t="s">
        <v>541</v>
      </c>
      <c r="DB43" s="226"/>
      <c r="DC43" s="226" t="s">
        <v>541</v>
      </c>
      <c r="DD43" s="226" t="s">
        <v>541</v>
      </c>
      <c r="DE43" s="226" t="s">
        <v>541</v>
      </c>
      <c r="DF43" s="226" t="s">
        <v>541</v>
      </c>
      <c r="DG43" s="226" t="s">
        <v>541</v>
      </c>
      <c r="DH43" s="14"/>
    </row>
    <row r="44" spans="1:112" ht="26" x14ac:dyDescent="0.25">
      <c r="A44" s="17" t="s">
        <v>1004</v>
      </c>
      <c r="B44" s="17" t="s">
        <v>1268</v>
      </c>
      <c r="C44" s="17" t="s">
        <v>1370</v>
      </c>
      <c r="D44" s="17" t="s">
        <v>1275</v>
      </c>
      <c r="E44" s="17" t="b">
        <f t="shared" si="0"/>
        <v>1</v>
      </c>
      <c r="F44" s="232" t="s">
        <v>2076</v>
      </c>
      <c r="G44" s="277" t="s">
        <v>2148</v>
      </c>
      <c r="H44" s="128" t="s">
        <v>1370</v>
      </c>
      <c r="I44" s="233" t="s">
        <v>1275</v>
      </c>
      <c r="J44" s="31"/>
      <c r="K44" s="102" t="s">
        <v>354</v>
      </c>
      <c r="L44" s="90"/>
      <c r="M44" s="111"/>
      <c r="N44" s="112"/>
      <c r="O44" s="113"/>
      <c r="P44" s="112"/>
      <c r="Q44" s="31"/>
      <c r="R44" s="102"/>
      <c r="S44" s="90"/>
      <c r="T44" s="88" t="str">
        <f t="shared" si="1"/>
        <v>NA</v>
      </c>
      <c r="U44" s="88" t="str">
        <f t="shared" si="2"/>
        <v>NA</v>
      </c>
      <c r="V44" s="111"/>
      <c r="W44" s="112"/>
      <c r="X44" s="113"/>
      <c r="Y44" s="112"/>
      <c r="Z44" s="31"/>
      <c r="AA44" s="296"/>
      <c r="AB44" s="89"/>
      <c r="AC44" s="88" t="str">
        <f t="shared" si="13"/>
        <v>NA</v>
      </c>
      <c r="AD44" s="88" t="str">
        <f t="shared" si="14"/>
        <v>NA</v>
      </c>
      <c r="AE44" s="111"/>
      <c r="AF44" s="112"/>
      <c r="AG44" s="113"/>
      <c r="AH44" s="112"/>
      <c r="AI44" s="31"/>
      <c r="AJ44" s="294"/>
      <c r="AK44" s="89"/>
      <c r="AL44" s="88" t="str">
        <f t="shared" si="5"/>
        <v>NA</v>
      </c>
      <c r="AM44" s="88" t="str">
        <f t="shared" si="6"/>
        <v>NA</v>
      </c>
      <c r="AN44" s="111"/>
      <c r="AO44" s="112"/>
      <c r="AP44" s="113"/>
      <c r="AQ44" s="112"/>
      <c r="AR44" s="31"/>
      <c r="AS44" s="32"/>
      <c r="AT44" s="90"/>
      <c r="AU44" s="88"/>
      <c r="AV44" s="88"/>
      <c r="AW44" s="111"/>
      <c r="AX44" s="112"/>
      <c r="AY44" s="113"/>
      <c r="AZ44" s="112"/>
      <c r="BA44" s="31"/>
      <c r="BB44" s="32"/>
      <c r="BC44" s="90"/>
      <c r="BD44" s="88"/>
      <c r="BE44" s="88"/>
      <c r="BF44" s="111"/>
      <c r="BG44" s="112"/>
      <c r="BH44" s="113"/>
      <c r="BI44" s="112"/>
      <c r="BJ44" s="31"/>
      <c r="BK44" s="32"/>
      <c r="BL44" s="90"/>
      <c r="BM44" s="88"/>
      <c r="BN44" s="88"/>
      <c r="BO44" s="111"/>
      <c r="BP44" s="112"/>
      <c r="BQ44" s="113"/>
      <c r="BR44" s="112"/>
      <c r="BS44" s="31"/>
      <c r="BT44" s="32"/>
      <c r="BU44" s="90"/>
      <c r="BV44" s="88"/>
      <c r="BW44" s="88"/>
      <c r="BX44" s="111"/>
      <c r="BY44" s="112"/>
      <c r="BZ44" s="113"/>
      <c r="CA44" s="112"/>
      <c r="CB44" s="31"/>
      <c r="CC44" s="32"/>
      <c r="CD44" s="90"/>
      <c r="CE44" s="88"/>
      <c r="CF44" s="88"/>
      <c r="CG44" s="111"/>
      <c r="CH44" s="112"/>
      <c r="CI44" s="113"/>
      <c r="CJ44" s="112"/>
      <c r="CK44" s="31"/>
      <c r="CL44" s="32"/>
      <c r="CM44" s="90"/>
      <c r="CN44" s="88"/>
      <c r="CO44" s="88"/>
      <c r="CP44" s="111"/>
      <c r="CQ44" s="112"/>
      <c r="CR44" s="113"/>
      <c r="CS44" s="112"/>
      <c r="CT44" s="55"/>
      <c r="CV44" s="230"/>
      <c r="CX44" s="226" t="s">
        <v>1424</v>
      </c>
      <c r="CY44" s="226" t="s">
        <v>1437</v>
      </c>
      <c r="CZ44" s="226" t="s">
        <v>541</v>
      </c>
      <c r="DA44" s="226" t="s">
        <v>541</v>
      </c>
      <c r="DB44" s="226"/>
      <c r="DC44" s="226" t="s">
        <v>541</v>
      </c>
      <c r="DD44" s="226" t="s">
        <v>541</v>
      </c>
      <c r="DE44" s="226" t="s">
        <v>541</v>
      </c>
      <c r="DF44" s="226" t="s">
        <v>541</v>
      </c>
      <c r="DG44" s="226" t="s">
        <v>541</v>
      </c>
      <c r="DH44" s="14"/>
    </row>
    <row r="45" spans="1:112" ht="26" x14ac:dyDescent="0.25">
      <c r="A45" s="17" t="s">
        <v>1004</v>
      </c>
      <c r="B45" s="17" t="s">
        <v>1269</v>
      </c>
      <c r="C45" s="17" t="s">
        <v>1372</v>
      </c>
      <c r="D45" s="17" t="s">
        <v>1276</v>
      </c>
      <c r="E45" s="17" t="b">
        <f t="shared" si="0"/>
        <v>1</v>
      </c>
      <c r="F45" s="232" t="s">
        <v>2077</v>
      </c>
      <c r="G45" s="277" t="s">
        <v>2149</v>
      </c>
      <c r="H45" s="128" t="s">
        <v>1372</v>
      </c>
      <c r="I45" s="233" t="s">
        <v>1276</v>
      </c>
      <c r="J45" s="31"/>
      <c r="K45" s="102" t="s">
        <v>354</v>
      </c>
      <c r="L45" s="90"/>
      <c r="M45" s="111"/>
      <c r="N45" s="112"/>
      <c r="O45" s="113"/>
      <c r="P45" s="112"/>
      <c r="Q45" s="31"/>
      <c r="R45" s="102"/>
      <c r="S45" s="90"/>
      <c r="T45" s="88" t="str">
        <f t="shared" si="1"/>
        <v>NA</v>
      </c>
      <c r="U45" s="88" t="str">
        <f t="shared" si="2"/>
        <v>NA</v>
      </c>
      <c r="V45" s="111"/>
      <c r="W45" s="112"/>
      <c r="X45" s="113"/>
      <c r="Y45" s="112"/>
      <c r="Z45" s="31"/>
      <c r="AA45" s="296"/>
      <c r="AB45" s="89"/>
      <c r="AC45" s="88" t="str">
        <f t="shared" si="13"/>
        <v>NA</v>
      </c>
      <c r="AD45" s="88" t="str">
        <f t="shared" si="14"/>
        <v>NA</v>
      </c>
      <c r="AE45" s="111"/>
      <c r="AF45" s="112"/>
      <c r="AG45" s="113"/>
      <c r="AH45" s="112"/>
      <c r="AI45" s="31"/>
      <c r="AJ45" s="294"/>
      <c r="AK45" s="89"/>
      <c r="AL45" s="88" t="str">
        <f t="shared" si="5"/>
        <v>NA</v>
      </c>
      <c r="AM45" s="88" t="str">
        <f t="shared" si="6"/>
        <v>NA</v>
      </c>
      <c r="AN45" s="111"/>
      <c r="AO45" s="112"/>
      <c r="AP45" s="113"/>
      <c r="AQ45" s="112"/>
      <c r="AR45" s="31"/>
      <c r="AS45" s="32"/>
      <c r="AT45" s="90"/>
      <c r="AU45" s="88"/>
      <c r="AV45" s="88"/>
      <c r="AW45" s="111"/>
      <c r="AX45" s="112"/>
      <c r="AY45" s="113"/>
      <c r="AZ45" s="112"/>
      <c r="BA45" s="31"/>
      <c r="BB45" s="32"/>
      <c r="BC45" s="90"/>
      <c r="BD45" s="88"/>
      <c r="BE45" s="88"/>
      <c r="BF45" s="111"/>
      <c r="BG45" s="112"/>
      <c r="BH45" s="113"/>
      <c r="BI45" s="112"/>
      <c r="BJ45" s="31"/>
      <c r="BK45" s="32"/>
      <c r="BL45" s="90"/>
      <c r="BM45" s="88"/>
      <c r="BN45" s="88"/>
      <c r="BO45" s="111"/>
      <c r="BP45" s="112"/>
      <c r="BQ45" s="113"/>
      <c r="BR45" s="112"/>
      <c r="BS45" s="31"/>
      <c r="BT45" s="32"/>
      <c r="BU45" s="90"/>
      <c r="BV45" s="88"/>
      <c r="BW45" s="88"/>
      <c r="BX45" s="111"/>
      <c r="BY45" s="112"/>
      <c r="BZ45" s="113"/>
      <c r="CA45" s="112"/>
      <c r="CB45" s="31"/>
      <c r="CC45" s="32"/>
      <c r="CD45" s="90"/>
      <c r="CE45" s="88"/>
      <c r="CF45" s="88"/>
      <c r="CG45" s="111"/>
      <c r="CH45" s="112"/>
      <c r="CI45" s="113"/>
      <c r="CJ45" s="112"/>
      <c r="CK45" s="31"/>
      <c r="CL45" s="32"/>
      <c r="CM45" s="90"/>
      <c r="CN45" s="88"/>
      <c r="CO45" s="88"/>
      <c r="CP45" s="111"/>
      <c r="CQ45" s="112"/>
      <c r="CR45" s="113"/>
      <c r="CS45" s="112"/>
      <c r="CT45" s="55"/>
      <c r="CV45" s="230"/>
      <c r="CX45" s="226" t="s">
        <v>1424</v>
      </c>
      <c r="CY45" s="226" t="s">
        <v>1437</v>
      </c>
      <c r="CZ45" s="226" t="s">
        <v>541</v>
      </c>
      <c r="DA45" s="226" t="s">
        <v>541</v>
      </c>
      <c r="DB45" s="226"/>
      <c r="DC45" s="226" t="s">
        <v>541</v>
      </c>
      <c r="DD45" s="226" t="s">
        <v>541</v>
      </c>
      <c r="DE45" s="226" t="s">
        <v>541</v>
      </c>
      <c r="DF45" s="226" t="s">
        <v>541</v>
      </c>
      <c r="DG45" s="226" t="s">
        <v>541</v>
      </c>
      <c r="DH45" s="14"/>
    </row>
    <row r="46" spans="1:112" ht="26" x14ac:dyDescent="0.25">
      <c r="A46" s="17" t="s">
        <v>1004</v>
      </c>
      <c r="B46" s="17" t="s">
        <v>1270</v>
      </c>
      <c r="C46" s="17" t="s">
        <v>1371</v>
      </c>
      <c r="D46" s="17" t="s">
        <v>1277</v>
      </c>
      <c r="E46" s="17" t="b">
        <f t="shared" si="0"/>
        <v>1</v>
      </c>
      <c r="F46" s="232" t="s">
        <v>2078</v>
      </c>
      <c r="G46" s="277" t="s">
        <v>2150</v>
      </c>
      <c r="H46" s="128" t="s">
        <v>1371</v>
      </c>
      <c r="I46" s="233" t="s">
        <v>1277</v>
      </c>
      <c r="J46" s="31"/>
      <c r="K46" s="102" t="s">
        <v>354</v>
      </c>
      <c r="L46" s="90"/>
      <c r="M46" s="111"/>
      <c r="N46" s="112"/>
      <c r="O46" s="113"/>
      <c r="P46" s="112"/>
      <c r="Q46" s="31"/>
      <c r="R46" s="102"/>
      <c r="S46" s="90"/>
      <c r="T46" s="88" t="str">
        <f t="shared" si="1"/>
        <v>NA</v>
      </c>
      <c r="U46" s="88" t="str">
        <f t="shared" si="2"/>
        <v>NA</v>
      </c>
      <c r="V46" s="111"/>
      <c r="W46" s="112"/>
      <c r="X46" s="113"/>
      <c r="Y46" s="112"/>
      <c r="Z46" s="31"/>
      <c r="AA46" s="296"/>
      <c r="AB46" s="89"/>
      <c r="AC46" s="88" t="str">
        <f t="shared" si="13"/>
        <v>NA</v>
      </c>
      <c r="AD46" s="88" t="str">
        <f t="shared" si="14"/>
        <v>NA</v>
      </c>
      <c r="AE46" s="111"/>
      <c r="AF46" s="112"/>
      <c r="AG46" s="113"/>
      <c r="AH46" s="112"/>
      <c r="AI46" s="31"/>
      <c r="AJ46" s="294"/>
      <c r="AK46" s="89"/>
      <c r="AL46" s="88" t="str">
        <f t="shared" si="5"/>
        <v>NA</v>
      </c>
      <c r="AM46" s="88" t="str">
        <f t="shared" si="6"/>
        <v>NA</v>
      </c>
      <c r="AN46" s="111"/>
      <c r="AO46" s="112"/>
      <c r="AP46" s="113"/>
      <c r="AQ46" s="112"/>
      <c r="AR46" s="31"/>
      <c r="AS46" s="32"/>
      <c r="AT46" s="90"/>
      <c r="AU46" s="88"/>
      <c r="AV46" s="88"/>
      <c r="AW46" s="111"/>
      <c r="AX46" s="112"/>
      <c r="AY46" s="113"/>
      <c r="AZ46" s="112"/>
      <c r="BA46" s="31"/>
      <c r="BB46" s="32"/>
      <c r="BC46" s="90"/>
      <c r="BD46" s="88"/>
      <c r="BE46" s="88"/>
      <c r="BF46" s="111"/>
      <c r="BG46" s="112"/>
      <c r="BH46" s="113"/>
      <c r="BI46" s="112"/>
      <c r="BJ46" s="31"/>
      <c r="BK46" s="32"/>
      <c r="BL46" s="90"/>
      <c r="BM46" s="88"/>
      <c r="BN46" s="88"/>
      <c r="BO46" s="111"/>
      <c r="BP46" s="112"/>
      <c r="BQ46" s="113"/>
      <c r="BR46" s="112"/>
      <c r="BS46" s="31"/>
      <c r="BT46" s="32"/>
      <c r="BU46" s="90"/>
      <c r="BV46" s="88"/>
      <c r="BW46" s="88"/>
      <c r="BX46" s="111"/>
      <c r="BY46" s="112"/>
      <c r="BZ46" s="113"/>
      <c r="CA46" s="112"/>
      <c r="CB46" s="31"/>
      <c r="CC46" s="32"/>
      <c r="CD46" s="90"/>
      <c r="CE46" s="88"/>
      <c r="CF46" s="88"/>
      <c r="CG46" s="111"/>
      <c r="CH46" s="112"/>
      <c r="CI46" s="113"/>
      <c r="CJ46" s="112"/>
      <c r="CK46" s="31"/>
      <c r="CL46" s="32"/>
      <c r="CM46" s="90"/>
      <c r="CN46" s="88"/>
      <c r="CO46" s="88"/>
      <c r="CP46" s="111"/>
      <c r="CQ46" s="112"/>
      <c r="CR46" s="113"/>
      <c r="CS46" s="112"/>
      <c r="CT46" s="55"/>
      <c r="CV46" s="230"/>
      <c r="CX46" s="226" t="s">
        <v>1424</v>
      </c>
      <c r="CY46" s="226" t="s">
        <v>1437</v>
      </c>
      <c r="CZ46" s="226" t="s">
        <v>541</v>
      </c>
      <c r="DA46" s="226" t="s">
        <v>541</v>
      </c>
      <c r="DB46" s="226"/>
      <c r="DC46" s="226" t="s">
        <v>541</v>
      </c>
      <c r="DD46" s="226" t="s">
        <v>541</v>
      </c>
      <c r="DE46" s="226" t="s">
        <v>541</v>
      </c>
      <c r="DF46" s="226" t="s">
        <v>541</v>
      </c>
      <c r="DG46" s="226" t="s">
        <v>541</v>
      </c>
      <c r="DH46" s="14"/>
    </row>
    <row r="47" spans="1:112" ht="26" x14ac:dyDescent="0.25">
      <c r="A47" s="17" t="s">
        <v>1004</v>
      </c>
      <c r="B47" s="17" t="s">
        <v>1271</v>
      </c>
      <c r="C47" s="17" t="s">
        <v>1373</v>
      </c>
      <c r="D47" s="17" t="s">
        <v>1278</v>
      </c>
      <c r="E47" s="17" t="b">
        <f t="shared" si="0"/>
        <v>1</v>
      </c>
      <c r="F47" s="232" t="s">
        <v>2079</v>
      </c>
      <c r="G47" s="277" t="s">
        <v>2151</v>
      </c>
      <c r="H47" s="128" t="s">
        <v>1373</v>
      </c>
      <c r="I47" s="233" t="s">
        <v>1278</v>
      </c>
      <c r="J47" s="31"/>
      <c r="K47" s="102" t="s">
        <v>354</v>
      </c>
      <c r="L47" s="90"/>
      <c r="M47" s="111"/>
      <c r="N47" s="112"/>
      <c r="O47" s="113"/>
      <c r="P47" s="112"/>
      <c r="Q47" s="31"/>
      <c r="R47" s="102"/>
      <c r="S47" s="90"/>
      <c r="T47" s="88" t="str">
        <f t="shared" si="1"/>
        <v>NA</v>
      </c>
      <c r="U47" s="88" t="str">
        <f t="shared" si="2"/>
        <v>NA</v>
      </c>
      <c r="V47" s="111"/>
      <c r="W47" s="112"/>
      <c r="X47" s="113"/>
      <c r="Y47" s="112"/>
      <c r="Z47" s="31"/>
      <c r="AA47" s="296"/>
      <c r="AB47" s="89"/>
      <c r="AC47" s="88" t="str">
        <f t="shared" si="13"/>
        <v>NA</v>
      </c>
      <c r="AD47" s="88" t="str">
        <f t="shared" si="14"/>
        <v>NA</v>
      </c>
      <c r="AE47" s="111"/>
      <c r="AF47" s="112"/>
      <c r="AG47" s="113"/>
      <c r="AH47" s="112"/>
      <c r="AI47" s="31"/>
      <c r="AJ47" s="294"/>
      <c r="AK47" s="89"/>
      <c r="AL47" s="88" t="str">
        <f t="shared" si="5"/>
        <v>NA</v>
      </c>
      <c r="AM47" s="88" t="str">
        <f t="shared" si="6"/>
        <v>NA</v>
      </c>
      <c r="AN47" s="111"/>
      <c r="AO47" s="112"/>
      <c r="AP47" s="113"/>
      <c r="AQ47" s="112"/>
      <c r="AR47" s="31"/>
      <c r="AS47" s="32"/>
      <c r="AT47" s="90"/>
      <c r="AU47" s="88"/>
      <c r="AV47" s="88"/>
      <c r="AW47" s="111"/>
      <c r="AX47" s="112"/>
      <c r="AY47" s="113"/>
      <c r="AZ47" s="112"/>
      <c r="BA47" s="31"/>
      <c r="BB47" s="32"/>
      <c r="BC47" s="90"/>
      <c r="BD47" s="88"/>
      <c r="BE47" s="88"/>
      <c r="BF47" s="111"/>
      <c r="BG47" s="112"/>
      <c r="BH47" s="113"/>
      <c r="BI47" s="112"/>
      <c r="BJ47" s="31"/>
      <c r="BK47" s="32"/>
      <c r="BL47" s="90"/>
      <c r="BM47" s="88"/>
      <c r="BN47" s="88"/>
      <c r="BO47" s="111"/>
      <c r="BP47" s="112"/>
      <c r="BQ47" s="113"/>
      <c r="BR47" s="112"/>
      <c r="BS47" s="31"/>
      <c r="BT47" s="32"/>
      <c r="BU47" s="90"/>
      <c r="BV47" s="88"/>
      <c r="BW47" s="88"/>
      <c r="BX47" s="111"/>
      <c r="BY47" s="112"/>
      <c r="BZ47" s="113"/>
      <c r="CA47" s="112"/>
      <c r="CB47" s="31"/>
      <c r="CC47" s="32"/>
      <c r="CD47" s="90"/>
      <c r="CE47" s="88"/>
      <c r="CF47" s="88"/>
      <c r="CG47" s="111"/>
      <c r="CH47" s="112"/>
      <c r="CI47" s="113"/>
      <c r="CJ47" s="112"/>
      <c r="CK47" s="31"/>
      <c r="CL47" s="32"/>
      <c r="CM47" s="90"/>
      <c r="CN47" s="88"/>
      <c r="CO47" s="88"/>
      <c r="CP47" s="111"/>
      <c r="CQ47" s="112"/>
      <c r="CR47" s="113"/>
      <c r="CS47" s="112"/>
      <c r="CT47" s="55"/>
      <c r="CV47" s="230"/>
      <c r="CX47" s="226" t="s">
        <v>1424</v>
      </c>
      <c r="CY47" s="226" t="s">
        <v>1437</v>
      </c>
      <c r="CZ47" s="226" t="s">
        <v>541</v>
      </c>
      <c r="DA47" s="226" t="s">
        <v>541</v>
      </c>
      <c r="DB47" s="226"/>
      <c r="DC47" s="226" t="s">
        <v>541</v>
      </c>
      <c r="DD47" s="226" t="s">
        <v>541</v>
      </c>
      <c r="DE47" s="226" t="s">
        <v>541</v>
      </c>
      <c r="DF47" s="226" t="s">
        <v>541</v>
      </c>
      <c r="DG47" s="226" t="s">
        <v>541</v>
      </c>
      <c r="DH47" s="14"/>
    </row>
    <row r="48" spans="1:112" ht="26" x14ac:dyDescent="0.25">
      <c r="A48" s="17" t="s">
        <v>1004</v>
      </c>
      <c r="B48" s="17" t="s">
        <v>1272</v>
      </c>
      <c r="C48" s="17" t="s">
        <v>1374</v>
      </c>
      <c r="D48" s="17" t="s">
        <v>1279</v>
      </c>
      <c r="E48" s="17" t="b">
        <f t="shared" si="0"/>
        <v>1</v>
      </c>
      <c r="F48" s="232" t="s">
        <v>2080</v>
      </c>
      <c r="G48" s="277" t="s">
        <v>2152</v>
      </c>
      <c r="H48" s="128" t="s">
        <v>1374</v>
      </c>
      <c r="I48" s="233" t="s">
        <v>1279</v>
      </c>
      <c r="J48" s="31"/>
      <c r="K48" s="102" t="s">
        <v>354</v>
      </c>
      <c r="L48" s="90"/>
      <c r="M48" s="111"/>
      <c r="N48" s="112"/>
      <c r="O48" s="113"/>
      <c r="P48" s="112"/>
      <c r="Q48" s="31"/>
      <c r="R48" s="102"/>
      <c r="S48" s="90"/>
      <c r="T48" s="88" t="str">
        <f t="shared" si="1"/>
        <v>NA</v>
      </c>
      <c r="U48" s="88" t="str">
        <f t="shared" si="2"/>
        <v>NA</v>
      </c>
      <c r="V48" s="111"/>
      <c r="W48" s="112"/>
      <c r="X48" s="113"/>
      <c r="Y48" s="112"/>
      <c r="Z48" s="31"/>
      <c r="AA48" s="296"/>
      <c r="AB48" s="89"/>
      <c r="AC48" s="88" t="str">
        <f t="shared" si="13"/>
        <v>NA</v>
      </c>
      <c r="AD48" s="88" t="str">
        <f t="shared" si="14"/>
        <v>NA</v>
      </c>
      <c r="AE48" s="111"/>
      <c r="AF48" s="112"/>
      <c r="AG48" s="113"/>
      <c r="AH48" s="112"/>
      <c r="AI48" s="31"/>
      <c r="AJ48" s="294"/>
      <c r="AK48" s="89"/>
      <c r="AL48" s="88" t="str">
        <f t="shared" si="5"/>
        <v>NA</v>
      </c>
      <c r="AM48" s="88" t="str">
        <f t="shared" si="6"/>
        <v>NA</v>
      </c>
      <c r="AN48" s="111"/>
      <c r="AO48" s="112"/>
      <c r="AP48" s="113"/>
      <c r="AQ48" s="112"/>
      <c r="AR48" s="31"/>
      <c r="AS48" s="32"/>
      <c r="AT48" s="90"/>
      <c r="AU48" s="88"/>
      <c r="AV48" s="88"/>
      <c r="AW48" s="111"/>
      <c r="AX48" s="112"/>
      <c r="AY48" s="113"/>
      <c r="AZ48" s="112"/>
      <c r="BA48" s="31"/>
      <c r="BB48" s="32"/>
      <c r="BC48" s="90"/>
      <c r="BD48" s="88"/>
      <c r="BE48" s="88"/>
      <c r="BF48" s="111"/>
      <c r="BG48" s="112"/>
      <c r="BH48" s="113"/>
      <c r="BI48" s="112"/>
      <c r="BJ48" s="31"/>
      <c r="BK48" s="32"/>
      <c r="BL48" s="90"/>
      <c r="BM48" s="88"/>
      <c r="BN48" s="88"/>
      <c r="BO48" s="111"/>
      <c r="BP48" s="112"/>
      <c r="BQ48" s="113"/>
      <c r="BR48" s="112"/>
      <c r="BS48" s="31"/>
      <c r="BT48" s="32"/>
      <c r="BU48" s="90"/>
      <c r="BV48" s="88"/>
      <c r="BW48" s="88"/>
      <c r="BX48" s="111"/>
      <c r="BY48" s="112"/>
      <c r="BZ48" s="113"/>
      <c r="CA48" s="112"/>
      <c r="CB48" s="31"/>
      <c r="CC48" s="32"/>
      <c r="CD48" s="90"/>
      <c r="CE48" s="88"/>
      <c r="CF48" s="88"/>
      <c r="CG48" s="111"/>
      <c r="CH48" s="112"/>
      <c r="CI48" s="113"/>
      <c r="CJ48" s="112"/>
      <c r="CK48" s="31"/>
      <c r="CL48" s="32"/>
      <c r="CM48" s="90"/>
      <c r="CN48" s="88"/>
      <c r="CO48" s="88"/>
      <c r="CP48" s="111"/>
      <c r="CQ48" s="112"/>
      <c r="CR48" s="113"/>
      <c r="CS48" s="112"/>
      <c r="CT48" s="55"/>
      <c r="CV48" s="230"/>
      <c r="CX48" s="226" t="s">
        <v>1424</v>
      </c>
      <c r="CY48" s="226" t="s">
        <v>1437</v>
      </c>
      <c r="CZ48" s="226" t="s">
        <v>541</v>
      </c>
      <c r="DA48" s="226" t="s">
        <v>541</v>
      </c>
      <c r="DB48" s="226"/>
      <c r="DC48" s="226" t="s">
        <v>541</v>
      </c>
      <c r="DD48" s="226" t="s">
        <v>541</v>
      </c>
      <c r="DE48" s="226" t="s">
        <v>541</v>
      </c>
      <c r="DF48" s="226" t="s">
        <v>541</v>
      </c>
      <c r="DG48" s="226" t="s">
        <v>541</v>
      </c>
      <c r="DH48" s="14"/>
    </row>
    <row r="49" spans="1:112" ht="26" x14ac:dyDescent="0.25">
      <c r="A49" s="17" t="s">
        <v>1004</v>
      </c>
      <c r="B49" s="17" t="s">
        <v>1273</v>
      </c>
      <c r="C49" s="17" t="s">
        <v>1375</v>
      </c>
      <c r="D49" s="17" t="s">
        <v>1280</v>
      </c>
      <c r="E49" s="17" t="b">
        <f t="shared" si="0"/>
        <v>1</v>
      </c>
      <c r="F49" s="232" t="s">
        <v>2081</v>
      </c>
      <c r="G49" s="277" t="s">
        <v>2153</v>
      </c>
      <c r="H49" s="128" t="s">
        <v>1375</v>
      </c>
      <c r="I49" s="233" t="s">
        <v>1280</v>
      </c>
      <c r="J49" s="31"/>
      <c r="K49" s="102" t="s">
        <v>354</v>
      </c>
      <c r="L49" s="90"/>
      <c r="M49" s="111"/>
      <c r="N49" s="112"/>
      <c r="O49" s="113"/>
      <c r="P49" s="112"/>
      <c r="Q49" s="31"/>
      <c r="R49" s="102"/>
      <c r="S49" s="90"/>
      <c r="T49" s="88" t="str">
        <f t="shared" si="1"/>
        <v>NA</v>
      </c>
      <c r="U49" s="88" t="str">
        <f t="shared" si="2"/>
        <v>NA</v>
      </c>
      <c r="V49" s="111"/>
      <c r="W49" s="112"/>
      <c r="X49" s="113"/>
      <c r="Y49" s="112"/>
      <c r="Z49" s="31"/>
      <c r="AA49" s="296"/>
      <c r="AB49" s="89"/>
      <c r="AC49" s="88" t="str">
        <f t="shared" si="13"/>
        <v>NA</v>
      </c>
      <c r="AD49" s="88" t="str">
        <f t="shared" si="14"/>
        <v>NA</v>
      </c>
      <c r="AE49" s="111"/>
      <c r="AF49" s="112"/>
      <c r="AG49" s="113"/>
      <c r="AH49" s="112"/>
      <c r="AI49" s="31"/>
      <c r="AJ49" s="294"/>
      <c r="AK49" s="89"/>
      <c r="AL49" s="88" t="str">
        <f t="shared" si="5"/>
        <v>NA</v>
      </c>
      <c r="AM49" s="88" t="str">
        <f t="shared" si="6"/>
        <v>NA</v>
      </c>
      <c r="AN49" s="111"/>
      <c r="AO49" s="112"/>
      <c r="AP49" s="113"/>
      <c r="AQ49" s="112"/>
      <c r="AR49" s="31"/>
      <c r="AS49" s="32"/>
      <c r="AT49" s="90"/>
      <c r="AU49" s="88"/>
      <c r="AV49" s="88"/>
      <c r="AW49" s="111"/>
      <c r="AX49" s="112"/>
      <c r="AY49" s="113"/>
      <c r="AZ49" s="112"/>
      <c r="BA49" s="31"/>
      <c r="BB49" s="32"/>
      <c r="BC49" s="90"/>
      <c r="BD49" s="88"/>
      <c r="BE49" s="88"/>
      <c r="BF49" s="111"/>
      <c r="BG49" s="112"/>
      <c r="BH49" s="113"/>
      <c r="BI49" s="112"/>
      <c r="BJ49" s="31"/>
      <c r="BK49" s="32"/>
      <c r="BL49" s="90"/>
      <c r="BM49" s="88"/>
      <c r="BN49" s="88"/>
      <c r="BO49" s="111"/>
      <c r="BP49" s="112"/>
      <c r="BQ49" s="113"/>
      <c r="BR49" s="112"/>
      <c r="BS49" s="31"/>
      <c r="BT49" s="32"/>
      <c r="BU49" s="90"/>
      <c r="BV49" s="88"/>
      <c r="BW49" s="88"/>
      <c r="BX49" s="111"/>
      <c r="BY49" s="112"/>
      <c r="BZ49" s="113"/>
      <c r="CA49" s="112"/>
      <c r="CB49" s="31"/>
      <c r="CC49" s="32"/>
      <c r="CD49" s="90"/>
      <c r="CE49" s="88"/>
      <c r="CF49" s="88"/>
      <c r="CG49" s="111"/>
      <c r="CH49" s="112"/>
      <c r="CI49" s="113"/>
      <c r="CJ49" s="112"/>
      <c r="CK49" s="31"/>
      <c r="CL49" s="32"/>
      <c r="CM49" s="90"/>
      <c r="CN49" s="88"/>
      <c r="CO49" s="88"/>
      <c r="CP49" s="111"/>
      <c r="CQ49" s="112"/>
      <c r="CR49" s="113"/>
      <c r="CS49" s="112"/>
      <c r="CT49" s="55"/>
      <c r="CV49" s="230"/>
      <c r="CX49" s="226" t="s">
        <v>1424</v>
      </c>
      <c r="CY49" s="226" t="s">
        <v>1437</v>
      </c>
      <c r="CZ49" s="226" t="s">
        <v>541</v>
      </c>
      <c r="DA49" s="226" t="s">
        <v>541</v>
      </c>
      <c r="DB49" s="226"/>
      <c r="DC49" s="226" t="s">
        <v>541</v>
      </c>
      <c r="DD49" s="226" t="s">
        <v>541</v>
      </c>
      <c r="DE49" s="226" t="s">
        <v>541</v>
      </c>
      <c r="DF49" s="226" t="s">
        <v>541</v>
      </c>
      <c r="DG49" s="226" t="s">
        <v>541</v>
      </c>
      <c r="DH49" s="14"/>
    </row>
    <row r="50" spans="1:112" ht="26" x14ac:dyDescent="0.25">
      <c r="A50" s="17" t="s">
        <v>378</v>
      </c>
      <c r="B50" s="17" t="s">
        <v>541</v>
      </c>
      <c r="C50" s="17" t="s">
        <v>307</v>
      </c>
      <c r="D50" s="17" t="s">
        <v>308</v>
      </c>
      <c r="E50" s="17" t="b">
        <f t="shared" si="0"/>
        <v>1</v>
      </c>
      <c r="F50" s="127" t="s">
        <v>378</v>
      </c>
      <c r="G50" s="248" t="s">
        <v>541</v>
      </c>
      <c r="H50" s="128" t="s">
        <v>307</v>
      </c>
      <c r="I50" s="128" t="s">
        <v>308</v>
      </c>
      <c r="J50" s="31"/>
      <c r="K50" s="102" t="s">
        <v>354</v>
      </c>
      <c r="L50" s="305"/>
      <c r="M50" s="111"/>
      <c r="N50" s="112"/>
      <c r="O50" s="113"/>
      <c r="P50" s="112"/>
      <c r="Q50" s="31"/>
      <c r="R50" s="102"/>
      <c r="S50" s="305"/>
      <c r="T50" s="88" t="str">
        <f t="shared" si="1"/>
        <v>NA</v>
      </c>
      <c r="U50" s="88" t="str">
        <f t="shared" si="2"/>
        <v>NA</v>
      </c>
      <c r="V50" s="111"/>
      <c r="W50" s="112"/>
      <c r="X50" s="113"/>
      <c r="Y50" s="112"/>
      <c r="Z50" s="31"/>
      <c r="AA50" s="296"/>
      <c r="AB50" s="89"/>
      <c r="AC50" s="88" t="str">
        <f t="shared" si="3"/>
        <v>NA</v>
      </c>
      <c r="AD50" s="88" t="str">
        <f t="shared" si="4"/>
        <v>NA</v>
      </c>
      <c r="AE50" s="111"/>
      <c r="AF50" s="112"/>
      <c r="AG50" s="113"/>
      <c r="AH50" s="112"/>
      <c r="AI50" s="31"/>
      <c r="AJ50" s="294"/>
      <c r="AK50" s="89"/>
      <c r="AL50" s="88" t="str">
        <f t="shared" si="5"/>
        <v>NA</v>
      </c>
      <c r="AM50" s="88" t="str">
        <f t="shared" si="6"/>
        <v>NA</v>
      </c>
      <c r="AN50" s="111"/>
      <c r="AO50" s="112"/>
      <c r="AP50" s="113"/>
      <c r="AQ50" s="112"/>
      <c r="AR50" s="31"/>
      <c r="AS50" s="32"/>
      <c r="AT50" s="90"/>
      <c r="AU50" s="88"/>
      <c r="AV50" s="88"/>
      <c r="AW50" s="111"/>
      <c r="AX50" s="112"/>
      <c r="AY50" s="113"/>
      <c r="AZ50" s="112"/>
      <c r="BA50" s="31"/>
      <c r="BB50" s="32"/>
      <c r="BC50" s="90"/>
      <c r="BD50" s="88"/>
      <c r="BE50" s="88"/>
      <c r="BF50" s="111"/>
      <c r="BG50" s="112"/>
      <c r="BH50" s="113"/>
      <c r="BI50" s="112"/>
      <c r="BJ50" s="31"/>
      <c r="BK50" s="32"/>
      <c r="BL50" s="90"/>
      <c r="BM50" s="88"/>
      <c r="BN50" s="88"/>
      <c r="BO50" s="111"/>
      <c r="BP50" s="112"/>
      <c r="BQ50" s="113"/>
      <c r="BR50" s="112"/>
      <c r="BS50" s="31"/>
      <c r="BT50" s="32"/>
      <c r="BU50" s="90"/>
      <c r="BV50" s="88"/>
      <c r="BW50" s="88"/>
      <c r="BX50" s="111"/>
      <c r="BY50" s="112"/>
      <c r="BZ50" s="113"/>
      <c r="CA50" s="112"/>
      <c r="CB50" s="31"/>
      <c r="CC50" s="32"/>
      <c r="CD50" s="90"/>
      <c r="CE50" s="88"/>
      <c r="CF50" s="88"/>
      <c r="CG50" s="111"/>
      <c r="CH50" s="112"/>
      <c r="CI50" s="113"/>
      <c r="CJ50" s="112"/>
      <c r="CK50" s="31"/>
      <c r="CL50" s="32"/>
      <c r="CM50" s="90"/>
      <c r="CN50" s="88"/>
      <c r="CO50" s="88"/>
      <c r="CP50" s="111"/>
      <c r="CQ50" s="112"/>
      <c r="CR50" s="113"/>
      <c r="CS50" s="112"/>
      <c r="CT50" s="55"/>
      <c r="CV50" s="230" t="s">
        <v>308</v>
      </c>
      <c r="CX50" s="226" t="s">
        <v>541</v>
      </c>
      <c r="CY50" s="226" t="s">
        <v>541</v>
      </c>
      <c r="CZ50" s="226" t="s">
        <v>541</v>
      </c>
      <c r="DA50" s="226" t="s">
        <v>1438</v>
      </c>
      <c r="DB50" s="14"/>
      <c r="DC50" s="226" t="s">
        <v>541</v>
      </c>
      <c r="DD50" s="226" t="s">
        <v>541</v>
      </c>
      <c r="DE50" s="226" t="s">
        <v>541</v>
      </c>
      <c r="DF50" s="226" t="s">
        <v>541</v>
      </c>
      <c r="DG50" s="226" t="s">
        <v>541</v>
      </c>
      <c r="DH50" s="14"/>
    </row>
    <row r="51" spans="1:112" ht="13" x14ac:dyDescent="0.25">
      <c r="A51" s="17" t="s">
        <v>379</v>
      </c>
      <c r="B51" s="17" t="s">
        <v>541</v>
      </c>
      <c r="C51" s="17" t="s">
        <v>305</v>
      </c>
      <c r="D51" s="17" t="s">
        <v>306</v>
      </c>
      <c r="E51" s="17" t="b">
        <f t="shared" si="0"/>
        <v>1</v>
      </c>
      <c r="F51" s="127" t="s">
        <v>379</v>
      </c>
      <c r="G51" s="248" t="s">
        <v>541</v>
      </c>
      <c r="H51" s="128" t="s">
        <v>305</v>
      </c>
      <c r="I51" s="128" t="s">
        <v>306</v>
      </c>
      <c r="J51" s="31"/>
      <c r="K51" s="102" t="s">
        <v>354</v>
      </c>
      <c r="L51" s="90"/>
      <c r="M51" s="111"/>
      <c r="N51" s="112"/>
      <c r="O51" s="113"/>
      <c r="P51" s="112"/>
      <c r="Q51" s="31"/>
      <c r="R51" s="102"/>
      <c r="S51" s="90"/>
      <c r="T51" s="88" t="str">
        <f t="shared" si="1"/>
        <v>NA</v>
      </c>
      <c r="U51" s="88" t="str">
        <f t="shared" si="2"/>
        <v>NA</v>
      </c>
      <c r="V51" s="111"/>
      <c r="W51" s="112"/>
      <c r="X51" s="113"/>
      <c r="Y51" s="112"/>
      <c r="Z51" s="31"/>
      <c r="AA51" s="296"/>
      <c r="AB51" s="89"/>
      <c r="AC51" s="88" t="str">
        <f t="shared" si="3"/>
        <v>NA</v>
      </c>
      <c r="AD51" s="88" t="str">
        <f t="shared" si="4"/>
        <v>NA</v>
      </c>
      <c r="AE51" s="111"/>
      <c r="AF51" s="112"/>
      <c r="AG51" s="113"/>
      <c r="AH51" s="112"/>
      <c r="AI51" s="31"/>
      <c r="AJ51" s="294"/>
      <c r="AK51" s="89"/>
      <c r="AL51" s="88" t="str">
        <f t="shared" si="5"/>
        <v>NA</v>
      </c>
      <c r="AM51" s="88" t="str">
        <f t="shared" si="6"/>
        <v>NA</v>
      </c>
      <c r="AN51" s="111"/>
      <c r="AO51" s="112"/>
      <c r="AP51" s="113"/>
      <c r="AQ51" s="112"/>
      <c r="AR51" s="31"/>
      <c r="AS51" s="32"/>
      <c r="AT51" s="90"/>
      <c r="AU51" s="88"/>
      <c r="AV51" s="88"/>
      <c r="AW51" s="111"/>
      <c r="AX51" s="112"/>
      <c r="AY51" s="113"/>
      <c r="AZ51" s="112"/>
      <c r="BA51" s="31"/>
      <c r="BB51" s="32"/>
      <c r="BC51" s="90"/>
      <c r="BD51" s="88"/>
      <c r="BE51" s="88"/>
      <c r="BF51" s="111"/>
      <c r="BG51" s="112"/>
      <c r="BH51" s="113"/>
      <c r="BI51" s="112"/>
      <c r="BJ51" s="31"/>
      <c r="BK51" s="32"/>
      <c r="BL51" s="90"/>
      <c r="BM51" s="88"/>
      <c r="BN51" s="88"/>
      <c r="BO51" s="111"/>
      <c r="BP51" s="112"/>
      <c r="BQ51" s="113"/>
      <c r="BR51" s="112"/>
      <c r="BS51" s="31"/>
      <c r="BT51" s="32"/>
      <c r="BU51" s="90"/>
      <c r="BV51" s="88"/>
      <c r="BW51" s="88"/>
      <c r="BX51" s="111"/>
      <c r="BY51" s="112"/>
      <c r="BZ51" s="113"/>
      <c r="CA51" s="112"/>
      <c r="CB51" s="31"/>
      <c r="CC51" s="32"/>
      <c r="CD51" s="90"/>
      <c r="CE51" s="88"/>
      <c r="CF51" s="88"/>
      <c r="CG51" s="111"/>
      <c r="CH51" s="112"/>
      <c r="CI51" s="113"/>
      <c r="CJ51" s="112"/>
      <c r="CK51" s="31"/>
      <c r="CL51" s="32"/>
      <c r="CM51" s="90"/>
      <c r="CN51" s="88"/>
      <c r="CO51" s="88"/>
      <c r="CP51" s="111"/>
      <c r="CQ51" s="112"/>
      <c r="CR51" s="113"/>
      <c r="CS51" s="112"/>
      <c r="CT51" s="55"/>
      <c r="CV51" s="230" t="s">
        <v>306</v>
      </c>
      <c r="CX51" s="226" t="s">
        <v>541</v>
      </c>
      <c r="CY51" s="226" t="s">
        <v>541</v>
      </c>
      <c r="CZ51" s="226" t="s">
        <v>541</v>
      </c>
      <c r="DA51" s="226" t="s">
        <v>1438</v>
      </c>
      <c r="DB51" s="14"/>
      <c r="DC51" s="226" t="s">
        <v>541</v>
      </c>
      <c r="DD51" s="226" t="s">
        <v>541</v>
      </c>
      <c r="DE51" s="226" t="s">
        <v>541</v>
      </c>
      <c r="DF51" s="226" t="s">
        <v>541</v>
      </c>
      <c r="DG51" s="226" t="s">
        <v>541</v>
      </c>
      <c r="DH51" s="14"/>
    </row>
    <row r="52" spans="1:112" ht="26" x14ac:dyDescent="0.25">
      <c r="A52" s="17" t="s">
        <v>380</v>
      </c>
      <c r="B52" s="17" t="s">
        <v>541</v>
      </c>
      <c r="C52" s="17" t="s">
        <v>303</v>
      </c>
      <c r="D52" s="17" t="s">
        <v>304</v>
      </c>
      <c r="E52" s="17" t="b">
        <f t="shared" si="0"/>
        <v>1</v>
      </c>
      <c r="F52" s="127" t="s">
        <v>380</v>
      </c>
      <c r="G52" s="248" t="s">
        <v>541</v>
      </c>
      <c r="H52" s="128" t="s">
        <v>303</v>
      </c>
      <c r="I52" s="128" t="s">
        <v>304</v>
      </c>
      <c r="J52" s="31"/>
      <c r="K52" s="102" t="s">
        <v>354</v>
      </c>
      <c r="L52" s="90"/>
      <c r="M52" s="111"/>
      <c r="N52" s="112"/>
      <c r="O52" s="113"/>
      <c r="P52" s="112"/>
      <c r="Q52" s="31"/>
      <c r="R52" s="102"/>
      <c r="S52" s="90"/>
      <c r="T52" s="88" t="str">
        <f t="shared" si="1"/>
        <v>NA</v>
      </c>
      <c r="U52" s="88" t="str">
        <f t="shared" si="2"/>
        <v>NA</v>
      </c>
      <c r="V52" s="111"/>
      <c r="W52" s="112"/>
      <c r="X52" s="113"/>
      <c r="Y52" s="112"/>
      <c r="Z52" s="31"/>
      <c r="AA52" s="296"/>
      <c r="AB52" s="89"/>
      <c r="AC52" s="88" t="str">
        <f t="shared" si="3"/>
        <v>NA</v>
      </c>
      <c r="AD52" s="88" t="str">
        <f t="shared" si="4"/>
        <v>NA</v>
      </c>
      <c r="AE52" s="111"/>
      <c r="AF52" s="112"/>
      <c r="AG52" s="113"/>
      <c r="AH52" s="112"/>
      <c r="AI52" s="31"/>
      <c r="AJ52" s="294"/>
      <c r="AK52" s="89"/>
      <c r="AL52" s="88" t="str">
        <f t="shared" si="5"/>
        <v>NA</v>
      </c>
      <c r="AM52" s="88" t="str">
        <f t="shared" si="6"/>
        <v>NA</v>
      </c>
      <c r="AN52" s="111"/>
      <c r="AO52" s="112"/>
      <c r="AP52" s="113"/>
      <c r="AQ52" s="112"/>
      <c r="AR52" s="31"/>
      <c r="AS52" s="32"/>
      <c r="AT52" s="90"/>
      <c r="AU52" s="88"/>
      <c r="AV52" s="88"/>
      <c r="AW52" s="111"/>
      <c r="AX52" s="112"/>
      <c r="AY52" s="113"/>
      <c r="AZ52" s="112"/>
      <c r="BA52" s="31"/>
      <c r="BB52" s="32"/>
      <c r="BC52" s="90"/>
      <c r="BD52" s="88"/>
      <c r="BE52" s="88"/>
      <c r="BF52" s="111"/>
      <c r="BG52" s="112"/>
      <c r="BH52" s="113"/>
      <c r="BI52" s="112"/>
      <c r="BJ52" s="31"/>
      <c r="BK52" s="32"/>
      <c r="BL52" s="90"/>
      <c r="BM52" s="88"/>
      <c r="BN52" s="88"/>
      <c r="BO52" s="111"/>
      <c r="BP52" s="112"/>
      <c r="BQ52" s="113"/>
      <c r="BR52" s="112"/>
      <c r="BS52" s="31"/>
      <c r="BT52" s="32"/>
      <c r="BU52" s="90"/>
      <c r="BV52" s="88"/>
      <c r="BW52" s="88"/>
      <c r="BX52" s="111"/>
      <c r="BY52" s="112"/>
      <c r="BZ52" s="113"/>
      <c r="CA52" s="112"/>
      <c r="CB52" s="31"/>
      <c r="CC52" s="32"/>
      <c r="CD52" s="90"/>
      <c r="CE52" s="88"/>
      <c r="CF52" s="88"/>
      <c r="CG52" s="111"/>
      <c r="CH52" s="112"/>
      <c r="CI52" s="113"/>
      <c r="CJ52" s="112"/>
      <c r="CK52" s="31"/>
      <c r="CL52" s="32"/>
      <c r="CM52" s="90"/>
      <c r="CN52" s="88"/>
      <c r="CO52" s="88"/>
      <c r="CP52" s="111"/>
      <c r="CQ52" s="112"/>
      <c r="CR52" s="113"/>
      <c r="CS52" s="112"/>
      <c r="CT52" s="55"/>
      <c r="CV52" s="230" t="s">
        <v>304</v>
      </c>
      <c r="CX52" s="226" t="s">
        <v>541</v>
      </c>
      <c r="CY52" s="226" t="s">
        <v>541</v>
      </c>
      <c r="CZ52" s="226" t="s">
        <v>541</v>
      </c>
      <c r="DA52" s="226" t="s">
        <v>1438</v>
      </c>
      <c r="DB52" s="14"/>
      <c r="DC52" s="226" t="s">
        <v>541</v>
      </c>
      <c r="DD52" s="226" t="s">
        <v>541</v>
      </c>
      <c r="DE52" s="226" t="s">
        <v>541</v>
      </c>
      <c r="DF52" s="226" t="s">
        <v>541</v>
      </c>
      <c r="DG52" s="226" t="s">
        <v>541</v>
      </c>
      <c r="DH52" s="14"/>
    </row>
    <row r="53" spans="1:112" ht="26" x14ac:dyDescent="0.25">
      <c r="A53" s="17" t="s">
        <v>554</v>
      </c>
      <c r="B53" s="17" t="s">
        <v>541</v>
      </c>
      <c r="C53" s="17" t="s">
        <v>591</v>
      </c>
      <c r="D53" s="17" t="s">
        <v>629</v>
      </c>
      <c r="E53" s="17" t="b">
        <f t="shared" si="0"/>
        <v>1</v>
      </c>
      <c r="F53" s="127" t="s">
        <v>554</v>
      </c>
      <c r="G53" s="248" t="s">
        <v>541</v>
      </c>
      <c r="H53" s="128" t="s">
        <v>591</v>
      </c>
      <c r="I53" s="128" t="s">
        <v>629</v>
      </c>
      <c r="J53" s="31"/>
      <c r="K53" s="102" t="s">
        <v>354</v>
      </c>
      <c r="L53" s="90"/>
      <c r="M53" s="111"/>
      <c r="N53" s="112"/>
      <c r="O53" s="113"/>
      <c r="P53" s="112"/>
      <c r="Q53" s="31"/>
      <c r="R53" s="102"/>
      <c r="S53" s="90"/>
      <c r="T53" s="88" t="str">
        <f t="shared" si="1"/>
        <v>NA</v>
      </c>
      <c r="U53" s="88" t="str">
        <f t="shared" si="2"/>
        <v>NA</v>
      </c>
      <c r="V53" s="111"/>
      <c r="W53" s="112"/>
      <c r="X53" s="113"/>
      <c r="Y53" s="112"/>
      <c r="Z53" s="31"/>
      <c r="AA53" s="296"/>
      <c r="AB53" s="89"/>
      <c r="AC53" s="88" t="str">
        <f t="shared" si="3"/>
        <v>NA</v>
      </c>
      <c r="AD53" s="88" t="str">
        <f t="shared" si="4"/>
        <v>NA</v>
      </c>
      <c r="AE53" s="111"/>
      <c r="AF53" s="112"/>
      <c r="AG53" s="113"/>
      <c r="AH53" s="112"/>
      <c r="AI53" s="31"/>
      <c r="AJ53" s="294"/>
      <c r="AK53" s="89"/>
      <c r="AL53" s="88" t="str">
        <f t="shared" si="5"/>
        <v>NA</v>
      </c>
      <c r="AM53" s="88" t="str">
        <f t="shared" si="6"/>
        <v>NA</v>
      </c>
      <c r="AN53" s="111"/>
      <c r="AO53" s="112"/>
      <c r="AP53" s="113"/>
      <c r="AQ53" s="112"/>
      <c r="AR53" s="31"/>
      <c r="AS53" s="32"/>
      <c r="AT53" s="90"/>
      <c r="AU53" s="88"/>
      <c r="AV53" s="88"/>
      <c r="AW53" s="111"/>
      <c r="AX53" s="112"/>
      <c r="AY53" s="113"/>
      <c r="AZ53" s="112"/>
      <c r="BA53" s="31"/>
      <c r="BB53" s="32"/>
      <c r="BC53" s="90"/>
      <c r="BD53" s="88"/>
      <c r="BE53" s="88"/>
      <c r="BF53" s="111"/>
      <c r="BG53" s="112"/>
      <c r="BH53" s="113"/>
      <c r="BI53" s="112"/>
      <c r="BJ53" s="31"/>
      <c r="BK53" s="32"/>
      <c r="BL53" s="90"/>
      <c r="BM53" s="88"/>
      <c r="BN53" s="88"/>
      <c r="BO53" s="111"/>
      <c r="BP53" s="112"/>
      <c r="BQ53" s="113"/>
      <c r="BR53" s="112"/>
      <c r="BS53" s="31"/>
      <c r="BT53" s="32"/>
      <c r="BU53" s="90"/>
      <c r="BV53" s="88"/>
      <c r="BW53" s="88"/>
      <c r="BX53" s="111"/>
      <c r="BY53" s="112"/>
      <c r="BZ53" s="113"/>
      <c r="CA53" s="112"/>
      <c r="CB53" s="31"/>
      <c r="CC53" s="32"/>
      <c r="CD53" s="90"/>
      <c r="CE53" s="88"/>
      <c r="CF53" s="88"/>
      <c r="CG53" s="111"/>
      <c r="CH53" s="112"/>
      <c r="CI53" s="113"/>
      <c r="CJ53" s="112"/>
      <c r="CK53" s="31"/>
      <c r="CL53" s="32"/>
      <c r="CM53" s="90"/>
      <c r="CN53" s="88"/>
      <c r="CO53" s="88"/>
      <c r="CP53" s="111"/>
      <c r="CQ53" s="112"/>
      <c r="CR53" s="113"/>
      <c r="CS53" s="112"/>
      <c r="CT53" s="55"/>
      <c r="CV53" s="230" t="s">
        <v>629</v>
      </c>
      <c r="CX53" s="226" t="s">
        <v>541</v>
      </c>
      <c r="CY53" s="226" t="s">
        <v>541</v>
      </c>
      <c r="CZ53" s="226" t="s">
        <v>541</v>
      </c>
      <c r="DA53" s="226" t="s">
        <v>1438</v>
      </c>
      <c r="DB53" s="14"/>
      <c r="DC53" s="226" t="s">
        <v>541</v>
      </c>
      <c r="DD53" s="226" t="s">
        <v>541</v>
      </c>
      <c r="DE53" s="226" t="s">
        <v>541</v>
      </c>
      <c r="DF53" s="226" t="s">
        <v>541</v>
      </c>
      <c r="DG53" s="226" t="s">
        <v>541</v>
      </c>
      <c r="DH53" s="14"/>
    </row>
    <row r="54" spans="1:112" ht="26" x14ac:dyDescent="0.25">
      <c r="A54" s="17" t="s">
        <v>555</v>
      </c>
      <c r="B54" s="17" t="s">
        <v>541</v>
      </c>
      <c r="C54" s="17" t="s">
        <v>592</v>
      </c>
      <c r="D54" s="17" t="s">
        <v>630</v>
      </c>
      <c r="E54" s="17" t="b">
        <f t="shared" si="0"/>
        <v>1</v>
      </c>
      <c r="F54" s="127" t="s">
        <v>555</v>
      </c>
      <c r="G54" s="248" t="s">
        <v>541</v>
      </c>
      <c r="H54" s="128" t="s">
        <v>592</v>
      </c>
      <c r="I54" s="128" t="s">
        <v>630</v>
      </c>
      <c r="J54" s="31"/>
      <c r="K54" s="102" t="s">
        <v>354</v>
      </c>
      <c r="L54" s="90"/>
      <c r="M54" s="111"/>
      <c r="N54" s="112"/>
      <c r="O54" s="113"/>
      <c r="P54" s="112"/>
      <c r="Q54" s="31"/>
      <c r="R54" s="102"/>
      <c r="S54" s="90"/>
      <c r="T54" s="88" t="str">
        <f t="shared" si="1"/>
        <v>NA</v>
      </c>
      <c r="U54" s="88" t="str">
        <f t="shared" si="2"/>
        <v>NA</v>
      </c>
      <c r="V54" s="111"/>
      <c r="W54" s="112"/>
      <c r="X54" s="113"/>
      <c r="Y54" s="112"/>
      <c r="Z54" s="31"/>
      <c r="AA54" s="296"/>
      <c r="AB54" s="89"/>
      <c r="AC54" s="88" t="str">
        <f t="shared" si="3"/>
        <v>NA</v>
      </c>
      <c r="AD54" s="88" t="str">
        <f t="shared" si="4"/>
        <v>NA</v>
      </c>
      <c r="AE54" s="111"/>
      <c r="AF54" s="112"/>
      <c r="AG54" s="113"/>
      <c r="AH54" s="112"/>
      <c r="AI54" s="31"/>
      <c r="AJ54" s="294"/>
      <c r="AK54" s="89"/>
      <c r="AL54" s="88" t="str">
        <f t="shared" si="5"/>
        <v>NA</v>
      </c>
      <c r="AM54" s="88" t="str">
        <f t="shared" si="6"/>
        <v>NA</v>
      </c>
      <c r="AN54" s="111"/>
      <c r="AO54" s="112"/>
      <c r="AP54" s="113"/>
      <c r="AQ54" s="112"/>
      <c r="AR54" s="31"/>
      <c r="AS54" s="32"/>
      <c r="AT54" s="90"/>
      <c r="AU54" s="88"/>
      <c r="AV54" s="88"/>
      <c r="AW54" s="111"/>
      <c r="AX54" s="112"/>
      <c r="AY54" s="113"/>
      <c r="AZ54" s="112"/>
      <c r="BA54" s="31"/>
      <c r="BB54" s="32"/>
      <c r="BC54" s="90"/>
      <c r="BD54" s="88"/>
      <c r="BE54" s="88"/>
      <c r="BF54" s="111"/>
      <c r="BG54" s="112"/>
      <c r="BH54" s="113"/>
      <c r="BI54" s="112"/>
      <c r="BJ54" s="31"/>
      <c r="BK54" s="32"/>
      <c r="BL54" s="90"/>
      <c r="BM54" s="88"/>
      <c r="BN54" s="88"/>
      <c r="BO54" s="111"/>
      <c r="BP54" s="112"/>
      <c r="BQ54" s="113"/>
      <c r="BR54" s="112"/>
      <c r="BS54" s="31"/>
      <c r="BT54" s="32"/>
      <c r="BU54" s="90"/>
      <c r="BV54" s="88"/>
      <c r="BW54" s="88"/>
      <c r="BX54" s="111"/>
      <c r="BY54" s="112"/>
      <c r="BZ54" s="113"/>
      <c r="CA54" s="112"/>
      <c r="CB54" s="31"/>
      <c r="CC54" s="32"/>
      <c r="CD54" s="90"/>
      <c r="CE54" s="88"/>
      <c r="CF54" s="88"/>
      <c r="CG54" s="111"/>
      <c r="CH54" s="112"/>
      <c r="CI54" s="113"/>
      <c r="CJ54" s="112"/>
      <c r="CK54" s="31"/>
      <c r="CL54" s="32"/>
      <c r="CM54" s="90"/>
      <c r="CN54" s="88"/>
      <c r="CO54" s="88"/>
      <c r="CP54" s="111"/>
      <c r="CQ54" s="112"/>
      <c r="CR54" s="113"/>
      <c r="CS54" s="112"/>
      <c r="CT54" s="55"/>
      <c r="CV54" s="230" t="s">
        <v>630</v>
      </c>
      <c r="CX54" s="226" t="s">
        <v>1424</v>
      </c>
      <c r="CY54" s="226" t="s">
        <v>541</v>
      </c>
      <c r="CZ54" s="226" t="s">
        <v>541</v>
      </c>
      <c r="DA54" s="226" t="s">
        <v>1438</v>
      </c>
      <c r="DB54" s="14"/>
      <c r="DC54" s="226" t="s">
        <v>541</v>
      </c>
      <c r="DD54" s="226" t="s">
        <v>541</v>
      </c>
      <c r="DE54" s="226" t="s">
        <v>541</v>
      </c>
      <c r="DF54" s="226" t="s">
        <v>541</v>
      </c>
      <c r="DG54" s="226" t="s">
        <v>541</v>
      </c>
      <c r="DH54" s="14"/>
    </row>
    <row r="55" spans="1:112" ht="26" x14ac:dyDescent="0.25">
      <c r="A55" s="17" t="s">
        <v>556</v>
      </c>
      <c r="B55" s="17" t="s">
        <v>541</v>
      </c>
      <c r="C55" s="17" t="s">
        <v>593</v>
      </c>
      <c r="D55" s="17" t="s">
        <v>631</v>
      </c>
      <c r="E55" s="17" t="b">
        <f t="shared" si="0"/>
        <v>1</v>
      </c>
      <c r="F55" s="127" t="s">
        <v>556</v>
      </c>
      <c r="G55" s="248" t="s">
        <v>541</v>
      </c>
      <c r="H55" s="128" t="s">
        <v>593</v>
      </c>
      <c r="I55" s="128" t="s">
        <v>631</v>
      </c>
      <c r="J55" s="31"/>
      <c r="K55" s="102" t="s">
        <v>354</v>
      </c>
      <c r="L55" s="90"/>
      <c r="M55" s="111"/>
      <c r="N55" s="112"/>
      <c r="O55" s="113"/>
      <c r="P55" s="112"/>
      <c r="Q55" s="31"/>
      <c r="R55" s="102"/>
      <c r="S55" s="90"/>
      <c r="T55" s="88" t="str">
        <f t="shared" si="1"/>
        <v>NA</v>
      </c>
      <c r="U55" s="88" t="str">
        <f t="shared" si="2"/>
        <v>NA</v>
      </c>
      <c r="V55" s="111"/>
      <c r="W55" s="112"/>
      <c r="X55" s="113"/>
      <c r="Y55" s="112"/>
      <c r="Z55" s="31"/>
      <c r="AA55" s="296"/>
      <c r="AB55" s="89"/>
      <c r="AC55" s="88" t="str">
        <f t="shared" si="3"/>
        <v>NA</v>
      </c>
      <c r="AD55" s="88" t="str">
        <f t="shared" si="4"/>
        <v>NA</v>
      </c>
      <c r="AE55" s="111"/>
      <c r="AF55" s="112"/>
      <c r="AG55" s="113"/>
      <c r="AH55" s="112"/>
      <c r="AI55" s="31"/>
      <c r="AJ55" s="294"/>
      <c r="AK55" s="89"/>
      <c r="AL55" s="88" t="str">
        <f t="shared" si="5"/>
        <v>NA</v>
      </c>
      <c r="AM55" s="88" t="str">
        <f t="shared" si="6"/>
        <v>NA</v>
      </c>
      <c r="AN55" s="111"/>
      <c r="AO55" s="112"/>
      <c r="AP55" s="113"/>
      <c r="AQ55" s="112"/>
      <c r="AR55" s="31"/>
      <c r="AS55" s="32"/>
      <c r="AT55" s="90"/>
      <c r="AU55" s="88"/>
      <c r="AV55" s="88"/>
      <c r="AW55" s="111"/>
      <c r="AX55" s="112"/>
      <c r="AY55" s="113"/>
      <c r="AZ55" s="112"/>
      <c r="BA55" s="31"/>
      <c r="BB55" s="32"/>
      <c r="BC55" s="90"/>
      <c r="BD55" s="88"/>
      <c r="BE55" s="88"/>
      <c r="BF55" s="111"/>
      <c r="BG55" s="112"/>
      <c r="BH55" s="113"/>
      <c r="BI55" s="112"/>
      <c r="BJ55" s="31"/>
      <c r="BK55" s="32"/>
      <c r="BL55" s="90"/>
      <c r="BM55" s="88"/>
      <c r="BN55" s="88"/>
      <c r="BO55" s="111"/>
      <c r="BP55" s="112"/>
      <c r="BQ55" s="113"/>
      <c r="BR55" s="112"/>
      <c r="BS55" s="31"/>
      <c r="BT55" s="32"/>
      <c r="BU55" s="90"/>
      <c r="BV55" s="88"/>
      <c r="BW55" s="88"/>
      <c r="BX55" s="111"/>
      <c r="BY55" s="112"/>
      <c r="BZ55" s="113"/>
      <c r="CA55" s="112"/>
      <c r="CB55" s="31"/>
      <c r="CC55" s="32"/>
      <c r="CD55" s="90"/>
      <c r="CE55" s="88"/>
      <c r="CF55" s="88"/>
      <c r="CG55" s="111"/>
      <c r="CH55" s="112"/>
      <c r="CI55" s="113"/>
      <c r="CJ55" s="112"/>
      <c r="CK55" s="31"/>
      <c r="CL55" s="32"/>
      <c r="CM55" s="90"/>
      <c r="CN55" s="88"/>
      <c r="CO55" s="88"/>
      <c r="CP55" s="111"/>
      <c r="CQ55" s="112"/>
      <c r="CR55" s="113"/>
      <c r="CS55" s="112"/>
      <c r="CT55" s="55"/>
      <c r="CV55" s="230" t="s">
        <v>631</v>
      </c>
      <c r="CX55" s="226" t="s">
        <v>1424</v>
      </c>
      <c r="CY55" s="226" t="s">
        <v>541</v>
      </c>
      <c r="CZ55" s="226" t="s">
        <v>541</v>
      </c>
      <c r="DA55" s="226" t="s">
        <v>1438</v>
      </c>
      <c r="DB55" s="14"/>
      <c r="DC55" s="226" t="s">
        <v>541</v>
      </c>
      <c r="DD55" s="226" t="s">
        <v>541</v>
      </c>
      <c r="DE55" s="226" t="s">
        <v>541</v>
      </c>
      <c r="DF55" s="226" t="s">
        <v>541</v>
      </c>
      <c r="DG55" s="226" t="s">
        <v>541</v>
      </c>
      <c r="DH55" s="14"/>
    </row>
    <row r="56" spans="1:112" ht="26" x14ac:dyDescent="0.25">
      <c r="A56" s="17" t="s">
        <v>557</v>
      </c>
      <c r="B56" s="17" t="s">
        <v>541</v>
      </c>
      <c r="C56" s="17" t="s">
        <v>594</v>
      </c>
      <c r="D56" s="17" t="s">
        <v>632</v>
      </c>
      <c r="E56" s="17" t="b">
        <f t="shared" si="0"/>
        <v>1</v>
      </c>
      <c r="F56" s="127" t="s">
        <v>557</v>
      </c>
      <c r="G56" s="248" t="s">
        <v>541</v>
      </c>
      <c r="H56" s="128" t="s">
        <v>594</v>
      </c>
      <c r="I56" s="128" t="s">
        <v>632</v>
      </c>
      <c r="J56" s="31"/>
      <c r="K56" s="102" t="s">
        <v>354</v>
      </c>
      <c r="L56" s="90"/>
      <c r="M56" s="111"/>
      <c r="N56" s="112"/>
      <c r="O56" s="113"/>
      <c r="P56" s="112"/>
      <c r="Q56" s="31"/>
      <c r="R56" s="102"/>
      <c r="S56" s="90"/>
      <c r="T56" s="88" t="str">
        <f t="shared" si="1"/>
        <v>NA</v>
      </c>
      <c r="U56" s="88" t="str">
        <f t="shared" si="2"/>
        <v>NA</v>
      </c>
      <c r="V56" s="111"/>
      <c r="W56" s="112"/>
      <c r="X56" s="113"/>
      <c r="Y56" s="112"/>
      <c r="Z56" s="31"/>
      <c r="AA56" s="296"/>
      <c r="AB56" s="89"/>
      <c r="AC56" s="88" t="str">
        <f t="shared" si="3"/>
        <v>NA</v>
      </c>
      <c r="AD56" s="88" t="str">
        <f t="shared" si="4"/>
        <v>NA</v>
      </c>
      <c r="AE56" s="111"/>
      <c r="AF56" s="112"/>
      <c r="AG56" s="113"/>
      <c r="AH56" s="112"/>
      <c r="AI56" s="31"/>
      <c r="AJ56" s="294"/>
      <c r="AK56" s="89"/>
      <c r="AL56" s="88" t="str">
        <f t="shared" si="5"/>
        <v>NA</v>
      </c>
      <c r="AM56" s="88" t="str">
        <f t="shared" si="6"/>
        <v>NA</v>
      </c>
      <c r="AN56" s="111"/>
      <c r="AO56" s="112"/>
      <c r="AP56" s="113"/>
      <c r="AQ56" s="112"/>
      <c r="AR56" s="31"/>
      <c r="AS56" s="32"/>
      <c r="AT56" s="90"/>
      <c r="AU56" s="88"/>
      <c r="AV56" s="88"/>
      <c r="AW56" s="111"/>
      <c r="AX56" s="112"/>
      <c r="AY56" s="113"/>
      <c r="AZ56" s="112"/>
      <c r="BA56" s="31"/>
      <c r="BB56" s="32"/>
      <c r="BC56" s="90"/>
      <c r="BD56" s="88"/>
      <c r="BE56" s="88"/>
      <c r="BF56" s="111"/>
      <c r="BG56" s="112"/>
      <c r="BH56" s="113"/>
      <c r="BI56" s="112"/>
      <c r="BJ56" s="31"/>
      <c r="BK56" s="32"/>
      <c r="BL56" s="90"/>
      <c r="BM56" s="88"/>
      <c r="BN56" s="88"/>
      <c r="BO56" s="111"/>
      <c r="BP56" s="112"/>
      <c r="BQ56" s="113"/>
      <c r="BR56" s="112"/>
      <c r="BS56" s="31"/>
      <c r="BT56" s="32"/>
      <c r="BU56" s="90"/>
      <c r="BV56" s="88"/>
      <c r="BW56" s="88"/>
      <c r="BX56" s="111"/>
      <c r="BY56" s="112"/>
      <c r="BZ56" s="113"/>
      <c r="CA56" s="112"/>
      <c r="CB56" s="31"/>
      <c r="CC56" s="32"/>
      <c r="CD56" s="90"/>
      <c r="CE56" s="88"/>
      <c r="CF56" s="88"/>
      <c r="CG56" s="111"/>
      <c r="CH56" s="112"/>
      <c r="CI56" s="113"/>
      <c r="CJ56" s="112"/>
      <c r="CK56" s="31"/>
      <c r="CL56" s="32"/>
      <c r="CM56" s="90"/>
      <c r="CN56" s="88"/>
      <c r="CO56" s="88"/>
      <c r="CP56" s="111"/>
      <c r="CQ56" s="112"/>
      <c r="CR56" s="113"/>
      <c r="CS56" s="112"/>
      <c r="CT56" s="55"/>
      <c r="CV56" s="230" t="s">
        <v>632</v>
      </c>
      <c r="CX56" s="226" t="s">
        <v>1425</v>
      </c>
      <c r="CY56" s="226" t="s">
        <v>541</v>
      </c>
      <c r="CZ56" s="226" t="s">
        <v>541</v>
      </c>
      <c r="DA56" s="226" t="s">
        <v>1438</v>
      </c>
      <c r="DB56" s="14"/>
      <c r="DC56" s="226" t="s">
        <v>541</v>
      </c>
      <c r="DD56" s="226" t="s">
        <v>541</v>
      </c>
      <c r="DE56" s="226" t="s">
        <v>541</v>
      </c>
      <c r="DF56" s="226" t="s">
        <v>541</v>
      </c>
      <c r="DG56" s="226" t="s">
        <v>541</v>
      </c>
      <c r="DH56" s="14"/>
    </row>
    <row r="57" spans="1:112" ht="39" x14ac:dyDescent="0.25">
      <c r="A57" s="17" t="s">
        <v>558</v>
      </c>
      <c r="B57" s="17" t="s">
        <v>541</v>
      </c>
      <c r="C57" s="17" t="s">
        <v>595</v>
      </c>
      <c r="D57" s="17" t="s">
        <v>633</v>
      </c>
      <c r="E57" s="17" t="b">
        <f t="shared" si="0"/>
        <v>1</v>
      </c>
      <c r="F57" s="127" t="s">
        <v>558</v>
      </c>
      <c r="G57" s="248" t="s">
        <v>541</v>
      </c>
      <c r="H57" s="128" t="s">
        <v>595</v>
      </c>
      <c r="I57" s="128" t="s">
        <v>633</v>
      </c>
      <c r="J57" s="31"/>
      <c r="K57" s="102" t="s">
        <v>354</v>
      </c>
      <c r="L57" s="89" t="s">
        <v>2414</v>
      </c>
      <c r="M57" s="111" t="s">
        <v>2470</v>
      </c>
      <c r="N57" s="112"/>
      <c r="O57" s="113"/>
      <c r="P57" s="112"/>
      <c r="Q57" s="31"/>
      <c r="R57" s="102"/>
      <c r="S57" s="89"/>
      <c r="T57" s="88" t="str">
        <f t="shared" si="1"/>
        <v>NA</v>
      </c>
      <c r="U57" s="88" t="str">
        <f t="shared" si="2"/>
        <v>YES</v>
      </c>
      <c r="V57" s="111"/>
      <c r="W57" s="112"/>
      <c r="X57" s="113"/>
      <c r="Y57" s="112"/>
      <c r="Z57" s="31"/>
      <c r="AA57" s="296"/>
      <c r="AB57" s="89"/>
      <c r="AC57" s="88" t="str">
        <f t="shared" si="3"/>
        <v>NA</v>
      </c>
      <c r="AD57" s="88" t="str">
        <f t="shared" si="4"/>
        <v>NA</v>
      </c>
      <c r="AE57" s="111"/>
      <c r="AF57" s="112"/>
      <c r="AG57" s="113"/>
      <c r="AH57" s="112"/>
      <c r="AI57" s="31"/>
      <c r="AJ57" s="294"/>
      <c r="AK57" s="89"/>
      <c r="AL57" s="88" t="str">
        <f t="shared" si="5"/>
        <v>NA</v>
      </c>
      <c r="AM57" s="88" t="str">
        <f t="shared" si="6"/>
        <v>NA</v>
      </c>
      <c r="AN57" s="111"/>
      <c r="AO57" s="112"/>
      <c r="AP57" s="113"/>
      <c r="AQ57" s="112"/>
      <c r="AR57" s="31"/>
      <c r="AS57" s="32"/>
      <c r="AT57" s="90"/>
      <c r="AU57" s="88"/>
      <c r="AV57" s="88"/>
      <c r="AW57" s="111"/>
      <c r="AX57" s="112"/>
      <c r="AY57" s="113"/>
      <c r="AZ57" s="112"/>
      <c r="BA57" s="31"/>
      <c r="BB57" s="32"/>
      <c r="BC57" s="90"/>
      <c r="BD57" s="88"/>
      <c r="BE57" s="88"/>
      <c r="BF57" s="111"/>
      <c r="BG57" s="112"/>
      <c r="BH57" s="113"/>
      <c r="BI57" s="112"/>
      <c r="BJ57" s="31"/>
      <c r="BK57" s="32"/>
      <c r="BL57" s="90"/>
      <c r="BM57" s="88"/>
      <c r="BN57" s="88"/>
      <c r="BO57" s="111"/>
      <c r="BP57" s="112"/>
      <c r="BQ57" s="113"/>
      <c r="BR57" s="112"/>
      <c r="BS57" s="31"/>
      <c r="BT57" s="32"/>
      <c r="BU57" s="90"/>
      <c r="BV57" s="88"/>
      <c r="BW57" s="88"/>
      <c r="BX57" s="111"/>
      <c r="BY57" s="112"/>
      <c r="BZ57" s="113"/>
      <c r="CA57" s="112"/>
      <c r="CB57" s="31"/>
      <c r="CC57" s="32"/>
      <c r="CD57" s="90"/>
      <c r="CE57" s="88"/>
      <c r="CF57" s="88"/>
      <c r="CG57" s="111"/>
      <c r="CH57" s="112"/>
      <c r="CI57" s="113"/>
      <c r="CJ57" s="112"/>
      <c r="CK57" s="31"/>
      <c r="CL57" s="32"/>
      <c r="CM57" s="90"/>
      <c r="CN57" s="88"/>
      <c r="CO57" s="88"/>
      <c r="CP57" s="111"/>
      <c r="CQ57" s="112"/>
      <c r="CR57" s="113"/>
      <c r="CS57" s="112"/>
      <c r="CT57" s="55"/>
      <c r="CV57" s="230" t="s">
        <v>633</v>
      </c>
      <c r="CX57" s="226" t="s">
        <v>1425</v>
      </c>
      <c r="CY57" s="226" t="s">
        <v>541</v>
      </c>
      <c r="CZ57" s="226" t="s">
        <v>541</v>
      </c>
      <c r="DA57" s="226" t="s">
        <v>1438</v>
      </c>
      <c r="DB57" s="14"/>
      <c r="DC57" s="226" t="s">
        <v>541</v>
      </c>
      <c r="DD57" s="226" t="s">
        <v>541</v>
      </c>
      <c r="DE57" s="226" t="s">
        <v>541</v>
      </c>
      <c r="DF57" s="226" t="s">
        <v>541</v>
      </c>
      <c r="DG57" s="226" t="s">
        <v>541</v>
      </c>
      <c r="DH57" s="14"/>
    </row>
    <row r="58" spans="1:112" ht="26" x14ac:dyDescent="0.25">
      <c r="A58" s="17" t="s">
        <v>559</v>
      </c>
      <c r="B58" s="17" t="s">
        <v>541</v>
      </c>
      <c r="C58" s="17" t="s">
        <v>596</v>
      </c>
      <c r="D58" s="17" t="s">
        <v>634</v>
      </c>
      <c r="E58" s="17" t="b">
        <f t="shared" si="0"/>
        <v>1</v>
      </c>
      <c r="F58" s="127" t="s">
        <v>559</v>
      </c>
      <c r="G58" s="248" t="s">
        <v>541</v>
      </c>
      <c r="H58" s="128" t="s">
        <v>596</v>
      </c>
      <c r="I58" s="128" t="s">
        <v>634</v>
      </c>
      <c r="J58" s="31"/>
      <c r="K58" s="102" t="s">
        <v>354</v>
      </c>
      <c r="L58" s="145"/>
      <c r="M58" s="111"/>
      <c r="N58" s="112"/>
      <c r="O58" s="113"/>
      <c r="P58" s="112"/>
      <c r="Q58" s="31"/>
      <c r="R58" s="102"/>
      <c r="S58" s="145"/>
      <c r="T58" s="88" t="str">
        <f t="shared" si="1"/>
        <v>NA</v>
      </c>
      <c r="U58" s="88" t="str">
        <f t="shared" si="2"/>
        <v>NA</v>
      </c>
      <c r="V58" s="111"/>
      <c r="W58" s="112"/>
      <c r="X58" s="113"/>
      <c r="Y58" s="112"/>
      <c r="Z58" s="31"/>
      <c r="AA58" s="296"/>
      <c r="AB58" s="89"/>
      <c r="AC58" s="88" t="str">
        <f t="shared" si="3"/>
        <v>NA</v>
      </c>
      <c r="AD58" s="88" t="str">
        <f t="shared" si="4"/>
        <v>NA</v>
      </c>
      <c r="AE58" s="111"/>
      <c r="AF58" s="112"/>
      <c r="AG58" s="113"/>
      <c r="AH58" s="112"/>
      <c r="AI58" s="31"/>
      <c r="AJ58" s="294"/>
      <c r="AK58" s="89"/>
      <c r="AL58" s="88" t="str">
        <f t="shared" si="5"/>
        <v>NA</v>
      </c>
      <c r="AM58" s="88" t="str">
        <f t="shared" si="6"/>
        <v>NA</v>
      </c>
      <c r="AN58" s="111"/>
      <c r="AO58" s="112"/>
      <c r="AP58" s="113"/>
      <c r="AQ58" s="112"/>
      <c r="AR58" s="31"/>
      <c r="AS58" s="32"/>
      <c r="AT58" s="90"/>
      <c r="AU58" s="88"/>
      <c r="AV58" s="88"/>
      <c r="AW58" s="111"/>
      <c r="AX58" s="112"/>
      <c r="AY58" s="113"/>
      <c r="AZ58" s="112"/>
      <c r="BA58" s="31"/>
      <c r="BB58" s="32"/>
      <c r="BC58" s="90"/>
      <c r="BD58" s="88"/>
      <c r="BE58" s="88"/>
      <c r="BF58" s="111"/>
      <c r="BG58" s="112"/>
      <c r="BH58" s="113"/>
      <c r="BI58" s="112"/>
      <c r="BJ58" s="31"/>
      <c r="BK58" s="32"/>
      <c r="BL58" s="90"/>
      <c r="BM58" s="88"/>
      <c r="BN58" s="88"/>
      <c r="BO58" s="111"/>
      <c r="BP58" s="112"/>
      <c r="BQ58" s="113"/>
      <c r="BR58" s="112"/>
      <c r="BS58" s="31"/>
      <c r="BT58" s="32"/>
      <c r="BU58" s="90"/>
      <c r="BV58" s="88"/>
      <c r="BW58" s="88"/>
      <c r="BX58" s="111"/>
      <c r="BY58" s="112"/>
      <c r="BZ58" s="113"/>
      <c r="CA58" s="112"/>
      <c r="CB58" s="31"/>
      <c r="CC58" s="32"/>
      <c r="CD58" s="90"/>
      <c r="CE58" s="88"/>
      <c r="CF58" s="88"/>
      <c r="CG58" s="111"/>
      <c r="CH58" s="112"/>
      <c r="CI58" s="113"/>
      <c r="CJ58" s="112"/>
      <c r="CK58" s="31"/>
      <c r="CL58" s="32"/>
      <c r="CM58" s="90"/>
      <c r="CN58" s="88"/>
      <c r="CO58" s="88"/>
      <c r="CP58" s="111"/>
      <c r="CQ58" s="112"/>
      <c r="CR58" s="113"/>
      <c r="CS58" s="112"/>
      <c r="CT58" s="55"/>
      <c r="CV58" s="230" t="s">
        <v>634</v>
      </c>
      <c r="CX58" s="226" t="s">
        <v>1425</v>
      </c>
      <c r="CY58" s="226" t="s">
        <v>541</v>
      </c>
      <c r="CZ58" s="226" t="s">
        <v>541</v>
      </c>
      <c r="DA58" s="226" t="s">
        <v>1438</v>
      </c>
      <c r="DB58" s="14"/>
      <c r="DC58" s="226" t="s">
        <v>541</v>
      </c>
      <c r="DD58" s="226" t="s">
        <v>541</v>
      </c>
      <c r="DE58" s="226" t="s">
        <v>541</v>
      </c>
      <c r="DF58" s="226" t="s">
        <v>541</v>
      </c>
      <c r="DG58" s="226" t="s">
        <v>541</v>
      </c>
      <c r="DH58" s="14"/>
    </row>
    <row r="59" spans="1:112" ht="26" x14ac:dyDescent="0.25">
      <c r="A59" s="17" t="s">
        <v>381</v>
      </c>
      <c r="B59" s="17" t="s">
        <v>541</v>
      </c>
      <c r="C59" s="17" t="s">
        <v>301</v>
      </c>
      <c r="D59" s="17" t="s">
        <v>302</v>
      </c>
      <c r="E59" s="17" t="b">
        <f t="shared" si="0"/>
        <v>1</v>
      </c>
      <c r="F59" s="127" t="s">
        <v>381</v>
      </c>
      <c r="G59" s="248" t="s">
        <v>541</v>
      </c>
      <c r="H59" s="128" t="s">
        <v>301</v>
      </c>
      <c r="I59" s="128" t="s">
        <v>302</v>
      </c>
      <c r="J59" s="31"/>
      <c r="K59" s="102" t="s">
        <v>354</v>
      </c>
      <c r="L59" s="90"/>
      <c r="M59" s="111"/>
      <c r="N59" s="112"/>
      <c r="O59" s="113"/>
      <c r="P59" s="112"/>
      <c r="Q59" s="31"/>
      <c r="R59" s="102"/>
      <c r="S59" s="90"/>
      <c r="T59" s="88" t="str">
        <f>IF(LEFT(S60,1)&lt;&gt;"x","NA",IF(RIGHT(R59,3)=RIGHT(K59,3),IF(RIGHT(R59,3)&lt;&gt;RIGHT(K59,3),IF(OR(AND(RIGHT(R59,3)=RIGHT(K59,3),S60=L59)),"NO","YES"),"NO"),IF(OR(RIGHT(R59,3)=RIGHT(K59,3)),"ERROR","YES")))</f>
        <v>NA</v>
      </c>
      <c r="U59" s="88" t="str">
        <f>IF(LEFT(L59,1)&lt;&gt;LEFT(S60,1),"YES",IF(LEFT(S60,1)="x","NO","NA"))</f>
        <v>NA</v>
      </c>
      <c r="V59" s="111"/>
      <c r="W59" s="112"/>
      <c r="X59" s="113"/>
      <c r="Y59" s="112"/>
      <c r="Z59" s="31"/>
      <c r="AA59" s="296"/>
      <c r="AB59" s="89"/>
      <c r="AC59" s="88" t="str">
        <f t="shared" si="3"/>
        <v>NA</v>
      </c>
      <c r="AD59" s="88" t="str">
        <f t="shared" si="4"/>
        <v>NA</v>
      </c>
      <c r="AE59" s="111"/>
      <c r="AF59" s="112"/>
      <c r="AG59" s="113"/>
      <c r="AH59" s="112"/>
      <c r="AI59" s="31"/>
      <c r="AJ59" s="294"/>
      <c r="AK59" s="89"/>
      <c r="AL59" s="88" t="str">
        <f t="shared" si="5"/>
        <v>NA</v>
      </c>
      <c r="AM59" s="88" t="str">
        <f t="shared" si="6"/>
        <v>NA</v>
      </c>
      <c r="AN59" s="111"/>
      <c r="AO59" s="112"/>
      <c r="AP59" s="113"/>
      <c r="AQ59" s="112"/>
      <c r="AR59" s="31"/>
      <c r="AS59" s="32"/>
      <c r="AT59" s="90"/>
      <c r="AU59" s="88"/>
      <c r="AV59" s="88"/>
      <c r="AW59" s="111"/>
      <c r="AX59" s="112"/>
      <c r="AY59" s="113"/>
      <c r="AZ59" s="112"/>
      <c r="BA59" s="31"/>
      <c r="BB59" s="32"/>
      <c r="BC59" s="90"/>
      <c r="BD59" s="88"/>
      <c r="BE59" s="88"/>
      <c r="BF59" s="111"/>
      <c r="BG59" s="112"/>
      <c r="BH59" s="113"/>
      <c r="BI59" s="112"/>
      <c r="BJ59" s="31"/>
      <c r="BK59" s="32"/>
      <c r="BL59" s="90"/>
      <c r="BM59" s="88"/>
      <c r="BN59" s="88"/>
      <c r="BO59" s="111"/>
      <c r="BP59" s="112"/>
      <c r="BQ59" s="113"/>
      <c r="BR59" s="112"/>
      <c r="BS59" s="31"/>
      <c r="BT59" s="32"/>
      <c r="BU59" s="90"/>
      <c r="BV59" s="88"/>
      <c r="BW59" s="88"/>
      <c r="BX59" s="111"/>
      <c r="BY59" s="112"/>
      <c r="BZ59" s="113"/>
      <c r="CA59" s="112"/>
      <c r="CB59" s="31"/>
      <c r="CC59" s="32"/>
      <c r="CD59" s="90"/>
      <c r="CE59" s="88"/>
      <c r="CF59" s="88"/>
      <c r="CG59" s="111"/>
      <c r="CH59" s="112"/>
      <c r="CI59" s="113"/>
      <c r="CJ59" s="112"/>
      <c r="CK59" s="31"/>
      <c r="CL59" s="32"/>
      <c r="CM59" s="90"/>
      <c r="CN59" s="88"/>
      <c r="CO59" s="88"/>
      <c r="CP59" s="111"/>
      <c r="CQ59" s="112"/>
      <c r="CR59" s="113"/>
      <c r="CS59" s="112"/>
      <c r="CT59" s="55"/>
      <c r="CV59" s="230" t="s">
        <v>302</v>
      </c>
      <c r="CX59" s="226" t="s">
        <v>541</v>
      </c>
      <c r="CY59" s="226" t="s">
        <v>541</v>
      </c>
      <c r="CZ59" s="226" t="s">
        <v>541</v>
      </c>
      <c r="DA59" s="226" t="s">
        <v>1233</v>
      </c>
      <c r="DB59" s="226"/>
      <c r="DC59" s="226" t="s">
        <v>541</v>
      </c>
      <c r="DD59" s="226" t="s">
        <v>541</v>
      </c>
      <c r="DE59" s="226" t="s">
        <v>541</v>
      </c>
      <c r="DF59" s="226" t="s">
        <v>541</v>
      </c>
      <c r="DG59" s="226" t="s">
        <v>541</v>
      </c>
      <c r="DH59" s="14"/>
    </row>
    <row r="60" spans="1:112" ht="13" x14ac:dyDescent="0.25">
      <c r="A60" s="17" t="s">
        <v>382</v>
      </c>
      <c r="B60" s="17" t="s">
        <v>541</v>
      </c>
      <c r="C60" s="17" t="s">
        <v>299</v>
      </c>
      <c r="D60" s="17" t="s">
        <v>300</v>
      </c>
      <c r="E60" s="17" t="b">
        <f t="shared" si="0"/>
        <v>1</v>
      </c>
      <c r="F60" s="127" t="s">
        <v>382</v>
      </c>
      <c r="G60" s="248" t="s">
        <v>541</v>
      </c>
      <c r="H60" s="128" t="s">
        <v>299</v>
      </c>
      <c r="I60" s="128" t="s">
        <v>300</v>
      </c>
      <c r="J60" s="31"/>
      <c r="K60" s="102" t="s">
        <v>354</v>
      </c>
      <c r="L60" s="90" t="s">
        <v>31</v>
      </c>
      <c r="M60" s="111" t="s">
        <v>2470</v>
      </c>
      <c r="N60" s="112"/>
      <c r="O60" s="113"/>
      <c r="P60" s="112"/>
      <c r="Q60" s="31"/>
      <c r="R60" s="102"/>
      <c r="S60" s="90"/>
      <c r="T60" s="88" t="str">
        <f>IF(LEFT(S61,1)&lt;&gt;"x","NA",IF(RIGHT(R60,3)=RIGHT(K60,3),IF(RIGHT(R60,3)&lt;&gt;RIGHT(K60,3),IF(OR(AND(RIGHT(R60,3)=RIGHT(K60,3),S61=L60)),"NO","YES"),"NO"),IF(OR(RIGHT(R60,3)=RIGHT(K60,3)),"ERROR","YES")))</f>
        <v>NA</v>
      </c>
      <c r="U60" s="88" t="str">
        <f>IF(LEFT(L60,1)&lt;&gt;LEFT(S61,1),"YES",IF(LEFT(S61,1)="x","NO","NA"))</f>
        <v>YES</v>
      </c>
      <c r="V60" s="111"/>
      <c r="W60" s="112"/>
      <c r="X60" s="113"/>
      <c r="Y60" s="112"/>
      <c r="Z60" s="31"/>
      <c r="AA60" s="296"/>
      <c r="AB60" s="89"/>
      <c r="AC60" s="88" t="str">
        <f t="shared" si="3"/>
        <v>NA</v>
      </c>
      <c r="AD60" s="88" t="str">
        <f t="shared" si="4"/>
        <v>NA</v>
      </c>
      <c r="AE60" s="111"/>
      <c r="AF60" s="112"/>
      <c r="AG60" s="113"/>
      <c r="AH60" s="112"/>
      <c r="AI60" s="31"/>
      <c r="AJ60" s="294"/>
      <c r="AK60" s="89"/>
      <c r="AL60" s="88" t="str">
        <f t="shared" si="5"/>
        <v>NA</v>
      </c>
      <c r="AM60" s="88" t="str">
        <f t="shared" si="6"/>
        <v>NA</v>
      </c>
      <c r="AN60" s="111"/>
      <c r="AO60" s="112"/>
      <c r="AP60" s="113"/>
      <c r="AQ60" s="112"/>
      <c r="AR60" s="31"/>
      <c r="AS60" s="32"/>
      <c r="AT60" s="90"/>
      <c r="AU60" s="88"/>
      <c r="AV60" s="88"/>
      <c r="AW60" s="111"/>
      <c r="AX60" s="112"/>
      <c r="AY60" s="113"/>
      <c r="AZ60" s="112"/>
      <c r="BA60" s="31"/>
      <c r="BB60" s="32"/>
      <c r="BC60" s="90"/>
      <c r="BD60" s="88"/>
      <c r="BE60" s="88"/>
      <c r="BF60" s="111"/>
      <c r="BG60" s="112"/>
      <c r="BH60" s="113"/>
      <c r="BI60" s="112"/>
      <c r="BJ60" s="31"/>
      <c r="BK60" s="32"/>
      <c r="BL60" s="90"/>
      <c r="BM60" s="88"/>
      <c r="BN60" s="88"/>
      <c r="BO60" s="111"/>
      <c r="BP60" s="112"/>
      <c r="BQ60" s="113"/>
      <c r="BR60" s="112"/>
      <c r="BS60" s="31"/>
      <c r="BT60" s="32"/>
      <c r="BU60" s="90"/>
      <c r="BV60" s="88"/>
      <c r="BW60" s="88"/>
      <c r="BX60" s="111"/>
      <c r="BY60" s="112"/>
      <c r="BZ60" s="113"/>
      <c r="CA60" s="112"/>
      <c r="CB60" s="31"/>
      <c r="CC60" s="32"/>
      <c r="CD60" s="90"/>
      <c r="CE60" s="88"/>
      <c r="CF60" s="88"/>
      <c r="CG60" s="111"/>
      <c r="CH60" s="112"/>
      <c r="CI60" s="113"/>
      <c r="CJ60" s="112"/>
      <c r="CK60" s="31"/>
      <c r="CL60" s="32"/>
      <c r="CM60" s="90"/>
      <c r="CN60" s="88"/>
      <c r="CO60" s="88"/>
      <c r="CP60" s="111"/>
      <c r="CQ60" s="112"/>
      <c r="CR60" s="113"/>
      <c r="CS60" s="112"/>
      <c r="CT60" s="55"/>
      <c r="CV60" s="230" t="s">
        <v>300</v>
      </c>
      <c r="CX60" s="226" t="s">
        <v>541</v>
      </c>
      <c r="CY60" s="226" t="s">
        <v>541</v>
      </c>
      <c r="CZ60" s="226" t="s">
        <v>541</v>
      </c>
      <c r="DA60" s="226" t="s">
        <v>1233</v>
      </c>
      <c r="DB60" s="226"/>
      <c r="DC60" s="226" t="s">
        <v>541</v>
      </c>
      <c r="DD60" s="226" t="s">
        <v>541</v>
      </c>
      <c r="DE60" s="226" t="s">
        <v>541</v>
      </c>
      <c r="DF60" s="226" t="s">
        <v>541</v>
      </c>
      <c r="DG60" s="226" t="s">
        <v>541</v>
      </c>
      <c r="DH60" s="14"/>
    </row>
    <row r="61" spans="1:112" ht="13" x14ac:dyDescent="0.25">
      <c r="A61" s="17" t="s">
        <v>383</v>
      </c>
      <c r="B61" s="17" t="s">
        <v>541</v>
      </c>
      <c r="C61" s="17" t="s">
        <v>297</v>
      </c>
      <c r="D61" s="17" t="s">
        <v>298</v>
      </c>
      <c r="E61" s="17" t="b">
        <f t="shared" si="0"/>
        <v>1</v>
      </c>
      <c r="F61" s="127" t="s">
        <v>383</v>
      </c>
      <c r="G61" s="248" t="s">
        <v>541</v>
      </c>
      <c r="H61" s="128" t="s">
        <v>297</v>
      </c>
      <c r="I61" s="128" t="s">
        <v>298</v>
      </c>
      <c r="J61" s="31"/>
      <c r="K61" s="102" t="s">
        <v>354</v>
      </c>
      <c r="L61" s="90"/>
      <c r="M61" s="111"/>
      <c r="N61" s="112"/>
      <c r="O61" s="113"/>
      <c r="P61" s="112"/>
      <c r="Q61" s="31"/>
      <c r="R61" s="102"/>
      <c r="S61" s="90"/>
      <c r="T61" s="88" t="str">
        <f t="shared" ref="T61:T124" si="15">IF(LEFT(S61,1)&lt;&gt;"x","NA",IF(RIGHT(R61,3)=RIGHT(K61,3),IF(RIGHT(R61,3)&lt;&gt;RIGHT(K61,3),IF(OR(AND(RIGHT(R61,3)=RIGHT(K61,3),S61=L61)),"NO","YES"),"NO"),IF(OR(RIGHT(R61,3)=RIGHT(K61,3)),"ERROR","YES")))</f>
        <v>NA</v>
      </c>
      <c r="U61" s="88" t="str">
        <f t="shared" ref="U61:U124" si="16">IF(LEFT(L61,1)&lt;&gt;LEFT(S61,1),"YES",IF(LEFT(S61,1)="x","NO","NA"))</f>
        <v>NA</v>
      </c>
      <c r="V61" s="111"/>
      <c r="W61" s="112"/>
      <c r="X61" s="113"/>
      <c r="Y61" s="112"/>
      <c r="Z61" s="31"/>
      <c r="AA61" s="296"/>
      <c r="AB61" s="89"/>
      <c r="AC61" s="88" t="str">
        <f t="shared" si="3"/>
        <v>NA</v>
      </c>
      <c r="AD61" s="88" t="str">
        <f t="shared" si="4"/>
        <v>NA</v>
      </c>
      <c r="AE61" s="111"/>
      <c r="AF61" s="112"/>
      <c r="AG61" s="113"/>
      <c r="AH61" s="112"/>
      <c r="AI61" s="31"/>
      <c r="AJ61" s="294"/>
      <c r="AK61" s="89"/>
      <c r="AL61" s="88" t="str">
        <f t="shared" si="5"/>
        <v>NA</v>
      </c>
      <c r="AM61" s="88" t="str">
        <f t="shared" si="6"/>
        <v>NA</v>
      </c>
      <c r="AN61" s="111"/>
      <c r="AO61" s="112"/>
      <c r="AP61" s="113"/>
      <c r="AQ61" s="112"/>
      <c r="AR61" s="31"/>
      <c r="AS61" s="32"/>
      <c r="AT61" s="90"/>
      <c r="AU61" s="88"/>
      <c r="AV61" s="88"/>
      <c r="AW61" s="111"/>
      <c r="AX61" s="112"/>
      <c r="AY61" s="113"/>
      <c r="AZ61" s="112"/>
      <c r="BA61" s="31"/>
      <c r="BB61" s="32"/>
      <c r="BC61" s="90"/>
      <c r="BD61" s="88"/>
      <c r="BE61" s="88"/>
      <c r="BF61" s="111"/>
      <c r="BG61" s="112"/>
      <c r="BH61" s="113"/>
      <c r="BI61" s="112"/>
      <c r="BJ61" s="31"/>
      <c r="BK61" s="32"/>
      <c r="BL61" s="90"/>
      <c r="BM61" s="88"/>
      <c r="BN61" s="88"/>
      <c r="BO61" s="111"/>
      <c r="BP61" s="112"/>
      <c r="BQ61" s="113"/>
      <c r="BR61" s="112"/>
      <c r="BS61" s="31"/>
      <c r="BT61" s="32"/>
      <c r="BU61" s="90"/>
      <c r="BV61" s="88"/>
      <c r="BW61" s="88"/>
      <c r="BX61" s="111"/>
      <c r="BY61" s="112"/>
      <c r="BZ61" s="113"/>
      <c r="CA61" s="112"/>
      <c r="CB61" s="31"/>
      <c r="CC61" s="32"/>
      <c r="CD61" s="90"/>
      <c r="CE61" s="88"/>
      <c r="CF61" s="88"/>
      <c r="CG61" s="111"/>
      <c r="CH61" s="112"/>
      <c r="CI61" s="113"/>
      <c r="CJ61" s="112"/>
      <c r="CK61" s="31"/>
      <c r="CL61" s="32"/>
      <c r="CM61" s="90"/>
      <c r="CN61" s="88"/>
      <c r="CO61" s="88"/>
      <c r="CP61" s="111"/>
      <c r="CQ61" s="112"/>
      <c r="CR61" s="113"/>
      <c r="CS61" s="112"/>
      <c r="CT61" s="55"/>
      <c r="CV61" s="230" t="s">
        <v>298</v>
      </c>
      <c r="CX61" s="226" t="s">
        <v>1425</v>
      </c>
      <c r="CY61" s="226" t="s">
        <v>541</v>
      </c>
      <c r="CZ61" s="226" t="s">
        <v>541</v>
      </c>
      <c r="DA61" s="226" t="s">
        <v>1233</v>
      </c>
      <c r="DB61" s="14"/>
      <c r="DC61" s="226" t="s">
        <v>541</v>
      </c>
      <c r="DD61" s="226" t="s">
        <v>541</v>
      </c>
      <c r="DE61" s="226" t="s">
        <v>541</v>
      </c>
      <c r="DF61" s="226" t="s">
        <v>541</v>
      </c>
      <c r="DG61" s="226" t="s">
        <v>541</v>
      </c>
      <c r="DH61" s="14"/>
    </row>
    <row r="62" spans="1:112" ht="12.75" customHeight="1" x14ac:dyDescent="0.25">
      <c r="A62" s="17" t="s">
        <v>1004</v>
      </c>
      <c r="B62" s="17" t="s">
        <v>1281</v>
      </c>
      <c r="C62" s="17" t="s">
        <v>1376</v>
      </c>
      <c r="D62" s="17" t="s">
        <v>741</v>
      </c>
      <c r="E62" s="17" t="b">
        <f t="shared" si="0"/>
        <v>1</v>
      </c>
      <c r="F62" s="232" t="s">
        <v>2082</v>
      </c>
      <c r="G62" s="277" t="s">
        <v>2154</v>
      </c>
      <c r="H62" s="128" t="s">
        <v>1376</v>
      </c>
      <c r="I62" s="233" t="s">
        <v>741</v>
      </c>
      <c r="J62" s="31"/>
      <c r="K62" s="102" t="s">
        <v>354</v>
      </c>
      <c r="L62" s="90" t="s">
        <v>31</v>
      </c>
      <c r="M62" s="111" t="s">
        <v>2470</v>
      </c>
      <c r="N62" s="112"/>
      <c r="O62" s="113"/>
      <c r="P62" s="112"/>
      <c r="Q62" s="31"/>
      <c r="R62" s="102"/>
      <c r="S62" s="90"/>
      <c r="T62" s="88" t="str">
        <f t="shared" si="15"/>
        <v>NA</v>
      </c>
      <c r="U62" s="88" t="str">
        <f t="shared" si="16"/>
        <v>YES</v>
      </c>
      <c r="V62" s="111"/>
      <c r="W62" s="112"/>
      <c r="X62" s="113"/>
      <c r="Y62" s="112"/>
      <c r="Z62" s="31"/>
      <c r="AA62" s="296"/>
      <c r="AB62" s="89"/>
      <c r="AC62" s="88" t="str">
        <f t="shared" ref="AC62:AC67" si="17">IF(LEFT(AB62,1)&lt;&gt;"x","NA",IF(RIGHT(AA62,3)=RIGHT(R62,3),IF(RIGHT(AA62,3)&lt;&gt;RIGHT(K62,3),IF(OR(AND(RIGHT(AA62,3)=RIGHT(R62,3),AB62=S62),AND(RIGHT(AA62,3)=RIGHT(K62,3),AB62=L62)),"NO","YES"),"NO"),IF(OR(RIGHT(AA62,3)=RIGHT(R62,3),RIGHT(AA62,3)=RIGHT(K62,3)),"ERROR","YES")))</f>
        <v>NA</v>
      </c>
      <c r="AD62" s="88" t="str">
        <f t="shared" ref="AD62:AD67" si="18">IF(LEFT(S62,1)&lt;&gt;LEFT(AB62,1),"YES",IF(LEFT(AB62,1)="x","NO","NA"))</f>
        <v>NA</v>
      </c>
      <c r="AE62" s="111"/>
      <c r="AF62" s="112"/>
      <c r="AG62" s="113"/>
      <c r="AH62" s="112"/>
      <c r="AI62" s="31"/>
      <c r="AJ62" s="294"/>
      <c r="AK62" s="89"/>
      <c r="AL62" s="88" t="str">
        <f t="shared" si="5"/>
        <v>NA</v>
      </c>
      <c r="AM62" s="88" t="str">
        <f t="shared" si="6"/>
        <v>NA</v>
      </c>
      <c r="AN62" s="111"/>
      <c r="AO62" s="112"/>
      <c r="AP62" s="113"/>
      <c r="AQ62" s="112"/>
      <c r="AR62" s="31"/>
      <c r="AS62" s="32"/>
      <c r="AT62" s="90"/>
      <c r="AU62" s="88"/>
      <c r="AV62" s="88"/>
      <c r="AW62" s="111"/>
      <c r="AX62" s="112"/>
      <c r="AY62" s="113"/>
      <c r="AZ62" s="112"/>
      <c r="BA62" s="31"/>
      <c r="BB62" s="32"/>
      <c r="BC62" s="90"/>
      <c r="BD62" s="88"/>
      <c r="BE62" s="88"/>
      <c r="BF62" s="111"/>
      <c r="BG62" s="112"/>
      <c r="BH62" s="113"/>
      <c r="BI62" s="112"/>
      <c r="BJ62" s="31"/>
      <c r="BK62" s="32"/>
      <c r="BL62" s="90"/>
      <c r="BM62" s="88"/>
      <c r="BN62" s="88"/>
      <c r="BO62" s="111"/>
      <c r="BP62" s="112"/>
      <c r="BQ62" s="113"/>
      <c r="BR62" s="112"/>
      <c r="BS62" s="31"/>
      <c r="BT62" s="32"/>
      <c r="BU62" s="90"/>
      <c r="BV62" s="88"/>
      <c r="BW62" s="88"/>
      <c r="BX62" s="111"/>
      <c r="BY62" s="112"/>
      <c r="BZ62" s="113"/>
      <c r="CA62" s="112"/>
      <c r="CB62" s="31"/>
      <c r="CC62" s="32"/>
      <c r="CD62" s="90"/>
      <c r="CE62" s="88"/>
      <c r="CF62" s="88"/>
      <c r="CG62" s="111"/>
      <c r="CH62" s="112"/>
      <c r="CI62" s="113"/>
      <c r="CJ62" s="112"/>
      <c r="CK62" s="31"/>
      <c r="CL62" s="32"/>
      <c r="CM62" s="90"/>
      <c r="CN62" s="88"/>
      <c r="CO62" s="88"/>
      <c r="CP62" s="111"/>
      <c r="CQ62" s="112"/>
      <c r="CR62" s="113"/>
      <c r="CS62" s="112"/>
      <c r="CT62" s="55"/>
      <c r="CV62" s="230"/>
      <c r="CX62" s="226" t="s">
        <v>541</v>
      </c>
      <c r="CY62" s="226" t="s">
        <v>541</v>
      </c>
      <c r="CZ62" s="226" t="s">
        <v>541</v>
      </c>
      <c r="DA62" s="226" t="s">
        <v>1233</v>
      </c>
      <c r="DB62" s="226"/>
      <c r="DC62" s="226" t="s">
        <v>541</v>
      </c>
      <c r="DD62" s="226" t="s">
        <v>541</v>
      </c>
      <c r="DE62" s="226" t="s">
        <v>541</v>
      </c>
      <c r="DF62" s="226" t="s">
        <v>541</v>
      </c>
      <c r="DG62" s="226" t="s">
        <v>541</v>
      </c>
      <c r="DH62" s="14"/>
    </row>
    <row r="63" spans="1:112" ht="12.75" customHeight="1" x14ac:dyDescent="0.25">
      <c r="A63" s="17" t="s">
        <v>1004</v>
      </c>
      <c r="B63" s="17" t="s">
        <v>1282</v>
      </c>
      <c r="C63" s="17" t="s">
        <v>756</v>
      </c>
      <c r="D63" s="17" t="s">
        <v>742</v>
      </c>
      <c r="E63" s="17" t="b">
        <f t="shared" si="0"/>
        <v>1</v>
      </c>
      <c r="F63" s="232" t="s">
        <v>2083</v>
      </c>
      <c r="G63" s="277" t="s">
        <v>2155</v>
      </c>
      <c r="H63" s="128" t="s">
        <v>756</v>
      </c>
      <c r="I63" s="233" t="s">
        <v>742</v>
      </c>
      <c r="J63" s="31"/>
      <c r="K63" s="102" t="s">
        <v>354</v>
      </c>
      <c r="L63" s="90"/>
      <c r="M63" s="111"/>
      <c r="N63" s="112"/>
      <c r="O63" s="113"/>
      <c r="P63" s="112"/>
      <c r="Q63" s="31"/>
      <c r="R63" s="102"/>
      <c r="S63" s="90"/>
      <c r="T63" s="88" t="str">
        <f t="shared" si="15"/>
        <v>NA</v>
      </c>
      <c r="U63" s="88" t="str">
        <f t="shared" si="16"/>
        <v>NA</v>
      </c>
      <c r="V63" s="111"/>
      <c r="W63" s="112"/>
      <c r="X63" s="113"/>
      <c r="Y63" s="112"/>
      <c r="Z63" s="31"/>
      <c r="AA63" s="296"/>
      <c r="AB63" s="89"/>
      <c r="AC63" s="88" t="str">
        <f t="shared" si="17"/>
        <v>NA</v>
      </c>
      <c r="AD63" s="88" t="str">
        <f t="shared" si="18"/>
        <v>NA</v>
      </c>
      <c r="AE63" s="111"/>
      <c r="AF63" s="112"/>
      <c r="AG63" s="113"/>
      <c r="AH63" s="112"/>
      <c r="AI63" s="31"/>
      <c r="AJ63" s="294"/>
      <c r="AK63" s="89"/>
      <c r="AL63" s="88" t="str">
        <f t="shared" si="5"/>
        <v>NA</v>
      </c>
      <c r="AM63" s="88" t="str">
        <f t="shared" si="6"/>
        <v>NA</v>
      </c>
      <c r="AN63" s="111"/>
      <c r="AO63" s="112"/>
      <c r="AP63" s="113"/>
      <c r="AQ63" s="112"/>
      <c r="AR63" s="31"/>
      <c r="AS63" s="32"/>
      <c r="AT63" s="90"/>
      <c r="AU63" s="88"/>
      <c r="AV63" s="88"/>
      <c r="AW63" s="111"/>
      <c r="AX63" s="112"/>
      <c r="AY63" s="113"/>
      <c r="AZ63" s="112"/>
      <c r="BA63" s="31"/>
      <c r="BB63" s="32"/>
      <c r="BC63" s="90"/>
      <c r="BD63" s="88"/>
      <c r="BE63" s="88"/>
      <c r="BF63" s="111"/>
      <c r="BG63" s="112"/>
      <c r="BH63" s="113"/>
      <c r="BI63" s="112"/>
      <c r="BJ63" s="31"/>
      <c r="BK63" s="32"/>
      <c r="BL63" s="90"/>
      <c r="BM63" s="88"/>
      <c r="BN63" s="88"/>
      <c r="BO63" s="111"/>
      <c r="BP63" s="112"/>
      <c r="BQ63" s="113"/>
      <c r="BR63" s="112"/>
      <c r="BS63" s="31"/>
      <c r="BT63" s="32"/>
      <c r="BU63" s="90"/>
      <c r="BV63" s="88"/>
      <c r="BW63" s="88"/>
      <c r="BX63" s="111"/>
      <c r="BY63" s="112"/>
      <c r="BZ63" s="113"/>
      <c r="CA63" s="112"/>
      <c r="CB63" s="31"/>
      <c r="CC63" s="32"/>
      <c r="CD63" s="90"/>
      <c r="CE63" s="88"/>
      <c r="CF63" s="88"/>
      <c r="CG63" s="111"/>
      <c r="CH63" s="112"/>
      <c r="CI63" s="113"/>
      <c r="CJ63" s="112"/>
      <c r="CK63" s="31"/>
      <c r="CL63" s="32"/>
      <c r="CM63" s="90"/>
      <c r="CN63" s="88"/>
      <c r="CO63" s="88"/>
      <c r="CP63" s="111"/>
      <c r="CQ63" s="112"/>
      <c r="CR63" s="113"/>
      <c r="CS63" s="112"/>
      <c r="CT63" s="55"/>
      <c r="CV63" s="230"/>
      <c r="CX63" s="226" t="s">
        <v>1424</v>
      </c>
      <c r="CY63" s="226" t="s">
        <v>541</v>
      </c>
      <c r="CZ63" s="226" t="s">
        <v>541</v>
      </c>
      <c r="DA63" s="226" t="s">
        <v>1233</v>
      </c>
      <c r="DB63" s="226"/>
      <c r="DC63" s="226" t="s">
        <v>541</v>
      </c>
      <c r="DD63" s="226" t="s">
        <v>541</v>
      </c>
      <c r="DE63" s="226" t="s">
        <v>541</v>
      </c>
      <c r="DF63" s="226" t="s">
        <v>541</v>
      </c>
      <c r="DG63" s="226" t="s">
        <v>541</v>
      </c>
      <c r="DH63" s="14"/>
    </row>
    <row r="64" spans="1:112" ht="12.75" customHeight="1" x14ac:dyDescent="0.25">
      <c r="A64" s="17" t="s">
        <v>1004</v>
      </c>
      <c r="B64" s="17" t="s">
        <v>1283</v>
      </c>
      <c r="C64" s="17" t="s">
        <v>757</v>
      </c>
      <c r="D64" s="17" t="s">
        <v>758</v>
      </c>
      <c r="E64" s="17" t="b">
        <f t="shared" si="0"/>
        <v>1</v>
      </c>
      <c r="F64" s="232" t="s">
        <v>2084</v>
      </c>
      <c r="G64" s="277" t="s">
        <v>2156</v>
      </c>
      <c r="H64" s="128" t="s">
        <v>757</v>
      </c>
      <c r="I64" s="233" t="s">
        <v>758</v>
      </c>
      <c r="J64" s="31"/>
      <c r="K64" s="102" t="s">
        <v>354</v>
      </c>
      <c r="L64" s="90"/>
      <c r="M64" s="111"/>
      <c r="N64" s="112"/>
      <c r="O64" s="113"/>
      <c r="P64" s="112"/>
      <c r="Q64" s="31"/>
      <c r="R64" s="102"/>
      <c r="S64" s="90"/>
      <c r="T64" s="88" t="str">
        <f t="shared" si="15"/>
        <v>NA</v>
      </c>
      <c r="U64" s="88" t="str">
        <f t="shared" si="16"/>
        <v>NA</v>
      </c>
      <c r="V64" s="111"/>
      <c r="W64" s="112"/>
      <c r="X64" s="113"/>
      <c r="Y64" s="112"/>
      <c r="Z64" s="31"/>
      <c r="AA64" s="296"/>
      <c r="AB64" s="89"/>
      <c r="AC64" s="88" t="str">
        <f t="shared" si="17"/>
        <v>NA</v>
      </c>
      <c r="AD64" s="88" t="str">
        <f t="shared" si="18"/>
        <v>NA</v>
      </c>
      <c r="AE64" s="111"/>
      <c r="AF64" s="112"/>
      <c r="AG64" s="113"/>
      <c r="AH64" s="112"/>
      <c r="AI64" s="31"/>
      <c r="AJ64" s="294"/>
      <c r="AK64" s="89"/>
      <c r="AL64" s="88" t="str">
        <f t="shared" si="5"/>
        <v>NA</v>
      </c>
      <c r="AM64" s="88" t="str">
        <f t="shared" si="6"/>
        <v>NA</v>
      </c>
      <c r="AN64" s="111"/>
      <c r="AO64" s="112"/>
      <c r="AP64" s="113"/>
      <c r="AQ64" s="112"/>
      <c r="AR64" s="31"/>
      <c r="AS64" s="32"/>
      <c r="AT64" s="90"/>
      <c r="AU64" s="88"/>
      <c r="AV64" s="88"/>
      <c r="AW64" s="111"/>
      <c r="AX64" s="112"/>
      <c r="AY64" s="113"/>
      <c r="AZ64" s="112"/>
      <c r="BA64" s="31"/>
      <c r="BB64" s="32"/>
      <c r="BC64" s="90"/>
      <c r="BD64" s="88"/>
      <c r="BE64" s="88"/>
      <c r="BF64" s="111"/>
      <c r="BG64" s="112"/>
      <c r="BH64" s="113"/>
      <c r="BI64" s="112"/>
      <c r="BJ64" s="31"/>
      <c r="BK64" s="32"/>
      <c r="BL64" s="90"/>
      <c r="BM64" s="88"/>
      <c r="BN64" s="88"/>
      <c r="BO64" s="111"/>
      <c r="BP64" s="112"/>
      <c r="BQ64" s="113"/>
      <c r="BR64" s="112"/>
      <c r="BS64" s="31"/>
      <c r="BT64" s="32"/>
      <c r="BU64" s="90"/>
      <c r="BV64" s="88"/>
      <c r="BW64" s="88"/>
      <c r="BX64" s="111"/>
      <c r="BY64" s="112"/>
      <c r="BZ64" s="113"/>
      <c r="CA64" s="112"/>
      <c r="CB64" s="31"/>
      <c r="CC64" s="32"/>
      <c r="CD64" s="90"/>
      <c r="CE64" s="88"/>
      <c r="CF64" s="88"/>
      <c r="CG64" s="111"/>
      <c r="CH64" s="112"/>
      <c r="CI64" s="113"/>
      <c r="CJ64" s="112"/>
      <c r="CK64" s="31"/>
      <c r="CL64" s="32"/>
      <c r="CM64" s="90"/>
      <c r="CN64" s="88"/>
      <c r="CO64" s="88"/>
      <c r="CP64" s="111"/>
      <c r="CQ64" s="112"/>
      <c r="CR64" s="113"/>
      <c r="CS64" s="112"/>
      <c r="CT64" s="55"/>
      <c r="CV64" s="230"/>
      <c r="CX64" s="226" t="s">
        <v>1424</v>
      </c>
      <c r="CY64" s="226" t="s">
        <v>541</v>
      </c>
      <c r="CZ64" s="226" t="s">
        <v>541</v>
      </c>
      <c r="DA64" s="226" t="s">
        <v>1233</v>
      </c>
      <c r="DB64" s="226"/>
      <c r="DC64" s="226" t="s">
        <v>541</v>
      </c>
      <c r="DD64" s="226" t="s">
        <v>541</v>
      </c>
      <c r="DE64" s="226" t="s">
        <v>541</v>
      </c>
      <c r="DF64" s="226" t="s">
        <v>541</v>
      </c>
      <c r="DG64" s="226" t="s">
        <v>541</v>
      </c>
      <c r="DH64" s="14"/>
    </row>
    <row r="65" spans="1:112" ht="39" x14ac:dyDescent="0.25">
      <c r="A65" s="17" t="s">
        <v>1004</v>
      </c>
      <c r="B65" s="17" t="s">
        <v>1284</v>
      </c>
      <c r="C65" s="17" t="s">
        <v>759</v>
      </c>
      <c r="D65" s="17" t="s">
        <v>743</v>
      </c>
      <c r="E65" s="17" t="b">
        <f t="shared" si="0"/>
        <v>1</v>
      </c>
      <c r="F65" s="232" t="s">
        <v>2085</v>
      </c>
      <c r="G65" s="277" t="s">
        <v>2157</v>
      </c>
      <c r="H65" s="128" t="s">
        <v>759</v>
      </c>
      <c r="I65" s="233" t="s">
        <v>743</v>
      </c>
      <c r="J65" s="31"/>
      <c r="K65" s="102" t="s">
        <v>354</v>
      </c>
      <c r="L65" s="90" t="s">
        <v>31</v>
      </c>
      <c r="M65" s="111" t="s">
        <v>2470</v>
      </c>
      <c r="N65" s="112"/>
      <c r="O65" s="113"/>
      <c r="P65" s="112"/>
      <c r="Q65" s="31"/>
      <c r="R65" s="102"/>
      <c r="S65" s="90"/>
      <c r="T65" s="88" t="str">
        <f t="shared" si="15"/>
        <v>NA</v>
      </c>
      <c r="U65" s="88" t="str">
        <f t="shared" si="16"/>
        <v>YES</v>
      </c>
      <c r="V65" s="111"/>
      <c r="W65" s="112"/>
      <c r="X65" s="113"/>
      <c r="Y65" s="112"/>
      <c r="Z65" s="31"/>
      <c r="AA65" s="296"/>
      <c r="AB65" s="89"/>
      <c r="AC65" s="88" t="str">
        <f t="shared" si="17"/>
        <v>NA</v>
      </c>
      <c r="AD65" s="88" t="str">
        <f t="shared" si="18"/>
        <v>NA</v>
      </c>
      <c r="AE65" s="111"/>
      <c r="AF65" s="112"/>
      <c r="AG65" s="113"/>
      <c r="AH65" s="112"/>
      <c r="AI65" s="31"/>
      <c r="AJ65" s="294"/>
      <c r="AK65" s="89"/>
      <c r="AL65" s="88" t="str">
        <f t="shared" si="5"/>
        <v>NA</v>
      </c>
      <c r="AM65" s="88" t="str">
        <f t="shared" si="6"/>
        <v>NA</v>
      </c>
      <c r="AN65" s="111"/>
      <c r="AO65" s="112"/>
      <c r="AP65" s="113"/>
      <c r="AQ65" s="112"/>
      <c r="AR65" s="31"/>
      <c r="AS65" s="32"/>
      <c r="AT65" s="90"/>
      <c r="AU65" s="88"/>
      <c r="AV65" s="88"/>
      <c r="AW65" s="111"/>
      <c r="AX65" s="112"/>
      <c r="AY65" s="113"/>
      <c r="AZ65" s="112"/>
      <c r="BA65" s="31"/>
      <c r="BB65" s="32"/>
      <c r="BC65" s="90"/>
      <c r="BD65" s="88"/>
      <c r="BE65" s="88"/>
      <c r="BF65" s="111"/>
      <c r="BG65" s="112"/>
      <c r="BH65" s="113"/>
      <c r="BI65" s="112"/>
      <c r="BJ65" s="31"/>
      <c r="BK65" s="32"/>
      <c r="BL65" s="90"/>
      <c r="BM65" s="88"/>
      <c r="BN65" s="88"/>
      <c r="BO65" s="111"/>
      <c r="BP65" s="112"/>
      <c r="BQ65" s="113"/>
      <c r="BR65" s="112"/>
      <c r="BS65" s="31"/>
      <c r="BT65" s="32"/>
      <c r="BU65" s="90"/>
      <c r="BV65" s="88"/>
      <c r="BW65" s="88"/>
      <c r="BX65" s="111"/>
      <c r="BY65" s="112"/>
      <c r="BZ65" s="113"/>
      <c r="CA65" s="112"/>
      <c r="CB65" s="31"/>
      <c r="CC65" s="32"/>
      <c r="CD65" s="90"/>
      <c r="CE65" s="88"/>
      <c r="CF65" s="88"/>
      <c r="CG65" s="111"/>
      <c r="CH65" s="112"/>
      <c r="CI65" s="113"/>
      <c r="CJ65" s="112"/>
      <c r="CK65" s="31"/>
      <c r="CL65" s="32"/>
      <c r="CM65" s="90"/>
      <c r="CN65" s="88"/>
      <c r="CO65" s="88"/>
      <c r="CP65" s="111"/>
      <c r="CQ65" s="112"/>
      <c r="CR65" s="113"/>
      <c r="CS65" s="112"/>
      <c r="CT65" s="55"/>
      <c r="CV65" s="230"/>
      <c r="CX65" s="226" t="s">
        <v>1425</v>
      </c>
      <c r="CY65" s="226" t="s">
        <v>541</v>
      </c>
      <c r="CZ65" s="226" t="s">
        <v>541</v>
      </c>
      <c r="DA65" s="226" t="s">
        <v>1233</v>
      </c>
      <c r="DB65" s="14"/>
      <c r="DC65" s="226" t="s">
        <v>541</v>
      </c>
      <c r="DD65" s="226" t="s">
        <v>541</v>
      </c>
      <c r="DE65" s="226" t="s">
        <v>541</v>
      </c>
      <c r="DF65" s="226" t="s">
        <v>541</v>
      </c>
      <c r="DG65" s="226" t="s">
        <v>541</v>
      </c>
      <c r="DH65" s="14"/>
    </row>
    <row r="66" spans="1:112" ht="39" x14ac:dyDescent="0.25">
      <c r="A66" s="17" t="s">
        <v>1004</v>
      </c>
      <c r="B66" s="17" t="s">
        <v>1285</v>
      </c>
      <c r="C66" s="17" t="s">
        <v>760</v>
      </c>
      <c r="D66" s="17" t="s">
        <v>633</v>
      </c>
      <c r="E66" s="17" t="b">
        <f t="shared" si="0"/>
        <v>1</v>
      </c>
      <c r="F66" s="232" t="s">
        <v>2086</v>
      </c>
      <c r="G66" s="277" t="s">
        <v>2158</v>
      </c>
      <c r="H66" s="128" t="s">
        <v>760</v>
      </c>
      <c r="I66" s="233" t="s">
        <v>633</v>
      </c>
      <c r="J66" s="31"/>
      <c r="K66" s="102" t="s">
        <v>354</v>
      </c>
      <c r="L66" s="89" t="s">
        <v>2414</v>
      </c>
      <c r="M66" s="111" t="s">
        <v>2470</v>
      </c>
      <c r="N66" s="112"/>
      <c r="O66" s="113"/>
      <c r="P66" s="112"/>
      <c r="Q66" s="31"/>
      <c r="R66" s="102"/>
      <c r="S66" s="89"/>
      <c r="T66" s="88" t="str">
        <f t="shared" si="15"/>
        <v>NA</v>
      </c>
      <c r="U66" s="88" t="str">
        <f t="shared" si="16"/>
        <v>YES</v>
      </c>
      <c r="V66" s="111"/>
      <c r="W66" s="112"/>
      <c r="X66" s="113"/>
      <c r="Y66" s="112"/>
      <c r="Z66" s="31"/>
      <c r="AA66" s="296"/>
      <c r="AB66" s="89"/>
      <c r="AC66" s="88" t="str">
        <f t="shared" si="17"/>
        <v>NA</v>
      </c>
      <c r="AD66" s="88" t="str">
        <f t="shared" si="18"/>
        <v>NA</v>
      </c>
      <c r="AE66" s="111"/>
      <c r="AF66" s="112"/>
      <c r="AG66" s="113"/>
      <c r="AH66" s="112"/>
      <c r="AI66" s="31" t="s">
        <v>2392</v>
      </c>
      <c r="AJ66" s="294"/>
      <c r="AK66" s="89"/>
      <c r="AL66" s="88" t="str">
        <f t="shared" si="5"/>
        <v>NA</v>
      </c>
      <c r="AM66" s="88" t="str">
        <f t="shared" si="6"/>
        <v>NA</v>
      </c>
      <c r="AN66" s="111"/>
      <c r="AO66" s="112"/>
      <c r="AP66" s="113"/>
      <c r="AQ66" s="112"/>
      <c r="AR66" s="31"/>
      <c r="AS66" s="32"/>
      <c r="AT66" s="90"/>
      <c r="AU66" s="88"/>
      <c r="AV66" s="88"/>
      <c r="AW66" s="111"/>
      <c r="AX66" s="112"/>
      <c r="AY66" s="113"/>
      <c r="AZ66" s="112"/>
      <c r="BA66" s="31"/>
      <c r="BB66" s="32"/>
      <c r="BC66" s="90"/>
      <c r="BD66" s="88"/>
      <c r="BE66" s="88"/>
      <c r="BF66" s="111"/>
      <c r="BG66" s="112"/>
      <c r="BH66" s="113"/>
      <c r="BI66" s="112"/>
      <c r="BJ66" s="31"/>
      <c r="BK66" s="32"/>
      <c r="BL66" s="90"/>
      <c r="BM66" s="88"/>
      <c r="BN66" s="88"/>
      <c r="BO66" s="111"/>
      <c r="BP66" s="112"/>
      <c r="BQ66" s="113"/>
      <c r="BR66" s="112"/>
      <c r="BS66" s="31"/>
      <c r="BT66" s="32"/>
      <c r="BU66" s="90"/>
      <c r="BV66" s="88"/>
      <c r="BW66" s="88"/>
      <c r="BX66" s="111"/>
      <c r="BY66" s="112"/>
      <c r="BZ66" s="113"/>
      <c r="CA66" s="112"/>
      <c r="CB66" s="31"/>
      <c r="CC66" s="32"/>
      <c r="CD66" s="90"/>
      <c r="CE66" s="88"/>
      <c r="CF66" s="88"/>
      <c r="CG66" s="111"/>
      <c r="CH66" s="112"/>
      <c r="CI66" s="113"/>
      <c r="CJ66" s="112"/>
      <c r="CK66" s="31"/>
      <c r="CL66" s="32"/>
      <c r="CM66" s="90"/>
      <c r="CN66" s="88"/>
      <c r="CO66" s="88"/>
      <c r="CP66" s="111"/>
      <c r="CQ66" s="112"/>
      <c r="CR66" s="113"/>
      <c r="CS66" s="112"/>
      <c r="CT66" s="55"/>
      <c r="CV66" s="230"/>
      <c r="CX66" s="226" t="s">
        <v>1425</v>
      </c>
      <c r="CY66" s="226" t="s">
        <v>541</v>
      </c>
      <c r="CZ66" s="226" t="s">
        <v>541</v>
      </c>
      <c r="DA66" s="226" t="s">
        <v>1233</v>
      </c>
      <c r="DB66" s="14"/>
      <c r="DC66" s="226" t="s">
        <v>541</v>
      </c>
      <c r="DD66" s="226" t="s">
        <v>541</v>
      </c>
      <c r="DE66" s="226" t="s">
        <v>541</v>
      </c>
      <c r="DF66" s="226" t="s">
        <v>541</v>
      </c>
      <c r="DG66" s="226" t="s">
        <v>541</v>
      </c>
      <c r="DH66" s="14"/>
    </row>
    <row r="67" spans="1:112" ht="26" x14ac:dyDescent="0.25">
      <c r="A67" s="17" t="s">
        <v>1004</v>
      </c>
      <c r="B67" s="17" t="s">
        <v>1286</v>
      </c>
      <c r="C67" s="17" t="s">
        <v>761</v>
      </c>
      <c r="D67" s="17" t="s">
        <v>1287</v>
      </c>
      <c r="E67" s="17" t="b">
        <f t="shared" si="0"/>
        <v>1</v>
      </c>
      <c r="F67" s="232" t="s">
        <v>2087</v>
      </c>
      <c r="G67" s="277" t="s">
        <v>2159</v>
      </c>
      <c r="H67" s="128" t="s">
        <v>761</v>
      </c>
      <c r="I67" s="233" t="s">
        <v>1287</v>
      </c>
      <c r="J67" s="31"/>
      <c r="K67" s="102" t="s">
        <v>354</v>
      </c>
      <c r="L67" s="90"/>
      <c r="M67" s="111"/>
      <c r="N67" s="112"/>
      <c r="O67" s="113"/>
      <c r="P67" s="112"/>
      <c r="Q67" s="31"/>
      <c r="R67" s="102"/>
      <c r="S67" s="90"/>
      <c r="T67" s="88" t="str">
        <f t="shared" si="15"/>
        <v>NA</v>
      </c>
      <c r="U67" s="88" t="str">
        <f t="shared" si="16"/>
        <v>NA</v>
      </c>
      <c r="V67" s="111"/>
      <c r="W67" s="112"/>
      <c r="X67" s="113"/>
      <c r="Y67" s="112"/>
      <c r="Z67" s="31"/>
      <c r="AA67" s="296"/>
      <c r="AB67" s="89"/>
      <c r="AC67" s="88" t="str">
        <f t="shared" si="17"/>
        <v>NA</v>
      </c>
      <c r="AD67" s="88" t="str">
        <f t="shared" si="18"/>
        <v>NA</v>
      </c>
      <c r="AE67" s="111"/>
      <c r="AF67" s="112"/>
      <c r="AG67" s="113"/>
      <c r="AH67" s="112"/>
      <c r="AI67" s="31" t="s">
        <v>2392</v>
      </c>
      <c r="AJ67" s="294"/>
      <c r="AK67" s="89"/>
      <c r="AL67" s="88" t="str">
        <f t="shared" si="5"/>
        <v>NA</v>
      </c>
      <c r="AM67" s="88" t="str">
        <f t="shared" si="6"/>
        <v>NA</v>
      </c>
      <c r="AN67" s="111"/>
      <c r="AO67" s="112"/>
      <c r="AP67" s="113"/>
      <c r="AQ67" s="112"/>
      <c r="AR67" s="31"/>
      <c r="AS67" s="32"/>
      <c r="AT67" s="90"/>
      <c r="AU67" s="88"/>
      <c r="AV67" s="88"/>
      <c r="AW67" s="111"/>
      <c r="AX67" s="112"/>
      <c r="AY67" s="113"/>
      <c r="AZ67" s="112"/>
      <c r="BA67" s="31"/>
      <c r="BB67" s="32"/>
      <c r="BC67" s="90"/>
      <c r="BD67" s="88"/>
      <c r="BE67" s="88"/>
      <c r="BF67" s="111"/>
      <c r="BG67" s="112"/>
      <c r="BH67" s="113"/>
      <c r="BI67" s="112"/>
      <c r="BJ67" s="31"/>
      <c r="BK67" s="32"/>
      <c r="BL67" s="90"/>
      <c r="BM67" s="88"/>
      <c r="BN67" s="88"/>
      <c r="BO67" s="111"/>
      <c r="BP67" s="112"/>
      <c r="BQ67" s="113"/>
      <c r="BR67" s="112"/>
      <c r="BS67" s="31"/>
      <c r="BT67" s="32"/>
      <c r="BU67" s="90"/>
      <c r="BV67" s="88"/>
      <c r="BW67" s="88"/>
      <c r="BX67" s="111"/>
      <c r="BY67" s="112"/>
      <c r="BZ67" s="113"/>
      <c r="CA67" s="112"/>
      <c r="CB67" s="31"/>
      <c r="CC67" s="32"/>
      <c r="CD67" s="90"/>
      <c r="CE67" s="88"/>
      <c r="CF67" s="88"/>
      <c r="CG67" s="111"/>
      <c r="CH67" s="112"/>
      <c r="CI67" s="113"/>
      <c r="CJ67" s="112"/>
      <c r="CK67" s="31"/>
      <c r="CL67" s="32"/>
      <c r="CM67" s="90"/>
      <c r="CN67" s="88"/>
      <c r="CO67" s="88"/>
      <c r="CP67" s="111"/>
      <c r="CQ67" s="112"/>
      <c r="CR67" s="113"/>
      <c r="CS67" s="112"/>
      <c r="CT67" s="55"/>
      <c r="CV67" s="230"/>
      <c r="CX67" s="226" t="s">
        <v>1425</v>
      </c>
      <c r="CY67" s="226" t="s">
        <v>541</v>
      </c>
      <c r="CZ67" s="226" t="s">
        <v>541</v>
      </c>
      <c r="DA67" s="226" t="s">
        <v>1233</v>
      </c>
      <c r="DB67" s="14"/>
      <c r="DC67" s="226" t="s">
        <v>541</v>
      </c>
      <c r="DD67" s="226" t="s">
        <v>541</v>
      </c>
      <c r="DE67" s="226" t="s">
        <v>541</v>
      </c>
      <c r="DF67" s="226" t="s">
        <v>541</v>
      </c>
      <c r="DG67" s="226" t="s">
        <v>541</v>
      </c>
      <c r="DH67" s="14"/>
    </row>
    <row r="68" spans="1:112" ht="12.75" customHeight="1" x14ac:dyDescent="0.25">
      <c r="A68" s="17" t="s">
        <v>386</v>
      </c>
      <c r="B68" s="17" t="s">
        <v>541</v>
      </c>
      <c r="C68" s="17" t="s">
        <v>291</v>
      </c>
      <c r="D68" s="17" t="s">
        <v>292</v>
      </c>
      <c r="E68" s="17" t="b">
        <f t="shared" si="0"/>
        <v>1</v>
      </c>
      <c r="F68" s="127" t="s">
        <v>386</v>
      </c>
      <c r="G68" s="248" t="s">
        <v>541</v>
      </c>
      <c r="H68" s="128" t="s">
        <v>291</v>
      </c>
      <c r="I68" s="128" t="s">
        <v>292</v>
      </c>
      <c r="J68" s="31"/>
      <c r="K68" s="102" t="s">
        <v>354</v>
      </c>
      <c r="L68" s="90"/>
      <c r="M68" s="111"/>
      <c r="N68" s="112"/>
      <c r="O68" s="113"/>
      <c r="P68" s="112"/>
      <c r="Q68" s="31"/>
      <c r="R68" s="102"/>
      <c r="S68" s="90"/>
      <c r="T68" s="88" t="str">
        <f t="shared" si="15"/>
        <v>NA</v>
      </c>
      <c r="U68" s="88" t="str">
        <f t="shared" si="16"/>
        <v>NA</v>
      </c>
      <c r="V68" s="111"/>
      <c r="W68" s="112"/>
      <c r="X68" s="113"/>
      <c r="Y68" s="112"/>
      <c r="Z68" s="31"/>
      <c r="AA68" s="296"/>
      <c r="AB68" s="89"/>
      <c r="AC68" s="88" t="str">
        <f t="shared" si="3"/>
        <v>NA</v>
      </c>
      <c r="AD68" s="88" t="str">
        <f t="shared" si="4"/>
        <v>NA</v>
      </c>
      <c r="AE68" s="111"/>
      <c r="AF68" s="112"/>
      <c r="AG68" s="113"/>
      <c r="AH68" s="112"/>
      <c r="AI68" s="31"/>
      <c r="AJ68" s="294"/>
      <c r="AK68" s="89"/>
      <c r="AL68" s="88" t="str">
        <f t="shared" si="5"/>
        <v>NA</v>
      </c>
      <c r="AM68" s="88" t="str">
        <f t="shared" si="6"/>
        <v>NA</v>
      </c>
      <c r="AN68" s="111"/>
      <c r="AO68" s="112"/>
      <c r="AP68" s="113"/>
      <c r="AQ68" s="112"/>
      <c r="AR68" s="31"/>
      <c r="AS68" s="32"/>
      <c r="AT68" s="90"/>
      <c r="AU68" s="88"/>
      <c r="AV68" s="88"/>
      <c r="AW68" s="111"/>
      <c r="AX68" s="112"/>
      <c r="AY68" s="113"/>
      <c r="AZ68" s="112"/>
      <c r="BA68" s="31"/>
      <c r="BB68" s="32"/>
      <c r="BC68" s="90"/>
      <c r="BD68" s="88"/>
      <c r="BE68" s="88"/>
      <c r="BF68" s="111"/>
      <c r="BG68" s="112"/>
      <c r="BH68" s="113"/>
      <c r="BI68" s="112"/>
      <c r="BJ68" s="31"/>
      <c r="BK68" s="32"/>
      <c r="BL68" s="90"/>
      <c r="BM68" s="88"/>
      <c r="BN68" s="88"/>
      <c r="BO68" s="111"/>
      <c r="BP68" s="112"/>
      <c r="BQ68" s="113"/>
      <c r="BR68" s="112"/>
      <c r="BS68" s="31"/>
      <c r="BT68" s="32"/>
      <c r="BU68" s="90"/>
      <c r="BV68" s="88"/>
      <c r="BW68" s="88"/>
      <c r="BX68" s="111"/>
      <c r="BY68" s="112"/>
      <c r="BZ68" s="113"/>
      <c r="CA68" s="112"/>
      <c r="CB68" s="31"/>
      <c r="CC68" s="32"/>
      <c r="CD68" s="90"/>
      <c r="CE68" s="88"/>
      <c r="CF68" s="88"/>
      <c r="CG68" s="111"/>
      <c r="CH68" s="112"/>
      <c r="CI68" s="113"/>
      <c r="CJ68" s="112"/>
      <c r="CK68" s="31"/>
      <c r="CL68" s="32"/>
      <c r="CM68" s="90"/>
      <c r="CN68" s="88"/>
      <c r="CO68" s="88"/>
      <c r="CP68" s="111"/>
      <c r="CQ68" s="112"/>
      <c r="CR68" s="113"/>
      <c r="CS68" s="112"/>
      <c r="CT68" s="55"/>
      <c r="CV68" s="230" t="s">
        <v>292</v>
      </c>
      <c r="CX68" s="226" t="s">
        <v>541</v>
      </c>
      <c r="CY68" s="226" t="s">
        <v>1431</v>
      </c>
      <c r="CZ68" s="226" t="s">
        <v>541</v>
      </c>
      <c r="DA68" s="226" t="s">
        <v>541</v>
      </c>
      <c r="DB68" s="14"/>
      <c r="DC68" s="226" t="s">
        <v>541</v>
      </c>
      <c r="DD68" s="226" t="s">
        <v>541</v>
      </c>
      <c r="DE68" s="226" t="s">
        <v>541</v>
      </c>
      <c r="DF68" s="226" t="s">
        <v>541</v>
      </c>
      <c r="DG68" s="226" t="s">
        <v>541</v>
      </c>
      <c r="DH68" s="14"/>
    </row>
    <row r="69" spans="1:112" ht="12.75" customHeight="1" x14ac:dyDescent="0.25">
      <c r="A69" s="17" t="s">
        <v>387</v>
      </c>
      <c r="B69" s="17" t="s">
        <v>541</v>
      </c>
      <c r="C69" s="17" t="s">
        <v>289</v>
      </c>
      <c r="D69" s="17" t="s">
        <v>290</v>
      </c>
      <c r="E69" s="17" t="b">
        <f t="shared" si="0"/>
        <v>1</v>
      </c>
      <c r="F69" s="127" t="s">
        <v>387</v>
      </c>
      <c r="G69" s="248" t="s">
        <v>541</v>
      </c>
      <c r="H69" s="128" t="s">
        <v>289</v>
      </c>
      <c r="I69" s="128" t="s">
        <v>290</v>
      </c>
      <c r="J69" s="31"/>
      <c r="K69" s="102" t="s">
        <v>354</v>
      </c>
      <c r="L69" s="90"/>
      <c r="M69" s="111"/>
      <c r="N69" s="112"/>
      <c r="O69" s="113"/>
      <c r="P69" s="112"/>
      <c r="Q69" s="31"/>
      <c r="R69" s="102"/>
      <c r="S69" s="90"/>
      <c r="T69" s="88" t="str">
        <f t="shared" si="15"/>
        <v>NA</v>
      </c>
      <c r="U69" s="88" t="str">
        <f t="shared" si="16"/>
        <v>NA</v>
      </c>
      <c r="V69" s="111"/>
      <c r="W69" s="112"/>
      <c r="X69" s="113"/>
      <c r="Y69" s="112"/>
      <c r="Z69" s="31"/>
      <c r="AA69" s="296"/>
      <c r="AB69" s="89"/>
      <c r="AC69" s="88" t="str">
        <f t="shared" si="3"/>
        <v>NA</v>
      </c>
      <c r="AD69" s="88" t="str">
        <f t="shared" si="4"/>
        <v>NA</v>
      </c>
      <c r="AE69" s="111"/>
      <c r="AF69" s="112"/>
      <c r="AG69" s="113"/>
      <c r="AH69" s="112"/>
      <c r="AI69" s="31"/>
      <c r="AJ69" s="294"/>
      <c r="AK69" s="89"/>
      <c r="AL69" s="88" t="str">
        <f t="shared" si="5"/>
        <v>NA</v>
      </c>
      <c r="AM69" s="88" t="str">
        <f t="shared" si="6"/>
        <v>NA</v>
      </c>
      <c r="AN69" s="111"/>
      <c r="AO69" s="112"/>
      <c r="AP69" s="113"/>
      <c r="AQ69" s="112"/>
      <c r="AR69" s="31"/>
      <c r="AS69" s="32"/>
      <c r="AT69" s="90"/>
      <c r="AU69" s="88"/>
      <c r="AV69" s="88"/>
      <c r="AW69" s="111"/>
      <c r="AX69" s="112"/>
      <c r="AY69" s="113"/>
      <c r="AZ69" s="112"/>
      <c r="BA69" s="31"/>
      <c r="BB69" s="32"/>
      <c r="BC69" s="90"/>
      <c r="BD69" s="88"/>
      <c r="BE69" s="88"/>
      <c r="BF69" s="111"/>
      <c r="BG69" s="112"/>
      <c r="BH69" s="113"/>
      <c r="BI69" s="112"/>
      <c r="BJ69" s="31"/>
      <c r="BK69" s="32"/>
      <c r="BL69" s="90"/>
      <c r="BM69" s="88"/>
      <c r="BN69" s="88"/>
      <c r="BO69" s="111"/>
      <c r="BP69" s="112"/>
      <c r="BQ69" s="113"/>
      <c r="BR69" s="112"/>
      <c r="BS69" s="31"/>
      <c r="BT69" s="32"/>
      <c r="BU69" s="90"/>
      <c r="BV69" s="88"/>
      <c r="BW69" s="88"/>
      <c r="BX69" s="111"/>
      <c r="BY69" s="112"/>
      <c r="BZ69" s="113"/>
      <c r="CA69" s="112"/>
      <c r="CB69" s="31"/>
      <c r="CC69" s="32"/>
      <c r="CD69" s="90"/>
      <c r="CE69" s="88"/>
      <c r="CF69" s="88"/>
      <c r="CG69" s="111"/>
      <c r="CH69" s="112"/>
      <c r="CI69" s="113"/>
      <c r="CJ69" s="112"/>
      <c r="CK69" s="31"/>
      <c r="CL69" s="32"/>
      <c r="CM69" s="90"/>
      <c r="CN69" s="88"/>
      <c r="CO69" s="88"/>
      <c r="CP69" s="111"/>
      <c r="CQ69" s="112"/>
      <c r="CR69" s="113"/>
      <c r="CS69" s="112"/>
      <c r="CT69" s="55"/>
      <c r="CV69" s="230" t="s">
        <v>290</v>
      </c>
      <c r="CX69" s="226" t="s">
        <v>541</v>
      </c>
      <c r="CY69" s="226" t="s">
        <v>1248</v>
      </c>
      <c r="CZ69" s="226" t="s">
        <v>541</v>
      </c>
      <c r="DA69" s="226" t="s">
        <v>541</v>
      </c>
      <c r="DB69" s="226"/>
      <c r="DC69" s="226" t="s">
        <v>541</v>
      </c>
      <c r="DD69" s="226" t="s">
        <v>541</v>
      </c>
      <c r="DE69" s="226" t="s">
        <v>541</v>
      </c>
      <c r="DF69" s="226" t="s">
        <v>541</v>
      </c>
      <c r="DG69" s="226" t="s">
        <v>541</v>
      </c>
      <c r="DH69" s="14"/>
    </row>
    <row r="70" spans="1:112" ht="12.75" customHeight="1" x14ac:dyDescent="0.25">
      <c r="A70" s="17" t="s">
        <v>1004</v>
      </c>
      <c r="B70" s="17" t="s">
        <v>1288</v>
      </c>
      <c r="C70" s="17" t="s">
        <v>762</v>
      </c>
      <c r="D70" s="17" t="s">
        <v>744</v>
      </c>
      <c r="E70" s="17" t="b">
        <f t="shared" si="0"/>
        <v>1</v>
      </c>
      <c r="F70" s="232" t="s">
        <v>2088</v>
      </c>
      <c r="G70" s="277" t="s">
        <v>2160</v>
      </c>
      <c r="H70" s="128" t="s">
        <v>762</v>
      </c>
      <c r="I70" s="233" t="s">
        <v>744</v>
      </c>
      <c r="J70" s="31"/>
      <c r="K70" s="102" t="s">
        <v>354</v>
      </c>
      <c r="L70" s="90" t="s">
        <v>31</v>
      </c>
      <c r="M70" s="111" t="s">
        <v>2470</v>
      </c>
      <c r="N70" s="112"/>
      <c r="O70" s="113"/>
      <c r="P70" s="112"/>
      <c r="Q70" s="31"/>
      <c r="R70" s="102"/>
      <c r="S70" s="90"/>
      <c r="T70" s="88" t="str">
        <f t="shared" si="15"/>
        <v>NA</v>
      </c>
      <c r="U70" s="88" t="str">
        <f t="shared" si="16"/>
        <v>YES</v>
      </c>
      <c r="V70" s="111"/>
      <c r="W70" s="112"/>
      <c r="X70" s="113"/>
      <c r="Y70" s="112"/>
      <c r="Z70" s="31"/>
      <c r="AA70" s="296"/>
      <c r="AB70" s="89"/>
      <c r="AC70" s="88" t="str">
        <f t="shared" ref="AC70" si="19">IF(LEFT(AB70,1)&lt;&gt;"x","NA",IF(RIGHT(AA70,3)=RIGHT(R70,3),IF(RIGHT(AA70,3)&lt;&gt;RIGHT(K70,3),IF(OR(AND(RIGHT(AA70,3)=RIGHT(R70,3),AB70=S70),AND(RIGHT(AA70,3)=RIGHT(K70,3),AB70=L70)),"NO","YES"),"NO"),IF(OR(RIGHT(AA70,3)=RIGHT(R70,3),RIGHT(AA70,3)=RIGHT(K70,3)),"ERROR","YES")))</f>
        <v>NA</v>
      </c>
      <c r="AD70" s="88" t="str">
        <f t="shared" ref="AD70" si="20">IF(LEFT(S70,1)&lt;&gt;LEFT(AB70,1),"YES",IF(LEFT(AB70,1)="x","NO","NA"))</f>
        <v>NA</v>
      </c>
      <c r="AE70" s="111"/>
      <c r="AF70" s="112"/>
      <c r="AG70" s="113"/>
      <c r="AH70" s="112"/>
      <c r="AI70" s="31"/>
      <c r="AJ70" s="294"/>
      <c r="AK70" s="89"/>
      <c r="AL70" s="88" t="str">
        <f t="shared" si="5"/>
        <v>NA</v>
      </c>
      <c r="AM70" s="88" t="str">
        <f t="shared" si="6"/>
        <v>NA</v>
      </c>
      <c r="AN70" s="111"/>
      <c r="AO70" s="112"/>
      <c r="AP70" s="113"/>
      <c r="AQ70" s="112"/>
      <c r="AR70" s="31"/>
      <c r="AS70" s="32"/>
      <c r="AT70" s="90"/>
      <c r="AU70" s="88"/>
      <c r="AV70" s="88"/>
      <c r="AW70" s="111"/>
      <c r="AX70" s="112"/>
      <c r="AY70" s="113"/>
      <c r="AZ70" s="112"/>
      <c r="BA70" s="31"/>
      <c r="BB70" s="32"/>
      <c r="BC70" s="90"/>
      <c r="BD70" s="88"/>
      <c r="BE70" s="88"/>
      <c r="BF70" s="111"/>
      <c r="BG70" s="112"/>
      <c r="BH70" s="113"/>
      <c r="BI70" s="112"/>
      <c r="BJ70" s="31"/>
      <c r="BK70" s="32"/>
      <c r="BL70" s="90"/>
      <c r="BM70" s="88"/>
      <c r="BN70" s="88"/>
      <c r="BO70" s="111"/>
      <c r="BP70" s="112"/>
      <c r="BQ70" s="113"/>
      <c r="BR70" s="112"/>
      <c r="BS70" s="31"/>
      <c r="BT70" s="32"/>
      <c r="BU70" s="90"/>
      <c r="BV70" s="88"/>
      <c r="BW70" s="88"/>
      <c r="BX70" s="111"/>
      <c r="BY70" s="112"/>
      <c r="BZ70" s="113"/>
      <c r="CA70" s="112"/>
      <c r="CB70" s="31"/>
      <c r="CC70" s="32"/>
      <c r="CD70" s="90"/>
      <c r="CE70" s="88"/>
      <c r="CF70" s="88"/>
      <c r="CG70" s="111"/>
      <c r="CH70" s="112"/>
      <c r="CI70" s="113"/>
      <c r="CJ70" s="112"/>
      <c r="CK70" s="31"/>
      <c r="CL70" s="32"/>
      <c r="CM70" s="90"/>
      <c r="CN70" s="88"/>
      <c r="CO70" s="88"/>
      <c r="CP70" s="111"/>
      <c r="CQ70" s="112"/>
      <c r="CR70" s="113"/>
      <c r="CS70" s="112"/>
      <c r="CT70" s="55"/>
      <c r="CV70" s="230"/>
      <c r="CX70" s="226" t="s">
        <v>541</v>
      </c>
      <c r="CY70" s="226" t="s">
        <v>1435</v>
      </c>
      <c r="CZ70" s="226" t="s">
        <v>541</v>
      </c>
      <c r="DA70" s="226" t="s">
        <v>541</v>
      </c>
      <c r="DB70" s="226"/>
      <c r="DC70" s="226" t="s">
        <v>541</v>
      </c>
      <c r="DD70" s="226" t="s">
        <v>541</v>
      </c>
      <c r="DE70" s="226" t="s">
        <v>541</v>
      </c>
      <c r="DF70" s="226" t="s">
        <v>541</v>
      </c>
      <c r="DG70" s="226" t="s">
        <v>541</v>
      </c>
      <c r="DH70" s="14"/>
    </row>
    <row r="71" spans="1:112" ht="12.75" customHeight="1" x14ac:dyDescent="0.25">
      <c r="A71" s="17" t="s">
        <v>389</v>
      </c>
      <c r="B71" s="17" t="s">
        <v>541</v>
      </c>
      <c r="C71" s="17" t="s">
        <v>287</v>
      </c>
      <c r="D71" s="17" t="s">
        <v>635</v>
      </c>
      <c r="E71" s="17" t="b">
        <f t="shared" si="0"/>
        <v>1</v>
      </c>
      <c r="F71" s="127" t="s">
        <v>389</v>
      </c>
      <c r="G71" s="248" t="s">
        <v>541</v>
      </c>
      <c r="H71" s="128" t="s">
        <v>287</v>
      </c>
      <c r="I71" s="128" t="s">
        <v>635</v>
      </c>
      <c r="J71" s="31"/>
      <c r="K71" s="102" t="s">
        <v>583</v>
      </c>
      <c r="L71" s="90"/>
      <c r="M71" s="111"/>
      <c r="N71" s="112"/>
      <c r="O71" s="113"/>
      <c r="P71" s="112"/>
      <c r="Q71" s="31"/>
      <c r="R71" s="102"/>
      <c r="S71" s="90"/>
      <c r="T71" s="88" t="str">
        <f t="shared" si="15"/>
        <v>NA</v>
      </c>
      <c r="U71" s="88" t="str">
        <f t="shared" si="16"/>
        <v>NA</v>
      </c>
      <c r="V71" s="111"/>
      <c r="W71" s="112"/>
      <c r="X71" s="113"/>
      <c r="Y71" s="112"/>
      <c r="Z71" s="31"/>
      <c r="AA71" s="296"/>
      <c r="AB71" s="89"/>
      <c r="AC71" s="88" t="str">
        <f t="shared" si="3"/>
        <v>NA</v>
      </c>
      <c r="AD71" s="88" t="str">
        <f t="shared" si="4"/>
        <v>NA</v>
      </c>
      <c r="AE71" s="111"/>
      <c r="AF71" s="112"/>
      <c r="AG71" s="113"/>
      <c r="AH71" s="112"/>
      <c r="AI71" s="31"/>
      <c r="AJ71" s="294"/>
      <c r="AK71" s="89"/>
      <c r="AL71" s="88" t="str">
        <f t="shared" si="5"/>
        <v>NA</v>
      </c>
      <c r="AM71" s="88" t="str">
        <f t="shared" si="6"/>
        <v>NA</v>
      </c>
      <c r="AN71" s="111"/>
      <c r="AO71" s="112"/>
      <c r="AP71" s="113"/>
      <c r="AQ71" s="112"/>
      <c r="AR71" s="31"/>
      <c r="AS71" s="32"/>
      <c r="AT71" s="90"/>
      <c r="AU71" s="88"/>
      <c r="AV71" s="88"/>
      <c r="AW71" s="111"/>
      <c r="AX71" s="112"/>
      <c r="AY71" s="113"/>
      <c r="AZ71" s="112"/>
      <c r="BA71" s="31"/>
      <c r="BB71" s="32"/>
      <c r="BC71" s="90"/>
      <c r="BD71" s="88"/>
      <c r="BE71" s="88"/>
      <c r="BF71" s="111"/>
      <c r="BG71" s="112"/>
      <c r="BH71" s="113"/>
      <c r="BI71" s="112"/>
      <c r="BJ71" s="31"/>
      <c r="BK71" s="32"/>
      <c r="BL71" s="90"/>
      <c r="BM71" s="88"/>
      <c r="BN71" s="88"/>
      <c r="BO71" s="111"/>
      <c r="BP71" s="112"/>
      <c r="BQ71" s="113"/>
      <c r="BR71" s="112"/>
      <c r="BS71" s="31"/>
      <c r="BT71" s="32"/>
      <c r="BU71" s="90"/>
      <c r="BV71" s="88"/>
      <c r="BW71" s="88"/>
      <c r="BX71" s="111"/>
      <c r="BY71" s="112"/>
      <c r="BZ71" s="113"/>
      <c r="CA71" s="112"/>
      <c r="CB71" s="31"/>
      <c r="CC71" s="32"/>
      <c r="CD71" s="90"/>
      <c r="CE71" s="88"/>
      <c r="CF71" s="88"/>
      <c r="CG71" s="111"/>
      <c r="CH71" s="112"/>
      <c r="CI71" s="113"/>
      <c r="CJ71" s="112"/>
      <c r="CK71" s="31"/>
      <c r="CL71" s="32"/>
      <c r="CM71" s="90"/>
      <c r="CN71" s="88"/>
      <c r="CO71" s="88"/>
      <c r="CP71" s="111"/>
      <c r="CQ71" s="112"/>
      <c r="CR71" s="113"/>
      <c r="CS71" s="112"/>
      <c r="CT71" s="55"/>
      <c r="CV71" s="230" t="s">
        <v>635</v>
      </c>
      <c r="CX71" s="226" t="s">
        <v>1424</v>
      </c>
      <c r="CY71" s="226" t="s">
        <v>541</v>
      </c>
      <c r="CZ71" s="226" t="s">
        <v>541</v>
      </c>
      <c r="DA71" s="226" t="s">
        <v>541</v>
      </c>
      <c r="DB71" s="14"/>
      <c r="DC71" s="226" t="s">
        <v>541</v>
      </c>
      <c r="DD71" s="226" t="s">
        <v>541</v>
      </c>
      <c r="DE71" s="226" t="s">
        <v>541</v>
      </c>
      <c r="DF71" s="226" t="s">
        <v>1439</v>
      </c>
      <c r="DG71" s="226" t="s">
        <v>541</v>
      </c>
      <c r="DH71" s="14"/>
    </row>
    <row r="72" spans="1:112" ht="12.75" customHeight="1" x14ac:dyDescent="0.25">
      <c r="A72" s="17" t="s">
        <v>560</v>
      </c>
      <c r="B72" s="17" t="s">
        <v>541</v>
      </c>
      <c r="C72" s="17" t="s">
        <v>597</v>
      </c>
      <c r="D72" s="17" t="s">
        <v>636</v>
      </c>
      <c r="E72" s="17" t="b">
        <f t="shared" si="0"/>
        <v>1</v>
      </c>
      <c r="F72" s="127" t="s">
        <v>560</v>
      </c>
      <c r="G72" s="248" t="s">
        <v>541</v>
      </c>
      <c r="H72" s="128" t="s">
        <v>597</v>
      </c>
      <c r="I72" s="128" t="s">
        <v>636</v>
      </c>
      <c r="J72" s="31"/>
      <c r="K72" s="102" t="s">
        <v>354</v>
      </c>
      <c r="L72" s="90"/>
      <c r="M72" s="111"/>
      <c r="N72" s="112"/>
      <c r="O72" s="113"/>
      <c r="P72" s="112"/>
      <c r="Q72" s="31"/>
      <c r="R72" s="102"/>
      <c r="S72" s="90"/>
      <c r="T72" s="88" t="str">
        <f t="shared" si="15"/>
        <v>NA</v>
      </c>
      <c r="U72" s="88" t="str">
        <f t="shared" si="16"/>
        <v>NA</v>
      </c>
      <c r="V72" s="111"/>
      <c r="W72" s="112"/>
      <c r="X72" s="113"/>
      <c r="Y72" s="112"/>
      <c r="Z72" s="31"/>
      <c r="AA72" s="296"/>
      <c r="AB72" s="89"/>
      <c r="AC72" s="88" t="str">
        <f t="shared" si="3"/>
        <v>NA</v>
      </c>
      <c r="AD72" s="88" t="str">
        <f t="shared" si="4"/>
        <v>NA</v>
      </c>
      <c r="AE72" s="111"/>
      <c r="AF72" s="112"/>
      <c r="AG72" s="113"/>
      <c r="AH72" s="112"/>
      <c r="AI72" s="31"/>
      <c r="AJ72" s="294"/>
      <c r="AK72" s="89"/>
      <c r="AL72" s="88" t="str">
        <f t="shared" si="5"/>
        <v>NA</v>
      </c>
      <c r="AM72" s="88" t="str">
        <f t="shared" si="6"/>
        <v>NA</v>
      </c>
      <c r="AN72" s="111"/>
      <c r="AO72" s="112"/>
      <c r="AP72" s="113"/>
      <c r="AQ72" s="112"/>
      <c r="AR72" s="31"/>
      <c r="AS72" s="32"/>
      <c r="AT72" s="90"/>
      <c r="AU72" s="88"/>
      <c r="AV72" s="88"/>
      <c r="AW72" s="111"/>
      <c r="AX72" s="112"/>
      <c r="AY72" s="113"/>
      <c r="AZ72" s="112"/>
      <c r="BA72" s="31"/>
      <c r="BB72" s="32"/>
      <c r="BC72" s="90"/>
      <c r="BD72" s="88"/>
      <c r="BE72" s="88"/>
      <c r="BF72" s="111"/>
      <c r="BG72" s="112"/>
      <c r="BH72" s="113"/>
      <c r="BI72" s="112"/>
      <c r="BJ72" s="31"/>
      <c r="BK72" s="32"/>
      <c r="BL72" s="90"/>
      <c r="BM72" s="88"/>
      <c r="BN72" s="88"/>
      <c r="BO72" s="111"/>
      <c r="BP72" s="112"/>
      <c r="BQ72" s="113"/>
      <c r="BR72" s="112"/>
      <c r="BS72" s="31"/>
      <c r="BT72" s="32"/>
      <c r="BU72" s="90"/>
      <c r="BV72" s="88"/>
      <c r="BW72" s="88"/>
      <c r="BX72" s="111"/>
      <c r="BY72" s="112"/>
      <c r="BZ72" s="113"/>
      <c r="CA72" s="112"/>
      <c r="CB72" s="31"/>
      <c r="CC72" s="32"/>
      <c r="CD72" s="90"/>
      <c r="CE72" s="88"/>
      <c r="CF72" s="88"/>
      <c r="CG72" s="111"/>
      <c r="CH72" s="112"/>
      <c r="CI72" s="113"/>
      <c r="CJ72" s="112"/>
      <c r="CK72" s="31"/>
      <c r="CL72" s="32"/>
      <c r="CM72" s="90"/>
      <c r="CN72" s="88"/>
      <c r="CO72" s="88"/>
      <c r="CP72" s="111"/>
      <c r="CQ72" s="112"/>
      <c r="CR72" s="113"/>
      <c r="CS72" s="112"/>
      <c r="CT72" s="55"/>
      <c r="CV72" s="230" t="s">
        <v>636</v>
      </c>
      <c r="CX72" s="226" t="s">
        <v>1424</v>
      </c>
      <c r="CY72" s="226" t="s">
        <v>541</v>
      </c>
      <c r="CZ72" s="226" t="s">
        <v>541</v>
      </c>
      <c r="DA72" s="226" t="s">
        <v>541</v>
      </c>
      <c r="DB72" s="14"/>
      <c r="DC72" s="226" t="s">
        <v>541</v>
      </c>
      <c r="DD72" s="226" t="s">
        <v>541</v>
      </c>
      <c r="DE72" s="226" t="s">
        <v>541</v>
      </c>
      <c r="DF72" s="226" t="s">
        <v>1439</v>
      </c>
      <c r="DG72" s="226" t="s">
        <v>541</v>
      </c>
      <c r="DH72" s="14"/>
    </row>
    <row r="73" spans="1:112" ht="26" x14ac:dyDescent="0.25">
      <c r="A73" s="17" t="s">
        <v>561</v>
      </c>
      <c r="B73" s="17" t="s">
        <v>541</v>
      </c>
      <c r="C73" s="17" t="s">
        <v>598</v>
      </c>
      <c r="D73" s="17" t="s">
        <v>637</v>
      </c>
      <c r="E73" s="17" t="b">
        <f t="shared" ref="E73:E136" si="21">D73=I73</f>
        <v>1</v>
      </c>
      <c r="F73" s="127" t="s">
        <v>561</v>
      </c>
      <c r="G73" s="248" t="s">
        <v>541</v>
      </c>
      <c r="H73" s="128" t="s">
        <v>598</v>
      </c>
      <c r="I73" s="128" t="s">
        <v>637</v>
      </c>
      <c r="J73" s="31"/>
      <c r="K73" s="102" t="s">
        <v>583</v>
      </c>
      <c r="L73" s="90"/>
      <c r="M73" s="111"/>
      <c r="N73" s="112"/>
      <c r="O73" s="113"/>
      <c r="P73" s="112"/>
      <c r="Q73" s="31"/>
      <c r="R73" s="102"/>
      <c r="S73" s="90"/>
      <c r="T73" s="88" t="str">
        <f t="shared" si="15"/>
        <v>NA</v>
      </c>
      <c r="U73" s="88" t="str">
        <f t="shared" si="16"/>
        <v>NA</v>
      </c>
      <c r="V73" s="111"/>
      <c r="W73" s="112"/>
      <c r="X73" s="113"/>
      <c r="Y73" s="112"/>
      <c r="Z73" s="31"/>
      <c r="AA73" s="296"/>
      <c r="AB73" s="89"/>
      <c r="AC73" s="88" t="str">
        <f t="shared" ref="AC73:AC136" si="22">IF(LEFT(AB73,1)&lt;&gt;"x","NA",IF(RIGHT(AA73,3)=RIGHT(R73,3),IF(RIGHT(AA73,3)&lt;&gt;RIGHT(K73,3),IF(OR(AND(RIGHT(AA73,3)=RIGHT(R73,3),AB73=S73),AND(RIGHT(AA73,3)=RIGHT(K73,3),AB73=L73)),"NO","YES"),"NO"),IF(OR(RIGHT(AA73,3)=RIGHT(R73,3),RIGHT(AA73,3)=RIGHT(K73,3)),"ERROR","YES")))</f>
        <v>NA</v>
      </c>
      <c r="AD73" s="88" t="str">
        <f t="shared" ref="AD73:AD136" si="23">IF(LEFT(S73,1)&lt;&gt;LEFT(AB73,1),"YES",IF(LEFT(AB73,1)="x","NO","NA"))</f>
        <v>NA</v>
      </c>
      <c r="AE73" s="111"/>
      <c r="AF73" s="112"/>
      <c r="AG73" s="113"/>
      <c r="AH73" s="112"/>
      <c r="AI73" s="31"/>
      <c r="AJ73" s="294"/>
      <c r="AK73" s="89"/>
      <c r="AL73" s="88" t="str">
        <f t="shared" ref="AL73:AL136" si="24">IF(LEFT(AK73,1)&lt;&gt;"x","NA",IF(RIGHT(AJ73,3)=RIGHT(AA73,3),IF(RIGHT(AJ73,3)&lt;&gt;RIGHT(T73,3),IF(OR(AND(RIGHT(AJ73,3)=RIGHT(AA73,3),AK73=AB73),AND(RIGHT(AJ73,3)=RIGHT(T73,3),AK73=U73)),"NO","YES"),"NO"),IF(OR(RIGHT(AJ73,3)=RIGHT(AA73,3),RIGHT(AJ73,3)=RIGHT(T73,3)),"ERROR","YES")))</f>
        <v>NA</v>
      </c>
      <c r="AM73" s="88" t="str">
        <f t="shared" ref="AM73:AM136" si="25">IF(LEFT(AB73,1)&lt;&gt;LEFT(AK73,1),"YES",IF(LEFT(AK73,1)="x","NO","NA"))</f>
        <v>NA</v>
      </c>
      <c r="AN73" s="111"/>
      <c r="AO73" s="112"/>
      <c r="AP73" s="113"/>
      <c r="AQ73" s="112"/>
      <c r="AR73" s="31"/>
      <c r="AS73" s="32"/>
      <c r="AT73" s="90"/>
      <c r="AU73" s="88"/>
      <c r="AV73" s="88"/>
      <c r="AW73" s="111"/>
      <c r="AX73" s="112"/>
      <c r="AY73" s="113"/>
      <c r="AZ73" s="112"/>
      <c r="BA73" s="31"/>
      <c r="BB73" s="32"/>
      <c r="BC73" s="90"/>
      <c r="BD73" s="88"/>
      <c r="BE73" s="88"/>
      <c r="BF73" s="111"/>
      <c r="BG73" s="112"/>
      <c r="BH73" s="113"/>
      <c r="BI73" s="112"/>
      <c r="BJ73" s="31"/>
      <c r="BK73" s="32"/>
      <c r="BL73" s="90"/>
      <c r="BM73" s="88"/>
      <c r="BN73" s="88"/>
      <c r="BO73" s="111"/>
      <c r="BP73" s="112"/>
      <c r="BQ73" s="113"/>
      <c r="BR73" s="112"/>
      <c r="BS73" s="31"/>
      <c r="BT73" s="32"/>
      <c r="BU73" s="90"/>
      <c r="BV73" s="88"/>
      <c r="BW73" s="88"/>
      <c r="BX73" s="111"/>
      <c r="BY73" s="112"/>
      <c r="BZ73" s="113"/>
      <c r="CA73" s="112"/>
      <c r="CB73" s="31"/>
      <c r="CC73" s="32"/>
      <c r="CD73" s="90"/>
      <c r="CE73" s="88"/>
      <c r="CF73" s="88"/>
      <c r="CG73" s="111"/>
      <c r="CH73" s="112"/>
      <c r="CI73" s="113"/>
      <c r="CJ73" s="112"/>
      <c r="CK73" s="31"/>
      <c r="CL73" s="32"/>
      <c r="CM73" s="90"/>
      <c r="CN73" s="88"/>
      <c r="CO73" s="88"/>
      <c r="CP73" s="111"/>
      <c r="CQ73" s="112"/>
      <c r="CR73" s="113"/>
      <c r="CS73" s="112"/>
      <c r="CT73" s="55"/>
      <c r="CV73" s="230" t="s">
        <v>637</v>
      </c>
      <c r="CX73" s="226" t="s">
        <v>1425</v>
      </c>
      <c r="CY73" s="226" t="s">
        <v>541</v>
      </c>
      <c r="CZ73" s="226" t="s">
        <v>541</v>
      </c>
      <c r="DA73" s="226" t="s">
        <v>541</v>
      </c>
      <c r="DB73" s="14"/>
      <c r="DC73" s="226" t="s">
        <v>541</v>
      </c>
      <c r="DD73" s="226" t="s">
        <v>541</v>
      </c>
      <c r="DE73" s="226" t="s">
        <v>541</v>
      </c>
      <c r="DF73" s="226" t="s">
        <v>1439</v>
      </c>
      <c r="DG73" s="226" t="s">
        <v>541</v>
      </c>
      <c r="DH73" s="14"/>
    </row>
    <row r="74" spans="1:112" ht="12.75" customHeight="1" x14ac:dyDescent="0.25">
      <c r="A74" s="17" t="s">
        <v>388</v>
      </c>
      <c r="B74" s="17" t="s">
        <v>541</v>
      </c>
      <c r="C74" s="17" t="s">
        <v>288</v>
      </c>
      <c r="D74" s="17" t="s">
        <v>638</v>
      </c>
      <c r="E74" s="17" t="b">
        <f t="shared" si="21"/>
        <v>1</v>
      </c>
      <c r="F74" s="127" t="s">
        <v>388</v>
      </c>
      <c r="G74" s="248" t="s">
        <v>541</v>
      </c>
      <c r="H74" s="128" t="s">
        <v>288</v>
      </c>
      <c r="I74" s="128" t="s">
        <v>638</v>
      </c>
      <c r="J74" s="31"/>
      <c r="K74" s="102" t="s">
        <v>583</v>
      </c>
      <c r="L74" s="90"/>
      <c r="M74" s="111"/>
      <c r="N74" s="112"/>
      <c r="O74" s="113"/>
      <c r="P74" s="112"/>
      <c r="Q74" s="31"/>
      <c r="R74" s="102"/>
      <c r="S74" s="90"/>
      <c r="T74" s="88" t="str">
        <f t="shared" si="15"/>
        <v>NA</v>
      </c>
      <c r="U74" s="88" t="str">
        <f t="shared" si="16"/>
        <v>NA</v>
      </c>
      <c r="V74" s="111"/>
      <c r="W74" s="112"/>
      <c r="X74" s="113"/>
      <c r="Y74" s="112"/>
      <c r="Z74" s="31"/>
      <c r="AA74" s="296"/>
      <c r="AB74" s="89"/>
      <c r="AC74" s="88" t="str">
        <f t="shared" si="22"/>
        <v>NA</v>
      </c>
      <c r="AD74" s="88" t="str">
        <f t="shared" si="23"/>
        <v>NA</v>
      </c>
      <c r="AE74" s="111"/>
      <c r="AF74" s="112"/>
      <c r="AG74" s="113"/>
      <c r="AH74" s="112"/>
      <c r="AI74" s="31"/>
      <c r="AJ74" s="294"/>
      <c r="AK74" s="89"/>
      <c r="AL74" s="88" t="str">
        <f t="shared" si="24"/>
        <v>NA</v>
      </c>
      <c r="AM74" s="88" t="str">
        <f t="shared" si="25"/>
        <v>NA</v>
      </c>
      <c r="AN74" s="111"/>
      <c r="AO74" s="112"/>
      <c r="AP74" s="113"/>
      <c r="AQ74" s="112"/>
      <c r="AR74" s="31"/>
      <c r="AS74" s="32"/>
      <c r="AT74" s="90"/>
      <c r="AU74" s="88"/>
      <c r="AV74" s="88"/>
      <c r="AW74" s="111"/>
      <c r="AX74" s="112"/>
      <c r="AY74" s="113"/>
      <c r="AZ74" s="112"/>
      <c r="BA74" s="31"/>
      <c r="BB74" s="32"/>
      <c r="BC74" s="90"/>
      <c r="BD74" s="88"/>
      <c r="BE74" s="88"/>
      <c r="BF74" s="111"/>
      <c r="BG74" s="112"/>
      <c r="BH74" s="113"/>
      <c r="BI74" s="112"/>
      <c r="BJ74" s="31"/>
      <c r="BK74" s="32"/>
      <c r="BL74" s="90"/>
      <c r="BM74" s="88"/>
      <c r="BN74" s="88"/>
      <c r="BO74" s="111"/>
      <c r="BP74" s="112"/>
      <c r="BQ74" s="113"/>
      <c r="BR74" s="112"/>
      <c r="BS74" s="31"/>
      <c r="BT74" s="32"/>
      <c r="BU74" s="90"/>
      <c r="BV74" s="88"/>
      <c r="BW74" s="88"/>
      <c r="BX74" s="111"/>
      <c r="BY74" s="112"/>
      <c r="BZ74" s="113"/>
      <c r="CA74" s="112"/>
      <c r="CB74" s="31"/>
      <c r="CC74" s="32"/>
      <c r="CD74" s="90"/>
      <c r="CE74" s="88"/>
      <c r="CF74" s="88"/>
      <c r="CG74" s="111"/>
      <c r="CH74" s="112"/>
      <c r="CI74" s="113"/>
      <c r="CJ74" s="112"/>
      <c r="CK74" s="31"/>
      <c r="CL74" s="32"/>
      <c r="CM74" s="90"/>
      <c r="CN74" s="88"/>
      <c r="CO74" s="88"/>
      <c r="CP74" s="111"/>
      <c r="CQ74" s="112"/>
      <c r="CR74" s="113"/>
      <c r="CS74" s="112"/>
      <c r="CT74" s="55"/>
      <c r="CV74" s="230" t="s">
        <v>638</v>
      </c>
      <c r="CX74" s="226" t="s">
        <v>1424</v>
      </c>
      <c r="CY74" s="226" t="s">
        <v>541</v>
      </c>
      <c r="CZ74" s="226" t="s">
        <v>541</v>
      </c>
      <c r="DA74" s="226" t="s">
        <v>541</v>
      </c>
      <c r="DB74" s="14"/>
      <c r="DC74" s="226" t="s">
        <v>541</v>
      </c>
      <c r="DD74" s="226" t="s">
        <v>541</v>
      </c>
      <c r="DE74" s="226" t="s">
        <v>541</v>
      </c>
      <c r="DF74" s="226" t="s">
        <v>1440</v>
      </c>
      <c r="DG74" s="226" t="s">
        <v>541</v>
      </c>
      <c r="DH74" s="14"/>
    </row>
    <row r="75" spans="1:112" ht="26" x14ac:dyDescent="0.25">
      <c r="A75" s="17" t="s">
        <v>562</v>
      </c>
      <c r="B75" s="17" t="s">
        <v>541</v>
      </c>
      <c r="C75" s="17" t="s">
        <v>599</v>
      </c>
      <c r="D75" s="17" t="s">
        <v>639</v>
      </c>
      <c r="E75" s="17" t="b">
        <f t="shared" si="21"/>
        <v>1</v>
      </c>
      <c r="F75" s="127" t="s">
        <v>562</v>
      </c>
      <c r="G75" s="248" t="s">
        <v>541</v>
      </c>
      <c r="H75" s="128" t="s">
        <v>599</v>
      </c>
      <c r="I75" s="128" t="s">
        <v>639</v>
      </c>
      <c r="J75" s="31"/>
      <c r="K75" s="102" t="s">
        <v>583</v>
      </c>
      <c r="L75" s="90"/>
      <c r="M75" s="111"/>
      <c r="N75" s="112"/>
      <c r="O75" s="113"/>
      <c r="P75" s="112"/>
      <c r="Q75" s="31"/>
      <c r="R75" s="102"/>
      <c r="S75" s="90"/>
      <c r="T75" s="88" t="str">
        <f t="shared" si="15"/>
        <v>NA</v>
      </c>
      <c r="U75" s="88" t="str">
        <f t="shared" si="16"/>
        <v>NA</v>
      </c>
      <c r="V75" s="111"/>
      <c r="W75" s="112"/>
      <c r="X75" s="113"/>
      <c r="Y75" s="112"/>
      <c r="Z75" s="31"/>
      <c r="AA75" s="296"/>
      <c r="AB75" s="89"/>
      <c r="AC75" s="88" t="str">
        <f t="shared" si="22"/>
        <v>NA</v>
      </c>
      <c r="AD75" s="88" t="str">
        <f t="shared" si="23"/>
        <v>NA</v>
      </c>
      <c r="AE75" s="111"/>
      <c r="AF75" s="112"/>
      <c r="AG75" s="113"/>
      <c r="AH75" s="112"/>
      <c r="AI75" s="31"/>
      <c r="AJ75" s="294"/>
      <c r="AK75" s="89"/>
      <c r="AL75" s="88" t="str">
        <f t="shared" si="24"/>
        <v>NA</v>
      </c>
      <c r="AM75" s="88" t="str">
        <f t="shared" si="25"/>
        <v>NA</v>
      </c>
      <c r="AN75" s="111"/>
      <c r="AO75" s="112"/>
      <c r="AP75" s="113"/>
      <c r="AQ75" s="112"/>
      <c r="AR75" s="31"/>
      <c r="AS75" s="32"/>
      <c r="AT75" s="90"/>
      <c r="AU75" s="88"/>
      <c r="AV75" s="88"/>
      <c r="AW75" s="111"/>
      <c r="AX75" s="112"/>
      <c r="AY75" s="113"/>
      <c r="AZ75" s="112"/>
      <c r="BA75" s="31"/>
      <c r="BB75" s="32"/>
      <c r="BC75" s="90"/>
      <c r="BD75" s="88"/>
      <c r="BE75" s="88"/>
      <c r="BF75" s="111"/>
      <c r="BG75" s="112"/>
      <c r="BH75" s="113"/>
      <c r="BI75" s="112"/>
      <c r="BJ75" s="31"/>
      <c r="BK75" s="32"/>
      <c r="BL75" s="90"/>
      <c r="BM75" s="88"/>
      <c r="BN75" s="88"/>
      <c r="BO75" s="111"/>
      <c r="BP75" s="112"/>
      <c r="BQ75" s="113"/>
      <c r="BR75" s="112"/>
      <c r="BS75" s="31"/>
      <c r="BT75" s="32"/>
      <c r="BU75" s="90"/>
      <c r="BV75" s="88"/>
      <c r="BW75" s="88"/>
      <c r="BX75" s="111"/>
      <c r="BY75" s="112"/>
      <c r="BZ75" s="113"/>
      <c r="CA75" s="112"/>
      <c r="CB75" s="31"/>
      <c r="CC75" s="32"/>
      <c r="CD75" s="90"/>
      <c r="CE75" s="88"/>
      <c r="CF75" s="88"/>
      <c r="CG75" s="111"/>
      <c r="CH75" s="112"/>
      <c r="CI75" s="113"/>
      <c r="CJ75" s="112"/>
      <c r="CK75" s="31"/>
      <c r="CL75" s="32"/>
      <c r="CM75" s="90"/>
      <c r="CN75" s="88"/>
      <c r="CO75" s="88"/>
      <c r="CP75" s="111"/>
      <c r="CQ75" s="112"/>
      <c r="CR75" s="113"/>
      <c r="CS75" s="112"/>
      <c r="CT75" s="55"/>
      <c r="CV75" s="230" t="s">
        <v>639</v>
      </c>
      <c r="CX75" s="226" t="s">
        <v>1425</v>
      </c>
      <c r="CY75" s="226" t="s">
        <v>541</v>
      </c>
      <c r="CZ75" s="226" t="s">
        <v>541</v>
      </c>
      <c r="DA75" s="226" t="s">
        <v>541</v>
      </c>
      <c r="DB75" s="14"/>
      <c r="DC75" s="226" t="s">
        <v>541</v>
      </c>
      <c r="DD75" s="226" t="s">
        <v>541</v>
      </c>
      <c r="DE75" s="226" t="s">
        <v>541</v>
      </c>
      <c r="DF75" s="226" t="s">
        <v>1440</v>
      </c>
      <c r="DG75" s="226" t="s">
        <v>541</v>
      </c>
      <c r="DH75" s="14"/>
    </row>
    <row r="76" spans="1:112" ht="12.75" customHeight="1" x14ac:dyDescent="0.25">
      <c r="A76" s="17" t="s">
        <v>563</v>
      </c>
      <c r="B76" s="17" t="s">
        <v>541</v>
      </c>
      <c r="C76" s="17" t="s">
        <v>600</v>
      </c>
      <c r="D76" s="17" t="s">
        <v>640</v>
      </c>
      <c r="E76" s="17" t="b">
        <f t="shared" si="21"/>
        <v>1</v>
      </c>
      <c r="F76" s="127" t="s">
        <v>563</v>
      </c>
      <c r="G76" s="248" t="s">
        <v>541</v>
      </c>
      <c r="H76" s="128" t="s">
        <v>600</v>
      </c>
      <c r="I76" s="128" t="s">
        <v>640</v>
      </c>
      <c r="J76" s="31"/>
      <c r="K76" s="102" t="s">
        <v>583</v>
      </c>
      <c r="L76" s="90"/>
      <c r="M76" s="111"/>
      <c r="N76" s="112"/>
      <c r="O76" s="113"/>
      <c r="P76" s="112"/>
      <c r="Q76" s="31"/>
      <c r="R76" s="102"/>
      <c r="S76" s="90"/>
      <c r="T76" s="88" t="str">
        <f t="shared" si="15"/>
        <v>NA</v>
      </c>
      <c r="U76" s="88" t="str">
        <f t="shared" si="16"/>
        <v>NA</v>
      </c>
      <c r="V76" s="111"/>
      <c r="W76" s="112"/>
      <c r="X76" s="113"/>
      <c r="Y76" s="112"/>
      <c r="Z76" s="31"/>
      <c r="AA76" s="296"/>
      <c r="AB76" s="89"/>
      <c r="AC76" s="88" t="str">
        <f t="shared" si="22"/>
        <v>NA</v>
      </c>
      <c r="AD76" s="88" t="str">
        <f t="shared" si="23"/>
        <v>NA</v>
      </c>
      <c r="AE76" s="111"/>
      <c r="AF76" s="112"/>
      <c r="AG76" s="113"/>
      <c r="AH76" s="112"/>
      <c r="AI76" s="31"/>
      <c r="AJ76" s="294"/>
      <c r="AK76" s="89"/>
      <c r="AL76" s="88" t="str">
        <f t="shared" si="24"/>
        <v>NA</v>
      </c>
      <c r="AM76" s="88" t="str">
        <f t="shared" si="25"/>
        <v>NA</v>
      </c>
      <c r="AN76" s="111"/>
      <c r="AO76" s="112"/>
      <c r="AP76" s="113"/>
      <c r="AQ76" s="112"/>
      <c r="AR76" s="31"/>
      <c r="AS76" s="32"/>
      <c r="AT76" s="90"/>
      <c r="AU76" s="88"/>
      <c r="AV76" s="88"/>
      <c r="AW76" s="111"/>
      <c r="AX76" s="112"/>
      <c r="AY76" s="113"/>
      <c r="AZ76" s="112"/>
      <c r="BA76" s="31"/>
      <c r="BB76" s="32"/>
      <c r="BC76" s="90"/>
      <c r="BD76" s="88"/>
      <c r="BE76" s="88"/>
      <c r="BF76" s="111"/>
      <c r="BG76" s="112"/>
      <c r="BH76" s="113"/>
      <c r="BI76" s="112"/>
      <c r="BJ76" s="31"/>
      <c r="BK76" s="32"/>
      <c r="BL76" s="90"/>
      <c r="BM76" s="88"/>
      <c r="BN76" s="88"/>
      <c r="BO76" s="111"/>
      <c r="BP76" s="112"/>
      <c r="BQ76" s="113"/>
      <c r="BR76" s="112"/>
      <c r="BS76" s="31"/>
      <c r="BT76" s="32"/>
      <c r="BU76" s="90"/>
      <c r="BV76" s="88"/>
      <c r="BW76" s="88"/>
      <c r="BX76" s="111"/>
      <c r="BY76" s="112"/>
      <c r="BZ76" s="113"/>
      <c r="CA76" s="112"/>
      <c r="CB76" s="31"/>
      <c r="CC76" s="32"/>
      <c r="CD76" s="90"/>
      <c r="CE76" s="88"/>
      <c r="CF76" s="88"/>
      <c r="CG76" s="111"/>
      <c r="CH76" s="112"/>
      <c r="CI76" s="113"/>
      <c r="CJ76" s="112"/>
      <c r="CK76" s="31"/>
      <c r="CL76" s="32"/>
      <c r="CM76" s="90"/>
      <c r="CN76" s="88"/>
      <c r="CO76" s="88"/>
      <c r="CP76" s="111"/>
      <c r="CQ76" s="112"/>
      <c r="CR76" s="113"/>
      <c r="CS76" s="112"/>
      <c r="CT76" s="55"/>
      <c r="CV76" s="230" t="s">
        <v>640</v>
      </c>
      <c r="CX76" s="226" t="s">
        <v>1424</v>
      </c>
      <c r="CY76" s="226" t="s">
        <v>541</v>
      </c>
      <c r="CZ76" s="226" t="s">
        <v>541</v>
      </c>
      <c r="DA76" s="226" t="s">
        <v>541</v>
      </c>
      <c r="DB76" s="14"/>
      <c r="DC76" s="226" t="s">
        <v>541</v>
      </c>
      <c r="DD76" s="226" t="s">
        <v>541</v>
      </c>
      <c r="DE76" s="226" t="s">
        <v>541</v>
      </c>
      <c r="DF76" s="226" t="s">
        <v>1441</v>
      </c>
      <c r="DG76" s="226" t="s">
        <v>541</v>
      </c>
      <c r="DH76" s="14"/>
    </row>
    <row r="77" spans="1:112" ht="26" x14ac:dyDescent="0.25">
      <c r="A77" s="17" t="s">
        <v>564</v>
      </c>
      <c r="B77" s="17" t="s">
        <v>541</v>
      </c>
      <c r="C77" s="17" t="s">
        <v>601</v>
      </c>
      <c r="D77" s="17" t="s">
        <v>641</v>
      </c>
      <c r="E77" s="17" t="b">
        <f t="shared" si="21"/>
        <v>1</v>
      </c>
      <c r="F77" s="127" t="s">
        <v>564</v>
      </c>
      <c r="G77" s="248" t="s">
        <v>541</v>
      </c>
      <c r="H77" s="128" t="s">
        <v>601</v>
      </c>
      <c r="I77" s="128" t="s">
        <v>641</v>
      </c>
      <c r="J77" s="31"/>
      <c r="K77" s="102" t="s">
        <v>354</v>
      </c>
      <c r="L77" s="90" t="s">
        <v>2418</v>
      </c>
      <c r="M77" s="111" t="s">
        <v>2470</v>
      </c>
      <c r="N77" s="112"/>
      <c r="O77" s="113"/>
      <c r="P77" s="112"/>
      <c r="Q77" s="31"/>
      <c r="R77" s="102"/>
      <c r="S77" s="90"/>
      <c r="T77" s="88" t="str">
        <f t="shared" si="15"/>
        <v>NA</v>
      </c>
      <c r="U77" s="88" t="str">
        <f t="shared" si="16"/>
        <v>YES</v>
      </c>
      <c r="V77" s="111"/>
      <c r="W77" s="112"/>
      <c r="X77" s="113"/>
      <c r="Y77" s="112"/>
      <c r="Z77" s="31"/>
      <c r="AA77" s="296"/>
      <c r="AB77" s="89"/>
      <c r="AC77" s="88" t="str">
        <f t="shared" si="22"/>
        <v>NA</v>
      </c>
      <c r="AD77" s="88" t="str">
        <f t="shared" si="23"/>
        <v>NA</v>
      </c>
      <c r="AE77" s="111"/>
      <c r="AF77" s="112"/>
      <c r="AG77" s="113"/>
      <c r="AH77" s="112"/>
      <c r="AI77" s="31"/>
      <c r="AJ77" s="294"/>
      <c r="AK77" s="89"/>
      <c r="AL77" s="88" t="str">
        <f t="shared" si="24"/>
        <v>NA</v>
      </c>
      <c r="AM77" s="88" t="str">
        <f t="shared" si="25"/>
        <v>NA</v>
      </c>
      <c r="AN77" s="111"/>
      <c r="AO77" s="112"/>
      <c r="AP77" s="113"/>
      <c r="AQ77" s="112"/>
      <c r="AR77" s="31"/>
      <c r="AS77" s="32"/>
      <c r="AT77" s="90"/>
      <c r="AU77" s="88"/>
      <c r="AV77" s="88"/>
      <c r="AW77" s="111"/>
      <c r="AX77" s="112"/>
      <c r="AY77" s="113"/>
      <c r="AZ77" s="112"/>
      <c r="BA77" s="31"/>
      <c r="BB77" s="32"/>
      <c r="BC77" s="90"/>
      <c r="BD77" s="88"/>
      <c r="BE77" s="88"/>
      <c r="BF77" s="111"/>
      <c r="BG77" s="112"/>
      <c r="BH77" s="113"/>
      <c r="BI77" s="112"/>
      <c r="BJ77" s="31"/>
      <c r="BK77" s="32"/>
      <c r="BL77" s="90"/>
      <c r="BM77" s="88"/>
      <c r="BN77" s="88"/>
      <c r="BO77" s="111"/>
      <c r="BP77" s="112"/>
      <c r="BQ77" s="113"/>
      <c r="BR77" s="112"/>
      <c r="BS77" s="31"/>
      <c r="BT77" s="32"/>
      <c r="BU77" s="90"/>
      <c r="BV77" s="88"/>
      <c r="BW77" s="88"/>
      <c r="BX77" s="111"/>
      <c r="BY77" s="112"/>
      <c r="BZ77" s="113"/>
      <c r="CA77" s="112"/>
      <c r="CB77" s="31"/>
      <c r="CC77" s="32"/>
      <c r="CD77" s="90"/>
      <c r="CE77" s="88"/>
      <c r="CF77" s="88"/>
      <c r="CG77" s="111"/>
      <c r="CH77" s="112"/>
      <c r="CI77" s="113"/>
      <c r="CJ77" s="112"/>
      <c r="CK77" s="31"/>
      <c r="CL77" s="32"/>
      <c r="CM77" s="90"/>
      <c r="CN77" s="88"/>
      <c r="CO77" s="88"/>
      <c r="CP77" s="111"/>
      <c r="CQ77" s="112"/>
      <c r="CR77" s="113"/>
      <c r="CS77" s="112"/>
      <c r="CT77" s="55"/>
      <c r="CV77" s="230" t="s">
        <v>641</v>
      </c>
      <c r="CX77" s="226" t="s">
        <v>1425</v>
      </c>
      <c r="CY77" s="226" t="s">
        <v>541</v>
      </c>
      <c r="CZ77" s="226" t="s">
        <v>541</v>
      </c>
      <c r="DA77" s="226" t="s">
        <v>541</v>
      </c>
      <c r="DB77" s="14"/>
      <c r="DC77" s="226" t="s">
        <v>541</v>
      </c>
      <c r="DD77" s="226" t="s">
        <v>541</v>
      </c>
      <c r="DE77" s="226" t="s">
        <v>541</v>
      </c>
      <c r="DF77" s="226" t="s">
        <v>1441</v>
      </c>
      <c r="DG77" s="226" t="s">
        <v>541</v>
      </c>
      <c r="DH77" s="14"/>
    </row>
    <row r="78" spans="1:112" ht="12.75" customHeight="1" x14ac:dyDescent="0.25">
      <c r="A78" s="17" t="s">
        <v>390</v>
      </c>
      <c r="B78" s="17" t="s">
        <v>541</v>
      </c>
      <c r="C78" s="17" t="s">
        <v>286</v>
      </c>
      <c r="D78" s="17" t="s">
        <v>642</v>
      </c>
      <c r="E78" s="17" t="b">
        <f t="shared" si="21"/>
        <v>1</v>
      </c>
      <c r="F78" s="127" t="s">
        <v>390</v>
      </c>
      <c r="G78" s="248" t="s">
        <v>541</v>
      </c>
      <c r="H78" s="128" t="s">
        <v>286</v>
      </c>
      <c r="I78" s="128" t="s">
        <v>642</v>
      </c>
      <c r="J78" s="31"/>
      <c r="K78" s="102" t="s">
        <v>583</v>
      </c>
      <c r="L78" s="90"/>
      <c r="M78" s="111"/>
      <c r="N78" s="112"/>
      <c r="O78" s="113"/>
      <c r="P78" s="112"/>
      <c r="Q78" s="31"/>
      <c r="R78" s="102"/>
      <c r="S78" s="90"/>
      <c r="T78" s="88" t="str">
        <f t="shared" si="15"/>
        <v>NA</v>
      </c>
      <c r="U78" s="88" t="str">
        <f t="shared" si="16"/>
        <v>NA</v>
      </c>
      <c r="V78" s="111"/>
      <c r="W78" s="112"/>
      <c r="X78" s="113"/>
      <c r="Y78" s="112"/>
      <c r="Z78" s="31"/>
      <c r="AA78" s="296"/>
      <c r="AB78" s="89"/>
      <c r="AC78" s="88" t="str">
        <f t="shared" si="22"/>
        <v>NA</v>
      </c>
      <c r="AD78" s="88" t="str">
        <f t="shared" si="23"/>
        <v>NA</v>
      </c>
      <c r="AE78" s="111"/>
      <c r="AF78" s="112"/>
      <c r="AG78" s="113"/>
      <c r="AH78" s="112"/>
      <c r="AI78" s="31"/>
      <c r="AJ78" s="294"/>
      <c r="AK78" s="89"/>
      <c r="AL78" s="88" t="str">
        <f t="shared" si="24"/>
        <v>NA</v>
      </c>
      <c r="AM78" s="88" t="str">
        <f t="shared" si="25"/>
        <v>NA</v>
      </c>
      <c r="AN78" s="111"/>
      <c r="AO78" s="112"/>
      <c r="AP78" s="113"/>
      <c r="AQ78" s="112"/>
      <c r="AR78" s="31"/>
      <c r="AS78" s="32"/>
      <c r="AT78" s="90"/>
      <c r="AU78" s="88"/>
      <c r="AV78" s="88"/>
      <c r="AW78" s="111"/>
      <c r="AX78" s="112"/>
      <c r="AY78" s="113"/>
      <c r="AZ78" s="112"/>
      <c r="BA78" s="31"/>
      <c r="BB78" s="32"/>
      <c r="BC78" s="90"/>
      <c r="BD78" s="88"/>
      <c r="BE78" s="88"/>
      <c r="BF78" s="111"/>
      <c r="BG78" s="112"/>
      <c r="BH78" s="113"/>
      <c r="BI78" s="112"/>
      <c r="BJ78" s="31"/>
      <c r="BK78" s="32"/>
      <c r="BL78" s="90"/>
      <c r="BM78" s="88"/>
      <c r="BN78" s="88"/>
      <c r="BO78" s="111"/>
      <c r="BP78" s="112"/>
      <c r="BQ78" s="113"/>
      <c r="BR78" s="112"/>
      <c r="BS78" s="31"/>
      <c r="BT78" s="32"/>
      <c r="BU78" s="90"/>
      <c r="BV78" s="88"/>
      <c r="BW78" s="88"/>
      <c r="BX78" s="111"/>
      <c r="BY78" s="112"/>
      <c r="BZ78" s="113"/>
      <c r="CA78" s="112"/>
      <c r="CB78" s="31"/>
      <c r="CC78" s="32"/>
      <c r="CD78" s="90"/>
      <c r="CE78" s="88"/>
      <c r="CF78" s="88"/>
      <c r="CG78" s="111"/>
      <c r="CH78" s="112"/>
      <c r="CI78" s="113"/>
      <c r="CJ78" s="112"/>
      <c r="CK78" s="31"/>
      <c r="CL78" s="32"/>
      <c r="CM78" s="90"/>
      <c r="CN78" s="88"/>
      <c r="CO78" s="88"/>
      <c r="CP78" s="111"/>
      <c r="CQ78" s="112"/>
      <c r="CR78" s="113"/>
      <c r="CS78" s="112"/>
      <c r="CT78" s="55"/>
      <c r="CV78" s="230" t="s">
        <v>642</v>
      </c>
      <c r="CX78" s="226" t="s">
        <v>1424</v>
      </c>
      <c r="CY78" s="226" t="s">
        <v>541</v>
      </c>
      <c r="CZ78" s="226" t="s">
        <v>541</v>
      </c>
      <c r="DA78" s="226" t="s">
        <v>541</v>
      </c>
      <c r="DB78" s="14"/>
      <c r="DC78" s="226" t="s">
        <v>541</v>
      </c>
      <c r="DD78" s="226" t="s">
        <v>541</v>
      </c>
      <c r="DE78" s="226" t="s">
        <v>541</v>
      </c>
      <c r="DF78" s="226" t="s">
        <v>1442</v>
      </c>
      <c r="DG78" s="226" t="s">
        <v>541</v>
      </c>
      <c r="DH78" s="14"/>
    </row>
    <row r="79" spans="1:112" ht="12.75" customHeight="1" x14ac:dyDescent="0.25">
      <c r="A79" s="17" t="s">
        <v>391</v>
      </c>
      <c r="B79" s="17" t="s">
        <v>541</v>
      </c>
      <c r="C79" s="17" t="s">
        <v>285</v>
      </c>
      <c r="D79" s="17" t="s">
        <v>643</v>
      </c>
      <c r="E79" s="17" t="b">
        <f t="shared" si="21"/>
        <v>1</v>
      </c>
      <c r="F79" s="127" t="s">
        <v>391</v>
      </c>
      <c r="G79" s="248" t="s">
        <v>541</v>
      </c>
      <c r="H79" s="128" t="s">
        <v>285</v>
      </c>
      <c r="I79" s="128" t="s">
        <v>643</v>
      </c>
      <c r="J79" s="31"/>
      <c r="K79" s="102" t="s">
        <v>583</v>
      </c>
      <c r="L79" s="90"/>
      <c r="M79" s="111"/>
      <c r="N79" s="112"/>
      <c r="O79" s="113"/>
      <c r="P79" s="112"/>
      <c r="Q79" s="31"/>
      <c r="R79" s="102"/>
      <c r="S79" s="90"/>
      <c r="T79" s="88" t="str">
        <f t="shared" si="15"/>
        <v>NA</v>
      </c>
      <c r="U79" s="88" t="str">
        <f t="shared" si="16"/>
        <v>NA</v>
      </c>
      <c r="V79" s="111"/>
      <c r="W79" s="112"/>
      <c r="X79" s="113"/>
      <c r="Y79" s="112"/>
      <c r="Z79" s="31"/>
      <c r="AA79" s="296"/>
      <c r="AB79" s="89"/>
      <c r="AC79" s="88" t="str">
        <f t="shared" si="22"/>
        <v>NA</v>
      </c>
      <c r="AD79" s="88" t="str">
        <f t="shared" si="23"/>
        <v>NA</v>
      </c>
      <c r="AE79" s="111"/>
      <c r="AF79" s="112"/>
      <c r="AG79" s="113"/>
      <c r="AH79" s="112"/>
      <c r="AI79" s="31"/>
      <c r="AJ79" s="294"/>
      <c r="AK79" s="89"/>
      <c r="AL79" s="88" t="str">
        <f t="shared" si="24"/>
        <v>NA</v>
      </c>
      <c r="AM79" s="88" t="str">
        <f t="shared" si="25"/>
        <v>NA</v>
      </c>
      <c r="AN79" s="111"/>
      <c r="AO79" s="112"/>
      <c r="AP79" s="113"/>
      <c r="AQ79" s="112"/>
      <c r="AR79" s="31"/>
      <c r="AS79" s="32"/>
      <c r="AT79" s="90"/>
      <c r="AU79" s="88"/>
      <c r="AV79" s="88"/>
      <c r="AW79" s="111"/>
      <c r="AX79" s="112"/>
      <c r="AY79" s="113"/>
      <c r="AZ79" s="112"/>
      <c r="BA79" s="31"/>
      <c r="BB79" s="32"/>
      <c r="BC79" s="90"/>
      <c r="BD79" s="88"/>
      <c r="BE79" s="88"/>
      <c r="BF79" s="111"/>
      <c r="BG79" s="112"/>
      <c r="BH79" s="113"/>
      <c r="BI79" s="112"/>
      <c r="BJ79" s="31"/>
      <c r="BK79" s="32"/>
      <c r="BL79" s="90"/>
      <c r="BM79" s="88"/>
      <c r="BN79" s="88"/>
      <c r="BO79" s="111"/>
      <c r="BP79" s="112"/>
      <c r="BQ79" s="113"/>
      <c r="BR79" s="112"/>
      <c r="BS79" s="31"/>
      <c r="BT79" s="32"/>
      <c r="BU79" s="90"/>
      <c r="BV79" s="88"/>
      <c r="BW79" s="88"/>
      <c r="BX79" s="111"/>
      <c r="BY79" s="112"/>
      <c r="BZ79" s="113"/>
      <c r="CA79" s="112"/>
      <c r="CB79" s="31"/>
      <c r="CC79" s="32"/>
      <c r="CD79" s="90"/>
      <c r="CE79" s="88"/>
      <c r="CF79" s="88"/>
      <c r="CG79" s="111"/>
      <c r="CH79" s="112"/>
      <c r="CI79" s="113"/>
      <c r="CJ79" s="112"/>
      <c r="CK79" s="31"/>
      <c r="CL79" s="32"/>
      <c r="CM79" s="90"/>
      <c r="CN79" s="88"/>
      <c r="CO79" s="88"/>
      <c r="CP79" s="111"/>
      <c r="CQ79" s="112"/>
      <c r="CR79" s="113"/>
      <c r="CS79" s="112"/>
      <c r="CT79" s="55"/>
      <c r="CV79" s="230" t="s">
        <v>643</v>
      </c>
      <c r="CX79" s="226" t="s">
        <v>1424</v>
      </c>
      <c r="CY79" s="226" t="s">
        <v>541</v>
      </c>
      <c r="CZ79" s="226" t="s">
        <v>541</v>
      </c>
      <c r="DA79" s="226" t="s">
        <v>541</v>
      </c>
      <c r="DB79" s="226"/>
      <c r="DC79" s="226" t="s">
        <v>541</v>
      </c>
      <c r="DD79" s="226" t="s">
        <v>541</v>
      </c>
      <c r="DE79" s="226" t="s">
        <v>541</v>
      </c>
      <c r="DF79" s="226" t="s">
        <v>1443</v>
      </c>
      <c r="DG79" s="226" t="s">
        <v>541</v>
      </c>
      <c r="DH79" s="14"/>
    </row>
    <row r="80" spans="1:112" ht="12.75" customHeight="1" x14ac:dyDescent="0.25">
      <c r="A80" s="17" t="s">
        <v>565</v>
      </c>
      <c r="B80" s="17" t="s">
        <v>541</v>
      </c>
      <c r="C80" s="17" t="s">
        <v>602</v>
      </c>
      <c r="D80" s="17" t="s">
        <v>644</v>
      </c>
      <c r="E80" s="17" t="b">
        <f t="shared" si="21"/>
        <v>1</v>
      </c>
      <c r="F80" s="127" t="s">
        <v>565</v>
      </c>
      <c r="G80" s="248" t="s">
        <v>541</v>
      </c>
      <c r="H80" s="128" t="s">
        <v>602</v>
      </c>
      <c r="I80" s="128" t="s">
        <v>644</v>
      </c>
      <c r="J80" s="31"/>
      <c r="K80" s="102" t="s">
        <v>583</v>
      </c>
      <c r="L80" s="90"/>
      <c r="M80" s="111"/>
      <c r="N80" s="112"/>
      <c r="O80" s="113"/>
      <c r="P80" s="112"/>
      <c r="Q80" s="31"/>
      <c r="R80" s="102"/>
      <c r="S80" s="90"/>
      <c r="T80" s="88" t="str">
        <f t="shared" si="15"/>
        <v>NA</v>
      </c>
      <c r="U80" s="88" t="str">
        <f t="shared" si="16"/>
        <v>NA</v>
      </c>
      <c r="V80" s="111"/>
      <c r="W80" s="112"/>
      <c r="X80" s="113"/>
      <c r="Y80" s="112"/>
      <c r="Z80" s="31"/>
      <c r="AA80" s="296"/>
      <c r="AB80" s="89"/>
      <c r="AC80" s="88" t="str">
        <f t="shared" si="22"/>
        <v>NA</v>
      </c>
      <c r="AD80" s="88" t="str">
        <f t="shared" si="23"/>
        <v>NA</v>
      </c>
      <c r="AE80" s="111"/>
      <c r="AF80" s="112"/>
      <c r="AG80" s="113"/>
      <c r="AH80" s="112"/>
      <c r="AI80" s="31"/>
      <c r="AJ80" s="294"/>
      <c r="AK80" s="89"/>
      <c r="AL80" s="88" t="str">
        <f t="shared" si="24"/>
        <v>NA</v>
      </c>
      <c r="AM80" s="88" t="str">
        <f t="shared" si="25"/>
        <v>NA</v>
      </c>
      <c r="AN80" s="111"/>
      <c r="AO80" s="112"/>
      <c r="AP80" s="113"/>
      <c r="AQ80" s="112"/>
      <c r="AR80" s="31"/>
      <c r="AS80" s="32"/>
      <c r="AT80" s="90"/>
      <c r="AU80" s="88"/>
      <c r="AV80" s="88"/>
      <c r="AW80" s="111"/>
      <c r="AX80" s="112"/>
      <c r="AY80" s="113"/>
      <c r="AZ80" s="112"/>
      <c r="BA80" s="31"/>
      <c r="BB80" s="32"/>
      <c r="BC80" s="90"/>
      <c r="BD80" s="88"/>
      <c r="BE80" s="88"/>
      <c r="BF80" s="111"/>
      <c r="BG80" s="112"/>
      <c r="BH80" s="113"/>
      <c r="BI80" s="112"/>
      <c r="BJ80" s="31"/>
      <c r="BK80" s="32"/>
      <c r="BL80" s="90"/>
      <c r="BM80" s="88"/>
      <c r="BN80" s="88"/>
      <c r="BO80" s="111"/>
      <c r="BP80" s="112"/>
      <c r="BQ80" s="113"/>
      <c r="BR80" s="112"/>
      <c r="BS80" s="31"/>
      <c r="BT80" s="32"/>
      <c r="BU80" s="90"/>
      <c r="BV80" s="88"/>
      <c r="BW80" s="88"/>
      <c r="BX80" s="111"/>
      <c r="BY80" s="112"/>
      <c r="BZ80" s="113"/>
      <c r="CA80" s="112"/>
      <c r="CB80" s="31"/>
      <c r="CC80" s="32"/>
      <c r="CD80" s="90"/>
      <c r="CE80" s="88"/>
      <c r="CF80" s="88"/>
      <c r="CG80" s="111"/>
      <c r="CH80" s="112"/>
      <c r="CI80" s="113"/>
      <c r="CJ80" s="112"/>
      <c r="CK80" s="31"/>
      <c r="CL80" s="32"/>
      <c r="CM80" s="90"/>
      <c r="CN80" s="88"/>
      <c r="CO80" s="88"/>
      <c r="CP80" s="111"/>
      <c r="CQ80" s="112"/>
      <c r="CR80" s="113"/>
      <c r="CS80" s="112"/>
      <c r="CT80" s="55"/>
      <c r="CV80" s="230" t="s">
        <v>644</v>
      </c>
      <c r="CX80" s="226" t="s">
        <v>1424</v>
      </c>
      <c r="CY80" s="226" t="s">
        <v>541</v>
      </c>
      <c r="CZ80" s="226" t="s">
        <v>541</v>
      </c>
      <c r="DA80" s="226" t="s">
        <v>541</v>
      </c>
      <c r="DB80" s="226"/>
      <c r="DC80" s="226" t="s">
        <v>541</v>
      </c>
      <c r="DD80" s="226" t="s">
        <v>541</v>
      </c>
      <c r="DE80" s="226" t="s">
        <v>541</v>
      </c>
      <c r="DF80" s="226" t="s">
        <v>1444</v>
      </c>
      <c r="DG80" s="226" t="s">
        <v>541</v>
      </c>
      <c r="DH80" s="14"/>
    </row>
    <row r="81" spans="1:112" ht="26" x14ac:dyDescent="0.25">
      <c r="A81" s="17" t="s">
        <v>392</v>
      </c>
      <c r="B81" s="17" t="s">
        <v>541</v>
      </c>
      <c r="C81" s="17" t="s">
        <v>284</v>
      </c>
      <c r="D81" s="17" t="s">
        <v>696</v>
      </c>
      <c r="E81" s="17" t="b">
        <f t="shared" si="21"/>
        <v>1</v>
      </c>
      <c r="F81" s="127" t="s">
        <v>392</v>
      </c>
      <c r="G81" s="248" t="s">
        <v>541</v>
      </c>
      <c r="H81" s="128" t="s">
        <v>284</v>
      </c>
      <c r="I81" s="128" t="s">
        <v>696</v>
      </c>
      <c r="J81" s="31"/>
      <c r="K81" s="102" t="s">
        <v>584</v>
      </c>
      <c r="L81" s="90"/>
      <c r="M81" s="111"/>
      <c r="N81" s="112"/>
      <c r="O81" s="113"/>
      <c r="P81" s="112"/>
      <c r="Q81" s="31"/>
      <c r="R81" s="102"/>
      <c r="S81" s="90"/>
      <c r="T81" s="88" t="str">
        <f t="shared" si="15"/>
        <v>NA</v>
      </c>
      <c r="U81" s="88" t="str">
        <f t="shared" si="16"/>
        <v>NA</v>
      </c>
      <c r="V81" s="111"/>
      <c r="W81" s="112"/>
      <c r="X81" s="113"/>
      <c r="Y81" s="112"/>
      <c r="Z81" s="31"/>
      <c r="AA81" s="296"/>
      <c r="AB81" s="89"/>
      <c r="AC81" s="88" t="str">
        <f t="shared" si="22"/>
        <v>NA</v>
      </c>
      <c r="AD81" s="88" t="str">
        <f t="shared" si="23"/>
        <v>NA</v>
      </c>
      <c r="AE81" s="111"/>
      <c r="AF81" s="112"/>
      <c r="AG81" s="113"/>
      <c r="AH81" s="112"/>
      <c r="AI81" s="31"/>
      <c r="AJ81" s="294"/>
      <c r="AK81" s="89"/>
      <c r="AL81" s="88" t="str">
        <f t="shared" si="24"/>
        <v>NA</v>
      </c>
      <c r="AM81" s="88" t="str">
        <f t="shared" si="25"/>
        <v>NA</v>
      </c>
      <c r="AN81" s="111"/>
      <c r="AO81" s="112"/>
      <c r="AP81" s="113"/>
      <c r="AQ81" s="112"/>
      <c r="AR81" s="31"/>
      <c r="AS81" s="32"/>
      <c r="AT81" s="90"/>
      <c r="AU81" s="88"/>
      <c r="AV81" s="88"/>
      <c r="AW81" s="111"/>
      <c r="AX81" s="112"/>
      <c r="AY81" s="113"/>
      <c r="AZ81" s="112"/>
      <c r="BA81" s="31"/>
      <c r="BB81" s="32"/>
      <c r="BC81" s="90"/>
      <c r="BD81" s="88"/>
      <c r="BE81" s="88"/>
      <c r="BF81" s="111"/>
      <c r="BG81" s="112"/>
      <c r="BH81" s="113"/>
      <c r="BI81" s="112"/>
      <c r="BJ81" s="31"/>
      <c r="BK81" s="32"/>
      <c r="BL81" s="90"/>
      <c r="BM81" s="88"/>
      <c r="BN81" s="88"/>
      <c r="BO81" s="111"/>
      <c r="BP81" s="112"/>
      <c r="BQ81" s="113"/>
      <c r="BR81" s="112"/>
      <c r="BS81" s="31"/>
      <c r="BT81" s="32"/>
      <c r="BU81" s="90"/>
      <c r="BV81" s="88"/>
      <c r="BW81" s="88"/>
      <c r="BX81" s="111"/>
      <c r="BY81" s="112"/>
      <c r="BZ81" s="113"/>
      <c r="CA81" s="112"/>
      <c r="CB81" s="31"/>
      <c r="CC81" s="32"/>
      <c r="CD81" s="90"/>
      <c r="CE81" s="88"/>
      <c r="CF81" s="88"/>
      <c r="CG81" s="111"/>
      <c r="CH81" s="112"/>
      <c r="CI81" s="113"/>
      <c r="CJ81" s="112"/>
      <c r="CK81" s="31"/>
      <c r="CL81" s="32"/>
      <c r="CM81" s="90"/>
      <c r="CN81" s="88"/>
      <c r="CO81" s="88"/>
      <c r="CP81" s="111"/>
      <c r="CQ81" s="112"/>
      <c r="CR81" s="113"/>
      <c r="CS81" s="112"/>
      <c r="CT81" s="55"/>
      <c r="CV81" s="230" t="s">
        <v>696</v>
      </c>
      <c r="CX81" s="226" t="s">
        <v>1425</v>
      </c>
      <c r="CY81" s="226" t="s">
        <v>541</v>
      </c>
      <c r="CZ81" s="226" t="s">
        <v>541</v>
      </c>
      <c r="DA81" s="226" t="s">
        <v>541</v>
      </c>
      <c r="DB81" s="14"/>
      <c r="DC81" s="226" t="s">
        <v>541</v>
      </c>
      <c r="DD81" s="226" t="s">
        <v>541</v>
      </c>
      <c r="DE81" s="226" t="s">
        <v>541</v>
      </c>
      <c r="DF81" s="226" t="s">
        <v>1444</v>
      </c>
      <c r="DG81" s="226" t="s">
        <v>541</v>
      </c>
      <c r="DH81" s="14"/>
    </row>
    <row r="82" spans="1:112" ht="12.75" customHeight="1" x14ac:dyDescent="0.25">
      <c r="A82" s="17" t="s">
        <v>393</v>
      </c>
      <c r="B82" s="17" t="s">
        <v>541</v>
      </c>
      <c r="C82" s="17" t="s">
        <v>283</v>
      </c>
      <c r="D82" s="17" t="s">
        <v>645</v>
      </c>
      <c r="E82" s="17" t="b">
        <f t="shared" si="21"/>
        <v>1</v>
      </c>
      <c r="F82" s="127" t="s">
        <v>393</v>
      </c>
      <c r="G82" s="248" t="s">
        <v>541</v>
      </c>
      <c r="H82" s="128" t="s">
        <v>283</v>
      </c>
      <c r="I82" s="128" t="s">
        <v>645</v>
      </c>
      <c r="J82" s="31"/>
      <c r="K82" s="102" t="s">
        <v>583</v>
      </c>
      <c r="L82" s="90"/>
      <c r="M82" s="111"/>
      <c r="N82" s="112"/>
      <c r="O82" s="113"/>
      <c r="P82" s="112"/>
      <c r="Q82" s="31"/>
      <c r="R82" s="102"/>
      <c r="S82" s="90"/>
      <c r="T82" s="88" t="str">
        <f t="shared" si="15"/>
        <v>NA</v>
      </c>
      <c r="U82" s="88" t="str">
        <f t="shared" si="16"/>
        <v>NA</v>
      </c>
      <c r="V82" s="111"/>
      <c r="W82" s="112"/>
      <c r="X82" s="113"/>
      <c r="Y82" s="112"/>
      <c r="Z82" s="31"/>
      <c r="AA82" s="296"/>
      <c r="AB82" s="89"/>
      <c r="AC82" s="88" t="str">
        <f t="shared" si="22"/>
        <v>NA</v>
      </c>
      <c r="AD82" s="88" t="str">
        <f t="shared" si="23"/>
        <v>NA</v>
      </c>
      <c r="AE82" s="111"/>
      <c r="AF82" s="112"/>
      <c r="AG82" s="113"/>
      <c r="AH82" s="112"/>
      <c r="AI82" s="31"/>
      <c r="AJ82" s="294"/>
      <c r="AK82" s="89"/>
      <c r="AL82" s="88" t="str">
        <f t="shared" si="24"/>
        <v>NA</v>
      </c>
      <c r="AM82" s="88" t="str">
        <f t="shared" si="25"/>
        <v>NA</v>
      </c>
      <c r="AN82" s="111"/>
      <c r="AO82" s="112"/>
      <c r="AP82" s="113"/>
      <c r="AQ82" s="112"/>
      <c r="AR82" s="31"/>
      <c r="AS82" s="32"/>
      <c r="AT82" s="90"/>
      <c r="AU82" s="88"/>
      <c r="AV82" s="88"/>
      <c r="AW82" s="111"/>
      <c r="AX82" s="112"/>
      <c r="AY82" s="113"/>
      <c r="AZ82" s="112"/>
      <c r="BA82" s="31"/>
      <c r="BB82" s="32"/>
      <c r="BC82" s="90"/>
      <c r="BD82" s="88"/>
      <c r="BE82" s="88"/>
      <c r="BF82" s="111"/>
      <c r="BG82" s="112"/>
      <c r="BH82" s="113"/>
      <c r="BI82" s="112"/>
      <c r="BJ82" s="31"/>
      <c r="BK82" s="32"/>
      <c r="BL82" s="90"/>
      <c r="BM82" s="88"/>
      <c r="BN82" s="88"/>
      <c r="BO82" s="111"/>
      <c r="BP82" s="112"/>
      <c r="BQ82" s="113"/>
      <c r="BR82" s="112"/>
      <c r="BS82" s="31"/>
      <c r="BT82" s="32"/>
      <c r="BU82" s="90"/>
      <c r="BV82" s="88"/>
      <c r="BW82" s="88"/>
      <c r="BX82" s="111"/>
      <c r="BY82" s="112"/>
      <c r="BZ82" s="113"/>
      <c r="CA82" s="112"/>
      <c r="CB82" s="31"/>
      <c r="CC82" s="32"/>
      <c r="CD82" s="90"/>
      <c r="CE82" s="88"/>
      <c r="CF82" s="88"/>
      <c r="CG82" s="111"/>
      <c r="CH82" s="112"/>
      <c r="CI82" s="113"/>
      <c r="CJ82" s="112"/>
      <c r="CK82" s="31"/>
      <c r="CL82" s="32"/>
      <c r="CM82" s="90"/>
      <c r="CN82" s="88"/>
      <c r="CO82" s="88"/>
      <c r="CP82" s="111"/>
      <c r="CQ82" s="112"/>
      <c r="CR82" s="113"/>
      <c r="CS82" s="112"/>
      <c r="CT82" s="55"/>
      <c r="CV82" s="230" t="s">
        <v>645</v>
      </c>
      <c r="CX82" s="226" t="s">
        <v>1424</v>
      </c>
      <c r="CY82" s="226" t="s">
        <v>541</v>
      </c>
      <c r="CZ82" s="226" t="s">
        <v>541</v>
      </c>
      <c r="DA82" s="226" t="s">
        <v>541</v>
      </c>
      <c r="DB82" s="14"/>
      <c r="DC82" s="226" t="s">
        <v>541</v>
      </c>
      <c r="DD82" s="226" t="s">
        <v>541</v>
      </c>
      <c r="DE82" s="226" t="s">
        <v>541</v>
      </c>
      <c r="DF82" s="226" t="s">
        <v>1445</v>
      </c>
      <c r="DG82" s="226" t="s">
        <v>541</v>
      </c>
      <c r="DH82" s="14"/>
    </row>
    <row r="83" spans="1:112" ht="12.75" customHeight="1" x14ac:dyDescent="0.25">
      <c r="A83" s="17" t="s">
        <v>566</v>
      </c>
      <c r="B83" s="17" t="s">
        <v>541</v>
      </c>
      <c r="C83" s="17" t="s">
        <v>603</v>
      </c>
      <c r="D83" s="17" t="s">
        <v>646</v>
      </c>
      <c r="E83" s="17" t="b">
        <f t="shared" si="21"/>
        <v>1</v>
      </c>
      <c r="F83" s="127" t="s">
        <v>566</v>
      </c>
      <c r="G83" s="248" t="s">
        <v>541</v>
      </c>
      <c r="H83" s="128" t="s">
        <v>603</v>
      </c>
      <c r="I83" s="128" t="s">
        <v>646</v>
      </c>
      <c r="J83" s="31"/>
      <c r="K83" s="102" t="s">
        <v>354</v>
      </c>
      <c r="L83" s="90"/>
      <c r="M83" s="111"/>
      <c r="N83" s="112"/>
      <c r="O83" s="113"/>
      <c r="P83" s="112"/>
      <c r="Q83" s="31"/>
      <c r="R83" s="102"/>
      <c r="S83" s="90"/>
      <c r="T83" s="88" t="str">
        <f t="shared" si="15"/>
        <v>NA</v>
      </c>
      <c r="U83" s="88" t="str">
        <f t="shared" si="16"/>
        <v>NA</v>
      </c>
      <c r="V83" s="111"/>
      <c r="W83" s="112"/>
      <c r="X83" s="113"/>
      <c r="Y83" s="112"/>
      <c r="Z83" s="31"/>
      <c r="AA83" s="296"/>
      <c r="AB83" s="89"/>
      <c r="AC83" s="88" t="str">
        <f t="shared" si="22"/>
        <v>NA</v>
      </c>
      <c r="AD83" s="88" t="str">
        <f t="shared" si="23"/>
        <v>NA</v>
      </c>
      <c r="AE83" s="111"/>
      <c r="AF83" s="112"/>
      <c r="AG83" s="113"/>
      <c r="AH83" s="112"/>
      <c r="AI83" s="31"/>
      <c r="AJ83" s="294"/>
      <c r="AK83" s="89"/>
      <c r="AL83" s="88" t="str">
        <f t="shared" si="24"/>
        <v>NA</v>
      </c>
      <c r="AM83" s="88" t="str">
        <f t="shared" si="25"/>
        <v>NA</v>
      </c>
      <c r="AN83" s="111"/>
      <c r="AO83" s="112"/>
      <c r="AP83" s="113"/>
      <c r="AQ83" s="112"/>
      <c r="AR83" s="31"/>
      <c r="AS83" s="32"/>
      <c r="AT83" s="90"/>
      <c r="AU83" s="88"/>
      <c r="AV83" s="88"/>
      <c r="AW83" s="111"/>
      <c r="AX83" s="112"/>
      <c r="AY83" s="113"/>
      <c r="AZ83" s="112"/>
      <c r="BA83" s="31"/>
      <c r="BB83" s="32"/>
      <c r="BC83" s="90"/>
      <c r="BD83" s="88"/>
      <c r="BE83" s="88"/>
      <c r="BF83" s="111"/>
      <c r="BG83" s="112"/>
      <c r="BH83" s="113"/>
      <c r="BI83" s="112"/>
      <c r="BJ83" s="31"/>
      <c r="BK83" s="32"/>
      <c r="BL83" s="90"/>
      <c r="BM83" s="88"/>
      <c r="BN83" s="88"/>
      <c r="BO83" s="111"/>
      <c r="BP83" s="112"/>
      <c r="BQ83" s="113"/>
      <c r="BR83" s="112"/>
      <c r="BS83" s="31"/>
      <c r="BT83" s="32"/>
      <c r="BU83" s="90"/>
      <c r="BV83" s="88"/>
      <c r="BW83" s="88"/>
      <c r="BX83" s="111"/>
      <c r="BY83" s="112"/>
      <c r="BZ83" s="113"/>
      <c r="CA83" s="112"/>
      <c r="CB83" s="31"/>
      <c r="CC83" s="32"/>
      <c r="CD83" s="90"/>
      <c r="CE83" s="88"/>
      <c r="CF83" s="88"/>
      <c r="CG83" s="111"/>
      <c r="CH83" s="112"/>
      <c r="CI83" s="113"/>
      <c r="CJ83" s="112"/>
      <c r="CK83" s="31"/>
      <c r="CL83" s="32"/>
      <c r="CM83" s="90"/>
      <c r="CN83" s="88"/>
      <c r="CO83" s="88"/>
      <c r="CP83" s="111"/>
      <c r="CQ83" s="112"/>
      <c r="CR83" s="113"/>
      <c r="CS83" s="112"/>
      <c r="CT83" s="55"/>
      <c r="CV83" s="230" t="s">
        <v>646</v>
      </c>
      <c r="CX83" s="226" t="s">
        <v>1424</v>
      </c>
      <c r="CY83" s="226" t="s">
        <v>541</v>
      </c>
      <c r="CZ83" s="226" t="s">
        <v>541</v>
      </c>
      <c r="DA83" s="226" t="s">
        <v>541</v>
      </c>
      <c r="DB83" s="14"/>
      <c r="DC83" s="226" t="s">
        <v>541</v>
      </c>
      <c r="DD83" s="226" t="s">
        <v>541</v>
      </c>
      <c r="DE83" s="226" t="s">
        <v>541</v>
      </c>
      <c r="DF83" s="226" t="s">
        <v>1445</v>
      </c>
      <c r="DG83" s="226" t="s">
        <v>541</v>
      </c>
      <c r="DH83" s="14"/>
    </row>
    <row r="84" spans="1:112" ht="26" x14ac:dyDescent="0.25">
      <c r="A84" s="17" t="s">
        <v>567</v>
      </c>
      <c r="B84" s="17" t="s">
        <v>541</v>
      </c>
      <c r="C84" s="17" t="s">
        <v>604</v>
      </c>
      <c r="D84" s="17" t="s">
        <v>647</v>
      </c>
      <c r="E84" s="17" t="b">
        <f t="shared" si="21"/>
        <v>1</v>
      </c>
      <c r="F84" s="127" t="s">
        <v>567</v>
      </c>
      <c r="G84" s="248" t="s">
        <v>541</v>
      </c>
      <c r="H84" s="128" t="s">
        <v>604</v>
      </c>
      <c r="I84" s="128" t="s">
        <v>647</v>
      </c>
      <c r="J84" s="31"/>
      <c r="K84" s="102" t="s">
        <v>354</v>
      </c>
      <c r="L84" s="90"/>
      <c r="M84" s="111"/>
      <c r="N84" s="112"/>
      <c r="O84" s="113"/>
      <c r="P84" s="112"/>
      <c r="Q84" s="31"/>
      <c r="R84" s="102"/>
      <c r="S84" s="90"/>
      <c r="T84" s="88" t="str">
        <f t="shared" si="15"/>
        <v>NA</v>
      </c>
      <c r="U84" s="88" t="str">
        <f t="shared" si="16"/>
        <v>NA</v>
      </c>
      <c r="V84" s="111"/>
      <c r="W84" s="112"/>
      <c r="X84" s="113"/>
      <c r="Y84" s="112"/>
      <c r="Z84" s="31"/>
      <c r="AA84" s="296"/>
      <c r="AB84" s="89"/>
      <c r="AC84" s="88" t="str">
        <f t="shared" si="22"/>
        <v>NA</v>
      </c>
      <c r="AD84" s="88" t="str">
        <f t="shared" si="23"/>
        <v>NA</v>
      </c>
      <c r="AE84" s="111"/>
      <c r="AF84" s="112"/>
      <c r="AG84" s="113"/>
      <c r="AH84" s="112"/>
      <c r="AI84" s="31"/>
      <c r="AJ84" s="294"/>
      <c r="AK84" s="89"/>
      <c r="AL84" s="88" t="str">
        <f t="shared" si="24"/>
        <v>NA</v>
      </c>
      <c r="AM84" s="88" t="str">
        <f t="shared" si="25"/>
        <v>NA</v>
      </c>
      <c r="AN84" s="111"/>
      <c r="AO84" s="112"/>
      <c r="AP84" s="113"/>
      <c r="AQ84" s="112"/>
      <c r="AR84" s="31"/>
      <c r="AS84" s="32"/>
      <c r="AT84" s="90"/>
      <c r="AU84" s="88"/>
      <c r="AV84" s="88"/>
      <c r="AW84" s="111"/>
      <c r="AX84" s="112"/>
      <c r="AY84" s="113"/>
      <c r="AZ84" s="112"/>
      <c r="BA84" s="31"/>
      <c r="BB84" s="32"/>
      <c r="BC84" s="90"/>
      <c r="BD84" s="88"/>
      <c r="BE84" s="88"/>
      <c r="BF84" s="111"/>
      <c r="BG84" s="112"/>
      <c r="BH84" s="113"/>
      <c r="BI84" s="112"/>
      <c r="BJ84" s="31"/>
      <c r="BK84" s="32"/>
      <c r="BL84" s="90"/>
      <c r="BM84" s="88"/>
      <c r="BN84" s="88"/>
      <c r="BO84" s="111"/>
      <c r="BP84" s="112"/>
      <c r="BQ84" s="113"/>
      <c r="BR84" s="112"/>
      <c r="BS84" s="31"/>
      <c r="BT84" s="32"/>
      <c r="BU84" s="90"/>
      <c r="BV84" s="88"/>
      <c r="BW84" s="88"/>
      <c r="BX84" s="111"/>
      <c r="BY84" s="112"/>
      <c r="BZ84" s="113"/>
      <c r="CA84" s="112"/>
      <c r="CB84" s="31"/>
      <c r="CC84" s="32"/>
      <c r="CD84" s="90"/>
      <c r="CE84" s="88"/>
      <c r="CF84" s="88"/>
      <c r="CG84" s="111"/>
      <c r="CH84" s="112"/>
      <c r="CI84" s="113"/>
      <c r="CJ84" s="112"/>
      <c r="CK84" s="31"/>
      <c r="CL84" s="32"/>
      <c r="CM84" s="90"/>
      <c r="CN84" s="88"/>
      <c r="CO84" s="88"/>
      <c r="CP84" s="111"/>
      <c r="CQ84" s="112"/>
      <c r="CR84" s="113"/>
      <c r="CS84" s="112"/>
      <c r="CT84" s="55"/>
      <c r="CV84" s="230" t="s">
        <v>647</v>
      </c>
      <c r="CX84" s="226" t="s">
        <v>1425</v>
      </c>
      <c r="CY84" s="226" t="s">
        <v>541</v>
      </c>
      <c r="CZ84" s="226" t="s">
        <v>541</v>
      </c>
      <c r="DA84" s="226" t="s">
        <v>541</v>
      </c>
      <c r="DB84" s="14"/>
      <c r="DC84" s="226" t="s">
        <v>541</v>
      </c>
      <c r="DD84" s="226" t="s">
        <v>541</v>
      </c>
      <c r="DE84" s="226" t="s">
        <v>541</v>
      </c>
      <c r="DF84" s="226" t="s">
        <v>1445</v>
      </c>
      <c r="DG84" s="226" t="s">
        <v>541</v>
      </c>
      <c r="DH84" s="14"/>
    </row>
    <row r="85" spans="1:112" ht="39" x14ac:dyDescent="0.25">
      <c r="A85" s="17" t="s">
        <v>568</v>
      </c>
      <c r="B85" s="17" t="s">
        <v>541</v>
      </c>
      <c r="C85" s="17" t="s">
        <v>605</v>
      </c>
      <c r="D85" s="17" t="s">
        <v>648</v>
      </c>
      <c r="E85" s="17" t="b">
        <f t="shared" si="21"/>
        <v>1</v>
      </c>
      <c r="F85" s="127" t="s">
        <v>568</v>
      </c>
      <c r="G85" s="248" t="s">
        <v>541</v>
      </c>
      <c r="H85" s="128" t="s">
        <v>605</v>
      </c>
      <c r="I85" s="128" t="s">
        <v>648</v>
      </c>
      <c r="J85" s="31"/>
      <c r="K85" s="102" t="s">
        <v>354</v>
      </c>
      <c r="L85" s="89" t="s">
        <v>2414</v>
      </c>
      <c r="M85" s="111" t="s">
        <v>2470</v>
      </c>
      <c r="N85" s="112"/>
      <c r="O85" s="113"/>
      <c r="P85" s="112"/>
      <c r="Q85" s="31"/>
      <c r="R85" s="102"/>
      <c r="S85" s="89"/>
      <c r="T85" s="88" t="str">
        <f t="shared" si="15"/>
        <v>NA</v>
      </c>
      <c r="U85" s="88" t="str">
        <f t="shared" si="16"/>
        <v>YES</v>
      </c>
      <c r="V85" s="111"/>
      <c r="W85" s="112"/>
      <c r="X85" s="113"/>
      <c r="Y85" s="112"/>
      <c r="Z85" s="31"/>
      <c r="AA85" s="296"/>
      <c r="AB85" s="89"/>
      <c r="AC85" s="88" t="str">
        <f t="shared" si="22"/>
        <v>NA</v>
      </c>
      <c r="AD85" s="88" t="str">
        <f t="shared" si="23"/>
        <v>NA</v>
      </c>
      <c r="AE85" s="111"/>
      <c r="AF85" s="112"/>
      <c r="AG85" s="113"/>
      <c r="AH85" s="112"/>
      <c r="AI85" s="31" t="s">
        <v>2392</v>
      </c>
      <c r="AJ85" s="294"/>
      <c r="AK85" s="89"/>
      <c r="AL85" s="88" t="str">
        <f t="shared" si="24"/>
        <v>NA</v>
      </c>
      <c r="AM85" s="88" t="str">
        <f t="shared" si="25"/>
        <v>NA</v>
      </c>
      <c r="AN85" s="111"/>
      <c r="AO85" s="112"/>
      <c r="AP85" s="113"/>
      <c r="AQ85" s="112"/>
      <c r="AR85" s="31"/>
      <c r="AS85" s="32"/>
      <c r="AT85" s="90"/>
      <c r="AU85" s="88"/>
      <c r="AV85" s="88"/>
      <c r="AW85" s="111"/>
      <c r="AX85" s="112"/>
      <c r="AY85" s="113"/>
      <c r="AZ85" s="112"/>
      <c r="BA85" s="31"/>
      <c r="BB85" s="32"/>
      <c r="BC85" s="90"/>
      <c r="BD85" s="88"/>
      <c r="BE85" s="88"/>
      <c r="BF85" s="111"/>
      <c r="BG85" s="112"/>
      <c r="BH85" s="113"/>
      <c r="BI85" s="112"/>
      <c r="BJ85" s="31"/>
      <c r="BK85" s="32"/>
      <c r="BL85" s="90"/>
      <c r="BM85" s="88"/>
      <c r="BN85" s="88"/>
      <c r="BO85" s="111"/>
      <c r="BP85" s="112"/>
      <c r="BQ85" s="113"/>
      <c r="BR85" s="112"/>
      <c r="BS85" s="31"/>
      <c r="BT85" s="32"/>
      <c r="BU85" s="90"/>
      <c r="BV85" s="88"/>
      <c r="BW85" s="88"/>
      <c r="BX85" s="111"/>
      <c r="BY85" s="112"/>
      <c r="BZ85" s="113"/>
      <c r="CA85" s="112"/>
      <c r="CB85" s="31"/>
      <c r="CC85" s="32"/>
      <c r="CD85" s="90"/>
      <c r="CE85" s="88"/>
      <c r="CF85" s="88"/>
      <c r="CG85" s="111"/>
      <c r="CH85" s="112"/>
      <c r="CI85" s="113"/>
      <c r="CJ85" s="112"/>
      <c r="CK85" s="31"/>
      <c r="CL85" s="32"/>
      <c r="CM85" s="90"/>
      <c r="CN85" s="88"/>
      <c r="CO85" s="88"/>
      <c r="CP85" s="111"/>
      <c r="CQ85" s="112"/>
      <c r="CR85" s="113"/>
      <c r="CS85" s="112"/>
      <c r="CT85" s="55"/>
      <c r="CV85" s="230" t="s">
        <v>648</v>
      </c>
      <c r="CX85" s="226" t="s">
        <v>541</v>
      </c>
      <c r="CY85" s="226" t="s">
        <v>541</v>
      </c>
      <c r="CZ85" s="226" t="s">
        <v>541</v>
      </c>
      <c r="DA85" s="226" t="s">
        <v>541</v>
      </c>
      <c r="DB85" s="226"/>
      <c r="DC85" s="226" t="s">
        <v>541</v>
      </c>
      <c r="DD85" s="226" t="s">
        <v>541</v>
      </c>
      <c r="DE85" s="226" t="s">
        <v>541</v>
      </c>
      <c r="DF85" s="226" t="s">
        <v>541</v>
      </c>
      <c r="DG85" s="226" t="s">
        <v>541</v>
      </c>
      <c r="DH85" s="14"/>
    </row>
    <row r="86" spans="1:112" ht="13" x14ac:dyDescent="0.25">
      <c r="A86" s="17" t="s">
        <v>569</v>
      </c>
      <c r="B86" s="17" t="s">
        <v>541</v>
      </c>
      <c r="C86" s="17" t="s">
        <v>606</v>
      </c>
      <c r="D86" s="17" t="s">
        <v>543</v>
      </c>
      <c r="E86" s="17" t="b">
        <f t="shared" si="21"/>
        <v>1</v>
      </c>
      <c r="F86" s="127" t="s">
        <v>569</v>
      </c>
      <c r="G86" s="248" t="s">
        <v>541</v>
      </c>
      <c r="H86" s="128" t="s">
        <v>606</v>
      </c>
      <c r="I86" s="128" t="s">
        <v>543</v>
      </c>
      <c r="J86" s="31"/>
      <c r="K86" s="102" t="s">
        <v>354</v>
      </c>
      <c r="L86" s="145"/>
      <c r="M86" s="111"/>
      <c r="N86" s="112"/>
      <c r="O86" s="113"/>
      <c r="P86" s="112"/>
      <c r="Q86" s="31"/>
      <c r="R86" s="102"/>
      <c r="S86" s="145"/>
      <c r="T86" s="88" t="str">
        <f t="shared" si="15"/>
        <v>NA</v>
      </c>
      <c r="U86" s="88" t="str">
        <f t="shared" si="16"/>
        <v>NA</v>
      </c>
      <c r="V86" s="111"/>
      <c r="W86" s="112"/>
      <c r="X86" s="113"/>
      <c r="Y86" s="112"/>
      <c r="Z86" s="31"/>
      <c r="AA86" s="296"/>
      <c r="AB86" s="89"/>
      <c r="AC86" s="88" t="str">
        <f t="shared" si="22"/>
        <v>NA</v>
      </c>
      <c r="AD86" s="88" t="str">
        <f t="shared" si="23"/>
        <v>NA</v>
      </c>
      <c r="AE86" s="111"/>
      <c r="AF86" s="112"/>
      <c r="AG86" s="113"/>
      <c r="AH86" s="112"/>
      <c r="AI86" s="31" t="s">
        <v>2392</v>
      </c>
      <c r="AJ86" s="294"/>
      <c r="AK86" s="89"/>
      <c r="AL86" s="88" t="str">
        <f t="shared" si="24"/>
        <v>NA</v>
      </c>
      <c r="AM86" s="88" t="str">
        <f t="shared" si="25"/>
        <v>NA</v>
      </c>
      <c r="AN86" s="111"/>
      <c r="AO86" s="112"/>
      <c r="AP86" s="113"/>
      <c r="AQ86" s="112"/>
      <c r="AR86" s="31"/>
      <c r="AS86" s="32"/>
      <c r="AT86" s="90"/>
      <c r="AU86" s="88"/>
      <c r="AV86" s="88"/>
      <c r="AW86" s="111"/>
      <c r="AX86" s="112"/>
      <c r="AY86" s="113"/>
      <c r="AZ86" s="112"/>
      <c r="BA86" s="31"/>
      <c r="BB86" s="32"/>
      <c r="BC86" s="90"/>
      <c r="BD86" s="88"/>
      <c r="BE86" s="88"/>
      <c r="BF86" s="111"/>
      <c r="BG86" s="112"/>
      <c r="BH86" s="113"/>
      <c r="BI86" s="112"/>
      <c r="BJ86" s="31"/>
      <c r="BK86" s="32"/>
      <c r="BL86" s="90"/>
      <c r="BM86" s="88"/>
      <c r="BN86" s="88"/>
      <c r="BO86" s="111"/>
      <c r="BP86" s="112"/>
      <c r="BQ86" s="113"/>
      <c r="BR86" s="112"/>
      <c r="BS86" s="31"/>
      <c r="BT86" s="32"/>
      <c r="BU86" s="90"/>
      <c r="BV86" s="88"/>
      <c r="BW86" s="88"/>
      <c r="BX86" s="111"/>
      <c r="BY86" s="112"/>
      <c r="BZ86" s="113"/>
      <c r="CA86" s="112"/>
      <c r="CB86" s="31"/>
      <c r="CC86" s="32"/>
      <c r="CD86" s="90"/>
      <c r="CE86" s="88"/>
      <c r="CF86" s="88"/>
      <c r="CG86" s="111"/>
      <c r="CH86" s="112"/>
      <c r="CI86" s="113"/>
      <c r="CJ86" s="112"/>
      <c r="CK86" s="31"/>
      <c r="CL86" s="32"/>
      <c r="CM86" s="90"/>
      <c r="CN86" s="88"/>
      <c r="CO86" s="88"/>
      <c r="CP86" s="111"/>
      <c r="CQ86" s="112"/>
      <c r="CR86" s="113"/>
      <c r="CS86" s="112"/>
      <c r="CT86" s="55"/>
      <c r="CV86" s="230" t="s">
        <v>543</v>
      </c>
      <c r="CX86" s="226" t="s">
        <v>541</v>
      </c>
      <c r="CY86" s="226" t="s">
        <v>541</v>
      </c>
      <c r="CZ86" s="226" t="s">
        <v>541</v>
      </c>
      <c r="DA86" s="226" t="s">
        <v>541</v>
      </c>
      <c r="DB86" s="226"/>
      <c r="DC86" s="226" t="s">
        <v>541</v>
      </c>
      <c r="DD86" s="226" t="s">
        <v>541</v>
      </c>
      <c r="DE86" s="226" t="s">
        <v>541</v>
      </c>
      <c r="DF86" s="226" t="s">
        <v>541</v>
      </c>
      <c r="DG86" s="226" t="s">
        <v>541</v>
      </c>
      <c r="DH86" s="14"/>
    </row>
    <row r="87" spans="1:112" ht="13" x14ac:dyDescent="0.25">
      <c r="A87" s="17" t="s">
        <v>1004</v>
      </c>
      <c r="B87" s="17" t="s">
        <v>1289</v>
      </c>
      <c r="C87" s="17" t="s">
        <v>1377</v>
      </c>
      <c r="D87" s="17" t="s">
        <v>1295</v>
      </c>
      <c r="E87" s="17" t="b">
        <f t="shared" si="21"/>
        <v>1</v>
      </c>
      <c r="F87" s="232" t="s">
        <v>2089</v>
      </c>
      <c r="G87" s="278" t="s">
        <v>2161</v>
      </c>
      <c r="H87" s="128" t="s">
        <v>1377</v>
      </c>
      <c r="I87" s="233" t="s">
        <v>1295</v>
      </c>
      <c r="J87" s="31"/>
      <c r="K87" s="102" t="s">
        <v>354</v>
      </c>
      <c r="L87" s="90"/>
      <c r="M87" s="111"/>
      <c r="N87" s="112"/>
      <c r="O87" s="113"/>
      <c r="P87" s="112"/>
      <c r="Q87" s="31"/>
      <c r="R87" s="102"/>
      <c r="S87" s="90"/>
      <c r="T87" s="88" t="str">
        <f t="shared" si="15"/>
        <v>NA</v>
      </c>
      <c r="U87" s="88" t="str">
        <f t="shared" si="16"/>
        <v>NA</v>
      </c>
      <c r="V87" s="111"/>
      <c r="W87" s="112"/>
      <c r="X87" s="113"/>
      <c r="Y87" s="112"/>
      <c r="Z87" s="31"/>
      <c r="AA87" s="296"/>
      <c r="AB87" s="89"/>
      <c r="AC87" s="88" t="str">
        <f t="shared" si="22"/>
        <v>NA</v>
      </c>
      <c r="AD87" s="88" t="str">
        <f t="shared" si="23"/>
        <v>NA</v>
      </c>
      <c r="AE87" s="111"/>
      <c r="AF87" s="112"/>
      <c r="AG87" s="113"/>
      <c r="AH87" s="112"/>
      <c r="AI87" s="31" t="s">
        <v>2392</v>
      </c>
      <c r="AJ87" s="294"/>
      <c r="AK87" s="89"/>
      <c r="AL87" s="88" t="str">
        <f t="shared" si="24"/>
        <v>NA</v>
      </c>
      <c r="AM87" s="88" t="str">
        <f t="shared" si="25"/>
        <v>NA</v>
      </c>
      <c r="AN87" s="111"/>
      <c r="AO87" s="112"/>
      <c r="AP87" s="113"/>
      <c r="AQ87" s="112"/>
      <c r="AR87" s="31"/>
      <c r="AS87" s="32"/>
      <c r="AT87" s="90"/>
      <c r="AU87" s="88"/>
      <c r="AV87" s="88"/>
      <c r="AW87" s="111"/>
      <c r="AX87" s="112"/>
      <c r="AY87" s="113"/>
      <c r="AZ87" s="112"/>
      <c r="BA87" s="31"/>
      <c r="BB87" s="32"/>
      <c r="BC87" s="90"/>
      <c r="BD87" s="88"/>
      <c r="BE87" s="88"/>
      <c r="BF87" s="111"/>
      <c r="BG87" s="112"/>
      <c r="BH87" s="113"/>
      <c r="BI87" s="112"/>
      <c r="BJ87" s="31"/>
      <c r="BK87" s="32"/>
      <c r="BL87" s="90"/>
      <c r="BM87" s="88"/>
      <c r="BN87" s="88"/>
      <c r="BO87" s="111"/>
      <c r="BP87" s="112"/>
      <c r="BQ87" s="113"/>
      <c r="BR87" s="112"/>
      <c r="BS87" s="31"/>
      <c r="BT87" s="32"/>
      <c r="BU87" s="90"/>
      <c r="BV87" s="88"/>
      <c r="BW87" s="88"/>
      <c r="BX87" s="111"/>
      <c r="BY87" s="112"/>
      <c r="BZ87" s="113"/>
      <c r="CA87" s="112"/>
      <c r="CB87" s="31"/>
      <c r="CC87" s="32"/>
      <c r="CD87" s="90"/>
      <c r="CE87" s="88"/>
      <c r="CF87" s="88"/>
      <c r="CG87" s="111"/>
      <c r="CH87" s="112"/>
      <c r="CI87" s="113"/>
      <c r="CJ87" s="112"/>
      <c r="CK87" s="31"/>
      <c r="CL87" s="32"/>
      <c r="CM87" s="90"/>
      <c r="CN87" s="88"/>
      <c r="CO87" s="88"/>
      <c r="CP87" s="111"/>
      <c r="CQ87" s="112"/>
      <c r="CR87" s="113"/>
      <c r="CS87" s="112"/>
      <c r="CT87" s="55"/>
      <c r="CV87" s="230"/>
      <c r="CX87" s="226" t="s">
        <v>541</v>
      </c>
      <c r="CY87" s="226" t="s">
        <v>541</v>
      </c>
      <c r="CZ87" s="226" t="s">
        <v>541</v>
      </c>
      <c r="DA87" s="226" t="s">
        <v>541</v>
      </c>
      <c r="DB87" s="226"/>
      <c r="DC87" s="226" t="s">
        <v>541</v>
      </c>
      <c r="DD87" s="226" t="s">
        <v>541</v>
      </c>
      <c r="DE87" s="226" t="s">
        <v>541</v>
      </c>
      <c r="DF87" s="226" t="s">
        <v>541</v>
      </c>
      <c r="DG87" s="226" t="s">
        <v>541</v>
      </c>
      <c r="DH87" s="14"/>
    </row>
    <row r="88" spans="1:112" ht="13" x14ac:dyDescent="0.25">
      <c r="A88" s="17" t="s">
        <v>1004</v>
      </c>
      <c r="B88" s="17" t="s">
        <v>1290</v>
      </c>
      <c r="C88" s="17" t="s">
        <v>1378</v>
      </c>
      <c r="D88" s="17" t="s">
        <v>1296</v>
      </c>
      <c r="E88" s="17" t="b">
        <f t="shared" si="21"/>
        <v>1</v>
      </c>
      <c r="F88" s="232" t="s">
        <v>2090</v>
      </c>
      <c r="G88" s="278" t="s">
        <v>2162</v>
      </c>
      <c r="H88" s="128" t="s">
        <v>1378</v>
      </c>
      <c r="I88" s="233" t="s">
        <v>1296</v>
      </c>
      <c r="J88" s="31"/>
      <c r="K88" s="102" t="s">
        <v>354</v>
      </c>
      <c r="L88" s="90"/>
      <c r="M88" s="111"/>
      <c r="N88" s="112"/>
      <c r="O88" s="113"/>
      <c r="P88" s="112"/>
      <c r="Q88" s="31"/>
      <c r="R88" s="102"/>
      <c r="S88" s="90"/>
      <c r="T88" s="88" t="str">
        <f t="shared" si="15"/>
        <v>NA</v>
      </c>
      <c r="U88" s="88" t="str">
        <f t="shared" si="16"/>
        <v>NA</v>
      </c>
      <c r="V88" s="111"/>
      <c r="W88" s="112"/>
      <c r="X88" s="113"/>
      <c r="Y88" s="112"/>
      <c r="Z88" s="31"/>
      <c r="AA88" s="296"/>
      <c r="AB88" s="89"/>
      <c r="AC88" s="88" t="str">
        <f t="shared" si="22"/>
        <v>NA</v>
      </c>
      <c r="AD88" s="88" t="str">
        <f t="shared" si="23"/>
        <v>NA</v>
      </c>
      <c r="AE88" s="111"/>
      <c r="AF88" s="112"/>
      <c r="AG88" s="113"/>
      <c r="AH88" s="112"/>
      <c r="AI88" s="31" t="s">
        <v>2392</v>
      </c>
      <c r="AJ88" s="294"/>
      <c r="AK88" s="89"/>
      <c r="AL88" s="88" t="str">
        <f t="shared" si="24"/>
        <v>NA</v>
      </c>
      <c r="AM88" s="88" t="str">
        <f t="shared" si="25"/>
        <v>NA</v>
      </c>
      <c r="AN88" s="111"/>
      <c r="AO88" s="112"/>
      <c r="AP88" s="113"/>
      <c r="AQ88" s="112"/>
      <c r="AR88" s="31"/>
      <c r="AS88" s="32"/>
      <c r="AT88" s="90"/>
      <c r="AU88" s="88"/>
      <c r="AV88" s="88"/>
      <c r="AW88" s="111"/>
      <c r="AX88" s="112"/>
      <c r="AY88" s="113"/>
      <c r="AZ88" s="112"/>
      <c r="BA88" s="31"/>
      <c r="BB88" s="32"/>
      <c r="BC88" s="90"/>
      <c r="BD88" s="88"/>
      <c r="BE88" s="88"/>
      <c r="BF88" s="111"/>
      <c r="BG88" s="112"/>
      <c r="BH88" s="113"/>
      <c r="BI88" s="112"/>
      <c r="BJ88" s="31"/>
      <c r="BK88" s="32"/>
      <c r="BL88" s="90"/>
      <c r="BM88" s="88"/>
      <c r="BN88" s="88"/>
      <c r="BO88" s="111"/>
      <c r="BP88" s="112"/>
      <c r="BQ88" s="113"/>
      <c r="BR88" s="112"/>
      <c r="BS88" s="31"/>
      <c r="BT88" s="32"/>
      <c r="BU88" s="90"/>
      <c r="BV88" s="88"/>
      <c r="BW88" s="88"/>
      <c r="BX88" s="111"/>
      <c r="BY88" s="112"/>
      <c r="BZ88" s="113"/>
      <c r="CA88" s="112"/>
      <c r="CB88" s="31"/>
      <c r="CC88" s="32"/>
      <c r="CD88" s="90"/>
      <c r="CE88" s="88"/>
      <c r="CF88" s="88"/>
      <c r="CG88" s="111"/>
      <c r="CH88" s="112"/>
      <c r="CI88" s="113"/>
      <c r="CJ88" s="112"/>
      <c r="CK88" s="31"/>
      <c r="CL88" s="32"/>
      <c r="CM88" s="90"/>
      <c r="CN88" s="88"/>
      <c r="CO88" s="88"/>
      <c r="CP88" s="111"/>
      <c r="CQ88" s="112"/>
      <c r="CR88" s="113"/>
      <c r="CS88" s="112"/>
      <c r="CT88" s="55"/>
      <c r="CV88" s="230"/>
      <c r="CX88" s="226" t="s">
        <v>541</v>
      </c>
      <c r="CY88" s="226" t="s">
        <v>541</v>
      </c>
      <c r="CZ88" s="226" t="s">
        <v>541</v>
      </c>
      <c r="DA88" s="226" t="s">
        <v>541</v>
      </c>
      <c r="DB88" s="226"/>
      <c r="DC88" s="226" t="s">
        <v>541</v>
      </c>
      <c r="DD88" s="226" t="s">
        <v>541</v>
      </c>
      <c r="DE88" s="226" t="s">
        <v>541</v>
      </c>
      <c r="DF88" s="226" t="s">
        <v>541</v>
      </c>
      <c r="DG88" s="226" t="s">
        <v>541</v>
      </c>
      <c r="DH88" s="14"/>
    </row>
    <row r="89" spans="1:112" ht="13" x14ac:dyDescent="0.25">
      <c r="A89" s="17" t="s">
        <v>1004</v>
      </c>
      <c r="B89" s="17" t="s">
        <v>1291</v>
      </c>
      <c r="C89" s="17" t="s">
        <v>1379</v>
      </c>
      <c r="D89" s="17" t="s">
        <v>1297</v>
      </c>
      <c r="E89" s="17" t="b">
        <f t="shared" si="21"/>
        <v>1</v>
      </c>
      <c r="F89" s="232" t="s">
        <v>2091</v>
      </c>
      <c r="G89" s="277" t="s">
        <v>2163</v>
      </c>
      <c r="H89" s="128" t="s">
        <v>1379</v>
      </c>
      <c r="I89" s="233" t="s">
        <v>1297</v>
      </c>
      <c r="J89" s="31"/>
      <c r="K89" s="102" t="s">
        <v>354</v>
      </c>
      <c r="L89" s="90"/>
      <c r="M89" s="111"/>
      <c r="N89" s="112"/>
      <c r="O89" s="113"/>
      <c r="P89" s="112"/>
      <c r="Q89" s="31"/>
      <c r="R89" s="102"/>
      <c r="S89" s="90"/>
      <c r="T89" s="88" t="str">
        <f t="shared" si="15"/>
        <v>NA</v>
      </c>
      <c r="U89" s="88" t="str">
        <f t="shared" si="16"/>
        <v>NA</v>
      </c>
      <c r="V89" s="111"/>
      <c r="W89" s="112"/>
      <c r="X89" s="113"/>
      <c r="Y89" s="112"/>
      <c r="Z89" s="31"/>
      <c r="AA89" s="296"/>
      <c r="AB89" s="89"/>
      <c r="AC89" s="88" t="str">
        <f t="shared" si="22"/>
        <v>NA</v>
      </c>
      <c r="AD89" s="88" t="str">
        <f t="shared" si="23"/>
        <v>NA</v>
      </c>
      <c r="AE89" s="111"/>
      <c r="AF89" s="112"/>
      <c r="AG89" s="113"/>
      <c r="AH89" s="112"/>
      <c r="AI89" s="31" t="s">
        <v>2392</v>
      </c>
      <c r="AJ89" s="294"/>
      <c r="AK89" s="89"/>
      <c r="AL89" s="88" t="str">
        <f t="shared" si="24"/>
        <v>NA</v>
      </c>
      <c r="AM89" s="88" t="str">
        <f t="shared" si="25"/>
        <v>NA</v>
      </c>
      <c r="AN89" s="111"/>
      <c r="AO89" s="112"/>
      <c r="AP89" s="113"/>
      <c r="AQ89" s="112"/>
      <c r="AR89" s="31"/>
      <c r="AS89" s="32"/>
      <c r="AT89" s="90"/>
      <c r="AU89" s="88"/>
      <c r="AV89" s="88"/>
      <c r="AW89" s="111"/>
      <c r="AX89" s="112"/>
      <c r="AY89" s="113"/>
      <c r="AZ89" s="112"/>
      <c r="BA89" s="31"/>
      <c r="BB89" s="32"/>
      <c r="BC89" s="90"/>
      <c r="BD89" s="88"/>
      <c r="BE89" s="88"/>
      <c r="BF89" s="111"/>
      <c r="BG89" s="112"/>
      <c r="BH89" s="113"/>
      <c r="BI89" s="112"/>
      <c r="BJ89" s="31"/>
      <c r="BK89" s="32"/>
      <c r="BL89" s="90"/>
      <c r="BM89" s="88"/>
      <c r="BN89" s="88"/>
      <c r="BO89" s="111"/>
      <c r="BP89" s="112"/>
      <c r="BQ89" s="113"/>
      <c r="BR89" s="112"/>
      <c r="BS89" s="31"/>
      <c r="BT89" s="32"/>
      <c r="BU89" s="90"/>
      <c r="BV89" s="88"/>
      <c r="BW89" s="88"/>
      <c r="BX89" s="111"/>
      <c r="BY89" s="112"/>
      <c r="BZ89" s="113"/>
      <c r="CA89" s="112"/>
      <c r="CB89" s="31"/>
      <c r="CC89" s="32"/>
      <c r="CD89" s="90"/>
      <c r="CE89" s="88"/>
      <c r="CF89" s="88"/>
      <c r="CG89" s="111"/>
      <c r="CH89" s="112"/>
      <c r="CI89" s="113"/>
      <c r="CJ89" s="112"/>
      <c r="CK89" s="31"/>
      <c r="CL89" s="32"/>
      <c r="CM89" s="90"/>
      <c r="CN89" s="88"/>
      <c r="CO89" s="88"/>
      <c r="CP89" s="111"/>
      <c r="CQ89" s="112"/>
      <c r="CR89" s="113"/>
      <c r="CS89" s="112"/>
      <c r="CT89" s="55"/>
      <c r="CV89" s="230"/>
      <c r="CX89" s="226" t="s">
        <v>541</v>
      </c>
      <c r="CY89" s="226" t="s">
        <v>541</v>
      </c>
      <c r="CZ89" s="226" t="s">
        <v>541</v>
      </c>
      <c r="DA89" s="226" t="s">
        <v>541</v>
      </c>
      <c r="DB89" s="226"/>
      <c r="DC89" s="226" t="s">
        <v>541</v>
      </c>
      <c r="DD89" s="226" t="s">
        <v>541</v>
      </c>
      <c r="DE89" s="226" t="s">
        <v>541</v>
      </c>
      <c r="DF89" s="226" t="s">
        <v>541</v>
      </c>
      <c r="DG89" s="226" t="s">
        <v>541</v>
      </c>
      <c r="DH89" s="14"/>
    </row>
    <row r="90" spans="1:112" ht="13" x14ac:dyDescent="0.25">
      <c r="A90" s="17" t="s">
        <v>1004</v>
      </c>
      <c r="B90" s="17" t="s">
        <v>1292</v>
      </c>
      <c r="C90" s="17" t="s">
        <v>1380</v>
      </c>
      <c r="D90" s="17" t="s">
        <v>1298</v>
      </c>
      <c r="E90" s="17" t="b">
        <f t="shared" si="21"/>
        <v>1</v>
      </c>
      <c r="F90" s="232" t="s">
        <v>2092</v>
      </c>
      <c r="G90" s="277" t="s">
        <v>2164</v>
      </c>
      <c r="H90" s="128" t="s">
        <v>1380</v>
      </c>
      <c r="I90" s="233" t="s">
        <v>1298</v>
      </c>
      <c r="J90" s="31"/>
      <c r="K90" s="102" t="s">
        <v>354</v>
      </c>
      <c r="L90" s="90"/>
      <c r="M90" s="111"/>
      <c r="N90" s="112"/>
      <c r="O90" s="113"/>
      <c r="P90" s="112"/>
      <c r="Q90" s="31"/>
      <c r="R90" s="102"/>
      <c r="S90" s="90"/>
      <c r="T90" s="88" t="str">
        <f t="shared" si="15"/>
        <v>NA</v>
      </c>
      <c r="U90" s="88" t="str">
        <f t="shared" si="16"/>
        <v>NA</v>
      </c>
      <c r="V90" s="111"/>
      <c r="W90" s="112"/>
      <c r="X90" s="113"/>
      <c r="Y90" s="112"/>
      <c r="Z90" s="31"/>
      <c r="AA90" s="296"/>
      <c r="AB90" s="89"/>
      <c r="AC90" s="88" t="str">
        <f t="shared" si="22"/>
        <v>NA</v>
      </c>
      <c r="AD90" s="88" t="str">
        <f t="shared" si="23"/>
        <v>NA</v>
      </c>
      <c r="AE90" s="111"/>
      <c r="AF90" s="112"/>
      <c r="AG90" s="113"/>
      <c r="AH90" s="112"/>
      <c r="AI90" s="31" t="s">
        <v>2392</v>
      </c>
      <c r="AJ90" s="294"/>
      <c r="AK90" s="89"/>
      <c r="AL90" s="88" t="str">
        <f t="shared" si="24"/>
        <v>NA</v>
      </c>
      <c r="AM90" s="88" t="str">
        <f t="shared" si="25"/>
        <v>NA</v>
      </c>
      <c r="AN90" s="111"/>
      <c r="AO90" s="112"/>
      <c r="AP90" s="113"/>
      <c r="AQ90" s="112"/>
      <c r="AR90" s="31"/>
      <c r="AS90" s="32"/>
      <c r="AT90" s="90"/>
      <c r="AU90" s="88"/>
      <c r="AV90" s="88"/>
      <c r="AW90" s="111"/>
      <c r="AX90" s="112"/>
      <c r="AY90" s="113"/>
      <c r="AZ90" s="112"/>
      <c r="BA90" s="31"/>
      <c r="BB90" s="32"/>
      <c r="BC90" s="90"/>
      <c r="BD90" s="88"/>
      <c r="BE90" s="88"/>
      <c r="BF90" s="111"/>
      <c r="BG90" s="112"/>
      <c r="BH90" s="113"/>
      <c r="BI90" s="112"/>
      <c r="BJ90" s="31"/>
      <c r="BK90" s="32"/>
      <c r="BL90" s="90"/>
      <c r="BM90" s="88"/>
      <c r="BN90" s="88"/>
      <c r="BO90" s="111"/>
      <c r="BP90" s="112"/>
      <c r="BQ90" s="113"/>
      <c r="BR90" s="112"/>
      <c r="BS90" s="31"/>
      <c r="BT90" s="32"/>
      <c r="BU90" s="90"/>
      <c r="BV90" s="88"/>
      <c r="BW90" s="88"/>
      <c r="BX90" s="111"/>
      <c r="BY90" s="112"/>
      <c r="BZ90" s="113"/>
      <c r="CA90" s="112"/>
      <c r="CB90" s="31"/>
      <c r="CC90" s="32"/>
      <c r="CD90" s="90"/>
      <c r="CE90" s="88"/>
      <c r="CF90" s="88"/>
      <c r="CG90" s="111"/>
      <c r="CH90" s="112"/>
      <c r="CI90" s="113"/>
      <c r="CJ90" s="112"/>
      <c r="CK90" s="31"/>
      <c r="CL90" s="32"/>
      <c r="CM90" s="90"/>
      <c r="CN90" s="88"/>
      <c r="CO90" s="88"/>
      <c r="CP90" s="111"/>
      <c r="CQ90" s="112"/>
      <c r="CR90" s="113"/>
      <c r="CS90" s="112"/>
      <c r="CT90" s="55"/>
      <c r="CV90" s="230"/>
      <c r="CX90" s="226" t="s">
        <v>541</v>
      </c>
      <c r="CY90" s="226" t="s">
        <v>541</v>
      </c>
      <c r="CZ90" s="226" t="s">
        <v>541</v>
      </c>
      <c r="DA90" s="226" t="s">
        <v>541</v>
      </c>
      <c r="DB90" s="226"/>
      <c r="DC90" s="226" t="s">
        <v>541</v>
      </c>
      <c r="DD90" s="226" t="s">
        <v>541</v>
      </c>
      <c r="DE90" s="226" t="s">
        <v>541</v>
      </c>
      <c r="DF90" s="226" t="s">
        <v>541</v>
      </c>
      <c r="DG90" s="226" t="s">
        <v>541</v>
      </c>
      <c r="DH90" s="14"/>
    </row>
    <row r="91" spans="1:112" ht="13" x14ac:dyDescent="0.25">
      <c r="A91" s="17" t="s">
        <v>1004</v>
      </c>
      <c r="B91" s="17" t="s">
        <v>1293</v>
      </c>
      <c r="C91" s="17" t="s">
        <v>1381</v>
      </c>
      <c r="D91" s="17" t="s">
        <v>1299</v>
      </c>
      <c r="E91" s="17" t="b">
        <f t="shared" si="21"/>
        <v>1</v>
      </c>
      <c r="F91" s="232" t="s">
        <v>2093</v>
      </c>
      <c r="G91" s="277" t="s">
        <v>2165</v>
      </c>
      <c r="H91" s="128" t="s">
        <v>1381</v>
      </c>
      <c r="I91" s="233" t="s">
        <v>1299</v>
      </c>
      <c r="J91" s="31"/>
      <c r="K91" s="102" t="s">
        <v>354</v>
      </c>
      <c r="L91" s="90"/>
      <c r="M91" s="111"/>
      <c r="N91" s="112"/>
      <c r="O91" s="113"/>
      <c r="P91" s="112"/>
      <c r="Q91" s="31"/>
      <c r="R91" s="102"/>
      <c r="S91" s="90"/>
      <c r="T91" s="88" t="str">
        <f t="shared" si="15"/>
        <v>NA</v>
      </c>
      <c r="U91" s="88" t="str">
        <f t="shared" si="16"/>
        <v>NA</v>
      </c>
      <c r="V91" s="111"/>
      <c r="W91" s="112"/>
      <c r="X91" s="113"/>
      <c r="Y91" s="112"/>
      <c r="Z91" s="31"/>
      <c r="AA91" s="296"/>
      <c r="AB91" s="89"/>
      <c r="AC91" s="88" t="str">
        <f t="shared" si="22"/>
        <v>NA</v>
      </c>
      <c r="AD91" s="88" t="str">
        <f t="shared" si="23"/>
        <v>NA</v>
      </c>
      <c r="AE91" s="111"/>
      <c r="AF91" s="112"/>
      <c r="AG91" s="113"/>
      <c r="AH91" s="112"/>
      <c r="AI91" s="31" t="s">
        <v>2392</v>
      </c>
      <c r="AJ91" s="294"/>
      <c r="AK91" s="89"/>
      <c r="AL91" s="88" t="str">
        <f t="shared" si="24"/>
        <v>NA</v>
      </c>
      <c r="AM91" s="88" t="str">
        <f t="shared" si="25"/>
        <v>NA</v>
      </c>
      <c r="AN91" s="111"/>
      <c r="AO91" s="112"/>
      <c r="AP91" s="113"/>
      <c r="AQ91" s="112"/>
      <c r="AR91" s="31"/>
      <c r="AS91" s="32"/>
      <c r="AT91" s="90"/>
      <c r="AU91" s="88"/>
      <c r="AV91" s="88"/>
      <c r="AW91" s="111"/>
      <c r="AX91" s="112"/>
      <c r="AY91" s="113"/>
      <c r="AZ91" s="112"/>
      <c r="BA91" s="31"/>
      <c r="BB91" s="32"/>
      <c r="BC91" s="90"/>
      <c r="BD91" s="88"/>
      <c r="BE91" s="88"/>
      <c r="BF91" s="111"/>
      <c r="BG91" s="112"/>
      <c r="BH91" s="113"/>
      <c r="BI91" s="112"/>
      <c r="BJ91" s="31"/>
      <c r="BK91" s="32"/>
      <c r="BL91" s="90"/>
      <c r="BM91" s="88"/>
      <c r="BN91" s="88"/>
      <c r="BO91" s="111"/>
      <c r="BP91" s="112"/>
      <c r="BQ91" s="113"/>
      <c r="BR91" s="112"/>
      <c r="BS91" s="31"/>
      <c r="BT91" s="32"/>
      <c r="BU91" s="90"/>
      <c r="BV91" s="88"/>
      <c r="BW91" s="88"/>
      <c r="BX91" s="111"/>
      <c r="BY91" s="112"/>
      <c r="BZ91" s="113"/>
      <c r="CA91" s="112"/>
      <c r="CB91" s="31"/>
      <c r="CC91" s="32"/>
      <c r="CD91" s="90"/>
      <c r="CE91" s="88"/>
      <c r="CF91" s="88"/>
      <c r="CG91" s="111"/>
      <c r="CH91" s="112"/>
      <c r="CI91" s="113"/>
      <c r="CJ91" s="112"/>
      <c r="CK91" s="31"/>
      <c r="CL91" s="32"/>
      <c r="CM91" s="90"/>
      <c r="CN91" s="88"/>
      <c r="CO91" s="88"/>
      <c r="CP91" s="111"/>
      <c r="CQ91" s="112"/>
      <c r="CR91" s="113"/>
      <c r="CS91" s="112"/>
      <c r="CT91" s="55"/>
      <c r="CV91" s="230"/>
      <c r="CX91" s="226" t="s">
        <v>541</v>
      </c>
      <c r="CY91" s="226" t="s">
        <v>541</v>
      </c>
      <c r="CZ91" s="226" t="s">
        <v>541</v>
      </c>
      <c r="DA91" s="226" t="s">
        <v>541</v>
      </c>
      <c r="DB91" s="226"/>
      <c r="DC91" s="226" t="s">
        <v>541</v>
      </c>
      <c r="DD91" s="226" t="s">
        <v>541</v>
      </c>
      <c r="DE91" s="226" t="s">
        <v>541</v>
      </c>
      <c r="DF91" s="226" t="s">
        <v>541</v>
      </c>
      <c r="DG91" s="226" t="s">
        <v>541</v>
      </c>
      <c r="DH91" s="14"/>
    </row>
    <row r="92" spans="1:112" ht="13" x14ac:dyDescent="0.25">
      <c r="A92" s="17" t="s">
        <v>1004</v>
      </c>
      <c r="B92" s="17" t="s">
        <v>1294</v>
      </c>
      <c r="C92" s="17" t="s">
        <v>1382</v>
      </c>
      <c r="D92" s="17" t="s">
        <v>1300</v>
      </c>
      <c r="E92" s="17" t="b">
        <f t="shared" si="21"/>
        <v>1</v>
      </c>
      <c r="F92" s="232" t="s">
        <v>2094</v>
      </c>
      <c r="G92" s="277" t="s">
        <v>2166</v>
      </c>
      <c r="H92" s="128" t="s">
        <v>1382</v>
      </c>
      <c r="I92" s="233" t="s">
        <v>1300</v>
      </c>
      <c r="J92" s="31"/>
      <c r="K92" s="102" t="s">
        <v>354</v>
      </c>
      <c r="L92" s="90"/>
      <c r="M92" s="111"/>
      <c r="N92" s="112"/>
      <c r="O92" s="113"/>
      <c r="P92" s="112"/>
      <c r="Q92" s="31"/>
      <c r="R92" s="102"/>
      <c r="S92" s="90"/>
      <c r="T92" s="88" t="str">
        <f t="shared" si="15"/>
        <v>NA</v>
      </c>
      <c r="U92" s="88" t="str">
        <f t="shared" si="16"/>
        <v>NA</v>
      </c>
      <c r="V92" s="111"/>
      <c r="W92" s="112"/>
      <c r="X92" s="113"/>
      <c r="Y92" s="112"/>
      <c r="Z92" s="31"/>
      <c r="AA92" s="296"/>
      <c r="AB92" s="89"/>
      <c r="AC92" s="88" t="str">
        <f t="shared" si="22"/>
        <v>NA</v>
      </c>
      <c r="AD92" s="88" t="str">
        <f t="shared" si="23"/>
        <v>NA</v>
      </c>
      <c r="AE92" s="111"/>
      <c r="AF92" s="112"/>
      <c r="AG92" s="113"/>
      <c r="AH92" s="112"/>
      <c r="AI92" s="31" t="s">
        <v>2392</v>
      </c>
      <c r="AJ92" s="294"/>
      <c r="AK92" s="89"/>
      <c r="AL92" s="88" t="str">
        <f t="shared" si="24"/>
        <v>NA</v>
      </c>
      <c r="AM92" s="88" t="str">
        <f t="shared" si="25"/>
        <v>NA</v>
      </c>
      <c r="AN92" s="111"/>
      <c r="AO92" s="112"/>
      <c r="AP92" s="113"/>
      <c r="AQ92" s="112"/>
      <c r="AR92" s="31"/>
      <c r="AS92" s="32"/>
      <c r="AT92" s="90"/>
      <c r="AU92" s="88"/>
      <c r="AV92" s="88"/>
      <c r="AW92" s="111"/>
      <c r="AX92" s="112"/>
      <c r="AY92" s="113"/>
      <c r="AZ92" s="112"/>
      <c r="BA92" s="31"/>
      <c r="BB92" s="32"/>
      <c r="BC92" s="90"/>
      <c r="BD92" s="88"/>
      <c r="BE92" s="88"/>
      <c r="BF92" s="111"/>
      <c r="BG92" s="112"/>
      <c r="BH92" s="113"/>
      <c r="BI92" s="112"/>
      <c r="BJ92" s="31"/>
      <c r="BK92" s="32"/>
      <c r="BL92" s="90"/>
      <c r="BM92" s="88"/>
      <c r="BN92" s="88"/>
      <c r="BO92" s="111"/>
      <c r="BP92" s="112"/>
      <c r="BQ92" s="113"/>
      <c r="BR92" s="112"/>
      <c r="BS92" s="31"/>
      <c r="BT92" s="32"/>
      <c r="BU92" s="90"/>
      <c r="BV92" s="88"/>
      <c r="BW92" s="88"/>
      <c r="BX92" s="111"/>
      <c r="BY92" s="112"/>
      <c r="BZ92" s="113"/>
      <c r="CA92" s="112"/>
      <c r="CB92" s="31"/>
      <c r="CC92" s="32"/>
      <c r="CD92" s="90"/>
      <c r="CE92" s="88"/>
      <c r="CF92" s="88"/>
      <c r="CG92" s="111"/>
      <c r="CH92" s="112"/>
      <c r="CI92" s="113"/>
      <c r="CJ92" s="112"/>
      <c r="CK92" s="31"/>
      <c r="CL92" s="32"/>
      <c r="CM92" s="90"/>
      <c r="CN92" s="88"/>
      <c r="CO92" s="88"/>
      <c r="CP92" s="111"/>
      <c r="CQ92" s="112"/>
      <c r="CR92" s="113"/>
      <c r="CS92" s="112"/>
      <c r="CT92" s="55"/>
      <c r="CV92" s="230"/>
      <c r="CX92" s="226" t="s">
        <v>541</v>
      </c>
      <c r="CY92" s="226" t="s">
        <v>541</v>
      </c>
      <c r="CZ92" s="226" t="s">
        <v>541</v>
      </c>
      <c r="DA92" s="226" t="s">
        <v>541</v>
      </c>
      <c r="DB92" s="226"/>
      <c r="DC92" s="226" t="s">
        <v>541</v>
      </c>
      <c r="DD92" s="226" t="s">
        <v>541</v>
      </c>
      <c r="DE92" s="226" t="s">
        <v>541</v>
      </c>
      <c r="DF92" s="226" t="s">
        <v>541</v>
      </c>
      <c r="DG92" s="226" t="s">
        <v>541</v>
      </c>
      <c r="DH92" s="14"/>
    </row>
    <row r="93" spans="1:112" ht="12.75" customHeight="1" x14ac:dyDescent="0.25">
      <c r="A93" s="17" t="s">
        <v>394</v>
      </c>
      <c r="B93" s="17" t="s">
        <v>541</v>
      </c>
      <c r="C93" s="17" t="s">
        <v>281</v>
      </c>
      <c r="D93" s="17" t="s">
        <v>282</v>
      </c>
      <c r="E93" s="17" t="b">
        <f t="shared" si="21"/>
        <v>1</v>
      </c>
      <c r="F93" s="127" t="s">
        <v>394</v>
      </c>
      <c r="G93" s="248" t="s">
        <v>541</v>
      </c>
      <c r="H93" s="128" t="s">
        <v>281</v>
      </c>
      <c r="I93" s="128" t="s">
        <v>282</v>
      </c>
      <c r="J93" s="31"/>
      <c r="K93" s="102" t="s">
        <v>354</v>
      </c>
      <c r="L93" s="90"/>
      <c r="M93" s="111"/>
      <c r="N93" s="112"/>
      <c r="O93" s="113"/>
      <c r="P93" s="112"/>
      <c r="Q93" s="31"/>
      <c r="R93" s="102"/>
      <c r="S93" s="90"/>
      <c r="T93" s="88" t="str">
        <f t="shared" si="15"/>
        <v>NA</v>
      </c>
      <c r="U93" s="88" t="str">
        <f t="shared" si="16"/>
        <v>NA</v>
      </c>
      <c r="V93" s="111"/>
      <c r="W93" s="112"/>
      <c r="X93" s="113"/>
      <c r="Y93" s="112"/>
      <c r="Z93" s="31"/>
      <c r="AA93" s="296"/>
      <c r="AB93" s="89"/>
      <c r="AC93" s="88" t="str">
        <f t="shared" si="22"/>
        <v>NA</v>
      </c>
      <c r="AD93" s="88" t="str">
        <f t="shared" si="23"/>
        <v>NA</v>
      </c>
      <c r="AE93" s="111"/>
      <c r="AF93" s="112"/>
      <c r="AG93" s="113"/>
      <c r="AH93" s="112"/>
      <c r="AI93" s="31"/>
      <c r="AJ93" s="294"/>
      <c r="AK93" s="89"/>
      <c r="AL93" s="88" t="str">
        <f t="shared" si="24"/>
        <v>NA</v>
      </c>
      <c r="AM93" s="88" t="str">
        <f t="shared" si="25"/>
        <v>NA</v>
      </c>
      <c r="AN93" s="111"/>
      <c r="AO93" s="112"/>
      <c r="AP93" s="113"/>
      <c r="AQ93" s="112"/>
      <c r="AR93" s="31"/>
      <c r="AS93" s="32"/>
      <c r="AT93" s="90"/>
      <c r="AU93" s="88"/>
      <c r="AV93" s="88"/>
      <c r="AW93" s="111"/>
      <c r="AX93" s="112"/>
      <c r="AY93" s="113"/>
      <c r="AZ93" s="112"/>
      <c r="BA93" s="31"/>
      <c r="BB93" s="32"/>
      <c r="BC93" s="90"/>
      <c r="BD93" s="88"/>
      <c r="BE93" s="88"/>
      <c r="BF93" s="111"/>
      <c r="BG93" s="112"/>
      <c r="BH93" s="113"/>
      <c r="BI93" s="112"/>
      <c r="BJ93" s="31"/>
      <c r="BK93" s="32"/>
      <c r="BL93" s="90"/>
      <c r="BM93" s="88"/>
      <c r="BN93" s="88"/>
      <c r="BO93" s="111"/>
      <c r="BP93" s="112"/>
      <c r="BQ93" s="113"/>
      <c r="BR93" s="112"/>
      <c r="BS93" s="31"/>
      <c r="BT93" s="32"/>
      <c r="BU93" s="90"/>
      <c r="BV93" s="88"/>
      <c r="BW93" s="88"/>
      <c r="BX93" s="111"/>
      <c r="BY93" s="112"/>
      <c r="BZ93" s="113"/>
      <c r="CA93" s="112"/>
      <c r="CB93" s="31"/>
      <c r="CC93" s="32"/>
      <c r="CD93" s="90"/>
      <c r="CE93" s="88"/>
      <c r="CF93" s="88"/>
      <c r="CG93" s="111"/>
      <c r="CH93" s="112"/>
      <c r="CI93" s="113"/>
      <c r="CJ93" s="112"/>
      <c r="CK93" s="31"/>
      <c r="CL93" s="32"/>
      <c r="CM93" s="90"/>
      <c r="CN93" s="88"/>
      <c r="CO93" s="88"/>
      <c r="CP93" s="111"/>
      <c r="CQ93" s="112"/>
      <c r="CR93" s="113"/>
      <c r="CS93" s="112"/>
      <c r="CT93" s="55"/>
      <c r="CV93" s="230" t="s">
        <v>282</v>
      </c>
      <c r="CX93" s="226" t="s">
        <v>541</v>
      </c>
      <c r="CY93" s="226" t="s">
        <v>541</v>
      </c>
      <c r="CZ93" s="226" t="s">
        <v>1418</v>
      </c>
      <c r="DA93" s="226" t="s">
        <v>541</v>
      </c>
      <c r="DB93" s="226"/>
      <c r="DC93" s="226" t="s">
        <v>541</v>
      </c>
      <c r="DD93" s="226" t="s">
        <v>541</v>
      </c>
      <c r="DE93" s="226" t="s">
        <v>541</v>
      </c>
      <c r="DF93" s="226" t="s">
        <v>541</v>
      </c>
      <c r="DG93" s="226" t="s">
        <v>541</v>
      </c>
      <c r="DH93" s="14"/>
    </row>
    <row r="94" spans="1:112" ht="12.75" customHeight="1" x14ac:dyDescent="0.25">
      <c r="A94" s="17" t="s">
        <v>1004</v>
      </c>
      <c r="B94" s="17" t="s">
        <v>1301</v>
      </c>
      <c r="C94" s="17" t="s">
        <v>1383</v>
      </c>
      <c r="D94" s="17" t="s">
        <v>746</v>
      </c>
      <c r="E94" s="17" t="b">
        <f t="shared" si="21"/>
        <v>1</v>
      </c>
      <c r="F94" s="232" t="s">
        <v>2095</v>
      </c>
      <c r="G94" s="277" t="s">
        <v>2167</v>
      </c>
      <c r="H94" s="128" t="s">
        <v>1383</v>
      </c>
      <c r="I94" s="233" t="s">
        <v>746</v>
      </c>
      <c r="J94" s="31"/>
      <c r="K94" s="102" t="s">
        <v>354</v>
      </c>
      <c r="L94" s="90"/>
      <c r="M94" s="111"/>
      <c r="N94" s="112"/>
      <c r="O94" s="113"/>
      <c r="P94" s="112"/>
      <c r="Q94" s="31"/>
      <c r="R94" s="102"/>
      <c r="S94" s="90"/>
      <c r="T94" s="88" t="str">
        <f t="shared" si="15"/>
        <v>NA</v>
      </c>
      <c r="U94" s="88" t="str">
        <f t="shared" si="16"/>
        <v>NA</v>
      </c>
      <c r="V94" s="111"/>
      <c r="W94" s="112"/>
      <c r="X94" s="113"/>
      <c r="Y94" s="112"/>
      <c r="Z94" s="31"/>
      <c r="AA94" s="296"/>
      <c r="AB94" s="89"/>
      <c r="AC94" s="88" t="str">
        <f t="shared" si="22"/>
        <v>NA</v>
      </c>
      <c r="AD94" s="88" t="str">
        <f t="shared" si="23"/>
        <v>NA</v>
      </c>
      <c r="AE94" s="111"/>
      <c r="AF94" s="112"/>
      <c r="AG94" s="113"/>
      <c r="AH94" s="112"/>
      <c r="AI94" s="31"/>
      <c r="AJ94" s="294"/>
      <c r="AK94" s="89"/>
      <c r="AL94" s="88" t="str">
        <f t="shared" si="24"/>
        <v>NA</v>
      </c>
      <c r="AM94" s="88" t="str">
        <f t="shared" si="25"/>
        <v>NA</v>
      </c>
      <c r="AN94" s="111"/>
      <c r="AO94" s="112"/>
      <c r="AP94" s="113"/>
      <c r="AQ94" s="112"/>
      <c r="AR94" s="31"/>
      <c r="AS94" s="32"/>
      <c r="AT94" s="90"/>
      <c r="AU94" s="88"/>
      <c r="AV94" s="88"/>
      <c r="AW94" s="111"/>
      <c r="AX94" s="112"/>
      <c r="AY94" s="113"/>
      <c r="AZ94" s="112"/>
      <c r="BA94" s="31"/>
      <c r="BB94" s="32"/>
      <c r="BC94" s="90"/>
      <c r="BD94" s="88"/>
      <c r="BE94" s="88"/>
      <c r="BF94" s="111"/>
      <c r="BG94" s="112"/>
      <c r="BH94" s="113"/>
      <c r="BI94" s="112"/>
      <c r="BJ94" s="31"/>
      <c r="BK94" s="32"/>
      <c r="BL94" s="90"/>
      <c r="BM94" s="88"/>
      <c r="BN94" s="88"/>
      <c r="BO94" s="111"/>
      <c r="BP94" s="112"/>
      <c r="BQ94" s="113"/>
      <c r="BR94" s="112"/>
      <c r="BS94" s="31"/>
      <c r="BT94" s="32"/>
      <c r="BU94" s="90"/>
      <c r="BV94" s="88"/>
      <c r="BW94" s="88"/>
      <c r="BX94" s="111"/>
      <c r="BY94" s="112"/>
      <c r="BZ94" s="113"/>
      <c r="CA94" s="112"/>
      <c r="CB94" s="31"/>
      <c r="CC94" s="32"/>
      <c r="CD94" s="90"/>
      <c r="CE94" s="88"/>
      <c r="CF94" s="88"/>
      <c r="CG94" s="111"/>
      <c r="CH94" s="112"/>
      <c r="CI94" s="113"/>
      <c r="CJ94" s="112"/>
      <c r="CK94" s="31"/>
      <c r="CL94" s="32"/>
      <c r="CM94" s="90"/>
      <c r="CN94" s="88"/>
      <c r="CO94" s="88"/>
      <c r="CP94" s="111"/>
      <c r="CQ94" s="112"/>
      <c r="CR94" s="113"/>
      <c r="CS94" s="112"/>
      <c r="CT94" s="55"/>
      <c r="CV94" s="230"/>
      <c r="CX94" s="226" t="s">
        <v>541</v>
      </c>
      <c r="CY94" s="226" t="s">
        <v>541</v>
      </c>
      <c r="CZ94" s="226" t="s">
        <v>745</v>
      </c>
      <c r="DA94" s="226" t="s">
        <v>541</v>
      </c>
      <c r="DB94" s="226"/>
      <c r="DC94" s="226" t="s">
        <v>541</v>
      </c>
      <c r="DD94" s="226" t="s">
        <v>541</v>
      </c>
      <c r="DE94" s="226" t="s">
        <v>541</v>
      </c>
      <c r="DF94" s="226" t="s">
        <v>541</v>
      </c>
      <c r="DG94" s="226" t="s">
        <v>541</v>
      </c>
      <c r="DH94" s="14"/>
    </row>
    <row r="95" spans="1:112" ht="12.75" customHeight="1" x14ac:dyDescent="0.25">
      <c r="A95" s="17" t="s">
        <v>1004</v>
      </c>
      <c r="B95" s="17" t="s">
        <v>1302</v>
      </c>
      <c r="C95" s="17" t="s">
        <v>1384</v>
      </c>
      <c r="D95" s="17" t="s">
        <v>748</v>
      </c>
      <c r="E95" s="17" t="b">
        <f t="shared" si="21"/>
        <v>1</v>
      </c>
      <c r="F95" s="232" t="s">
        <v>2096</v>
      </c>
      <c r="G95" s="277" t="s">
        <v>2168</v>
      </c>
      <c r="H95" s="128" t="s">
        <v>1384</v>
      </c>
      <c r="I95" s="233" t="s">
        <v>748</v>
      </c>
      <c r="J95" s="31"/>
      <c r="K95" s="102" t="s">
        <v>354</v>
      </c>
      <c r="L95" s="90" t="s">
        <v>31</v>
      </c>
      <c r="M95" s="111" t="s">
        <v>2470</v>
      </c>
      <c r="N95" s="112"/>
      <c r="O95" s="113"/>
      <c r="P95" s="112"/>
      <c r="Q95" s="31"/>
      <c r="R95" s="102"/>
      <c r="S95" s="90"/>
      <c r="T95" s="88" t="str">
        <f t="shared" si="15"/>
        <v>NA</v>
      </c>
      <c r="U95" s="88" t="str">
        <f t="shared" si="16"/>
        <v>YES</v>
      </c>
      <c r="V95" s="111"/>
      <c r="W95" s="112"/>
      <c r="X95" s="113"/>
      <c r="Y95" s="112"/>
      <c r="Z95" s="31"/>
      <c r="AA95" s="296"/>
      <c r="AB95" s="89"/>
      <c r="AC95" s="88" t="str">
        <f t="shared" si="22"/>
        <v>NA</v>
      </c>
      <c r="AD95" s="88" t="str">
        <f t="shared" si="23"/>
        <v>NA</v>
      </c>
      <c r="AE95" s="111"/>
      <c r="AF95" s="112"/>
      <c r="AG95" s="113"/>
      <c r="AH95" s="112"/>
      <c r="AI95" s="31"/>
      <c r="AJ95" s="294"/>
      <c r="AK95" s="89"/>
      <c r="AL95" s="88" t="str">
        <f t="shared" si="24"/>
        <v>NA</v>
      </c>
      <c r="AM95" s="88" t="str">
        <f t="shared" si="25"/>
        <v>NA</v>
      </c>
      <c r="AN95" s="111"/>
      <c r="AO95" s="112"/>
      <c r="AP95" s="113"/>
      <c r="AQ95" s="112"/>
      <c r="AR95" s="31"/>
      <c r="AS95" s="32"/>
      <c r="AT95" s="90"/>
      <c r="AU95" s="88"/>
      <c r="AV95" s="88"/>
      <c r="AW95" s="111"/>
      <c r="AX95" s="112"/>
      <c r="AY95" s="113"/>
      <c r="AZ95" s="112"/>
      <c r="BA95" s="31"/>
      <c r="BB95" s="32"/>
      <c r="BC95" s="90"/>
      <c r="BD95" s="88"/>
      <c r="BE95" s="88"/>
      <c r="BF95" s="111"/>
      <c r="BG95" s="112"/>
      <c r="BH95" s="113"/>
      <c r="BI95" s="112"/>
      <c r="BJ95" s="31"/>
      <c r="BK95" s="32"/>
      <c r="BL95" s="90"/>
      <c r="BM95" s="88"/>
      <c r="BN95" s="88"/>
      <c r="BO95" s="111"/>
      <c r="BP95" s="112"/>
      <c r="BQ95" s="113"/>
      <c r="BR95" s="112"/>
      <c r="BS95" s="31"/>
      <c r="BT95" s="32"/>
      <c r="BU95" s="90"/>
      <c r="BV95" s="88"/>
      <c r="BW95" s="88"/>
      <c r="BX95" s="111"/>
      <c r="BY95" s="112"/>
      <c r="BZ95" s="113"/>
      <c r="CA95" s="112"/>
      <c r="CB95" s="31"/>
      <c r="CC95" s="32"/>
      <c r="CD95" s="90"/>
      <c r="CE95" s="88"/>
      <c r="CF95" s="88"/>
      <c r="CG95" s="111"/>
      <c r="CH95" s="112"/>
      <c r="CI95" s="113"/>
      <c r="CJ95" s="112"/>
      <c r="CK95" s="31"/>
      <c r="CL95" s="32"/>
      <c r="CM95" s="90"/>
      <c r="CN95" s="88"/>
      <c r="CO95" s="88"/>
      <c r="CP95" s="111"/>
      <c r="CQ95" s="112"/>
      <c r="CR95" s="113"/>
      <c r="CS95" s="112"/>
      <c r="CT95" s="55"/>
      <c r="CV95" s="230"/>
      <c r="CX95" s="226" t="s">
        <v>541</v>
      </c>
      <c r="CY95" s="226" t="s">
        <v>541</v>
      </c>
      <c r="CZ95" s="226" t="s">
        <v>747</v>
      </c>
      <c r="DA95" s="226" t="s">
        <v>541</v>
      </c>
      <c r="DB95" s="226"/>
      <c r="DC95" s="226" t="s">
        <v>541</v>
      </c>
      <c r="DD95" s="226" t="s">
        <v>541</v>
      </c>
      <c r="DE95" s="226" t="s">
        <v>541</v>
      </c>
      <c r="DF95" s="226" t="s">
        <v>541</v>
      </c>
      <c r="DG95" s="226" t="s">
        <v>541</v>
      </c>
      <c r="DH95" s="14"/>
    </row>
    <row r="96" spans="1:112" ht="12.75" customHeight="1" x14ac:dyDescent="0.25">
      <c r="A96" s="17" t="s">
        <v>1004</v>
      </c>
      <c r="B96" s="17" t="s">
        <v>1303</v>
      </c>
      <c r="C96" s="17" t="s">
        <v>1385</v>
      </c>
      <c r="D96" s="17" t="s">
        <v>749</v>
      </c>
      <c r="E96" s="17" t="b">
        <f t="shared" si="21"/>
        <v>1</v>
      </c>
      <c r="F96" s="232" t="s">
        <v>2097</v>
      </c>
      <c r="G96" s="277" t="s">
        <v>2169</v>
      </c>
      <c r="H96" s="128" t="s">
        <v>1385</v>
      </c>
      <c r="I96" s="233" t="s">
        <v>749</v>
      </c>
      <c r="J96" s="31"/>
      <c r="K96" s="102" t="s">
        <v>354</v>
      </c>
      <c r="L96" s="90"/>
      <c r="M96" s="111"/>
      <c r="N96" s="112"/>
      <c r="O96" s="113"/>
      <c r="P96" s="112"/>
      <c r="Q96" s="31"/>
      <c r="R96" s="102"/>
      <c r="S96" s="90"/>
      <c r="T96" s="88" t="str">
        <f t="shared" si="15"/>
        <v>NA</v>
      </c>
      <c r="U96" s="88" t="str">
        <f t="shared" si="16"/>
        <v>NA</v>
      </c>
      <c r="V96" s="111"/>
      <c r="W96" s="112"/>
      <c r="X96" s="113"/>
      <c r="Y96" s="112"/>
      <c r="Z96" s="31"/>
      <c r="AA96" s="296"/>
      <c r="AB96" s="89"/>
      <c r="AC96" s="88" t="str">
        <f t="shared" si="22"/>
        <v>NA</v>
      </c>
      <c r="AD96" s="88" t="str">
        <f t="shared" si="23"/>
        <v>NA</v>
      </c>
      <c r="AE96" s="111"/>
      <c r="AF96" s="112"/>
      <c r="AG96" s="113"/>
      <c r="AH96" s="112"/>
      <c r="AI96" s="31"/>
      <c r="AJ96" s="294"/>
      <c r="AK96" s="89"/>
      <c r="AL96" s="88" t="str">
        <f t="shared" si="24"/>
        <v>NA</v>
      </c>
      <c r="AM96" s="88" t="str">
        <f t="shared" si="25"/>
        <v>NA</v>
      </c>
      <c r="AN96" s="111"/>
      <c r="AO96" s="112"/>
      <c r="AP96" s="113"/>
      <c r="AQ96" s="112"/>
      <c r="AR96" s="31"/>
      <c r="AS96" s="32"/>
      <c r="AT96" s="90"/>
      <c r="AU96" s="88"/>
      <c r="AV96" s="88"/>
      <c r="AW96" s="111"/>
      <c r="AX96" s="112"/>
      <c r="AY96" s="113"/>
      <c r="AZ96" s="112"/>
      <c r="BA96" s="31"/>
      <c r="BB96" s="32"/>
      <c r="BC96" s="90"/>
      <c r="BD96" s="88"/>
      <c r="BE96" s="88"/>
      <c r="BF96" s="111"/>
      <c r="BG96" s="112"/>
      <c r="BH96" s="113"/>
      <c r="BI96" s="112"/>
      <c r="BJ96" s="31"/>
      <c r="BK96" s="32"/>
      <c r="BL96" s="90"/>
      <c r="BM96" s="88"/>
      <c r="BN96" s="88"/>
      <c r="BO96" s="111"/>
      <c r="BP96" s="112"/>
      <c r="BQ96" s="113"/>
      <c r="BR96" s="112"/>
      <c r="BS96" s="31"/>
      <c r="BT96" s="32"/>
      <c r="BU96" s="90"/>
      <c r="BV96" s="88"/>
      <c r="BW96" s="88"/>
      <c r="BX96" s="111"/>
      <c r="BY96" s="112"/>
      <c r="BZ96" s="113"/>
      <c r="CA96" s="112"/>
      <c r="CB96" s="31"/>
      <c r="CC96" s="32"/>
      <c r="CD96" s="90"/>
      <c r="CE96" s="88"/>
      <c r="CF96" s="88"/>
      <c r="CG96" s="111"/>
      <c r="CH96" s="112"/>
      <c r="CI96" s="113"/>
      <c r="CJ96" s="112"/>
      <c r="CK96" s="31"/>
      <c r="CL96" s="32"/>
      <c r="CM96" s="90"/>
      <c r="CN96" s="88"/>
      <c r="CO96" s="88"/>
      <c r="CP96" s="111"/>
      <c r="CQ96" s="112"/>
      <c r="CR96" s="113"/>
      <c r="CS96" s="112"/>
      <c r="CT96" s="55"/>
      <c r="CV96" s="230"/>
      <c r="CX96" s="226" t="s">
        <v>541</v>
      </c>
      <c r="CY96" s="226" t="s">
        <v>541</v>
      </c>
      <c r="CZ96" s="226" t="s">
        <v>1418</v>
      </c>
      <c r="DA96" s="226" t="s">
        <v>541</v>
      </c>
      <c r="DB96" s="226"/>
      <c r="DC96" s="226" t="s">
        <v>541</v>
      </c>
      <c r="DD96" s="226" t="s">
        <v>541</v>
      </c>
      <c r="DE96" s="226" t="s">
        <v>541</v>
      </c>
      <c r="DF96" s="226" t="s">
        <v>541</v>
      </c>
      <c r="DG96" s="226" t="s">
        <v>541</v>
      </c>
      <c r="DH96" s="14"/>
    </row>
    <row r="97" spans="1:112" ht="12.75" customHeight="1" x14ac:dyDescent="0.25">
      <c r="A97" s="17" t="s">
        <v>1004</v>
      </c>
      <c r="B97" s="17" t="s">
        <v>1304</v>
      </c>
      <c r="C97" s="17" t="s">
        <v>763</v>
      </c>
      <c r="D97" s="17" t="s">
        <v>764</v>
      </c>
      <c r="E97" s="17" t="b">
        <f t="shared" si="21"/>
        <v>1</v>
      </c>
      <c r="F97" s="232" t="s">
        <v>2098</v>
      </c>
      <c r="G97" s="277" t="s">
        <v>2170</v>
      </c>
      <c r="H97" s="128" t="s">
        <v>763</v>
      </c>
      <c r="I97" s="233" t="s">
        <v>764</v>
      </c>
      <c r="J97" s="31"/>
      <c r="K97" s="102" t="s">
        <v>354</v>
      </c>
      <c r="L97" s="90"/>
      <c r="M97" s="111"/>
      <c r="N97" s="112"/>
      <c r="O97" s="113"/>
      <c r="P97" s="112"/>
      <c r="Q97" s="31"/>
      <c r="R97" s="102"/>
      <c r="S97" s="90"/>
      <c r="T97" s="88" t="str">
        <f t="shared" si="15"/>
        <v>NA</v>
      </c>
      <c r="U97" s="88" t="str">
        <f t="shared" si="16"/>
        <v>NA</v>
      </c>
      <c r="V97" s="111"/>
      <c r="W97" s="112"/>
      <c r="X97" s="113"/>
      <c r="Y97" s="112"/>
      <c r="Z97" s="31"/>
      <c r="AA97" s="296"/>
      <c r="AB97" s="89"/>
      <c r="AC97" s="88" t="str">
        <f t="shared" si="22"/>
        <v>NA</v>
      </c>
      <c r="AD97" s="88" t="str">
        <f t="shared" si="23"/>
        <v>NA</v>
      </c>
      <c r="AE97" s="111"/>
      <c r="AF97" s="112"/>
      <c r="AG97" s="113"/>
      <c r="AH97" s="112"/>
      <c r="AI97" s="31"/>
      <c r="AJ97" s="294"/>
      <c r="AK97" s="89"/>
      <c r="AL97" s="88" t="str">
        <f t="shared" si="24"/>
        <v>NA</v>
      </c>
      <c r="AM97" s="88" t="str">
        <f t="shared" si="25"/>
        <v>NA</v>
      </c>
      <c r="AN97" s="111"/>
      <c r="AO97" s="112"/>
      <c r="AP97" s="113"/>
      <c r="AQ97" s="112"/>
      <c r="AR97" s="31"/>
      <c r="AS97" s="32"/>
      <c r="AT97" s="90"/>
      <c r="AU97" s="88"/>
      <c r="AV97" s="88"/>
      <c r="AW97" s="111"/>
      <c r="AX97" s="112"/>
      <c r="AY97" s="113"/>
      <c r="AZ97" s="112"/>
      <c r="BA97" s="31"/>
      <c r="BB97" s="32"/>
      <c r="BC97" s="90"/>
      <c r="BD97" s="88"/>
      <c r="BE97" s="88"/>
      <c r="BF97" s="111"/>
      <c r="BG97" s="112"/>
      <c r="BH97" s="113"/>
      <c r="BI97" s="112"/>
      <c r="BJ97" s="31"/>
      <c r="BK97" s="32"/>
      <c r="BL97" s="90"/>
      <c r="BM97" s="88"/>
      <c r="BN97" s="88"/>
      <c r="BO97" s="111"/>
      <c r="BP97" s="112"/>
      <c r="BQ97" s="113"/>
      <c r="BR97" s="112"/>
      <c r="BS97" s="31"/>
      <c r="BT97" s="32"/>
      <c r="BU97" s="90"/>
      <c r="BV97" s="88"/>
      <c r="BW97" s="88"/>
      <c r="BX97" s="111"/>
      <c r="BY97" s="112"/>
      <c r="BZ97" s="113"/>
      <c r="CA97" s="112"/>
      <c r="CB97" s="31"/>
      <c r="CC97" s="32"/>
      <c r="CD97" s="90"/>
      <c r="CE97" s="88"/>
      <c r="CF97" s="88"/>
      <c r="CG97" s="111"/>
      <c r="CH97" s="112"/>
      <c r="CI97" s="113"/>
      <c r="CJ97" s="112"/>
      <c r="CK97" s="31"/>
      <c r="CL97" s="32"/>
      <c r="CM97" s="90"/>
      <c r="CN97" s="88"/>
      <c r="CO97" s="88"/>
      <c r="CP97" s="111"/>
      <c r="CQ97" s="112"/>
      <c r="CR97" s="113"/>
      <c r="CS97" s="112"/>
      <c r="CT97" s="55"/>
      <c r="CV97" s="230"/>
      <c r="CX97" s="226" t="s">
        <v>541</v>
      </c>
      <c r="CY97" s="226" t="s">
        <v>541</v>
      </c>
      <c r="CZ97" s="226" t="s">
        <v>1418</v>
      </c>
      <c r="DA97" s="226" t="s">
        <v>541</v>
      </c>
      <c r="DB97" s="226"/>
      <c r="DC97" s="226" t="s">
        <v>541</v>
      </c>
      <c r="DD97" s="239" t="s">
        <v>1421</v>
      </c>
      <c r="DE97" s="226" t="s">
        <v>541</v>
      </c>
      <c r="DF97" s="226" t="s">
        <v>541</v>
      </c>
      <c r="DG97" s="226" t="s">
        <v>541</v>
      </c>
      <c r="DH97" s="14"/>
    </row>
    <row r="98" spans="1:112" ht="12.75" customHeight="1" x14ac:dyDescent="0.25">
      <c r="A98" s="17" t="s">
        <v>395</v>
      </c>
      <c r="B98" s="17" t="s">
        <v>541</v>
      </c>
      <c r="C98" s="17" t="s">
        <v>279</v>
      </c>
      <c r="D98" s="17" t="s">
        <v>280</v>
      </c>
      <c r="E98" s="17" t="b">
        <f t="shared" si="21"/>
        <v>1</v>
      </c>
      <c r="F98" s="127" t="s">
        <v>395</v>
      </c>
      <c r="G98" s="248" t="s">
        <v>541</v>
      </c>
      <c r="H98" s="128" t="s">
        <v>279</v>
      </c>
      <c r="I98" s="128" t="s">
        <v>280</v>
      </c>
      <c r="J98" s="31"/>
      <c r="K98" s="102" t="s">
        <v>354</v>
      </c>
      <c r="L98" s="90"/>
      <c r="M98" s="111"/>
      <c r="N98" s="112"/>
      <c r="O98" s="113"/>
      <c r="P98" s="112"/>
      <c r="Q98" s="31"/>
      <c r="R98" s="102"/>
      <c r="S98" s="90"/>
      <c r="T98" s="88" t="str">
        <f t="shared" si="15"/>
        <v>NA</v>
      </c>
      <c r="U98" s="88" t="str">
        <f t="shared" si="16"/>
        <v>NA</v>
      </c>
      <c r="V98" s="111"/>
      <c r="W98" s="112"/>
      <c r="X98" s="113"/>
      <c r="Y98" s="112"/>
      <c r="Z98" s="31"/>
      <c r="AA98" s="296"/>
      <c r="AB98" s="89"/>
      <c r="AC98" s="88" t="str">
        <f t="shared" si="22"/>
        <v>NA</v>
      </c>
      <c r="AD98" s="88" t="str">
        <f t="shared" si="23"/>
        <v>NA</v>
      </c>
      <c r="AE98" s="111"/>
      <c r="AF98" s="112"/>
      <c r="AG98" s="113"/>
      <c r="AH98" s="112"/>
      <c r="AI98" s="31"/>
      <c r="AJ98" s="294"/>
      <c r="AK98" s="89"/>
      <c r="AL98" s="88" t="str">
        <f t="shared" si="24"/>
        <v>NA</v>
      </c>
      <c r="AM98" s="88" t="str">
        <f t="shared" si="25"/>
        <v>NA</v>
      </c>
      <c r="AN98" s="111"/>
      <c r="AO98" s="112"/>
      <c r="AP98" s="113"/>
      <c r="AQ98" s="112"/>
      <c r="AR98" s="31"/>
      <c r="AS98" s="32"/>
      <c r="AT98" s="90"/>
      <c r="AU98" s="88"/>
      <c r="AV98" s="88"/>
      <c r="AW98" s="111"/>
      <c r="AX98" s="112"/>
      <c r="AY98" s="113"/>
      <c r="AZ98" s="112"/>
      <c r="BA98" s="31"/>
      <c r="BB98" s="32"/>
      <c r="BC98" s="90"/>
      <c r="BD98" s="88"/>
      <c r="BE98" s="88"/>
      <c r="BF98" s="111"/>
      <c r="BG98" s="112"/>
      <c r="BH98" s="113"/>
      <c r="BI98" s="112"/>
      <c r="BJ98" s="31"/>
      <c r="BK98" s="32"/>
      <c r="BL98" s="90"/>
      <c r="BM98" s="88"/>
      <c r="BN98" s="88"/>
      <c r="BO98" s="111"/>
      <c r="BP98" s="112"/>
      <c r="BQ98" s="113"/>
      <c r="BR98" s="112"/>
      <c r="BS98" s="31"/>
      <c r="BT98" s="32"/>
      <c r="BU98" s="90"/>
      <c r="BV98" s="88"/>
      <c r="BW98" s="88"/>
      <c r="BX98" s="111"/>
      <c r="BY98" s="112"/>
      <c r="BZ98" s="113"/>
      <c r="CA98" s="112"/>
      <c r="CB98" s="31"/>
      <c r="CC98" s="32"/>
      <c r="CD98" s="90"/>
      <c r="CE98" s="88"/>
      <c r="CF98" s="88"/>
      <c r="CG98" s="111"/>
      <c r="CH98" s="112"/>
      <c r="CI98" s="113"/>
      <c r="CJ98" s="112"/>
      <c r="CK98" s="31"/>
      <c r="CL98" s="32"/>
      <c r="CM98" s="90"/>
      <c r="CN98" s="88"/>
      <c r="CO98" s="88"/>
      <c r="CP98" s="111"/>
      <c r="CQ98" s="112"/>
      <c r="CR98" s="113"/>
      <c r="CS98" s="112"/>
      <c r="CT98" s="55"/>
      <c r="CV98" s="230" t="s">
        <v>280</v>
      </c>
      <c r="CX98" s="226" t="s">
        <v>1424</v>
      </c>
      <c r="CY98" s="226" t="s">
        <v>1431</v>
      </c>
      <c r="CZ98" s="226" t="s">
        <v>541</v>
      </c>
      <c r="DA98" s="226" t="s">
        <v>541</v>
      </c>
      <c r="DB98" s="14"/>
      <c r="DC98" s="226" t="s">
        <v>541</v>
      </c>
      <c r="DD98" s="226" t="s">
        <v>541</v>
      </c>
      <c r="DE98" s="226" t="s">
        <v>541</v>
      </c>
      <c r="DF98" s="226" t="s">
        <v>541</v>
      </c>
      <c r="DG98" s="226" t="s">
        <v>541</v>
      </c>
      <c r="DH98" s="14"/>
    </row>
    <row r="99" spans="1:112" ht="12.75" customHeight="1" x14ac:dyDescent="0.25">
      <c r="A99" s="17" t="s">
        <v>396</v>
      </c>
      <c r="B99" s="17" t="s">
        <v>541</v>
      </c>
      <c r="C99" s="17" t="s">
        <v>277</v>
      </c>
      <c r="D99" s="17" t="s">
        <v>278</v>
      </c>
      <c r="E99" s="17" t="b">
        <f t="shared" si="21"/>
        <v>1</v>
      </c>
      <c r="F99" s="127" t="s">
        <v>396</v>
      </c>
      <c r="G99" s="248" t="s">
        <v>541</v>
      </c>
      <c r="H99" s="128" t="s">
        <v>277</v>
      </c>
      <c r="I99" s="128" t="s">
        <v>278</v>
      </c>
      <c r="J99" s="31"/>
      <c r="K99" s="102" t="s">
        <v>354</v>
      </c>
      <c r="L99" s="90"/>
      <c r="M99" s="111"/>
      <c r="N99" s="112"/>
      <c r="O99" s="113"/>
      <c r="P99" s="112"/>
      <c r="Q99" s="31"/>
      <c r="R99" s="102"/>
      <c r="S99" s="90"/>
      <c r="T99" s="88" t="str">
        <f t="shared" si="15"/>
        <v>NA</v>
      </c>
      <c r="U99" s="88" t="str">
        <f t="shared" si="16"/>
        <v>NA</v>
      </c>
      <c r="V99" s="111"/>
      <c r="W99" s="112"/>
      <c r="X99" s="113"/>
      <c r="Y99" s="112"/>
      <c r="Z99" s="31"/>
      <c r="AA99" s="296"/>
      <c r="AB99" s="89"/>
      <c r="AC99" s="88" t="str">
        <f t="shared" si="22"/>
        <v>NA</v>
      </c>
      <c r="AD99" s="88" t="str">
        <f t="shared" si="23"/>
        <v>NA</v>
      </c>
      <c r="AE99" s="111"/>
      <c r="AF99" s="112"/>
      <c r="AG99" s="113"/>
      <c r="AH99" s="112"/>
      <c r="AI99" s="31"/>
      <c r="AJ99" s="294"/>
      <c r="AK99" s="89"/>
      <c r="AL99" s="88" t="str">
        <f t="shared" si="24"/>
        <v>NA</v>
      </c>
      <c r="AM99" s="88" t="str">
        <f t="shared" si="25"/>
        <v>NA</v>
      </c>
      <c r="AN99" s="111"/>
      <c r="AO99" s="112"/>
      <c r="AP99" s="113"/>
      <c r="AQ99" s="112"/>
      <c r="AR99" s="31"/>
      <c r="AS99" s="32"/>
      <c r="AT99" s="90"/>
      <c r="AU99" s="88"/>
      <c r="AV99" s="88"/>
      <c r="AW99" s="111"/>
      <c r="AX99" s="112"/>
      <c r="AY99" s="113"/>
      <c r="AZ99" s="112"/>
      <c r="BA99" s="31"/>
      <c r="BB99" s="32"/>
      <c r="BC99" s="90"/>
      <c r="BD99" s="88"/>
      <c r="BE99" s="88"/>
      <c r="BF99" s="111"/>
      <c r="BG99" s="112"/>
      <c r="BH99" s="113"/>
      <c r="BI99" s="112"/>
      <c r="BJ99" s="31"/>
      <c r="BK99" s="32"/>
      <c r="BL99" s="90"/>
      <c r="BM99" s="88"/>
      <c r="BN99" s="88"/>
      <c r="BO99" s="111"/>
      <c r="BP99" s="112"/>
      <c r="BQ99" s="113"/>
      <c r="BR99" s="112"/>
      <c r="BS99" s="31"/>
      <c r="BT99" s="32"/>
      <c r="BU99" s="90"/>
      <c r="BV99" s="88"/>
      <c r="BW99" s="88"/>
      <c r="BX99" s="111"/>
      <c r="BY99" s="112"/>
      <c r="BZ99" s="113"/>
      <c r="CA99" s="112"/>
      <c r="CB99" s="31"/>
      <c r="CC99" s="32"/>
      <c r="CD99" s="90"/>
      <c r="CE99" s="88"/>
      <c r="CF99" s="88"/>
      <c r="CG99" s="111"/>
      <c r="CH99" s="112"/>
      <c r="CI99" s="113"/>
      <c r="CJ99" s="112"/>
      <c r="CK99" s="31"/>
      <c r="CL99" s="32"/>
      <c r="CM99" s="90"/>
      <c r="CN99" s="88"/>
      <c r="CO99" s="88"/>
      <c r="CP99" s="111"/>
      <c r="CQ99" s="112"/>
      <c r="CR99" s="113"/>
      <c r="CS99" s="112"/>
      <c r="CT99" s="55"/>
      <c r="CV99" s="230" t="s">
        <v>278</v>
      </c>
      <c r="CX99" s="226" t="s">
        <v>1424</v>
      </c>
      <c r="CY99" s="226" t="s">
        <v>1431</v>
      </c>
      <c r="CZ99" s="226" t="s">
        <v>541</v>
      </c>
      <c r="DA99" s="226" t="s">
        <v>541</v>
      </c>
      <c r="DB99" s="14"/>
      <c r="DC99" s="226" t="s">
        <v>541</v>
      </c>
      <c r="DD99" s="226" t="s">
        <v>541</v>
      </c>
      <c r="DE99" s="226" t="s">
        <v>541</v>
      </c>
      <c r="DF99" s="226" t="s">
        <v>541</v>
      </c>
      <c r="DG99" s="226" t="s">
        <v>541</v>
      </c>
      <c r="DH99" s="14"/>
    </row>
    <row r="100" spans="1:112" ht="12.75" customHeight="1" x14ac:dyDescent="0.25">
      <c r="A100" s="17" t="s">
        <v>397</v>
      </c>
      <c r="B100" s="17" t="s">
        <v>541</v>
      </c>
      <c r="C100" s="17" t="s">
        <v>275</v>
      </c>
      <c r="D100" s="17" t="s">
        <v>276</v>
      </c>
      <c r="E100" s="17" t="b">
        <f t="shared" si="21"/>
        <v>1</v>
      </c>
      <c r="F100" s="127" t="s">
        <v>397</v>
      </c>
      <c r="G100" s="248" t="s">
        <v>541</v>
      </c>
      <c r="H100" s="128" t="s">
        <v>275</v>
      </c>
      <c r="I100" s="128" t="s">
        <v>276</v>
      </c>
      <c r="J100" s="31"/>
      <c r="K100" s="102" t="s">
        <v>354</v>
      </c>
      <c r="L100" s="90"/>
      <c r="M100" s="111"/>
      <c r="N100" s="112"/>
      <c r="O100" s="113"/>
      <c r="P100" s="112"/>
      <c r="Q100" s="31"/>
      <c r="R100" s="102"/>
      <c r="S100" s="90"/>
      <c r="T100" s="88" t="str">
        <f t="shared" si="15"/>
        <v>NA</v>
      </c>
      <c r="U100" s="88" t="str">
        <f t="shared" si="16"/>
        <v>NA</v>
      </c>
      <c r="V100" s="111"/>
      <c r="W100" s="112"/>
      <c r="X100" s="113"/>
      <c r="Y100" s="112"/>
      <c r="Z100" s="31"/>
      <c r="AA100" s="296"/>
      <c r="AB100" s="89"/>
      <c r="AC100" s="88" t="str">
        <f t="shared" si="22"/>
        <v>NA</v>
      </c>
      <c r="AD100" s="88" t="str">
        <f t="shared" si="23"/>
        <v>NA</v>
      </c>
      <c r="AE100" s="111"/>
      <c r="AF100" s="112"/>
      <c r="AG100" s="113"/>
      <c r="AH100" s="112"/>
      <c r="AI100" s="31"/>
      <c r="AJ100" s="294"/>
      <c r="AK100" s="89"/>
      <c r="AL100" s="88" t="str">
        <f t="shared" si="24"/>
        <v>NA</v>
      </c>
      <c r="AM100" s="88" t="str">
        <f t="shared" si="25"/>
        <v>NA</v>
      </c>
      <c r="AN100" s="111"/>
      <c r="AO100" s="112"/>
      <c r="AP100" s="113"/>
      <c r="AQ100" s="112"/>
      <c r="AR100" s="31"/>
      <c r="AS100" s="32"/>
      <c r="AT100" s="90"/>
      <c r="AU100" s="88"/>
      <c r="AV100" s="88"/>
      <c r="AW100" s="111"/>
      <c r="AX100" s="112"/>
      <c r="AY100" s="113"/>
      <c r="AZ100" s="112"/>
      <c r="BA100" s="31"/>
      <c r="BB100" s="32"/>
      <c r="BC100" s="90"/>
      <c r="BD100" s="88"/>
      <c r="BE100" s="88"/>
      <c r="BF100" s="111"/>
      <c r="BG100" s="112"/>
      <c r="BH100" s="113"/>
      <c r="BI100" s="112"/>
      <c r="BJ100" s="31"/>
      <c r="BK100" s="32"/>
      <c r="BL100" s="90"/>
      <c r="BM100" s="88"/>
      <c r="BN100" s="88"/>
      <c r="BO100" s="111"/>
      <c r="BP100" s="112"/>
      <c r="BQ100" s="113"/>
      <c r="BR100" s="112"/>
      <c r="BS100" s="31"/>
      <c r="BT100" s="32"/>
      <c r="BU100" s="90"/>
      <c r="BV100" s="88"/>
      <c r="BW100" s="88"/>
      <c r="BX100" s="111"/>
      <c r="BY100" s="112"/>
      <c r="BZ100" s="113"/>
      <c r="CA100" s="112"/>
      <c r="CB100" s="31"/>
      <c r="CC100" s="32"/>
      <c r="CD100" s="90"/>
      <c r="CE100" s="88"/>
      <c r="CF100" s="88"/>
      <c r="CG100" s="111"/>
      <c r="CH100" s="112"/>
      <c r="CI100" s="113"/>
      <c r="CJ100" s="112"/>
      <c r="CK100" s="31"/>
      <c r="CL100" s="32"/>
      <c r="CM100" s="90"/>
      <c r="CN100" s="88"/>
      <c r="CO100" s="88"/>
      <c r="CP100" s="111"/>
      <c r="CQ100" s="112"/>
      <c r="CR100" s="113"/>
      <c r="CS100" s="112"/>
      <c r="CT100" s="55"/>
      <c r="CV100" s="230" t="s">
        <v>276</v>
      </c>
      <c r="CX100" s="226" t="s">
        <v>1424</v>
      </c>
      <c r="CY100" s="226" t="s">
        <v>1431</v>
      </c>
      <c r="CZ100" s="226" t="s">
        <v>541</v>
      </c>
      <c r="DA100" s="226" t="s">
        <v>541</v>
      </c>
      <c r="DB100" s="14"/>
      <c r="DC100" s="226" t="s">
        <v>541</v>
      </c>
      <c r="DD100" s="226" t="s">
        <v>541</v>
      </c>
      <c r="DE100" s="226" t="s">
        <v>541</v>
      </c>
      <c r="DF100" s="226" t="s">
        <v>541</v>
      </c>
      <c r="DG100" s="226" t="s">
        <v>541</v>
      </c>
      <c r="DH100" s="14"/>
    </row>
    <row r="101" spans="1:112" ht="12.75" customHeight="1" x14ac:dyDescent="0.25">
      <c r="A101" s="17" t="s">
        <v>398</v>
      </c>
      <c r="B101" s="17" t="s">
        <v>541</v>
      </c>
      <c r="C101" s="17" t="s">
        <v>273</v>
      </c>
      <c r="D101" s="17" t="s">
        <v>274</v>
      </c>
      <c r="E101" s="17" t="b">
        <f t="shared" si="21"/>
        <v>1</v>
      </c>
      <c r="F101" s="127" t="s">
        <v>398</v>
      </c>
      <c r="G101" s="248" t="s">
        <v>541</v>
      </c>
      <c r="H101" s="128" t="s">
        <v>273</v>
      </c>
      <c r="I101" s="128" t="s">
        <v>274</v>
      </c>
      <c r="J101" s="31"/>
      <c r="K101" s="102" t="s">
        <v>354</v>
      </c>
      <c r="L101" s="90"/>
      <c r="M101" s="111"/>
      <c r="N101" s="112"/>
      <c r="O101" s="113"/>
      <c r="P101" s="112"/>
      <c r="Q101" s="31"/>
      <c r="R101" s="102"/>
      <c r="S101" s="90"/>
      <c r="T101" s="88" t="str">
        <f t="shared" si="15"/>
        <v>NA</v>
      </c>
      <c r="U101" s="88" t="str">
        <f t="shared" si="16"/>
        <v>NA</v>
      </c>
      <c r="V101" s="111"/>
      <c r="W101" s="112"/>
      <c r="X101" s="113"/>
      <c r="Y101" s="112"/>
      <c r="Z101" s="31"/>
      <c r="AA101" s="296"/>
      <c r="AB101" s="89"/>
      <c r="AC101" s="88" t="str">
        <f t="shared" si="22"/>
        <v>NA</v>
      </c>
      <c r="AD101" s="88" t="str">
        <f t="shared" si="23"/>
        <v>NA</v>
      </c>
      <c r="AE101" s="111"/>
      <c r="AF101" s="112"/>
      <c r="AG101" s="113"/>
      <c r="AH101" s="112"/>
      <c r="AI101" s="31"/>
      <c r="AJ101" s="294"/>
      <c r="AK101" s="89"/>
      <c r="AL101" s="88" t="str">
        <f t="shared" si="24"/>
        <v>NA</v>
      </c>
      <c r="AM101" s="88" t="str">
        <f t="shared" si="25"/>
        <v>NA</v>
      </c>
      <c r="AN101" s="111"/>
      <c r="AO101" s="112"/>
      <c r="AP101" s="113"/>
      <c r="AQ101" s="112"/>
      <c r="AR101" s="31"/>
      <c r="AS101" s="32"/>
      <c r="AT101" s="90"/>
      <c r="AU101" s="88"/>
      <c r="AV101" s="88"/>
      <c r="AW101" s="111"/>
      <c r="AX101" s="112"/>
      <c r="AY101" s="113"/>
      <c r="AZ101" s="112"/>
      <c r="BA101" s="31"/>
      <c r="BB101" s="32"/>
      <c r="BC101" s="90"/>
      <c r="BD101" s="88"/>
      <c r="BE101" s="88"/>
      <c r="BF101" s="111"/>
      <c r="BG101" s="112"/>
      <c r="BH101" s="113"/>
      <c r="BI101" s="112"/>
      <c r="BJ101" s="31"/>
      <c r="BK101" s="32"/>
      <c r="BL101" s="90"/>
      <c r="BM101" s="88"/>
      <c r="BN101" s="88"/>
      <c r="BO101" s="111"/>
      <c r="BP101" s="112"/>
      <c r="BQ101" s="113"/>
      <c r="BR101" s="112"/>
      <c r="BS101" s="31"/>
      <c r="BT101" s="32"/>
      <c r="BU101" s="90"/>
      <c r="BV101" s="88"/>
      <c r="BW101" s="88"/>
      <c r="BX101" s="111"/>
      <c r="BY101" s="112"/>
      <c r="BZ101" s="113"/>
      <c r="CA101" s="112"/>
      <c r="CB101" s="31"/>
      <c r="CC101" s="32"/>
      <c r="CD101" s="90"/>
      <c r="CE101" s="88"/>
      <c r="CF101" s="88"/>
      <c r="CG101" s="111"/>
      <c r="CH101" s="112"/>
      <c r="CI101" s="113"/>
      <c r="CJ101" s="112"/>
      <c r="CK101" s="31"/>
      <c r="CL101" s="32"/>
      <c r="CM101" s="90"/>
      <c r="CN101" s="88"/>
      <c r="CO101" s="88"/>
      <c r="CP101" s="111"/>
      <c r="CQ101" s="112"/>
      <c r="CR101" s="113"/>
      <c r="CS101" s="112"/>
      <c r="CT101" s="55"/>
      <c r="CV101" s="230" t="s">
        <v>274</v>
      </c>
      <c r="CX101" s="226" t="s">
        <v>1424</v>
      </c>
      <c r="CY101" s="226" t="s">
        <v>1431</v>
      </c>
      <c r="CZ101" s="226" t="s">
        <v>541</v>
      </c>
      <c r="DA101" s="226" t="s">
        <v>541</v>
      </c>
      <c r="DB101" s="14"/>
      <c r="DC101" s="226" t="s">
        <v>541</v>
      </c>
      <c r="DD101" s="226" t="s">
        <v>541</v>
      </c>
      <c r="DE101" s="226" t="s">
        <v>541</v>
      </c>
      <c r="DF101" s="226" t="s">
        <v>541</v>
      </c>
      <c r="DG101" s="226" t="s">
        <v>541</v>
      </c>
      <c r="DH101" s="14"/>
    </row>
    <row r="102" spans="1:112" ht="12.75" customHeight="1" x14ac:dyDescent="0.25">
      <c r="A102" s="17" t="s">
        <v>399</v>
      </c>
      <c r="B102" s="17" t="s">
        <v>541</v>
      </c>
      <c r="C102" s="17" t="s">
        <v>271</v>
      </c>
      <c r="D102" s="17" t="s">
        <v>272</v>
      </c>
      <c r="E102" s="17" t="b">
        <f t="shared" si="21"/>
        <v>1</v>
      </c>
      <c r="F102" s="127" t="s">
        <v>399</v>
      </c>
      <c r="G102" s="248" t="s">
        <v>541</v>
      </c>
      <c r="H102" s="128" t="s">
        <v>271</v>
      </c>
      <c r="I102" s="128" t="s">
        <v>272</v>
      </c>
      <c r="J102" s="31"/>
      <c r="K102" s="102" t="s">
        <v>354</v>
      </c>
      <c r="L102" s="90"/>
      <c r="M102" s="111"/>
      <c r="N102" s="112"/>
      <c r="O102" s="113"/>
      <c r="P102" s="112"/>
      <c r="Q102" s="31"/>
      <c r="R102" s="102"/>
      <c r="S102" s="90"/>
      <c r="T102" s="88" t="str">
        <f t="shared" si="15"/>
        <v>NA</v>
      </c>
      <c r="U102" s="88" t="str">
        <f t="shared" si="16"/>
        <v>NA</v>
      </c>
      <c r="V102" s="111"/>
      <c r="W102" s="112"/>
      <c r="X102" s="113"/>
      <c r="Y102" s="112"/>
      <c r="Z102" s="31"/>
      <c r="AA102" s="296"/>
      <c r="AB102" s="89"/>
      <c r="AC102" s="88" t="str">
        <f t="shared" si="22"/>
        <v>NA</v>
      </c>
      <c r="AD102" s="88" t="str">
        <f t="shared" si="23"/>
        <v>NA</v>
      </c>
      <c r="AE102" s="111"/>
      <c r="AF102" s="112"/>
      <c r="AG102" s="113"/>
      <c r="AH102" s="112"/>
      <c r="AI102" s="31"/>
      <c r="AJ102" s="294"/>
      <c r="AK102" s="89"/>
      <c r="AL102" s="88" t="str">
        <f t="shared" si="24"/>
        <v>NA</v>
      </c>
      <c r="AM102" s="88" t="str">
        <f t="shared" si="25"/>
        <v>NA</v>
      </c>
      <c r="AN102" s="111"/>
      <c r="AO102" s="112"/>
      <c r="AP102" s="113"/>
      <c r="AQ102" s="112"/>
      <c r="AR102" s="31"/>
      <c r="AS102" s="32"/>
      <c r="AT102" s="90"/>
      <c r="AU102" s="88"/>
      <c r="AV102" s="88"/>
      <c r="AW102" s="111"/>
      <c r="AX102" s="112"/>
      <c r="AY102" s="113"/>
      <c r="AZ102" s="112"/>
      <c r="BA102" s="31"/>
      <c r="BB102" s="32"/>
      <c r="BC102" s="90"/>
      <c r="BD102" s="88"/>
      <c r="BE102" s="88"/>
      <c r="BF102" s="111"/>
      <c r="BG102" s="112"/>
      <c r="BH102" s="113"/>
      <c r="BI102" s="112"/>
      <c r="BJ102" s="31"/>
      <c r="BK102" s="32"/>
      <c r="BL102" s="90"/>
      <c r="BM102" s="88"/>
      <c r="BN102" s="88"/>
      <c r="BO102" s="111"/>
      <c r="BP102" s="112"/>
      <c r="BQ102" s="113"/>
      <c r="BR102" s="112"/>
      <c r="BS102" s="31"/>
      <c r="BT102" s="32"/>
      <c r="BU102" s="90"/>
      <c r="BV102" s="88"/>
      <c r="BW102" s="88"/>
      <c r="BX102" s="111"/>
      <c r="BY102" s="112"/>
      <c r="BZ102" s="113"/>
      <c r="CA102" s="112"/>
      <c r="CB102" s="31"/>
      <c r="CC102" s="32"/>
      <c r="CD102" s="90"/>
      <c r="CE102" s="88"/>
      <c r="CF102" s="88"/>
      <c r="CG102" s="111"/>
      <c r="CH102" s="112"/>
      <c r="CI102" s="113"/>
      <c r="CJ102" s="112"/>
      <c r="CK102" s="31"/>
      <c r="CL102" s="32"/>
      <c r="CM102" s="90"/>
      <c r="CN102" s="88"/>
      <c r="CO102" s="88"/>
      <c r="CP102" s="111"/>
      <c r="CQ102" s="112"/>
      <c r="CR102" s="113"/>
      <c r="CS102" s="112"/>
      <c r="CT102" s="55"/>
      <c r="CV102" s="230" t="s">
        <v>272</v>
      </c>
      <c r="CX102" s="226" t="s">
        <v>1424</v>
      </c>
      <c r="CY102" s="226" t="s">
        <v>1431</v>
      </c>
      <c r="CZ102" s="226" t="s">
        <v>541</v>
      </c>
      <c r="DA102" s="226" t="s">
        <v>541</v>
      </c>
      <c r="DB102" s="14"/>
      <c r="DC102" s="226" t="s">
        <v>541</v>
      </c>
      <c r="DD102" s="226" t="s">
        <v>541</v>
      </c>
      <c r="DE102" s="226" t="s">
        <v>541</v>
      </c>
      <c r="DF102" s="226" t="s">
        <v>541</v>
      </c>
      <c r="DG102" s="226" t="s">
        <v>541</v>
      </c>
      <c r="DH102" s="14"/>
    </row>
    <row r="103" spans="1:112" ht="12.75" customHeight="1" x14ac:dyDescent="0.25">
      <c r="A103" s="17" t="s">
        <v>400</v>
      </c>
      <c r="B103" s="17" t="s">
        <v>541</v>
      </c>
      <c r="C103" s="17" t="s">
        <v>269</v>
      </c>
      <c r="D103" s="17" t="s">
        <v>270</v>
      </c>
      <c r="E103" s="17" t="b">
        <f t="shared" si="21"/>
        <v>1</v>
      </c>
      <c r="F103" s="127" t="s">
        <v>400</v>
      </c>
      <c r="G103" s="248" t="s">
        <v>541</v>
      </c>
      <c r="H103" s="128" t="s">
        <v>269</v>
      </c>
      <c r="I103" s="128" t="s">
        <v>270</v>
      </c>
      <c r="J103" s="31"/>
      <c r="K103" s="102" t="s">
        <v>354</v>
      </c>
      <c r="L103" s="90"/>
      <c r="M103" s="111"/>
      <c r="N103" s="112"/>
      <c r="O103" s="113"/>
      <c r="P103" s="112"/>
      <c r="Q103" s="31"/>
      <c r="R103" s="102"/>
      <c r="S103" s="90"/>
      <c r="T103" s="88" t="str">
        <f t="shared" si="15"/>
        <v>NA</v>
      </c>
      <c r="U103" s="88" t="str">
        <f t="shared" si="16"/>
        <v>NA</v>
      </c>
      <c r="V103" s="111"/>
      <c r="W103" s="112"/>
      <c r="X103" s="113"/>
      <c r="Y103" s="112"/>
      <c r="Z103" s="31"/>
      <c r="AA103" s="296"/>
      <c r="AB103" s="89"/>
      <c r="AC103" s="88" t="str">
        <f t="shared" si="22"/>
        <v>NA</v>
      </c>
      <c r="AD103" s="88" t="str">
        <f t="shared" si="23"/>
        <v>NA</v>
      </c>
      <c r="AE103" s="111"/>
      <c r="AF103" s="112"/>
      <c r="AG103" s="113"/>
      <c r="AH103" s="112"/>
      <c r="AI103" s="31"/>
      <c r="AJ103" s="294"/>
      <c r="AK103" s="89"/>
      <c r="AL103" s="88" t="str">
        <f t="shared" si="24"/>
        <v>NA</v>
      </c>
      <c r="AM103" s="88" t="str">
        <f t="shared" si="25"/>
        <v>NA</v>
      </c>
      <c r="AN103" s="111"/>
      <c r="AO103" s="112"/>
      <c r="AP103" s="113"/>
      <c r="AQ103" s="112"/>
      <c r="AR103" s="31"/>
      <c r="AS103" s="32"/>
      <c r="AT103" s="90"/>
      <c r="AU103" s="88"/>
      <c r="AV103" s="88"/>
      <c r="AW103" s="111"/>
      <c r="AX103" s="112"/>
      <c r="AY103" s="113"/>
      <c r="AZ103" s="112"/>
      <c r="BA103" s="31"/>
      <c r="BB103" s="32"/>
      <c r="BC103" s="90"/>
      <c r="BD103" s="88"/>
      <c r="BE103" s="88"/>
      <c r="BF103" s="111"/>
      <c r="BG103" s="112"/>
      <c r="BH103" s="113"/>
      <c r="BI103" s="112"/>
      <c r="BJ103" s="31"/>
      <c r="BK103" s="32"/>
      <c r="BL103" s="90"/>
      <c r="BM103" s="88"/>
      <c r="BN103" s="88"/>
      <c r="BO103" s="111"/>
      <c r="BP103" s="112"/>
      <c r="BQ103" s="113"/>
      <c r="BR103" s="112"/>
      <c r="BS103" s="31"/>
      <c r="BT103" s="32"/>
      <c r="BU103" s="90"/>
      <c r="BV103" s="88"/>
      <c r="BW103" s="88"/>
      <c r="BX103" s="111"/>
      <c r="BY103" s="112"/>
      <c r="BZ103" s="113"/>
      <c r="CA103" s="112"/>
      <c r="CB103" s="31"/>
      <c r="CC103" s="32"/>
      <c r="CD103" s="90"/>
      <c r="CE103" s="88"/>
      <c r="CF103" s="88"/>
      <c r="CG103" s="111"/>
      <c r="CH103" s="112"/>
      <c r="CI103" s="113"/>
      <c r="CJ103" s="112"/>
      <c r="CK103" s="31"/>
      <c r="CL103" s="32"/>
      <c r="CM103" s="90"/>
      <c r="CN103" s="88"/>
      <c r="CO103" s="88"/>
      <c r="CP103" s="111"/>
      <c r="CQ103" s="112"/>
      <c r="CR103" s="113"/>
      <c r="CS103" s="112"/>
      <c r="CT103" s="55"/>
      <c r="CV103" s="230" t="s">
        <v>270</v>
      </c>
      <c r="CX103" s="226" t="s">
        <v>1424</v>
      </c>
      <c r="CY103" s="226" t="s">
        <v>1431</v>
      </c>
      <c r="CZ103" s="226" t="s">
        <v>541</v>
      </c>
      <c r="DA103" s="226" t="s">
        <v>541</v>
      </c>
      <c r="DB103" s="14"/>
      <c r="DC103" s="226" t="s">
        <v>541</v>
      </c>
      <c r="DD103" s="226" t="s">
        <v>541</v>
      </c>
      <c r="DE103" s="226" t="s">
        <v>541</v>
      </c>
      <c r="DF103" s="226" t="s">
        <v>541</v>
      </c>
      <c r="DG103" s="226" t="s">
        <v>541</v>
      </c>
      <c r="DH103" s="14"/>
    </row>
    <row r="104" spans="1:112" ht="12.75" customHeight="1" x14ac:dyDescent="0.25">
      <c r="A104" s="17" t="s">
        <v>401</v>
      </c>
      <c r="B104" s="17" t="s">
        <v>541</v>
      </c>
      <c r="C104" s="17" t="s">
        <v>267</v>
      </c>
      <c r="D104" s="17" t="s">
        <v>268</v>
      </c>
      <c r="E104" s="17" t="b">
        <f t="shared" si="21"/>
        <v>1</v>
      </c>
      <c r="F104" s="127" t="s">
        <v>401</v>
      </c>
      <c r="G104" s="248" t="s">
        <v>541</v>
      </c>
      <c r="H104" s="128" t="s">
        <v>267</v>
      </c>
      <c r="I104" s="128" t="s">
        <v>268</v>
      </c>
      <c r="J104" s="31"/>
      <c r="K104" s="102" t="s">
        <v>354</v>
      </c>
      <c r="L104" s="90"/>
      <c r="M104" s="111"/>
      <c r="N104" s="112"/>
      <c r="O104" s="113"/>
      <c r="P104" s="112"/>
      <c r="Q104" s="31"/>
      <c r="R104" s="102"/>
      <c r="S104" s="90"/>
      <c r="T104" s="88" t="str">
        <f t="shared" si="15"/>
        <v>NA</v>
      </c>
      <c r="U104" s="88" t="str">
        <f t="shared" si="16"/>
        <v>NA</v>
      </c>
      <c r="V104" s="111"/>
      <c r="W104" s="112"/>
      <c r="X104" s="113"/>
      <c r="Y104" s="112"/>
      <c r="Z104" s="31"/>
      <c r="AA104" s="296"/>
      <c r="AB104" s="89"/>
      <c r="AC104" s="88" t="str">
        <f t="shared" si="22"/>
        <v>NA</v>
      </c>
      <c r="AD104" s="88" t="str">
        <f t="shared" si="23"/>
        <v>NA</v>
      </c>
      <c r="AE104" s="111"/>
      <c r="AF104" s="112"/>
      <c r="AG104" s="113"/>
      <c r="AH104" s="112"/>
      <c r="AI104" s="31"/>
      <c r="AJ104" s="294"/>
      <c r="AK104" s="89"/>
      <c r="AL104" s="88" t="str">
        <f t="shared" si="24"/>
        <v>NA</v>
      </c>
      <c r="AM104" s="88" t="str">
        <f t="shared" si="25"/>
        <v>NA</v>
      </c>
      <c r="AN104" s="111"/>
      <c r="AO104" s="112"/>
      <c r="AP104" s="113"/>
      <c r="AQ104" s="112"/>
      <c r="AR104" s="31"/>
      <c r="AS104" s="32"/>
      <c r="AT104" s="90"/>
      <c r="AU104" s="88"/>
      <c r="AV104" s="88"/>
      <c r="AW104" s="111"/>
      <c r="AX104" s="112"/>
      <c r="AY104" s="113"/>
      <c r="AZ104" s="112"/>
      <c r="BA104" s="31"/>
      <c r="BB104" s="32"/>
      <c r="BC104" s="90"/>
      <c r="BD104" s="88"/>
      <c r="BE104" s="88"/>
      <c r="BF104" s="111"/>
      <c r="BG104" s="112"/>
      <c r="BH104" s="113"/>
      <c r="BI104" s="112"/>
      <c r="BJ104" s="31"/>
      <c r="BK104" s="32"/>
      <c r="BL104" s="90"/>
      <c r="BM104" s="88"/>
      <c r="BN104" s="88"/>
      <c r="BO104" s="111"/>
      <c r="BP104" s="112"/>
      <c r="BQ104" s="113"/>
      <c r="BR104" s="112"/>
      <c r="BS104" s="31"/>
      <c r="BT104" s="32"/>
      <c r="BU104" s="90"/>
      <c r="BV104" s="88"/>
      <c r="BW104" s="88"/>
      <c r="BX104" s="111"/>
      <c r="BY104" s="112"/>
      <c r="BZ104" s="113"/>
      <c r="CA104" s="112"/>
      <c r="CB104" s="31"/>
      <c r="CC104" s="32"/>
      <c r="CD104" s="90"/>
      <c r="CE104" s="88"/>
      <c r="CF104" s="88"/>
      <c r="CG104" s="111"/>
      <c r="CH104" s="112"/>
      <c r="CI104" s="113"/>
      <c r="CJ104" s="112"/>
      <c r="CK104" s="31"/>
      <c r="CL104" s="32"/>
      <c r="CM104" s="90"/>
      <c r="CN104" s="88"/>
      <c r="CO104" s="88"/>
      <c r="CP104" s="111"/>
      <c r="CQ104" s="112"/>
      <c r="CR104" s="113"/>
      <c r="CS104" s="112"/>
      <c r="CT104" s="55"/>
      <c r="CV104" s="230" t="s">
        <v>268</v>
      </c>
      <c r="CX104" s="226" t="s">
        <v>1425</v>
      </c>
      <c r="CY104" s="226" t="s">
        <v>1431</v>
      </c>
      <c r="CZ104" s="226" t="s">
        <v>541</v>
      </c>
      <c r="DA104" s="226" t="s">
        <v>541</v>
      </c>
      <c r="DB104" s="14"/>
      <c r="DC104" s="226" t="s">
        <v>541</v>
      </c>
      <c r="DD104" s="226" t="s">
        <v>541</v>
      </c>
      <c r="DE104" s="226" t="s">
        <v>541</v>
      </c>
      <c r="DF104" s="226" t="s">
        <v>541</v>
      </c>
      <c r="DG104" s="226" t="s">
        <v>541</v>
      </c>
      <c r="DH104" s="14"/>
    </row>
    <row r="105" spans="1:112" ht="12.75" customHeight="1" x14ac:dyDescent="0.25">
      <c r="A105" s="17" t="s">
        <v>402</v>
      </c>
      <c r="B105" s="17" t="s">
        <v>541</v>
      </c>
      <c r="C105" s="17" t="s">
        <v>265</v>
      </c>
      <c r="D105" s="17" t="s">
        <v>266</v>
      </c>
      <c r="E105" s="17" t="b">
        <f t="shared" si="21"/>
        <v>1</v>
      </c>
      <c r="F105" s="127" t="s">
        <v>402</v>
      </c>
      <c r="G105" s="248" t="s">
        <v>541</v>
      </c>
      <c r="H105" s="128" t="s">
        <v>265</v>
      </c>
      <c r="I105" s="128" t="s">
        <v>266</v>
      </c>
      <c r="J105" s="31"/>
      <c r="K105" s="102" t="s">
        <v>354</v>
      </c>
      <c r="L105" s="90"/>
      <c r="M105" s="111"/>
      <c r="N105" s="112"/>
      <c r="O105" s="113"/>
      <c r="P105" s="112"/>
      <c r="Q105" s="31"/>
      <c r="R105" s="102"/>
      <c r="S105" s="90"/>
      <c r="T105" s="88" t="str">
        <f t="shared" si="15"/>
        <v>NA</v>
      </c>
      <c r="U105" s="88" t="str">
        <f t="shared" si="16"/>
        <v>NA</v>
      </c>
      <c r="V105" s="111"/>
      <c r="W105" s="112"/>
      <c r="X105" s="113"/>
      <c r="Y105" s="112"/>
      <c r="Z105" s="31"/>
      <c r="AA105" s="296"/>
      <c r="AB105" s="89"/>
      <c r="AC105" s="88" t="str">
        <f t="shared" si="22"/>
        <v>NA</v>
      </c>
      <c r="AD105" s="88" t="str">
        <f t="shared" si="23"/>
        <v>NA</v>
      </c>
      <c r="AE105" s="111"/>
      <c r="AF105" s="112"/>
      <c r="AG105" s="113"/>
      <c r="AH105" s="112"/>
      <c r="AI105" s="31"/>
      <c r="AJ105" s="294"/>
      <c r="AK105" s="89"/>
      <c r="AL105" s="88" t="str">
        <f t="shared" si="24"/>
        <v>NA</v>
      </c>
      <c r="AM105" s="88" t="str">
        <f t="shared" si="25"/>
        <v>NA</v>
      </c>
      <c r="AN105" s="111"/>
      <c r="AO105" s="112"/>
      <c r="AP105" s="113"/>
      <c r="AQ105" s="112"/>
      <c r="AR105" s="31"/>
      <c r="AS105" s="32"/>
      <c r="AT105" s="90"/>
      <c r="AU105" s="88"/>
      <c r="AV105" s="88"/>
      <c r="AW105" s="111"/>
      <c r="AX105" s="112"/>
      <c r="AY105" s="113"/>
      <c r="AZ105" s="112"/>
      <c r="BA105" s="31"/>
      <c r="BB105" s="32"/>
      <c r="BC105" s="90"/>
      <c r="BD105" s="88"/>
      <c r="BE105" s="88"/>
      <c r="BF105" s="111"/>
      <c r="BG105" s="112"/>
      <c r="BH105" s="113"/>
      <c r="BI105" s="112"/>
      <c r="BJ105" s="31"/>
      <c r="BK105" s="32"/>
      <c r="BL105" s="90"/>
      <c r="BM105" s="88"/>
      <c r="BN105" s="88"/>
      <c r="BO105" s="111"/>
      <c r="BP105" s="112"/>
      <c r="BQ105" s="113"/>
      <c r="BR105" s="112"/>
      <c r="BS105" s="31"/>
      <c r="BT105" s="32"/>
      <c r="BU105" s="90"/>
      <c r="BV105" s="88"/>
      <c r="BW105" s="88"/>
      <c r="BX105" s="111"/>
      <c r="BY105" s="112"/>
      <c r="BZ105" s="113"/>
      <c r="CA105" s="112"/>
      <c r="CB105" s="31"/>
      <c r="CC105" s="32"/>
      <c r="CD105" s="90"/>
      <c r="CE105" s="88"/>
      <c r="CF105" s="88"/>
      <c r="CG105" s="111"/>
      <c r="CH105" s="112"/>
      <c r="CI105" s="113"/>
      <c r="CJ105" s="112"/>
      <c r="CK105" s="31"/>
      <c r="CL105" s="32"/>
      <c r="CM105" s="90"/>
      <c r="CN105" s="88"/>
      <c r="CO105" s="88"/>
      <c r="CP105" s="111"/>
      <c r="CQ105" s="112"/>
      <c r="CR105" s="113"/>
      <c r="CS105" s="112"/>
      <c r="CT105" s="55"/>
      <c r="CV105" s="230" t="s">
        <v>266</v>
      </c>
      <c r="CX105" s="226" t="s">
        <v>1425</v>
      </c>
      <c r="CY105" s="226" t="s">
        <v>1431</v>
      </c>
      <c r="CZ105" s="226" t="s">
        <v>541</v>
      </c>
      <c r="DA105" s="226" t="s">
        <v>541</v>
      </c>
      <c r="DB105" s="14"/>
      <c r="DC105" s="226" t="s">
        <v>541</v>
      </c>
      <c r="DD105" s="226" t="s">
        <v>541</v>
      </c>
      <c r="DE105" s="226" t="s">
        <v>541</v>
      </c>
      <c r="DF105" s="226" t="s">
        <v>541</v>
      </c>
      <c r="DG105" s="226" t="s">
        <v>541</v>
      </c>
      <c r="DH105" s="14"/>
    </row>
    <row r="106" spans="1:112" ht="12.75" customHeight="1" x14ac:dyDescent="0.25">
      <c r="A106" s="17" t="s">
        <v>403</v>
      </c>
      <c r="B106" s="17" t="s">
        <v>541</v>
      </c>
      <c r="C106" s="17" t="s">
        <v>263</v>
      </c>
      <c r="D106" s="17" t="s">
        <v>264</v>
      </c>
      <c r="E106" s="17" t="b">
        <f t="shared" si="21"/>
        <v>1</v>
      </c>
      <c r="F106" s="127" t="s">
        <v>403</v>
      </c>
      <c r="G106" s="248" t="s">
        <v>541</v>
      </c>
      <c r="H106" s="128" t="s">
        <v>263</v>
      </c>
      <c r="I106" s="128" t="s">
        <v>264</v>
      </c>
      <c r="J106" s="31"/>
      <c r="K106" s="102" t="s">
        <v>354</v>
      </c>
      <c r="L106" s="90"/>
      <c r="M106" s="111"/>
      <c r="N106" s="112"/>
      <c r="O106" s="113"/>
      <c r="P106" s="112"/>
      <c r="Q106" s="31"/>
      <c r="R106" s="102"/>
      <c r="S106" s="90"/>
      <c r="T106" s="88" t="str">
        <f t="shared" si="15"/>
        <v>NA</v>
      </c>
      <c r="U106" s="88" t="str">
        <f t="shared" si="16"/>
        <v>NA</v>
      </c>
      <c r="V106" s="111"/>
      <c r="W106" s="112"/>
      <c r="X106" s="113"/>
      <c r="Y106" s="112"/>
      <c r="Z106" s="31"/>
      <c r="AA106" s="296"/>
      <c r="AB106" s="89"/>
      <c r="AC106" s="88" t="str">
        <f t="shared" si="22"/>
        <v>NA</v>
      </c>
      <c r="AD106" s="88" t="str">
        <f t="shared" si="23"/>
        <v>NA</v>
      </c>
      <c r="AE106" s="111"/>
      <c r="AF106" s="112"/>
      <c r="AG106" s="113"/>
      <c r="AH106" s="112"/>
      <c r="AI106" s="31"/>
      <c r="AJ106" s="294"/>
      <c r="AK106" s="89"/>
      <c r="AL106" s="88" t="str">
        <f t="shared" si="24"/>
        <v>NA</v>
      </c>
      <c r="AM106" s="88" t="str">
        <f t="shared" si="25"/>
        <v>NA</v>
      </c>
      <c r="AN106" s="111"/>
      <c r="AO106" s="112"/>
      <c r="AP106" s="113"/>
      <c r="AQ106" s="112"/>
      <c r="AR106" s="31"/>
      <c r="AS106" s="32"/>
      <c r="AT106" s="90"/>
      <c r="AU106" s="88"/>
      <c r="AV106" s="88"/>
      <c r="AW106" s="111"/>
      <c r="AX106" s="112"/>
      <c r="AY106" s="113"/>
      <c r="AZ106" s="112"/>
      <c r="BA106" s="31"/>
      <c r="BB106" s="32"/>
      <c r="BC106" s="90"/>
      <c r="BD106" s="88"/>
      <c r="BE106" s="88"/>
      <c r="BF106" s="111"/>
      <c r="BG106" s="112"/>
      <c r="BH106" s="113"/>
      <c r="BI106" s="112"/>
      <c r="BJ106" s="31"/>
      <c r="BK106" s="32"/>
      <c r="BL106" s="90"/>
      <c r="BM106" s="88"/>
      <c r="BN106" s="88"/>
      <c r="BO106" s="111"/>
      <c r="BP106" s="112"/>
      <c r="BQ106" s="113"/>
      <c r="BR106" s="112"/>
      <c r="BS106" s="31"/>
      <c r="BT106" s="32"/>
      <c r="BU106" s="90"/>
      <c r="BV106" s="88"/>
      <c r="BW106" s="88"/>
      <c r="BX106" s="111"/>
      <c r="BY106" s="112"/>
      <c r="BZ106" s="113"/>
      <c r="CA106" s="112"/>
      <c r="CB106" s="31"/>
      <c r="CC106" s="32"/>
      <c r="CD106" s="90"/>
      <c r="CE106" s="88"/>
      <c r="CF106" s="88"/>
      <c r="CG106" s="111"/>
      <c r="CH106" s="112"/>
      <c r="CI106" s="113"/>
      <c r="CJ106" s="112"/>
      <c r="CK106" s="31"/>
      <c r="CL106" s="32"/>
      <c r="CM106" s="90"/>
      <c r="CN106" s="88"/>
      <c r="CO106" s="88"/>
      <c r="CP106" s="111"/>
      <c r="CQ106" s="112"/>
      <c r="CR106" s="113"/>
      <c r="CS106" s="112"/>
      <c r="CT106" s="55"/>
      <c r="CV106" s="230" t="s">
        <v>264</v>
      </c>
      <c r="CX106" s="226" t="s">
        <v>1425</v>
      </c>
      <c r="CY106" s="226" t="s">
        <v>1431</v>
      </c>
      <c r="CZ106" s="226" t="s">
        <v>541</v>
      </c>
      <c r="DA106" s="226" t="s">
        <v>541</v>
      </c>
      <c r="DB106" s="14"/>
      <c r="DC106" s="226" t="s">
        <v>541</v>
      </c>
      <c r="DD106" s="226" t="s">
        <v>541</v>
      </c>
      <c r="DE106" s="226" t="s">
        <v>541</v>
      </c>
      <c r="DF106" s="226" t="s">
        <v>541</v>
      </c>
      <c r="DG106" s="226" t="s">
        <v>541</v>
      </c>
      <c r="DH106" s="14"/>
    </row>
    <row r="107" spans="1:112" ht="12.75" customHeight="1" x14ac:dyDescent="0.25">
      <c r="A107" s="17" t="s">
        <v>404</v>
      </c>
      <c r="B107" s="17" t="s">
        <v>541</v>
      </c>
      <c r="C107" s="17" t="s">
        <v>261</v>
      </c>
      <c r="D107" s="17" t="s">
        <v>262</v>
      </c>
      <c r="E107" s="17" t="b">
        <f t="shared" si="21"/>
        <v>1</v>
      </c>
      <c r="F107" s="127" t="s">
        <v>404</v>
      </c>
      <c r="G107" s="248" t="s">
        <v>541</v>
      </c>
      <c r="H107" s="128" t="s">
        <v>261</v>
      </c>
      <c r="I107" s="128" t="s">
        <v>262</v>
      </c>
      <c r="J107" s="31"/>
      <c r="K107" s="102" t="s">
        <v>354</v>
      </c>
      <c r="L107" s="90"/>
      <c r="M107" s="111"/>
      <c r="N107" s="112"/>
      <c r="O107" s="113"/>
      <c r="P107" s="112"/>
      <c r="Q107" s="31"/>
      <c r="R107" s="102"/>
      <c r="S107" s="90"/>
      <c r="T107" s="88" t="str">
        <f t="shared" si="15"/>
        <v>NA</v>
      </c>
      <c r="U107" s="88" t="str">
        <f t="shared" si="16"/>
        <v>NA</v>
      </c>
      <c r="V107" s="111"/>
      <c r="W107" s="112"/>
      <c r="X107" s="113"/>
      <c r="Y107" s="112"/>
      <c r="Z107" s="31"/>
      <c r="AA107" s="296"/>
      <c r="AB107" s="89"/>
      <c r="AC107" s="88" t="str">
        <f t="shared" si="22"/>
        <v>NA</v>
      </c>
      <c r="AD107" s="88" t="str">
        <f t="shared" si="23"/>
        <v>NA</v>
      </c>
      <c r="AE107" s="111"/>
      <c r="AF107" s="112"/>
      <c r="AG107" s="113"/>
      <c r="AH107" s="112"/>
      <c r="AI107" s="31"/>
      <c r="AJ107" s="294"/>
      <c r="AK107" s="89"/>
      <c r="AL107" s="88" t="str">
        <f t="shared" si="24"/>
        <v>NA</v>
      </c>
      <c r="AM107" s="88" t="str">
        <f t="shared" si="25"/>
        <v>NA</v>
      </c>
      <c r="AN107" s="111"/>
      <c r="AO107" s="112"/>
      <c r="AP107" s="113"/>
      <c r="AQ107" s="112"/>
      <c r="AR107" s="31"/>
      <c r="AS107" s="32"/>
      <c r="AT107" s="90"/>
      <c r="AU107" s="88"/>
      <c r="AV107" s="88"/>
      <c r="AW107" s="111"/>
      <c r="AX107" s="112"/>
      <c r="AY107" s="113"/>
      <c r="AZ107" s="112"/>
      <c r="BA107" s="31"/>
      <c r="BB107" s="32"/>
      <c r="BC107" s="90"/>
      <c r="BD107" s="88"/>
      <c r="BE107" s="88"/>
      <c r="BF107" s="111"/>
      <c r="BG107" s="112"/>
      <c r="BH107" s="113"/>
      <c r="BI107" s="112"/>
      <c r="BJ107" s="31"/>
      <c r="BK107" s="32"/>
      <c r="BL107" s="90"/>
      <c r="BM107" s="88"/>
      <c r="BN107" s="88"/>
      <c r="BO107" s="111"/>
      <c r="BP107" s="112"/>
      <c r="BQ107" s="113"/>
      <c r="BR107" s="112"/>
      <c r="BS107" s="31"/>
      <c r="BT107" s="32"/>
      <c r="BU107" s="90"/>
      <c r="BV107" s="88"/>
      <c r="BW107" s="88"/>
      <c r="BX107" s="111"/>
      <c r="BY107" s="112"/>
      <c r="BZ107" s="113"/>
      <c r="CA107" s="112"/>
      <c r="CB107" s="31"/>
      <c r="CC107" s="32"/>
      <c r="CD107" s="90"/>
      <c r="CE107" s="88"/>
      <c r="CF107" s="88"/>
      <c r="CG107" s="111"/>
      <c r="CH107" s="112"/>
      <c r="CI107" s="113"/>
      <c r="CJ107" s="112"/>
      <c r="CK107" s="31"/>
      <c r="CL107" s="32"/>
      <c r="CM107" s="90"/>
      <c r="CN107" s="88"/>
      <c r="CO107" s="88"/>
      <c r="CP107" s="111"/>
      <c r="CQ107" s="112"/>
      <c r="CR107" s="113"/>
      <c r="CS107" s="112"/>
      <c r="CT107" s="55"/>
      <c r="CV107" s="230" t="s">
        <v>262</v>
      </c>
      <c r="CX107" s="226" t="s">
        <v>1425</v>
      </c>
      <c r="CY107" s="226" t="s">
        <v>1431</v>
      </c>
      <c r="CZ107" s="226" t="s">
        <v>541</v>
      </c>
      <c r="DA107" s="226" t="s">
        <v>541</v>
      </c>
      <c r="DB107" s="14"/>
      <c r="DC107" s="226" t="s">
        <v>541</v>
      </c>
      <c r="DD107" s="226" t="s">
        <v>541</v>
      </c>
      <c r="DE107" s="226" t="s">
        <v>541</v>
      </c>
      <c r="DF107" s="226" t="s">
        <v>541</v>
      </c>
      <c r="DG107" s="226" t="s">
        <v>541</v>
      </c>
      <c r="DH107" s="14"/>
    </row>
    <row r="108" spans="1:112" ht="12.75" customHeight="1" x14ac:dyDescent="0.25">
      <c r="A108" s="17" t="s">
        <v>405</v>
      </c>
      <c r="B108" s="17" t="s">
        <v>541</v>
      </c>
      <c r="C108" s="17" t="s">
        <v>259</v>
      </c>
      <c r="D108" s="17" t="s">
        <v>260</v>
      </c>
      <c r="E108" s="17" t="b">
        <f t="shared" si="21"/>
        <v>1</v>
      </c>
      <c r="F108" s="127" t="s">
        <v>405</v>
      </c>
      <c r="G108" s="248" t="s">
        <v>541</v>
      </c>
      <c r="H108" s="128" t="s">
        <v>259</v>
      </c>
      <c r="I108" s="128" t="s">
        <v>260</v>
      </c>
      <c r="J108" s="31"/>
      <c r="K108" s="102" t="s">
        <v>354</v>
      </c>
      <c r="L108" s="90"/>
      <c r="M108" s="111"/>
      <c r="N108" s="112"/>
      <c r="O108" s="113"/>
      <c r="P108" s="112"/>
      <c r="Q108" s="31"/>
      <c r="R108" s="102"/>
      <c r="S108" s="90"/>
      <c r="T108" s="88" t="str">
        <f t="shared" si="15"/>
        <v>NA</v>
      </c>
      <c r="U108" s="88" t="str">
        <f t="shared" si="16"/>
        <v>NA</v>
      </c>
      <c r="V108" s="111"/>
      <c r="W108" s="112"/>
      <c r="X108" s="113"/>
      <c r="Y108" s="112"/>
      <c r="Z108" s="31"/>
      <c r="AA108" s="296"/>
      <c r="AB108" s="89"/>
      <c r="AC108" s="88" t="str">
        <f t="shared" si="22"/>
        <v>NA</v>
      </c>
      <c r="AD108" s="88" t="str">
        <f t="shared" si="23"/>
        <v>NA</v>
      </c>
      <c r="AE108" s="111"/>
      <c r="AF108" s="112"/>
      <c r="AG108" s="113"/>
      <c r="AH108" s="112"/>
      <c r="AI108" s="31"/>
      <c r="AJ108" s="294"/>
      <c r="AK108" s="89"/>
      <c r="AL108" s="88" t="str">
        <f t="shared" si="24"/>
        <v>NA</v>
      </c>
      <c r="AM108" s="88" t="str">
        <f t="shared" si="25"/>
        <v>NA</v>
      </c>
      <c r="AN108" s="111"/>
      <c r="AO108" s="112"/>
      <c r="AP108" s="113"/>
      <c r="AQ108" s="112"/>
      <c r="AR108" s="31"/>
      <c r="AS108" s="32"/>
      <c r="AT108" s="90"/>
      <c r="AU108" s="88"/>
      <c r="AV108" s="88"/>
      <c r="AW108" s="111"/>
      <c r="AX108" s="112"/>
      <c r="AY108" s="113"/>
      <c r="AZ108" s="112"/>
      <c r="BA108" s="31"/>
      <c r="BB108" s="32"/>
      <c r="BC108" s="90"/>
      <c r="BD108" s="88"/>
      <c r="BE108" s="88"/>
      <c r="BF108" s="111"/>
      <c r="BG108" s="112"/>
      <c r="BH108" s="113"/>
      <c r="BI108" s="112"/>
      <c r="BJ108" s="31"/>
      <c r="BK108" s="32"/>
      <c r="BL108" s="90"/>
      <c r="BM108" s="88"/>
      <c r="BN108" s="88"/>
      <c r="BO108" s="111"/>
      <c r="BP108" s="112"/>
      <c r="BQ108" s="113"/>
      <c r="BR108" s="112"/>
      <c r="BS108" s="31"/>
      <c r="BT108" s="32"/>
      <c r="BU108" s="90"/>
      <c r="BV108" s="88"/>
      <c r="BW108" s="88"/>
      <c r="BX108" s="111"/>
      <c r="BY108" s="112"/>
      <c r="BZ108" s="113"/>
      <c r="CA108" s="112"/>
      <c r="CB108" s="31"/>
      <c r="CC108" s="32"/>
      <c r="CD108" s="90"/>
      <c r="CE108" s="88"/>
      <c r="CF108" s="88"/>
      <c r="CG108" s="111"/>
      <c r="CH108" s="112"/>
      <c r="CI108" s="113"/>
      <c r="CJ108" s="112"/>
      <c r="CK108" s="31"/>
      <c r="CL108" s="32"/>
      <c r="CM108" s="90"/>
      <c r="CN108" s="88"/>
      <c r="CO108" s="88"/>
      <c r="CP108" s="111"/>
      <c r="CQ108" s="112"/>
      <c r="CR108" s="113"/>
      <c r="CS108" s="112"/>
      <c r="CT108" s="55"/>
      <c r="CV108" s="230" t="s">
        <v>260</v>
      </c>
      <c r="CX108" s="226" t="s">
        <v>1425</v>
      </c>
      <c r="CY108" s="226" t="s">
        <v>1431</v>
      </c>
      <c r="CZ108" s="226" t="s">
        <v>541</v>
      </c>
      <c r="DA108" s="226" t="s">
        <v>541</v>
      </c>
      <c r="DB108" s="14"/>
      <c r="DC108" s="226" t="s">
        <v>541</v>
      </c>
      <c r="DD108" s="226" t="s">
        <v>541</v>
      </c>
      <c r="DE108" s="226" t="s">
        <v>541</v>
      </c>
      <c r="DF108" s="226" t="s">
        <v>541</v>
      </c>
      <c r="DG108" s="226" t="s">
        <v>541</v>
      </c>
      <c r="DH108" s="14"/>
    </row>
    <row r="109" spans="1:112" ht="12.75" customHeight="1" x14ac:dyDescent="0.25">
      <c r="A109" s="17" t="s">
        <v>406</v>
      </c>
      <c r="B109" s="17" t="s">
        <v>541</v>
      </c>
      <c r="C109" s="17" t="s">
        <v>257</v>
      </c>
      <c r="D109" s="17" t="s">
        <v>258</v>
      </c>
      <c r="E109" s="17" t="b">
        <f t="shared" si="21"/>
        <v>1</v>
      </c>
      <c r="F109" s="127" t="s">
        <v>406</v>
      </c>
      <c r="G109" s="248" t="s">
        <v>541</v>
      </c>
      <c r="H109" s="128" t="s">
        <v>257</v>
      </c>
      <c r="I109" s="128" t="s">
        <v>258</v>
      </c>
      <c r="J109" s="31"/>
      <c r="K109" s="102" t="s">
        <v>354</v>
      </c>
      <c r="L109" s="90"/>
      <c r="M109" s="111"/>
      <c r="N109" s="112"/>
      <c r="O109" s="113"/>
      <c r="P109" s="112"/>
      <c r="Q109" s="31"/>
      <c r="R109" s="102"/>
      <c r="S109" s="90"/>
      <c r="T109" s="88" t="str">
        <f t="shared" si="15"/>
        <v>NA</v>
      </c>
      <c r="U109" s="88" t="str">
        <f t="shared" si="16"/>
        <v>NA</v>
      </c>
      <c r="V109" s="111"/>
      <c r="W109" s="112"/>
      <c r="X109" s="113"/>
      <c r="Y109" s="112"/>
      <c r="Z109" s="31"/>
      <c r="AA109" s="296"/>
      <c r="AB109" s="89"/>
      <c r="AC109" s="88" t="str">
        <f t="shared" si="22"/>
        <v>NA</v>
      </c>
      <c r="AD109" s="88" t="str">
        <f t="shared" si="23"/>
        <v>NA</v>
      </c>
      <c r="AE109" s="111"/>
      <c r="AF109" s="112"/>
      <c r="AG109" s="113"/>
      <c r="AH109" s="112"/>
      <c r="AI109" s="31"/>
      <c r="AJ109" s="294"/>
      <c r="AK109" s="89"/>
      <c r="AL109" s="88" t="str">
        <f t="shared" si="24"/>
        <v>NA</v>
      </c>
      <c r="AM109" s="88" t="str">
        <f t="shared" si="25"/>
        <v>NA</v>
      </c>
      <c r="AN109" s="111"/>
      <c r="AO109" s="112"/>
      <c r="AP109" s="113"/>
      <c r="AQ109" s="112"/>
      <c r="AR109" s="31"/>
      <c r="AS109" s="32"/>
      <c r="AT109" s="90"/>
      <c r="AU109" s="88"/>
      <c r="AV109" s="88"/>
      <c r="AW109" s="111"/>
      <c r="AX109" s="112"/>
      <c r="AY109" s="113"/>
      <c r="AZ109" s="112"/>
      <c r="BA109" s="31"/>
      <c r="BB109" s="32"/>
      <c r="BC109" s="90"/>
      <c r="BD109" s="88"/>
      <c r="BE109" s="88"/>
      <c r="BF109" s="111"/>
      <c r="BG109" s="112"/>
      <c r="BH109" s="113"/>
      <c r="BI109" s="112"/>
      <c r="BJ109" s="31"/>
      <c r="BK109" s="32"/>
      <c r="BL109" s="90"/>
      <c r="BM109" s="88"/>
      <c r="BN109" s="88"/>
      <c r="BO109" s="111"/>
      <c r="BP109" s="112"/>
      <c r="BQ109" s="113"/>
      <c r="BR109" s="112"/>
      <c r="BS109" s="31"/>
      <c r="BT109" s="32"/>
      <c r="BU109" s="90"/>
      <c r="BV109" s="88"/>
      <c r="BW109" s="88"/>
      <c r="BX109" s="111"/>
      <c r="BY109" s="112"/>
      <c r="BZ109" s="113"/>
      <c r="CA109" s="112"/>
      <c r="CB109" s="31"/>
      <c r="CC109" s="32"/>
      <c r="CD109" s="90"/>
      <c r="CE109" s="88"/>
      <c r="CF109" s="88"/>
      <c r="CG109" s="111"/>
      <c r="CH109" s="112"/>
      <c r="CI109" s="113"/>
      <c r="CJ109" s="112"/>
      <c r="CK109" s="31"/>
      <c r="CL109" s="32"/>
      <c r="CM109" s="90"/>
      <c r="CN109" s="88"/>
      <c r="CO109" s="88"/>
      <c r="CP109" s="111"/>
      <c r="CQ109" s="112"/>
      <c r="CR109" s="113"/>
      <c r="CS109" s="112"/>
      <c r="CT109" s="55"/>
      <c r="CV109" s="230" t="s">
        <v>258</v>
      </c>
      <c r="CX109" s="226" t="s">
        <v>1425</v>
      </c>
      <c r="CY109" s="226" t="s">
        <v>1431</v>
      </c>
      <c r="CZ109" s="226" t="s">
        <v>541</v>
      </c>
      <c r="DA109" s="226" t="s">
        <v>541</v>
      </c>
      <c r="DB109" s="14"/>
      <c r="DC109" s="226" t="s">
        <v>541</v>
      </c>
      <c r="DD109" s="226" t="s">
        <v>541</v>
      </c>
      <c r="DE109" s="226" t="s">
        <v>541</v>
      </c>
      <c r="DF109" s="226" t="s">
        <v>541</v>
      </c>
      <c r="DG109" s="226" t="s">
        <v>541</v>
      </c>
      <c r="DH109" s="14"/>
    </row>
    <row r="110" spans="1:112" ht="12.75" customHeight="1" x14ac:dyDescent="0.25">
      <c r="A110" s="17" t="s">
        <v>407</v>
      </c>
      <c r="B110" s="17" t="s">
        <v>541</v>
      </c>
      <c r="C110" s="17" t="s">
        <v>255</v>
      </c>
      <c r="D110" s="17" t="s">
        <v>256</v>
      </c>
      <c r="E110" s="17" t="b">
        <f t="shared" si="21"/>
        <v>1</v>
      </c>
      <c r="F110" s="127" t="s">
        <v>407</v>
      </c>
      <c r="G110" s="248" t="s">
        <v>541</v>
      </c>
      <c r="H110" s="128" t="s">
        <v>255</v>
      </c>
      <c r="I110" s="128" t="s">
        <v>256</v>
      </c>
      <c r="J110" s="31"/>
      <c r="K110" s="102" t="s">
        <v>354</v>
      </c>
      <c r="L110" s="90"/>
      <c r="M110" s="111"/>
      <c r="N110" s="112"/>
      <c r="O110" s="113"/>
      <c r="P110" s="112"/>
      <c r="Q110" s="31"/>
      <c r="R110" s="102"/>
      <c r="S110" s="90"/>
      <c r="T110" s="88" t="str">
        <f t="shared" si="15"/>
        <v>NA</v>
      </c>
      <c r="U110" s="88" t="str">
        <f t="shared" si="16"/>
        <v>NA</v>
      </c>
      <c r="V110" s="111"/>
      <c r="W110" s="112"/>
      <c r="X110" s="113"/>
      <c r="Y110" s="112"/>
      <c r="Z110" s="31"/>
      <c r="AA110" s="296"/>
      <c r="AB110" s="89"/>
      <c r="AC110" s="88" t="str">
        <f t="shared" si="22"/>
        <v>NA</v>
      </c>
      <c r="AD110" s="88" t="str">
        <f t="shared" si="23"/>
        <v>NA</v>
      </c>
      <c r="AE110" s="111"/>
      <c r="AF110" s="112"/>
      <c r="AG110" s="113"/>
      <c r="AH110" s="112"/>
      <c r="AI110" s="31"/>
      <c r="AJ110" s="294"/>
      <c r="AK110" s="89"/>
      <c r="AL110" s="88" t="str">
        <f t="shared" si="24"/>
        <v>NA</v>
      </c>
      <c r="AM110" s="88" t="str">
        <f t="shared" si="25"/>
        <v>NA</v>
      </c>
      <c r="AN110" s="111"/>
      <c r="AO110" s="112"/>
      <c r="AP110" s="113"/>
      <c r="AQ110" s="112"/>
      <c r="AR110" s="31"/>
      <c r="AS110" s="32"/>
      <c r="AT110" s="90"/>
      <c r="AU110" s="88"/>
      <c r="AV110" s="88"/>
      <c r="AW110" s="111"/>
      <c r="AX110" s="112"/>
      <c r="AY110" s="113"/>
      <c r="AZ110" s="112"/>
      <c r="BA110" s="31"/>
      <c r="BB110" s="32"/>
      <c r="BC110" s="90"/>
      <c r="BD110" s="88"/>
      <c r="BE110" s="88"/>
      <c r="BF110" s="111"/>
      <c r="BG110" s="112"/>
      <c r="BH110" s="113"/>
      <c r="BI110" s="112"/>
      <c r="BJ110" s="31"/>
      <c r="BK110" s="32"/>
      <c r="BL110" s="90"/>
      <c r="BM110" s="88"/>
      <c r="BN110" s="88"/>
      <c r="BO110" s="111"/>
      <c r="BP110" s="112"/>
      <c r="BQ110" s="113"/>
      <c r="BR110" s="112"/>
      <c r="BS110" s="31"/>
      <c r="BT110" s="32"/>
      <c r="BU110" s="90"/>
      <c r="BV110" s="88"/>
      <c r="BW110" s="88"/>
      <c r="BX110" s="111"/>
      <c r="BY110" s="112"/>
      <c r="BZ110" s="113"/>
      <c r="CA110" s="112"/>
      <c r="CB110" s="31"/>
      <c r="CC110" s="32"/>
      <c r="CD110" s="90"/>
      <c r="CE110" s="88"/>
      <c r="CF110" s="88"/>
      <c r="CG110" s="111"/>
      <c r="CH110" s="112"/>
      <c r="CI110" s="113"/>
      <c r="CJ110" s="112"/>
      <c r="CK110" s="31"/>
      <c r="CL110" s="32"/>
      <c r="CM110" s="90"/>
      <c r="CN110" s="88"/>
      <c r="CO110" s="88"/>
      <c r="CP110" s="111"/>
      <c r="CQ110" s="112"/>
      <c r="CR110" s="113"/>
      <c r="CS110" s="112"/>
      <c r="CT110" s="55"/>
      <c r="CV110" s="230" t="s">
        <v>256</v>
      </c>
      <c r="CX110" s="226" t="s">
        <v>541</v>
      </c>
      <c r="CY110" s="226" t="s">
        <v>1431</v>
      </c>
      <c r="CZ110" s="226" t="s">
        <v>541</v>
      </c>
      <c r="DA110" s="226" t="s">
        <v>541</v>
      </c>
      <c r="DB110" s="14"/>
      <c r="DC110" s="226" t="s">
        <v>541</v>
      </c>
      <c r="DD110" s="226" t="s">
        <v>541</v>
      </c>
      <c r="DE110" s="226" t="s">
        <v>541</v>
      </c>
      <c r="DF110" s="226" t="s">
        <v>541</v>
      </c>
      <c r="DG110" s="226" t="s">
        <v>541</v>
      </c>
      <c r="DH110" s="14"/>
    </row>
    <row r="111" spans="1:112" ht="12.75" customHeight="1" x14ac:dyDescent="0.25">
      <c r="A111" s="17" t="s">
        <v>408</v>
      </c>
      <c r="B111" s="17" t="s">
        <v>541</v>
      </c>
      <c r="C111" s="17" t="s">
        <v>253</v>
      </c>
      <c r="D111" s="17" t="s">
        <v>254</v>
      </c>
      <c r="E111" s="17" t="b">
        <f t="shared" si="21"/>
        <v>1</v>
      </c>
      <c r="F111" s="127" t="s">
        <v>408</v>
      </c>
      <c r="G111" s="248" t="s">
        <v>541</v>
      </c>
      <c r="H111" s="128" t="s">
        <v>253</v>
      </c>
      <c r="I111" s="128" t="s">
        <v>254</v>
      </c>
      <c r="J111" s="31"/>
      <c r="K111" s="102" t="s">
        <v>354</v>
      </c>
      <c r="L111" s="90"/>
      <c r="M111" s="111"/>
      <c r="N111" s="112"/>
      <c r="O111" s="113"/>
      <c r="P111" s="112"/>
      <c r="Q111" s="31"/>
      <c r="R111" s="102"/>
      <c r="S111" s="90"/>
      <c r="T111" s="88" t="str">
        <f t="shared" si="15"/>
        <v>NA</v>
      </c>
      <c r="U111" s="88" t="str">
        <f t="shared" si="16"/>
        <v>NA</v>
      </c>
      <c r="V111" s="111"/>
      <c r="W111" s="112"/>
      <c r="X111" s="113"/>
      <c r="Y111" s="112"/>
      <c r="Z111" s="31"/>
      <c r="AA111" s="296"/>
      <c r="AB111" s="89"/>
      <c r="AC111" s="88" t="str">
        <f t="shared" si="22"/>
        <v>NA</v>
      </c>
      <c r="AD111" s="88" t="str">
        <f t="shared" si="23"/>
        <v>NA</v>
      </c>
      <c r="AE111" s="111"/>
      <c r="AF111" s="112"/>
      <c r="AG111" s="113"/>
      <c r="AH111" s="112"/>
      <c r="AI111" s="31"/>
      <c r="AJ111" s="294"/>
      <c r="AK111" s="89"/>
      <c r="AL111" s="88" t="str">
        <f t="shared" si="24"/>
        <v>NA</v>
      </c>
      <c r="AM111" s="88" t="str">
        <f t="shared" si="25"/>
        <v>NA</v>
      </c>
      <c r="AN111" s="111"/>
      <c r="AO111" s="112"/>
      <c r="AP111" s="113"/>
      <c r="AQ111" s="112"/>
      <c r="AR111" s="31"/>
      <c r="AS111" s="32"/>
      <c r="AT111" s="90"/>
      <c r="AU111" s="88"/>
      <c r="AV111" s="88"/>
      <c r="AW111" s="111"/>
      <c r="AX111" s="112"/>
      <c r="AY111" s="113"/>
      <c r="AZ111" s="112"/>
      <c r="BA111" s="31"/>
      <c r="BB111" s="32"/>
      <c r="BC111" s="90"/>
      <c r="BD111" s="88"/>
      <c r="BE111" s="88"/>
      <c r="BF111" s="111"/>
      <c r="BG111" s="112"/>
      <c r="BH111" s="113"/>
      <c r="BI111" s="112"/>
      <c r="BJ111" s="31"/>
      <c r="BK111" s="32"/>
      <c r="BL111" s="90"/>
      <c r="BM111" s="88"/>
      <c r="BN111" s="88"/>
      <c r="BO111" s="111"/>
      <c r="BP111" s="112"/>
      <c r="BQ111" s="113"/>
      <c r="BR111" s="112"/>
      <c r="BS111" s="31"/>
      <c r="BT111" s="32"/>
      <c r="BU111" s="90"/>
      <c r="BV111" s="88"/>
      <c r="BW111" s="88"/>
      <c r="BX111" s="111"/>
      <c r="BY111" s="112"/>
      <c r="BZ111" s="113"/>
      <c r="CA111" s="112"/>
      <c r="CB111" s="31"/>
      <c r="CC111" s="32"/>
      <c r="CD111" s="90"/>
      <c r="CE111" s="88"/>
      <c r="CF111" s="88"/>
      <c r="CG111" s="111"/>
      <c r="CH111" s="112"/>
      <c r="CI111" s="113"/>
      <c r="CJ111" s="112"/>
      <c r="CK111" s="31"/>
      <c r="CL111" s="32"/>
      <c r="CM111" s="90"/>
      <c r="CN111" s="88"/>
      <c r="CO111" s="88"/>
      <c r="CP111" s="111"/>
      <c r="CQ111" s="112"/>
      <c r="CR111" s="113"/>
      <c r="CS111" s="112"/>
      <c r="CT111" s="55"/>
      <c r="CV111" s="230" t="s">
        <v>254</v>
      </c>
      <c r="CX111" s="226" t="s">
        <v>541</v>
      </c>
      <c r="CY111" s="226" t="s">
        <v>1431</v>
      </c>
      <c r="CZ111" s="226" t="s">
        <v>541</v>
      </c>
      <c r="DA111" s="226" t="s">
        <v>541</v>
      </c>
      <c r="DB111" s="14"/>
      <c r="DC111" s="226" t="s">
        <v>541</v>
      </c>
      <c r="DD111" s="226" t="s">
        <v>541</v>
      </c>
      <c r="DE111" s="226" t="s">
        <v>541</v>
      </c>
      <c r="DF111" s="226" t="s">
        <v>541</v>
      </c>
      <c r="DG111" s="226" t="s">
        <v>541</v>
      </c>
      <c r="DH111" s="14"/>
    </row>
    <row r="112" spans="1:112" ht="12.75" customHeight="1" x14ac:dyDescent="0.25">
      <c r="A112" s="17" t="s">
        <v>409</v>
      </c>
      <c r="B112" s="17" t="s">
        <v>541</v>
      </c>
      <c r="C112" s="17" t="s">
        <v>251</v>
      </c>
      <c r="D112" s="17" t="s">
        <v>252</v>
      </c>
      <c r="E112" s="17" t="b">
        <f t="shared" si="21"/>
        <v>1</v>
      </c>
      <c r="F112" s="127" t="s">
        <v>409</v>
      </c>
      <c r="G112" s="248" t="s">
        <v>541</v>
      </c>
      <c r="H112" s="128" t="s">
        <v>251</v>
      </c>
      <c r="I112" s="128" t="s">
        <v>252</v>
      </c>
      <c r="J112" s="31"/>
      <c r="K112" s="102" t="s">
        <v>354</v>
      </c>
      <c r="L112" s="90"/>
      <c r="M112" s="111"/>
      <c r="N112" s="112"/>
      <c r="O112" s="113"/>
      <c r="P112" s="112"/>
      <c r="Q112" s="31"/>
      <c r="R112" s="102"/>
      <c r="S112" s="90"/>
      <c r="T112" s="88" t="str">
        <f t="shared" si="15"/>
        <v>NA</v>
      </c>
      <c r="U112" s="88" t="str">
        <f t="shared" si="16"/>
        <v>NA</v>
      </c>
      <c r="V112" s="111"/>
      <c r="W112" s="112"/>
      <c r="X112" s="113"/>
      <c r="Y112" s="112"/>
      <c r="Z112" s="31"/>
      <c r="AA112" s="296"/>
      <c r="AB112" s="89"/>
      <c r="AC112" s="88" t="str">
        <f t="shared" si="22"/>
        <v>NA</v>
      </c>
      <c r="AD112" s="88" t="str">
        <f t="shared" si="23"/>
        <v>NA</v>
      </c>
      <c r="AE112" s="111"/>
      <c r="AF112" s="112"/>
      <c r="AG112" s="113"/>
      <c r="AH112" s="112"/>
      <c r="AI112" s="31"/>
      <c r="AJ112" s="294"/>
      <c r="AK112" s="89"/>
      <c r="AL112" s="88" t="str">
        <f t="shared" si="24"/>
        <v>NA</v>
      </c>
      <c r="AM112" s="88" t="str">
        <f t="shared" si="25"/>
        <v>NA</v>
      </c>
      <c r="AN112" s="111"/>
      <c r="AO112" s="112"/>
      <c r="AP112" s="113"/>
      <c r="AQ112" s="112"/>
      <c r="AR112" s="31"/>
      <c r="AS112" s="32"/>
      <c r="AT112" s="90"/>
      <c r="AU112" s="88"/>
      <c r="AV112" s="88"/>
      <c r="AW112" s="111"/>
      <c r="AX112" s="112"/>
      <c r="AY112" s="113"/>
      <c r="AZ112" s="112"/>
      <c r="BA112" s="31"/>
      <c r="BB112" s="32"/>
      <c r="BC112" s="90"/>
      <c r="BD112" s="88"/>
      <c r="BE112" s="88"/>
      <c r="BF112" s="111"/>
      <c r="BG112" s="112"/>
      <c r="BH112" s="113"/>
      <c r="BI112" s="112"/>
      <c r="BJ112" s="31"/>
      <c r="BK112" s="32"/>
      <c r="BL112" s="90"/>
      <c r="BM112" s="88"/>
      <c r="BN112" s="88"/>
      <c r="BO112" s="111"/>
      <c r="BP112" s="112"/>
      <c r="BQ112" s="113"/>
      <c r="BR112" s="112"/>
      <c r="BS112" s="31"/>
      <c r="BT112" s="32"/>
      <c r="BU112" s="90"/>
      <c r="BV112" s="88"/>
      <c r="BW112" s="88"/>
      <c r="BX112" s="111"/>
      <c r="BY112" s="112"/>
      <c r="BZ112" s="113"/>
      <c r="CA112" s="112"/>
      <c r="CB112" s="31"/>
      <c r="CC112" s="32"/>
      <c r="CD112" s="90"/>
      <c r="CE112" s="88"/>
      <c r="CF112" s="88"/>
      <c r="CG112" s="111"/>
      <c r="CH112" s="112"/>
      <c r="CI112" s="113"/>
      <c r="CJ112" s="112"/>
      <c r="CK112" s="31"/>
      <c r="CL112" s="32"/>
      <c r="CM112" s="90"/>
      <c r="CN112" s="88"/>
      <c r="CO112" s="88"/>
      <c r="CP112" s="111"/>
      <c r="CQ112" s="112"/>
      <c r="CR112" s="113"/>
      <c r="CS112" s="112"/>
      <c r="CT112" s="55"/>
      <c r="CV112" s="230" t="s">
        <v>252</v>
      </c>
      <c r="CX112" s="226" t="s">
        <v>541</v>
      </c>
      <c r="CY112" s="226" t="s">
        <v>1431</v>
      </c>
      <c r="CZ112" s="226" t="s">
        <v>541</v>
      </c>
      <c r="DA112" s="226" t="s">
        <v>541</v>
      </c>
      <c r="DB112" s="14"/>
      <c r="DC112" s="226" t="s">
        <v>541</v>
      </c>
      <c r="DD112" s="226" t="s">
        <v>541</v>
      </c>
      <c r="DE112" s="226" t="s">
        <v>541</v>
      </c>
      <c r="DF112" s="226" t="s">
        <v>541</v>
      </c>
      <c r="DG112" s="226" t="s">
        <v>541</v>
      </c>
      <c r="DH112" s="14"/>
    </row>
    <row r="113" spans="1:112" ht="12.75" customHeight="1" x14ac:dyDescent="0.25">
      <c r="A113" s="17" t="s">
        <v>410</v>
      </c>
      <c r="B113" s="17" t="s">
        <v>541</v>
      </c>
      <c r="C113" s="17" t="s">
        <v>249</v>
      </c>
      <c r="D113" s="17" t="s">
        <v>250</v>
      </c>
      <c r="E113" s="17" t="b">
        <f t="shared" si="21"/>
        <v>1</v>
      </c>
      <c r="F113" s="127" t="s">
        <v>410</v>
      </c>
      <c r="G113" s="248" t="s">
        <v>541</v>
      </c>
      <c r="H113" s="128" t="s">
        <v>249</v>
      </c>
      <c r="I113" s="128" t="s">
        <v>250</v>
      </c>
      <c r="J113" s="31"/>
      <c r="K113" s="102" t="s">
        <v>354</v>
      </c>
      <c r="L113" s="90"/>
      <c r="M113" s="111"/>
      <c r="N113" s="112"/>
      <c r="O113" s="113"/>
      <c r="P113" s="112"/>
      <c r="Q113" s="31"/>
      <c r="R113" s="102"/>
      <c r="S113" s="90"/>
      <c r="T113" s="88" t="str">
        <f t="shared" si="15"/>
        <v>NA</v>
      </c>
      <c r="U113" s="88" t="str">
        <f t="shared" si="16"/>
        <v>NA</v>
      </c>
      <c r="V113" s="111"/>
      <c r="W113" s="112"/>
      <c r="X113" s="113"/>
      <c r="Y113" s="112"/>
      <c r="Z113" s="31"/>
      <c r="AA113" s="296"/>
      <c r="AB113" s="89"/>
      <c r="AC113" s="88" t="str">
        <f t="shared" si="22"/>
        <v>NA</v>
      </c>
      <c r="AD113" s="88" t="str">
        <f t="shared" si="23"/>
        <v>NA</v>
      </c>
      <c r="AE113" s="111"/>
      <c r="AF113" s="112"/>
      <c r="AG113" s="113"/>
      <c r="AH113" s="112"/>
      <c r="AI113" s="31"/>
      <c r="AJ113" s="294"/>
      <c r="AK113" s="89"/>
      <c r="AL113" s="88" t="str">
        <f t="shared" si="24"/>
        <v>NA</v>
      </c>
      <c r="AM113" s="88" t="str">
        <f t="shared" si="25"/>
        <v>NA</v>
      </c>
      <c r="AN113" s="111"/>
      <c r="AO113" s="112"/>
      <c r="AP113" s="113"/>
      <c r="AQ113" s="112"/>
      <c r="AR113" s="31"/>
      <c r="AS113" s="32"/>
      <c r="AT113" s="90"/>
      <c r="AU113" s="88"/>
      <c r="AV113" s="88"/>
      <c r="AW113" s="111"/>
      <c r="AX113" s="112"/>
      <c r="AY113" s="113"/>
      <c r="AZ113" s="112"/>
      <c r="BA113" s="31"/>
      <c r="BB113" s="32"/>
      <c r="BC113" s="90"/>
      <c r="BD113" s="88"/>
      <c r="BE113" s="88"/>
      <c r="BF113" s="111"/>
      <c r="BG113" s="112"/>
      <c r="BH113" s="113"/>
      <c r="BI113" s="112"/>
      <c r="BJ113" s="31"/>
      <c r="BK113" s="32"/>
      <c r="BL113" s="90"/>
      <c r="BM113" s="88"/>
      <c r="BN113" s="88"/>
      <c r="BO113" s="111"/>
      <c r="BP113" s="112"/>
      <c r="BQ113" s="113"/>
      <c r="BR113" s="112"/>
      <c r="BS113" s="31"/>
      <c r="BT113" s="32"/>
      <c r="BU113" s="90"/>
      <c r="BV113" s="88"/>
      <c r="BW113" s="88"/>
      <c r="BX113" s="111"/>
      <c r="BY113" s="112"/>
      <c r="BZ113" s="113"/>
      <c r="CA113" s="112"/>
      <c r="CB113" s="31"/>
      <c r="CC113" s="32"/>
      <c r="CD113" s="90"/>
      <c r="CE113" s="88"/>
      <c r="CF113" s="88"/>
      <c r="CG113" s="111"/>
      <c r="CH113" s="112"/>
      <c r="CI113" s="113"/>
      <c r="CJ113" s="112"/>
      <c r="CK113" s="31"/>
      <c r="CL113" s="32"/>
      <c r="CM113" s="90"/>
      <c r="CN113" s="88"/>
      <c r="CO113" s="88"/>
      <c r="CP113" s="111"/>
      <c r="CQ113" s="112"/>
      <c r="CR113" s="113"/>
      <c r="CS113" s="112"/>
      <c r="CT113" s="55"/>
      <c r="CV113" s="230" t="s">
        <v>250</v>
      </c>
      <c r="CX113" s="226" t="s">
        <v>541</v>
      </c>
      <c r="CY113" s="226" t="s">
        <v>1431</v>
      </c>
      <c r="CZ113" s="226" t="s">
        <v>541</v>
      </c>
      <c r="DA113" s="226" t="s">
        <v>541</v>
      </c>
      <c r="DB113" s="14"/>
      <c r="DC113" s="226" t="s">
        <v>541</v>
      </c>
      <c r="DD113" s="226" t="s">
        <v>541</v>
      </c>
      <c r="DE113" s="226" t="s">
        <v>541</v>
      </c>
      <c r="DF113" s="226" t="s">
        <v>541</v>
      </c>
      <c r="DG113" s="226" t="s">
        <v>541</v>
      </c>
      <c r="DH113" s="14"/>
    </row>
    <row r="114" spans="1:112" ht="12.75" customHeight="1" x14ac:dyDescent="0.25">
      <c r="A114" s="17" t="s">
        <v>411</v>
      </c>
      <c r="B114" s="17" t="s">
        <v>541</v>
      </c>
      <c r="C114" s="17" t="s">
        <v>247</v>
      </c>
      <c r="D114" s="17" t="s">
        <v>248</v>
      </c>
      <c r="E114" s="17" t="b">
        <f t="shared" si="21"/>
        <v>1</v>
      </c>
      <c r="F114" s="127" t="s">
        <v>411</v>
      </c>
      <c r="G114" s="248" t="s">
        <v>541</v>
      </c>
      <c r="H114" s="128" t="s">
        <v>247</v>
      </c>
      <c r="I114" s="128" t="s">
        <v>248</v>
      </c>
      <c r="J114" s="31"/>
      <c r="K114" s="102" t="s">
        <v>354</v>
      </c>
      <c r="L114" s="90"/>
      <c r="M114" s="111"/>
      <c r="N114" s="112"/>
      <c r="O114" s="113"/>
      <c r="P114" s="112"/>
      <c r="Q114" s="31"/>
      <c r="R114" s="102"/>
      <c r="S114" s="90"/>
      <c r="T114" s="88" t="str">
        <f t="shared" si="15"/>
        <v>NA</v>
      </c>
      <c r="U114" s="88" t="str">
        <f t="shared" si="16"/>
        <v>NA</v>
      </c>
      <c r="V114" s="111"/>
      <c r="W114" s="112"/>
      <c r="X114" s="113"/>
      <c r="Y114" s="112"/>
      <c r="Z114" s="31"/>
      <c r="AA114" s="296"/>
      <c r="AB114" s="89"/>
      <c r="AC114" s="88" t="str">
        <f t="shared" si="22"/>
        <v>NA</v>
      </c>
      <c r="AD114" s="88" t="str">
        <f t="shared" si="23"/>
        <v>NA</v>
      </c>
      <c r="AE114" s="111"/>
      <c r="AF114" s="112"/>
      <c r="AG114" s="113"/>
      <c r="AH114" s="112"/>
      <c r="AI114" s="31"/>
      <c r="AJ114" s="294"/>
      <c r="AK114" s="89"/>
      <c r="AL114" s="88" t="str">
        <f t="shared" si="24"/>
        <v>NA</v>
      </c>
      <c r="AM114" s="88" t="str">
        <f t="shared" si="25"/>
        <v>NA</v>
      </c>
      <c r="AN114" s="111"/>
      <c r="AO114" s="112"/>
      <c r="AP114" s="113"/>
      <c r="AQ114" s="112"/>
      <c r="AR114" s="31"/>
      <c r="AS114" s="32"/>
      <c r="AT114" s="90"/>
      <c r="AU114" s="88"/>
      <c r="AV114" s="88"/>
      <c r="AW114" s="111"/>
      <c r="AX114" s="112"/>
      <c r="AY114" s="113"/>
      <c r="AZ114" s="112"/>
      <c r="BA114" s="31"/>
      <c r="BB114" s="32"/>
      <c r="BC114" s="90"/>
      <c r="BD114" s="88"/>
      <c r="BE114" s="88"/>
      <c r="BF114" s="111"/>
      <c r="BG114" s="112"/>
      <c r="BH114" s="113"/>
      <c r="BI114" s="112"/>
      <c r="BJ114" s="31"/>
      <c r="BK114" s="32"/>
      <c r="BL114" s="90"/>
      <c r="BM114" s="88"/>
      <c r="BN114" s="88"/>
      <c r="BO114" s="111"/>
      <c r="BP114" s="112"/>
      <c r="BQ114" s="113"/>
      <c r="BR114" s="112"/>
      <c r="BS114" s="31"/>
      <c r="BT114" s="32"/>
      <c r="BU114" s="90"/>
      <c r="BV114" s="88"/>
      <c r="BW114" s="88"/>
      <c r="BX114" s="111"/>
      <c r="BY114" s="112"/>
      <c r="BZ114" s="113"/>
      <c r="CA114" s="112"/>
      <c r="CB114" s="31"/>
      <c r="CC114" s="32"/>
      <c r="CD114" s="90"/>
      <c r="CE114" s="88"/>
      <c r="CF114" s="88"/>
      <c r="CG114" s="111"/>
      <c r="CH114" s="112"/>
      <c r="CI114" s="113"/>
      <c r="CJ114" s="112"/>
      <c r="CK114" s="31"/>
      <c r="CL114" s="32"/>
      <c r="CM114" s="90"/>
      <c r="CN114" s="88"/>
      <c r="CO114" s="88"/>
      <c r="CP114" s="111"/>
      <c r="CQ114" s="112"/>
      <c r="CR114" s="113"/>
      <c r="CS114" s="112"/>
      <c r="CT114" s="55"/>
      <c r="CV114" s="230" t="s">
        <v>248</v>
      </c>
      <c r="CX114" s="226" t="s">
        <v>541</v>
      </c>
      <c r="CY114" s="226" t="s">
        <v>1431</v>
      </c>
      <c r="CZ114" s="226" t="s">
        <v>541</v>
      </c>
      <c r="DA114" s="226" t="s">
        <v>541</v>
      </c>
      <c r="DB114" s="14"/>
      <c r="DC114" s="226" t="s">
        <v>541</v>
      </c>
      <c r="DD114" s="226" t="s">
        <v>541</v>
      </c>
      <c r="DE114" s="226" t="s">
        <v>541</v>
      </c>
      <c r="DF114" s="226" t="s">
        <v>541</v>
      </c>
      <c r="DG114" s="226" t="s">
        <v>541</v>
      </c>
      <c r="DH114" s="14"/>
    </row>
    <row r="115" spans="1:112" ht="12.75" customHeight="1" x14ac:dyDescent="0.25">
      <c r="A115" s="17" t="s">
        <v>412</v>
      </c>
      <c r="B115" s="17" t="s">
        <v>541</v>
      </c>
      <c r="C115" s="17" t="s">
        <v>245</v>
      </c>
      <c r="D115" s="17" t="s">
        <v>246</v>
      </c>
      <c r="E115" s="17" t="b">
        <f t="shared" si="21"/>
        <v>1</v>
      </c>
      <c r="F115" s="127" t="s">
        <v>412</v>
      </c>
      <c r="G115" s="248" t="s">
        <v>541</v>
      </c>
      <c r="H115" s="128" t="s">
        <v>245</v>
      </c>
      <c r="I115" s="128" t="s">
        <v>246</v>
      </c>
      <c r="J115" s="31"/>
      <c r="K115" s="102" t="s">
        <v>354</v>
      </c>
      <c r="L115" s="90"/>
      <c r="M115" s="111"/>
      <c r="N115" s="112"/>
      <c r="O115" s="113"/>
      <c r="P115" s="112"/>
      <c r="Q115" s="31"/>
      <c r="R115" s="102"/>
      <c r="S115" s="90"/>
      <c r="T115" s="88" t="str">
        <f t="shared" si="15"/>
        <v>NA</v>
      </c>
      <c r="U115" s="88" t="str">
        <f t="shared" si="16"/>
        <v>NA</v>
      </c>
      <c r="V115" s="111"/>
      <c r="W115" s="112"/>
      <c r="X115" s="113"/>
      <c r="Y115" s="112"/>
      <c r="Z115" s="31"/>
      <c r="AA115" s="296"/>
      <c r="AB115" s="89"/>
      <c r="AC115" s="88" t="str">
        <f t="shared" si="22"/>
        <v>NA</v>
      </c>
      <c r="AD115" s="88" t="str">
        <f t="shared" si="23"/>
        <v>NA</v>
      </c>
      <c r="AE115" s="111"/>
      <c r="AF115" s="112"/>
      <c r="AG115" s="113"/>
      <c r="AH115" s="112"/>
      <c r="AI115" s="31"/>
      <c r="AJ115" s="294"/>
      <c r="AK115" s="89"/>
      <c r="AL115" s="88" t="str">
        <f t="shared" si="24"/>
        <v>NA</v>
      </c>
      <c r="AM115" s="88" t="str">
        <f t="shared" si="25"/>
        <v>NA</v>
      </c>
      <c r="AN115" s="111"/>
      <c r="AO115" s="112"/>
      <c r="AP115" s="113"/>
      <c r="AQ115" s="112"/>
      <c r="AR115" s="31"/>
      <c r="AS115" s="32"/>
      <c r="AT115" s="90"/>
      <c r="AU115" s="88"/>
      <c r="AV115" s="88"/>
      <c r="AW115" s="111"/>
      <c r="AX115" s="112"/>
      <c r="AY115" s="113"/>
      <c r="AZ115" s="112"/>
      <c r="BA115" s="31"/>
      <c r="BB115" s="32"/>
      <c r="BC115" s="90"/>
      <c r="BD115" s="88"/>
      <c r="BE115" s="88"/>
      <c r="BF115" s="111"/>
      <c r="BG115" s="112"/>
      <c r="BH115" s="113"/>
      <c r="BI115" s="112"/>
      <c r="BJ115" s="31"/>
      <c r="BK115" s="32"/>
      <c r="BL115" s="90"/>
      <c r="BM115" s="88"/>
      <c r="BN115" s="88"/>
      <c r="BO115" s="111"/>
      <c r="BP115" s="112"/>
      <c r="BQ115" s="113"/>
      <c r="BR115" s="112"/>
      <c r="BS115" s="31"/>
      <c r="BT115" s="32"/>
      <c r="BU115" s="90"/>
      <c r="BV115" s="88"/>
      <c r="BW115" s="88"/>
      <c r="BX115" s="111"/>
      <c r="BY115" s="112"/>
      <c r="BZ115" s="113"/>
      <c r="CA115" s="112"/>
      <c r="CB115" s="31"/>
      <c r="CC115" s="32"/>
      <c r="CD115" s="90"/>
      <c r="CE115" s="88"/>
      <c r="CF115" s="88"/>
      <c r="CG115" s="111"/>
      <c r="CH115" s="112"/>
      <c r="CI115" s="113"/>
      <c r="CJ115" s="112"/>
      <c r="CK115" s="31"/>
      <c r="CL115" s="32"/>
      <c r="CM115" s="90"/>
      <c r="CN115" s="88"/>
      <c r="CO115" s="88"/>
      <c r="CP115" s="111"/>
      <c r="CQ115" s="112"/>
      <c r="CR115" s="113"/>
      <c r="CS115" s="112"/>
      <c r="CT115" s="55"/>
      <c r="CV115" s="230" t="s">
        <v>246</v>
      </c>
      <c r="CX115" s="226" t="s">
        <v>541</v>
      </c>
      <c r="CY115" s="226" t="s">
        <v>1431</v>
      </c>
      <c r="CZ115" s="226" t="s">
        <v>541</v>
      </c>
      <c r="DA115" s="226" t="s">
        <v>541</v>
      </c>
      <c r="DB115" s="14"/>
      <c r="DC115" s="226" t="s">
        <v>541</v>
      </c>
      <c r="DD115" s="226" t="s">
        <v>541</v>
      </c>
      <c r="DE115" s="226" t="s">
        <v>541</v>
      </c>
      <c r="DF115" s="226" t="s">
        <v>541</v>
      </c>
      <c r="DG115" s="226" t="s">
        <v>541</v>
      </c>
      <c r="DH115" s="14"/>
    </row>
    <row r="116" spans="1:112" ht="12.75" customHeight="1" x14ac:dyDescent="0.25">
      <c r="A116" s="17" t="s">
        <v>413</v>
      </c>
      <c r="B116" s="17" t="s">
        <v>541</v>
      </c>
      <c r="C116" s="17" t="s">
        <v>243</v>
      </c>
      <c r="D116" s="17" t="s">
        <v>244</v>
      </c>
      <c r="E116" s="17" t="b">
        <f t="shared" si="21"/>
        <v>1</v>
      </c>
      <c r="F116" s="127" t="s">
        <v>413</v>
      </c>
      <c r="G116" s="248" t="s">
        <v>541</v>
      </c>
      <c r="H116" s="128" t="s">
        <v>243</v>
      </c>
      <c r="I116" s="128" t="s">
        <v>244</v>
      </c>
      <c r="J116" s="31"/>
      <c r="K116" s="102" t="s">
        <v>354</v>
      </c>
      <c r="L116" s="90"/>
      <c r="M116" s="111"/>
      <c r="N116" s="112"/>
      <c r="O116" s="113"/>
      <c r="P116" s="112"/>
      <c r="Q116" s="31"/>
      <c r="R116" s="102"/>
      <c r="S116" s="90"/>
      <c r="T116" s="88" t="str">
        <f t="shared" si="15"/>
        <v>NA</v>
      </c>
      <c r="U116" s="88" t="str">
        <f t="shared" si="16"/>
        <v>NA</v>
      </c>
      <c r="V116" s="111"/>
      <c r="W116" s="112"/>
      <c r="X116" s="113"/>
      <c r="Y116" s="112"/>
      <c r="Z116" s="31"/>
      <c r="AA116" s="296"/>
      <c r="AB116" s="89"/>
      <c r="AC116" s="88" t="str">
        <f t="shared" si="22"/>
        <v>NA</v>
      </c>
      <c r="AD116" s="88" t="str">
        <f t="shared" si="23"/>
        <v>NA</v>
      </c>
      <c r="AE116" s="111"/>
      <c r="AF116" s="112"/>
      <c r="AG116" s="113"/>
      <c r="AH116" s="112"/>
      <c r="AI116" s="31"/>
      <c r="AJ116" s="294"/>
      <c r="AK116" s="89"/>
      <c r="AL116" s="88" t="str">
        <f t="shared" si="24"/>
        <v>NA</v>
      </c>
      <c r="AM116" s="88" t="str">
        <f t="shared" si="25"/>
        <v>NA</v>
      </c>
      <c r="AN116" s="111"/>
      <c r="AO116" s="112"/>
      <c r="AP116" s="113"/>
      <c r="AQ116" s="112"/>
      <c r="AR116" s="31"/>
      <c r="AS116" s="32"/>
      <c r="AT116" s="90"/>
      <c r="AU116" s="88"/>
      <c r="AV116" s="88"/>
      <c r="AW116" s="111"/>
      <c r="AX116" s="112"/>
      <c r="AY116" s="113"/>
      <c r="AZ116" s="112"/>
      <c r="BA116" s="31"/>
      <c r="BB116" s="32"/>
      <c r="BC116" s="90"/>
      <c r="BD116" s="88"/>
      <c r="BE116" s="88"/>
      <c r="BF116" s="111"/>
      <c r="BG116" s="112"/>
      <c r="BH116" s="113"/>
      <c r="BI116" s="112"/>
      <c r="BJ116" s="31"/>
      <c r="BK116" s="32"/>
      <c r="BL116" s="90"/>
      <c r="BM116" s="88"/>
      <c r="BN116" s="88"/>
      <c r="BO116" s="111"/>
      <c r="BP116" s="112"/>
      <c r="BQ116" s="113"/>
      <c r="BR116" s="112"/>
      <c r="BS116" s="31"/>
      <c r="BT116" s="32"/>
      <c r="BU116" s="90"/>
      <c r="BV116" s="88"/>
      <c r="BW116" s="88"/>
      <c r="BX116" s="111"/>
      <c r="BY116" s="112"/>
      <c r="BZ116" s="113"/>
      <c r="CA116" s="112"/>
      <c r="CB116" s="31"/>
      <c r="CC116" s="32"/>
      <c r="CD116" s="90"/>
      <c r="CE116" s="88"/>
      <c r="CF116" s="88"/>
      <c r="CG116" s="111"/>
      <c r="CH116" s="112"/>
      <c r="CI116" s="113"/>
      <c r="CJ116" s="112"/>
      <c r="CK116" s="31"/>
      <c r="CL116" s="32"/>
      <c r="CM116" s="90"/>
      <c r="CN116" s="88"/>
      <c r="CO116" s="88"/>
      <c r="CP116" s="111"/>
      <c r="CQ116" s="112"/>
      <c r="CR116" s="113"/>
      <c r="CS116" s="112"/>
      <c r="CT116" s="55"/>
      <c r="CV116" s="230" t="s">
        <v>244</v>
      </c>
      <c r="CX116" s="226" t="s">
        <v>541</v>
      </c>
      <c r="CY116" s="226" t="s">
        <v>1431</v>
      </c>
      <c r="CZ116" s="226" t="s">
        <v>541</v>
      </c>
      <c r="DA116" s="226" t="s">
        <v>541</v>
      </c>
      <c r="DB116" s="14"/>
      <c r="DC116" s="226" t="s">
        <v>541</v>
      </c>
      <c r="DD116" s="226" t="s">
        <v>541</v>
      </c>
      <c r="DE116" s="226" t="s">
        <v>541</v>
      </c>
      <c r="DF116" s="226" t="s">
        <v>541</v>
      </c>
      <c r="DG116" s="226" t="s">
        <v>541</v>
      </c>
      <c r="DH116" s="14"/>
    </row>
    <row r="117" spans="1:112" ht="12.75" customHeight="1" x14ac:dyDescent="0.25">
      <c r="A117" s="17" t="s">
        <v>414</v>
      </c>
      <c r="B117" s="17" t="s">
        <v>541</v>
      </c>
      <c r="C117" s="17" t="s">
        <v>241</v>
      </c>
      <c r="D117" s="17" t="s">
        <v>242</v>
      </c>
      <c r="E117" s="17" t="b">
        <f t="shared" si="21"/>
        <v>1</v>
      </c>
      <c r="F117" s="127" t="s">
        <v>414</v>
      </c>
      <c r="G117" s="248" t="s">
        <v>541</v>
      </c>
      <c r="H117" s="128" t="s">
        <v>241</v>
      </c>
      <c r="I117" s="128" t="s">
        <v>242</v>
      </c>
      <c r="J117" s="31"/>
      <c r="K117" s="102" t="s">
        <v>354</v>
      </c>
      <c r="L117" s="90"/>
      <c r="M117" s="111"/>
      <c r="N117" s="112"/>
      <c r="O117" s="113"/>
      <c r="P117" s="112"/>
      <c r="Q117" s="31"/>
      <c r="R117" s="102"/>
      <c r="S117" s="90"/>
      <c r="T117" s="88" t="str">
        <f t="shared" si="15"/>
        <v>NA</v>
      </c>
      <c r="U117" s="88" t="str">
        <f t="shared" si="16"/>
        <v>NA</v>
      </c>
      <c r="V117" s="111"/>
      <c r="W117" s="112"/>
      <c r="X117" s="113"/>
      <c r="Y117" s="112"/>
      <c r="Z117" s="31"/>
      <c r="AA117" s="296"/>
      <c r="AB117" s="89"/>
      <c r="AC117" s="88" t="str">
        <f t="shared" si="22"/>
        <v>NA</v>
      </c>
      <c r="AD117" s="88" t="str">
        <f t="shared" si="23"/>
        <v>NA</v>
      </c>
      <c r="AE117" s="111"/>
      <c r="AF117" s="112"/>
      <c r="AG117" s="113"/>
      <c r="AH117" s="112"/>
      <c r="AI117" s="31"/>
      <c r="AJ117" s="294"/>
      <c r="AK117" s="89"/>
      <c r="AL117" s="88" t="str">
        <f t="shared" si="24"/>
        <v>NA</v>
      </c>
      <c r="AM117" s="88" t="str">
        <f t="shared" si="25"/>
        <v>NA</v>
      </c>
      <c r="AN117" s="111"/>
      <c r="AO117" s="112"/>
      <c r="AP117" s="113"/>
      <c r="AQ117" s="112"/>
      <c r="AR117" s="31"/>
      <c r="AS117" s="32"/>
      <c r="AT117" s="90"/>
      <c r="AU117" s="88"/>
      <c r="AV117" s="88"/>
      <c r="AW117" s="111"/>
      <c r="AX117" s="112"/>
      <c r="AY117" s="113"/>
      <c r="AZ117" s="112"/>
      <c r="BA117" s="31"/>
      <c r="BB117" s="32"/>
      <c r="BC117" s="90"/>
      <c r="BD117" s="88"/>
      <c r="BE117" s="88"/>
      <c r="BF117" s="111"/>
      <c r="BG117" s="112"/>
      <c r="BH117" s="113"/>
      <c r="BI117" s="112"/>
      <c r="BJ117" s="31"/>
      <c r="BK117" s="32"/>
      <c r="BL117" s="90"/>
      <c r="BM117" s="88"/>
      <c r="BN117" s="88"/>
      <c r="BO117" s="111"/>
      <c r="BP117" s="112"/>
      <c r="BQ117" s="113"/>
      <c r="BR117" s="112"/>
      <c r="BS117" s="31"/>
      <c r="BT117" s="32"/>
      <c r="BU117" s="90"/>
      <c r="BV117" s="88"/>
      <c r="BW117" s="88"/>
      <c r="BX117" s="111"/>
      <c r="BY117" s="112"/>
      <c r="BZ117" s="113"/>
      <c r="CA117" s="112"/>
      <c r="CB117" s="31"/>
      <c r="CC117" s="32"/>
      <c r="CD117" s="90"/>
      <c r="CE117" s="88"/>
      <c r="CF117" s="88"/>
      <c r="CG117" s="111"/>
      <c r="CH117" s="112"/>
      <c r="CI117" s="113"/>
      <c r="CJ117" s="112"/>
      <c r="CK117" s="31"/>
      <c r="CL117" s="32"/>
      <c r="CM117" s="90"/>
      <c r="CN117" s="88"/>
      <c r="CO117" s="88"/>
      <c r="CP117" s="111"/>
      <c r="CQ117" s="112"/>
      <c r="CR117" s="113"/>
      <c r="CS117" s="112"/>
      <c r="CT117" s="55"/>
      <c r="CV117" s="230" t="s">
        <v>242</v>
      </c>
      <c r="CX117" s="226" t="s">
        <v>541</v>
      </c>
      <c r="CY117" s="226" t="s">
        <v>1431</v>
      </c>
      <c r="CZ117" s="226" t="s">
        <v>541</v>
      </c>
      <c r="DA117" s="226" t="s">
        <v>541</v>
      </c>
      <c r="DB117" s="14"/>
      <c r="DC117" s="226" t="s">
        <v>541</v>
      </c>
      <c r="DD117" s="226" t="s">
        <v>541</v>
      </c>
      <c r="DE117" s="226" t="s">
        <v>541</v>
      </c>
      <c r="DF117" s="226" t="s">
        <v>541</v>
      </c>
      <c r="DG117" s="226" t="s">
        <v>541</v>
      </c>
      <c r="DH117" s="14"/>
    </row>
    <row r="118" spans="1:112" ht="12.75" customHeight="1" x14ac:dyDescent="0.25">
      <c r="A118" s="17" t="s">
        <v>415</v>
      </c>
      <c r="B118" s="17" t="s">
        <v>541</v>
      </c>
      <c r="C118" s="17" t="s">
        <v>29</v>
      </c>
      <c r="D118" s="17" t="s">
        <v>240</v>
      </c>
      <c r="E118" s="17" t="b">
        <f t="shared" si="21"/>
        <v>1</v>
      </c>
      <c r="F118" s="127" t="s">
        <v>415</v>
      </c>
      <c r="G118" s="248" t="s">
        <v>541</v>
      </c>
      <c r="H118" s="128" t="s">
        <v>29</v>
      </c>
      <c r="I118" s="128" t="s">
        <v>240</v>
      </c>
      <c r="J118" s="31"/>
      <c r="K118" s="102" t="s">
        <v>354</v>
      </c>
      <c r="L118" s="90"/>
      <c r="M118" s="111"/>
      <c r="N118" s="112"/>
      <c r="O118" s="113"/>
      <c r="P118" s="112"/>
      <c r="Q118" s="31"/>
      <c r="R118" s="102"/>
      <c r="S118" s="90"/>
      <c r="T118" s="88" t="str">
        <f t="shared" si="15"/>
        <v>NA</v>
      </c>
      <c r="U118" s="88" t="str">
        <f t="shared" si="16"/>
        <v>NA</v>
      </c>
      <c r="V118" s="111"/>
      <c r="W118" s="112"/>
      <c r="X118" s="113"/>
      <c r="Y118" s="112"/>
      <c r="Z118" s="31"/>
      <c r="AA118" s="296"/>
      <c r="AB118" s="89"/>
      <c r="AC118" s="88" t="str">
        <f t="shared" si="22"/>
        <v>NA</v>
      </c>
      <c r="AD118" s="88" t="str">
        <f t="shared" si="23"/>
        <v>NA</v>
      </c>
      <c r="AE118" s="111"/>
      <c r="AF118" s="112"/>
      <c r="AG118" s="113"/>
      <c r="AH118" s="112"/>
      <c r="AI118" s="31"/>
      <c r="AJ118" s="294"/>
      <c r="AK118" s="89"/>
      <c r="AL118" s="88" t="str">
        <f t="shared" si="24"/>
        <v>NA</v>
      </c>
      <c r="AM118" s="88" t="str">
        <f t="shared" si="25"/>
        <v>NA</v>
      </c>
      <c r="AN118" s="111"/>
      <c r="AO118" s="112"/>
      <c r="AP118" s="113"/>
      <c r="AQ118" s="112"/>
      <c r="AR118" s="31"/>
      <c r="AS118" s="32"/>
      <c r="AT118" s="90"/>
      <c r="AU118" s="88"/>
      <c r="AV118" s="88"/>
      <c r="AW118" s="111"/>
      <c r="AX118" s="112"/>
      <c r="AY118" s="113"/>
      <c r="AZ118" s="112"/>
      <c r="BA118" s="31"/>
      <c r="BB118" s="32"/>
      <c r="BC118" s="90"/>
      <c r="BD118" s="88"/>
      <c r="BE118" s="88"/>
      <c r="BF118" s="111"/>
      <c r="BG118" s="112"/>
      <c r="BH118" s="113"/>
      <c r="BI118" s="112"/>
      <c r="BJ118" s="31"/>
      <c r="BK118" s="32"/>
      <c r="BL118" s="90"/>
      <c r="BM118" s="88"/>
      <c r="BN118" s="88"/>
      <c r="BO118" s="111"/>
      <c r="BP118" s="112"/>
      <c r="BQ118" s="113"/>
      <c r="BR118" s="112"/>
      <c r="BS118" s="31"/>
      <c r="BT118" s="32"/>
      <c r="BU118" s="90"/>
      <c r="BV118" s="88"/>
      <c r="BW118" s="88"/>
      <c r="BX118" s="111"/>
      <c r="BY118" s="112"/>
      <c r="BZ118" s="113"/>
      <c r="CA118" s="112"/>
      <c r="CB118" s="31"/>
      <c r="CC118" s="32"/>
      <c r="CD118" s="90"/>
      <c r="CE118" s="88"/>
      <c r="CF118" s="88"/>
      <c r="CG118" s="111"/>
      <c r="CH118" s="112"/>
      <c r="CI118" s="113"/>
      <c r="CJ118" s="112"/>
      <c r="CK118" s="31"/>
      <c r="CL118" s="32"/>
      <c r="CM118" s="90"/>
      <c r="CN118" s="88"/>
      <c r="CO118" s="88"/>
      <c r="CP118" s="111"/>
      <c r="CQ118" s="112"/>
      <c r="CR118" s="113"/>
      <c r="CS118" s="112"/>
      <c r="CT118" s="55"/>
      <c r="CV118" s="230" t="s">
        <v>240</v>
      </c>
      <c r="CX118" s="226" t="s">
        <v>541</v>
      </c>
      <c r="CY118" s="226" t="s">
        <v>1431</v>
      </c>
      <c r="CZ118" s="226" t="s">
        <v>541</v>
      </c>
      <c r="DA118" s="226" t="s">
        <v>541</v>
      </c>
      <c r="DB118" s="14"/>
      <c r="DC118" s="226" t="s">
        <v>541</v>
      </c>
      <c r="DD118" s="226" t="s">
        <v>541</v>
      </c>
      <c r="DE118" s="226" t="s">
        <v>541</v>
      </c>
      <c r="DF118" s="226" t="s">
        <v>541</v>
      </c>
      <c r="DG118" s="226" t="s">
        <v>541</v>
      </c>
      <c r="DH118" s="14"/>
    </row>
    <row r="119" spans="1:112" ht="12.75" customHeight="1" x14ac:dyDescent="0.25">
      <c r="A119" s="17" t="s">
        <v>416</v>
      </c>
      <c r="B119" s="17" t="s">
        <v>541</v>
      </c>
      <c r="C119" s="17" t="s">
        <v>238</v>
      </c>
      <c r="D119" s="17" t="s">
        <v>239</v>
      </c>
      <c r="E119" s="17" t="b">
        <f t="shared" si="21"/>
        <v>1</v>
      </c>
      <c r="F119" s="127" t="s">
        <v>416</v>
      </c>
      <c r="G119" s="248" t="s">
        <v>541</v>
      </c>
      <c r="H119" s="128" t="s">
        <v>238</v>
      </c>
      <c r="I119" s="128" t="s">
        <v>239</v>
      </c>
      <c r="J119" s="31"/>
      <c r="K119" s="102" t="s">
        <v>354</v>
      </c>
      <c r="L119" s="90"/>
      <c r="M119" s="111"/>
      <c r="N119" s="112"/>
      <c r="O119" s="113"/>
      <c r="P119" s="112"/>
      <c r="Q119" s="31"/>
      <c r="R119" s="102"/>
      <c r="S119" s="90"/>
      <c r="T119" s="88" t="str">
        <f t="shared" si="15"/>
        <v>NA</v>
      </c>
      <c r="U119" s="88" t="str">
        <f t="shared" si="16"/>
        <v>NA</v>
      </c>
      <c r="V119" s="111"/>
      <c r="W119" s="112"/>
      <c r="X119" s="113"/>
      <c r="Y119" s="112"/>
      <c r="Z119" s="31"/>
      <c r="AA119" s="296"/>
      <c r="AB119" s="89"/>
      <c r="AC119" s="88" t="str">
        <f t="shared" si="22"/>
        <v>NA</v>
      </c>
      <c r="AD119" s="88" t="str">
        <f t="shared" si="23"/>
        <v>NA</v>
      </c>
      <c r="AE119" s="111"/>
      <c r="AF119" s="112"/>
      <c r="AG119" s="113"/>
      <c r="AH119" s="112"/>
      <c r="AI119" s="31"/>
      <c r="AJ119" s="294"/>
      <c r="AK119" s="89"/>
      <c r="AL119" s="88" t="str">
        <f t="shared" si="24"/>
        <v>NA</v>
      </c>
      <c r="AM119" s="88" t="str">
        <f t="shared" si="25"/>
        <v>NA</v>
      </c>
      <c r="AN119" s="111"/>
      <c r="AO119" s="112"/>
      <c r="AP119" s="113"/>
      <c r="AQ119" s="112"/>
      <c r="AR119" s="31"/>
      <c r="AS119" s="32"/>
      <c r="AT119" s="90"/>
      <c r="AU119" s="88"/>
      <c r="AV119" s="88"/>
      <c r="AW119" s="111"/>
      <c r="AX119" s="112"/>
      <c r="AY119" s="113"/>
      <c r="AZ119" s="112"/>
      <c r="BA119" s="31"/>
      <c r="BB119" s="32"/>
      <c r="BC119" s="90"/>
      <c r="BD119" s="88"/>
      <c r="BE119" s="88"/>
      <c r="BF119" s="111"/>
      <c r="BG119" s="112"/>
      <c r="BH119" s="113"/>
      <c r="BI119" s="112"/>
      <c r="BJ119" s="31"/>
      <c r="BK119" s="32"/>
      <c r="BL119" s="90"/>
      <c r="BM119" s="88"/>
      <c r="BN119" s="88"/>
      <c r="BO119" s="111"/>
      <c r="BP119" s="112"/>
      <c r="BQ119" s="113"/>
      <c r="BR119" s="112"/>
      <c r="BS119" s="31"/>
      <c r="BT119" s="32"/>
      <c r="BU119" s="90"/>
      <c r="BV119" s="88"/>
      <c r="BW119" s="88"/>
      <c r="BX119" s="111"/>
      <c r="BY119" s="112"/>
      <c r="BZ119" s="113"/>
      <c r="CA119" s="112"/>
      <c r="CB119" s="31"/>
      <c r="CC119" s="32"/>
      <c r="CD119" s="90"/>
      <c r="CE119" s="88"/>
      <c r="CF119" s="88"/>
      <c r="CG119" s="111"/>
      <c r="CH119" s="112"/>
      <c r="CI119" s="113"/>
      <c r="CJ119" s="112"/>
      <c r="CK119" s="31"/>
      <c r="CL119" s="32"/>
      <c r="CM119" s="90"/>
      <c r="CN119" s="88"/>
      <c r="CO119" s="88"/>
      <c r="CP119" s="111"/>
      <c r="CQ119" s="112"/>
      <c r="CR119" s="113"/>
      <c r="CS119" s="112"/>
      <c r="CT119" s="55"/>
      <c r="CV119" s="230" t="s">
        <v>239</v>
      </c>
      <c r="CX119" s="226" t="s">
        <v>541</v>
      </c>
      <c r="CY119" s="226" t="s">
        <v>1431</v>
      </c>
      <c r="CZ119" s="226" t="s">
        <v>541</v>
      </c>
      <c r="DA119" s="226" t="s">
        <v>541</v>
      </c>
      <c r="DB119" s="14"/>
      <c r="DC119" s="226" t="s">
        <v>541</v>
      </c>
      <c r="DD119" s="226" t="s">
        <v>541</v>
      </c>
      <c r="DE119" s="226" t="s">
        <v>541</v>
      </c>
      <c r="DF119" s="226" t="s">
        <v>541</v>
      </c>
      <c r="DG119" s="226" t="s">
        <v>541</v>
      </c>
      <c r="DH119" s="14"/>
    </row>
    <row r="120" spans="1:112" ht="12.75" customHeight="1" x14ac:dyDescent="0.25">
      <c r="A120" s="17" t="s">
        <v>417</v>
      </c>
      <c r="B120" s="17" t="s">
        <v>541</v>
      </c>
      <c r="C120" s="17" t="s">
        <v>237</v>
      </c>
      <c r="D120" s="17" t="s">
        <v>239</v>
      </c>
      <c r="E120" s="17" t="b">
        <f t="shared" si="21"/>
        <v>1</v>
      </c>
      <c r="F120" s="127" t="s">
        <v>417</v>
      </c>
      <c r="G120" s="248" t="s">
        <v>541</v>
      </c>
      <c r="H120" s="128" t="s">
        <v>237</v>
      </c>
      <c r="I120" s="128" t="s">
        <v>239</v>
      </c>
      <c r="J120" s="31"/>
      <c r="K120" s="102" t="s">
        <v>354</v>
      </c>
      <c r="L120" s="90"/>
      <c r="M120" s="111"/>
      <c r="N120" s="112"/>
      <c r="O120" s="113"/>
      <c r="P120" s="112"/>
      <c r="Q120" s="31"/>
      <c r="R120" s="102"/>
      <c r="S120" s="90"/>
      <c r="T120" s="88" t="str">
        <f t="shared" si="15"/>
        <v>NA</v>
      </c>
      <c r="U120" s="88" t="str">
        <f t="shared" si="16"/>
        <v>NA</v>
      </c>
      <c r="V120" s="111"/>
      <c r="W120" s="112"/>
      <c r="X120" s="113"/>
      <c r="Y120" s="112"/>
      <c r="Z120" s="31"/>
      <c r="AA120" s="296"/>
      <c r="AB120" s="89"/>
      <c r="AC120" s="88" t="str">
        <f t="shared" si="22"/>
        <v>NA</v>
      </c>
      <c r="AD120" s="88" t="str">
        <f t="shared" si="23"/>
        <v>NA</v>
      </c>
      <c r="AE120" s="111"/>
      <c r="AF120" s="112"/>
      <c r="AG120" s="113"/>
      <c r="AH120" s="112"/>
      <c r="AI120" s="31"/>
      <c r="AJ120" s="294"/>
      <c r="AK120" s="89"/>
      <c r="AL120" s="88" t="str">
        <f t="shared" si="24"/>
        <v>NA</v>
      </c>
      <c r="AM120" s="88" t="str">
        <f t="shared" si="25"/>
        <v>NA</v>
      </c>
      <c r="AN120" s="111"/>
      <c r="AO120" s="112"/>
      <c r="AP120" s="113"/>
      <c r="AQ120" s="112"/>
      <c r="AR120" s="31"/>
      <c r="AS120" s="32"/>
      <c r="AT120" s="90"/>
      <c r="AU120" s="88"/>
      <c r="AV120" s="88"/>
      <c r="AW120" s="111"/>
      <c r="AX120" s="112"/>
      <c r="AY120" s="113"/>
      <c r="AZ120" s="112"/>
      <c r="BA120" s="31"/>
      <c r="BB120" s="32"/>
      <c r="BC120" s="90"/>
      <c r="BD120" s="88"/>
      <c r="BE120" s="88"/>
      <c r="BF120" s="111"/>
      <c r="BG120" s="112"/>
      <c r="BH120" s="113"/>
      <c r="BI120" s="112"/>
      <c r="BJ120" s="31"/>
      <c r="BK120" s="32"/>
      <c r="BL120" s="90"/>
      <c r="BM120" s="88"/>
      <c r="BN120" s="88"/>
      <c r="BO120" s="111"/>
      <c r="BP120" s="112"/>
      <c r="BQ120" s="113"/>
      <c r="BR120" s="112"/>
      <c r="BS120" s="31"/>
      <c r="BT120" s="32"/>
      <c r="BU120" s="90"/>
      <c r="BV120" s="88"/>
      <c r="BW120" s="88"/>
      <c r="BX120" s="111"/>
      <c r="BY120" s="112"/>
      <c r="BZ120" s="113"/>
      <c r="CA120" s="112"/>
      <c r="CB120" s="31"/>
      <c r="CC120" s="32"/>
      <c r="CD120" s="90"/>
      <c r="CE120" s="88"/>
      <c r="CF120" s="88"/>
      <c r="CG120" s="111"/>
      <c r="CH120" s="112"/>
      <c r="CI120" s="113"/>
      <c r="CJ120" s="112"/>
      <c r="CK120" s="31"/>
      <c r="CL120" s="32"/>
      <c r="CM120" s="90"/>
      <c r="CN120" s="88"/>
      <c r="CO120" s="88"/>
      <c r="CP120" s="111"/>
      <c r="CQ120" s="112"/>
      <c r="CR120" s="113"/>
      <c r="CS120" s="112"/>
      <c r="CT120" s="55"/>
      <c r="CV120" s="230" t="s">
        <v>239</v>
      </c>
      <c r="CX120" s="226" t="s">
        <v>541</v>
      </c>
      <c r="CY120" s="226" t="s">
        <v>1431</v>
      </c>
      <c r="CZ120" s="226" t="s">
        <v>541</v>
      </c>
      <c r="DA120" s="226" t="s">
        <v>541</v>
      </c>
      <c r="DB120" s="14"/>
      <c r="DC120" s="226" t="s">
        <v>541</v>
      </c>
      <c r="DD120" s="226" t="s">
        <v>541</v>
      </c>
      <c r="DE120" s="226" t="s">
        <v>541</v>
      </c>
      <c r="DF120" s="226" t="s">
        <v>541</v>
      </c>
      <c r="DG120" s="226" t="s">
        <v>541</v>
      </c>
      <c r="DH120" s="14"/>
    </row>
    <row r="121" spans="1:112" ht="26" x14ac:dyDescent="0.25">
      <c r="A121" s="17" t="s">
        <v>418</v>
      </c>
      <c r="B121" s="17" t="s">
        <v>541</v>
      </c>
      <c r="C121" s="17" t="s">
        <v>235</v>
      </c>
      <c r="D121" s="17" t="s">
        <v>236</v>
      </c>
      <c r="E121" s="17" t="b">
        <f t="shared" si="21"/>
        <v>1</v>
      </c>
      <c r="F121" s="127" t="s">
        <v>418</v>
      </c>
      <c r="G121" s="248" t="s">
        <v>541</v>
      </c>
      <c r="H121" s="128" t="s">
        <v>235</v>
      </c>
      <c r="I121" s="128" t="s">
        <v>236</v>
      </c>
      <c r="J121" s="31"/>
      <c r="K121" s="102" t="s">
        <v>354</v>
      </c>
      <c r="L121" s="90"/>
      <c r="M121" s="111"/>
      <c r="N121" s="112"/>
      <c r="O121" s="113"/>
      <c r="P121" s="112"/>
      <c r="Q121" s="31"/>
      <c r="R121" s="102"/>
      <c r="S121" s="90"/>
      <c r="T121" s="88" t="str">
        <f t="shared" si="15"/>
        <v>NA</v>
      </c>
      <c r="U121" s="88" t="str">
        <f t="shared" si="16"/>
        <v>NA</v>
      </c>
      <c r="V121" s="111"/>
      <c r="W121" s="112"/>
      <c r="X121" s="113"/>
      <c r="Y121" s="112"/>
      <c r="Z121" s="31"/>
      <c r="AA121" s="296"/>
      <c r="AB121" s="89"/>
      <c r="AC121" s="88" t="str">
        <f t="shared" si="22"/>
        <v>NA</v>
      </c>
      <c r="AD121" s="88" t="str">
        <f t="shared" si="23"/>
        <v>NA</v>
      </c>
      <c r="AE121" s="111"/>
      <c r="AF121" s="112"/>
      <c r="AG121" s="113"/>
      <c r="AH121" s="112"/>
      <c r="AI121" s="31"/>
      <c r="AJ121" s="294"/>
      <c r="AK121" s="89"/>
      <c r="AL121" s="88" t="str">
        <f t="shared" si="24"/>
        <v>NA</v>
      </c>
      <c r="AM121" s="88" t="str">
        <f t="shared" si="25"/>
        <v>NA</v>
      </c>
      <c r="AN121" s="111"/>
      <c r="AO121" s="112"/>
      <c r="AP121" s="113"/>
      <c r="AQ121" s="112"/>
      <c r="AR121" s="31"/>
      <c r="AS121" s="32"/>
      <c r="AT121" s="90"/>
      <c r="AU121" s="88"/>
      <c r="AV121" s="88"/>
      <c r="AW121" s="111"/>
      <c r="AX121" s="112"/>
      <c r="AY121" s="113"/>
      <c r="AZ121" s="112"/>
      <c r="BA121" s="31"/>
      <c r="BB121" s="32"/>
      <c r="BC121" s="90"/>
      <c r="BD121" s="88"/>
      <c r="BE121" s="88"/>
      <c r="BF121" s="111"/>
      <c r="BG121" s="112"/>
      <c r="BH121" s="113"/>
      <c r="BI121" s="112"/>
      <c r="BJ121" s="31"/>
      <c r="BK121" s="32"/>
      <c r="BL121" s="90"/>
      <c r="BM121" s="88"/>
      <c r="BN121" s="88"/>
      <c r="BO121" s="111"/>
      <c r="BP121" s="112"/>
      <c r="BQ121" s="113"/>
      <c r="BR121" s="112"/>
      <c r="BS121" s="31"/>
      <c r="BT121" s="32"/>
      <c r="BU121" s="90"/>
      <c r="BV121" s="88"/>
      <c r="BW121" s="88"/>
      <c r="BX121" s="111"/>
      <c r="BY121" s="112"/>
      <c r="BZ121" s="113"/>
      <c r="CA121" s="112"/>
      <c r="CB121" s="31"/>
      <c r="CC121" s="32"/>
      <c r="CD121" s="90"/>
      <c r="CE121" s="88"/>
      <c r="CF121" s="88"/>
      <c r="CG121" s="111"/>
      <c r="CH121" s="112"/>
      <c r="CI121" s="113"/>
      <c r="CJ121" s="112"/>
      <c r="CK121" s="31"/>
      <c r="CL121" s="32"/>
      <c r="CM121" s="90"/>
      <c r="CN121" s="88"/>
      <c r="CO121" s="88"/>
      <c r="CP121" s="111"/>
      <c r="CQ121" s="112"/>
      <c r="CR121" s="113"/>
      <c r="CS121" s="112"/>
      <c r="CT121" s="55"/>
      <c r="CV121" s="230" t="s">
        <v>236</v>
      </c>
      <c r="CX121" s="226" t="s">
        <v>541</v>
      </c>
      <c r="CY121" s="226" t="s">
        <v>1431</v>
      </c>
      <c r="CZ121" s="226" t="s">
        <v>541</v>
      </c>
      <c r="DA121" s="226" t="s">
        <v>541</v>
      </c>
      <c r="DB121" s="14"/>
      <c r="DC121" s="226" t="s">
        <v>541</v>
      </c>
      <c r="DD121" s="226" t="s">
        <v>541</v>
      </c>
      <c r="DE121" s="226" t="s">
        <v>541</v>
      </c>
      <c r="DF121" s="226" t="s">
        <v>541</v>
      </c>
      <c r="DG121" s="226" t="s">
        <v>541</v>
      </c>
      <c r="DH121" s="14"/>
    </row>
    <row r="122" spans="1:112" ht="12.75" customHeight="1" x14ac:dyDescent="0.25">
      <c r="A122" s="17" t="s">
        <v>419</v>
      </c>
      <c r="B122" s="17" t="s">
        <v>541</v>
      </c>
      <c r="C122" s="17" t="s">
        <v>233</v>
      </c>
      <c r="D122" s="17" t="s">
        <v>234</v>
      </c>
      <c r="E122" s="17" t="b">
        <f t="shared" si="21"/>
        <v>1</v>
      </c>
      <c r="F122" s="127" t="s">
        <v>419</v>
      </c>
      <c r="G122" s="248" t="s">
        <v>541</v>
      </c>
      <c r="H122" s="128" t="s">
        <v>233</v>
      </c>
      <c r="I122" s="128" t="s">
        <v>234</v>
      </c>
      <c r="J122" s="31"/>
      <c r="K122" s="102" t="s">
        <v>354</v>
      </c>
      <c r="L122" s="90"/>
      <c r="M122" s="111"/>
      <c r="N122" s="112"/>
      <c r="O122" s="113"/>
      <c r="P122" s="112"/>
      <c r="Q122" s="31"/>
      <c r="R122" s="102"/>
      <c r="S122" s="90"/>
      <c r="T122" s="88" t="str">
        <f t="shared" si="15"/>
        <v>NA</v>
      </c>
      <c r="U122" s="88" t="str">
        <f t="shared" si="16"/>
        <v>NA</v>
      </c>
      <c r="V122" s="111"/>
      <c r="W122" s="112"/>
      <c r="X122" s="113"/>
      <c r="Y122" s="112"/>
      <c r="Z122" s="31"/>
      <c r="AA122" s="296"/>
      <c r="AB122" s="89"/>
      <c r="AC122" s="88" t="str">
        <f t="shared" si="22"/>
        <v>NA</v>
      </c>
      <c r="AD122" s="88" t="str">
        <f t="shared" si="23"/>
        <v>NA</v>
      </c>
      <c r="AE122" s="111"/>
      <c r="AF122" s="112"/>
      <c r="AG122" s="113"/>
      <c r="AH122" s="112"/>
      <c r="AI122" s="31"/>
      <c r="AJ122" s="294"/>
      <c r="AK122" s="89"/>
      <c r="AL122" s="88" t="str">
        <f t="shared" si="24"/>
        <v>NA</v>
      </c>
      <c r="AM122" s="88" t="str">
        <f t="shared" si="25"/>
        <v>NA</v>
      </c>
      <c r="AN122" s="111"/>
      <c r="AO122" s="112"/>
      <c r="AP122" s="113"/>
      <c r="AQ122" s="112"/>
      <c r="AR122" s="31"/>
      <c r="AS122" s="32"/>
      <c r="AT122" s="90"/>
      <c r="AU122" s="88"/>
      <c r="AV122" s="88"/>
      <c r="AW122" s="111"/>
      <c r="AX122" s="112"/>
      <c r="AY122" s="113"/>
      <c r="AZ122" s="112"/>
      <c r="BA122" s="31"/>
      <c r="BB122" s="32"/>
      <c r="BC122" s="90"/>
      <c r="BD122" s="88"/>
      <c r="BE122" s="88"/>
      <c r="BF122" s="111"/>
      <c r="BG122" s="112"/>
      <c r="BH122" s="113"/>
      <c r="BI122" s="112"/>
      <c r="BJ122" s="31"/>
      <c r="BK122" s="32"/>
      <c r="BL122" s="90"/>
      <c r="BM122" s="88"/>
      <c r="BN122" s="88"/>
      <c r="BO122" s="111"/>
      <c r="BP122" s="112"/>
      <c r="BQ122" s="113"/>
      <c r="BR122" s="112"/>
      <c r="BS122" s="31"/>
      <c r="BT122" s="32"/>
      <c r="BU122" s="90"/>
      <c r="BV122" s="88"/>
      <c r="BW122" s="88"/>
      <c r="BX122" s="111"/>
      <c r="BY122" s="112"/>
      <c r="BZ122" s="113"/>
      <c r="CA122" s="112"/>
      <c r="CB122" s="31"/>
      <c r="CC122" s="32"/>
      <c r="CD122" s="90"/>
      <c r="CE122" s="88"/>
      <c r="CF122" s="88"/>
      <c r="CG122" s="111"/>
      <c r="CH122" s="112"/>
      <c r="CI122" s="113"/>
      <c r="CJ122" s="112"/>
      <c r="CK122" s="31"/>
      <c r="CL122" s="32"/>
      <c r="CM122" s="90"/>
      <c r="CN122" s="88"/>
      <c r="CO122" s="88"/>
      <c r="CP122" s="111"/>
      <c r="CQ122" s="112"/>
      <c r="CR122" s="113"/>
      <c r="CS122" s="112"/>
      <c r="CT122" s="55"/>
      <c r="CV122" s="230" t="s">
        <v>234</v>
      </c>
      <c r="CX122" s="226" t="s">
        <v>1424</v>
      </c>
      <c r="CY122" s="226" t="s">
        <v>1431</v>
      </c>
      <c r="CZ122" s="226" t="s">
        <v>541</v>
      </c>
      <c r="DA122" s="226" t="s">
        <v>541</v>
      </c>
      <c r="DB122" s="14"/>
      <c r="DC122" s="226" t="s">
        <v>541</v>
      </c>
      <c r="DD122" s="226" t="s">
        <v>1421</v>
      </c>
      <c r="DE122" s="226" t="s">
        <v>541</v>
      </c>
      <c r="DF122" s="226" t="s">
        <v>541</v>
      </c>
      <c r="DG122" s="226" t="s">
        <v>541</v>
      </c>
      <c r="DH122" s="14"/>
    </row>
    <row r="123" spans="1:112" ht="12.75" customHeight="1" x14ac:dyDescent="0.25">
      <c r="A123" s="17" t="s">
        <v>420</v>
      </c>
      <c r="B123" s="17" t="s">
        <v>541</v>
      </c>
      <c r="C123" s="17" t="s">
        <v>231</v>
      </c>
      <c r="D123" s="17" t="s">
        <v>232</v>
      </c>
      <c r="E123" s="17" t="b">
        <f t="shared" si="21"/>
        <v>1</v>
      </c>
      <c r="F123" s="127" t="s">
        <v>420</v>
      </c>
      <c r="G123" s="248" t="s">
        <v>541</v>
      </c>
      <c r="H123" s="128" t="s">
        <v>231</v>
      </c>
      <c r="I123" s="128" t="s">
        <v>232</v>
      </c>
      <c r="J123" s="31"/>
      <c r="K123" s="102" t="s">
        <v>354</v>
      </c>
      <c r="L123" s="90"/>
      <c r="M123" s="111"/>
      <c r="N123" s="112"/>
      <c r="O123" s="113"/>
      <c r="P123" s="112"/>
      <c r="Q123" s="31"/>
      <c r="R123" s="102"/>
      <c r="S123" s="90"/>
      <c r="T123" s="88" t="str">
        <f t="shared" si="15"/>
        <v>NA</v>
      </c>
      <c r="U123" s="88" t="str">
        <f t="shared" si="16"/>
        <v>NA</v>
      </c>
      <c r="V123" s="111"/>
      <c r="W123" s="112"/>
      <c r="X123" s="113"/>
      <c r="Y123" s="112"/>
      <c r="Z123" s="31"/>
      <c r="AA123" s="296"/>
      <c r="AB123" s="89"/>
      <c r="AC123" s="88" t="str">
        <f t="shared" si="22"/>
        <v>NA</v>
      </c>
      <c r="AD123" s="88" t="str">
        <f t="shared" si="23"/>
        <v>NA</v>
      </c>
      <c r="AE123" s="111"/>
      <c r="AF123" s="112"/>
      <c r="AG123" s="113"/>
      <c r="AH123" s="112"/>
      <c r="AI123" s="31"/>
      <c r="AJ123" s="294"/>
      <c r="AK123" s="89"/>
      <c r="AL123" s="88" t="str">
        <f t="shared" si="24"/>
        <v>NA</v>
      </c>
      <c r="AM123" s="88" t="str">
        <f t="shared" si="25"/>
        <v>NA</v>
      </c>
      <c r="AN123" s="111"/>
      <c r="AO123" s="112"/>
      <c r="AP123" s="113"/>
      <c r="AQ123" s="112"/>
      <c r="AR123" s="31"/>
      <c r="AS123" s="32"/>
      <c r="AT123" s="90"/>
      <c r="AU123" s="88"/>
      <c r="AV123" s="88"/>
      <c r="AW123" s="111"/>
      <c r="AX123" s="112"/>
      <c r="AY123" s="113"/>
      <c r="AZ123" s="112"/>
      <c r="BA123" s="31"/>
      <c r="BB123" s="32"/>
      <c r="BC123" s="90"/>
      <c r="BD123" s="88"/>
      <c r="BE123" s="88"/>
      <c r="BF123" s="111"/>
      <c r="BG123" s="112"/>
      <c r="BH123" s="113"/>
      <c r="BI123" s="112"/>
      <c r="BJ123" s="31"/>
      <c r="BK123" s="32"/>
      <c r="BL123" s="90"/>
      <c r="BM123" s="88"/>
      <c r="BN123" s="88"/>
      <c r="BO123" s="111"/>
      <c r="BP123" s="112"/>
      <c r="BQ123" s="113"/>
      <c r="BR123" s="112"/>
      <c r="BS123" s="31"/>
      <c r="BT123" s="32"/>
      <c r="BU123" s="90"/>
      <c r="BV123" s="88"/>
      <c r="BW123" s="88"/>
      <c r="BX123" s="111"/>
      <c r="BY123" s="112"/>
      <c r="BZ123" s="113"/>
      <c r="CA123" s="112"/>
      <c r="CB123" s="31"/>
      <c r="CC123" s="32"/>
      <c r="CD123" s="90"/>
      <c r="CE123" s="88"/>
      <c r="CF123" s="88"/>
      <c r="CG123" s="111"/>
      <c r="CH123" s="112"/>
      <c r="CI123" s="113"/>
      <c r="CJ123" s="112"/>
      <c r="CK123" s="31"/>
      <c r="CL123" s="32"/>
      <c r="CM123" s="90"/>
      <c r="CN123" s="88"/>
      <c r="CO123" s="88"/>
      <c r="CP123" s="111"/>
      <c r="CQ123" s="112"/>
      <c r="CR123" s="113"/>
      <c r="CS123" s="112"/>
      <c r="CT123" s="55"/>
      <c r="CV123" s="230" t="s">
        <v>232</v>
      </c>
      <c r="CX123" s="226" t="s">
        <v>1425</v>
      </c>
      <c r="CY123" s="226" t="s">
        <v>1431</v>
      </c>
      <c r="CZ123" s="226" t="s">
        <v>541</v>
      </c>
      <c r="DA123" s="226" t="s">
        <v>541</v>
      </c>
      <c r="DB123" s="14"/>
      <c r="DC123" s="226" t="s">
        <v>541</v>
      </c>
      <c r="DD123" s="226" t="s">
        <v>1421</v>
      </c>
      <c r="DE123" s="226" t="s">
        <v>541</v>
      </c>
      <c r="DF123" s="226" t="s">
        <v>541</v>
      </c>
      <c r="DG123" s="226" t="s">
        <v>541</v>
      </c>
      <c r="DH123" s="14"/>
    </row>
    <row r="124" spans="1:112" ht="12.75" customHeight="1" x14ac:dyDescent="0.25">
      <c r="A124" s="17" t="s">
        <v>421</v>
      </c>
      <c r="B124" s="17" t="s">
        <v>541</v>
      </c>
      <c r="C124" s="17" t="s">
        <v>229</v>
      </c>
      <c r="D124" s="17" t="s">
        <v>230</v>
      </c>
      <c r="E124" s="17" t="b">
        <f t="shared" si="21"/>
        <v>1</v>
      </c>
      <c r="F124" s="127" t="s">
        <v>421</v>
      </c>
      <c r="G124" s="248" t="s">
        <v>541</v>
      </c>
      <c r="H124" s="128" t="s">
        <v>229</v>
      </c>
      <c r="I124" s="128" t="s">
        <v>230</v>
      </c>
      <c r="J124" s="31"/>
      <c r="K124" s="102" t="s">
        <v>354</v>
      </c>
      <c r="L124" s="90"/>
      <c r="M124" s="111"/>
      <c r="N124" s="112"/>
      <c r="O124" s="113"/>
      <c r="P124" s="112"/>
      <c r="Q124" s="31"/>
      <c r="R124" s="102"/>
      <c r="S124" s="90"/>
      <c r="T124" s="88" t="str">
        <f t="shared" si="15"/>
        <v>NA</v>
      </c>
      <c r="U124" s="88" t="str">
        <f t="shared" si="16"/>
        <v>NA</v>
      </c>
      <c r="V124" s="111"/>
      <c r="W124" s="112"/>
      <c r="X124" s="113"/>
      <c r="Y124" s="112"/>
      <c r="Z124" s="31"/>
      <c r="AA124" s="296"/>
      <c r="AB124" s="89"/>
      <c r="AC124" s="88" t="str">
        <f t="shared" si="22"/>
        <v>NA</v>
      </c>
      <c r="AD124" s="88" t="str">
        <f t="shared" si="23"/>
        <v>NA</v>
      </c>
      <c r="AE124" s="111"/>
      <c r="AF124" s="112"/>
      <c r="AG124" s="113"/>
      <c r="AH124" s="112"/>
      <c r="AI124" s="31"/>
      <c r="AJ124" s="294"/>
      <c r="AK124" s="89"/>
      <c r="AL124" s="88" t="str">
        <f t="shared" si="24"/>
        <v>NA</v>
      </c>
      <c r="AM124" s="88" t="str">
        <f t="shared" si="25"/>
        <v>NA</v>
      </c>
      <c r="AN124" s="111"/>
      <c r="AO124" s="112"/>
      <c r="AP124" s="113"/>
      <c r="AQ124" s="112"/>
      <c r="AR124" s="31"/>
      <c r="AS124" s="32"/>
      <c r="AT124" s="90"/>
      <c r="AU124" s="88"/>
      <c r="AV124" s="88"/>
      <c r="AW124" s="111"/>
      <c r="AX124" s="112"/>
      <c r="AY124" s="113"/>
      <c r="AZ124" s="112"/>
      <c r="BA124" s="31"/>
      <c r="BB124" s="32"/>
      <c r="BC124" s="90"/>
      <c r="BD124" s="88"/>
      <c r="BE124" s="88"/>
      <c r="BF124" s="111"/>
      <c r="BG124" s="112"/>
      <c r="BH124" s="113"/>
      <c r="BI124" s="112"/>
      <c r="BJ124" s="31"/>
      <c r="BK124" s="32"/>
      <c r="BL124" s="90"/>
      <c r="BM124" s="88"/>
      <c r="BN124" s="88"/>
      <c r="BO124" s="111"/>
      <c r="BP124" s="112"/>
      <c r="BQ124" s="113"/>
      <c r="BR124" s="112"/>
      <c r="BS124" s="31"/>
      <c r="BT124" s="32"/>
      <c r="BU124" s="90"/>
      <c r="BV124" s="88"/>
      <c r="BW124" s="88"/>
      <c r="BX124" s="111"/>
      <c r="BY124" s="112"/>
      <c r="BZ124" s="113"/>
      <c r="CA124" s="112"/>
      <c r="CB124" s="31"/>
      <c r="CC124" s="32"/>
      <c r="CD124" s="90"/>
      <c r="CE124" s="88"/>
      <c r="CF124" s="88"/>
      <c r="CG124" s="111"/>
      <c r="CH124" s="112"/>
      <c r="CI124" s="113"/>
      <c r="CJ124" s="112"/>
      <c r="CK124" s="31"/>
      <c r="CL124" s="32"/>
      <c r="CM124" s="90"/>
      <c r="CN124" s="88"/>
      <c r="CO124" s="88"/>
      <c r="CP124" s="111"/>
      <c r="CQ124" s="112"/>
      <c r="CR124" s="113"/>
      <c r="CS124" s="112"/>
      <c r="CT124" s="55"/>
      <c r="CV124" s="230" t="s">
        <v>230</v>
      </c>
      <c r="CX124" s="226" t="s">
        <v>1424</v>
      </c>
      <c r="CY124" s="226" t="s">
        <v>1431</v>
      </c>
      <c r="CZ124" s="226" t="s">
        <v>541</v>
      </c>
      <c r="DA124" s="226" t="s">
        <v>541</v>
      </c>
      <c r="DB124" s="14"/>
      <c r="DC124" s="226" t="s">
        <v>541</v>
      </c>
      <c r="DD124" s="226" t="s">
        <v>541</v>
      </c>
      <c r="DE124" s="226" t="s">
        <v>541</v>
      </c>
      <c r="DF124" s="226" t="s">
        <v>541</v>
      </c>
      <c r="DG124" s="226" t="s">
        <v>541</v>
      </c>
      <c r="DH124" s="14"/>
    </row>
    <row r="125" spans="1:112" ht="12.75" customHeight="1" x14ac:dyDescent="0.25">
      <c r="A125" s="17" t="s">
        <v>422</v>
      </c>
      <c r="B125" s="17" t="s">
        <v>541</v>
      </c>
      <c r="C125" s="17" t="s">
        <v>227</v>
      </c>
      <c r="D125" s="17" t="s">
        <v>228</v>
      </c>
      <c r="E125" s="17" t="b">
        <f t="shared" si="21"/>
        <v>1</v>
      </c>
      <c r="F125" s="127" t="s">
        <v>422</v>
      </c>
      <c r="G125" s="248" t="s">
        <v>541</v>
      </c>
      <c r="H125" s="128" t="s">
        <v>227</v>
      </c>
      <c r="I125" s="128" t="s">
        <v>228</v>
      </c>
      <c r="J125" s="31"/>
      <c r="K125" s="102" t="s">
        <v>354</v>
      </c>
      <c r="L125" s="90"/>
      <c r="M125" s="111"/>
      <c r="N125" s="112"/>
      <c r="O125" s="113"/>
      <c r="P125" s="112"/>
      <c r="Q125" s="31"/>
      <c r="R125" s="102"/>
      <c r="S125" s="90"/>
      <c r="T125" s="88" t="str">
        <f t="shared" ref="T125:T188" si="26">IF(LEFT(S125,1)&lt;&gt;"x","NA",IF(RIGHT(R125,3)=RIGHT(K125,3),IF(RIGHT(R125,3)&lt;&gt;RIGHT(K125,3),IF(OR(AND(RIGHT(R125,3)=RIGHT(K125,3),S125=L125)),"NO","YES"),"NO"),IF(OR(RIGHT(R125,3)=RIGHT(K125,3)),"ERROR","YES")))</f>
        <v>NA</v>
      </c>
      <c r="U125" s="88" t="str">
        <f t="shared" ref="U125:U188" si="27">IF(LEFT(L125,1)&lt;&gt;LEFT(S125,1),"YES",IF(LEFT(S125,1)="x","NO","NA"))</f>
        <v>NA</v>
      </c>
      <c r="V125" s="111"/>
      <c r="W125" s="112"/>
      <c r="X125" s="113"/>
      <c r="Y125" s="112"/>
      <c r="Z125" s="31"/>
      <c r="AA125" s="296"/>
      <c r="AB125" s="89"/>
      <c r="AC125" s="88" t="str">
        <f t="shared" si="22"/>
        <v>NA</v>
      </c>
      <c r="AD125" s="88" t="str">
        <f t="shared" si="23"/>
        <v>NA</v>
      </c>
      <c r="AE125" s="111"/>
      <c r="AF125" s="112"/>
      <c r="AG125" s="113"/>
      <c r="AH125" s="112"/>
      <c r="AI125" s="31"/>
      <c r="AJ125" s="294"/>
      <c r="AK125" s="89"/>
      <c r="AL125" s="88" t="str">
        <f t="shared" si="24"/>
        <v>NA</v>
      </c>
      <c r="AM125" s="88" t="str">
        <f t="shared" si="25"/>
        <v>NA</v>
      </c>
      <c r="AN125" s="111"/>
      <c r="AO125" s="112"/>
      <c r="AP125" s="113"/>
      <c r="AQ125" s="112"/>
      <c r="AR125" s="31"/>
      <c r="AS125" s="32"/>
      <c r="AT125" s="90"/>
      <c r="AU125" s="88"/>
      <c r="AV125" s="88"/>
      <c r="AW125" s="111"/>
      <c r="AX125" s="112"/>
      <c r="AY125" s="113"/>
      <c r="AZ125" s="112"/>
      <c r="BA125" s="31"/>
      <c r="BB125" s="32"/>
      <c r="BC125" s="90"/>
      <c r="BD125" s="88"/>
      <c r="BE125" s="88"/>
      <c r="BF125" s="111"/>
      <c r="BG125" s="112"/>
      <c r="BH125" s="113"/>
      <c r="BI125" s="112"/>
      <c r="BJ125" s="31"/>
      <c r="BK125" s="32"/>
      <c r="BL125" s="90"/>
      <c r="BM125" s="88"/>
      <c r="BN125" s="88"/>
      <c r="BO125" s="111"/>
      <c r="BP125" s="112"/>
      <c r="BQ125" s="113"/>
      <c r="BR125" s="112"/>
      <c r="BS125" s="31"/>
      <c r="BT125" s="32"/>
      <c r="BU125" s="90"/>
      <c r="BV125" s="88"/>
      <c r="BW125" s="88"/>
      <c r="BX125" s="111"/>
      <c r="BY125" s="112"/>
      <c r="BZ125" s="113"/>
      <c r="CA125" s="112"/>
      <c r="CB125" s="31"/>
      <c r="CC125" s="32"/>
      <c r="CD125" s="90"/>
      <c r="CE125" s="88"/>
      <c r="CF125" s="88"/>
      <c r="CG125" s="111"/>
      <c r="CH125" s="112"/>
      <c r="CI125" s="113"/>
      <c r="CJ125" s="112"/>
      <c r="CK125" s="31"/>
      <c r="CL125" s="32"/>
      <c r="CM125" s="90"/>
      <c r="CN125" s="88"/>
      <c r="CO125" s="88"/>
      <c r="CP125" s="111"/>
      <c r="CQ125" s="112"/>
      <c r="CR125" s="113"/>
      <c r="CS125" s="112"/>
      <c r="CT125" s="55"/>
      <c r="CV125" s="230" t="s">
        <v>228</v>
      </c>
      <c r="CX125" s="226" t="s">
        <v>1425</v>
      </c>
      <c r="CY125" s="226" t="s">
        <v>1431</v>
      </c>
      <c r="CZ125" s="226" t="s">
        <v>541</v>
      </c>
      <c r="DA125" s="226" t="s">
        <v>541</v>
      </c>
      <c r="DB125" s="14"/>
      <c r="DC125" s="226" t="s">
        <v>541</v>
      </c>
      <c r="DD125" s="226" t="s">
        <v>541</v>
      </c>
      <c r="DE125" s="226" t="s">
        <v>541</v>
      </c>
      <c r="DF125" s="226" t="s">
        <v>541</v>
      </c>
      <c r="DG125" s="226" t="s">
        <v>541</v>
      </c>
      <c r="DH125" s="14"/>
    </row>
    <row r="126" spans="1:112" ht="12.75" customHeight="1" x14ac:dyDescent="0.25">
      <c r="A126" s="17" t="s">
        <v>423</v>
      </c>
      <c r="B126" s="17" t="s">
        <v>541</v>
      </c>
      <c r="C126" s="17" t="s">
        <v>225</v>
      </c>
      <c r="D126" s="17" t="s">
        <v>226</v>
      </c>
      <c r="E126" s="17" t="b">
        <f t="shared" si="21"/>
        <v>1</v>
      </c>
      <c r="F126" s="127" t="s">
        <v>423</v>
      </c>
      <c r="G126" s="248" t="s">
        <v>541</v>
      </c>
      <c r="H126" s="128" t="s">
        <v>225</v>
      </c>
      <c r="I126" s="128" t="s">
        <v>226</v>
      </c>
      <c r="J126" s="31"/>
      <c r="K126" s="102" t="s">
        <v>354</v>
      </c>
      <c r="L126" s="90"/>
      <c r="M126" s="111"/>
      <c r="N126" s="112"/>
      <c r="O126" s="113"/>
      <c r="P126" s="112"/>
      <c r="Q126" s="31"/>
      <c r="R126" s="102"/>
      <c r="S126" s="90"/>
      <c r="T126" s="88" t="str">
        <f t="shared" si="26"/>
        <v>NA</v>
      </c>
      <c r="U126" s="88" t="str">
        <f t="shared" si="27"/>
        <v>NA</v>
      </c>
      <c r="V126" s="111"/>
      <c r="W126" s="112"/>
      <c r="X126" s="113"/>
      <c r="Y126" s="112"/>
      <c r="Z126" s="31"/>
      <c r="AA126" s="296"/>
      <c r="AB126" s="89"/>
      <c r="AC126" s="88" t="str">
        <f t="shared" si="22"/>
        <v>NA</v>
      </c>
      <c r="AD126" s="88" t="str">
        <f t="shared" si="23"/>
        <v>NA</v>
      </c>
      <c r="AE126" s="111"/>
      <c r="AF126" s="112"/>
      <c r="AG126" s="113"/>
      <c r="AH126" s="112"/>
      <c r="AI126" s="31"/>
      <c r="AJ126" s="294"/>
      <c r="AK126" s="89"/>
      <c r="AL126" s="88" t="str">
        <f t="shared" si="24"/>
        <v>NA</v>
      </c>
      <c r="AM126" s="88" t="str">
        <f t="shared" si="25"/>
        <v>NA</v>
      </c>
      <c r="AN126" s="111"/>
      <c r="AO126" s="112"/>
      <c r="AP126" s="113"/>
      <c r="AQ126" s="112"/>
      <c r="AR126" s="31"/>
      <c r="AS126" s="32"/>
      <c r="AT126" s="90"/>
      <c r="AU126" s="88"/>
      <c r="AV126" s="88"/>
      <c r="AW126" s="111"/>
      <c r="AX126" s="112"/>
      <c r="AY126" s="113"/>
      <c r="AZ126" s="112"/>
      <c r="BA126" s="31"/>
      <c r="BB126" s="32"/>
      <c r="BC126" s="90"/>
      <c r="BD126" s="88"/>
      <c r="BE126" s="88"/>
      <c r="BF126" s="111"/>
      <c r="BG126" s="112"/>
      <c r="BH126" s="113"/>
      <c r="BI126" s="112"/>
      <c r="BJ126" s="31"/>
      <c r="BK126" s="32"/>
      <c r="BL126" s="90"/>
      <c r="BM126" s="88"/>
      <c r="BN126" s="88"/>
      <c r="BO126" s="111"/>
      <c r="BP126" s="112"/>
      <c r="BQ126" s="113"/>
      <c r="BR126" s="112"/>
      <c r="BS126" s="31"/>
      <c r="BT126" s="32"/>
      <c r="BU126" s="90"/>
      <c r="BV126" s="88"/>
      <c r="BW126" s="88"/>
      <c r="BX126" s="111"/>
      <c r="BY126" s="112"/>
      <c r="BZ126" s="113"/>
      <c r="CA126" s="112"/>
      <c r="CB126" s="31"/>
      <c r="CC126" s="32"/>
      <c r="CD126" s="90"/>
      <c r="CE126" s="88"/>
      <c r="CF126" s="88"/>
      <c r="CG126" s="111"/>
      <c r="CH126" s="112"/>
      <c r="CI126" s="113"/>
      <c r="CJ126" s="112"/>
      <c r="CK126" s="31"/>
      <c r="CL126" s="32"/>
      <c r="CM126" s="90"/>
      <c r="CN126" s="88"/>
      <c r="CO126" s="88"/>
      <c r="CP126" s="111"/>
      <c r="CQ126" s="112"/>
      <c r="CR126" s="113"/>
      <c r="CS126" s="112"/>
      <c r="CT126" s="55"/>
      <c r="CV126" s="230" t="s">
        <v>226</v>
      </c>
      <c r="CX126" s="226" t="s">
        <v>1424</v>
      </c>
      <c r="CY126" s="226" t="s">
        <v>1431</v>
      </c>
      <c r="CZ126" s="226" t="s">
        <v>541</v>
      </c>
      <c r="DA126" s="226" t="s">
        <v>541</v>
      </c>
      <c r="DB126" s="14"/>
      <c r="DC126" s="226" t="s">
        <v>541</v>
      </c>
      <c r="DD126" s="226" t="s">
        <v>541</v>
      </c>
      <c r="DE126" s="226" t="s">
        <v>541</v>
      </c>
      <c r="DF126" s="226" t="s">
        <v>541</v>
      </c>
      <c r="DG126" s="226" t="s">
        <v>541</v>
      </c>
      <c r="DH126" s="14"/>
    </row>
    <row r="127" spans="1:112" ht="12.75" customHeight="1" x14ac:dyDescent="0.25">
      <c r="A127" s="17" t="s">
        <v>424</v>
      </c>
      <c r="B127" s="17" t="s">
        <v>541</v>
      </c>
      <c r="C127" s="17" t="s">
        <v>223</v>
      </c>
      <c r="D127" s="17" t="s">
        <v>224</v>
      </c>
      <c r="E127" s="17" t="b">
        <f t="shared" si="21"/>
        <v>1</v>
      </c>
      <c r="F127" s="127" t="s">
        <v>424</v>
      </c>
      <c r="G127" s="248" t="s">
        <v>541</v>
      </c>
      <c r="H127" s="128" t="s">
        <v>223</v>
      </c>
      <c r="I127" s="128" t="s">
        <v>224</v>
      </c>
      <c r="J127" s="31"/>
      <c r="K127" s="102" t="s">
        <v>354</v>
      </c>
      <c r="L127" s="90"/>
      <c r="M127" s="111"/>
      <c r="N127" s="112"/>
      <c r="O127" s="113"/>
      <c r="P127" s="112"/>
      <c r="Q127" s="31"/>
      <c r="R127" s="102"/>
      <c r="S127" s="90"/>
      <c r="T127" s="88" t="str">
        <f t="shared" si="26"/>
        <v>NA</v>
      </c>
      <c r="U127" s="88" t="str">
        <f t="shared" si="27"/>
        <v>NA</v>
      </c>
      <c r="V127" s="111"/>
      <c r="W127" s="112"/>
      <c r="X127" s="113"/>
      <c r="Y127" s="112"/>
      <c r="Z127" s="31"/>
      <c r="AA127" s="296"/>
      <c r="AB127" s="89"/>
      <c r="AC127" s="88" t="str">
        <f t="shared" si="22"/>
        <v>NA</v>
      </c>
      <c r="AD127" s="88" t="str">
        <f t="shared" si="23"/>
        <v>NA</v>
      </c>
      <c r="AE127" s="111"/>
      <c r="AF127" s="112"/>
      <c r="AG127" s="113"/>
      <c r="AH127" s="112"/>
      <c r="AI127" s="31"/>
      <c r="AJ127" s="294"/>
      <c r="AK127" s="89"/>
      <c r="AL127" s="88" t="str">
        <f t="shared" si="24"/>
        <v>NA</v>
      </c>
      <c r="AM127" s="88" t="str">
        <f t="shared" si="25"/>
        <v>NA</v>
      </c>
      <c r="AN127" s="111"/>
      <c r="AO127" s="112"/>
      <c r="AP127" s="113"/>
      <c r="AQ127" s="112"/>
      <c r="AR127" s="31"/>
      <c r="AS127" s="32"/>
      <c r="AT127" s="90"/>
      <c r="AU127" s="88"/>
      <c r="AV127" s="88"/>
      <c r="AW127" s="111"/>
      <c r="AX127" s="112"/>
      <c r="AY127" s="113"/>
      <c r="AZ127" s="112"/>
      <c r="BA127" s="31"/>
      <c r="BB127" s="32"/>
      <c r="BC127" s="90"/>
      <c r="BD127" s="88"/>
      <c r="BE127" s="88"/>
      <c r="BF127" s="111"/>
      <c r="BG127" s="112"/>
      <c r="BH127" s="113"/>
      <c r="BI127" s="112"/>
      <c r="BJ127" s="31"/>
      <c r="BK127" s="32"/>
      <c r="BL127" s="90"/>
      <c r="BM127" s="88"/>
      <c r="BN127" s="88"/>
      <c r="BO127" s="111"/>
      <c r="BP127" s="112"/>
      <c r="BQ127" s="113"/>
      <c r="BR127" s="112"/>
      <c r="BS127" s="31"/>
      <c r="BT127" s="32"/>
      <c r="BU127" s="90"/>
      <c r="BV127" s="88"/>
      <c r="BW127" s="88"/>
      <c r="BX127" s="111"/>
      <c r="BY127" s="112"/>
      <c r="BZ127" s="113"/>
      <c r="CA127" s="112"/>
      <c r="CB127" s="31"/>
      <c r="CC127" s="32"/>
      <c r="CD127" s="90"/>
      <c r="CE127" s="88"/>
      <c r="CF127" s="88"/>
      <c r="CG127" s="111"/>
      <c r="CH127" s="112"/>
      <c r="CI127" s="113"/>
      <c r="CJ127" s="112"/>
      <c r="CK127" s="31"/>
      <c r="CL127" s="32"/>
      <c r="CM127" s="90"/>
      <c r="CN127" s="88"/>
      <c r="CO127" s="88"/>
      <c r="CP127" s="111"/>
      <c r="CQ127" s="112"/>
      <c r="CR127" s="113"/>
      <c r="CS127" s="112"/>
      <c r="CT127" s="55"/>
      <c r="CV127" s="230" t="s">
        <v>224</v>
      </c>
      <c r="CX127" s="226" t="s">
        <v>1424</v>
      </c>
      <c r="CY127" s="226" t="s">
        <v>1431</v>
      </c>
      <c r="CZ127" s="226" t="s">
        <v>541</v>
      </c>
      <c r="DA127" s="226" t="s">
        <v>541</v>
      </c>
      <c r="DB127" s="14"/>
      <c r="DC127" s="226" t="s">
        <v>541</v>
      </c>
      <c r="DD127" s="226" t="s">
        <v>541</v>
      </c>
      <c r="DE127" s="226" t="s">
        <v>541</v>
      </c>
      <c r="DF127" s="226" t="s">
        <v>541</v>
      </c>
      <c r="DG127" s="226" t="s">
        <v>541</v>
      </c>
      <c r="DH127" s="14"/>
    </row>
    <row r="128" spans="1:112" ht="12.75" customHeight="1" x14ac:dyDescent="0.25">
      <c r="A128" s="17" t="s">
        <v>425</v>
      </c>
      <c r="B128" s="17" t="s">
        <v>541</v>
      </c>
      <c r="C128" s="17" t="s">
        <v>221</v>
      </c>
      <c r="D128" s="17" t="s">
        <v>222</v>
      </c>
      <c r="E128" s="17" t="b">
        <f t="shared" si="21"/>
        <v>1</v>
      </c>
      <c r="F128" s="127" t="s">
        <v>425</v>
      </c>
      <c r="G128" s="248" t="s">
        <v>541</v>
      </c>
      <c r="H128" s="128" t="s">
        <v>221</v>
      </c>
      <c r="I128" s="128" t="s">
        <v>222</v>
      </c>
      <c r="J128" s="31"/>
      <c r="K128" s="102" t="s">
        <v>354</v>
      </c>
      <c r="L128" s="90"/>
      <c r="M128" s="111"/>
      <c r="N128" s="112"/>
      <c r="O128" s="113"/>
      <c r="P128" s="112"/>
      <c r="Q128" s="31"/>
      <c r="R128" s="102"/>
      <c r="S128" s="90"/>
      <c r="T128" s="88" t="str">
        <f t="shared" si="26"/>
        <v>NA</v>
      </c>
      <c r="U128" s="88" t="str">
        <f t="shared" si="27"/>
        <v>NA</v>
      </c>
      <c r="V128" s="111"/>
      <c r="W128" s="112"/>
      <c r="X128" s="113"/>
      <c r="Y128" s="112"/>
      <c r="Z128" s="31"/>
      <c r="AA128" s="296"/>
      <c r="AB128" s="89"/>
      <c r="AC128" s="88" t="str">
        <f t="shared" si="22"/>
        <v>NA</v>
      </c>
      <c r="AD128" s="88" t="str">
        <f t="shared" si="23"/>
        <v>NA</v>
      </c>
      <c r="AE128" s="111"/>
      <c r="AF128" s="112"/>
      <c r="AG128" s="113"/>
      <c r="AH128" s="112"/>
      <c r="AI128" s="31"/>
      <c r="AJ128" s="294"/>
      <c r="AK128" s="89"/>
      <c r="AL128" s="88" t="str">
        <f t="shared" si="24"/>
        <v>NA</v>
      </c>
      <c r="AM128" s="88" t="str">
        <f t="shared" si="25"/>
        <v>NA</v>
      </c>
      <c r="AN128" s="111"/>
      <c r="AO128" s="112"/>
      <c r="AP128" s="113"/>
      <c r="AQ128" s="112"/>
      <c r="AR128" s="31"/>
      <c r="AS128" s="32"/>
      <c r="AT128" s="90"/>
      <c r="AU128" s="88"/>
      <c r="AV128" s="88"/>
      <c r="AW128" s="111"/>
      <c r="AX128" s="112"/>
      <c r="AY128" s="113"/>
      <c r="AZ128" s="112"/>
      <c r="BA128" s="31"/>
      <c r="BB128" s="32"/>
      <c r="BC128" s="90"/>
      <c r="BD128" s="88"/>
      <c r="BE128" s="88"/>
      <c r="BF128" s="111"/>
      <c r="BG128" s="112"/>
      <c r="BH128" s="113"/>
      <c r="BI128" s="112"/>
      <c r="BJ128" s="31"/>
      <c r="BK128" s="32"/>
      <c r="BL128" s="90"/>
      <c r="BM128" s="88"/>
      <c r="BN128" s="88"/>
      <c r="BO128" s="111"/>
      <c r="BP128" s="112"/>
      <c r="BQ128" s="113"/>
      <c r="BR128" s="112"/>
      <c r="BS128" s="31"/>
      <c r="BT128" s="32"/>
      <c r="BU128" s="90"/>
      <c r="BV128" s="88"/>
      <c r="BW128" s="88"/>
      <c r="BX128" s="111"/>
      <c r="BY128" s="112"/>
      <c r="BZ128" s="113"/>
      <c r="CA128" s="112"/>
      <c r="CB128" s="31"/>
      <c r="CC128" s="32"/>
      <c r="CD128" s="90"/>
      <c r="CE128" s="88"/>
      <c r="CF128" s="88"/>
      <c r="CG128" s="111"/>
      <c r="CH128" s="112"/>
      <c r="CI128" s="113"/>
      <c r="CJ128" s="112"/>
      <c r="CK128" s="31"/>
      <c r="CL128" s="32"/>
      <c r="CM128" s="90"/>
      <c r="CN128" s="88"/>
      <c r="CO128" s="88"/>
      <c r="CP128" s="111"/>
      <c r="CQ128" s="112"/>
      <c r="CR128" s="113"/>
      <c r="CS128" s="112"/>
      <c r="CT128" s="55"/>
      <c r="CV128" s="230" t="s">
        <v>222</v>
      </c>
      <c r="CX128" s="226" t="s">
        <v>1425</v>
      </c>
      <c r="CY128" s="226" t="s">
        <v>1431</v>
      </c>
      <c r="CZ128" s="226" t="s">
        <v>541</v>
      </c>
      <c r="DA128" s="226" t="s">
        <v>541</v>
      </c>
      <c r="DB128" s="14"/>
      <c r="DC128" s="226" t="s">
        <v>541</v>
      </c>
      <c r="DD128" s="226" t="s">
        <v>541</v>
      </c>
      <c r="DE128" s="226" t="s">
        <v>541</v>
      </c>
      <c r="DF128" s="226" t="s">
        <v>541</v>
      </c>
      <c r="DG128" s="226" t="s">
        <v>541</v>
      </c>
      <c r="DH128" s="14"/>
    </row>
    <row r="129" spans="1:112" ht="12.75" customHeight="1" x14ac:dyDescent="0.25">
      <c r="A129" s="17" t="s">
        <v>426</v>
      </c>
      <c r="B129" s="17" t="s">
        <v>541</v>
      </c>
      <c r="C129" s="17" t="s">
        <v>219</v>
      </c>
      <c r="D129" s="17" t="s">
        <v>220</v>
      </c>
      <c r="E129" s="17" t="b">
        <f t="shared" si="21"/>
        <v>1</v>
      </c>
      <c r="F129" s="127" t="s">
        <v>426</v>
      </c>
      <c r="G129" s="248" t="s">
        <v>541</v>
      </c>
      <c r="H129" s="128" t="s">
        <v>219</v>
      </c>
      <c r="I129" s="128" t="s">
        <v>220</v>
      </c>
      <c r="J129" s="31"/>
      <c r="K129" s="102" t="s">
        <v>354</v>
      </c>
      <c r="L129" s="90"/>
      <c r="M129" s="111"/>
      <c r="N129" s="112"/>
      <c r="O129" s="113"/>
      <c r="P129" s="112"/>
      <c r="Q129" s="31"/>
      <c r="R129" s="102"/>
      <c r="S129" s="90"/>
      <c r="T129" s="88" t="str">
        <f t="shared" si="26"/>
        <v>NA</v>
      </c>
      <c r="U129" s="88" t="str">
        <f t="shared" si="27"/>
        <v>NA</v>
      </c>
      <c r="V129" s="111"/>
      <c r="W129" s="112"/>
      <c r="X129" s="113"/>
      <c r="Y129" s="112"/>
      <c r="Z129" s="31"/>
      <c r="AA129" s="296"/>
      <c r="AB129" s="89"/>
      <c r="AC129" s="88" t="str">
        <f t="shared" si="22"/>
        <v>NA</v>
      </c>
      <c r="AD129" s="88" t="str">
        <f t="shared" si="23"/>
        <v>NA</v>
      </c>
      <c r="AE129" s="111"/>
      <c r="AF129" s="112"/>
      <c r="AG129" s="113"/>
      <c r="AH129" s="112"/>
      <c r="AI129" s="31"/>
      <c r="AJ129" s="294"/>
      <c r="AK129" s="89"/>
      <c r="AL129" s="88" t="str">
        <f t="shared" si="24"/>
        <v>NA</v>
      </c>
      <c r="AM129" s="88" t="str">
        <f t="shared" si="25"/>
        <v>NA</v>
      </c>
      <c r="AN129" s="111"/>
      <c r="AO129" s="112"/>
      <c r="AP129" s="113"/>
      <c r="AQ129" s="112"/>
      <c r="AR129" s="31"/>
      <c r="AS129" s="32"/>
      <c r="AT129" s="90"/>
      <c r="AU129" s="88"/>
      <c r="AV129" s="88"/>
      <c r="AW129" s="111"/>
      <c r="AX129" s="112"/>
      <c r="AY129" s="113"/>
      <c r="AZ129" s="112"/>
      <c r="BA129" s="31"/>
      <c r="BB129" s="32"/>
      <c r="BC129" s="90"/>
      <c r="BD129" s="88"/>
      <c r="BE129" s="88"/>
      <c r="BF129" s="111"/>
      <c r="BG129" s="112"/>
      <c r="BH129" s="113"/>
      <c r="BI129" s="112"/>
      <c r="BJ129" s="31"/>
      <c r="BK129" s="32"/>
      <c r="BL129" s="90"/>
      <c r="BM129" s="88"/>
      <c r="BN129" s="88"/>
      <c r="BO129" s="111"/>
      <c r="BP129" s="112"/>
      <c r="BQ129" s="113"/>
      <c r="BR129" s="112"/>
      <c r="BS129" s="31"/>
      <c r="BT129" s="32"/>
      <c r="BU129" s="90"/>
      <c r="BV129" s="88"/>
      <c r="BW129" s="88"/>
      <c r="BX129" s="111"/>
      <c r="BY129" s="112"/>
      <c r="BZ129" s="113"/>
      <c r="CA129" s="112"/>
      <c r="CB129" s="31"/>
      <c r="CC129" s="32"/>
      <c r="CD129" s="90"/>
      <c r="CE129" s="88"/>
      <c r="CF129" s="88"/>
      <c r="CG129" s="111"/>
      <c r="CH129" s="112"/>
      <c r="CI129" s="113"/>
      <c r="CJ129" s="112"/>
      <c r="CK129" s="31"/>
      <c r="CL129" s="32"/>
      <c r="CM129" s="90"/>
      <c r="CN129" s="88"/>
      <c r="CO129" s="88"/>
      <c r="CP129" s="111"/>
      <c r="CQ129" s="112"/>
      <c r="CR129" s="113"/>
      <c r="CS129" s="112"/>
      <c r="CT129" s="55"/>
      <c r="CV129" s="230" t="s">
        <v>220</v>
      </c>
      <c r="CX129" s="226" t="s">
        <v>1425</v>
      </c>
      <c r="CY129" s="226" t="s">
        <v>1431</v>
      </c>
      <c r="CZ129" s="226" t="s">
        <v>541</v>
      </c>
      <c r="DA129" s="226" t="s">
        <v>541</v>
      </c>
      <c r="DB129" s="14"/>
      <c r="DC129" s="226" t="s">
        <v>541</v>
      </c>
      <c r="DD129" s="226" t="s">
        <v>541</v>
      </c>
      <c r="DE129" s="226" t="s">
        <v>541</v>
      </c>
      <c r="DF129" s="226" t="s">
        <v>541</v>
      </c>
      <c r="DG129" s="226" t="s">
        <v>541</v>
      </c>
      <c r="DH129" s="14"/>
    </row>
    <row r="130" spans="1:112" ht="13" x14ac:dyDescent="0.25">
      <c r="A130" s="17" t="s">
        <v>384</v>
      </c>
      <c r="B130" s="17" t="s">
        <v>541</v>
      </c>
      <c r="C130" s="17" t="s">
        <v>295</v>
      </c>
      <c r="D130" s="17" t="s">
        <v>296</v>
      </c>
      <c r="E130" s="17" t="b">
        <f t="shared" si="21"/>
        <v>1</v>
      </c>
      <c r="F130" s="127" t="s">
        <v>384</v>
      </c>
      <c r="G130" s="248" t="s">
        <v>541</v>
      </c>
      <c r="H130" s="128" t="s">
        <v>295</v>
      </c>
      <c r="I130" s="128" t="s">
        <v>296</v>
      </c>
      <c r="J130" s="31"/>
      <c r="K130" s="102" t="s">
        <v>354</v>
      </c>
      <c r="L130" s="90"/>
      <c r="M130" s="111"/>
      <c r="N130" s="112"/>
      <c r="O130" s="113"/>
      <c r="P130" s="112"/>
      <c r="Q130" s="31"/>
      <c r="R130" s="102"/>
      <c r="S130" s="90"/>
      <c r="T130" s="88" t="str">
        <f t="shared" si="26"/>
        <v>NA</v>
      </c>
      <c r="U130" s="88" t="str">
        <f t="shared" si="27"/>
        <v>NA</v>
      </c>
      <c r="V130" s="111"/>
      <c r="W130" s="112"/>
      <c r="X130" s="113"/>
      <c r="Y130" s="112"/>
      <c r="Z130" s="31"/>
      <c r="AA130" s="296"/>
      <c r="AB130" s="89"/>
      <c r="AC130" s="88" t="str">
        <f t="shared" si="22"/>
        <v>NA</v>
      </c>
      <c r="AD130" s="88" t="str">
        <f t="shared" si="23"/>
        <v>NA</v>
      </c>
      <c r="AE130" s="111"/>
      <c r="AF130" s="112"/>
      <c r="AG130" s="113"/>
      <c r="AH130" s="112"/>
      <c r="AI130" s="31"/>
      <c r="AJ130" s="294"/>
      <c r="AK130" s="89"/>
      <c r="AL130" s="88" t="str">
        <f t="shared" si="24"/>
        <v>NA</v>
      </c>
      <c r="AM130" s="88" t="str">
        <f t="shared" si="25"/>
        <v>NA</v>
      </c>
      <c r="AN130" s="111"/>
      <c r="AO130" s="112"/>
      <c r="AP130" s="113"/>
      <c r="AQ130" s="112"/>
      <c r="AR130" s="31"/>
      <c r="AS130" s="32"/>
      <c r="AT130" s="90"/>
      <c r="AU130" s="88"/>
      <c r="AV130" s="88"/>
      <c r="AW130" s="111"/>
      <c r="AX130" s="112"/>
      <c r="AY130" s="113"/>
      <c r="AZ130" s="112"/>
      <c r="BA130" s="31"/>
      <c r="BB130" s="32"/>
      <c r="BC130" s="90"/>
      <c r="BD130" s="88"/>
      <c r="BE130" s="88"/>
      <c r="BF130" s="111"/>
      <c r="BG130" s="112"/>
      <c r="BH130" s="113"/>
      <c r="BI130" s="112"/>
      <c r="BJ130" s="31"/>
      <c r="BK130" s="32"/>
      <c r="BL130" s="90"/>
      <c r="BM130" s="88"/>
      <c r="BN130" s="88"/>
      <c r="BO130" s="111"/>
      <c r="BP130" s="112"/>
      <c r="BQ130" s="113"/>
      <c r="BR130" s="112"/>
      <c r="BS130" s="31"/>
      <c r="BT130" s="32"/>
      <c r="BU130" s="90"/>
      <c r="BV130" s="88"/>
      <c r="BW130" s="88"/>
      <c r="BX130" s="111"/>
      <c r="BY130" s="112"/>
      <c r="BZ130" s="113"/>
      <c r="CA130" s="112"/>
      <c r="CB130" s="31"/>
      <c r="CC130" s="32"/>
      <c r="CD130" s="90"/>
      <c r="CE130" s="88"/>
      <c r="CF130" s="88"/>
      <c r="CG130" s="111"/>
      <c r="CH130" s="112"/>
      <c r="CI130" s="113"/>
      <c r="CJ130" s="112"/>
      <c r="CK130" s="31"/>
      <c r="CL130" s="32"/>
      <c r="CM130" s="90"/>
      <c r="CN130" s="88"/>
      <c r="CO130" s="88"/>
      <c r="CP130" s="111"/>
      <c r="CQ130" s="112"/>
      <c r="CR130" s="113"/>
      <c r="CS130" s="112"/>
      <c r="CT130" s="55"/>
      <c r="CV130" s="230" t="s">
        <v>296</v>
      </c>
      <c r="CX130" s="226" t="s">
        <v>1424</v>
      </c>
      <c r="CY130" s="226" t="s">
        <v>1431</v>
      </c>
      <c r="CZ130" s="226" t="s">
        <v>541</v>
      </c>
      <c r="DA130" s="226" t="s">
        <v>541</v>
      </c>
      <c r="DB130" s="14"/>
      <c r="DC130" s="226" t="s">
        <v>541</v>
      </c>
      <c r="DD130" s="226" t="s">
        <v>541</v>
      </c>
      <c r="DE130" s="226" t="s">
        <v>541</v>
      </c>
      <c r="DF130" s="226" t="s">
        <v>541</v>
      </c>
      <c r="DG130" s="226" t="s">
        <v>541</v>
      </c>
      <c r="DH130" s="14"/>
    </row>
    <row r="131" spans="1:112" ht="26" x14ac:dyDescent="0.25">
      <c r="A131" s="17" t="s">
        <v>385</v>
      </c>
      <c r="B131" s="17" t="s">
        <v>541</v>
      </c>
      <c r="C131" s="17" t="s">
        <v>293</v>
      </c>
      <c r="D131" s="17" t="s">
        <v>294</v>
      </c>
      <c r="E131" s="17" t="b">
        <f t="shared" si="21"/>
        <v>1</v>
      </c>
      <c r="F131" s="127" t="s">
        <v>385</v>
      </c>
      <c r="G131" s="248" t="s">
        <v>541</v>
      </c>
      <c r="H131" s="128" t="s">
        <v>293</v>
      </c>
      <c r="I131" s="128" t="s">
        <v>294</v>
      </c>
      <c r="J131" s="31"/>
      <c r="K131" s="102" t="s">
        <v>354</v>
      </c>
      <c r="L131" s="90" t="s">
        <v>31</v>
      </c>
      <c r="M131" s="111" t="s">
        <v>2470</v>
      </c>
      <c r="N131" s="112"/>
      <c r="O131" s="113"/>
      <c r="P131" s="112"/>
      <c r="Q131" s="31"/>
      <c r="R131" s="102"/>
      <c r="S131" s="90"/>
      <c r="T131" s="88" t="str">
        <f t="shared" si="26"/>
        <v>NA</v>
      </c>
      <c r="U131" s="88" t="str">
        <f t="shared" si="27"/>
        <v>YES</v>
      </c>
      <c r="V131" s="111"/>
      <c r="W131" s="112"/>
      <c r="X131" s="113"/>
      <c r="Y131" s="112"/>
      <c r="Z131" s="31"/>
      <c r="AA131" s="296"/>
      <c r="AB131" s="89"/>
      <c r="AC131" s="88" t="str">
        <f t="shared" si="22"/>
        <v>NA</v>
      </c>
      <c r="AD131" s="88" t="str">
        <f t="shared" si="23"/>
        <v>NA</v>
      </c>
      <c r="AE131" s="111"/>
      <c r="AF131" s="112"/>
      <c r="AG131" s="113"/>
      <c r="AH131" s="112"/>
      <c r="AI131" s="31"/>
      <c r="AJ131" s="294"/>
      <c r="AK131" s="89"/>
      <c r="AL131" s="88" t="str">
        <f t="shared" si="24"/>
        <v>NA</v>
      </c>
      <c r="AM131" s="88" t="str">
        <f t="shared" si="25"/>
        <v>NA</v>
      </c>
      <c r="AN131" s="111"/>
      <c r="AO131" s="112"/>
      <c r="AP131" s="113"/>
      <c r="AQ131" s="112"/>
      <c r="AR131" s="31"/>
      <c r="AS131" s="32"/>
      <c r="AT131" s="90"/>
      <c r="AU131" s="88"/>
      <c r="AV131" s="88"/>
      <c r="AW131" s="111"/>
      <c r="AX131" s="112"/>
      <c r="AY131" s="113"/>
      <c r="AZ131" s="112"/>
      <c r="BA131" s="31"/>
      <c r="BB131" s="32"/>
      <c r="BC131" s="90"/>
      <c r="BD131" s="88"/>
      <c r="BE131" s="88"/>
      <c r="BF131" s="111"/>
      <c r="BG131" s="112"/>
      <c r="BH131" s="113"/>
      <c r="BI131" s="112"/>
      <c r="BJ131" s="31"/>
      <c r="BK131" s="32"/>
      <c r="BL131" s="90"/>
      <c r="BM131" s="88"/>
      <c r="BN131" s="88"/>
      <c r="BO131" s="111"/>
      <c r="BP131" s="112"/>
      <c r="BQ131" s="113"/>
      <c r="BR131" s="112"/>
      <c r="BS131" s="31"/>
      <c r="BT131" s="32"/>
      <c r="BU131" s="90"/>
      <c r="BV131" s="88"/>
      <c r="BW131" s="88"/>
      <c r="BX131" s="111"/>
      <c r="BY131" s="112"/>
      <c r="BZ131" s="113"/>
      <c r="CA131" s="112"/>
      <c r="CB131" s="31"/>
      <c r="CC131" s="32"/>
      <c r="CD131" s="90"/>
      <c r="CE131" s="88"/>
      <c r="CF131" s="88"/>
      <c r="CG131" s="111"/>
      <c r="CH131" s="112"/>
      <c r="CI131" s="113"/>
      <c r="CJ131" s="112"/>
      <c r="CK131" s="31"/>
      <c r="CL131" s="32"/>
      <c r="CM131" s="90"/>
      <c r="CN131" s="88"/>
      <c r="CO131" s="88"/>
      <c r="CP131" s="111"/>
      <c r="CQ131" s="112"/>
      <c r="CR131" s="113"/>
      <c r="CS131" s="112"/>
      <c r="CT131" s="55"/>
      <c r="CV131" s="230" t="s">
        <v>294</v>
      </c>
      <c r="CX131" s="226" t="s">
        <v>1425</v>
      </c>
      <c r="CY131" s="226" t="s">
        <v>1431</v>
      </c>
      <c r="CZ131" s="226" t="s">
        <v>541</v>
      </c>
      <c r="DA131" s="226" t="s">
        <v>541</v>
      </c>
      <c r="DB131" s="14"/>
      <c r="DC131" s="226" t="s">
        <v>541</v>
      </c>
      <c r="DD131" s="226" t="s">
        <v>541</v>
      </c>
      <c r="DE131" s="226" t="s">
        <v>541</v>
      </c>
      <c r="DF131" s="226" t="s">
        <v>541</v>
      </c>
      <c r="DG131" s="226" t="s">
        <v>541</v>
      </c>
      <c r="DH131" s="14"/>
    </row>
    <row r="132" spans="1:112" ht="39" x14ac:dyDescent="0.25">
      <c r="A132" s="17" t="s">
        <v>427</v>
      </c>
      <c r="B132" s="17" t="s">
        <v>541</v>
      </c>
      <c r="C132" s="17" t="s">
        <v>217</v>
      </c>
      <c r="D132" s="17" t="s">
        <v>218</v>
      </c>
      <c r="E132" s="17" t="b">
        <f t="shared" si="21"/>
        <v>1</v>
      </c>
      <c r="F132" s="127" t="s">
        <v>427</v>
      </c>
      <c r="G132" s="248" t="s">
        <v>541</v>
      </c>
      <c r="H132" s="128" t="s">
        <v>217</v>
      </c>
      <c r="I132" s="128" t="s">
        <v>218</v>
      </c>
      <c r="J132" s="31"/>
      <c r="K132" s="102" t="s">
        <v>354</v>
      </c>
      <c r="L132" s="90"/>
      <c r="M132" s="111"/>
      <c r="N132" s="112"/>
      <c r="O132" s="113"/>
      <c r="P132" s="112"/>
      <c r="Q132" s="31"/>
      <c r="R132" s="102"/>
      <c r="S132" s="90"/>
      <c r="T132" s="88" t="str">
        <f t="shared" si="26"/>
        <v>NA</v>
      </c>
      <c r="U132" s="88" t="str">
        <f t="shared" si="27"/>
        <v>NA</v>
      </c>
      <c r="V132" s="111"/>
      <c r="W132" s="112"/>
      <c r="X132" s="113"/>
      <c r="Y132" s="112"/>
      <c r="Z132" s="31"/>
      <c r="AA132" s="296"/>
      <c r="AB132" s="89"/>
      <c r="AC132" s="88" t="str">
        <f t="shared" si="22"/>
        <v>NA</v>
      </c>
      <c r="AD132" s="88" t="str">
        <f t="shared" si="23"/>
        <v>NA</v>
      </c>
      <c r="AE132" s="111"/>
      <c r="AF132" s="112"/>
      <c r="AG132" s="113"/>
      <c r="AH132" s="112"/>
      <c r="AI132" s="31"/>
      <c r="AJ132" s="294"/>
      <c r="AK132" s="89"/>
      <c r="AL132" s="88" t="str">
        <f t="shared" si="24"/>
        <v>NA</v>
      </c>
      <c r="AM132" s="88" t="str">
        <f t="shared" si="25"/>
        <v>NA</v>
      </c>
      <c r="AN132" s="111"/>
      <c r="AO132" s="112"/>
      <c r="AP132" s="113"/>
      <c r="AQ132" s="112"/>
      <c r="AR132" s="31"/>
      <c r="AS132" s="32"/>
      <c r="AT132" s="90"/>
      <c r="AU132" s="88"/>
      <c r="AV132" s="88"/>
      <c r="AW132" s="111"/>
      <c r="AX132" s="112"/>
      <c r="AY132" s="113"/>
      <c r="AZ132" s="112"/>
      <c r="BA132" s="31"/>
      <c r="BB132" s="32"/>
      <c r="BC132" s="90"/>
      <c r="BD132" s="88"/>
      <c r="BE132" s="88"/>
      <c r="BF132" s="111"/>
      <c r="BG132" s="112"/>
      <c r="BH132" s="113"/>
      <c r="BI132" s="112"/>
      <c r="BJ132" s="31"/>
      <c r="BK132" s="32"/>
      <c r="BL132" s="90"/>
      <c r="BM132" s="88"/>
      <c r="BN132" s="88"/>
      <c r="BO132" s="111"/>
      <c r="BP132" s="112"/>
      <c r="BQ132" s="113"/>
      <c r="BR132" s="112"/>
      <c r="BS132" s="31"/>
      <c r="BT132" s="32"/>
      <c r="BU132" s="90"/>
      <c r="BV132" s="88"/>
      <c r="BW132" s="88"/>
      <c r="BX132" s="111"/>
      <c r="BY132" s="112"/>
      <c r="BZ132" s="113"/>
      <c r="CA132" s="112"/>
      <c r="CB132" s="31"/>
      <c r="CC132" s="32"/>
      <c r="CD132" s="90"/>
      <c r="CE132" s="88"/>
      <c r="CF132" s="88"/>
      <c r="CG132" s="111"/>
      <c r="CH132" s="112"/>
      <c r="CI132" s="113"/>
      <c r="CJ132" s="112"/>
      <c r="CK132" s="31"/>
      <c r="CL132" s="32"/>
      <c r="CM132" s="90"/>
      <c r="CN132" s="88"/>
      <c r="CO132" s="88"/>
      <c r="CP132" s="111"/>
      <c r="CQ132" s="112"/>
      <c r="CR132" s="113"/>
      <c r="CS132" s="112"/>
      <c r="CT132" s="55"/>
      <c r="CV132" s="230" t="s">
        <v>218</v>
      </c>
      <c r="CX132" s="226" t="s">
        <v>1424</v>
      </c>
      <c r="CY132" s="226" t="s">
        <v>1431</v>
      </c>
      <c r="CZ132" s="226" t="s">
        <v>541</v>
      </c>
      <c r="DA132" s="226" t="s">
        <v>541</v>
      </c>
      <c r="DB132" s="14"/>
      <c r="DC132" s="226" t="s">
        <v>541</v>
      </c>
      <c r="DD132" s="226" t="s">
        <v>1421</v>
      </c>
      <c r="DE132" s="226" t="s">
        <v>541</v>
      </c>
      <c r="DF132" s="226" t="s">
        <v>541</v>
      </c>
      <c r="DG132" s="226" t="s">
        <v>541</v>
      </c>
      <c r="DH132" s="14"/>
    </row>
    <row r="133" spans="1:112" ht="39" x14ac:dyDescent="0.25">
      <c r="A133" s="17" t="s">
        <v>428</v>
      </c>
      <c r="B133" s="17" t="s">
        <v>541</v>
      </c>
      <c r="C133" s="17" t="s">
        <v>215</v>
      </c>
      <c r="D133" s="17" t="s">
        <v>216</v>
      </c>
      <c r="E133" s="17" t="b">
        <f t="shared" si="21"/>
        <v>1</v>
      </c>
      <c r="F133" s="127" t="s">
        <v>428</v>
      </c>
      <c r="G133" s="248" t="s">
        <v>541</v>
      </c>
      <c r="H133" s="128" t="s">
        <v>215</v>
      </c>
      <c r="I133" s="128" t="s">
        <v>216</v>
      </c>
      <c r="J133" s="31"/>
      <c r="K133" s="102" t="s">
        <v>354</v>
      </c>
      <c r="L133" s="90"/>
      <c r="M133" s="111"/>
      <c r="N133" s="112"/>
      <c r="O133" s="113"/>
      <c r="P133" s="112"/>
      <c r="Q133" s="31"/>
      <c r="R133" s="102"/>
      <c r="S133" s="90"/>
      <c r="T133" s="88" t="str">
        <f t="shared" si="26"/>
        <v>NA</v>
      </c>
      <c r="U133" s="88" t="str">
        <f t="shared" si="27"/>
        <v>NA</v>
      </c>
      <c r="V133" s="111"/>
      <c r="W133" s="112"/>
      <c r="X133" s="113"/>
      <c r="Y133" s="112"/>
      <c r="Z133" s="31"/>
      <c r="AA133" s="296"/>
      <c r="AB133" s="89"/>
      <c r="AC133" s="88" t="str">
        <f t="shared" si="22"/>
        <v>NA</v>
      </c>
      <c r="AD133" s="88" t="str">
        <f t="shared" si="23"/>
        <v>NA</v>
      </c>
      <c r="AE133" s="111"/>
      <c r="AF133" s="112"/>
      <c r="AG133" s="113"/>
      <c r="AH133" s="112"/>
      <c r="AI133" s="31"/>
      <c r="AJ133" s="294"/>
      <c r="AK133" s="89"/>
      <c r="AL133" s="88" t="str">
        <f t="shared" si="24"/>
        <v>NA</v>
      </c>
      <c r="AM133" s="88" t="str">
        <f t="shared" si="25"/>
        <v>NA</v>
      </c>
      <c r="AN133" s="111"/>
      <c r="AO133" s="112"/>
      <c r="AP133" s="113"/>
      <c r="AQ133" s="112"/>
      <c r="AR133" s="31"/>
      <c r="AS133" s="32"/>
      <c r="AT133" s="90"/>
      <c r="AU133" s="88"/>
      <c r="AV133" s="88"/>
      <c r="AW133" s="111"/>
      <c r="AX133" s="112"/>
      <c r="AY133" s="113"/>
      <c r="AZ133" s="112"/>
      <c r="BA133" s="31"/>
      <c r="BB133" s="32"/>
      <c r="BC133" s="90"/>
      <c r="BD133" s="88"/>
      <c r="BE133" s="88"/>
      <c r="BF133" s="111"/>
      <c r="BG133" s="112"/>
      <c r="BH133" s="113"/>
      <c r="BI133" s="112"/>
      <c r="BJ133" s="31"/>
      <c r="BK133" s="32"/>
      <c r="BL133" s="90"/>
      <c r="BM133" s="88"/>
      <c r="BN133" s="88"/>
      <c r="BO133" s="111"/>
      <c r="BP133" s="112"/>
      <c r="BQ133" s="113"/>
      <c r="BR133" s="112"/>
      <c r="BS133" s="31"/>
      <c r="BT133" s="32"/>
      <c r="BU133" s="90"/>
      <c r="BV133" s="88"/>
      <c r="BW133" s="88"/>
      <c r="BX133" s="111"/>
      <c r="BY133" s="112"/>
      <c r="BZ133" s="113"/>
      <c r="CA133" s="112"/>
      <c r="CB133" s="31"/>
      <c r="CC133" s="32"/>
      <c r="CD133" s="90"/>
      <c r="CE133" s="88"/>
      <c r="CF133" s="88"/>
      <c r="CG133" s="111"/>
      <c r="CH133" s="112"/>
      <c r="CI133" s="113"/>
      <c r="CJ133" s="112"/>
      <c r="CK133" s="31"/>
      <c r="CL133" s="32"/>
      <c r="CM133" s="90"/>
      <c r="CN133" s="88"/>
      <c r="CO133" s="88"/>
      <c r="CP133" s="111"/>
      <c r="CQ133" s="112"/>
      <c r="CR133" s="113"/>
      <c r="CS133" s="112"/>
      <c r="CT133" s="55"/>
      <c r="CV133" s="230" t="s">
        <v>216</v>
      </c>
      <c r="CX133" s="226" t="s">
        <v>1424</v>
      </c>
      <c r="CY133" s="226" t="s">
        <v>1431</v>
      </c>
      <c r="CZ133" s="226" t="s">
        <v>541</v>
      </c>
      <c r="DA133" s="226" t="s">
        <v>541</v>
      </c>
      <c r="DB133" s="14"/>
      <c r="DC133" s="226" t="s">
        <v>541</v>
      </c>
      <c r="DD133" s="226" t="s">
        <v>1421</v>
      </c>
      <c r="DE133" s="226" t="s">
        <v>541</v>
      </c>
      <c r="DF133" s="226" t="s">
        <v>541</v>
      </c>
      <c r="DG133" s="226" t="s">
        <v>541</v>
      </c>
      <c r="DH133" s="14"/>
    </row>
    <row r="134" spans="1:112" ht="39" x14ac:dyDescent="0.25">
      <c r="A134" s="17" t="s">
        <v>429</v>
      </c>
      <c r="B134" s="17" t="s">
        <v>541</v>
      </c>
      <c r="C134" s="17" t="s">
        <v>214</v>
      </c>
      <c r="D134" s="17" t="s">
        <v>649</v>
      </c>
      <c r="E134" s="17" t="b">
        <f t="shared" si="21"/>
        <v>1</v>
      </c>
      <c r="F134" s="127" t="s">
        <v>429</v>
      </c>
      <c r="G134" s="248" t="s">
        <v>541</v>
      </c>
      <c r="H134" s="128" t="s">
        <v>214</v>
      </c>
      <c r="I134" s="128" t="s">
        <v>649</v>
      </c>
      <c r="J134" s="31"/>
      <c r="K134" s="102" t="s">
        <v>583</v>
      </c>
      <c r="L134" s="90"/>
      <c r="M134" s="111"/>
      <c r="N134" s="112"/>
      <c r="O134" s="113"/>
      <c r="P134" s="112"/>
      <c r="Q134" s="31"/>
      <c r="R134" s="102"/>
      <c r="S134" s="90"/>
      <c r="T134" s="88" t="str">
        <f t="shared" si="26"/>
        <v>NA</v>
      </c>
      <c r="U134" s="88" t="str">
        <f t="shared" si="27"/>
        <v>NA</v>
      </c>
      <c r="V134" s="111"/>
      <c r="W134" s="112"/>
      <c r="X134" s="113"/>
      <c r="Y134" s="112"/>
      <c r="Z134" s="31"/>
      <c r="AA134" s="296"/>
      <c r="AB134" s="89"/>
      <c r="AC134" s="88" t="str">
        <f t="shared" si="22"/>
        <v>NA</v>
      </c>
      <c r="AD134" s="88" t="str">
        <f t="shared" si="23"/>
        <v>NA</v>
      </c>
      <c r="AE134" s="111"/>
      <c r="AF134" s="112"/>
      <c r="AG134" s="113"/>
      <c r="AH134" s="112"/>
      <c r="AI134" s="31"/>
      <c r="AJ134" s="294"/>
      <c r="AK134" s="89"/>
      <c r="AL134" s="88" t="str">
        <f t="shared" si="24"/>
        <v>NA</v>
      </c>
      <c r="AM134" s="88" t="str">
        <f t="shared" si="25"/>
        <v>NA</v>
      </c>
      <c r="AN134" s="111"/>
      <c r="AO134" s="112"/>
      <c r="AP134" s="113"/>
      <c r="AQ134" s="112"/>
      <c r="AR134" s="31"/>
      <c r="AS134" s="32"/>
      <c r="AT134" s="90"/>
      <c r="AU134" s="88"/>
      <c r="AV134" s="88"/>
      <c r="AW134" s="111"/>
      <c r="AX134" s="112"/>
      <c r="AY134" s="113"/>
      <c r="AZ134" s="112"/>
      <c r="BA134" s="31"/>
      <c r="BB134" s="32"/>
      <c r="BC134" s="90"/>
      <c r="BD134" s="88"/>
      <c r="BE134" s="88"/>
      <c r="BF134" s="111"/>
      <c r="BG134" s="112"/>
      <c r="BH134" s="113"/>
      <c r="BI134" s="112"/>
      <c r="BJ134" s="31"/>
      <c r="BK134" s="32"/>
      <c r="BL134" s="90"/>
      <c r="BM134" s="88"/>
      <c r="BN134" s="88"/>
      <c r="BO134" s="111"/>
      <c r="BP134" s="112"/>
      <c r="BQ134" s="113"/>
      <c r="BR134" s="112"/>
      <c r="BS134" s="31"/>
      <c r="BT134" s="32"/>
      <c r="BU134" s="90"/>
      <c r="BV134" s="88"/>
      <c r="BW134" s="88"/>
      <c r="BX134" s="111"/>
      <c r="BY134" s="112"/>
      <c r="BZ134" s="113"/>
      <c r="CA134" s="112"/>
      <c r="CB134" s="31"/>
      <c r="CC134" s="32"/>
      <c r="CD134" s="90"/>
      <c r="CE134" s="88"/>
      <c r="CF134" s="88"/>
      <c r="CG134" s="111"/>
      <c r="CH134" s="112"/>
      <c r="CI134" s="113"/>
      <c r="CJ134" s="112"/>
      <c r="CK134" s="31"/>
      <c r="CL134" s="32"/>
      <c r="CM134" s="90"/>
      <c r="CN134" s="88"/>
      <c r="CO134" s="88"/>
      <c r="CP134" s="111"/>
      <c r="CQ134" s="112"/>
      <c r="CR134" s="113"/>
      <c r="CS134" s="112"/>
      <c r="CT134" s="55"/>
      <c r="CV134" s="230" t="s">
        <v>649</v>
      </c>
      <c r="CX134" s="226" t="s">
        <v>1424</v>
      </c>
      <c r="CY134" s="226" t="s">
        <v>1435</v>
      </c>
      <c r="CZ134" s="226" t="s">
        <v>541</v>
      </c>
      <c r="DA134" s="226" t="s">
        <v>541</v>
      </c>
      <c r="DB134" s="226"/>
      <c r="DC134" s="226" t="s">
        <v>541</v>
      </c>
      <c r="DD134" s="226" t="s">
        <v>1421</v>
      </c>
      <c r="DE134" s="226" t="s">
        <v>541</v>
      </c>
      <c r="DF134" s="226" t="s">
        <v>541</v>
      </c>
      <c r="DG134" s="226" t="s">
        <v>541</v>
      </c>
      <c r="DH134" s="14"/>
    </row>
    <row r="135" spans="1:112" ht="91" x14ac:dyDescent="0.25">
      <c r="A135" s="17" t="s">
        <v>430</v>
      </c>
      <c r="B135" s="17" t="s">
        <v>541</v>
      </c>
      <c r="C135" s="17" t="s">
        <v>213</v>
      </c>
      <c r="D135" s="17" t="s">
        <v>2099</v>
      </c>
      <c r="E135" s="17" t="b">
        <f t="shared" si="21"/>
        <v>0</v>
      </c>
      <c r="F135" s="127" t="s">
        <v>430</v>
      </c>
      <c r="G135" s="248" t="s">
        <v>541</v>
      </c>
      <c r="H135" s="128" t="s">
        <v>213</v>
      </c>
      <c r="I135" s="128" t="s">
        <v>650</v>
      </c>
      <c r="J135" s="31"/>
      <c r="K135" s="102" t="s">
        <v>583</v>
      </c>
      <c r="L135" s="90"/>
      <c r="M135" s="111"/>
      <c r="N135" s="112"/>
      <c r="O135" s="113"/>
      <c r="P135" s="112"/>
      <c r="Q135" s="31"/>
      <c r="R135" s="102"/>
      <c r="S135" s="90"/>
      <c r="T135" s="88" t="str">
        <f t="shared" si="26"/>
        <v>NA</v>
      </c>
      <c r="U135" s="88" t="str">
        <f t="shared" si="27"/>
        <v>NA</v>
      </c>
      <c r="V135" s="111"/>
      <c r="W135" s="112"/>
      <c r="X135" s="113"/>
      <c r="Y135" s="112"/>
      <c r="Z135" s="31"/>
      <c r="AA135" s="296"/>
      <c r="AB135" s="89"/>
      <c r="AC135" s="88" t="str">
        <f t="shared" si="22"/>
        <v>NA</v>
      </c>
      <c r="AD135" s="88" t="str">
        <f t="shared" si="23"/>
        <v>NA</v>
      </c>
      <c r="AE135" s="111"/>
      <c r="AF135" s="112"/>
      <c r="AG135" s="113"/>
      <c r="AH135" s="112"/>
      <c r="AI135" s="31"/>
      <c r="AJ135" s="294"/>
      <c r="AK135" s="89"/>
      <c r="AL135" s="88" t="str">
        <f t="shared" si="24"/>
        <v>NA</v>
      </c>
      <c r="AM135" s="88" t="str">
        <f t="shared" si="25"/>
        <v>NA</v>
      </c>
      <c r="AN135" s="111"/>
      <c r="AO135" s="112"/>
      <c r="AP135" s="113"/>
      <c r="AQ135" s="112"/>
      <c r="AR135" s="31"/>
      <c r="AS135" s="32"/>
      <c r="AT135" s="90"/>
      <c r="AU135" s="88"/>
      <c r="AV135" s="88"/>
      <c r="AW135" s="111"/>
      <c r="AX135" s="112"/>
      <c r="AY135" s="113"/>
      <c r="AZ135" s="112"/>
      <c r="BA135" s="31"/>
      <c r="BB135" s="32"/>
      <c r="BC135" s="90"/>
      <c r="BD135" s="88"/>
      <c r="BE135" s="88"/>
      <c r="BF135" s="111"/>
      <c r="BG135" s="112"/>
      <c r="BH135" s="113"/>
      <c r="BI135" s="112"/>
      <c r="BJ135" s="31"/>
      <c r="BK135" s="32"/>
      <c r="BL135" s="90"/>
      <c r="BM135" s="88"/>
      <c r="BN135" s="88"/>
      <c r="BO135" s="111"/>
      <c r="BP135" s="112"/>
      <c r="BQ135" s="113"/>
      <c r="BR135" s="112"/>
      <c r="BS135" s="31"/>
      <c r="BT135" s="32"/>
      <c r="BU135" s="90"/>
      <c r="BV135" s="88"/>
      <c r="BW135" s="88"/>
      <c r="BX135" s="111"/>
      <c r="BY135" s="112"/>
      <c r="BZ135" s="113"/>
      <c r="CA135" s="112"/>
      <c r="CB135" s="31"/>
      <c r="CC135" s="32"/>
      <c r="CD135" s="90"/>
      <c r="CE135" s="88"/>
      <c r="CF135" s="88"/>
      <c r="CG135" s="111"/>
      <c r="CH135" s="112"/>
      <c r="CI135" s="113"/>
      <c r="CJ135" s="112"/>
      <c r="CK135" s="31"/>
      <c r="CL135" s="32"/>
      <c r="CM135" s="90"/>
      <c r="CN135" s="88"/>
      <c r="CO135" s="88"/>
      <c r="CP135" s="111"/>
      <c r="CQ135" s="112"/>
      <c r="CR135" s="113"/>
      <c r="CS135" s="112"/>
      <c r="CT135" s="55"/>
      <c r="CV135" s="230" t="s">
        <v>650</v>
      </c>
      <c r="CX135" s="226" t="s">
        <v>1424</v>
      </c>
      <c r="CY135" s="226" t="s">
        <v>541</v>
      </c>
      <c r="CZ135" s="226" t="s">
        <v>541</v>
      </c>
      <c r="DA135" s="226" t="s">
        <v>541</v>
      </c>
      <c r="DB135" s="226"/>
      <c r="DC135" s="226" t="s">
        <v>541</v>
      </c>
      <c r="DD135" s="226" t="s">
        <v>1421</v>
      </c>
      <c r="DE135" s="226" t="s">
        <v>541</v>
      </c>
      <c r="DF135" s="226" t="s">
        <v>541</v>
      </c>
      <c r="DG135" s="226" t="s">
        <v>541</v>
      </c>
      <c r="DH135" s="14"/>
    </row>
    <row r="136" spans="1:112" ht="39" x14ac:dyDescent="0.25">
      <c r="A136" s="17" t="s">
        <v>431</v>
      </c>
      <c r="B136" s="17" t="s">
        <v>541</v>
      </c>
      <c r="C136" s="17" t="s">
        <v>211</v>
      </c>
      <c r="D136" s="17" t="s">
        <v>2100</v>
      </c>
      <c r="E136" s="17" t="b">
        <f t="shared" si="21"/>
        <v>0</v>
      </c>
      <c r="F136" s="127" t="s">
        <v>431</v>
      </c>
      <c r="G136" s="248" t="s">
        <v>541</v>
      </c>
      <c r="H136" s="128" t="s">
        <v>211</v>
      </c>
      <c r="I136" s="128" t="s">
        <v>1477</v>
      </c>
      <c r="J136" s="31"/>
      <c r="K136" s="102" t="s">
        <v>583</v>
      </c>
      <c r="L136" s="89"/>
      <c r="M136" s="111"/>
      <c r="N136" s="112"/>
      <c r="O136" s="113"/>
      <c r="P136" s="112"/>
      <c r="Q136" s="31"/>
      <c r="R136" s="102"/>
      <c r="S136" s="89"/>
      <c r="T136" s="88" t="str">
        <f t="shared" si="26"/>
        <v>NA</v>
      </c>
      <c r="U136" s="88" t="str">
        <f t="shared" si="27"/>
        <v>NA</v>
      </c>
      <c r="V136" s="111"/>
      <c r="W136" s="112"/>
      <c r="X136" s="113"/>
      <c r="Y136" s="112"/>
      <c r="Z136" s="31"/>
      <c r="AA136" s="296"/>
      <c r="AB136" s="89"/>
      <c r="AC136" s="88" t="str">
        <f t="shared" si="22"/>
        <v>NA</v>
      </c>
      <c r="AD136" s="88" t="str">
        <f t="shared" si="23"/>
        <v>NA</v>
      </c>
      <c r="AE136" s="111"/>
      <c r="AF136" s="112"/>
      <c r="AG136" s="113"/>
      <c r="AH136" s="112"/>
      <c r="AI136" s="31"/>
      <c r="AJ136" s="294"/>
      <c r="AK136" s="89"/>
      <c r="AL136" s="88" t="str">
        <f t="shared" si="24"/>
        <v>NA</v>
      </c>
      <c r="AM136" s="88" t="str">
        <f t="shared" si="25"/>
        <v>NA</v>
      </c>
      <c r="AN136" s="111"/>
      <c r="AO136" s="112"/>
      <c r="AP136" s="113"/>
      <c r="AQ136" s="112"/>
      <c r="AR136" s="31"/>
      <c r="AS136" s="32"/>
      <c r="AT136" s="90"/>
      <c r="AU136" s="88"/>
      <c r="AV136" s="88"/>
      <c r="AW136" s="111"/>
      <c r="AX136" s="112"/>
      <c r="AY136" s="113"/>
      <c r="AZ136" s="112"/>
      <c r="BA136" s="31"/>
      <c r="BB136" s="32"/>
      <c r="BC136" s="90"/>
      <c r="BD136" s="88"/>
      <c r="BE136" s="88"/>
      <c r="BF136" s="111"/>
      <c r="BG136" s="112"/>
      <c r="BH136" s="113"/>
      <c r="BI136" s="112"/>
      <c r="BJ136" s="31"/>
      <c r="BK136" s="32"/>
      <c r="BL136" s="90"/>
      <c r="BM136" s="88"/>
      <c r="BN136" s="88"/>
      <c r="BO136" s="111"/>
      <c r="BP136" s="112"/>
      <c r="BQ136" s="113"/>
      <c r="BR136" s="112"/>
      <c r="BS136" s="31"/>
      <c r="BT136" s="32"/>
      <c r="BU136" s="90"/>
      <c r="BV136" s="88"/>
      <c r="BW136" s="88"/>
      <c r="BX136" s="111"/>
      <c r="BY136" s="112"/>
      <c r="BZ136" s="113"/>
      <c r="CA136" s="112"/>
      <c r="CB136" s="31"/>
      <c r="CC136" s="32"/>
      <c r="CD136" s="90"/>
      <c r="CE136" s="88"/>
      <c r="CF136" s="88"/>
      <c r="CG136" s="111"/>
      <c r="CH136" s="112"/>
      <c r="CI136" s="113"/>
      <c r="CJ136" s="112"/>
      <c r="CK136" s="31"/>
      <c r="CL136" s="32"/>
      <c r="CM136" s="90"/>
      <c r="CN136" s="88"/>
      <c r="CO136" s="88"/>
      <c r="CP136" s="111"/>
      <c r="CQ136" s="112"/>
      <c r="CR136" s="113"/>
      <c r="CS136" s="112"/>
      <c r="CT136" s="55"/>
      <c r="CV136" s="230" t="s">
        <v>212</v>
      </c>
      <c r="CX136" s="226" t="s">
        <v>1424</v>
      </c>
      <c r="CY136" s="226" t="s">
        <v>541</v>
      </c>
      <c r="CZ136" s="226" t="s">
        <v>541</v>
      </c>
      <c r="DA136" s="226" t="s">
        <v>541</v>
      </c>
      <c r="DB136" s="226"/>
      <c r="DC136" s="226" t="s">
        <v>541</v>
      </c>
      <c r="DD136" s="226" t="s">
        <v>541</v>
      </c>
      <c r="DE136" s="226" t="s">
        <v>541</v>
      </c>
      <c r="DF136" s="226" t="s">
        <v>541</v>
      </c>
      <c r="DG136" s="226" t="s">
        <v>541</v>
      </c>
      <c r="DH136" s="14"/>
    </row>
    <row r="137" spans="1:112" ht="12.75" customHeight="1" x14ac:dyDescent="0.25">
      <c r="A137" s="17" t="s">
        <v>1004</v>
      </c>
      <c r="B137" s="17" t="s">
        <v>2376</v>
      </c>
      <c r="C137" s="17" t="s">
        <v>750</v>
      </c>
      <c r="D137" s="17" t="s">
        <v>769</v>
      </c>
      <c r="E137" s="17" t="b">
        <f t="shared" ref="E137:E200" si="28">D137=I137</f>
        <v>1</v>
      </c>
      <c r="F137" s="232" t="s">
        <v>2101</v>
      </c>
      <c r="G137" s="278" t="s">
        <v>2171</v>
      </c>
      <c r="H137" s="128" t="s">
        <v>750</v>
      </c>
      <c r="I137" s="233" t="s">
        <v>769</v>
      </c>
      <c r="J137" s="31"/>
      <c r="K137" s="102" t="s">
        <v>354</v>
      </c>
      <c r="L137" s="90"/>
      <c r="M137" s="111"/>
      <c r="N137" s="112"/>
      <c r="O137" s="113"/>
      <c r="P137" s="112"/>
      <c r="Q137" s="31"/>
      <c r="R137" s="102"/>
      <c r="S137" s="90"/>
      <c r="T137" s="88" t="str">
        <f t="shared" si="26"/>
        <v>NA</v>
      </c>
      <c r="U137" s="88" t="str">
        <f t="shared" si="27"/>
        <v>NA</v>
      </c>
      <c r="V137" s="111"/>
      <c r="W137" s="112"/>
      <c r="X137" s="113"/>
      <c r="Y137" s="112"/>
      <c r="Z137" s="31"/>
      <c r="AA137" s="296"/>
      <c r="AB137" s="89"/>
      <c r="AC137" s="88" t="str">
        <f t="shared" ref="AC137" si="29">IF(LEFT(AB137,1)&lt;&gt;"x","NA",IF(RIGHT(AA137,3)=RIGHT(R137,3),IF(RIGHT(AA137,3)&lt;&gt;RIGHT(K137,3),IF(OR(AND(RIGHT(AA137,3)=RIGHT(R137,3),AB137=S137),AND(RIGHT(AA137,3)=RIGHT(K137,3),AB137=L137)),"NO","YES"),"NO"),IF(OR(RIGHT(AA137,3)=RIGHT(R137,3),RIGHT(AA137,3)=RIGHT(K137,3)),"ERROR","YES")))</f>
        <v>NA</v>
      </c>
      <c r="AD137" s="88" t="str">
        <f t="shared" ref="AD137" si="30">IF(LEFT(S137,1)&lt;&gt;LEFT(AB137,1),"YES",IF(LEFT(AB137,1)="x","NO","NA"))</f>
        <v>NA</v>
      </c>
      <c r="AE137" s="111"/>
      <c r="AF137" s="112"/>
      <c r="AG137" s="113"/>
      <c r="AH137" s="112"/>
      <c r="AI137" s="31"/>
      <c r="AJ137" s="294"/>
      <c r="AK137" s="89"/>
      <c r="AL137" s="88" t="str">
        <f t="shared" ref="AL137:AL200" si="31">IF(LEFT(AK137,1)&lt;&gt;"x","NA",IF(RIGHT(AJ137,3)=RIGHT(AA137,3),IF(RIGHT(AJ137,3)&lt;&gt;RIGHT(T137,3),IF(OR(AND(RIGHT(AJ137,3)=RIGHT(AA137,3),AK137=AB137),AND(RIGHT(AJ137,3)=RIGHT(T137,3),AK137=U137)),"NO","YES"),"NO"),IF(OR(RIGHT(AJ137,3)=RIGHT(AA137,3),RIGHT(AJ137,3)=RIGHT(T137,3)),"ERROR","YES")))</f>
        <v>NA</v>
      </c>
      <c r="AM137" s="88" t="str">
        <f t="shared" ref="AM137:AM200" si="32">IF(LEFT(AB137,1)&lt;&gt;LEFT(AK137,1),"YES",IF(LEFT(AK137,1)="x","NO","NA"))</f>
        <v>NA</v>
      </c>
      <c r="AN137" s="111"/>
      <c r="AO137" s="112"/>
      <c r="AP137" s="113"/>
      <c r="AQ137" s="112"/>
      <c r="AR137" s="31"/>
      <c r="AS137" s="32"/>
      <c r="AT137" s="90"/>
      <c r="AU137" s="88"/>
      <c r="AV137" s="88"/>
      <c r="AW137" s="111"/>
      <c r="AX137" s="112"/>
      <c r="AY137" s="113"/>
      <c r="AZ137" s="112"/>
      <c r="BA137" s="31"/>
      <c r="BB137" s="32"/>
      <c r="BC137" s="90"/>
      <c r="BD137" s="88"/>
      <c r="BE137" s="88"/>
      <c r="BF137" s="111"/>
      <c r="BG137" s="112"/>
      <c r="BH137" s="113"/>
      <c r="BI137" s="112"/>
      <c r="BJ137" s="31"/>
      <c r="BK137" s="32"/>
      <c r="BL137" s="90"/>
      <c r="BM137" s="88"/>
      <c r="BN137" s="88"/>
      <c r="BO137" s="111"/>
      <c r="BP137" s="112"/>
      <c r="BQ137" s="113"/>
      <c r="BR137" s="112"/>
      <c r="BS137" s="31"/>
      <c r="BT137" s="32"/>
      <c r="BU137" s="90"/>
      <c r="BV137" s="88"/>
      <c r="BW137" s="88"/>
      <c r="BX137" s="111"/>
      <c r="BY137" s="112"/>
      <c r="BZ137" s="113"/>
      <c r="CA137" s="112"/>
      <c r="CB137" s="31"/>
      <c r="CC137" s="32"/>
      <c r="CD137" s="90"/>
      <c r="CE137" s="88"/>
      <c r="CF137" s="88"/>
      <c r="CG137" s="111"/>
      <c r="CH137" s="112"/>
      <c r="CI137" s="113"/>
      <c r="CJ137" s="112"/>
      <c r="CK137" s="31"/>
      <c r="CL137" s="32"/>
      <c r="CM137" s="90"/>
      <c r="CN137" s="88"/>
      <c r="CO137" s="88"/>
      <c r="CP137" s="111"/>
      <c r="CQ137" s="112"/>
      <c r="CR137" s="113"/>
      <c r="CS137" s="112"/>
      <c r="CT137" s="55"/>
      <c r="CV137" s="230"/>
      <c r="CX137" s="226" t="s">
        <v>1424</v>
      </c>
      <c r="CY137" s="226" t="s">
        <v>1435</v>
      </c>
      <c r="CZ137" s="226" t="s">
        <v>541</v>
      </c>
      <c r="DA137" s="226" t="s">
        <v>541</v>
      </c>
      <c r="DB137" s="226"/>
      <c r="DC137" s="226" t="s">
        <v>541</v>
      </c>
      <c r="DD137" s="226" t="s">
        <v>1421</v>
      </c>
      <c r="DE137" s="226" t="s">
        <v>541</v>
      </c>
      <c r="DF137" s="226" t="s">
        <v>541</v>
      </c>
      <c r="DG137" s="226" t="s">
        <v>541</v>
      </c>
      <c r="DH137" s="14"/>
    </row>
    <row r="138" spans="1:112" ht="12.75" customHeight="1" x14ac:dyDescent="0.25">
      <c r="A138" s="17" t="s">
        <v>432</v>
      </c>
      <c r="B138" s="17" t="s">
        <v>541</v>
      </c>
      <c r="C138" s="17" t="s">
        <v>209</v>
      </c>
      <c r="D138" s="17" t="s">
        <v>210</v>
      </c>
      <c r="E138" s="17" t="b">
        <f t="shared" si="28"/>
        <v>1</v>
      </c>
      <c r="F138" s="127" t="s">
        <v>432</v>
      </c>
      <c r="G138" s="248" t="s">
        <v>541</v>
      </c>
      <c r="H138" s="128" t="s">
        <v>209</v>
      </c>
      <c r="I138" s="128" t="s">
        <v>210</v>
      </c>
      <c r="J138" s="31"/>
      <c r="K138" s="102" t="s">
        <v>354</v>
      </c>
      <c r="L138" s="90"/>
      <c r="M138" s="111"/>
      <c r="N138" s="112"/>
      <c r="O138" s="113"/>
      <c r="P138" s="112"/>
      <c r="Q138" s="31"/>
      <c r="R138" s="102"/>
      <c r="S138" s="90"/>
      <c r="T138" s="88" t="str">
        <f t="shared" si="26"/>
        <v>NA</v>
      </c>
      <c r="U138" s="88" t="str">
        <f t="shared" si="27"/>
        <v>NA</v>
      </c>
      <c r="V138" s="111"/>
      <c r="W138" s="112"/>
      <c r="X138" s="113"/>
      <c r="Y138" s="112"/>
      <c r="Z138" s="31"/>
      <c r="AA138" s="296"/>
      <c r="AB138" s="89"/>
      <c r="AC138" s="88" t="str">
        <f t="shared" ref="AC138:AC200" si="33">IF(LEFT(AB138,1)&lt;&gt;"x","NA",IF(RIGHT(AA138,3)=RIGHT(R138,3),IF(RIGHT(AA138,3)&lt;&gt;RIGHT(K138,3),IF(OR(AND(RIGHT(AA138,3)=RIGHT(R138,3),AB138=S138),AND(RIGHT(AA138,3)=RIGHT(K138,3),AB138=L138)),"NO","YES"),"NO"),IF(OR(RIGHT(AA138,3)=RIGHT(R138,3),RIGHT(AA138,3)=RIGHT(K138,3)),"ERROR","YES")))</f>
        <v>NA</v>
      </c>
      <c r="AD138" s="88" t="str">
        <f t="shared" ref="AD138:AD200" si="34">IF(LEFT(S138,1)&lt;&gt;LEFT(AB138,1),"YES",IF(LEFT(AB138,1)="x","NO","NA"))</f>
        <v>NA</v>
      </c>
      <c r="AE138" s="111"/>
      <c r="AF138" s="112"/>
      <c r="AG138" s="113"/>
      <c r="AH138" s="112"/>
      <c r="AI138" s="31"/>
      <c r="AJ138" s="294"/>
      <c r="AK138" s="89"/>
      <c r="AL138" s="88" t="str">
        <f t="shared" si="31"/>
        <v>NA</v>
      </c>
      <c r="AM138" s="88" t="str">
        <f t="shared" si="32"/>
        <v>NA</v>
      </c>
      <c r="AN138" s="111"/>
      <c r="AO138" s="112"/>
      <c r="AP138" s="113"/>
      <c r="AQ138" s="112"/>
      <c r="AR138" s="31"/>
      <c r="AS138" s="32"/>
      <c r="AT138" s="90"/>
      <c r="AU138" s="88"/>
      <c r="AV138" s="88"/>
      <c r="AW138" s="111"/>
      <c r="AX138" s="112"/>
      <c r="AY138" s="113"/>
      <c r="AZ138" s="112"/>
      <c r="BA138" s="31"/>
      <c r="BB138" s="32"/>
      <c r="BC138" s="90"/>
      <c r="BD138" s="88"/>
      <c r="BE138" s="88"/>
      <c r="BF138" s="111"/>
      <c r="BG138" s="112"/>
      <c r="BH138" s="113"/>
      <c r="BI138" s="112"/>
      <c r="BJ138" s="31"/>
      <c r="BK138" s="32"/>
      <c r="BL138" s="90"/>
      <c r="BM138" s="88"/>
      <c r="BN138" s="88"/>
      <c r="BO138" s="111"/>
      <c r="BP138" s="112"/>
      <c r="BQ138" s="113"/>
      <c r="BR138" s="112"/>
      <c r="BS138" s="31"/>
      <c r="BT138" s="32"/>
      <c r="BU138" s="90"/>
      <c r="BV138" s="88"/>
      <c r="BW138" s="88"/>
      <c r="BX138" s="111"/>
      <c r="BY138" s="112"/>
      <c r="BZ138" s="113"/>
      <c r="CA138" s="112"/>
      <c r="CB138" s="31"/>
      <c r="CC138" s="32"/>
      <c r="CD138" s="90"/>
      <c r="CE138" s="88"/>
      <c r="CF138" s="88"/>
      <c r="CG138" s="111"/>
      <c r="CH138" s="112"/>
      <c r="CI138" s="113"/>
      <c r="CJ138" s="112"/>
      <c r="CK138" s="31"/>
      <c r="CL138" s="32"/>
      <c r="CM138" s="90"/>
      <c r="CN138" s="88"/>
      <c r="CO138" s="88"/>
      <c r="CP138" s="111"/>
      <c r="CQ138" s="112"/>
      <c r="CR138" s="113"/>
      <c r="CS138" s="112"/>
      <c r="CT138" s="55"/>
      <c r="CV138" s="230" t="s">
        <v>210</v>
      </c>
      <c r="CX138" s="226" t="s">
        <v>1424</v>
      </c>
      <c r="CY138" s="226" t="s">
        <v>541</v>
      </c>
      <c r="CZ138" s="226" t="s">
        <v>541</v>
      </c>
      <c r="DA138" s="226" t="s">
        <v>541</v>
      </c>
      <c r="DB138" s="226"/>
      <c r="DC138" s="226" t="s">
        <v>541</v>
      </c>
      <c r="DD138" s="226" t="s">
        <v>1421</v>
      </c>
      <c r="DE138" s="226" t="s">
        <v>541</v>
      </c>
      <c r="DF138" s="226" t="s">
        <v>541</v>
      </c>
      <c r="DG138" s="226" t="s">
        <v>541</v>
      </c>
      <c r="DH138" s="14"/>
    </row>
    <row r="139" spans="1:112" ht="12.75" customHeight="1" x14ac:dyDescent="0.25">
      <c r="A139" s="17" t="s">
        <v>433</v>
      </c>
      <c r="B139" s="17" t="s">
        <v>541</v>
      </c>
      <c r="C139" s="17" t="s">
        <v>207</v>
      </c>
      <c r="D139" s="17" t="s">
        <v>208</v>
      </c>
      <c r="E139" s="17" t="b">
        <f t="shared" si="28"/>
        <v>1</v>
      </c>
      <c r="F139" s="127" t="s">
        <v>433</v>
      </c>
      <c r="G139" s="248" t="s">
        <v>541</v>
      </c>
      <c r="H139" s="128" t="s">
        <v>207</v>
      </c>
      <c r="I139" s="128" t="s">
        <v>208</v>
      </c>
      <c r="J139" s="31"/>
      <c r="K139" s="102" t="s">
        <v>354</v>
      </c>
      <c r="L139" s="90"/>
      <c r="M139" s="111"/>
      <c r="N139" s="112"/>
      <c r="O139" s="113"/>
      <c r="P139" s="112"/>
      <c r="Q139" s="31"/>
      <c r="R139" s="102"/>
      <c r="S139" s="90"/>
      <c r="T139" s="88" t="str">
        <f t="shared" si="26"/>
        <v>NA</v>
      </c>
      <c r="U139" s="88" t="str">
        <f t="shared" si="27"/>
        <v>NA</v>
      </c>
      <c r="V139" s="111"/>
      <c r="W139" s="112"/>
      <c r="X139" s="113"/>
      <c r="Y139" s="112"/>
      <c r="Z139" s="31"/>
      <c r="AA139" s="296"/>
      <c r="AB139" s="89"/>
      <c r="AC139" s="88" t="str">
        <f t="shared" si="33"/>
        <v>NA</v>
      </c>
      <c r="AD139" s="88" t="str">
        <f t="shared" si="34"/>
        <v>NA</v>
      </c>
      <c r="AE139" s="111"/>
      <c r="AF139" s="112"/>
      <c r="AG139" s="113"/>
      <c r="AH139" s="112"/>
      <c r="AI139" s="31"/>
      <c r="AJ139" s="294"/>
      <c r="AK139" s="89"/>
      <c r="AL139" s="88" t="str">
        <f t="shared" si="31"/>
        <v>NA</v>
      </c>
      <c r="AM139" s="88" t="str">
        <f t="shared" si="32"/>
        <v>NA</v>
      </c>
      <c r="AN139" s="111"/>
      <c r="AO139" s="112"/>
      <c r="AP139" s="113"/>
      <c r="AQ139" s="112"/>
      <c r="AR139" s="31"/>
      <c r="AS139" s="32"/>
      <c r="AT139" s="90"/>
      <c r="AU139" s="88"/>
      <c r="AV139" s="88"/>
      <c r="AW139" s="111"/>
      <c r="AX139" s="112"/>
      <c r="AY139" s="113"/>
      <c r="AZ139" s="112"/>
      <c r="BA139" s="31"/>
      <c r="BB139" s="32"/>
      <c r="BC139" s="90"/>
      <c r="BD139" s="88"/>
      <c r="BE139" s="88"/>
      <c r="BF139" s="111"/>
      <c r="BG139" s="112"/>
      <c r="BH139" s="113"/>
      <c r="BI139" s="112"/>
      <c r="BJ139" s="31"/>
      <c r="BK139" s="32"/>
      <c r="BL139" s="90"/>
      <c r="BM139" s="88"/>
      <c r="BN139" s="88"/>
      <c r="BO139" s="111"/>
      <c r="BP139" s="112"/>
      <c r="BQ139" s="113"/>
      <c r="BR139" s="112"/>
      <c r="BS139" s="31"/>
      <c r="BT139" s="32"/>
      <c r="BU139" s="90"/>
      <c r="BV139" s="88"/>
      <c r="BW139" s="88"/>
      <c r="BX139" s="111"/>
      <c r="BY139" s="112"/>
      <c r="BZ139" s="113"/>
      <c r="CA139" s="112"/>
      <c r="CB139" s="31"/>
      <c r="CC139" s="32"/>
      <c r="CD139" s="90"/>
      <c r="CE139" s="88"/>
      <c r="CF139" s="88"/>
      <c r="CG139" s="111"/>
      <c r="CH139" s="112"/>
      <c r="CI139" s="113"/>
      <c r="CJ139" s="112"/>
      <c r="CK139" s="31"/>
      <c r="CL139" s="32"/>
      <c r="CM139" s="90"/>
      <c r="CN139" s="88"/>
      <c r="CO139" s="88"/>
      <c r="CP139" s="111"/>
      <c r="CQ139" s="112"/>
      <c r="CR139" s="113"/>
      <c r="CS139" s="112"/>
      <c r="CT139" s="55"/>
      <c r="CV139" s="230" t="s">
        <v>208</v>
      </c>
      <c r="CX139" s="226" t="s">
        <v>1424</v>
      </c>
      <c r="CY139" s="226" t="s">
        <v>541</v>
      </c>
      <c r="CZ139" s="226" t="s">
        <v>541</v>
      </c>
      <c r="DA139" s="226" t="s">
        <v>541</v>
      </c>
      <c r="DB139" s="14"/>
      <c r="DC139" s="226" t="s">
        <v>541</v>
      </c>
      <c r="DD139" s="226" t="s">
        <v>541</v>
      </c>
      <c r="DE139" s="226" t="s">
        <v>541</v>
      </c>
      <c r="DF139" s="226" t="s">
        <v>1446</v>
      </c>
      <c r="DG139" s="226" t="s">
        <v>541</v>
      </c>
      <c r="DH139" s="14"/>
    </row>
    <row r="140" spans="1:112" ht="12.75" customHeight="1" x14ac:dyDescent="0.25">
      <c r="A140" s="17" t="s">
        <v>434</v>
      </c>
      <c r="B140" s="17" t="s">
        <v>541</v>
      </c>
      <c r="C140" s="17" t="s">
        <v>206</v>
      </c>
      <c r="D140" s="17" t="s">
        <v>651</v>
      </c>
      <c r="E140" s="17" t="b">
        <f t="shared" si="28"/>
        <v>1</v>
      </c>
      <c r="F140" s="127" t="s">
        <v>434</v>
      </c>
      <c r="G140" s="248" t="s">
        <v>541</v>
      </c>
      <c r="H140" s="128" t="s">
        <v>206</v>
      </c>
      <c r="I140" s="128" t="s">
        <v>651</v>
      </c>
      <c r="J140" s="31"/>
      <c r="K140" s="102" t="s">
        <v>583</v>
      </c>
      <c r="L140" s="90"/>
      <c r="M140" s="111"/>
      <c r="N140" s="112"/>
      <c r="O140" s="113"/>
      <c r="P140" s="112"/>
      <c r="Q140" s="31"/>
      <c r="R140" s="102"/>
      <c r="S140" s="90"/>
      <c r="T140" s="88" t="str">
        <f t="shared" si="26"/>
        <v>NA</v>
      </c>
      <c r="U140" s="88" t="str">
        <f t="shared" si="27"/>
        <v>NA</v>
      </c>
      <c r="V140" s="111"/>
      <c r="W140" s="112"/>
      <c r="X140" s="113"/>
      <c r="Y140" s="112"/>
      <c r="Z140" s="31"/>
      <c r="AA140" s="296"/>
      <c r="AB140" s="89"/>
      <c r="AC140" s="88" t="str">
        <f t="shared" si="33"/>
        <v>NA</v>
      </c>
      <c r="AD140" s="88" t="str">
        <f t="shared" si="34"/>
        <v>NA</v>
      </c>
      <c r="AE140" s="111"/>
      <c r="AF140" s="112"/>
      <c r="AG140" s="113"/>
      <c r="AH140" s="112"/>
      <c r="AI140" s="31"/>
      <c r="AJ140" s="294"/>
      <c r="AK140" s="89"/>
      <c r="AL140" s="88" t="str">
        <f t="shared" si="31"/>
        <v>NA</v>
      </c>
      <c r="AM140" s="88" t="str">
        <f t="shared" si="32"/>
        <v>NA</v>
      </c>
      <c r="AN140" s="111"/>
      <c r="AO140" s="112"/>
      <c r="AP140" s="113"/>
      <c r="AQ140" s="112"/>
      <c r="AR140" s="31"/>
      <c r="AS140" s="32"/>
      <c r="AT140" s="90"/>
      <c r="AU140" s="88"/>
      <c r="AV140" s="88"/>
      <c r="AW140" s="111"/>
      <c r="AX140" s="112"/>
      <c r="AY140" s="113"/>
      <c r="AZ140" s="112"/>
      <c r="BA140" s="31"/>
      <c r="BB140" s="32"/>
      <c r="BC140" s="90"/>
      <c r="BD140" s="88"/>
      <c r="BE140" s="88"/>
      <c r="BF140" s="111"/>
      <c r="BG140" s="112"/>
      <c r="BH140" s="113"/>
      <c r="BI140" s="112"/>
      <c r="BJ140" s="31"/>
      <c r="BK140" s="32"/>
      <c r="BL140" s="90"/>
      <c r="BM140" s="88"/>
      <c r="BN140" s="88"/>
      <c r="BO140" s="111"/>
      <c r="BP140" s="112"/>
      <c r="BQ140" s="113"/>
      <c r="BR140" s="112"/>
      <c r="BS140" s="31"/>
      <c r="BT140" s="32"/>
      <c r="BU140" s="90"/>
      <c r="BV140" s="88"/>
      <c r="BW140" s="88"/>
      <c r="BX140" s="111"/>
      <c r="BY140" s="112"/>
      <c r="BZ140" s="113"/>
      <c r="CA140" s="112"/>
      <c r="CB140" s="31"/>
      <c r="CC140" s="32"/>
      <c r="CD140" s="90"/>
      <c r="CE140" s="88"/>
      <c r="CF140" s="88"/>
      <c r="CG140" s="111"/>
      <c r="CH140" s="112"/>
      <c r="CI140" s="113"/>
      <c r="CJ140" s="112"/>
      <c r="CK140" s="31"/>
      <c r="CL140" s="32"/>
      <c r="CM140" s="90"/>
      <c r="CN140" s="88"/>
      <c r="CO140" s="88"/>
      <c r="CP140" s="111"/>
      <c r="CQ140" s="112"/>
      <c r="CR140" s="113"/>
      <c r="CS140" s="112"/>
      <c r="CT140" s="55"/>
      <c r="CV140" s="230" t="s">
        <v>651</v>
      </c>
      <c r="CX140" s="226" t="s">
        <v>1424</v>
      </c>
      <c r="CY140" s="226" t="s">
        <v>541</v>
      </c>
      <c r="CZ140" s="226" t="s">
        <v>541</v>
      </c>
      <c r="DA140" s="226" t="s">
        <v>541</v>
      </c>
      <c r="DB140" s="14"/>
      <c r="DC140" s="226" t="s">
        <v>541</v>
      </c>
      <c r="DD140" s="226" t="s">
        <v>541</v>
      </c>
      <c r="DE140" s="226" t="s">
        <v>541</v>
      </c>
      <c r="DF140" s="226" t="s">
        <v>1446</v>
      </c>
      <c r="DG140" s="226" t="s">
        <v>541</v>
      </c>
      <c r="DH140" s="14"/>
    </row>
    <row r="141" spans="1:112" ht="12.75" customHeight="1" x14ac:dyDescent="0.25">
      <c r="A141" s="17" t="s">
        <v>435</v>
      </c>
      <c r="B141" s="17" t="s">
        <v>541</v>
      </c>
      <c r="C141" s="17" t="s">
        <v>205</v>
      </c>
      <c r="D141" s="17" t="s">
        <v>652</v>
      </c>
      <c r="E141" s="17" t="b">
        <f t="shared" si="28"/>
        <v>1</v>
      </c>
      <c r="F141" s="127" t="s">
        <v>435</v>
      </c>
      <c r="G141" s="248" t="s">
        <v>541</v>
      </c>
      <c r="H141" s="128" t="s">
        <v>205</v>
      </c>
      <c r="I141" s="128" t="s">
        <v>652</v>
      </c>
      <c r="J141" s="31"/>
      <c r="K141" s="102" t="s">
        <v>583</v>
      </c>
      <c r="L141" s="90"/>
      <c r="M141" s="111"/>
      <c r="N141" s="112"/>
      <c r="O141" s="113"/>
      <c r="P141" s="112"/>
      <c r="Q141" s="31"/>
      <c r="R141" s="102"/>
      <c r="S141" s="90"/>
      <c r="T141" s="88" t="str">
        <f t="shared" si="26"/>
        <v>NA</v>
      </c>
      <c r="U141" s="88" t="str">
        <f t="shared" si="27"/>
        <v>NA</v>
      </c>
      <c r="V141" s="111"/>
      <c r="W141" s="112"/>
      <c r="X141" s="113"/>
      <c r="Y141" s="112"/>
      <c r="Z141" s="31"/>
      <c r="AA141" s="296"/>
      <c r="AB141" s="89"/>
      <c r="AC141" s="88" t="str">
        <f t="shared" si="33"/>
        <v>NA</v>
      </c>
      <c r="AD141" s="88" t="str">
        <f t="shared" si="34"/>
        <v>NA</v>
      </c>
      <c r="AE141" s="111"/>
      <c r="AF141" s="112"/>
      <c r="AG141" s="113"/>
      <c r="AH141" s="112"/>
      <c r="AI141" s="31"/>
      <c r="AJ141" s="294"/>
      <c r="AK141" s="89"/>
      <c r="AL141" s="88" t="str">
        <f t="shared" si="31"/>
        <v>NA</v>
      </c>
      <c r="AM141" s="88" t="str">
        <f t="shared" si="32"/>
        <v>NA</v>
      </c>
      <c r="AN141" s="111"/>
      <c r="AO141" s="112"/>
      <c r="AP141" s="113"/>
      <c r="AQ141" s="112"/>
      <c r="AR141" s="31"/>
      <c r="AS141" s="32"/>
      <c r="AT141" s="90"/>
      <c r="AU141" s="88"/>
      <c r="AV141" s="88"/>
      <c r="AW141" s="111"/>
      <c r="AX141" s="112"/>
      <c r="AY141" s="113"/>
      <c r="AZ141" s="112"/>
      <c r="BA141" s="31"/>
      <c r="BB141" s="32"/>
      <c r="BC141" s="90"/>
      <c r="BD141" s="88"/>
      <c r="BE141" s="88"/>
      <c r="BF141" s="111"/>
      <c r="BG141" s="112"/>
      <c r="BH141" s="113"/>
      <c r="BI141" s="112"/>
      <c r="BJ141" s="31"/>
      <c r="BK141" s="32"/>
      <c r="BL141" s="90"/>
      <c r="BM141" s="88"/>
      <c r="BN141" s="88"/>
      <c r="BO141" s="111"/>
      <c r="BP141" s="112"/>
      <c r="BQ141" s="113"/>
      <c r="BR141" s="112"/>
      <c r="BS141" s="31"/>
      <c r="BT141" s="32"/>
      <c r="BU141" s="90"/>
      <c r="BV141" s="88"/>
      <c r="BW141" s="88"/>
      <c r="BX141" s="111"/>
      <c r="BY141" s="112"/>
      <c r="BZ141" s="113"/>
      <c r="CA141" s="112"/>
      <c r="CB141" s="31"/>
      <c r="CC141" s="32"/>
      <c r="CD141" s="90"/>
      <c r="CE141" s="88"/>
      <c r="CF141" s="88"/>
      <c r="CG141" s="111"/>
      <c r="CH141" s="112"/>
      <c r="CI141" s="113"/>
      <c r="CJ141" s="112"/>
      <c r="CK141" s="31"/>
      <c r="CL141" s="32"/>
      <c r="CM141" s="90"/>
      <c r="CN141" s="88"/>
      <c r="CO141" s="88"/>
      <c r="CP141" s="111"/>
      <c r="CQ141" s="112"/>
      <c r="CR141" s="113"/>
      <c r="CS141" s="112"/>
      <c r="CT141" s="55"/>
      <c r="CV141" s="230" t="s">
        <v>652</v>
      </c>
      <c r="CX141" s="226" t="s">
        <v>1424</v>
      </c>
      <c r="CY141" s="226" t="s">
        <v>541</v>
      </c>
      <c r="CZ141" s="226" t="s">
        <v>541</v>
      </c>
      <c r="DA141" s="226" t="s">
        <v>541</v>
      </c>
      <c r="DB141" s="14"/>
      <c r="DC141" s="226" t="s">
        <v>541</v>
      </c>
      <c r="DD141" s="226" t="s">
        <v>541</v>
      </c>
      <c r="DE141" s="226" t="s">
        <v>541</v>
      </c>
      <c r="DF141" s="226" t="s">
        <v>1446</v>
      </c>
      <c r="DG141" s="226" t="s">
        <v>541</v>
      </c>
      <c r="DH141" s="14"/>
    </row>
    <row r="142" spans="1:112" ht="12.75" customHeight="1" x14ac:dyDescent="0.25">
      <c r="A142" s="17" t="s">
        <v>436</v>
      </c>
      <c r="B142" s="17" t="s">
        <v>541</v>
      </c>
      <c r="C142" s="17" t="s">
        <v>203</v>
      </c>
      <c r="D142" s="17" t="s">
        <v>204</v>
      </c>
      <c r="E142" s="17" t="b">
        <f t="shared" si="28"/>
        <v>1</v>
      </c>
      <c r="F142" s="127" t="s">
        <v>436</v>
      </c>
      <c r="G142" s="248" t="s">
        <v>541</v>
      </c>
      <c r="H142" s="128" t="s">
        <v>203</v>
      </c>
      <c r="I142" s="128" t="s">
        <v>204</v>
      </c>
      <c r="J142" s="31"/>
      <c r="K142" s="102" t="s">
        <v>354</v>
      </c>
      <c r="L142" s="90"/>
      <c r="M142" s="111"/>
      <c r="N142" s="112"/>
      <c r="O142" s="113"/>
      <c r="P142" s="112"/>
      <c r="Q142" s="31"/>
      <c r="R142" s="102"/>
      <c r="S142" s="90"/>
      <c r="T142" s="88" t="str">
        <f t="shared" si="26"/>
        <v>NA</v>
      </c>
      <c r="U142" s="88" t="str">
        <f t="shared" si="27"/>
        <v>NA</v>
      </c>
      <c r="V142" s="111"/>
      <c r="W142" s="112"/>
      <c r="X142" s="113"/>
      <c r="Y142" s="112"/>
      <c r="Z142" s="31"/>
      <c r="AA142" s="296"/>
      <c r="AB142" s="89"/>
      <c r="AC142" s="88" t="str">
        <f t="shared" si="33"/>
        <v>NA</v>
      </c>
      <c r="AD142" s="88" t="str">
        <f t="shared" si="34"/>
        <v>NA</v>
      </c>
      <c r="AE142" s="111"/>
      <c r="AF142" s="112"/>
      <c r="AG142" s="113"/>
      <c r="AH142" s="112"/>
      <c r="AI142" s="31"/>
      <c r="AJ142" s="294"/>
      <c r="AK142" s="89"/>
      <c r="AL142" s="88" t="str">
        <f t="shared" si="31"/>
        <v>NA</v>
      </c>
      <c r="AM142" s="88" t="str">
        <f t="shared" si="32"/>
        <v>NA</v>
      </c>
      <c r="AN142" s="111"/>
      <c r="AO142" s="112"/>
      <c r="AP142" s="113"/>
      <c r="AQ142" s="112"/>
      <c r="AR142" s="31"/>
      <c r="AS142" s="32"/>
      <c r="AT142" s="90"/>
      <c r="AU142" s="88"/>
      <c r="AV142" s="88"/>
      <c r="AW142" s="111"/>
      <c r="AX142" s="112"/>
      <c r="AY142" s="113"/>
      <c r="AZ142" s="112"/>
      <c r="BA142" s="31"/>
      <c r="BB142" s="32"/>
      <c r="BC142" s="90"/>
      <c r="BD142" s="88"/>
      <c r="BE142" s="88"/>
      <c r="BF142" s="111"/>
      <c r="BG142" s="112"/>
      <c r="BH142" s="113"/>
      <c r="BI142" s="112"/>
      <c r="BJ142" s="31"/>
      <c r="BK142" s="32"/>
      <c r="BL142" s="90"/>
      <c r="BM142" s="88"/>
      <c r="BN142" s="88"/>
      <c r="BO142" s="111"/>
      <c r="BP142" s="112"/>
      <c r="BQ142" s="113"/>
      <c r="BR142" s="112"/>
      <c r="BS142" s="31"/>
      <c r="BT142" s="32"/>
      <c r="BU142" s="90"/>
      <c r="BV142" s="88"/>
      <c r="BW142" s="88"/>
      <c r="BX142" s="111"/>
      <c r="BY142" s="112"/>
      <c r="BZ142" s="113"/>
      <c r="CA142" s="112"/>
      <c r="CB142" s="31"/>
      <c r="CC142" s="32"/>
      <c r="CD142" s="90"/>
      <c r="CE142" s="88"/>
      <c r="CF142" s="88"/>
      <c r="CG142" s="111"/>
      <c r="CH142" s="112"/>
      <c r="CI142" s="113"/>
      <c r="CJ142" s="112"/>
      <c r="CK142" s="31"/>
      <c r="CL142" s="32"/>
      <c r="CM142" s="90"/>
      <c r="CN142" s="88"/>
      <c r="CO142" s="88"/>
      <c r="CP142" s="111"/>
      <c r="CQ142" s="112"/>
      <c r="CR142" s="113"/>
      <c r="CS142" s="112"/>
      <c r="CT142" s="55"/>
      <c r="CV142" s="230" t="s">
        <v>204</v>
      </c>
      <c r="CX142" s="226" t="s">
        <v>1424</v>
      </c>
      <c r="CY142" s="226" t="s">
        <v>541</v>
      </c>
      <c r="CZ142" s="226" t="s">
        <v>541</v>
      </c>
      <c r="DA142" s="226" t="s">
        <v>541</v>
      </c>
      <c r="DB142" s="14"/>
      <c r="DC142" s="226" t="s">
        <v>541</v>
      </c>
      <c r="DD142" s="226" t="s">
        <v>1421</v>
      </c>
      <c r="DE142" s="226" t="s">
        <v>541</v>
      </c>
      <c r="DF142" s="226" t="s">
        <v>1446</v>
      </c>
      <c r="DG142" s="226" t="s">
        <v>541</v>
      </c>
      <c r="DH142" s="14"/>
    </row>
    <row r="143" spans="1:112" ht="12.75" customHeight="1" x14ac:dyDescent="0.25">
      <c r="A143" s="17" t="s">
        <v>437</v>
      </c>
      <c r="B143" s="17" t="s">
        <v>541</v>
      </c>
      <c r="C143" s="17" t="s">
        <v>201</v>
      </c>
      <c r="D143" s="17" t="s">
        <v>202</v>
      </c>
      <c r="E143" s="17" t="b">
        <f t="shared" si="28"/>
        <v>1</v>
      </c>
      <c r="F143" s="127" t="s">
        <v>437</v>
      </c>
      <c r="G143" s="248" t="s">
        <v>541</v>
      </c>
      <c r="H143" s="128" t="s">
        <v>201</v>
      </c>
      <c r="I143" s="128" t="s">
        <v>202</v>
      </c>
      <c r="J143" s="31"/>
      <c r="K143" s="102" t="s">
        <v>354</v>
      </c>
      <c r="L143" s="90"/>
      <c r="M143" s="111"/>
      <c r="N143" s="112"/>
      <c r="O143" s="113"/>
      <c r="P143" s="112"/>
      <c r="Q143" s="31"/>
      <c r="R143" s="102"/>
      <c r="S143" s="90"/>
      <c r="T143" s="88" t="str">
        <f t="shared" si="26"/>
        <v>NA</v>
      </c>
      <c r="U143" s="88" t="str">
        <f t="shared" si="27"/>
        <v>NA</v>
      </c>
      <c r="V143" s="111"/>
      <c r="W143" s="112"/>
      <c r="X143" s="113"/>
      <c r="Y143" s="112"/>
      <c r="Z143" s="31"/>
      <c r="AA143" s="296"/>
      <c r="AB143" s="89"/>
      <c r="AC143" s="88" t="str">
        <f t="shared" si="33"/>
        <v>NA</v>
      </c>
      <c r="AD143" s="88" t="str">
        <f t="shared" si="34"/>
        <v>NA</v>
      </c>
      <c r="AE143" s="111"/>
      <c r="AF143" s="112"/>
      <c r="AG143" s="113"/>
      <c r="AH143" s="112"/>
      <c r="AI143" s="31"/>
      <c r="AJ143" s="294"/>
      <c r="AK143" s="89"/>
      <c r="AL143" s="88" t="str">
        <f t="shared" si="31"/>
        <v>NA</v>
      </c>
      <c r="AM143" s="88" t="str">
        <f t="shared" si="32"/>
        <v>NA</v>
      </c>
      <c r="AN143" s="111"/>
      <c r="AO143" s="112"/>
      <c r="AP143" s="113"/>
      <c r="AQ143" s="112"/>
      <c r="AR143" s="31"/>
      <c r="AS143" s="32"/>
      <c r="AT143" s="90"/>
      <c r="AU143" s="88"/>
      <c r="AV143" s="88"/>
      <c r="AW143" s="111"/>
      <c r="AX143" s="112"/>
      <c r="AY143" s="113"/>
      <c r="AZ143" s="112"/>
      <c r="BA143" s="31"/>
      <c r="BB143" s="32"/>
      <c r="BC143" s="90"/>
      <c r="BD143" s="88"/>
      <c r="BE143" s="88"/>
      <c r="BF143" s="111"/>
      <c r="BG143" s="112"/>
      <c r="BH143" s="113"/>
      <c r="BI143" s="112"/>
      <c r="BJ143" s="31"/>
      <c r="BK143" s="32"/>
      <c r="BL143" s="90"/>
      <c r="BM143" s="88"/>
      <c r="BN143" s="88"/>
      <c r="BO143" s="111"/>
      <c r="BP143" s="112"/>
      <c r="BQ143" s="113"/>
      <c r="BR143" s="112"/>
      <c r="BS143" s="31"/>
      <c r="BT143" s="32"/>
      <c r="BU143" s="90"/>
      <c r="BV143" s="88"/>
      <c r="BW143" s="88"/>
      <c r="BX143" s="111"/>
      <c r="BY143" s="112"/>
      <c r="BZ143" s="113"/>
      <c r="CA143" s="112"/>
      <c r="CB143" s="31"/>
      <c r="CC143" s="32"/>
      <c r="CD143" s="90"/>
      <c r="CE143" s="88"/>
      <c r="CF143" s="88"/>
      <c r="CG143" s="111"/>
      <c r="CH143" s="112"/>
      <c r="CI143" s="113"/>
      <c r="CJ143" s="112"/>
      <c r="CK143" s="31"/>
      <c r="CL143" s="32"/>
      <c r="CM143" s="90"/>
      <c r="CN143" s="88"/>
      <c r="CO143" s="88"/>
      <c r="CP143" s="111"/>
      <c r="CQ143" s="112"/>
      <c r="CR143" s="113"/>
      <c r="CS143" s="112"/>
      <c r="CT143" s="55"/>
      <c r="CV143" s="230" t="s">
        <v>202</v>
      </c>
      <c r="CX143" s="226" t="s">
        <v>1424</v>
      </c>
      <c r="CY143" s="226" t="s">
        <v>541</v>
      </c>
      <c r="CZ143" s="226" t="s">
        <v>541</v>
      </c>
      <c r="DA143" s="226" t="s">
        <v>541</v>
      </c>
      <c r="DB143" s="14"/>
      <c r="DC143" s="226" t="s">
        <v>541</v>
      </c>
      <c r="DD143" s="226" t="s">
        <v>541</v>
      </c>
      <c r="DE143" s="226" t="s">
        <v>541</v>
      </c>
      <c r="DF143" s="226" t="s">
        <v>1446</v>
      </c>
      <c r="DG143" s="226" t="s">
        <v>541</v>
      </c>
      <c r="DH143" s="14"/>
    </row>
    <row r="144" spans="1:112" ht="12.75" customHeight="1" x14ac:dyDescent="0.25">
      <c r="A144" s="17" t="s">
        <v>438</v>
      </c>
      <c r="B144" s="17" t="s">
        <v>541</v>
      </c>
      <c r="C144" s="17" t="s">
        <v>199</v>
      </c>
      <c r="D144" s="17" t="s">
        <v>200</v>
      </c>
      <c r="E144" s="17" t="b">
        <f t="shared" si="28"/>
        <v>1</v>
      </c>
      <c r="F144" s="127" t="s">
        <v>438</v>
      </c>
      <c r="G144" s="248" t="s">
        <v>541</v>
      </c>
      <c r="H144" s="128" t="s">
        <v>199</v>
      </c>
      <c r="I144" s="128" t="s">
        <v>200</v>
      </c>
      <c r="J144" s="31"/>
      <c r="K144" s="102" t="s">
        <v>354</v>
      </c>
      <c r="L144" s="90"/>
      <c r="M144" s="111"/>
      <c r="N144" s="112"/>
      <c r="O144" s="113"/>
      <c r="P144" s="112"/>
      <c r="Q144" s="31"/>
      <c r="R144" s="102"/>
      <c r="S144" s="90"/>
      <c r="T144" s="88" t="str">
        <f t="shared" si="26"/>
        <v>NA</v>
      </c>
      <c r="U144" s="88" t="str">
        <f t="shared" si="27"/>
        <v>NA</v>
      </c>
      <c r="V144" s="111"/>
      <c r="W144" s="112"/>
      <c r="X144" s="113"/>
      <c r="Y144" s="112"/>
      <c r="Z144" s="31"/>
      <c r="AA144" s="296"/>
      <c r="AB144" s="89"/>
      <c r="AC144" s="88" t="str">
        <f t="shared" si="33"/>
        <v>NA</v>
      </c>
      <c r="AD144" s="88" t="str">
        <f t="shared" si="34"/>
        <v>NA</v>
      </c>
      <c r="AE144" s="111"/>
      <c r="AF144" s="112"/>
      <c r="AG144" s="113"/>
      <c r="AH144" s="112"/>
      <c r="AI144" s="31"/>
      <c r="AJ144" s="294"/>
      <c r="AK144" s="89"/>
      <c r="AL144" s="88" t="str">
        <f t="shared" si="31"/>
        <v>NA</v>
      </c>
      <c r="AM144" s="88" t="str">
        <f t="shared" si="32"/>
        <v>NA</v>
      </c>
      <c r="AN144" s="111"/>
      <c r="AO144" s="112"/>
      <c r="AP144" s="113"/>
      <c r="AQ144" s="112"/>
      <c r="AR144" s="31"/>
      <c r="AS144" s="32"/>
      <c r="AT144" s="90"/>
      <c r="AU144" s="88"/>
      <c r="AV144" s="88"/>
      <c r="AW144" s="111"/>
      <c r="AX144" s="112"/>
      <c r="AY144" s="113"/>
      <c r="AZ144" s="112"/>
      <c r="BA144" s="31"/>
      <c r="BB144" s="32"/>
      <c r="BC144" s="90"/>
      <c r="BD144" s="88"/>
      <c r="BE144" s="88"/>
      <c r="BF144" s="111"/>
      <c r="BG144" s="112"/>
      <c r="BH144" s="113"/>
      <c r="BI144" s="112"/>
      <c r="BJ144" s="31"/>
      <c r="BK144" s="32"/>
      <c r="BL144" s="90"/>
      <c r="BM144" s="88"/>
      <c r="BN144" s="88"/>
      <c r="BO144" s="111"/>
      <c r="BP144" s="112"/>
      <c r="BQ144" s="113"/>
      <c r="BR144" s="112"/>
      <c r="BS144" s="31"/>
      <c r="BT144" s="32"/>
      <c r="BU144" s="90"/>
      <c r="BV144" s="88"/>
      <c r="BW144" s="88"/>
      <c r="BX144" s="111"/>
      <c r="BY144" s="112"/>
      <c r="BZ144" s="113"/>
      <c r="CA144" s="112"/>
      <c r="CB144" s="31"/>
      <c r="CC144" s="32"/>
      <c r="CD144" s="90"/>
      <c r="CE144" s="88"/>
      <c r="CF144" s="88"/>
      <c r="CG144" s="111"/>
      <c r="CH144" s="112"/>
      <c r="CI144" s="113"/>
      <c r="CJ144" s="112"/>
      <c r="CK144" s="31"/>
      <c r="CL144" s="32"/>
      <c r="CM144" s="90"/>
      <c r="CN144" s="88"/>
      <c r="CO144" s="88"/>
      <c r="CP144" s="111"/>
      <c r="CQ144" s="112"/>
      <c r="CR144" s="113"/>
      <c r="CS144" s="112"/>
      <c r="CT144" s="55"/>
      <c r="CV144" s="230" t="s">
        <v>200</v>
      </c>
      <c r="CX144" s="226" t="s">
        <v>1424</v>
      </c>
      <c r="CY144" s="226" t="s">
        <v>541</v>
      </c>
      <c r="CZ144" s="226" t="s">
        <v>541</v>
      </c>
      <c r="DA144" s="226" t="s">
        <v>541</v>
      </c>
      <c r="DB144" s="14"/>
      <c r="DC144" s="226" t="s">
        <v>541</v>
      </c>
      <c r="DD144" s="226" t="s">
        <v>541</v>
      </c>
      <c r="DE144" s="226" t="s">
        <v>541</v>
      </c>
      <c r="DF144" s="226" t="s">
        <v>1446</v>
      </c>
      <c r="DG144" s="226" t="s">
        <v>541</v>
      </c>
      <c r="DH144" s="14"/>
    </row>
    <row r="145" spans="1:112" ht="12.75" customHeight="1" x14ac:dyDescent="0.25">
      <c r="A145" s="17" t="s">
        <v>439</v>
      </c>
      <c r="B145" s="17" t="s">
        <v>541</v>
      </c>
      <c r="C145" s="17" t="s">
        <v>197</v>
      </c>
      <c r="D145" s="17" t="s">
        <v>198</v>
      </c>
      <c r="E145" s="17" t="b">
        <f t="shared" si="28"/>
        <v>1</v>
      </c>
      <c r="F145" s="127" t="s">
        <v>439</v>
      </c>
      <c r="G145" s="248" t="s">
        <v>541</v>
      </c>
      <c r="H145" s="128" t="s">
        <v>197</v>
      </c>
      <c r="I145" s="128" t="s">
        <v>198</v>
      </c>
      <c r="J145" s="31"/>
      <c r="K145" s="102" t="s">
        <v>354</v>
      </c>
      <c r="L145" s="90"/>
      <c r="M145" s="111"/>
      <c r="N145" s="112"/>
      <c r="O145" s="113"/>
      <c r="P145" s="112"/>
      <c r="Q145" s="31"/>
      <c r="R145" s="102"/>
      <c r="S145" s="90"/>
      <c r="T145" s="88" t="str">
        <f t="shared" si="26"/>
        <v>NA</v>
      </c>
      <c r="U145" s="88" t="str">
        <f t="shared" si="27"/>
        <v>NA</v>
      </c>
      <c r="V145" s="111"/>
      <c r="W145" s="112"/>
      <c r="X145" s="113"/>
      <c r="Y145" s="112"/>
      <c r="Z145" s="31"/>
      <c r="AA145" s="296"/>
      <c r="AB145" s="89"/>
      <c r="AC145" s="88" t="str">
        <f t="shared" si="33"/>
        <v>NA</v>
      </c>
      <c r="AD145" s="88" t="str">
        <f t="shared" si="34"/>
        <v>NA</v>
      </c>
      <c r="AE145" s="111"/>
      <c r="AF145" s="112"/>
      <c r="AG145" s="113"/>
      <c r="AH145" s="112"/>
      <c r="AI145" s="31"/>
      <c r="AJ145" s="294"/>
      <c r="AK145" s="89"/>
      <c r="AL145" s="88" t="str">
        <f t="shared" si="31"/>
        <v>NA</v>
      </c>
      <c r="AM145" s="88" t="str">
        <f t="shared" si="32"/>
        <v>NA</v>
      </c>
      <c r="AN145" s="111"/>
      <c r="AO145" s="112"/>
      <c r="AP145" s="113"/>
      <c r="AQ145" s="112"/>
      <c r="AR145" s="31"/>
      <c r="AS145" s="32"/>
      <c r="AT145" s="90"/>
      <c r="AU145" s="88"/>
      <c r="AV145" s="88"/>
      <c r="AW145" s="111"/>
      <c r="AX145" s="112"/>
      <c r="AY145" s="113"/>
      <c r="AZ145" s="112"/>
      <c r="BA145" s="31"/>
      <c r="BB145" s="32"/>
      <c r="BC145" s="90"/>
      <c r="BD145" s="88"/>
      <c r="BE145" s="88"/>
      <c r="BF145" s="111"/>
      <c r="BG145" s="112"/>
      <c r="BH145" s="113"/>
      <c r="BI145" s="112"/>
      <c r="BJ145" s="31"/>
      <c r="BK145" s="32"/>
      <c r="BL145" s="90"/>
      <c r="BM145" s="88"/>
      <c r="BN145" s="88"/>
      <c r="BO145" s="111"/>
      <c r="BP145" s="112"/>
      <c r="BQ145" s="113"/>
      <c r="BR145" s="112"/>
      <c r="BS145" s="31"/>
      <c r="BT145" s="32"/>
      <c r="BU145" s="90"/>
      <c r="BV145" s="88"/>
      <c r="BW145" s="88"/>
      <c r="BX145" s="111"/>
      <c r="BY145" s="112"/>
      <c r="BZ145" s="113"/>
      <c r="CA145" s="112"/>
      <c r="CB145" s="31"/>
      <c r="CC145" s="32"/>
      <c r="CD145" s="90"/>
      <c r="CE145" s="88"/>
      <c r="CF145" s="88"/>
      <c r="CG145" s="111"/>
      <c r="CH145" s="112"/>
      <c r="CI145" s="113"/>
      <c r="CJ145" s="112"/>
      <c r="CK145" s="31"/>
      <c r="CL145" s="32"/>
      <c r="CM145" s="90"/>
      <c r="CN145" s="88"/>
      <c r="CO145" s="88"/>
      <c r="CP145" s="111"/>
      <c r="CQ145" s="112"/>
      <c r="CR145" s="113"/>
      <c r="CS145" s="112"/>
      <c r="CT145" s="55"/>
      <c r="CV145" s="230" t="s">
        <v>198</v>
      </c>
      <c r="CX145" s="226" t="s">
        <v>1424</v>
      </c>
      <c r="CY145" s="226" t="s">
        <v>541</v>
      </c>
      <c r="CZ145" s="226" t="s">
        <v>541</v>
      </c>
      <c r="DA145" s="226" t="s">
        <v>541</v>
      </c>
      <c r="DB145" s="14"/>
      <c r="DC145" s="226" t="s">
        <v>541</v>
      </c>
      <c r="DD145" s="226" t="s">
        <v>541</v>
      </c>
      <c r="DE145" s="226" t="s">
        <v>541</v>
      </c>
      <c r="DF145" s="226" t="s">
        <v>1446</v>
      </c>
      <c r="DG145" s="226" t="s">
        <v>541</v>
      </c>
      <c r="DH145" s="14"/>
    </row>
    <row r="146" spans="1:112" ht="39" x14ac:dyDescent="0.25">
      <c r="A146" s="17" t="s">
        <v>440</v>
      </c>
      <c r="B146" s="17" t="s">
        <v>541</v>
      </c>
      <c r="C146" s="17" t="s">
        <v>195</v>
      </c>
      <c r="D146" s="17" t="s">
        <v>196</v>
      </c>
      <c r="E146" s="17" t="b">
        <f t="shared" si="28"/>
        <v>1</v>
      </c>
      <c r="F146" s="127" t="s">
        <v>440</v>
      </c>
      <c r="G146" s="248" t="s">
        <v>541</v>
      </c>
      <c r="H146" s="128" t="s">
        <v>195</v>
      </c>
      <c r="I146" s="128" t="s">
        <v>196</v>
      </c>
      <c r="J146" s="31"/>
      <c r="K146" s="102" t="s">
        <v>354</v>
      </c>
      <c r="L146" s="90"/>
      <c r="M146" s="111"/>
      <c r="N146" s="112"/>
      <c r="O146" s="113"/>
      <c r="P146" s="112"/>
      <c r="Q146" s="31"/>
      <c r="R146" s="102"/>
      <c r="S146" s="90"/>
      <c r="T146" s="88" t="str">
        <f t="shared" si="26"/>
        <v>NA</v>
      </c>
      <c r="U146" s="88" t="str">
        <f t="shared" si="27"/>
        <v>NA</v>
      </c>
      <c r="V146" s="111"/>
      <c r="W146" s="112"/>
      <c r="X146" s="113"/>
      <c r="Y146" s="112"/>
      <c r="Z146" s="31"/>
      <c r="AA146" s="296"/>
      <c r="AB146" s="89"/>
      <c r="AC146" s="88" t="str">
        <f t="shared" si="33"/>
        <v>NA</v>
      </c>
      <c r="AD146" s="88" t="str">
        <f t="shared" si="34"/>
        <v>NA</v>
      </c>
      <c r="AE146" s="111"/>
      <c r="AF146" s="112"/>
      <c r="AG146" s="113"/>
      <c r="AH146" s="112"/>
      <c r="AI146" s="31"/>
      <c r="AJ146" s="294"/>
      <c r="AK146" s="89"/>
      <c r="AL146" s="88" t="str">
        <f t="shared" si="31"/>
        <v>NA</v>
      </c>
      <c r="AM146" s="88" t="str">
        <f t="shared" si="32"/>
        <v>NA</v>
      </c>
      <c r="AN146" s="111"/>
      <c r="AO146" s="112"/>
      <c r="AP146" s="113"/>
      <c r="AQ146" s="112"/>
      <c r="AR146" s="31"/>
      <c r="AS146" s="32"/>
      <c r="AT146" s="90"/>
      <c r="AU146" s="88"/>
      <c r="AV146" s="88"/>
      <c r="AW146" s="111"/>
      <c r="AX146" s="112"/>
      <c r="AY146" s="113"/>
      <c r="AZ146" s="112"/>
      <c r="BA146" s="31"/>
      <c r="BB146" s="32"/>
      <c r="BC146" s="90"/>
      <c r="BD146" s="88"/>
      <c r="BE146" s="88"/>
      <c r="BF146" s="111"/>
      <c r="BG146" s="112"/>
      <c r="BH146" s="113"/>
      <c r="BI146" s="112"/>
      <c r="BJ146" s="31"/>
      <c r="BK146" s="32"/>
      <c r="BL146" s="90"/>
      <c r="BM146" s="88"/>
      <c r="BN146" s="88"/>
      <c r="BO146" s="111"/>
      <c r="BP146" s="112"/>
      <c r="BQ146" s="113"/>
      <c r="BR146" s="112"/>
      <c r="BS146" s="31"/>
      <c r="BT146" s="32"/>
      <c r="BU146" s="90"/>
      <c r="BV146" s="88"/>
      <c r="BW146" s="88"/>
      <c r="BX146" s="111"/>
      <c r="BY146" s="112"/>
      <c r="BZ146" s="113"/>
      <c r="CA146" s="112"/>
      <c r="CB146" s="31"/>
      <c r="CC146" s="32"/>
      <c r="CD146" s="90"/>
      <c r="CE146" s="88"/>
      <c r="CF146" s="88"/>
      <c r="CG146" s="111"/>
      <c r="CH146" s="112"/>
      <c r="CI146" s="113"/>
      <c r="CJ146" s="112"/>
      <c r="CK146" s="31"/>
      <c r="CL146" s="32"/>
      <c r="CM146" s="90"/>
      <c r="CN146" s="88"/>
      <c r="CO146" s="88"/>
      <c r="CP146" s="111"/>
      <c r="CQ146" s="112"/>
      <c r="CR146" s="113"/>
      <c r="CS146" s="112"/>
      <c r="CT146" s="55"/>
      <c r="CV146" s="230" t="s">
        <v>196</v>
      </c>
      <c r="CX146" s="226" t="s">
        <v>1425</v>
      </c>
      <c r="CY146" s="226" t="s">
        <v>541</v>
      </c>
      <c r="CZ146" s="226" t="s">
        <v>541</v>
      </c>
      <c r="DA146" s="226" t="s">
        <v>541</v>
      </c>
      <c r="DB146" s="14"/>
      <c r="DC146" s="226" t="s">
        <v>541</v>
      </c>
      <c r="DD146" s="226" t="s">
        <v>541</v>
      </c>
      <c r="DE146" s="226" t="s">
        <v>541</v>
      </c>
      <c r="DF146" s="226" t="s">
        <v>1446</v>
      </c>
      <c r="DG146" s="226" t="s">
        <v>541</v>
      </c>
      <c r="DH146" s="14"/>
    </row>
    <row r="147" spans="1:112" ht="39" x14ac:dyDescent="0.25">
      <c r="A147" s="17" t="s">
        <v>441</v>
      </c>
      <c r="B147" s="17" t="s">
        <v>541</v>
      </c>
      <c r="C147" s="17" t="s">
        <v>193</v>
      </c>
      <c r="D147" s="17" t="s">
        <v>194</v>
      </c>
      <c r="E147" s="17" t="b">
        <f t="shared" si="28"/>
        <v>1</v>
      </c>
      <c r="F147" s="127" t="s">
        <v>441</v>
      </c>
      <c r="G147" s="248" t="s">
        <v>541</v>
      </c>
      <c r="H147" s="128" t="s">
        <v>193</v>
      </c>
      <c r="I147" s="128" t="s">
        <v>194</v>
      </c>
      <c r="J147" s="31"/>
      <c r="K147" s="102" t="s">
        <v>354</v>
      </c>
      <c r="L147" s="90"/>
      <c r="M147" s="111"/>
      <c r="N147" s="112"/>
      <c r="O147" s="113"/>
      <c r="P147" s="112"/>
      <c r="Q147" s="31"/>
      <c r="R147" s="102"/>
      <c r="S147" s="90"/>
      <c r="T147" s="88" t="str">
        <f t="shared" si="26"/>
        <v>NA</v>
      </c>
      <c r="U147" s="88" t="str">
        <f t="shared" si="27"/>
        <v>NA</v>
      </c>
      <c r="V147" s="111"/>
      <c r="W147" s="112"/>
      <c r="X147" s="113"/>
      <c r="Y147" s="112"/>
      <c r="Z147" s="31"/>
      <c r="AA147" s="296"/>
      <c r="AB147" s="89"/>
      <c r="AC147" s="88" t="str">
        <f t="shared" si="33"/>
        <v>NA</v>
      </c>
      <c r="AD147" s="88" t="str">
        <f t="shared" si="34"/>
        <v>NA</v>
      </c>
      <c r="AE147" s="111"/>
      <c r="AF147" s="112"/>
      <c r="AG147" s="113"/>
      <c r="AH147" s="112"/>
      <c r="AI147" s="31"/>
      <c r="AJ147" s="294"/>
      <c r="AK147" s="89"/>
      <c r="AL147" s="88" t="str">
        <f t="shared" si="31"/>
        <v>NA</v>
      </c>
      <c r="AM147" s="88" t="str">
        <f t="shared" si="32"/>
        <v>NA</v>
      </c>
      <c r="AN147" s="111"/>
      <c r="AO147" s="112"/>
      <c r="AP147" s="113"/>
      <c r="AQ147" s="112"/>
      <c r="AR147" s="31"/>
      <c r="AS147" s="32"/>
      <c r="AT147" s="90"/>
      <c r="AU147" s="88"/>
      <c r="AV147" s="88"/>
      <c r="AW147" s="111"/>
      <c r="AX147" s="112"/>
      <c r="AY147" s="113"/>
      <c r="AZ147" s="112"/>
      <c r="BA147" s="31"/>
      <c r="BB147" s="32"/>
      <c r="BC147" s="90"/>
      <c r="BD147" s="88"/>
      <c r="BE147" s="88"/>
      <c r="BF147" s="111"/>
      <c r="BG147" s="112"/>
      <c r="BH147" s="113"/>
      <c r="BI147" s="112"/>
      <c r="BJ147" s="31"/>
      <c r="BK147" s="32"/>
      <c r="BL147" s="90"/>
      <c r="BM147" s="88"/>
      <c r="BN147" s="88"/>
      <c r="BO147" s="111"/>
      <c r="BP147" s="112"/>
      <c r="BQ147" s="113"/>
      <c r="BR147" s="112"/>
      <c r="BS147" s="31"/>
      <c r="BT147" s="32"/>
      <c r="BU147" s="90"/>
      <c r="BV147" s="88"/>
      <c r="BW147" s="88"/>
      <c r="BX147" s="111"/>
      <c r="BY147" s="112"/>
      <c r="BZ147" s="113"/>
      <c r="CA147" s="112"/>
      <c r="CB147" s="31"/>
      <c r="CC147" s="32"/>
      <c r="CD147" s="90"/>
      <c r="CE147" s="88"/>
      <c r="CF147" s="88"/>
      <c r="CG147" s="111"/>
      <c r="CH147" s="112"/>
      <c r="CI147" s="113"/>
      <c r="CJ147" s="112"/>
      <c r="CK147" s="31"/>
      <c r="CL147" s="32"/>
      <c r="CM147" s="90"/>
      <c r="CN147" s="88"/>
      <c r="CO147" s="88"/>
      <c r="CP147" s="111"/>
      <c r="CQ147" s="112"/>
      <c r="CR147" s="113"/>
      <c r="CS147" s="112"/>
      <c r="CT147" s="55"/>
      <c r="CV147" s="230" t="s">
        <v>194</v>
      </c>
      <c r="CX147" s="226" t="s">
        <v>1425</v>
      </c>
      <c r="CY147" s="226" t="s">
        <v>541</v>
      </c>
      <c r="CZ147" s="226" t="s">
        <v>541</v>
      </c>
      <c r="DA147" s="226" t="s">
        <v>541</v>
      </c>
      <c r="DB147" s="14"/>
      <c r="DC147" s="226" t="s">
        <v>541</v>
      </c>
      <c r="DD147" s="226" t="s">
        <v>541</v>
      </c>
      <c r="DE147" s="226" t="s">
        <v>541</v>
      </c>
      <c r="DF147" s="226" t="s">
        <v>1446</v>
      </c>
      <c r="DG147" s="226" t="s">
        <v>541</v>
      </c>
      <c r="DH147" s="14"/>
    </row>
    <row r="148" spans="1:112" ht="12.75" customHeight="1" x14ac:dyDescent="0.25">
      <c r="A148" s="17" t="s">
        <v>442</v>
      </c>
      <c r="B148" s="17" t="s">
        <v>541</v>
      </c>
      <c r="C148" s="17" t="s">
        <v>192</v>
      </c>
      <c r="D148" s="17" t="s">
        <v>653</v>
      </c>
      <c r="E148" s="17" t="b">
        <f t="shared" si="28"/>
        <v>1</v>
      </c>
      <c r="F148" s="127" t="s">
        <v>442</v>
      </c>
      <c r="G148" s="248" t="s">
        <v>541</v>
      </c>
      <c r="H148" s="128" t="s">
        <v>192</v>
      </c>
      <c r="I148" s="128" t="s">
        <v>653</v>
      </c>
      <c r="J148" s="31"/>
      <c r="K148" s="102" t="s">
        <v>583</v>
      </c>
      <c r="L148" s="90"/>
      <c r="M148" s="111"/>
      <c r="N148" s="112"/>
      <c r="O148" s="113"/>
      <c r="P148" s="112"/>
      <c r="Q148" s="31"/>
      <c r="R148" s="102"/>
      <c r="S148" s="90"/>
      <c r="T148" s="88" t="str">
        <f t="shared" si="26"/>
        <v>NA</v>
      </c>
      <c r="U148" s="88" t="str">
        <f t="shared" si="27"/>
        <v>NA</v>
      </c>
      <c r="V148" s="111"/>
      <c r="W148" s="112"/>
      <c r="X148" s="113"/>
      <c r="Y148" s="112"/>
      <c r="Z148" s="31"/>
      <c r="AA148" s="296"/>
      <c r="AB148" s="89"/>
      <c r="AC148" s="88" t="str">
        <f t="shared" si="33"/>
        <v>NA</v>
      </c>
      <c r="AD148" s="88" t="str">
        <f t="shared" si="34"/>
        <v>NA</v>
      </c>
      <c r="AE148" s="111"/>
      <c r="AF148" s="112"/>
      <c r="AG148" s="113"/>
      <c r="AH148" s="112"/>
      <c r="AI148" s="31"/>
      <c r="AJ148" s="294"/>
      <c r="AK148" s="89"/>
      <c r="AL148" s="88" t="str">
        <f t="shared" si="31"/>
        <v>NA</v>
      </c>
      <c r="AM148" s="88" t="str">
        <f t="shared" si="32"/>
        <v>NA</v>
      </c>
      <c r="AN148" s="111"/>
      <c r="AO148" s="112"/>
      <c r="AP148" s="113"/>
      <c r="AQ148" s="112"/>
      <c r="AR148" s="31"/>
      <c r="AS148" s="32"/>
      <c r="AT148" s="90"/>
      <c r="AU148" s="88"/>
      <c r="AV148" s="88"/>
      <c r="AW148" s="111"/>
      <c r="AX148" s="112"/>
      <c r="AY148" s="113"/>
      <c r="AZ148" s="112"/>
      <c r="BA148" s="31"/>
      <c r="BB148" s="32"/>
      <c r="BC148" s="90"/>
      <c r="BD148" s="88"/>
      <c r="BE148" s="88"/>
      <c r="BF148" s="111"/>
      <c r="BG148" s="112"/>
      <c r="BH148" s="113"/>
      <c r="BI148" s="112"/>
      <c r="BJ148" s="31"/>
      <c r="BK148" s="32"/>
      <c r="BL148" s="90"/>
      <c r="BM148" s="88"/>
      <c r="BN148" s="88"/>
      <c r="BO148" s="111"/>
      <c r="BP148" s="112"/>
      <c r="BQ148" s="113"/>
      <c r="BR148" s="112"/>
      <c r="BS148" s="31"/>
      <c r="BT148" s="32"/>
      <c r="BU148" s="90"/>
      <c r="BV148" s="88"/>
      <c r="BW148" s="88"/>
      <c r="BX148" s="111"/>
      <c r="BY148" s="112"/>
      <c r="BZ148" s="113"/>
      <c r="CA148" s="112"/>
      <c r="CB148" s="31"/>
      <c r="CC148" s="32"/>
      <c r="CD148" s="90"/>
      <c r="CE148" s="88"/>
      <c r="CF148" s="88"/>
      <c r="CG148" s="111"/>
      <c r="CH148" s="112"/>
      <c r="CI148" s="113"/>
      <c r="CJ148" s="112"/>
      <c r="CK148" s="31"/>
      <c r="CL148" s="32"/>
      <c r="CM148" s="90"/>
      <c r="CN148" s="88"/>
      <c r="CO148" s="88"/>
      <c r="CP148" s="111"/>
      <c r="CQ148" s="112"/>
      <c r="CR148" s="113"/>
      <c r="CS148" s="112"/>
      <c r="CT148" s="55"/>
      <c r="CV148" s="230" t="s">
        <v>653</v>
      </c>
      <c r="CX148" s="226" t="s">
        <v>541</v>
      </c>
      <c r="CY148" s="226" t="s">
        <v>541</v>
      </c>
      <c r="CZ148" s="226" t="s">
        <v>541</v>
      </c>
      <c r="DA148" s="226" t="s">
        <v>541</v>
      </c>
      <c r="DB148" s="14"/>
      <c r="DC148" s="226" t="s">
        <v>541</v>
      </c>
      <c r="DD148" s="226" t="s">
        <v>541</v>
      </c>
      <c r="DE148" s="226" t="s">
        <v>1447</v>
      </c>
      <c r="DF148" s="226" t="s">
        <v>541</v>
      </c>
      <c r="DG148" s="226" t="s">
        <v>541</v>
      </c>
      <c r="DH148" s="14"/>
    </row>
    <row r="149" spans="1:112" ht="12.75" customHeight="1" x14ac:dyDescent="0.25">
      <c r="A149" s="17" t="s">
        <v>443</v>
      </c>
      <c r="B149" s="17" t="s">
        <v>541</v>
      </c>
      <c r="C149" s="17" t="s">
        <v>191</v>
      </c>
      <c r="D149" s="17" t="s">
        <v>654</v>
      </c>
      <c r="E149" s="17" t="b">
        <f t="shared" si="28"/>
        <v>1</v>
      </c>
      <c r="F149" s="127" t="s">
        <v>443</v>
      </c>
      <c r="G149" s="248" t="s">
        <v>541</v>
      </c>
      <c r="H149" s="128" t="s">
        <v>191</v>
      </c>
      <c r="I149" s="128" t="s">
        <v>654</v>
      </c>
      <c r="J149" s="31"/>
      <c r="K149" s="102" t="s">
        <v>583</v>
      </c>
      <c r="L149" s="90" t="s">
        <v>31</v>
      </c>
      <c r="M149" s="111" t="s">
        <v>2470</v>
      </c>
      <c r="N149" s="112"/>
      <c r="O149" s="113"/>
      <c r="P149" s="112"/>
      <c r="Q149" s="31"/>
      <c r="R149" s="102"/>
      <c r="S149" s="90"/>
      <c r="T149" s="88" t="str">
        <f t="shared" si="26"/>
        <v>NA</v>
      </c>
      <c r="U149" s="88" t="str">
        <f t="shared" si="27"/>
        <v>YES</v>
      </c>
      <c r="V149" s="111"/>
      <c r="W149" s="112"/>
      <c r="X149" s="113"/>
      <c r="Y149" s="112"/>
      <c r="Z149" s="31"/>
      <c r="AA149" s="296"/>
      <c r="AB149" s="89"/>
      <c r="AC149" s="88" t="str">
        <f t="shared" si="33"/>
        <v>NA</v>
      </c>
      <c r="AD149" s="88" t="str">
        <f t="shared" si="34"/>
        <v>NA</v>
      </c>
      <c r="AE149" s="111"/>
      <c r="AF149" s="112"/>
      <c r="AG149" s="113"/>
      <c r="AH149" s="112"/>
      <c r="AI149" s="31"/>
      <c r="AJ149" s="294"/>
      <c r="AK149" s="89"/>
      <c r="AL149" s="88" t="str">
        <f t="shared" si="31"/>
        <v>NA</v>
      </c>
      <c r="AM149" s="88" t="str">
        <f t="shared" si="32"/>
        <v>NA</v>
      </c>
      <c r="AN149" s="111"/>
      <c r="AO149" s="112"/>
      <c r="AP149" s="113"/>
      <c r="AQ149" s="112"/>
      <c r="AR149" s="31"/>
      <c r="AS149" s="32"/>
      <c r="AT149" s="90"/>
      <c r="AU149" s="88"/>
      <c r="AV149" s="88"/>
      <c r="AW149" s="111"/>
      <c r="AX149" s="112"/>
      <c r="AY149" s="113"/>
      <c r="AZ149" s="112"/>
      <c r="BA149" s="31"/>
      <c r="BB149" s="32"/>
      <c r="BC149" s="90"/>
      <c r="BD149" s="88"/>
      <c r="BE149" s="88"/>
      <c r="BF149" s="111"/>
      <c r="BG149" s="112"/>
      <c r="BH149" s="113"/>
      <c r="BI149" s="112"/>
      <c r="BJ149" s="31"/>
      <c r="BK149" s="32"/>
      <c r="BL149" s="90"/>
      <c r="BM149" s="88"/>
      <c r="BN149" s="88"/>
      <c r="BO149" s="111"/>
      <c r="BP149" s="112"/>
      <c r="BQ149" s="113"/>
      <c r="BR149" s="112"/>
      <c r="BS149" s="31"/>
      <c r="BT149" s="32"/>
      <c r="BU149" s="90"/>
      <c r="BV149" s="88"/>
      <c r="BW149" s="88"/>
      <c r="BX149" s="111"/>
      <c r="BY149" s="112"/>
      <c r="BZ149" s="113"/>
      <c r="CA149" s="112"/>
      <c r="CB149" s="31"/>
      <c r="CC149" s="32"/>
      <c r="CD149" s="90"/>
      <c r="CE149" s="88"/>
      <c r="CF149" s="88"/>
      <c r="CG149" s="111"/>
      <c r="CH149" s="112"/>
      <c r="CI149" s="113"/>
      <c r="CJ149" s="112"/>
      <c r="CK149" s="31"/>
      <c r="CL149" s="32"/>
      <c r="CM149" s="90"/>
      <c r="CN149" s="88"/>
      <c r="CO149" s="88"/>
      <c r="CP149" s="111"/>
      <c r="CQ149" s="112"/>
      <c r="CR149" s="113"/>
      <c r="CS149" s="112"/>
      <c r="CT149" s="55"/>
      <c r="CV149" s="230" t="s">
        <v>654</v>
      </c>
      <c r="CX149" s="226" t="s">
        <v>541</v>
      </c>
      <c r="CY149" s="226" t="s">
        <v>541</v>
      </c>
      <c r="CZ149" s="226" t="s">
        <v>541</v>
      </c>
      <c r="DA149" s="226" t="s">
        <v>541</v>
      </c>
      <c r="DB149" s="226"/>
      <c r="DC149" s="226" t="s">
        <v>541</v>
      </c>
      <c r="DD149" s="226" t="s">
        <v>541</v>
      </c>
      <c r="DE149" s="226" t="s">
        <v>1448</v>
      </c>
      <c r="DF149" s="226" t="s">
        <v>541</v>
      </c>
      <c r="DG149" s="226" t="s">
        <v>541</v>
      </c>
      <c r="DH149" s="14"/>
    </row>
    <row r="150" spans="1:112" ht="26" x14ac:dyDescent="0.25">
      <c r="A150" s="17" t="s">
        <v>444</v>
      </c>
      <c r="B150" s="17" t="s">
        <v>541</v>
      </c>
      <c r="C150" s="17" t="s">
        <v>190</v>
      </c>
      <c r="D150" s="17" t="s">
        <v>655</v>
      </c>
      <c r="E150" s="17" t="b">
        <f t="shared" si="28"/>
        <v>1</v>
      </c>
      <c r="F150" s="127" t="s">
        <v>444</v>
      </c>
      <c r="G150" s="248" t="s">
        <v>541</v>
      </c>
      <c r="H150" s="128" t="s">
        <v>190</v>
      </c>
      <c r="I150" s="128" t="s">
        <v>655</v>
      </c>
      <c r="J150" s="31"/>
      <c r="K150" s="102" t="s">
        <v>583</v>
      </c>
      <c r="L150" s="90"/>
      <c r="M150" s="111"/>
      <c r="N150" s="112"/>
      <c r="O150" s="113"/>
      <c r="P150" s="112"/>
      <c r="Q150" s="31"/>
      <c r="R150" s="102"/>
      <c r="S150" s="90"/>
      <c r="T150" s="88" t="str">
        <f t="shared" si="26"/>
        <v>NA</v>
      </c>
      <c r="U150" s="88" t="str">
        <f t="shared" si="27"/>
        <v>NA</v>
      </c>
      <c r="V150" s="111"/>
      <c r="W150" s="112"/>
      <c r="X150" s="113"/>
      <c r="Y150" s="112"/>
      <c r="Z150" s="31"/>
      <c r="AA150" s="296"/>
      <c r="AB150" s="89"/>
      <c r="AC150" s="88" t="str">
        <f t="shared" si="33"/>
        <v>NA</v>
      </c>
      <c r="AD150" s="88" t="str">
        <f t="shared" si="34"/>
        <v>NA</v>
      </c>
      <c r="AE150" s="111"/>
      <c r="AF150" s="112"/>
      <c r="AG150" s="113"/>
      <c r="AH150" s="112"/>
      <c r="AI150" s="31"/>
      <c r="AJ150" s="294"/>
      <c r="AK150" s="89"/>
      <c r="AL150" s="88" t="str">
        <f t="shared" si="31"/>
        <v>NA</v>
      </c>
      <c r="AM150" s="88" t="str">
        <f t="shared" si="32"/>
        <v>NA</v>
      </c>
      <c r="AN150" s="111"/>
      <c r="AO150" s="112"/>
      <c r="AP150" s="113"/>
      <c r="AQ150" s="112"/>
      <c r="AR150" s="31"/>
      <c r="AS150" s="32"/>
      <c r="AT150" s="90"/>
      <c r="AU150" s="88"/>
      <c r="AV150" s="88"/>
      <c r="AW150" s="111"/>
      <c r="AX150" s="112"/>
      <c r="AY150" s="113"/>
      <c r="AZ150" s="112"/>
      <c r="BA150" s="31"/>
      <c r="BB150" s="32"/>
      <c r="BC150" s="90"/>
      <c r="BD150" s="88"/>
      <c r="BE150" s="88"/>
      <c r="BF150" s="111"/>
      <c r="BG150" s="112"/>
      <c r="BH150" s="113"/>
      <c r="BI150" s="112"/>
      <c r="BJ150" s="31"/>
      <c r="BK150" s="32"/>
      <c r="BL150" s="90"/>
      <c r="BM150" s="88"/>
      <c r="BN150" s="88"/>
      <c r="BO150" s="111"/>
      <c r="BP150" s="112"/>
      <c r="BQ150" s="113"/>
      <c r="BR150" s="112"/>
      <c r="BS150" s="31"/>
      <c r="BT150" s="32"/>
      <c r="BU150" s="90"/>
      <c r="BV150" s="88"/>
      <c r="BW150" s="88"/>
      <c r="BX150" s="111"/>
      <c r="BY150" s="112"/>
      <c r="BZ150" s="113"/>
      <c r="CA150" s="112"/>
      <c r="CB150" s="31"/>
      <c r="CC150" s="32"/>
      <c r="CD150" s="90"/>
      <c r="CE150" s="88"/>
      <c r="CF150" s="88"/>
      <c r="CG150" s="111"/>
      <c r="CH150" s="112"/>
      <c r="CI150" s="113"/>
      <c r="CJ150" s="112"/>
      <c r="CK150" s="31"/>
      <c r="CL150" s="32"/>
      <c r="CM150" s="90"/>
      <c r="CN150" s="88"/>
      <c r="CO150" s="88"/>
      <c r="CP150" s="111"/>
      <c r="CQ150" s="112"/>
      <c r="CR150" s="113"/>
      <c r="CS150" s="112"/>
      <c r="CT150" s="55"/>
      <c r="CV150" s="230" t="s">
        <v>655</v>
      </c>
      <c r="CX150" s="226" t="s">
        <v>1424</v>
      </c>
      <c r="CY150" s="226" t="s">
        <v>541</v>
      </c>
      <c r="CZ150" s="226" t="s">
        <v>541</v>
      </c>
      <c r="DA150" s="226" t="s">
        <v>541</v>
      </c>
      <c r="DB150" s="226"/>
      <c r="DC150" s="226" t="s">
        <v>541</v>
      </c>
      <c r="DD150" s="226" t="s">
        <v>541</v>
      </c>
      <c r="DE150" s="226" t="s">
        <v>541</v>
      </c>
      <c r="DF150" s="226" t="s">
        <v>541</v>
      </c>
      <c r="DG150" s="226" t="s">
        <v>541</v>
      </c>
      <c r="DH150" s="14"/>
    </row>
    <row r="151" spans="1:112" ht="26" x14ac:dyDescent="0.25">
      <c r="A151" s="17" t="s">
        <v>445</v>
      </c>
      <c r="B151" s="17" t="s">
        <v>541</v>
      </c>
      <c r="C151" s="17" t="s">
        <v>189</v>
      </c>
      <c r="D151" s="17" t="s">
        <v>656</v>
      </c>
      <c r="E151" s="17" t="b">
        <f t="shared" si="28"/>
        <v>1</v>
      </c>
      <c r="F151" s="127" t="s">
        <v>445</v>
      </c>
      <c r="G151" s="248" t="s">
        <v>541</v>
      </c>
      <c r="H151" s="128" t="s">
        <v>189</v>
      </c>
      <c r="I151" s="128" t="s">
        <v>656</v>
      </c>
      <c r="J151" s="31"/>
      <c r="K151" s="102" t="s">
        <v>583</v>
      </c>
      <c r="L151" s="90" t="s">
        <v>31</v>
      </c>
      <c r="M151" s="111" t="s">
        <v>2470</v>
      </c>
      <c r="N151" s="112"/>
      <c r="O151" s="113"/>
      <c r="P151" s="112"/>
      <c r="Q151" s="31"/>
      <c r="R151" s="102"/>
      <c r="S151" s="90"/>
      <c r="T151" s="88" t="str">
        <f t="shared" si="26"/>
        <v>NA</v>
      </c>
      <c r="U151" s="88" t="str">
        <f t="shared" si="27"/>
        <v>YES</v>
      </c>
      <c r="V151" s="111"/>
      <c r="W151" s="112"/>
      <c r="X151" s="113"/>
      <c r="Y151" s="112"/>
      <c r="Z151" s="31"/>
      <c r="AA151" s="296"/>
      <c r="AB151" s="89"/>
      <c r="AC151" s="88" t="str">
        <f t="shared" si="33"/>
        <v>NA</v>
      </c>
      <c r="AD151" s="88" t="str">
        <f t="shared" si="34"/>
        <v>NA</v>
      </c>
      <c r="AE151" s="111"/>
      <c r="AF151" s="112"/>
      <c r="AG151" s="113"/>
      <c r="AH151" s="112"/>
      <c r="AI151" s="31"/>
      <c r="AJ151" s="294"/>
      <c r="AK151" s="89"/>
      <c r="AL151" s="88" t="str">
        <f t="shared" si="31"/>
        <v>NA</v>
      </c>
      <c r="AM151" s="88" t="str">
        <f t="shared" si="32"/>
        <v>NA</v>
      </c>
      <c r="AN151" s="111"/>
      <c r="AO151" s="112"/>
      <c r="AP151" s="113"/>
      <c r="AQ151" s="112"/>
      <c r="AR151" s="31"/>
      <c r="AS151" s="32"/>
      <c r="AT151" s="90"/>
      <c r="AU151" s="88"/>
      <c r="AV151" s="88"/>
      <c r="AW151" s="111"/>
      <c r="AX151" s="112"/>
      <c r="AY151" s="113"/>
      <c r="AZ151" s="112"/>
      <c r="BA151" s="31"/>
      <c r="BB151" s="32"/>
      <c r="BC151" s="90"/>
      <c r="BD151" s="88"/>
      <c r="BE151" s="88"/>
      <c r="BF151" s="111"/>
      <c r="BG151" s="112"/>
      <c r="BH151" s="113"/>
      <c r="BI151" s="112"/>
      <c r="BJ151" s="31"/>
      <c r="BK151" s="32"/>
      <c r="BL151" s="90"/>
      <c r="BM151" s="88"/>
      <c r="BN151" s="88"/>
      <c r="BO151" s="111"/>
      <c r="BP151" s="112"/>
      <c r="BQ151" s="113"/>
      <c r="BR151" s="112"/>
      <c r="BS151" s="31"/>
      <c r="BT151" s="32"/>
      <c r="BU151" s="90"/>
      <c r="BV151" s="88"/>
      <c r="BW151" s="88"/>
      <c r="BX151" s="111"/>
      <c r="BY151" s="112"/>
      <c r="BZ151" s="113"/>
      <c r="CA151" s="112"/>
      <c r="CB151" s="31"/>
      <c r="CC151" s="32"/>
      <c r="CD151" s="90"/>
      <c r="CE151" s="88"/>
      <c r="CF151" s="88"/>
      <c r="CG151" s="111"/>
      <c r="CH151" s="112"/>
      <c r="CI151" s="113"/>
      <c r="CJ151" s="112"/>
      <c r="CK151" s="31"/>
      <c r="CL151" s="32"/>
      <c r="CM151" s="90"/>
      <c r="CN151" s="88"/>
      <c r="CO151" s="88"/>
      <c r="CP151" s="111"/>
      <c r="CQ151" s="112"/>
      <c r="CR151" s="113"/>
      <c r="CS151" s="112"/>
      <c r="CT151" s="55"/>
      <c r="CV151" s="230" t="s">
        <v>656</v>
      </c>
      <c r="CX151" s="239" t="s">
        <v>1425</v>
      </c>
      <c r="CY151" s="226" t="s">
        <v>541</v>
      </c>
      <c r="CZ151" s="226" t="s">
        <v>541</v>
      </c>
      <c r="DA151" s="226" t="s">
        <v>541</v>
      </c>
      <c r="DB151" s="14"/>
      <c r="DC151" s="226" t="s">
        <v>541</v>
      </c>
      <c r="DD151" s="226" t="s">
        <v>541</v>
      </c>
      <c r="DE151" s="226" t="s">
        <v>541</v>
      </c>
      <c r="DF151" s="226" t="s">
        <v>541</v>
      </c>
      <c r="DG151" s="226" t="s">
        <v>541</v>
      </c>
      <c r="DH151" s="14"/>
    </row>
    <row r="152" spans="1:112" ht="12.75" customHeight="1" x14ac:dyDescent="0.25">
      <c r="A152" s="17" t="s">
        <v>446</v>
      </c>
      <c r="B152" s="17" t="s">
        <v>541</v>
      </c>
      <c r="C152" s="17" t="s">
        <v>188</v>
      </c>
      <c r="D152" s="17" t="s">
        <v>657</v>
      </c>
      <c r="E152" s="17" t="b">
        <f t="shared" si="28"/>
        <v>1</v>
      </c>
      <c r="F152" s="127" t="s">
        <v>446</v>
      </c>
      <c r="G152" s="248" t="s">
        <v>541</v>
      </c>
      <c r="H152" s="128" t="s">
        <v>188</v>
      </c>
      <c r="I152" s="128" t="s">
        <v>657</v>
      </c>
      <c r="J152" s="31"/>
      <c r="K152" s="102" t="s">
        <v>583</v>
      </c>
      <c r="L152" s="90"/>
      <c r="M152" s="111"/>
      <c r="N152" s="112"/>
      <c r="O152" s="113"/>
      <c r="P152" s="112"/>
      <c r="Q152" s="31"/>
      <c r="R152" s="102"/>
      <c r="S152" s="90"/>
      <c r="T152" s="88" t="str">
        <f t="shared" si="26"/>
        <v>NA</v>
      </c>
      <c r="U152" s="88" t="str">
        <f t="shared" si="27"/>
        <v>NA</v>
      </c>
      <c r="V152" s="111"/>
      <c r="W152" s="112"/>
      <c r="X152" s="113"/>
      <c r="Y152" s="112"/>
      <c r="Z152" s="31"/>
      <c r="AA152" s="296"/>
      <c r="AB152" s="89"/>
      <c r="AC152" s="88" t="str">
        <f t="shared" si="33"/>
        <v>NA</v>
      </c>
      <c r="AD152" s="88" t="str">
        <f t="shared" si="34"/>
        <v>NA</v>
      </c>
      <c r="AE152" s="111"/>
      <c r="AF152" s="112"/>
      <c r="AG152" s="113"/>
      <c r="AH152" s="112"/>
      <c r="AI152" s="31"/>
      <c r="AJ152" s="294"/>
      <c r="AK152" s="89"/>
      <c r="AL152" s="88" t="str">
        <f t="shared" si="31"/>
        <v>NA</v>
      </c>
      <c r="AM152" s="88" t="str">
        <f t="shared" si="32"/>
        <v>NA</v>
      </c>
      <c r="AN152" s="111"/>
      <c r="AO152" s="112"/>
      <c r="AP152" s="113"/>
      <c r="AQ152" s="112"/>
      <c r="AR152" s="31"/>
      <c r="AS152" s="32"/>
      <c r="AT152" s="90"/>
      <c r="AU152" s="88"/>
      <c r="AV152" s="88"/>
      <c r="AW152" s="111"/>
      <c r="AX152" s="112"/>
      <c r="AY152" s="113"/>
      <c r="AZ152" s="112"/>
      <c r="BA152" s="31"/>
      <c r="BB152" s="32"/>
      <c r="BC152" s="90"/>
      <c r="BD152" s="88"/>
      <c r="BE152" s="88"/>
      <c r="BF152" s="111"/>
      <c r="BG152" s="112"/>
      <c r="BH152" s="113"/>
      <c r="BI152" s="112"/>
      <c r="BJ152" s="31"/>
      <c r="BK152" s="32"/>
      <c r="BL152" s="90"/>
      <c r="BM152" s="88"/>
      <c r="BN152" s="88"/>
      <c r="BO152" s="111"/>
      <c r="BP152" s="112"/>
      <c r="BQ152" s="113"/>
      <c r="BR152" s="112"/>
      <c r="BS152" s="31"/>
      <c r="BT152" s="32"/>
      <c r="BU152" s="90"/>
      <c r="BV152" s="88"/>
      <c r="BW152" s="88"/>
      <c r="BX152" s="111"/>
      <c r="BY152" s="112"/>
      <c r="BZ152" s="113"/>
      <c r="CA152" s="112"/>
      <c r="CB152" s="31"/>
      <c r="CC152" s="32"/>
      <c r="CD152" s="90"/>
      <c r="CE152" s="88"/>
      <c r="CF152" s="88"/>
      <c r="CG152" s="111"/>
      <c r="CH152" s="112"/>
      <c r="CI152" s="113"/>
      <c r="CJ152" s="112"/>
      <c r="CK152" s="31"/>
      <c r="CL152" s="32"/>
      <c r="CM152" s="90"/>
      <c r="CN152" s="88"/>
      <c r="CO152" s="88"/>
      <c r="CP152" s="111"/>
      <c r="CQ152" s="112"/>
      <c r="CR152" s="113"/>
      <c r="CS152" s="112"/>
      <c r="CT152" s="55"/>
      <c r="CV152" s="230" t="s">
        <v>657</v>
      </c>
      <c r="CX152" s="226" t="s">
        <v>541</v>
      </c>
      <c r="CY152" s="226" t="s">
        <v>541</v>
      </c>
      <c r="CZ152" s="226" t="s">
        <v>541</v>
      </c>
      <c r="DA152" s="226" t="s">
        <v>541</v>
      </c>
      <c r="DB152" s="14"/>
      <c r="DC152" s="226" t="s">
        <v>541</v>
      </c>
      <c r="DD152" s="226" t="s">
        <v>541</v>
      </c>
      <c r="DE152" s="226" t="s">
        <v>1449</v>
      </c>
      <c r="DF152" s="226" t="s">
        <v>541</v>
      </c>
      <c r="DG152" s="226" t="s">
        <v>541</v>
      </c>
      <c r="DH152" s="14"/>
    </row>
    <row r="153" spans="1:112" ht="12.75" customHeight="1" x14ac:dyDescent="0.25">
      <c r="A153" s="17" t="s">
        <v>447</v>
      </c>
      <c r="B153" s="17" t="s">
        <v>541</v>
      </c>
      <c r="C153" s="17" t="s">
        <v>187</v>
      </c>
      <c r="D153" s="17" t="s">
        <v>658</v>
      </c>
      <c r="E153" s="17" t="b">
        <f t="shared" si="28"/>
        <v>1</v>
      </c>
      <c r="F153" s="127" t="s">
        <v>447</v>
      </c>
      <c r="G153" s="248" t="s">
        <v>541</v>
      </c>
      <c r="H153" s="128" t="s">
        <v>187</v>
      </c>
      <c r="I153" s="128" t="s">
        <v>658</v>
      </c>
      <c r="J153" s="31"/>
      <c r="K153" s="102" t="s">
        <v>583</v>
      </c>
      <c r="L153" s="90"/>
      <c r="M153" s="111"/>
      <c r="N153" s="112"/>
      <c r="O153" s="113"/>
      <c r="P153" s="112"/>
      <c r="Q153" s="31"/>
      <c r="R153" s="102"/>
      <c r="S153" s="90"/>
      <c r="T153" s="88" t="str">
        <f t="shared" si="26"/>
        <v>NA</v>
      </c>
      <c r="U153" s="88" t="str">
        <f t="shared" si="27"/>
        <v>NA</v>
      </c>
      <c r="V153" s="111"/>
      <c r="W153" s="112"/>
      <c r="X153" s="113"/>
      <c r="Y153" s="112"/>
      <c r="Z153" s="31"/>
      <c r="AA153" s="296"/>
      <c r="AB153" s="89"/>
      <c r="AC153" s="88" t="str">
        <f t="shared" si="33"/>
        <v>NA</v>
      </c>
      <c r="AD153" s="88" t="str">
        <f t="shared" si="34"/>
        <v>NA</v>
      </c>
      <c r="AE153" s="111"/>
      <c r="AF153" s="112"/>
      <c r="AG153" s="113"/>
      <c r="AH153" s="112"/>
      <c r="AI153" s="31"/>
      <c r="AJ153" s="294"/>
      <c r="AK153" s="89"/>
      <c r="AL153" s="88" t="str">
        <f t="shared" si="31"/>
        <v>NA</v>
      </c>
      <c r="AM153" s="88" t="str">
        <f t="shared" si="32"/>
        <v>NA</v>
      </c>
      <c r="AN153" s="111"/>
      <c r="AO153" s="112"/>
      <c r="AP153" s="113"/>
      <c r="AQ153" s="112"/>
      <c r="AR153" s="31"/>
      <c r="AS153" s="32"/>
      <c r="AT153" s="90"/>
      <c r="AU153" s="88"/>
      <c r="AV153" s="88"/>
      <c r="AW153" s="111"/>
      <c r="AX153" s="112"/>
      <c r="AY153" s="113"/>
      <c r="AZ153" s="112"/>
      <c r="BA153" s="31"/>
      <c r="BB153" s="32"/>
      <c r="BC153" s="90"/>
      <c r="BD153" s="88"/>
      <c r="BE153" s="88"/>
      <c r="BF153" s="111"/>
      <c r="BG153" s="112"/>
      <c r="BH153" s="113"/>
      <c r="BI153" s="112"/>
      <c r="BJ153" s="31"/>
      <c r="BK153" s="32"/>
      <c r="BL153" s="90"/>
      <c r="BM153" s="88"/>
      <c r="BN153" s="88"/>
      <c r="BO153" s="111"/>
      <c r="BP153" s="112"/>
      <c r="BQ153" s="113"/>
      <c r="BR153" s="112"/>
      <c r="BS153" s="31"/>
      <c r="BT153" s="32"/>
      <c r="BU153" s="90"/>
      <c r="BV153" s="88"/>
      <c r="BW153" s="88"/>
      <c r="BX153" s="111"/>
      <c r="BY153" s="112"/>
      <c r="BZ153" s="113"/>
      <c r="CA153" s="112"/>
      <c r="CB153" s="31"/>
      <c r="CC153" s="32"/>
      <c r="CD153" s="90"/>
      <c r="CE153" s="88"/>
      <c r="CF153" s="88"/>
      <c r="CG153" s="111"/>
      <c r="CH153" s="112"/>
      <c r="CI153" s="113"/>
      <c r="CJ153" s="112"/>
      <c r="CK153" s="31"/>
      <c r="CL153" s="32"/>
      <c r="CM153" s="90"/>
      <c r="CN153" s="88"/>
      <c r="CO153" s="88"/>
      <c r="CP153" s="111"/>
      <c r="CQ153" s="112"/>
      <c r="CR153" s="113"/>
      <c r="CS153" s="112"/>
      <c r="CT153" s="55"/>
      <c r="CV153" s="230" t="s">
        <v>658</v>
      </c>
      <c r="CX153" s="226" t="s">
        <v>541</v>
      </c>
      <c r="CY153" s="226" t="s">
        <v>541</v>
      </c>
      <c r="CZ153" s="226" t="s">
        <v>541</v>
      </c>
      <c r="DA153" s="226" t="s">
        <v>541</v>
      </c>
      <c r="DB153" s="14"/>
      <c r="DC153" s="226" t="s">
        <v>541</v>
      </c>
      <c r="DD153" s="226" t="s">
        <v>541</v>
      </c>
      <c r="DE153" s="226" t="s">
        <v>1450</v>
      </c>
      <c r="DF153" s="226" t="s">
        <v>541</v>
      </c>
      <c r="DG153" s="226" t="s">
        <v>541</v>
      </c>
      <c r="DH153" s="14"/>
    </row>
    <row r="154" spans="1:112" ht="12.75" customHeight="1" x14ac:dyDescent="0.25">
      <c r="A154" s="17" t="s">
        <v>448</v>
      </c>
      <c r="B154" s="17" t="s">
        <v>541</v>
      </c>
      <c r="C154" s="17" t="s">
        <v>186</v>
      </c>
      <c r="D154" s="17" t="s">
        <v>659</v>
      </c>
      <c r="E154" s="17" t="b">
        <f t="shared" si="28"/>
        <v>1</v>
      </c>
      <c r="F154" s="127" t="s">
        <v>448</v>
      </c>
      <c r="G154" s="248" t="s">
        <v>541</v>
      </c>
      <c r="H154" s="128" t="s">
        <v>186</v>
      </c>
      <c r="I154" s="128" t="s">
        <v>659</v>
      </c>
      <c r="J154" s="31"/>
      <c r="K154" s="102" t="s">
        <v>583</v>
      </c>
      <c r="L154" s="90"/>
      <c r="M154" s="111"/>
      <c r="N154" s="112"/>
      <c r="O154" s="113"/>
      <c r="P154" s="112"/>
      <c r="Q154" s="31"/>
      <c r="R154" s="102"/>
      <c r="S154" s="90"/>
      <c r="T154" s="88" t="str">
        <f t="shared" si="26"/>
        <v>NA</v>
      </c>
      <c r="U154" s="88" t="str">
        <f t="shared" si="27"/>
        <v>NA</v>
      </c>
      <c r="V154" s="111"/>
      <c r="W154" s="112"/>
      <c r="X154" s="113"/>
      <c r="Y154" s="112"/>
      <c r="Z154" s="31"/>
      <c r="AA154" s="296"/>
      <c r="AB154" s="89"/>
      <c r="AC154" s="88" t="str">
        <f t="shared" si="33"/>
        <v>NA</v>
      </c>
      <c r="AD154" s="88" t="str">
        <f t="shared" si="34"/>
        <v>NA</v>
      </c>
      <c r="AE154" s="111"/>
      <c r="AF154" s="112"/>
      <c r="AG154" s="113"/>
      <c r="AH154" s="112"/>
      <c r="AI154" s="31"/>
      <c r="AJ154" s="294"/>
      <c r="AK154" s="89"/>
      <c r="AL154" s="88" t="str">
        <f t="shared" si="31"/>
        <v>NA</v>
      </c>
      <c r="AM154" s="88" t="str">
        <f t="shared" si="32"/>
        <v>NA</v>
      </c>
      <c r="AN154" s="111"/>
      <c r="AO154" s="112"/>
      <c r="AP154" s="113"/>
      <c r="AQ154" s="112"/>
      <c r="AR154" s="31"/>
      <c r="AS154" s="32"/>
      <c r="AT154" s="90"/>
      <c r="AU154" s="88"/>
      <c r="AV154" s="88"/>
      <c r="AW154" s="111"/>
      <c r="AX154" s="112"/>
      <c r="AY154" s="113"/>
      <c r="AZ154" s="112"/>
      <c r="BA154" s="31"/>
      <c r="BB154" s="32"/>
      <c r="BC154" s="90"/>
      <c r="BD154" s="88"/>
      <c r="BE154" s="88"/>
      <c r="BF154" s="111"/>
      <c r="BG154" s="112"/>
      <c r="BH154" s="113"/>
      <c r="BI154" s="112"/>
      <c r="BJ154" s="31"/>
      <c r="BK154" s="32"/>
      <c r="BL154" s="90"/>
      <c r="BM154" s="88"/>
      <c r="BN154" s="88"/>
      <c r="BO154" s="111"/>
      <c r="BP154" s="112"/>
      <c r="BQ154" s="113"/>
      <c r="BR154" s="112"/>
      <c r="BS154" s="31"/>
      <c r="BT154" s="32"/>
      <c r="BU154" s="90"/>
      <c r="BV154" s="88"/>
      <c r="BW154" s="88"/>
      <c r="BX154" s="111"/>
      <c r="BY154" s="112"/>
      <c r="BZ154" s="113"/>
      <c r="CA154" s="112"/>
      <c r="CB154" s="31"/>
      <c r="CC154" s="32"/>
      <c r="CD154" s="90"/>
      <c r="CE154" s="88"/>
      <c r="CF154" s="88"/>
      <c r="CG154" s="111"/>
      <c r="CH154" s="112"/>
      <c r="CI154" s="113"/>
      <c r="CJ154" s="112"/>
      <c r="CK154" s="31"/>
      <c r="CL154" s="32"/>
      <c r="CM154" s="90"/>
      <c r="CN154" s="88"/>
      <c r="CO154" s="88"/>
      <c r="CP154" s="111"/>
      <c r="CQ154" s="112"/>
      <c r="CR154" s="113"/>
      <c r="CS154" s="112"/>
      <c r="CT154" s="55"/>
      <c r="CV154" s="230" t="s">
        <v>659</v>
      </c>
      <c r="CX154" s="226" t="s">
        <v>541</v>
      </c>
      <c r="CY154" s="226" t="s">
        <v>541</v>
      </c>
      <c r="CZ154" s="226" t="s">
        <v>541</v>
      </c>
      <c r="DA154" s="226" t="s">
        <v>541</v>
      </c>
      <c r="DB154" s="14"/>
      <c r="DC154" s="226" t="s">
        <v>541</v>
      </c>
      <c r="DD154" s="226" t="s">
        <v>541</v>
      </c>
      <c r="DE154" s="226" t="s">
        <v>1451</v>
      </c>
      <c r="DF154" s="226" t="s">
        <v>541</v>
      </c>
      <c r="DG154" s="226" t="s">
        <v>541</v>
      </c>
      <c r="DH154" s="14"/>
    </row>
    <row r="155" spans="1:112" ht="12.75" customHeight="1" x14ac:dyDescent="0.25">
      <c r="A155" s="17" t="s">
        <v>449</v>
      </c>
      <c r="B155" s="17" t="s">
        <v>541</v>
      </c>
      <c r="C155" s="17" t="s">
        <v>185</v>
      </c>
      <c r="D155" s="17" t="s">
        <v>660</v>
      </c>
      <c r="E155" s="17" t="b">
        <f t="shared" si="28"/>
        <v>1</v>
      </c>
      <c r="F155" s="127" t="s">
        <v>449</v>
      </c>
      <c r="G155" s="248" t="s">
        <v>541</v>
      </c>
      <c r="H155" s="128" t="s">
        <v>185</v>
      </c>
      <c r="I155" s="128" t="s">
        <v>660</v>
      </c>
      <c r="J155" s="31"/>
      <c r="K155" s="102" t="s">
        <v>583</v>
      </c>
      <c r="L155" s="90"/>
      <c r="M155" s="111"/>
      <c r="N155" s="112"/>
      <c r="O155" s="113"/>
      <c r="P155" s="112"/>
      <c r="Q155" s="31"/>
      <c r="R155" s="102"/>
      <c r="S155" s="90"/>
      <c r="T155" s="88" t="str">
        <f t="shared" si="26"/>
        <v>NA</v>
      </c>
      <c r="U155" s="88" t="str">
        <f t="shared" si="27"/>
        <v>NA</v>
      </c>
      <c r="V155" s="111"/>
      <c r="W155" s="112"/>
      <c r="X155" s="113"/>
      <c r="Y155" s="112"/>
      <c r="Z155" s="31"/>
      <c r="AA155" s="296"/>
      <c r="AB155" s="89"/>
      <c r="AC155" s="88" t="str">
        <f t="shared" si="33"/>
        <v>NA</v>
      </c>
      <c r="AD155" s="88" t="str">
        <f t="shared" si="34"/>
        <v>NA</v>
      </c>
      <c r="AE155" s="111"/>
      <c r="AF155" s="112"/>
      <c r="AG155" s="113"/>
      <c r="AH155" s="112"/>
      <c r="AI155" s="31"/>
      <c r="AJ155" s="294"/>
      <c r="AK155" s="89"/>
      <c r="AL155" s="88" t="str">
        <f t="shared" si="31"/>
        <v>NA</v>
      </c>
      <c r="AM155" s="88" t="str">
        <f t="shared" si="32"/>
        <v>NA</v>
      </c>
      <c r="AN155" s="111"/>
      <c r="AO155" s="112"/>
      <c r="AP155" s="113"/>
      <c r="AQ155" s="112"/>
      <c r="AR155" s="31"/>
      <c r="AS155" s="32"/>
      <c r="AT155" s="90"/>
      <c r="AU155" s="88"/>
      <c r="AV155" s="88"/>
      <c r="AW155" s="111"/>
      <c r="AX155" s="112"/>
      <c r="AY155" s="113"/>
      <c r="AZ155" s="112"/>
      <c r="BA155" s="31"/>
      <c r="BB155" s="32"/>
      <c r="BC155" s="90"/>
      <c r="BD155" s="88"/>
      <c r="BE155" s="88"/>
      <c r="BF155" s="111"/>
      <c r="BG155" s="112"/>
      <c r="BH155" s="113"/>
      <c r="BI155" s="112"/>
      <c r="BJ155" s="31"/>
      <c r="BK155" s="32"/>
      <c r="BL155" s="90"/>
      <c r="BM155" s="88"/>
      <c r="BN155" s="88"/>
      <c r="BO155" s="111"/>
      <c r="BP155" s="112"/>
      <c r="BQ155" s="113"/>
      <c r="BR155" s="112"/>
      <c r="BS155" s="31"/>
      <c r="BT155" s="32"/>
      <c r="BU155" s="90"/>
      <c r="BV155" s="88"/>
      <c r="BW155" s="88"/>
      <c r="BX155" s="111"/>
      <c r="BY155" s="112"/>
      <c r="BZ155" s="113"/>
      <c r="CA155" s="112"/>
      <c r="CB155" s="31"/>
      <c r="CC155" s="32"/>
      <c r="CD155" s="90"/>
      <c r="CE155" s="88"/>
      <c r="CF155" s="88"/>
      <c r="CG155" s="111"/>
      <c r="CH155" s="112"/>
      <c r="CI155" s="113"/>
      <c r="CJ155" s="112"/>
      <c r="CK155" s="31"/>
      <c r="CL155" s="32"/>
      <c r="CM155" s="90"/>
      <c r="CN155" s="88"/>
      <c r="CO155" s="88"/>
      <c r="CP155" s="111"/>
      <c r="CQ155" s="112"/>
      <c r="CR155" s="113"/>
      <c r="CS155" s="112"/>
      <c r="CT155" s="55"/>
      <c r="CV155" s="230" t="s">
        <v>660</v>
      </c>
      <c r="CX155" s="226" t="s">
        <v>541</v>
      </c>
      <c r="CY155" s="226" t="s">
        <v>541</v>
      </c>
      <c r="CZ155" s="226" t="s">
        <v>541</v>
      </c>
      <c r="DA155" s="226" t="s">
        <v>541</v>
      </c>
      <c r="DB155" s="14"/>
      <c r="DC155" s="226" t="s">
        <v>541</v>
      </c>
      <c r="DD155" s="226" t="s">
        <v>541</v>
      </c>
      <c r="DE155" s="226" t="s">
        <v>1452</v>
      </c>
      <c r="DF155" s="226" t="s">
        <v>541</v>
      </c>
      <c r="DG155" s="226" t="s">
        <v>541</v>
      </c>
      <c r="DH155" s="14"/>
    </row>
    <row r="156" spans="1:112" ht="12.75" customHeight="1" x14ac:dyDescent="0.25">
      <c r="A156" s="17" t="s">
        <v>450</v>
      </c>
      <c r="B156" s="17" t="s">
        <v>541</v>
      </c>
      <c r="C156" s="17" t="s">
        <v>184</v>
      </c>
      <c r="D156" s="17" t="s">
        <v>661</v>
      </c>
      <c r="E156" s="17" t="b">
        <f t="shared" si="28"/>
        <v>1</v>
      </c>
      <c r="F156" s="127" t="s">
        <v>450</v>
      </c>
      <c r="G156" s="248" t="s">
        <v>541</v>
      </c>
      <c r="H156" s="128" t="s">
        <v>184</v>
      </c>
      <c r="I156" s="128" t="s">
        <v>661</v>
      </c>
      <c r="J156" s="31"/>
      <c r="K156" s="102" t="s">
        <v>583</v>
      </c>
      <c r="L156" s="90"/>
      <c r="M156" s="111"/>
      <c r="N156" s="112"/>
      <c r="O156" s="113"/>
      <c r="P156" s="112"/>
      <c r="Q156" s="31"/>
      <c r="R156" s="102"/>
      <c r="S156" s="90"/>
      <c r="T156" s="88" t="str">
        <f t="shared" si="26"/>
        <v>NA</v>
      </c>
      <c r="U156" s="88" t="str">
        <f t="shared" si="27"/>
        <v>NA</v>
      </c>
      <c r="V156" s="111"/>
      <c r="W156" s="112"/>
      <c r="X156" s="113"/>
      <c r="Y156" s="112"/>
      <c r="Z156" s="31"/>
      <c r="AA156" s="296"/>
      <c r="AB156" s="89"/>
      <c r="AC156" s="88" t="str">
        <f t="shared" si="33"/>
        <v>NA</v>
      </c>
      <c r="AD156" s="88" t="str">
        <f t="shared" si="34"/>
        <v>NA</v>
      </c>
      <c r="AE156" s="111"/>
      <c r="AF156" s="112"/>
      <c r="AG156" s="113"/>
      <c r="AH156" s="112"/>
      <c r="AI156" s="31"/>
      <c r="AJ156" s="294"/>
      <c r="AK156" s="89"/>
      <c r="AL156" s="88" t="str">
        <f t="shared" si="31"/>
        <v>NA</v>
      </c>
      <c r="AM156" s="88" t="str">
        <f t="shared" si="32"/>
        <v>NA</v>
      </c>
      <c r="AN156" s="111"/>
      <c r="AO156" s="112"/>
      <c r="AP156" s="113"/>
      <c r="AQ156" s="112"/>
      <c r="AR156" s="31"/>
      <c r="AS156" s="32"/>
      <c r="AT156" s="90"/>
      <c r="AU156" s="88"/>
      <c r="AV156" s="88"/>
      <c r="AW156" s="111"/>
      <c r="AX156" s="112"/>
      <c r="AY156" s="113"/>
      <c r="AZ156" s="112"/>
      <c r="BA156" s="31"/>
      <c r="BB156" s="32"/>
      <c r="BC156" s="90"/>
      <c r="BD156" s="88"/>
      <c r="BE156" s="88"/>
      <c r="BF156" s="111"/>
      <c r="BG156" s="112"/>
      <c r="BH156" s="113"/>
      <c r="BI156" s="112"/>
      <c r="BJ156" s="31"/>
      <c r="BK156" s="32"/>
      <c r="BL156" s="90"/>
      <c r="BM156" s="88"/>
      <c r="BN156" s="88"/>
      <c r="BO156" s="111"/>
      <c r="BP156" s="112"/>
      <c r="BQ156" s="113"/>
      <c r="BR156" s="112"/>
      <c r="BS156" s="31"/>
      <c r="BT156" s="32"/>
      <c r="BU156" s="90"/>
      <c r="BV156" s="88"/>
      <c r="BW156" s="88"/>
      <c r="BX156" s="111"/>
      <c r="BY156" s="112"/>
      <c r="BZ156" s="113"/>
      <c r="CA156" s="112"/>
      <c r="CB156" s="31"/>
      <c r="CC156" s="32"/>
      <c r="CD156" s="90"/>
      <c r="CE156" s="88"/>
      <c r="CF156" s="88"/>
      <c r="CG156" s="111"/>
      <c r="CH156" s="112"/>
      <c r="CI156" s="113"/>
      <c r="CJ156" s="112"/>
      <c r="CK156" s="31"/>
      <c r="CL156" s="32"/>
      <c r="CM156" s="90"/>
      <c r="CN156" s="88"/>
      <c r="CO156" s="88"/>
      <c r="CP156" s="111"/>
      <c r="CQ156" s="112"/>
      <c r="CR156" s="113"/>
      <c r="CS156" s="112"/>
      <c r="CT156" s="55"/>
      <c r="CV156" s="230" t="s">
        <v>661</v>
      </c>
      <c r="CX156" s="226" t="s">
        <v>541</v>
      </c>
      <c r="CY156" s="226" t="s">
        <v>541</v>
      </c>
      <c r="CZ156" s="226" t="s">
        <v>541</v>
      </c>
      <c r="DA156" s="226" t="s">
        <v>541</v>
      </c>
      <c r="DB156" s="14"/>
      <c r="DC156" s="226" t="s">
        <v>541</v>
      </c>
      <c r="DD156" s="226" t="s">
        <v>541</v>
      </c>
      <c r="DE156" s="226" t="s">
        <v>1453</v>
      </c>
      <c r="DF156" s="226" t="s">
        <v>541</v>
      </c>
      <c r="DG156" s="226" t="s">
        <v>541</v>
      </c>
      <c r="DH156" s="14"/>
    </row>
    <row r="157" spans="1:112" ht="12.75" customHeight="1" x14ac:dyDescent="0.25">
      <c r="A157" s="17" t="s">
        <v>451</v>
      </c>
      <c r="B157" s="17" t="s">
        <v>541</v>
      </c>
      <c r="C157" s="17" t="s">
        <v>183</v>
      </c>
      <c r="D157" s="17" t="s">
        <v>662</v>
      </c>
      <c r="E157" s="17" t="b">
        <f t="shared" si="28"/>
        <v>1</v>
      </c>
      <c r="F157" s="127" t="s">
        <v>451</v>
      </c>
      <c r="G157" s="248" t="s">
        <v>541</v>
      </c>
      <c r="H157" s="128" t="s">
        <v>183</v>
      </c>
      <c r="I157" s="128" t="s">
        <v>662</v>
      </c>
      <c r="J157" s="31"/>
      <c r="K157" s="102" t="s">
        <v>583</v>
      </c>
      <c r="L157" s="90"/>
      <c r="M157" s="111"/>
      <c r="N157" s="112"/>
      <c r="O157" s="113"/>
      <c r="P157" s="112"/>
      <c r="Q157" s="31"/>
      <c r="R157" s="102"/>
      <c r="S157" s="90"/>
      <c r="T157" s="88" t="str">
        <f t="shared" si="26"/>
        <v>NA</v>
      </c>
      <c r="U157" s="88" t="str">
        <f t="shared" si="27"/>
        <v>NA</v>
      </c>
      <c r="V157" s="111"/>
      <c r="W157" s="112"/>
      <c r="X157" s="113"/>
      <c r="Y157" s="112"/>
      <c r="Z157" s="31"/>
      <c r="AA157" s="296"/>
      <c r="AB157" s="89"/>
      <c r="AC157" s="88" t="str">
        <f t="shared" si="33"/>
        <v>NA</v>
      </c>
      <c r="AD157" s="88" t="str">
        <f t="shared" si="34"/>
        <v>NA</v>
      </c>
      <c r="AE157" s="111"/>
      <c r="AF157" s="112"/>
      <c r="AG157" s="113"/>
      <c r="AH157" s="112"/>
      <c r="AI157" s="31"/>
      <c r="AJ157" s="294"/>
      <c r="AK157" s="89"/>
      <c r="AL157" s="88" t="str">
        <f t="shared" si="31"/>
        <v>NA</v>
      </c>
      <c r="AM157" s="88" t="str">
        <f t="shared" si="32"/>
        <v>NA</v>
      </c>
      <c r="AN157" s="111"/>
      <c r="AO157" s="112"/>
      <c r="AP157" s="113"/>
      <c r="AQ157" s="112"/>
      <c r="AR157" s="31"/>
      <c r="AS157" s="32"/>
      <c r="AT157" s="90"/>
      <c r="AU157" s="88"/>
      <c r="AV157" s="88"/>
      <c r="AW157" s="111"/>
      <c r="AX157" s="112"/>
      <c r="AY157" s="113"/>
      <c r="AZ157" s="112"/>
      <c r="BA157" s="31"/>
      <c r="BB157" s="32"/>
      <c r="BC157" s="90"/>
      <c r="BD157" s="88"/>
      <c r="BE157" s="88"/>
      <c r="BF157" s="111"/>
      <c r="BG157" s="112"/>
      <c r="BH157" s="113"/>
      <c r="BI157" s="112"/>
      <c r="BJ157" s="31"/>
      <c r="BK157" s="32"/>
      <c r="BL157" s="90"/>
      <c r="BM157" s="88"/>
      <c r="BN157" s="88"/>
      <c r="BO157" s="111"/>
      <c r="BP157" s="112"/>
      <c r="BQ157" s="113"/>
      <c r="BR157" s="112"/>
      <c r="BS157" s="31"/>
      <c r="BT157" s="32"/>
      <c r="BU157" s="90"/>
      <c r="BV157" s="88"/>
      <c r="BW157" s="88"/>
      <c r="BX157" s="111"/>
      <c r="BY157" s="112"/>
      <c r="BZ157" s="113"/>
      <c r="CA157" s="112"/>
      <c r="CB157" s="31"/>
      <c r="CC157" s="32"/>
      <c r="CD157" s="90"/>
      <c r="CE157" s="88"/>
      <c r="CF157" s="88"/>
      <c r="CG157" s="111"/>
      <c r="CH157" s="112"/>
      <c r="CI157" s="113"/>
      <c r="CJ157" s="112"/>
      <c r="CK157" s="31"/>
      <c r="CL157" s="32"/>
      <c r="CM157" s="90"/>
      <c r="CN157" s="88"/>
      <c r="CO157" s="88"/>
      <c r="CP157" s="111"/>
      <c r="CQ157" s="112"/>
      <c r="CR157" s="113"/>
      <c r="CS157" s="112"/>
      <c r="CT157" s="55"/>
      <c r="CV157" s="230" t="s">
        <v>662</v>
      </c>
      <c r="CX157" s="226" t="s">
        <v>541</v>
      </c>
      <c r="CY157" s="226" t="s">
        <v>541</v>
      </c>
      <c r="CZ157" s="226" t="s">
        <v>541</v>
      </c>
      <c r="DA157" s="226" t="s">
        <v>541</v>
      </c>
      <c r="DB157" s="14"/>
      <c r="DC157" s="226" t="s">
        <v>541</v>
      </c>
      <c r="DD157" s="226" t="s">
        <v>541</v>
      </c>
      <c r="DE157" s="226" t="s">
        <v>1454</v>
      </c>
      <c r="DF157" s="226" t="s">
        <v>541</v>
      </c>
      <c r="DG157" s="226" t="s">
        <v>541</v>
      </c>
      <c r="DH157" s="14"/>
    </row>
    <row r="158" spans="1:112" ht="12.75" customHeight="1" x14ac:dyDescent="0.25">
      <c r="A158" s="17" t="s">
        <v>452</v>
      </c>
      <c r="B158" s="17" t="s">
        <v>541</v>
      </c>
      <c r="C158" s="17" t="s">
        <v>182</v>
      </c>
      <c r="D158" s="17" t="s">
        <v>663</v>
      </c>
      <c r="E158" s="17" t="b">
        <f t="shared" si="28"/>
        <v>1</v>
      </c>
      <c r="F158" s="127" t="s">
        <v>452</v>
      </c>
      <c r="G158" s="248" t="s">
        <v>541</v>
      </c>
      <c r="H158" s="128" t="s">
        <v>182</v>
      </c>
      <c r="I158" s="128" t="s">
        <v>663</v>
      </c>
      <c r="J158" s="31"/>
      <c r="K158" s="102" t="s">
        <v>583</v>
      </c>
      <c r="L158" s="90"/>
      <c r="M158" s="111"/>
      <c r="N158" s="112"/>
      <c r="O158" s="113"/>
      <c r="P158" s="112"/>
      <c r="Q158" s="31"/>
      <c r="R158" s="102"/>
      <c r="S158" s="90"/>
      <c r="T158" s="88" t="str">
        <f t="shared" si="26"/>
        <v>NA</v>
      </c>
      <c r="U158" s="88" t="str">
        <f t="shared" si="27"/>
        <v>NA</v>
      </c>
      <c r="V158" s="111"/>
      <c r="W158" s="112"/>
      <c r="X158" s="113"/>
      <c r="Y158" s="112"/>
      <c r="Z158" s="31"/>
      <c r="AA158" s="296"/>
      <c r="AB158" s="89"/>
      <c r="AC158" s="88" t="str">
        <f t="shared" si="33"/>
        <v>NA</v>
      </c>
      <c r="AD158" s="88" t="str">
        <f t="shared" si="34"/>
        <v>NA</v>
      </c>
      <c r="AE158" s="111"/>
      <c r="AF158" s="112"/>
      <c r="AG158" s="113"/>
      <c r="AH158" s="112"/>
      <c r="AI158" s="31"/>
      <c r="AJ158" s="294"/>
      <c r="AK158" s="89"/>
      <c r="AL158" s="88" t="str">
        <f t="shared" si="31"/>
        <v>NA</v>
      </c>
      <c r="AM158" s="88" t="str">
        <f t="shared" si="32"/>
        <v>NA</v>
      </c>
      <c r="AN158" s="111"/>
      <c r="AO158" s="112"/>
      <c r="AP158" s="113"/>
      <c r="AQ158" s="112"/>
      <c r="AR158" s="31"/>
      <c r="AS158" s="32"/>
      <c r="AT158" s="90"/>
      <c r="AU158" s="88"/>
      <c r="AV158" s="88"/>
      <c r="AW158" s="111"/>
      <c r="AX158" s="112"/>
      <c r="AY158" s="113"/>
      <c r="AZ158" s="112"/>
      <c r="BA158" s="31"/>
      <c r="BB158" s="32"/>
      <c r="BC158" s="90"/>
      <c r="BD158" s="88"/>
      <c r="BE158" s="88"/>
      <c r="BF158" s="111"/>
      <c r="BG158" s="112"/>
      <c r="BH158" s="113"/>
      <c r="BI158" s="112"/>
      <c r="BJ158" s="31"/>
      <c r="BK158" s="32"/>
      <c r="BL158" s="90"/>
      <c r="BM158" s="88"/>
      <c r="BN158" s="88"/>
      <c r="BO158" s="111"/>
      <c r="BP158" s="112"/>
      <c r="BQ158" s="113"/>
      <c r="BR158" s="112"/>
      <c r="BS158" s="31"/>
      <c r="BT158" s="32"/>
      <c r="BU158" s="90"/>
      <c r="BV158" s="88"/>
      <c r="BW158" s="88"/>
      <c r="BX158" s="111"/>
      <c r="BY158" s="112"/>
      <c r="BZ158" s="113"/>
      <c r="CA158" s="112"/>
      <c r="CB158" s="31"/>
      <c r="CC158" s="32"/>
      <c r="CD158" s="90"/>
      <c r="CE158" s="88"/>
      <c r="CF158" s="88"/>
      <c r="CG158" s="111"/>
      <c r="CH158" s="112"/>
      <c r="CI158" s="113"/>
      <c r="CJ158" s="112"/>
      <c r="CK158" s="31"/>
      <c r="CL158" s="32"/>
      <c r="CM158" s="90"/>
      <c r="CN158" s="88"/>
      <c r="CO158" s="88"/>
      <c r="CP158" s="111"/>
      <c r="CQ158" s="112"/>
      <c r="CR158" s="113"/>
      <c r="CS158" s="112"/>
      <c r="CT158" s="55"/>
      <c r="CV158" s="230" t="s">
        <v>663</v>
      </c>
      <c r="CX158" s="226" t="s">
        <v>541</v>
      </c>
      <c r="CY158" s="226" t="s">
        <v>541</v>
      </c>
      <c r="CZ158" s="226" t="s">
        <v>541</v>
      </c>
      <c r="DA158" s="226" t="s">
        <v>541</v>
      </c>
      <c r="DB158" s="14"/>
      <c r="DC158" s="226" t="s">
        <v>541</v>
      </c>
      <c r="DD158" s="226" t="s">
        <v>541</v>
      </c>
      <c r="DE158" s="226" t="s">
        <v>1455</v>
      </c>
      <c r="DF158" s="226" t="s">
        <v>541</v>
      </c>
      <c r="DG158" s="226" t="s">
        <v>541</v>
      </c>
      <c r="DH158" s="14"/>
    </row>
    <row r="159" spans="1:112" ht="12.75" customHeight="1" x14ac:dyDescent="0.25">
      <c r="A159" s="17" t="s">
        <v>453</v>
      </c>
      <c r="B159" s="17" t="s">
        <v>541</v>
      </c>
      <c r="C159" s="17" t="s">
        <v>181</v>
      </c>
      <c r="D159" s="17" t="s">
        <v>664</v>
      </c>
      <c r="E159" s="17" t="b">
        <f t="shared" si="28"/>
        <v>1</v>
      </c>
      <c r="F159" s="127" t="s">
        <v>453</v>
      </c>
      <c r="G159" s="248" t="s">
        <v>541</v>
      </c>
      <c r="H159" s="128" t="s">
        <v>181</v>
      </c>
      <c r="I159" s="128" t="s">
        <v>664</v>
      </c>
      <c r="J159" s="31"/>
      <c r="K159" s="102" t="s">
        <v>583</v>
      </c>
      <c r="L159" s="90"/>
      <c r="M159" s="111"/>
      <c r="N159" s="112"/>
      <c r="O159" s="113"/>
      <c r="P159" s="112"/>
      <c r="Q159" s="31"/>
      <c r="R159" s="102"/>
      <c r="S159" s="90"/>
      <c r="T159" s="88" t="str">
        <f t="shared" si="26"/>
        <v>NA</v>
      </c>
      <c r="U159" s="88" t="str">
        <f t="shared" si="27"/>
        <v>NA</v>
      </c>
      <c r="V159" s="111"/>
      <c r="W159" s="112"/>
      <c r="X159" s="113"/>
      <c r="Y159" s="112"/>
      <c r="Z159" s="31"/>
      <c r="AA159" s="296"/>
      <c r="AB159" s="89"/>
      <c r="AC159" s="88" t="str">
        <f t="shared" si="33"/>
        <v>NA</v>
      </c>
      <c r="AD159" s="88" t="str">
        <f t="shared" si="34"/>
        <v>NA</v>
      </c>
      <c r="AE159" s="111"/>
      <c r="AF159" s="112"/>
      <c r="AG159" s="113"/>
      <c r="AH159" s="112"/>
      <c r="AI159" s="31"/>
      <c r="AJ159" s="294"/>
      <c r="AK159" s="89"/>
      <c r="AL159" s="88" t="str">
        <f t="shared" si="31"/>
        <v>NA</v>
      </c>
      <c r="AM159" s="88" t="str">
        <f t="shared" si="32"/>
        <v>NA</v>
      </c>
      <c r="AN159" s="111"/>
      <c r="AO159" s="112"/>
      <c r="AP159" s="113"/>
      <c r="AQ159" s="112"/>
      <c r="AR159" s="31"/>
      <c r="AS159" s="32"/>
      <c r="AT159" s="90"/>
      <c r="AU159" s="88"/>
      <c r="AV159" s="88"/>
      <c r="AW159" s="111"/>
      <c r="AX159" s="112"/>
      <c r="AY159" s="113"/>
      <c r="AZ159" s="112"/>
      <c r="BA159" s="31"/>
      <c r="BB159" s="32"/>
      <c r="BC159" s="90"/>
      <c r="BD159" s="88"/>
      <c r="BE159" s="88"/>
      <c r="BF159" s="111"/>
      <c r="BG159" s="112"/>
      <c r="BH159" s="113"/>
      <c r="BI159" s="112"/>
      <c r="BJ159" s="31"/>
      <c r="BK159" s="32"/>
      <c r="BL159" s="90"/>
      <c r="BM159" s="88"/>
      <c r="BN159" s="88"/>
      <c r="BO159" s="111"/>
      <c r="BP159" s="112"/>
      <c r="BQ159" s="113"/>
      <c r="BR159" s="112"/>
      <c r="BS159" s="31"/>
      <c r="BT159" s="32"/>
      <c r="BU159" s="90"/>
      <c r="BV159" s="88"/>
      <c r="BW159" s="88"/>
      <c r="BX159" s="111"/>
      <c r="BY159" s="112"/>
      <c r="BZ159" s="113"/>
      <c r="CA159" s="112"/>
      <c r="CB159" s="31"/>
      <c r="CC159" s="32"/>
      <c r="CD159" s="90"/>
      <c r="CE159" s="88"/>
      <c r="CF159" s="88"/>
      <c r="CG159" s="111"/>
      <c r="CH159" s="112"/>
      <c r="CI159" s="113"/>
      <c r="CJ159" s="112"/>
      <c r="CK159" s="31"/>
      <c r="CL159" s="32"/>
      <c r="CM159" s="90"/>
      <c r="CN159" s="88"/>
      <c r="CO159" s="88"/>
      <c r="CP159" s="111"/>
      <c r="CQ159" s="112"/>
      <c r="CR159" s="113"/>
      <c r="CS159" s="112"/>
      <c r="CT159" s="55"/>
      <c r="CV159" s="230" t="s">
        <v>664</v>
      </c>
      <c r="CX159" s="226" t="s">
        <v>541</v>
      </c>
      <c r="CY159" s="226" t="s">
        <v>541</v>
      </c>
      <c r="CZ159" s="226" t="s">
        <v>541</v>
      </c>
      <c r="DA159" s="226" t="s">
        <v>541</v>
      </c>
      <c r="DB159" s="14"/>
      <c r="DC159" s="226" t="s">
        <v>541</v>
      </c>
      <c r="DD159" s="226" t="s">
        <v>541</v>
      </c>
      <c r="DE159" s="226" t="s">
        <v>1456</v>
      </c>
      <c r="DF159" s="226" t="s">
        <v>541</v>
      </c>
      <c r="DG159" s="226" t="s">
        <v>541</v>
      </c>
      <c r="DH159" s="14"/>
    </row>
    <row r="160" spans="1:112" ht="12.75" customHeight="1" x14ac:dyDescent="0.25">
      <c r="A160" s="17" t="s">
        <v>454</v>
      </c>
      <c r="B160" s="17" t="s">
        <v>541</v>
      </c>
      <c r="C160" s="17" t="s">
        <v>180</v>
      </c>
      <c r="D160" s="17" t="s">
        <v>665</v>
      </c>
      <c r="E160" s="17" t="b">
        <f t="shared" si="28"/>
        <v>1</v>
      </c>
      <c r="F160" s="127" t="s">
        <v>454</v>
      </c>
      <c r="G160" s="248" t="s">
        <v>541</v>
      </c>
      <c r="H160" s="128" t="s">
        <v>180</v>
      </c>
      <c r="I160" s="128" t="s">
        <v>665</v>
      </c>
      <c r="J160" s="31"/>
      <c r="K160" s="102" t="s">
        <v>583</v>
      </c>
      <c r="L160" s="90"/>
      <c r="M160" s="111"/>
      <c r="N160" s="112"/>
      <c r="O160" s="113"/>
      <c r="P160" s="112"/>
      <c r="Q160" s="31"/>
      <c r="R160" s="102"/>
      <c r="S160" s="90"/>
      <c r="T160" s="88" t="str">
        <f t="shared" si="26"/>
        <v>NA</v>
      </c>
      <c r="U160" s="88" t="str">
        <f t="shared" si="27"/>
        <v>NA</v>
      </c>
      <c r="V160" s="111"/>
      <c r="W160" s="112"/>
      <c r="X160" s="113"/>
      <c r="Y160" s="112"/>
      <c r="Z160" s="31"/>
      <c r="AA160" s="296"/>
      <c r="AB160" s="89"/>
      <c r="AC160" s="88" t="str">
        <f t="shared" si="33"/>
        <v>NA</v>
      </c>
      <c r="AD160" s="88" t="str">
        <f t="shared" si="34"/>
        <v>NA</v>
      </c>
      <c r="AE160" s="111"/>
      <c r="AF160" s="112"/>
      <c r="AG160" s="113"/>
      <c r="AH160" s="112"/>
      <c r="AI160" s="31"/>
      <c r="AJ160" s="294"/>
      <c r="AK160" s="89"/>
      <c r="AL160" s="88" t="str">
        <f t="shared" si="31"/>
        <v>NA</v>
      </c>
      <c r="AM160" s="88" t="str">
        <f t="shared" si="32"/>
        <v>NA</v>
      </c>
      <c r="AN160" s="111"/>
      <c r="AO160" s="112"/>
      <c r="AP160" s="113"/>
      <c r="AQ160" s="112"/>
      <c r="AR160" s="31"/>
      <c r="AS160" s="32"/>
      <c r="AT160" s="90"/>
      <c r="AU160" s="88"/>
      <c r="AV160" s="88"/>
      <c r="AW160" s="111"/>
      <c r="AX160" s="112"/>
      <c r="AY160" s="113"/>
      <c r="AZ160" s="112"/>
      <c r="BA160" s="31"/>
      <c r="BB160" s="32"/>
      <c r="BC160" s="90"/>
      <c r="BD160" s="88"/>
      <c r="BE160" s="88"/>
      <c r="BF160" s="111"/>
      <c r="BG160" s="112"/>
      <c r="BH160" s="113"/>
      <c r="BI160" s="112"/>
      <c r="BJ160" s="31"/>
      <c r="BK160" s="32"/>
      <c r="BL160" s="90"/>
      <c r="BM160" s="88"/>
      <c r="BN160" s="88"/>
      <c r="BO160" s="111"/>
      <c r="BP160" s="112"/>
      <c r="BQ160" s="113"/>
      <c r="BR160" s="112"/>
      <c r="BS160" s="31"/>
      <c r="BT160" s="32"/>
      <c r="BU160" s="90"/>
      <c r="BV160" s="88"/>
      <c r="BW160" s="88"/>
      <c r="BX160" s="111"/>
      <c r="BY160" s="112"/>
      <c r="BZ160" s="113"/>
      <c r="CA160" s="112"/>
      <c r="CB160" s="31"/>
      <c r="CC160" s="32"/>
      <c r="CD160" s="90"/>
      <c r="CE160" s="88"/>
      <c r="CF160" s="88"/>
      <c r="CG160" s="111"/>
      <c r="CH160" s="112"/>
      <c r="CI160" s="113"/>
      <c r="CJ160" s="112"/>
      <c r="CK160" s="31"/>
      <c r="CL160" s="32"/>
      <c r="CM160" s="90"/>
      <c r="CN160" s="88"/>
      <c r="CO160" s="88"/>
      <c r="CP160" s="111"/>
      <c r="CQ160" s="112"/>
      <c r="CR160" s="113"/>
      <c r="CS160" s="112"/>
      <c r="CT160" s="55"/>
      <c r="CV160" s="230" t="s">
        <v>665</v>
      </c>
      <c r="CX160" s="226" t="s">
        <v>541</v>
      </c>
      <c r="CY160" s="226" t="s">
        <v>541</v>
      </c>
      <c r="CZ160" s="226" t="s">
        <v>541</v>
      </c>
      <c r="DA160" s="226" t="s">
        <v>541</v>
      </c>
      <c r="DB160" s="14"/>
      <c r="DC160" s="226" t="s">
        <v>541</v>
      </c>
      <c r="DD160" s="226" t="s">
        <v>541</v>
      </c>
      <c r="DE160" s="226" t="s">
        <v>1457</v>
      </c>
      <c r="DF160" s="226" t="s">
        <v>541</v>
      </c>
      <c r="DG160" s="226" t="s">
        <v>541</v>
      </c>
      <c r="DH160" s="14"/>
    </row>
    <row r="161" spans="1:112" ht="12.75" customHeight="1" x14ac:dyDescent="0.25">
      <c r="A161" s="17" t="s">
        <v>455</v>
      </c>
      <c r="B161" s="17" t="s">
        <v>541</v>
      </c>
      <c r="C161" s="17" t="s">
        <v>179</v>
      </c>
      <c r="D161" s="17" t="s">
        <v>666</v>
      </c>
      <c r="E161" s="17" t="b">
        <f t="shared" si="28"/>
        <v>1</v>
      </c>
      <c r="F161" s="127" t="s">
        <v>455</v>
      </c>
      <c r="G161" s="248" t="s">
        <v>541</v>
      </c>
      <c r="H161" s="128" t="s">
        <v>179</v>
      </c>
      <c r="I161" s="128" t="s">
        <v>666</v>
      </c>
      <c r="J161" s="31"/>
      <c r="K161" s="102" t="s">
        <v>583</v>
      </c>
      <c r="L161" s="90"/>
      <c r="M161" s="111"/>
      <c r="N161" s="112"/>
      <c r="O161" s="113"/>
      <c r="P161" s="112"/>
      <c r="Q161" s="31"/>
      <c r="R161" s="102"/>
      <c r="S161" s="90"/>
      <c r="T161" s="88" t="str">
        <f t="shared" si="26"/>
        <v>NA</v>
      </c>
      <c r="U161" s="88" t="str">
        <f t="shared" si="27"/>
        <v>NA</v>
      </c>
      <c r="V161" s="111"/>
      <c r="W161" s="112"/>
      <c r="X161" s="113"/>
      <c r="Y161" s="112"/>
      <c r="Z161" s="31"/>
      <c r="AA161" s="296"/>
      <c r="AB161" s="89"/>
      <c r="AC161" s="88" t="str">
        <f t="shared" si="33"/>
        <v>NA</v>
      </c>
      <c r="AD161" s="88" t="str">
        <f t="shared" si="34"/>
        <v>NA</v>
      </c>
      <c r="AE161" s="111"/>
      <c r="AF161" s="112"/>
      <c r="AG161" s="113"/>
      <c r="AH161" s="112"/>
      <c r="AI161" s="31"/>
      <c r="AJ161" s="294"/>
      <c r="AK161" s="89"/>
      <c r="AL161" s="88" t="str">
        <f t="shared" si="31"/>
        <v>NA</v>
      </c>
      <c r="AM161" s="88" t="str">
        <f t="shared" si="32"/>
        <v>NA</v>
      </c>
      <c r="AN161" s="111"/>
      <c r="AO161" s="112"/>
      <c r="AP161" s="113"/>
      <c r="AQ161" s="112"/>
      <c r="AR161" s="31"/>
      <c r="AS161" s="32"/>
      <c r="AT161" s="90"/>
      <c r="AU161" s="88"/>
      <c r="AV161" s="88"/>
      <c r="AW161" s="111"/>
      <c r="AX161" s="112"/>
      <c r="AY161" s="113"/>
      <c r="AZ161" s="112"/>
      <c r="BA161" s="31"/>
      <c r="BB161" s="32"/>
      <c r="BC161" s="90"/>
      <c r="BD161" s="88"/>
      <c r="BE161" s="88"/>
      <c r="BF161" s="111"/>
      <c r="BG161" s="112"/>
      <c r="BH161" s="113"/>
      <c r="BI161" s="112"/>
      <c r="BJ161" s="31"/>
      <c r="BK161" s="32"/>
      <c r="BL161" s="90"/>
      <c r="BM161" s="88"/>
      <c r="BN161" s="88"/>
      <c r="BO161" s="111"/>
      <c r="BP161" s="112"/>
      <c r="BQ161" s="113"/>
      <c r="BR161" s="112"/>
      <c r="BS161" s="31"/>
      <c r="BT161" s="32"/>
      <c r="BU161" s="90"/>
      <c r="BV161" s="88"/>
      <c r="BW161" s="88"/>
      <c r="BX161" s="111"/>
      <c r="BY161" s="112"/>
      <c r="BZ161" s="113"/>
      <c r="CA161" s="112"/>
      <c r="CB161" s="31"/>
      <c r="CC161" s="32"/>
      <c r="CD161" s="90"/>
      <c r="CE161" s="88"/>
      <c r="CF161" s="88"/>
      <c r="CG161" s="111"/>
      <c r="CH161" s="112"/>
      <c r="CI161" s="113"/>
      <c r="CJ161" s="112"/>
      <c r="CK161" s="31"/>
      <c r="CL161" s="32"/>
      <c r="CM161" s="90"/>
      <c r="CN161" s="88"/>
      <c r="CO161" s="88"/>
      <c r="CP161" s="111"/>
      <c r="CQ161" s="112"/>
      <c r="CR161" s="113"/>
      <c r="CS161" s="112"/>
      <c r="CT161" s="55"/>
      <c r="CV161" s="230" t="s">
        <v>666</v>
      </c>
      <c r="CX161" s="226" t="s">
        <v>541</v>
      </c>
      <c r="CY161" s="226" t="s">
        <v>541</v>
      </c>
      <c r="CZ161" s="226" t="s">
        <v>541</v>
      </c>
      <c r="DA161" s="226" t="s">
        <v>541</v>
      </c>
      <c r="DB161" s="14"/>
      <c r="DC161" s="226" t="s">
        <v>541</v>
      </c>
      <c r="DD161" s="226" t="s">
        <v>541</v>
      </c>
      <c r="DE161" s="226" t="s">
        <v>1458</v>
      </c>
      <c r="DF161" s="226" t="s">
        <v>541</v>
      </c>
      <c r="DG161" s="226" t="s">
        <v>541</v>
      </c>
      <c r="DH161" s="14"/>
    </row>
    <row r="162" spans="1:112" ht="12.75" customHeight="1" x14ac:dyDescent="0.25">
      <c r="A162" s="17" t="s">
        <v>456</v>
      </c>
      <c r="B162" s="17" t="s">
        <v>541</v>
      </c>
      <c r="C162" s="17" t="s">
        <v>178</v>
      </c>
      <c r="D162" s="17" t="s">
        <v>667</v>
      </c>
      <c r="E162" s="17" t="b">
        <f t="shared" si="28"/>
        <v>1</v>
      </c>
      <c r="F162" s="127" t="s">
        <v>456</v>
      </c>
      <c r="G162" s="248" t="s">
        <v>541</v>
      </c>
      <c r="H162" s="128" t="s">
        <v>178</v>
      </c>
      <c r="I162" s="128" t="s">
        <v>667</v>
      </c>
      <c r="J162" s="31"/>
      <c r="K162" s="102" t="s">
        <v>583</v>
      </c>
      <c r="L162" s="90"/>
      <c r="M162" s="111"/>
      <c r="N162" s="112"/>
      <c r="O162" s="113"/>
      <c r="P162" s="112"/>
      <c r="Q162" s="31"/>
      <c r="R162" s="102"/>
      <c r="S162" s="90"/>
      <c r="T162" s="88" t="str">
        <f t="shared" si="26"/>
        <v>NA</v>
      </c>
      <c r="U162" s="88" t="str">
        <f t="shared" si="27"/>
        <v>NA</v>
      </c>
      <c r="V162" s="111"/>
      <c r="W162" s="112"/>
      <c r="X162" s="113"/>
      <c r="Y162" s="112"/>
      <c r="Z162" s="31"/>
      <c r="AA162" s="296"/>
      <c r="AB162" s="89"/>
      <c r="AC162" s="88" t="str">
        <f t="shared" si="33"/>
        <v>NA</v>
      </c>
      <c r="AD162" s="88" t="str">
        <f t="shared" si="34"/>
        <v>NA</v>
      </c>
      <c r="AE162" s="111"/>
      <c r="AF162" s="112"/>
      <c r="AG162" s="113"/>
      <c r="AH162" s="112"/>
      <c r="AI162" s="31"/>
      <c r="AJ162" s="294"/>
      <c r="AK162" s="89"/>
      <c r="AL162" s="88" t="str">
        <f t="shared" si="31"/>
        <v>NA</v>
      </c>
      <c r="AM162" s="88" t="str">
        <f t="shared" si="32"/>
        <v>NA</v>
      </c>
      <c r="AN162" s="111"/>
      <c r="AO162" s="112"/>
      <c r="AP162" s="113"/>
      <c r="AQ162" s="112"/>
      <c r="AR162" s="31"/>
      <c r="AS162" s="32"/>
      <c r="AT162" s="90"/>
      <c r="AU162" s="88"/>
      <c r="AV162" s="88"/>
      <c r="AW162" s="111"/>
      <c r="AX162" s="112"/>
      <c r="AY162" s="113"/>
      <c r="AZ162" s="112"/>
      <c r="BA162" s="31"/>
      <c r="BB162" s="32"/>
      <c r="BC162" s="90"/>
      <c r="BD162" s="88"/>
      <c r="BE162" s="88"/>
      <c r="BF162" s="111"/>
      <c r="BG162" s="112"/>
      <c r="BH162" s="113"/>
      <c r="BI162" s="112"/>
      <c r="BJ162" s="31"/>
      <c r="BK162" s="32"/>
      <c r="BL162" s="90"/>
      <c r="BM162" s="88"/>
      <c r="BN162" s="88"/>
      <c r="BO162" s="111"/>
      <c r="BP162" s="112"/>
      <c r="BQ162" s="113"/>
      <c r="BR162" s="112"/>
      <c r="BS162" s="31"/>
      <c r="BT162" s="32"/>
      <c r="BU162" s="90"/>
      <c r="BV162" s="88"/>
      <c r="BW162" s="88"/>
      <c r="BX162" s="111"/>
      <c r="BY162" s="112"/>
      <c r="BZ162" s="113"/>
      <c r="CA162" s="112"/>
      <c r="CB162" s="31"/>
      <c r="CC162" s="32"/>
      <c r="CD162" s="90"/>
      <c r="CE162" s="88"/>
      <c r="CF162" s="88"/>
      <c r="CG162" s="111"/>
      <c r="CH162" s="112"/>
      <c r="CI162" s="113"/>
      <c r="CJ162" s="112"/>
      <c r="CK162" s="31"/>
      <c r="CL162" s="32"/>
      <c r="CM162" s="90"/>
      <c r="CN162" s="88"/>
      <c r="CO162" s="88"/>
      <c r="CP162" s="111"/>
      <c r="CQ162" s="112"/>
      <c r="CR162" s="113"/>
      <c r="CS162" s="112"/>
      <c r="CT162" s="55"/>
      <c r="CV162" s="230" t="s">
        <v>667</v>
      </c>
      <c r="CX162" s="226" t="s">
        <v>541</v>
      </c>
      <c r="CY162" s="226" t="s">
        <v>541</v>
      </c>
      <c r="CZ162" s="226" t="s">
        <v>541</v>
      </c>
      <c r="DA162" s="226" t="s">
        <v>541</v>
      </c>
      <c r="DB162" s="14"/>
      <c r="DC162" s="226" t="s">
        <v>541</v>
      </c>
      <c r="DD162" s="226" t="s">
        <v>541</v>
      </c>
      <c r="DE162" s="226" t="s">
        <v>1459</v>
      </c>
      <c r="DF162" s="226" t="s">
        <v>541</v>
      </c>
      <c r="DG162" s="226" t="s">
        <v>541</v>
      </c>
      <c r="DH162" s="14"/>
    </row>
    <row r="163" spans="1:112" ht="12.75" customHeight="1" x14ac:dyDescent="0.25">
      <c r="A163" s="17" t="s">
        <v>457</v>
      </c>
      <c r="B163" s="17" t="s">
        <v>541</v>
      </c>
      <c r="C163" s="17" t="s">
        <v>177</v>
      </c>
      <c r="D163" s="17" t="s">
        <v>668</v>
      </c>
      <c r="E163" s="17" t="b">
        <f t="shared" si="28"/>
        <v>1</v>
      </c>
      <c r="F163" s="127" t="s">
        <v>457</v>
      </c>
      <c r="G163" s="248" t="s">
        <v>541</v>
      </c>
      <c r="H163" s="128" t="s">
        <v>177</v>
      </c>
      <c r="I163" s="128" t="s">
        <v>668</v>
      </c>
      <c r="J163" s="31"/>
      <c r="K163" s="102" t="s">
        <v>583</v>
      </c>
      <c r="L163" s="90"/>
      <c r="M163" s="111"/>
      <c r="N163" s="112"/>
      <c r="O163" s="113"/>
      <c r="P163" s="112"/>
      <c r="Q163" s="31"/>
      <c r="R163" s="102"/>
      <c r="S163" s="90"/>
      <c r="T163" s="88" t="str">
        <f t="shared" si="26"/>
        <v>NA</v>
      </c>
      <c r="U163" s="88" t="str">
        <f t="shared" si="27"/>
        <v>NA</v>
      </c>
      <c r="V163" s="111"/>
      <c r="W163" s="112"/>
      <c r="X163" s="113"/>
      <c r="Y163" s="112"/>
      <c r="Z163" s="31"/>
      <c r="AA163" s="296"/>
      <c r="AB163" s="89"/>
      <c r="AC163" s="88" t="str">
        <f t="shared" si="33"/>
        <v>NA</v>
      </c>
      <c r="AD163" s="88" t="str">
        <f t="shared" si="34"/>
        <v>NA</v>
      </c>
      <c r="AE163" s="111"/>
      <c r="AF163" s="112"/>
      <c r="AG163" s="113"/>
      <c r="AH163" s="112"/>
      <c r="AI163" s="31"/>
      <c r="AJ163" s="294"/>
      <c r="AK163" s="89"/>
      <c r="AL163" s="88" t="str">
        <f t="shared" si="31"/>
        <v>NA</v>
      </c>
      <c r="AM163" s="88" t="str">
        <f t="shared" si="32"/>
        <v>NA</v>
      </c>
      <c r="AN163" s="111"/>
      <c r="AO163" s="112"/>
      <c r="AP163" s="113"/>
      <c r="AQ163" s="112"/>
      <c r="AR163" s="31"/>
      <c r="AS163" s="32"/>
      <c r="AT163" s="90"/>
      <c r="AU163" s="88"/>
      <c r="AV163" s="88"/>
      <c r="AW163" s="111"/>
      <c r="AX163" s="112"/>
      <c r="AY163" s="113"/>
      <c r="AZ163" s="112"/>
      <c r="BA163" s="31"/>
      <c r="BB163" s="32"/>
      <c r="BC163" s="90"/>
      <c r="BD163" s="88"/>
      <c r="BE163" s="88"/>
      <c r="BF163" s="111"/>
      <c r="BG163" s="112"/>
      <c r="BH163" s="113"/>
      <c r="BI163" s="112"/>
      <c r="BJ163" s="31"/>
      <c r="BK163" s="32"/>
      <c r="BL163" s="90"/>
      <c r="BM163" s="88"/>
      <c r="BN163" s="88"/>
      <c r="BO163" s="111"/>
      <c r="BP163" s="112"/>
      <c r="BQ163" s="113"/>
      <c r="BR163" s="112"/>
      <c r="BS163" s="31"/>
      <c r="BT163" s="32"/>
      <c r="BU163" s="90"/>
      <c r="BV163" s="88"/>
      <c r="BW163" s="88"/>
      <c r="BX163" s="111"/>
      <c r="BY163" s="112"/>
      <c r="BZ163" s="113"/>
      <c r="CA163" s="112"/>
      <c r="CB163" s="31"/>
      <c r="CC163" s="32"/>
      <c r="CD163" s="90"/>
      <c r="CE163" s="88"/>
      <c r="CF163" s="88"/>
      <c r="CG163" s="111"/>
      <c r="CH163" s="112"/>
      <c r="CI163" s="113"/>
      <c r="CJ163" s="112"/>
      <c r="CK163" s="31"/>
      <c r="CL163" s="32"/>
      <c r="CM163" s="90"/>
      <c r="CN163" s="88"/>
      <c r="CO163" s="88"/>
      <c r="CP163" s="111"/>
      <c r="CQ163" s="112"/>
      <c r="CR163" s="113"/>
      <c r="CS163" s="112"/>
      <c r="CT163" s="55"/>
      <c r="CV163" s="230" t="s">
        <v>668</v>
      </c>
      <c r="CX163" s="226" t="s">
        <v>541</v>
      </c>
      <c r="CY163" s="226" t="s">
        <v>541</v>
      </c>
      <c r="CZ163" s="226" t="s">
        <v>541</v>
      </c>
      <c r="DA163" s="226" t="s">
        <v>541</v>
      </c>
      <c r="DB163" s="14"/>
      <c r="DC163" s="226" t="s">
        <v>541</v>
      </c>
      <c r="DD163" s="226" t="s">
        <v>541</v>
      </c>
      <c r="DE163" s="226" t="s">
        <v>1460</v>
      </c>
      <c r="DF163" s="226" t="s">
        <v>541</v>
      </c>
      <c r="DG163" s="226" t="s">
        <v>541</v>
      </c>
      <c r="DH163" s="14"/>
    </row>
    <row r="164" spans="1:112" ht="12.75" customHeight="1" x14ac:dyDescent="0.25">
      <c r="A164" s="17" t="s">
        <v>1004</v>
      </c>
      <c r="B164" s="17" t="s">
        <v>1305</v>
      </c>
      <c r="C164" s="17" t="s">
        <v>766</v>
      </c>
      <c r="D164" s="17" t="s">
        <v>765</v>
      </c>
      <c r="E164" s="17" t="b">
        <f t="shared" si="28"/>
        <v>1</v>
      </c>
      <c r="F164" s="232" t="s">
        <v>2102</v>
      </c>
      <c r="G164" s="278" t="s">
        <v>2172</v>
      </c>
      <c r="H164" s="128" t="s">
        <v>766</v>
      </c>
      <c r="I164" s="233" t="s">
        <v>765</v>
      </c>
      <c r="J164" s="31"/>
      <c r="K164" s="102" t="s">
        <v>354</v>
      </c>
      <c r="L164" s="90"/>
      <c r="M164" s="111"/>
      <c r="N164" s="112"/>
      <c r="O164" s="113"/>
      <c r="P164" s="112"/>
      <c r="Q164" s="31"/>
      <c r="R164" s="102"/>
      <c r="S164" s="90"/>
      <c r="T164" s="88" t="str">
        <f t="shared" si="26"/>
        <v>NA</v>
      </c>
      <c r="U164" s="88" t="str">
        <f t="shared" si="27"/>
        <v>NA</v>
      </c>
      <c r="V164" s="111"/>
      <c r="W164" s="112"/>
      <c r="X164" s="113"/>
      <c r="Y164" s="112"/>
      <c r="Z164" s="31"/>
      <c r="AA164" s="296"/>
      <c r="AB164" s="89"/>
      <c r="AC164" s="88" t="str">
        <f t="shared" si="33"/>
        <v>NA</v>
      </c>
      <c r="AD164" s="88" t="str">
        <f t="shared" si="34"/>
        <v>NA</v>
      </c>
      <c r="AE164" s="111"/>
      <c r="AF164" s="112"/>
      <c r="AG164" s="113"/>
      <c r="AH164" s="112"/>
      <c r="AI164" s="31"/>
      <c r="AJ164" s="294"/>
      <c r="AK164" s="89"/>
      <c r="AL164" s="88" t="str">
        <f t="shared" si="31"/>
        <v>NA</v>
      </c>
      <c r="AM164" s="88" t="str">
        <f t="shared" si="32"/>
        <v>NA</v>
      </c>
      <c r="AN164" s="111"/>
      <c r="AO164" s="112"/>
      <c r="AP164" s="113"/>
      <c r="AQ164" s="112"/>
      <c r="AR164" s="31"/>
      <c r="AS164" s="32"/>
      <c r="AT164" s="90"/>
      <c r="AU164" s="88"/>
      <c r="AV164" s="88"/>
      <c r="AW164" s="111"/>
      <c r="AX164" s="112"/>
      <c r="AY164" s="113"/>
      <c r="AZ164" s="112"/>
      <c r="BA164" s="31"/>
      <c r="BB164" s="32"/>
      <c r="BC164" s="90"/>
      <c r="BD164" s="88"/>
      <c r="BE164" s="88"/>
      <c r="BF164" s="111"/>
      <c r="BG164" s="112"/>
      <c r="BH164" s="113"/>
      <c r="BI164" s="112"/>
      <c r="BJ164" s="31"/>
      <c r="BK164" s="32"/>
      <c r="BL164" s="90"/>
      <c r="BM164" s="88"/>
      <c r="BN164" s="88"/>
      <c r="BO164" s="111"/>
      <c r="BP164" s="112"/>
      <c r="BQ164" s="113"/>
      <c r="BR164" s="112"/>
      <c r="BS164" s="31"/>
      <c r="BT164" s="32"/>
      <c r="BU164" s="90"/>
      <c r="BV164" s="88"/>
      <c r="BW164" s="88"/>
      <c r="BX164" s="111"/>
      <c r="BY164" s="112"/>
      <c r="BZ164" s="113"/>
      <c r="CA164" s="112"/>
      <c r="CB164" s="31"/>
      <c r="CC164" s="32"/>
      <c r="CD164" s="90"/>
      <c r="CE164" s="88"/>
      <c r="CF164" s="88"/>
      <c r="CG164" s="111"/>
      <c r="CH164" s="112"/>
      <c r="CI164" s="113"/>
      <c r="CJ164" s="112"/>
      <c r="CK164" s="31"/>
      <c r="CL164" s="32"/>
      <c r="CM164" s="90"/>
      <c r="CN164" s="88"/>
      <c r="CO164" s="88"/>
      <c r="CP164" s="111"/>
      <c r="CQ164" s="112"/>
      <c r="CR164" s="113"/>
      <c r="CS164" s="112"/>
      <c r="CT164" s="55"/>
      <c r="CV164" s="230"/>
      <c r="CX164" s="226" t="s">
        <v>541</v>
      </c>
      <c r="CY164" s="226" t="s">
        <v>541</v>
      </c>
      <c r="CZ164" s="226" t="s">
        <v>541</v>
      </c>
      <c r="DA164" s="226" t="s">
        <v>541</v>
      </c>
      <c r="DB164" s="14"/>
      <c r="DC164" s="226" t="s">
        <v>541</v>
      </c>
      <c r="DD164" s="226" t="s">
        <v>541</v>
      </c>
      <c r="DE164" s="226" t="s">
        <v>1461</v>
      </c>
      <c r="DF164" s="226" t="s">
        <v>541</v>
      </c>
      <c r="DG164" s="226" t="s">
        <v>541</v>
      </c>
      <c r="DH164" s="14"/>
    </row>
    <row r="165" spans="1:112" ht="12.75" customHeight="1" x14ac:dyDescent="0.25">
      <c r="A165" s="17" t="s">
        <v>1004</v>
      </c>
      <c r="B165" s="17" t="s">
        <v>1306</v>
      </c>
      <c r="C165" s="17" t="s">
        <v>2104</v>
      </c>
      <c r="D165" s="17" t="s">
        <v>767</v>
      </c>
      <c r="E165" s="17" t="b">
        <f t="shared" si="28"/>
        <v>1</v>
      </c>
      <c r="F165" s="232" t="s">
        <v>2103</v>
      </c>
      <c r="G165" s="278" t="s">
        <v>2173</v>
      </c>
      <c r="H165" s="128" t="s">
        <v>1386</v>
      </c>
      <c r="I165" s="233" t="s">
        <v>767</v>
      </c>
      <c r="J165" s="31"/>
      <c r="K165" s="102" t="s">
        <v>354</v>
      </c>
      <c r="L165" s="90"/>
      <c r="M165" s="111"/>
      <c r="N165" s="112"/>
      <c r="O165" s="113"/>
      <c r="P165" s="112"/>
      <c r="Q165" s="31"/>
      <c r="R165" s="102"/>
      <c r="S165" s="90"/>
      <c r="T165" s="88" t="str">
        <f t="shared" si="26"/>
        <v>NA</v>
      </c>
      <c r="U165" s="88" t="str">
        <f t="shared" si="27"/>
        <v>NA</v>
      </c>
      <c r="V165" s="111"/>
      <c r="W165" s="112"/>
      <c r="X165" s="113"/>
      <c r="Y165" s="112"/>
      <c r="Z165" s="31"/>
      <c r="AA165" s="296"/>
      <c r="AB165" s="89"/>
      <c r="AC165" s="88" t="str">
        <f t="shared" si="33"/>
        <v>NA</v>
      </c>
      <c r="AD165" s="88" t="str">
        <f t="shared" si="34"/>
        <v>NA</v>
      </c>
      <c r="AE165" s="111"/>
      <c r="AF165" s="112"/>
      <c r="AG165" s="113"/>
      <c r="AH165" s="112"/>
      <c r="AI165" s="31"/>
      <c r="AJ165" s="294"/>
      <c r="AK165" s="89"/>
      <c r="AL165" s="88" t="str">
        <f t="shared" si="31"/>
        <v>NA</v>
      </c>
      <c r="AM165" s="88" t="str">
        <f t="shared" si="32"/>
        <v>NA</v>
      </c>
      <c r="AN165" s="111"/>
      <c r="AO165" s="112"/>
      <c r="AP165" s="113"/>
      <c r="AQ165" s="112"/>
      <c r="AR165" s="31"/>
      <c r="AS165" s="32"/>
      <c r="AT165" s="90"/>
      <c r="AU165" s="88"/>
      <c r="AV165" s="88"/>
      <c r="AW165" s="111"/>
      <c r="AX165" s="112"/>
      <c r="AY165" s="113"/>
      <c r="AZ165" s="112"/>
      <c r="BA165" s="31"/>
      <c r="BB165" s="32"/>
      <c r="BC165" s="90"/>
      <c r="BD165" s="88"/>
      <c r="BE165" s="88"/>
      <c r="BF165" s="111"/>
      <c r="BG165" s="112"/>
      <c r="BH165" s="113"/>
      <c r="BI165" s="112"/>
      <c r="BJ165" s="31"/>
      <c r="BK165" s="32"/>
      <c r="BL165" s="90"/>
      <c r="BM165" s="88"/>
      <c r="BN165" s="88"/>
      <c r="BO165" s="111"/>
      <c r="BP165" s="112"/>
      <c r="BQ165" s="113"/>
      <c r="BR165" s="112"/>
      <c r="BS165" s="31"/>
      <c r="BT165" s="32"/>
      <c r="BU165" s="90"/>
      <c r="BV165" s="88"/>
      <c r="BW165" s="88"/>
      <c r="BX165" s="111"/>
      <c r="BY165" s="112"/>
      <c r="BZ165" s="113"/>
      <c r="CA165" s="112"/>
      <c r="CB165" s="31"/>
      <c r="CC165" s="32"/>
      <c r="CD165" s="90"/>
      <c r="CE165" s="88"/>
      <c r="CF165" s="88"/>
      <c r="CG165" s="111"/>
      <c r="CH165" s="112"/>
      <c r="CI165" s="113"/>
      <c r="CJ165" s="112"/>
      <c r="CK165" s="31"/>
      <c r="CL165" s="32"/>
      <c r="CM165" s="90"/>
      <c r="CN165" s="88"/>
      <c r="CO165" s="88"/>
      <c r="CP165" s="111"/>
      <c r="CQ165" s="112"/>
      <c r="CR165" s="113"/>
      <c r="CS165" s="112"/>
      <c r="CT165" s="55"/>
      <c r="CV165" s="230"/>
      <c r="CX165" s="226" t="s">
        <v>1425</v>
      </c>
      <c r="CY165" s="226" t="s">
        <v>541</v>
      </c>
      <c r="CZ165" s="226" t="s">
        <v>541</v>
      </c>
      <c r="DA165" s="226" t="s">
        <v>541</v>
      </c>
      <c r="DB165" s="14"/>
      <c r="DC165" s="226" t="s">
        <v>541</v>
      </c>
      <c r="DD165" s="226" t="s">
        <v>1421</v>
      </c>
      <c r="DE165" s="226" t="s">
        <v>1461</v>
      </c>
      <c r="DF165" s="226" t="s">
        <v>541</v>
      </c>
      <c r="DG165" s="226" t="s">
        <v>541</v>
      </c>
      <c r="DH165" s="14"/>
    </row>
    <row r="166" spans="1:112" ht="12.75" customHeight="1" x14ac:dyDescent="0.25">
      <c r="A166" s="17" t="s">
        <v>1004</v>
      </c>
      <c r="B166" s="17" t="s">
        <v>1307</v>
      </c>
      <c r="C166" s="17" t="s">
        <v>768</v>
      </c>
      <c r="D166" s="17" t="s">
        <v>736</v>
      </c>
      <c r="E166" s="17" t="b">
        <f t="shared" si="28"/>
        <v>1</v>
      </c>
      <c r="F166" s="232" t="s">
        <v>2105</v>
      </c>
      <c r="G166" s="278" t="s">
        <v>2174</v>
      </c>
      <c r="H166" s="128" t="s">
        <v>768</v>
      </c>
      <c r="I166" s="233" t="s">
        <v>736</v>
      </c>
      <c r="J166" s="31"/>
      <c r="K166" s="102" t="s">
        <v>354</v>
      </c>
      <c r="L166" s="90"/>
      <c r="M166" s="111"/>
      <c r="N166" s="112"/>
      <c r="O166" s="113"/>
      <c r="P166" s="112"/>
      <c r="Q166" s="31"/>
      <c r="R166" s="102"/>
      <c r="S166" s="90"/>
      <c r="T166" s="88" t="str">
        <f t="shared" si="26"/>
        <v>NA</v>
      </c>
      <c r="U166" s="88" t="str">
        <f t="shared" si="27"/>
        <v>NA</v>
      </c>
      <c r="V166" s="111"/>
      <c r="W166" s="112"/>
      <c r="X166" s="113"/>
      <c r="Y166" s="112"/>
      <c r="Z166" s="31"/>
      <c r="AA166" s="296"/>
      <c r="AB166" s="89"/>
      <c r="AC166" s="88" t="str">
        <f t="shared" si="33"/>
        <v>NA</v>
      </c>
      <c r="AD166" s="88" t="str">
        <f t="shared" si="34"/>
        <v>NA</v>
      </c>
      <c r="AE166" s="111"/>
      <c r="AF166" s="112"/>
      <c r="AG166" s="113"/>
      <c r="AH166" s="112"/>
      <c r="AI166" s="31"/>
      <c r="AJ166" s="294"/>
      <c r="AK166" s="89"/>
      <c r="AL166" s="88" t="str">
        <f t="shared" si="31"/>
        <v>NA</v>
      </c>
      <c r="AM166" s="88" t="str">
        <f t="shared" si="32"/>
        <v>NA</v>
      </c>
      <c r="AN166" s="111"/>
      <c r="AO166" s="112"/>
      <c r="AP166" s="113"/>
      <c r="AQ166" s="112"/>
      <c r="AR166" s="31"/>
      <c r="AS166" s="32"/>
      <c r="AT166" s="90"/>
      <c r="AU166" s="88"/>
      <c r="AV166" s="88"/>
      <c r="AW166" s="111"/>
      <c r="AX166" s="112"/>
      <c r="AY166" s="113"/>
      <c r="AZ166" s="112"/>
      <c r="BA166" s="31"/>
      <c r="BB166" s="32"/>
      <c r="BC166" s="90"/>
      <c r="BD166" s="88"/>
      <c r="BE166" s="88"/>
      <c r="BF166" s="111"/>
      <c r="BG166" s="112"/>
      <c r="BH166" s="113"/>
      <c r="BI166" s="112"/>
      <c r="BJ166" s="31"/>
      <c r="BK166" s="32"/>
      <c r="BL166" s="90"/>
      <c r="BM166" s="88"/>
      <c r="BN166" s="88"/>
      <c r="BO166" s="111"/>
      <c r="BP166" s="112"/>
      <c r="BQ166" s="113"/>
      <c r="BR166" s="112"/>
      <c r="BS166" s="31"/>
      <c r="BT166" s="32"/>
      <c r="BU166" s="90"/>
      <c r="BV166" s="88"/>
      <c r="BW166" s="88"/>
      <c r="BX166" s="111"/>
      <c r="BY166" s="112"/>
      <c r="BZ166" s="113"/>
      <c r="CA166" s="112"/>
      <c r="CB166" s="31"/>
      <c r="CC166" s="32"/>
      <c r="CD166" s="90"/>
      <c r="CE166" s="88"/>
      <c r="CF166" s="88"/>
      <c r="CG166" s="111"/>
      <c r="CH166" s="112"/>
      <c r="CI166" s="113"/>
      <c r="CJ166" s="112"/>
      <c r="CK166" s="31"/>
      <c r="CL166" s="32"/>
      <c r="CM166" s="90"/>
      <c r="CN166" s="88"/>
      <c r="CO166" s="88"/>
      <c r="CP166" s="111"/>
      <c r="CQ166" s="112"/>
      <c r="CR166" s="113"/>
      <c r="CS166" s="112"/>
      <c r="CT166" s="55"/>
      <c r="CV166" s="230"/>
      <c r="CX166" s="226" t="s">
        <v>541</v>
      </c>
      <c r="CY166" s="226" t="s">
        <v>541</v>
      </c>
      <c r="CZ166" s="226" t="s">
        <v>541</v>
      </c>
      <c r="DA166" s="226" t="s">
        <v>541</v>
      </c>
      <c r="DB166" s="14"/>
      <c r="DC166" s="226" t="s">
        <v>541</v>
      </c>
      <c r="DD166" s="226" t="s">
        <v>541</v>
      </c>
      <c r="DE166" s="226" t="s">
        <v>1461</v>
      </c>
      <c r="DF166" s="226" t="s">
        <v>541</v>
      </c>
      <c r="DG166" s="226" t="s">
        <v>541</v>
      </c>
      <c r="DH166" s="14"/>
    </row>
    <row r="167" spans="1:112" ht="12.75" customHeight="1" x14ac:dyDescent="0.25">
      <c r="A167" s="17" t="s">
        <v>458</v>
      </c>
      <c r="B167" s="17" t="s">
        <v>541</v>
      </c>
      <c r="C167" s="17" t="s">
        <v>175</v>
      </c>
      <c r="D167" s="17" t="s">
        <v>176</v>
      </c>
      <c r="E167" s="17" t="b">
        <f t="shared" si="28"/>
        <v>1</v>
      </c>
      <c r="F167" s="127" t="s">
        <v>458</v>
      </c>
      <c r="G167" s="248" t="s">
        <v>541</v>
      </c>
      <c r="H167" s="128" t="s">
        <v>175</v>
      </c>
      <c r="I167" s="128" t="s">
        <v>176</v>
      </c>
      <c r="J167" s="31"/>
      <c r="K167" s="102" t="s">
        <v>354</v>
      </c>
      <c r="L167" s="90"/>
      <c r="M167" s="111"/>
      <c r="N167" s="112"/>
      <c r="O167" s="113"/>
      <c r="P167" s="112"/>
      <c r="Q167" s="31"/>
      <c r="R167" s="102"/>
      <c r="S167" s="90"/>
      <c r="T167" s="88" t="str">
        <f t="shared" si="26"/>
        <v>NA</v>
      </c>
      <c r="U167" s="88" t="str">
        <f t="shared" si="27"/>
        <v>NA</v>
      </c>
      <c r="V167" s="111"/>
      <c r="W167" s="112"/>
      <c r="X167" s="113"/>
      <c r="Y167" s="112"/>
      <c r="Z167" s="31"/>
      <c r="AA167" s="296"/>
      <c r="AB167" s="89"/>
      <c r="AC167" s="88" t="str">
        <f t="shared" si="33"/>
        <v>NA</v>
      </c>
      <c r="AD167" s="88" t="str">
        <f t="shared" si="34"/>
        <v>NA</v>
      </c>
      <c r="AE167" s="111"/>
      <c r="AF167" s="112"/>
      <c r="AG167" s="113"/>
      <c r="AH167" s="112"/>
      <c r="AI167" s="31"/>
      <c r="AJ167" s="294"/>
      <c r="AK167" s="89"/>
      <c r="AL167" s="88" t="str">
        <f t="shared" si="31"/>
        <v>NA</v>
      </c>
      <c r="AM167" s="88" t="str">
        <f t="shared" si="32"/>
        <v>NA</v>
      </c>
      <c r="AN167" s="111"/>
      <c r="AO167" s="112"/>
      <c r="AP167" s="113"/>
      <c r="AQ167" s="112"/>
      <c r="AR167" s="31"/>
      <c r="AS167" s="32"/>
      <c r="AT167" s="90"/>
      <c r="AU167" s="88"/>
      <c r="AV167" s="88"/>
      <c r="AW167" s="111"/>
      <c r="AX167" s="112"/>
      <c r="AY167" s="113"/>
      <c r="AZ167" s="112"/>
      <c r="BA167" s="31"/>
      <c r="BB167" s="32"/>
      <c r="BC167" s="90"/>
      <c r="BD167" s="88"/>
      <c r="BE167" s="88"/>
      <c r="BF167" s="111"/>
      <c r="BG167" s="112"/>
      <c r="BH167" s="113"/>
      <c r="BI167" s="112"/>
      <c r="BJ167" s="31"/>
      <c r="BK167" s="32"/>
      <c r="BL167" s="90"/>
      <c r="BM167" s="88"/>
      <c r="BN167" s="88"/>
      <c r="BO167" s="111"/>
      <c r="BP167" s="112"/>
      <c r="BQ167" s="113"/>
      <c r="BR167" s="112"/>
      <c r="BS167" s="31"/>
      <c r="BT167" s="32"/>
      <c r="BU167" s="90"/>
      <c r="BV167" s="88"/>
      <c r="BW167" s="88"/>
      <c r="BX167" s="111"/>
      <c r="BY167" s="112"/>
      <c r="BZ167" s="113"/>
      <c r="CA167" s="112"/>
      <c r="CB167" s="31"/>
      <c r="CC167" s="32"/>
      <c r="CD167" s="90"/>
      <c r="CE167" s="88"/>
      <c r="CF167" s="88"/>
      <c r="CG167" s="111"/>
      <c r="CH167" s="112"/>
      <c r="CI167" s="113"/>
      <c r="CJ167" s="112"/>
      <c r="CK167" s="31"/>
      <c r="CL167" s="32"/>
      <c r="CM167" s="90"/>
      <c r="CN167" s="88"/>
      <c r="CO167" s="88"/>
      <c r="CP167" s="111"/>
      <c r="CQ167" s="112"/>
      <c r="CR167" s="113"/>
      <c r="CS167" s="112"/>
      <c r="CT167" s="55"/>
      <c r="CV167" s="230" t="s">
        <v>176</v>
      </c>
      <c r="CX167" s="226" t="s">
        <v>541</v>
      </c>
      <c r="CY167" s="226" t="s">
        <v>541</v>
      </c>
      <c r="CZ167" s="226" t="s">
        <v>541</v>
      </c>
      <c r="DA167" s="226" t="s">
        <v>541</v>
      </c>
      <c r="DB167" s="226"/>
      <c r="DC167" s="226" t="s">
        <v>541</v>
      </c>
      <c r="DD167" s="226" t="s">
        <v>541</v>
      </c>
      <c r="DE167" s="226" t="s">
        <v>541</v>
      </c>
      <c r="DF167" s="226" t="s">
        <v>541</v>
      </c>
      <c r="DG167" s="226" t="s">
        <v>1462</v>
      </c>
      <c r="DH167" s="14"/>
    </row>
    <row r="168" spans="1:112" ht="12.75" customHeight="1" x14ac:dyDescent="0.25">
      <c r="A168" s="17" t="s">
        <v>459</v>
      </c>
      <c r="B168" s="17" t="s">
        <v>541</v>
      </c>
      <c r="C168" s="17" t="s">
        <v>173</v>
      </c>
      <c r="D168" s="17" t="s">
        <v>174</v>
      </c>
      <c r="E168" s="17" t="b">
        <f t="shared" si="28"/>
        <v>1</v>
      </c>
      <c r="F168" s="127" t="s">
        <v>459</v>
      </c>
      <c r="G168" s="248" t="s">
        <v>541</v>
      </c>
      <c r="H168" s="128" t="s">
        <v>173</v>
      </c>
      <c r="I168" s="128" t="s">
        <v>174</v>
      </c>
      <c r="J168" s="31"/>
      <c r="K168" s="102" t="s">
        <v>354</v>
      </c>
      <c r="L168" s="90"/>
      <c r="M168" s="111"/>
      <c r="N168" s="112"/>
      <c r="O168" s="113"/>
      <c r="P168" s="112"/>
      <c r="Q168" s="31"/>
      <c r="R168" s="102"/>
      <c r="S168" s="90"/>
      <c r="T168" s="88" t="str">
        <f t="shared" si="26"/>
        <v>NA</v>
      </c>
      <c r="U168" s="88" t="str">
        <f t="shared" si="27"/>
        <v>NA</v>
      </c>
      <c r="V168" s="111"/>
      <c r="W168" s="112"/>
      <c r="X168" s="113"/>
      <c r="Y168" s="112"/>
      <c r="Z168" s="31"/>
      <c r="AA168" s="296"/>
      <c r="AB168" s="89"/>
      <c r="AC168" s="88" t="str">
        <f t="shared" si="33"/>
        <v>NA</v>
      </c>
      <c r="AD168" s="88" t="str">
        <f t="shared" si="34"/>
        <v>NA</v>
      </c>
      <c r="AE168" s="111"/>
      <c r="AF168" s="112"/>
      <c r="AG168" s="113"/>
      <c r="AH168" s="112"/>
      <c r="AI168" s="31"/>
      <c r="AJ168" s="294"/>
      <c r="AK168" s="89"/>
      <c r="AL168" s="88" t="str">
        <f t="shared" si="31"/>
        <v>NA</v>
      </c>
      <c r="AM168" s="88" t="str">
        <f t="shared" si="32"/>
        <v>NA</v>
      </c>
      <c r="AN168" s="111"/>
      <c r="AO168" s="112"/>
      <c r="AP168" s="113"/>
      <c r="AQ168" s="112"/>
      <c r="AR168" s="31"/>
      <c r="AS168" s="32"/>
      <c r="AT168" s="90"/>
      <c r="AU168" s="88"/>
      <c r="AV168" s="88"/>
      <c r="AW168" s="111"/>
      <c r="AX168" s="112"/>
      <c r="AY168" s="113"/>
      <c r="AZ168" s="112"/>
      <c r="BA168" s="31"/>
      <c r="BB168" s="32"/>
      <c r="BC168" s="90"/>
      <c r="BD168" s="88"/>
      <c r="BE168" s="88"/>
      <c r="BF168" s="111"/>
      <c r="BG168" s="112"/>
      <c r="BH168" s="113"/>
      <c r="BI168" s="112"/>
      <c r="BJ168" s="31"/>
      <c r="BK168" s="32"/>
      <c r="BL168" s="90"/>
      <c r="BM168" s="88"/>
      <c r="BN168" s="88"/>
      <c r="BO168" s="111"/>
      <c r="BP168" s="112"/>
      <c r="BQ168" s="113"/>
      <c r="BR168" s="112"/>
      <c r="BS168" s="31"/>
      <c r="BT168" s="32"/>
      <c r="BU168" s="90"/>
      <c r="BV168" s="88"/>
      <c r="BW168" s="88"/>
      <c r="BX168" s="111"/>
      <c r="BY168" s="112"/>
      <c r="BZ168" s="113"/>
      <c r="CA168" s="112"/>
      <c r="CB168" s="31"/>
      <c r="CC168" s="32"/>
      <c r="CD168" s="90"/>
      <c r="CE168" s="88"/>
      <c r="CF168" s="88"/>
      <c r="CG168" s="111"/>
      <c r="CH168" s="112"/>
      <c r="CI168" s="113"/>
      <c r="CJ168" s="112"/>
      <c r="CK168" s="31"/>
      <c r="CL168" s="32"/>
      <c r="CM168" s="90"/>
      <c r="CN168" s="88"/>
      <c r="CO168" s="88"/>
      <c r="CP168" s="111"/>
      <c r="CQ168" s="112"/>
      <c r="CR168" s="113"/>
      <c r="CS168" s="112"/>
      <c r="CT168" s="55"/>
      <c r="CV168" s="230" t="s">
        <v>174</v>
      </c>
      <c r="CX168" s="226" t="s">
        <v>541</v>
      </c>
      <c r="CY168" s="226" t="s">
        <v>541</v>
      </c>
      <c r="CZ168" s="226" t="s">
        <v>541</v>
      </c>
      <c r="DA168" s="226" t="s">
        <v>541</v>
      </c>
      <c r="DB168" s="226"/>
      <c r="DC168" s="226" t="s">
        <v>541</v>
      </c>
      <c r="DD168" s="226" t="s">
        <v>541</v>
      </c>
      <c r="DE168" s="226" t="s">
        <v>541</v>
      </c>
      <c r="DF168" s="226" t="s">
        <v>541</v>
      </c>
      <c r="DG168" s="226" t="s">
        <v>1463</v>
      </c>
      <c r="DH168" s="14"/>
    </row>
    <row r="169" spans="1:112" ht="12.75" customHeight="1" x14ac:dyDescent="0.25">
      <c r="A169" s="17" t="s">
        <v>460</v>
      </c>
      <c r="B169" s="17" t="s">
        <v>541</v>
      </c>
      <c r="C169" s="17" t="s">
        <v>172</v>
      </c>
      <c r="D169" s="17" t="s">
        <v>2106</v>
      </c>
      <c r="E169" s="17" t="b">
        <f t="shared" si="28"/>
        <v>0</v>
      </c>
      <c r="F169" s="127" t="s">
        <v>460</v>
      </c>
      <c r="G169" s="248" t="s">
        <v>541</v>
      </c>
      <c r="H169" s="128" t="s">
        <v>172</v>
      </c>
      <c r="I169" s="128" t="s">
        <v>669</v>
      </c>
      <c r="J169" s="31"/>
      <c r="K169" s="102" t="s">
        <v>583</v>
      </c>
      <c r="L169" s="90"/>
      <c r="M169" s="111"/>
      <c r="N169" s="112"/>
      <c r="O169" s="113"/>
      <c r="P169" s="112"/>
      <c r="Q169" s="31"/>
      <c r="R169" s="102"/>
      <c r="S169" s="90"/>
      <c r="T169" s="88" t="str">
        <f t="shared" si="26"/>
        <v>NA</v>
      </c>
      <c r="U169" s="88" t="str">
        <f t="shared" si="27"/>
        <v>NA</v>
      </c>
      <c r="V169" s="111"/>
      <c r="W169" s="112"/>
      <c r="X169" s="113"/>
      <c r="Y169" s="112"/>
      <c r="Z169" s="31"/>
      <c r="AA169" s="296"/>
      <c r="AB169" s="89"/>
      <c r="AC169" s="88" t="str">
        <f t="shared" si="33"/>
        <v>NA</v>
      </c>
      <c r="AD169" s="88" t="str">
        <f t="shared" si="34"/>
        <v>NA</v>
      </c>
      <c r="AE169" s="111"/>
      <c r="AF169" s="112"/>
      <c r="AG169" s="113"/>
      <c r="AH169" s="112"/>
      <c r="AI169" s="31"/>
      <c r="AJ169" s="294"/>
      <c r="AK169" s="89"/>
      <c r="AL169" s="88" t="str">
        <f t="shared" si="31"/>
        <v>NA</v>
      </c>
      <c r="AM169" s="88" t="str">
        <f t="shared" si="32"/>
        <v>NA</v>
      </c>
      <c r="AN169" s="111"/>
      <c r="AO169" s="112"/>
      <c r="AP169" s="113"/>
      <c r="AQ169" s="112"/>
      <c r="AR169" s="31"/>
      <c r="AS169" s="32"/>
      <c r="AT169" s="90"/>
      <c r="AU169" s="88"/>
      <c r="AV169" s="88"/>
      <c r="AW169" s="111"/>
      <c r="AX169" s="112"/>
      <c r="AY169" s="113"/>
      <c r="AZ169" s="112"/>
      <c r="BA169" s="31"/>
      <c r="BB169" s="32"/>
      <c r="BC169" s="90"/>
      <c r="BD169" s="88"/>
      <c r="BE169" s="88"/>
      <c r="BF169" s="111"/>
      <c r="BG169" s="112"/>
      <c r="BH169" s="113"/>
      <c r="BI169" s="112"/>
      <c r="BJ169" s="31"/>
      <c r="BK169" s="32"/>
      <c r="BL169" s="90"/>
      <c r="BM169" s="88"/>
      <c r="BN169" s="88"/>
      <c r="BO169" s="111"/>
      <c r="BP169" s="112"/>
      <c r="BQ169" s="113"/>
      <c r="BR169" s="112"/>
      <c r="BS169" s="31"/>
      <c r="BT169" s="32"/>
      <c r="BU169" s="90"/>
      <c r="BV169" s="88"/>
      <c r="BW169" s="88"/>
      <c r="BX169" s="111"/>
      <c r="BY169" s="112"/>
      <c r="BZ169" s="113"/>
      <c r="CA169" s="112"/>
      <c r="CB169" s="31"/>
      <c r="CC169" s="32"/>
      <c r="CD169" s="90"/>
      <c r="CE169" s="88"/>
      <c r="CF169" s="88"/>
      <c r="CG169" s="111"/>
      <c r="CH169" s="112"/>
      <c r="CI169" s="113"/>
      <c r="CJ169" s="112"/>
      <c r="CK169" s="31"/>
      <c r="CL169" s="32"/>
      <c r="CM169" s="90"/>
      <c r="CN169" s="88"/>
      <c r="CO169" s="88"/>
      <c r="CP169" s="111"/>
      <c r="CQ169" s="112"/>
      <c r="CR169" s="113"/>
      <c r="CS169" s="112"/>
      <c r="CT169" s="55"/>
      <c r="CV169" s="230" t="s">
        <v>669</v>
      </c>
      <c r="CX169" s="242" t="s">
        <v>1424</v>
      </c>
      <c r="CY169" s="226" t="s">
        <v>541</v>
      </c>
      <c r="CZ169" s="226" t="s">
        <v>541</v>
      </c>
      <c r="DA169" s="226" t="s">
        <v>541</v>
      </c>
      <c r="DB169" s="14"/>
      <c r="DC169" s="226" t="s">
        <v>1426</v>
      </c>
      <c r="DD169" s="226" t="s">
        <v>541</v>
      </c>
      <c r="DE169" s="226" t="s">
        <v>541</v>
      </c>
      <c r="DF169" s="226" t="s">
        <v>541</v>
      </c>
      <c r="DG169" s="226" t="s">
        <v>1464</v>
      </c>
      <c r="DH169" s="14"/>
    </row>
    <row r="170" spans="1:112" ht="78" x14ac:dyDescent="0.25">
      <c r="A170" s="17" t="s">
        <v>461</v>
      </c>
      <c r="B170" s="17" t="s">
        <v>541</v>
      </c>
      <c r="C170" s="17" t="s">
        <v>171</v>
      </c>
      <c r="D170" s="17" t="s">
        <v>670</v>
      </c>
      <c r="E170" s="17" t="b">
        <f t="shared" si="28"/>
        <v>1</v>
      </c>
      <c r="F170" s="127" t="s">
        <v>461</v>
      </c>
      <c r="G170" s="248" t="s">
        <v>541</v>
      </c>
      <c r="H170" s="128" t="s">
        <v>171</v>
      </c>
      <c r="I170" s="128" t="s">
        <v>670</v>
      </c>
      <c r="J170" s="31"/>
      <c r="K170" s="102" t="s">
        <v>583</v>
      </c>
      <c r="L170" s="90"/>
      <c r="M170" s="111"/>
      <c r="N170" s="112"/>
      <c r="O170" s="113"/>
      <c r="P170" s="112"/>
      <c r="Q170" s="31"/>
      <c r="R170" s="102"/>
      <c r="S170" s="90"/>
      <c r="T170" s="88" t="str">
        <f t="shared" si="26"/>
        <v>NA</v>
      </c>
      <c r="U170" s="88" t="str">
        <f t="shared" si="27"/>
        <v>NA</v>
      </c>
      <c r="V170" s="111"/>
      <c r="W170" s="112"/>
      <c r="X170" s="113"/>
      <c r="Y170" s="112"/>
      <c r="Z170" s="31"/>
      <c r="AA170" s="296"/>
      <c r="AB170" s="89"/>
      <c r="AC170" s="88" t="str">
        <f t="shared" si="33"/>
        <v>NA</v>
      </c>
      <c r="AD170" s="88" t="str">
        <f t="shared" si="34"/>
        <v>NA</v>
      </c>
      <c r="AE170" s="111"/>
      <c r="AF170" s="112"/>
      <c r="AG170" s="113"/>
      <c r="AH170" s="112"/>
      <c r="AI170" s="31"/>
      <c r="AJ170" s="294"/>
      <c r="AK170" s="89"/>
      <c r="AL170" s="88" t="str">
        <f t="shared" si="31"/>
        <v>NA</v>
      </c>
      <c r="AM170" s="88" t="str">
        <f t="shared" si="32"/>
        <v>NA</v>
      </c>
      <c r="AN170" s="111"/>
      <c r="AO170" s="112"/>
      <c r="AP170" s="113"/>
      <c r="AQ170" s="112"/>
      <c r="AR170" s="31"/>
      <c r="AS170" s="32"/>
      <c r="AT170" s="90"/>
      <c r="AU170" s="88"/>
      <c r="AV170" s="88"/>
      <c r="AW170" s="111"/>
      <c r="AX170" s="112"/>
      <c r="AY170" s="113"/>
      <c r="AZ170" s="112"/>
      <c r="BA170" s="31"/>
      <c r="BB170" s="32"/>
      <c r="BC170" s="90"/>
      <c r="BD170" s="88"/>
      <c r="BE170" s="88"/>
      <c r="BF170" s="111"/>
      <c r="BG170" s="112"/>
      <c r="BH170" s="113"/>
      <c r="BI170" s="112"/>
      <c r="BJ170" s="31"/>
      <c r="BK170" s="32"/>
      <c r="BL170" s="90"/>
      <c r="BM170" s="88"/>
      <c r="BN170" s="88"/>
      <c r="BO170" s="111"/>
      <c r="BP170" s="112"/>
      <c r="BQ170" s="113"/>
      <c r="BR170" s="112"/>
      <c r="BS170" s="31"/>
      <c r="BT170" s="32"/>
      <c r="BU170" s="90"/>
      <c r="BV170" s="88"/>
      <c r="BW170" s="88"/>
      <c r="BX170" s="111"/>
      <c r="BY170" s="112"/>
      <c r="BZ170" s="113"/>
      <c r="CA170" s="112"/>
      <c r="CB170" s="31"/>
      <c r="CC170" s="32"/>
      <c r="CD170" s="90"/>
      <c r="CE170" s="88"/>
      <c r="CF170" s="88"/>
      <c r="CG170" s="111"/>
      <c r="CH170" s="112"/>
      <c r="CI170" s="113"/>
      <c r="CJ170" s="112"/>
      <c r="CK170" s="31"/>
      <c r="CL170" s="32"/>
      <c r="CM170" s="90"/>
      <c r="CN170" s="88"/>
      <c r="CO170" s="88"/>
      <c r="CP170" s="111"/>
      <c r="CQ170" s="112"/>
      <c r="CR170" s="113"/>
      <c r="CS170" s="112"/>
      <c r="CT170" s="55"/>
      <c r="CV170" s="230" t="s">
        <v>670</v>
      </c>
      <c r="CX170" s="242" t="s">
        <v>1465</v>
      </c>
      <c r="CY170" s="226" t="s">
        <v>541</v>
      </c>
      <c r="CZ170" s="226" t="s">
        <v>541</v>
      </c>
      <c r="DA170" s="226" t="s">
        <v>541</v>
      </c>
      <c r="DB170" s="14"/>
      <c r="DC170" s="226" t="s">
        <v>1426</v>
      </c>
      <c r="DD170" s="226" t="s">
        <v>541</v>
      </c>
      <c r="DE170" s="226" t="s">
        <v>541</v>
      </c>
      <c r="DF170" s="226" t="s">
        <v>541</v>
      </c>
      <c r="DG170" s="226" t="s">
        <v>1464</v>
      </c>
      <c r="DH170" s="14"/>
    </row>
    <row r="171" spans="1:112" ht="39" x14ac:dyDescent="0.25">
      <c r="A171" s="17" t="s">
        <v>462</v>
      </c>
      <c r="B171" s="17" t="s">
        <v>541</v>
      </c>
      <c r="C171" s="17" t="s">
        <v>169</v>
      </c>
      <c r="D171" s="17" t="s">
        <v>170</v>
      </c>
      <c r="E171" s="17" t="b">
        <f t="shared" si="28"/>
        <v>1</v>
      </c>
      <c r="F171" s="127" t="s">
        <v>462</v>
      </c>
      <c r="G171" s="248" t="s">
        <v>541</v>
      </c>
      <c r="H171" s="128" t="s">
        <v>169</v>
      </c>
      <c r="I171" s="128" t="s">
        <v>170</v>
      </c>
      <c r="J171" s="31"/>
      <c r="K171" s="102" t="s">
        <v>354</v>
      </c>
      <c r="L171" s="90"/>
      <c r="M171" s="111"/>
      <c r="N171" s="112"/>
      <c r="O171" s="113"/>
      <c r="P171" s="112"/>
      <c r="Q171" s="31"/>
      <c r="R171" s="102"/>
      <c r="S171" s="90"/>
      <c r="T171" s="88" t="str">
        <f t="shared" si="26"/>
        <v>NA</v>
      </c>
      <c r="U171" s="88" t="str">
        <f t="shared" si="27"/>
        <v>NA</v>
      </c>
      <c r="V171" s="111"/>
      <c r="W171" s="112"/>
      <c r="X171" s="113"/>
      <c r="Y171" s="112"/>
      <c r="Z171" s="31"/>
      <c r="AA171" s="296"/>
      <c r="AB171" s="89"/>
      <c r="AC171" s="88" t="str">
        <f t="shared" si="33"/>
        <v>NA</v>
      </c>
      <c r="AD171" s="88" t="str">
        <f t="shared" si="34"/>
        <v>NA</v>
      </c>
      <c r="AE171" s="111"/>
      <c r="AF171" s="112"/>
      <c r="AG171" s="113"/>
      <c r="AH171" s="112"/>
      <c r="AI171" s="31"/>
      <c r="AJ171" s="294"/>
      <c r="AK171" s="89"/>
      <c r="AL171" s="88" t="str">
        <f t="shared" si="31"/>
        <v>NA</v>
      </c>
      <c r="AM171" s="88" t="str">
        <f t="shared" si="32"/>
        <v>NA</v>
      </c>
      <c r="AN171" s="111"/>
      <c r="AO171" s="112"/>
      <c r="AP171" s="113"/>
      <c r="AQ171" s="112"/>
      <c r="AR171" s="31"/>
      <c r="AS171" s="32"/>
      <c r="AT171" s="90"/>
      <c r="AU171" s="88"/>
      <c r="AV171" s="88"/>
      <c r="AW171" s="111"/>
      <c r="AX171" s="112"/>
      <c r="AY171" s="113"/>
      <c r="AZ171" s="112"/>
      <c r="BA171" s="31"/>
      <c r="BB171" s="32"/>
      <c r="BC171" s="90"/>
      <c r="BD171" s="88"/>
      <c r="BE171" s="88"/>
      <c r="BF171" s="111"/>
      <c r="BG171" s="112"/>
      <c r="BH171" s="113"/>
      <c r="BI171" s="112"/>
      <c r="BJ171" s="31"/>
      <c r="BK171" s="32"/>
      <c r="BL171" s="90"/>
      <c r="BM171" s="88"/>
      <c r="BN171" s="88"/>
      <c r="BO171" s="111"/>
      <c r="BP171" s="112"/>
      <c r="BQ171" s="113"/>
      <c r="BR171" s="112"/>
      <c r="BS171" s="31"/>
      <c r="BT171" s="32"/>
      <c r="BU171" s="90"/>
      <c r="BV171" s="88"/>
      <c r="BW171" s="88"/>
      <c r="BX171" s="111"/>
      <c r="BY171" s="112"/>
      <c r="BZ171" s="113"/>
      <c r="CA171" s="112"/>
      <c r="CB171" s="31"/>
      <c r="CC171" s="32"/>
      <c r="CD171" s="90"/>
      <c r="CE171" s="88"/>
      <c r="CF171" s="88"/>
      <c r="CG171" s="111"/>
      <c r="CH171" s="112"/>
      <c r="CI171" s="113"/>
      <c r="CJ171" s="112"/>
      <c r="CK171" s="31"/>
      <c r="CL171" s="32"/>
      <c r="CM171" s="90"/>
      <c r="CN171" s="88"/>
      <c r="CO171" s="88"/>
      <c r="CP171" s="111"/>
      <c r="CQ171" s="112"/>
      <c r="CR171" s="113"/>
      <c r="CS171" s="112"/>
      <c r="CT171" s="55"/>
      <c r="CV171" s="230" t="s">
        <v>170</v>
      </c>
      <c r="CX171" s="226" t="s">
        <v>1425</v>
      </c>
      <c r="CY171" s="226" t="s">
        <v>541</v>
      </c>
      <c r="CZ171" s="226" t="s">
        <v>541</v>
      </c>
      <c r="DA171" s="226" t="s">
        <v>541</v>
      </c>
      <c r="DB171" s="14"/>
      <c r="DC171" s="226" t="s">
        <v>1426</v>
      </c>
      <c r="DD171" s="226" t="s">
        <v>541</v>
      </c>
      <c r="DE171" s="226" t="s">
        <v>541</v>
      </c>
      <c r="DF171" s="226" t="s">
        <v>541</v>
      </c>
      <c r="DG171" s="226" t="s">
        <v>1464</v>
      </c>
      <c r="DH171" s="14"/>
    </row>
    <row r="172" spans="1:112" ht="26" x14ac:dyDescent="0.25">
      <c r="A172" s="17" t="s">
        <v>463</v>
      </c>
      <c r="B172" s="17" t="s">
        <v>541</v>
      </c>
      <c r="C172" s="17" t="s">
        <v>167</v>
      </c>
      <c r="D172" s="17" t="s">
        <v>168</v>
      </c>
      <c r="E172" s="17" t="b">
        <f t="shared" si="28"/>
        <v>1</v>
      </c>
      <c r="F172" s="127" t="s">
        <v>463</v>
      </c>
      <c r="G172" s="248" t="s">
        <v>541</v>
      </c>
      <c r="H172" s="128" t="s">
        <v>167</v>
      </c>
      <c r="I172" s="128" t="s">
        <v>168</v>
      </c>
      <c r="J172" s="31"/>
      <c r="K172" s="102" t="s">
        <v>354</v>
      </c>
      <c r="L172" s="90"/>
      <c r="M172" s="111"/>
      <c r="N172" s="112"/>
      <c r="O172" s="113"/>
      <c r="P172" s="112"/>
      <c r="Q172" s="31"/>
      <c r="R172" s="102"/>
      <c r="S172" s="90"/>
      <c r="T172" s="88" t="str">
        <f t="shared" si="26"/>
        <v>NA</v>
      </c>
      <c r="U172" s="88" t="str">
        <f t="shared" si="27"/>
        <v>NA</v>
      </c>
      <c r="V172" s="111"/>
      <c r="W172" s="112"/>
      <c r="X172" s="113"/>
      <c r="Y172" s="112"/>
      <c r="Z172" s="31"/>
      <c r="AA172" s="296"/>
      <c r="AB172" s="89"/>
      <c r="AC172" s="88" t="str">
        <f t="shared" si="33"/>
        <v>NA</v>
      </c>
      <c r="AD172" s="88" t="str">
        <f t="shared" si="34"/>
        <v>NA</v>
      </c>
      <c r="AE172" s="111"/>
      <c r="AF172" s="112"/>
      <c r="AG172" s="113"/>
      <c r="AH172" s="112"/>
      <c r="AI172" s="31"/>
      <c r="AJ172" s="294"/>
      <c r="AK172" s="89"/>
      <c r="AL172" s="88" t="str">
        <f t="shared" si="31"/>
        <v>NA</v>
      </c>
      <c r="AM172" s="88" t="str">
        <f t="shared" si="32"/>
        <v>NA</v>
      </c>
      <c r="AN172" s="111"/>
      <c r="AO172" s="112"/>
      <c r="AP172" s="113"/>
      <c r="AQ172" s="112"/>
      <c r="AR172" s="31"/>
      <c r="AS172" s="32"/>
      <c r="AT172" s="90"/>
      <c r="AU172" s="88"/>
      <c r="AV172" s="88"/>
      <c r="AW172" s="111"/>
      <c r="AX172" s="112"/>
      <c r="AY172" s="113"/>
      <c r="AZ172" s="112"/>
      <c r="BA172" s="31"/>
      <c r="BB172" s="32"/>
      <c r="BC172" s="90"/>
      <c r="BD172" s="88"/>
      <c r="BE172" s="88"/>
      <c r="BF172" s="111"/>
      <c r="BG172" s="112"/>
      <c r="BH172" s="113"/>
      <c r="BI172" s="112"/>
      <c r="BJ172" s="31"/>
      <c r="BK172" s="32"/>
      <c r="BL172" s="90"/>
      <c r="BM172" s="88"/>
      <c r="BN172" s="88"/>
      <c r="BO172" s="111"/>
      <c r="BP172" s="112"/>
      <c r="BQ172" s="113"/>
      <c r="BR172" s="112"/>
      <c r="BS172" s="31"/>
      <c r="BT172" s="32"/>
      <c r="BU172" s="90"/>
      <c r="BV172" s="88"/>
      <c r="BW172" s="88"/>
      <c r="BX172" s="111"/>
      <c r="BY172" s="112"/>
      <c r="BZ172" s="113"/>
      <c r="CA172" s="112"/>
      <c r="CB172" s="31"/>
      <c r="CC172" s="32"/>
      <c r="CD172" s="90"/>
      <c r="CE172" s="88"/>
      <c r="CF172" s="88"/>
      <c r="CG172" s="111"/>
      <c r="CH172" s="112"/>
      <c r="CI172" s="113"/>
      <c r="CJ172" s="112"/>
      <c r="CK172" s="31"/>
      <c r="CL172" s="32"/>
      <c r="CM172" s="90"/>
      <c r="CN172" s="88"/>
      <c r="CO172" s="88"/>
      <c r="CP172" s="111"/>
      <c r="CQ172" s="112"/>
      <c r="CR172" s="113"/>
      <c r="CS172" s="112"/>
      <c r="CT172" s="55"/>
      <c r="CV172" s="230" t="s">
        <v>168</v>
      </c>
      <c r="CX172" s="226" t="s">
        <v>1425</v>
      </c>
      <c r="CY172" s="226" t="s">
        <v>541</v>
      </c>
      <c r="CZ172" s="226" t="s">
        <v>541</v>
      </c>
      <c r="DA172" s="226" t="s">
        <v>541</v>
      </c>
      <c r="DB172" s="14"/>
      <c r="DC172" s="226" t="s">
        <v>1426</v>
      </c>
      <c r="DD172" s="226" t="s">
        <v>541</v>
      </c>
      <c r="DE172" s="226" t="s">
        <v>541</v>
      </c>
      <c r="DF172" s="226" t="s">
        <v>541</v>
      </c>
      <c r="DG172" s="226" t="s">
        <v>1464</v>
      </c>
      <c r="DH172" s="14"/>
    </row>
    <row r="173" spans="1:112" ht="26" x14ac:dyDescent="0.25">
      <c r="A173" s="17" t="s">
        <v>464</v>
      </c>
      <c r="B173" s="17" t="s">
        <v>541</v>
      </c>
      <c r="C173" s="17" t="s">
        <v>165</v>
      </c>
      <c r="D173" s="17" t="s">
        <v>166</v>
      </c>
      <c r="E173" s="17" t="b">
        <f t="shared" si="28"/>
        <v>1</v>
      </c>
      <c r="F173" s="127" t="s">
        <v>464</v>
      </c>
      <c r="G173" s="248" t="s">
        <v>541</v>
      </c>
      <c r="H173" s="128" t="s">
        <v>165</v>
      </c>
      <c r="I173" s="128" t="s">
        <v>166</v>
      </c>
      <c r="J173" s="31"/>
      <c r="K173" s="102" t="s">
        <v>354</v>
      </c>
      <c r="L173" s="90"/>
      <c r="M173" s="111"/>
      <c r="N173" s="112"/>
      <c r="O173" s="113"/>
      <c r="P173" s="112"/>
      <c r="Q173" s="31"/>
      <c r="R173" s="102"/>
      <c r="S173" s="90"/>
      <c r="T173" s="88" t="str">
        <f t="shared" si="26"/>
        <v>NA</v>
      </c>
      <c r="U173" s="88" t="str">
        <f t="shared" si="27"/>
        <v>NA</v>
      </c>
      <c r="V173" s="111"/>
      <c r="W173" s="112"/>
      <c r="X173" s="113"/>
      <c r="Y173" s="112"/>
      <c r="Z173" s="31"/>
      <c r="AA173" s="296"/>
      <c r="AB173" s="89"/>
      <c r="AC173" s="88" t="str">
        <f t="shared" si="33"/>
        <v>NA</v>
      </c>
      <c r="AD173" s="88" t="str">
        <f t="shared" si="34"/>
        <v>NA</v>
      </c>
      <c r="AE173" s="111"/>
      <c r="AF173" s="112"/>
      <c r="AG173" s="113"/>
      <c r="AH173" s="112"/>
      <c r="AI173" s="31"/>
      <c r="AJ173" s="294"/>
      <c r="AK173" s="89"/>
      <c r="AL173" s="88" t="str">
        <f t="shared" si="31"/>
        <v>NA</v>
      </c>
      <c r="AM173" s="88" t="str">
        <f t="shared" si="32"/>
        <v>NA</v>
      </c>
      <c r="AN173" s="111"/>
      <c r="AO173" s="112"/>
      <c r="AP173" s="113"/>
      <c r="AQ173" s="112"/>
      <c r="AR173" s="31"/>
      <c r="AS173" s="32"/>
      <c r="AT173" s="90"/>
      <c r="AU173" s="88"/>
      <c r="AV173" s="88"/>
      <c r="AW173" s="111"/>
      <c r="AX173" s="112"/>
      <c r="AY173" s="113"/>
      <c r="AZ173" s="112"/>
      <c r="BA173" s="31"/>
      <c r="BB173" s="32"/>
      <c r="BC173" s="90"/>
      <c r="BD173" s="88"/>
      <c r="BE173" s="88"/>
      <c r="BF173" s="111"/>
      <c r="BG173" s="112"/>
      <c r="BH173" s="113"/>
      <c r="BI173" s="112"/>
      <c r="BJ173" s="31"/>
      <c r="BK173" s="32"/>
      <c r="BL173" s="90"/>
      <c r="BM173" s="88"/>
      <c r="BN173" s="88"/>
      <c r="BO173" s="111"/>
      <c r="BP173" s="112"/>
      <c r="BQ173" s="113"/>
      <c r="BR173" s="112"/>
      <c r="BS173" s="31"/>
      <c r="BT173" s="32"/>
      <c r="BU173" s="90"/>
      <c r="BV173" s="88"/>
      <c r="BW173" s="88"/>
      <c r="BX173" s="111"/>
      <c r="BY173" s="112"/>
      <c r="BZ173" s="113"/>
      <c r="CA173" s="112"/>
      <c r="CB173" s="31"/>
      <c r="CC173" s="32"/>
      <c r="CD173" s="90"/>
      <c r="CE173" s="88"/>
      <c r="CF173" s="88"/>
      <c r="CG173" s="111"/>
      <c r="CH173" s="112"/>
      <c r="CI173" s="113"/>
      <c r="CJ173" s="112"/>
      <c r="CK173" s="31"/>
      <c r="CL173" s="32"/>
      <c r="CM173" s="90"/>
      <c r="CN173" s="88"/>
      <c r="CO173" s="88"/>
      <c r="CP173" s="111"/>
      <c r="CQ173" s="112"/>
      <c r="CR173" s="113"/>
      <c r="CS173" s="112"/>
      <c r="CT173" s="55"/>
      <c r="CV173" s="230" t="s">
        <v>166</v>
      </c>
      <c r="CX173" s="226" t="s">
        <v>541</v>
      </c>
      <c r="CY173" s="226" t="s">
        <v>541</v>
      </c>
      <c r="CZ173" s="226" t="s">
        <v>541</v>
      </c>
      <c r="DA173" s="226" t="s">
        <v>541</v>
      </c>
      <c r="DB173" s="14"/>
      <c r="DC173" s="226" t="s">
        <v>1426</v>
      </c>
      <c r="DD173" s="226" t="s">
        <v>541</v>
      </c>
      <c r="DE173" s="226" t="s">
        <v>541</v>
      </c>
      <c r="DF173" s="226" t="s">
        <v>541</v>
      </c>
      <c r="DG173" s="226" t="s">
        <v>1466</v>
      </c>
      <c r="DH173" s="14"/>
    </row>
    <row r="174" spans="1:112" ht="39" x14ac:dyDescent="0.25">
      <c r="A174" s="17" t="s">
        <v>465</v>
      </c>
      <c r="B174" s="17" t="s">
        <v>541</v>
      </c>
      <c r="C174" s="17" t="s">
        <v>163</v>
      </c>
      <c r="D174" s="17" t="s">
        <v>164</v>
      </c>
      <c r="E174" s="17" t="b">
        <f t="shared" si="28"/>
        <v>1</v>
      </c>
      <c r="F174" s="127" t="s">
        <v>465</v>
      </c>
      <c r="G174" s="248" t="s">
        <v>541</v>
      </c>
      <c r="H174" s="128" t="s">
        <v>163</v>
      </c>
      <c r="I174" s="128" t="s">
        <v>164</v>
      </c>
      <c r="J174" s="31"/>
      <c r="K174" s="102" t="s">
        <v>354</v>
      </c>
      <c r="L174" s="90"/>
      <c r="M174" s="111"/>
      <c r="N174" s="112"/>
      <c r="O174" s="113"/>
      <c r="P174" s="112"/>
      <c r="Q174" s="31"/>
      <c r="R174" s="102"/>
      <c r="S174" s="90"/>
      <c r="T174" s="88" t="str">
        <f t="shared" si="26"/>
        <v>NA</v>
      </c>
      <c r="U174" s="88" t="str">
        <f t="shared" si="27"/>
        <v>NA</v>
      </c>
      <c r="V174" s="111"/>
      <c r="W174" s="112"/>
      <c r="X174" s="113"/>
      <c r="Y174" s="112"/>
      <c r="Z174" s="31"/>
      <c r="AA174" s="296"/>
      <c r="AB174" s="89"/>
      <c r="AC174" s="88" t="str">
        <f t="shared" si="33"/>
        <v>NA</v>
      </c>
      <c r="AD174" s="88" t="str">
        <f t="shared" si="34"/>
        <v>NA</v>
      </c>
      <c r="AE174" s="111"/>
      <c r="AF174" s="112"/>
      <c r="AG174" s="113"/>
      <c r="AH174" s="112"/>
      <c r="AI174" s="31"/>
      <c r="AJ174" s="294"/>
      <c r="AK174" s="89"/>
      <c r="AL174" s="88" t="str">
        <f t="shared" si="31"/>
        <v>NA</v>
      </c>
      <c r="AM174" s="88" t="str">
        <f t="shared" si="32"/>
        <v>NA</v>
      </c>
      <c r="AN174" s="111"/>
      <c r="AO174" s="112"/>
      <c r="AP174" s="113"/>
      <c r="AQ174" s="112"/>
      <c r="AR174" s="31"/>
      <c r="AS174" s="32"/>
      <c r="AT174" s="90"/>
      <c r="AU174" s="88"/>
      <c r="AV174" s="88"/>
      <c r="AW174" s="111"/>
      <c r="AX174" s="112"/>
      <c r="AY174" s="113"/>
      <c r="AZ174" s="112"/>
      <c r="BA174" s="31"/>
      <c r="BB174" s="32"/>
      <c r="BC174" s="90"/>
      <c r="BD174" s="88"/>
      <c r="BE174" s="88"/>
      <c r="BF174" s="111"/>
      <c r="BG174" s="112"/>
      <c r="BH174" s="113"/>
      <c r="BI174" s="112"/>
      <c r="BJ174" s="31"/>
      <c r="BK174" s="32"/>
      <c r="BL174" s="90"/>
      <c r="BM174" s="88"/>
      <c r="BN174" s="88"/>
      <c r="BO174" s="111"/>
      <c r="BP174" s="112"/>
      <c r="BQ174" s="113"/>
      <c r="BR174" s="112"/>
      <c r="BS174" s="31"/>
      <c r="BT174" s="32"/>
      <c r="BU174" s="90"/>
      <c r="BV174" s="88"/>
      <c r="BW174" s="88"/>
      <c r="BX174" s="111"/>
      <c r="BY174" s="112"/>
      <c r="BZ174" s="113"/>
      <c r="CA174" s="112"/>
      <c r="CB174" s="31"/>
      <c r="CC174" s="32"/>
      <c r="CD174" s="90"/>
      <c r="CE174" s="88"/>
      <c r="CF174" s="88"/>
      <c r="CG174" s="111"/>
      <c r="CH174" s="112"/>
      <c r="CI174" s="113"/>
      <c r="CJ174" s="112"/>
      <c r="CK174" s="31"/>
      <c r="CL174" s="32"/>
      <c r="CM174" s="90"/>
      <c r="CN174" s="88"/>
      <c r="CO174" s="88"/>
      <c r="CP174" s="111"/>
      <c r="CQ174" s="112"/>
      <c r="CR174" s="113"/>
      <c r="CS174" s="112"/>
      <c r="CT174" s="55"/>
      <c r="CV174" s="230" t="s">
        <v>164</v>
      </c>
      <c r="CX174" s="226" t="s">
        <v>1424</v>
      </c>
      <c r="CY174" s="226" t="s">
        <v>541</v>
      </c>
      <c r="CZ174" s="226" t="s">
        <v>541</v>
      </c>
      <c r="DA174" s="226" t="s">
        <v>541</v>
      </c>
      <c r="DB174" s="14"/>
      <c r="DC174" s="226" t="s">
        <v>1426</v>
      </c>
      <c r="DD174" s="226" t="s">
        <v>541</v>
      </c>
      <c r="DE174" s="226" t="s">
        <v>541</v>
      </c>
      <c r="DF174" s="226" t="s">
        <v>541</v>
      </c>
      <c r="DG174" s="226" t="s">
        <v>1464</v>
      </c>
      <c r="DH174" s="14"/>
    </row>
    <row r="175" spans="1:112" ht="26" x14ac:dyDescent="0.25">
      <c r="A175" s="17" t="s">
        <v>466</v>
      </c>
      <c r="B175" s="17" t="s">
        <v>541</v>
      </c>
      <c r="C175" s="17" t="s">
        <v>161</v>
      </c>
      <c r="D175" s="17" t="s">
        <v>162</v>
      </c>
      <c r="E175" s="17" t="b">
        <f t="shared" si="28"/>
        <v>1</v>
      </c>
      <c r="F175" s="127" t="s">
        <v>466</v>
      </c>
      <c r="G175" s="248" t="s">
        <v>541</v>
      </c>
      <c r="H175" s="128" t="s">
        <v>161</v>
      </c>
      <c r="I175" s="128" t="s">
        <v>162</v>
      </c>
      <c r="J175" s="31"/>
      <c r="K175" s="102" t="s">
        <v>354</v>
      </c>
      <c r="L175" s="90"/>
      <c r="M175" s="111"/>
      <c r="N175" s="112"/>
      <c r="O175" s="113"/>
      <c r="P175" s="112"/>
      <c r="Q175" s="31"/>
      <c r="R175" s="102"/>
      <c r="S175" s="90"/>
      <c r="T175" s="88" t="str">
        <f t="shared" si="26"/>
        <v>NA</v>
      </c>
      <c r="U175" s="88" t="str">
        <f t="shared" si="27"/>
        <v>NA</v>
      </c>
      <c r="V175" s="111"/>
      <c r="W175" s="112"/>
      <c r="X175" s="113"/>
      <c r="Y175" s="112"/>
      <c r="Z175" s="31"/>
      <c r="AA175" s="296"/>
      <c r="AB175" s="89"/>
      <c r="AC175" s="88" t="str">
        <f t="shared" si="33"/>
        <v>NA</v>
      </c>
      <c r="AD175" s="88" t="str">
        <f t="shared" si="34"/>
        <v>NA</v>
      </c>
      <c r="AE175" s="111"/>
      <c r="AF175" s="112"/>
      <c r="AG175" s="113"/>
      <c r="AH175" s="112"/>
      <c r="AI175" s="31"/>
      <c r="AJ175" s="294"/>
      <c r="AK175" s="89"/>
      <c r="AL175" s="88" t="str">
        <f t="shared" si="31"/>
        <v>NA</v>
      </c>
      <c r="AM175" s="88" t="str">
        <f t="shared" si="32"/>
        <v>NA</v>
      </c>
      <c r="AN175" s="111"/>
      <c r="AO175" s="112"/>
      <c r="AP175" s="113"/>
      <c r="AQ175" s="112"/>
      <c r="AR175" s="31"/>
      <c r="AS175" s="32"/>
      <c r="AT175" s="90"/>
      <c r="AU175" s="88"/>
      <c r="AV175" s="88"/>
      <c r="AW175" s="111"/>
      <c r="AX175" s="112"/>
      <c r="AY175" s="113"/>
      <c r="AZ175" s="112"/>
      <c r="BA175" s="31"/>
      <c r="BB175" s="32"/>
      <c r="BC175" s="90"/>
      <c r="BD175" s="88"/>
      <c r="BE175" s="88"/>
      <c r="BF175" s="111"/>
      <c r="BG175" s="112"/>
      <c r="BH175" s="113"/>
      <c r="BI175" s="112"/>
      <c r="BJ175" s="31"/>
      <c r="BK175" s="32"/>
      <c r="BL175" s="90"/>
      <c r="BM175" s="88"/>
      <c r="BN175" s="88"/>
      <c r="BO175" s="111"/>
      <c r="BP175" s="112"/>
      <c r="BQ175" s="113"/>
      <c r="BR175" s="112"/>
      <c r="BS175" s="31"/>
      <c r="BT175" s="32"/>
      <c r="BU175" s="90"/>
      <c r="BV175" s="88"/>
      <c r="BW175" s="88"/>
      <c r="BX175" s="111"/>
      <c r="BY175" s="112"/>
      <c r="BZ175" s="113"/>
      <c r="CA175" s="112"/>
      <c r="CB175" s="31"/>
      <c r="CC175" s="32"/>
      <c r="CD175" s="90"/>
      <c r="CE175" s="88"/>
      <c r="CF175" s="88"/>
      <c r="CG175" s="111"/>
      <c r="CH175" s="112"/>
      <c r="CI175" s="113"/>
      <c r="CJ175" s="112"/>
      <c r="CK175" s="31"/>
      <c r="CL175" s="32"/>
      <c r="CM175" s="90"/>
      <c r="CN175" s="88"/>
      <c r="CO175" s="88"/>
      <c r="CP175" s="111"/>
      <c r="CQ175" s="112"/>
      <c r="CR175" s="113"/>
      <c r="CS175" s="112"/>
      <c r="CT175" s="55"/>
      <c r="CV175" s="230" t="s">
        <v>162</v>
      </c>
      <c r="CX175" s="226" t="s">
        <v>1424</v>
      </c>
      <c r="CY175" s="226" t="s">
        <v>541</v>
      </c>
      <c r="CZ175" s="226" t="s">
        <v>541</v>
      </c>
      <c r="DA175" s="226" t="s">
        <v>541</v>
      </c>
      <c r="DB175" s="14"/>
      <c r="DC175" s="226" t="s">
        <v>1426</v>
      </c>
      <c r="DD175" s="226" t="s">
        <v>541</v>
      </c>
      <c r="DE175" s="226" t="s">
        <v>541</v>
      </c>
      <c r="DF175" s="226" t="s">
        <v>541</v>
      </c>
      <c r="DG175" s="226" t="s">
        <v>1464</v>
      </c>
      <c r="DH175" s="14"/>
    </row>
    <row r="176" spans="1:112" ht="65" x14ac:dyDescent="0.25">
      <c r="A176" s="17" t="s">
        <v>467</v>
      </c>
      <c r="B176" s="17" t="s">
        <v>541</v>
      </c>
      <c r="C176" s="17" t="s">
        <v>160</v>
      </c>
      <c r="D176" s="17" t="s">
        <v>2107</v>
      </c>
      <c r="E176" s="17" t="b">
        <f t="shared" si="28"/>
        <v>0</v>
      </c>
      <c r="F176" s="127" t="s">
        <v>467</v>
      </c>
      <c r="G176" s="248" t="s">
        <v>541</v>
      </c>
      <c r="H176" s="128" t="s">
        <v>160</v>
      </c>
      <c r="I176" s="128" t="s">
        <v>671</v>
      </c>
      <c r="J176" s="31"/>
      <c r="K176" s="102" t="s">
        <v>354</v>
      </c>
      <c r="L176" s="90"/>
      <c r="M176" s="111"/>
      <c r="N176" s="112"/>
      <c r="O176" s="113"/>
      <c r="P176" s="112"/>
      <c r="Q176" s="31"/>
      <c r="R176" s="102"/>
      <c r="S176" s="90"/>
      <c r="T176" s="88" t="str">
        <f t="shared" si="26"/>
        <v>NA</v>
      </c>
      <c r="U176" s="88" t="str">
        <f t="shared" si="27"/>
        <v>NA</v>
      </c>
      <c r="V176" s="111"/>
      <c r="W176" s="112"/>
      <c r="X176" s="113"/>
      <c r="Y176" s="112"/>
      <c r="Z176" s="31"/>
      <c r="AA176" s="296"/>
      <c r="AB176" s="89"/>
      <c r="AC176" s="88" t="str">
        <f t="shared" si="33"/>
        <v>NA</v>
      </c>
      <c r="AD176" s="88" t="str">
        <f t="shared" si="34"/>
        <v>NA</v>
      </c>
      <c r="AE176" s="111"/>
      <c r="AF176" s="112"/>
      <c r="AG176" s="113"/>
      <c r="AH176" s="112"/>
      <c r="AI176" s="31"/>
      <c r="AJ176" s="294"/>
      <c r="AK176" s="89"/>
      <c r="AL176" s="88" t="str">
        <f t="shared" si="31"/>
        <v>NA</v>
      </c>
      <c r="AM176" s="88" t="str">
        <f t="shared" si="32"/>
        <v>NA</v>
      </c>
      <c r="AN176" s="111"/>
      <c r="AO176" s="112"/>
      <c r="AP176" s="113"/>
      <c r="AQ176" s="112"/>
      <c r="AR176" s="31"/>
      <c r="AS176" s="32"/>
      <c r="AT176" s="90"/>
      <c r="AU176" s="88"/>
      <c r="AV176" s="88"/>
      <c r="AW176" s="111"/>
      <c r="AX176" s="112"/>
      <c r="AY176" s="113"/>
      <c r="AZ176" s="112"/>
      <c r="BA176" s="31"/>
      <c r="BB176" s="32"/>
      <c r="BC176" s="90"/>
      <c r="BD176" s="88"/>
      <c r="BE176" s="88"/>
      <c r="BF176" s="111"/>
      <c r="BG176" s="112"/>
      <c r="BH176" s="113"/>
      <c r="BI176" s="112"/>
      <c r="BJ176" s="31"/>
      <c r="BK176" s="32"/>
      <c r="BL176" s="90"/>
      <c r="BM176" s="88"/>
      <c r="BN176" s="88"/>
      <c r="BO176" s="111"/>
      <c r="BP176" s="112"/>
      <c r="BQ176" s="113"/>
      <c r="BR176" s="112"/>
      <c r="BS176" s="31"/>
      <c r="BT176" s="32"/>
      <c r="BU176" s="90"/>
      <c r="BV176" s="88"/>
      <c r="BW176" s="88"/>
      <c r="BX176" s="111"/>
      <c r="BY176" s="112"/>
      <c r="BZ176" s="113"/>
      <c r="CA176" s="112"/>
      <c r="CB176" s="31"/>
      <c r="CC176" s="32"/>
      <c r="CD176" s="90"/>
      <c r="CE176" s="88"/>
      <c r="CF176" s="88"/>
      <c r="CG176" s="111"/>
      <c r="CH176" s="112"/>
      <c r="CI176" s="113"/>
      <c r="CJ176" s="112"/>
      <c r="CK176" s="31"/>
      <c r="CL176" s="32"/>
      <c r="CM176" s="90"/>
      <c r="CN176" s="88"/>
      <c r="CO176" s="88"/>
      <c r="CP176" s="111"/>
      <c r="CQ176" s="112"/>
      <c r="CR176" s="113"/>
      <c r="CS176" s="112"/>
      <c r="CT176" s="55"/>
      <c r="CV176" s="230" t="s">
        <v>671</v>
      </c>
      <c r="CX176" s="226" t="s">
        <v>541</v>
      </c>
      <c r="CY176" s="226" t="s">
        <v>541</v>
      </c>
      <c r="CZ176" s="226" t="s">
        <v>541</v>
      </c>
      <c r="DA176" s="226" t="s">
        <v>541</v>
      </c>
      <c r="DB176" s="14"/>
      <c r="DC176" s="226" t="s">
        <v>1426</v>
      </c>
      <c r="DD176" s="226" t="s">
        <v>541</v>
      </c>
      <c r="DE176" s="226" t="s">
        <v>541</v>
      </c>
      <c r="DF176" s="226" t="s">
        <v>541</v>
      </c>
      <c r="DG176" s="226" t="s">
        <v>1467</v>
      </c>
      <c r="DH176" s="14"/>
    </row>
    <row r="177" spans="1:112" ht="12.75" customHeight="1" x14ac:dyDescent="0.25">
      <c r="A177" s="17" t="s">
        <v>570</v>
      </c>
      <c r="B177" s="17" t="s">
        <v>541</v>
      </c>
      <c r="C177" s="17" t="s">
        <v>607</v>
      </c>
      <c r="D177" s="17" t="s">
        <v>672</v>
      </c>
      <c r="E177" s="17" t="b">
        <f t="shared" si="28"/>
        <v>1</v>
      </c>
      <c r="F177" s="127" t="s">
        <v>570</v>
      </c>
      <c r="G177" s="248" t="s">
        <v>541</v>
      </c>
      <c r="H177" s="128" t="s">
        <v>607</v>
      </c>
      <c r="I177" s="128" t="s">
        <v>672</v>
      </c>
      <c r="J177" s="31"/>
      <c r="K177" s="102" t="s">
        <v>354</v>
      </c>
      <c r="L177" s="90"/>
      <c r="M177" s="111"/>
      <c r="N177" s="112"/>
      <c r="O177" s="113"/>
      <c r="P177" s="112"/>
      <c r="Q177" s="31"/>
      <c r="R177" s="102"/>
      <c r="S177" s="90"/>
      <c r="T177" s="88" t="str">
        <f t="shared" si="26"/>
        <v>NA</v>
      </c>
      <c r="U177" s="88" t="str">
        <f t="shared" si="27"/>
        <v>NA</v>
      </c>
      <c r="V177" s="111"/>
      <c r="W177" s="112"/>
      <c r="X177" s="113"/>
      <c r="Y177" s="112"/>
      <c r="Z177" s="31"/>
      <c r="AA177" s="296"/>
      <c r="AB177" s="89"/>
      <c r="AC177" s="88" t="str">
        <f t="shared" si="33"/>
        <v>NA</v>
      </c>
      <c r="AD177" s="88" t="str">
        <f t="shared" si="34"/>
        <v>NA</v>
      </c>
      <c r="AE177" s="111"/>
      <c r="AF177" s="112"/>
      <c r="AG177" s="113"/>
      <c r="AH177" s="112"/>
      <c r="AI177" s="31"/>
      <c r="AJ177" s="294"/>
      <c r="AK177" s="89"/>
      <c r="AL177" s="88" t="str">
        <f t="shared" si="31"/>
        <v>NA</v>
      </c>
      <c r="AM177" s="88" t="str">
        <f t="shared" si="32"/>
        <v>NA</v>
      </c>
      <c r="AN177" s="111"/>
      <c r="AO177" s="112"/>
      <c r="AP177" s="113"/>
      <c r="AQ177" s="112"/>
      <c r="AR177" s="31"/>
      <c r="AS177" s="32"/>
      <c r="AT177" s="90"/>
      <c r="AU177" s="88"/>
      <c r="AV177" s="88"/>
      <c r="AW177" s="111"/>
      <c r="AX177" s="112"/>
      <c r="AY177" s="113"/>
      <c r="AZ177" s="112"/>
      <c r="BA177" s="31"/>
      <c r="BB177" s="32"/>
      <c r="BC177" s="90"/>
      <c r="BD177" s="88"/>
      <c r="BE177" s="88"/>
      <c r="BF177" s="111"/>
      <c r="BG177" s="112"/>
      <c r="BH177" s="113"/>
      <c r="BI177" s="112"/>
      <c r="BJ177" s="31"/>
      <c r="BK177" s="32"/>
      <c r="BL177" s="90"/>
      <c r="BM177" s="88"/>
      <c r="BN177" s="88"/>
      <c r="BO177" s="111"/>
      <c r="BP177" s="112"/>
      <c r="BQ177" s="113"/>
      <c r="BR177" s="112"/>
      <c r="BS177" s="31"/>
      <c r="BT177" s="32"/>
      <c r="BU177" s="90"/>
      <c r="BV177" s="88"/>
      <c r="BW177" s="88"/>
      <c r="BX177" s="111"/>
      <c r="BY177" s="112"/>
      <c r="BZ177" s="113"/>
      <c r="CA177" s="112"/>
      <c r="CB177" s="31"/>
      <c r="CC177" s="32"/>
      <c r="CD177" s="90"/>
      <c r="CE177" s="88"/>
      <c r="CF177" s="88"/>
      <c r="CG177" s="111"/>
      <c r="CH177" s="112"/>
      <c r="CI177" s="113"/>
      <c r="CJ177" s="112"/>
      <c r="CK177" s="31"/>
      <c r="CL177" s="32"/>
      <c r="CM177" s="90"/>
      <c r="CN177" s="88"/>
      <c r="CO177" s="88"/>
      <c r="CP177" s="111"/>
      <c r="CQ177" s="112"/>
      <c r="CR177" s="113"/>
      <c r="CS177" s="112"/>
      <c r="CT177" s="55"/>
      <c r="CV177" s="230" t="s">
        <v>672</v>
      </c>
      <c r="CX177" s="226" t="s">
        <v>541</v>
      </c>
      <c r="CY177" s="226" t="s">
        <v>541</v>
      </c>
      <c r="CZ177" s="226" t="s">
        <v>541</v>
      </c>
      <c r="DA177" s="226" t="s">
        <v>541</v>
      </c>
      <c r="DB177" s="14"/>
      <c r="DC177" s="226" t="s">
        <v>1426</v>
      </c>
      <c r="DD177" s="226" t="s">
        <v>541</v>
      </c>
      <c r="DE177" s="226" t="s">
        <v>541</v>
      </c>
      <c r="DF177" s="226" t="s">
        <v>541</v>
      </c>
      <c r="DG177" s="239" t="s">
        <v>1468</v>
      </c>
      <c r="DH177" s="14"/>
    </row>
    <row r="178" spans="1:112" ht="12.75" customHeight="1" x14ac:dyDescent="0.25">
      <c r="A178" s="17" t="s">
        <v>571</v>
      </c>
      <c r="B178" s="17" t="s">
        <v>541</v>
      </c>
      <c r="C178" s="17" t="s">
        <v>608</v>
      </c>
      <c r="D178" s="17" t="s">
        <v>673</v>
      </c>
      <c r="E178" s="17" t="b">
        <f t="shared" si="28"/>
        <v>1</v>
      </c>
      <c r="F178" s="127" t="s">
        <v>571</v>
      </c>
      <c r="G178" s="248" t="s">
        <v>541</v>
      </c>
      <c r="H178" s="128" t="s">
        <v>608</v>
      </c>
      <c r="I178" s="128" t="s">
        <v>673</v>
      </c>
      <c r="J178" s="31"/>
      <c r="K178" s="102" t="s">
        <v>354</v>
      </c>
      <c r="L178" s="90"/>
      <c r="M178" s="111"/>
      <c r="N178" s="112"/>
      <c r="O178" s="113"/>
      <c r="P178" s="112"/>
      <c r="Q178" s="31"/>
      <c r="R178" s="102"/>
      <c r="S178" s="90"/>
      <c r="T178" s="88" t="str">
        <f t="shared" si="26"/>
        <v>NA</v>
      </c>
      <c r="U178" s="88" t="str">
        <f t="shared" si="27"/>
        <v>NA</v>
      </c>
      <c r="V178" s="111"/>
      <c r="W178" s="112"/>
      <c r="X178" s="113"/>
      <c r="Y178" s="112"/>
      <c r="Z178" s="31"/>
      <c r="AA178" s="296"/>
      <c r="AB178" s="89"/>
      <c r="AC178" s="88" t="str">
        <f t="shared" si="33"/>
        <v>NA</v>
      </c>
      <c r="AD178" s="88" t="str">
        <f t="shared" si="34"/>
        <v>NA</v>
      </c>
      <c r="AE178" s="111"/>
      <c r="AF178" s="112"/>
      <c r="AG178" s="113"/>
      <c r="AH178" s="112"/>
      <c r="AI178" s="31"/>
      <c r="AJ178" s="294"/>
      <c r="AK178" s="89"/>
      <c r="AL178" s="88" t="str">
        <f t="shared" si="31"/>
        <v>NA</v>
      </c>
      <c r="AM178" s="88" t="str">
        <f t="shared" si="32"/>
        <v>NA</v>
      </c>
      <c r="AN178" s="111"/>
      <c r="AO178" s="112"/>
      <c r="AP178" s="113"/>
      <c r="AQ178" s="112"/>
      <c r="AR178" s="31"/>
      <c r="AS178" s="32"/>
      <c r="AT178" s="90"/>
      <c r="AU178" s="88"/>
      <c r="AV178" s="88"/>
      <c r="AW178" s="111"/>
      <c r="AX178" s="112"/>
      <c r="AY178" s="113"/>
      <c r="AZ178" s="112"/>
      <c r="BA178" s="31"/>
      <c r="BB178" s="32"/>
      <c r="BC178" s="90"/>
      <c r="BD178" s="88"/>
      <c r="BE178" s="88"/>
      <c r="BF178" s="111"/>
      <c r="BG178" s="112"/>
      <c r="BH178" s="113"/>
      <c r="BI178" s="112"/>
      <c r="BJ178" s="31"/>
      <c r="BK178" s="32"/>
      <c r="BL178" s="90"/>
      <c r="BM178" s="88"/>
      <c r="BN178" s="88"/>
      <c r="BO178" s="111"/>
      <c r="BP178" s="112"/>
      <c r="BQ178" s="113"/>
      <c r="BR178" s="112"/>
      <c r="BS178" s="31"/>
      <c r="BT178" s="32"/>
      <c r="BU178" s="90"/>
      <c r="BV178" s="88"/>
      <c r="BW178" s="88"/>
      <c r="BX178" s="111"/>
      <c r="BY178" s="112"/>
      <c r="BZ178" s="113"/>
      <c r="CA178" s="112"/>
      <c r="CB178" s="31"/>
      <c r="CC178" s="32"/>
      <c r="CD178" s="90"/>
      <c r="CE178" s="88"/>
      <c r="CF178" s="88"/>
      <c r="CG178" s="111"/>
      <c r="CH178" s="112"/>
      <c r="CI178" s="113"/>
      <c r="CJ178" s="112"/>
      <c r="CK178" s="31"/>
      <c r="CL178" s="32"/>
      <c r="CM178" s="90"/>
      <c r="CN178" s="88"/>
      <c r="CO178" s="88"/>
      <c r="CP178" s="111"/>
      <c r="CQ178" s="112"/>
      <c r="CR178" s="113"/>
      <c r="CS178" s="112"/>
      <c r="CT178" s="55"/>
      <c r="CV178" s="230" t="s">
        <v>673</v>
      </c>
      <c r="CX178" s="226" t="s">
        <v>541</v>
      </c>
      <c r="CY178" s="226" t="s">
        <v>541</v>
      </c>
      <c r="CZ178" s="226" t="s">
        <v>541</v>
      </c>
      <c r="DA178" s="226" t="s">
        <v>541</v>
      </c>
      <c r="DB178" s="14"/>
      <c r="DC178" s="226" t="s">
        <v>1426</v>
      </c>
      <c r="DD178" s="226" t="s">
        <v>541</v>
      </c>
      <c r="DE178" s="226" t="s">
        <v>541</v>
      </c>
      <c r="DF178" s="226" t="s">
        <v>541</v>
      </c>
      <c r="DG178" s="239" t="s">
        <v>1468</v>
      </c>
      <c r="DH178" s="14"/>
    </row>
    <row r="179" spans="1:112" ht="12.75" customHeight="1" x14ac:dyDescent="0.25">
      <c r="A179" s="17" t="s">
        <v>1004</v>
      </c>
      <c r="B179" s="17" t="s">
        <v>1308</v>
      </c>
      <c r="C179" s="17" t="s">
        <v>1387</v>
      </c>
      <c r="D179" s="17" t="s">
        <v>1309</v>
      </c>
      <c r="E179" s="17" t="b">
        <f t="shared" si="28"/>
        <v>1</v>
      </c>
      <c r="F179" s="232" t="s">
        <v>2108</v>
      </c>
      <c r="G179" s="277" t="s">
        <v>2175</v>
      </c>
      <c r="H179" s="128" t="s">
        <v>1387</v>
      </c>
      <c r="I179" s="233" t="s">
        <v>1309</v>
      </c>
      <c r="J179" s="31"/>
      <c r="K179" s="102" t="s">
        <v>354</v>
      </c>
      <c r="L179" s="90"/>
      <c r="M179" s="111"/>
      <c r="N179" s="112"/>
      <c r="O179" s="113"/>
      <c r="P179" s="112"/>
      <c r="Q179" s="31"/>
      <c r="R179" s="102"/>
      <c r="S179" s="90"/>
      <c r="T179" s="88" t="str">
        <f t="shared" si="26"/>
        <v>NA</v>
      </c>
      <c r="U179" s="88" t="str">
        <f t="shared" si="27"/>
        <v>NA</v>
      </c>
      <c r="V179" s="111"/>
      <c r="W179" s="112"/>
      <c r="X179" s="113"/>
      <c r="Y179" s="112"/>
      <c r="Z179" s="31"/>
      <c r="AA179" s="296"/>
      <c r="AB179" s="89"/>
      <c r="AC179" s="88" t="str">
        <f t="shared" si="33"/>
        <v>NA</v>
      </c>
      <c r="AD179" s="88" t="str">
        <f t="shared" si="34"/>
        <v>NA</v>
      </c>
      <c r="AE179" s="111"/>
      <c r="AF179" s="112"/>
      <c r="AG179" s="113"/>
      <c r="AH179" s="112"/>
      <c r="AI179" s="31"/>
      <c r="AJ179" s="294"/>
      <c r="AK179" s="89"/>
      <c r="AL179" s="88" t="str">
        <f t="shared" si="31"/>
        <v>NA</v>
      </c>
      <c r="AM179" s="88" t="str">
        <f t="shared" si="32"/>
        <v>NA</v>
      </c>
      <c r="AN179" s="111"/>
      <c r="AO179" s="112"/>
      <c r="AP179" s="113"/>
      <c r="AQ179" s="112"/>
      <c r="AR179" s="31"/>
      <c r="AS179" s="32"/>
      <c r="AT179" s="90"/>
      <c r="AU179" s="88"/>
      <c r="AV179" s="88"/>
      <c r="AW179" s="111"/>
      <c r="AX179" s="112"/>
      <c r="AY179" s="113"/>
      <c r="AZ179" s="112"/>
      <c r="BA179" s="31"/>
      <c r="BB179" s="32"/>
      <c r="BC179" s="90"/>
      <c r="BD179" s="88"/>
      <c r="BE179" s="88"/>
      <c r="BF179" s="111"/>
      <c r="BG179" s="112"/>
      <c r="BH179" s="113"/>
      <c r="BI179" s="112"/>
      <c r="BJ179" s="31"/>
      <c r="BK179" s="32"/>
      <c r="BL179" s="90"/>
      <c r="BM179" s="88"/>
      <c r="BN179" s="88"/>
      <c r="BO179" s="111"/>
      <c r="BP179" s="112"/>
      <c r="BQ179" s="113"/>
      <c r="BR179" s="112"/>
      <c r="BS179" s="31"/>
      <c r="BT179" s="32"/>
      <c r="BU179" s="90"/>
      <c r="BV179" s="88"/>
      <c r="BW179" s="88"/>
      <c r="BX179" s="111"/>
      <c r="BY179" s="112"/>
      <c r="BZ179" s="113"/>
      <c r="CA179" s="112"/>
      <c r="CB179" s="31"/>
      <c r="CC179" s="32"/>
      <c r="CD179" s="90"/>
      <c r="CE179" s="88"/>
      <c r="CF179" s="88"/>
      <c r="CG179" s="111"/>
      <c r="CH179" s="112"/>
      <c r="CI179" s="113"/>
      <c r="CJ179" s="112"/>
      <c r="CK179" s="31"/>
      <c r="CL179" s="32"/>
      <c r="CM179" s="90"/>
      <c r="CN179" s="88"/>
      <c r="CO179" s="88"/>
      <c r="CP179" s="111"/>
      <c r="CQ179" s="112"/>
      <c r="CR179" s="113"/>
      <c r="CS179" s="112"/>
      <c r="CT179" s="55"/>
      <c r="CV179" s="230"/>
      <c r="CX179" s="226" t="s">
        <v>541</v>
      </c>
      <c r="CY179" s="226" t="s">
        <v>541</v>
      </c>
      <c r="CZ179" s="226" t="s">
        <v>541</v>
      </c>
      <c r="DA179" s="226" t="s">
        <v>541</v>
      </c>
      <c r="DB179" s="14"/>
      <c r="DC179" s="226" t="s">
        <v>1426</v>
      </c>
      <c r="DD179" s="226" t="s">
        <v>541</v>
      </c>
      <c r="DE179" s="226" t="s">
        <v>541</v>
      </c>
      <c r="DF179" s="226" t="s">
        <v>541</v>
      </c>
      <c r="DG179" s="226" t="s">
        <v>1463</v>
      </c>
      <c r="DH179" s="14"/>
    </row>
    <row r="180" spans="1:112" ht="12.75" customHeight="1" x14ac:dyDescent="0.25">
      <c r="A180" s="17" t="s">
        <v>468</v>
      </c>
      <c r="B180" s="17" t="s">
        <v>541</v>
      </c>
      <c r="C180" s="17" t="s">
        <v>158</v>
      </c>
      <c r="D180" s="17" t="s">
        <v>159</v>
      </c>
      <c r="E180" s="17" t="b">
        <f t="shared" si="28"/>
        <v>1</v>
      </c>
      <c r="F180" s="127" t="s">
        <v>468</v>
      </c>
      <c r="G180" s="248" t="s">
        <v>541</v>
      </c>
      <c r="H180" s="128" t="s">
        <v>158</v>
      </c>
      <c r="I180" s="128" t="s">
        <v>159</v>
      </c>
      <c r="J180" s="31"/>
      <c r="K180" s="102" t="s">
        <v>354</v>
      </c>
      <c r="L180" s="90"/>
      <c r="M180" s="111"/>
      <c r="N180" s="112"/>
      <c r="O180" s="113"/>
      <c r="P180" s="112"/>
      <c r="Q180" s="31"/>
      <c r="R180" s="102"/>
      <c r="S180" s="90"/>
      <c r="T180" s="88" t="str">
        <f t="shared" si="26"/>
        <v>NA</v>
      </c>
      <c r="U180" s="88" t="str">
        <f t="shared" si="27"/>
        <v>NA</v>
      </c>
      <c r="V180" s="111"/>
      <c r="W180" s="112"/>
      <c r="X180" s="113"/>
      <c r="Y180" s="112"/>
      <c r="Z180" s="31"/>
      <c r="AA180" s="296"/>
      <c r="AB180" s="89"/>
      <c r="AC180" s="88" t="str">
        <f t="shared" si="33"/>
        <v>NA</v>
      </c>
      <c r="AD180" s="88" t="str">
        <f t="shared" si="34"/>
        <v>NA</v>
      </c>
      <c r="AE180" s="111"/>
      <c r="AF180" s="112"/>
      <c r="AG180" s="113"/>
      <c r="AH180" s="112"/>
      <c r="AI180" s="31"/>
      <c r="AJ180" s="294"/>
      <c r="AK180" s="89"/>
      <c r="AL180" s="88" t="str">
        <f t="shared" si="31"/>
        <v>NA</v>
      </c>
      <c r="AM180" s="88" t="str">
        <f t="shared" si="32"/>
        <v>NA</v>
      </c>
      <c r="AN180" s="111"/>
      <c r="AO180" s="112"/>
      <c r="AP180" s="113"/>
      <c r="AQ180" s="112"/>
      <c r="AR180" s="31"/>
      <c r="AS180" s="32"/>
      <c r="AT180" s="90"/>
      <c r="AU180" s="88"/>
      <c r="AV180" s="88"/>
      <c r="AW180" s="111"/>
      <c r="AX180" s="112"/>
      <c r="AY180" s="113"/>
      <c r="AZ180" s="112"/>
      <c r="BA180" s="31"/>
      <c r="BB180" s="32"/>
      <c r="BC180" s="90"/>
      <c r="BD180" s="88"/>
      <c r="BE180" s="88"/>
      <c r="BF180" s="111"/>
      <c r="BG180" s="112"/>
      <c r="BH180" s="113"/>
      <c r="BI180" s="112"/>
      <c r="BJ180" s="31"/>
      <c r="BK180" s="32"/>
      <c r="BL180" s="90"/>
      <c r="BM180" s="88"/>
      <c r="BN180" s="88"/>
      <c r="BO180" s="111"/>
      <c r="BP180" s="112"/>
      <c r="BQ180" s="113"/>
      <c r="BR180" s="112"/>
      <c r="BS180" s="31"/>
      <c r="BT180" s="32"/>
      <c r="BU180" s="90"/>
      <c r="BV180" s="88"/>
      <c r="BW180" s="88"/>
      <c r="BX180" s="111"/>
      <c r="BY180" s="112"/>
      <c r="BZ180" s="113"/>
      <c r="CA180" s="112"/>
      <c r="CB180" s="31"/>
      <c r="CC180" s="32"/>
      <c r="CD180" s="90"/>
      <c r="CE180" s="88"/>
      <c r="CF180" s="88"/>
      <c r="CG180" s="111"/>
      <c r="CH180" s="112"/>
      <c r="CI180" s="113"/>
      <c r="CJ180" s="112"/>
      <c r="CK180" s="31"/>
      <c r="CL180" s="32"/>
      <c r="CM180" s="90"/>
      <c r="CN180" s="88"/>
      <c r="CO180" s="88"/>
      <c r="CP180" s="111"/>
      <c r="CQ180" s="112"/>
      <c r="CR180" s="113"/>
      <c r="CS180" s="112"/>
      <c r="CT180" s="55"/>
      <c r="CV180" s="230" t="s">
        <v>159</v>
      </c>
      <c r="CX180" s="226" t="s">
        <v>1424</v>
      </c>
      <c r="CY180" s="226" t="s">
        <v>541</v>
      </c>
      <c r="CZ180" s="226" t="s">
        <v>541</v>
      </c>
      <c r="DA180" s="226" t="s">
        <v>541</v>
      </c>
      <c r="DB180" s="14"/>
      <c r="DC180" s="226" t="s">
        <v>1430</v>
      </c>
      <c r="DD180" s="226" t="s">
        <v>541</v>
      </c>
      <c r="DE180" s="226" t="s">
        <v>541</v>
      </c>
      <c r="DF180" s="226" t="s">
        <v>541</v>
      </c>
      <c r="DG180" s="226" t="s">
        <v>1463</v>
      </c>
      <c r="DH180" s="14"/>
    </row>
    <row r="181" spans="1:112" ht="12.75" customHeight="1" x14ac:dyDescent="0.25">
      <c r="A181" s="17" t="s">
        <v>469</v>
      </c>
      <c r="B181" s="17" t="s">
        <v>541</v>
      </c>
      <c r="C181" s="17" t="s">
        <v>156</v>
      </c>
      <c r="D181" s="17" t="s">
        <v>157</v>
      </c>
      <c r="E181" s="17" t="b">
        <f t="shared" si="28"/>
        <v>1</v>
      </c>
      <c r="F181" s="127" t="s">
        <v>469</v>
      </c>
      <c r="G181" s="248" t="s">
        <v>541</v>
      </c>
      <c r="H181" s="128" t="s">
        <v>156</v>
      </c>
      <c r="I181" s="128" t="s">
        <v>157</v>
      </c>
      <c r="J181" s="31"/>
      <c r="K181" s="102" t="s">
        <v>354</v>
      </c>
      <c r="L181" s="90"/>
      <c r="M181" s="111"/>
      <c r="N181" s="112"/>
      <c r="O181" s="113"/>
      <c r="P181" s="112"/>
      <c r="Q181" s="31"/>
      <c r="R181" s="102"/>
      <c r="S181" s="90"/>
      <c r="T181" s="88" t="str">
        <f t="shared" si="26"/>
        <v>NA</v>
      </c>
      <c r="U181" s="88" t="str">
        <f t="shared" si="27"/>
        <v>NA</v>
      </c>
      <c r="V181" s="111"/>
      <c r="W181" s="112"/>
      <c r="X181" s="113"/>
      <c r="Y181" s="112"/>
      <c r="Z181" s="31"/>
      <c r="AA181" s="296"/>
      <c r="AB181" s="89"/>
      <c r="AC181" s="88" t="str">
        <f t="shared" si="33"/>
        <v>NA</v>
      </c>
      <c r="AD181" s="88" t="str">
        <f t="shared" si="34"/>
        <v>NA</v>
      </c>
      <c r="AE181" s="111"/>
      <c r="AF181" s="112"/>
      <c r="AG181" s="113"/>
      <c r="AH181" s="112"/>
      <c r="AI181" s="31"/>
      <c r="AJ181" s="294"/>
      <c r="AK181" s="89"/>
      <c r="AL181" s="88" t="str">
        <f t="shared" si="31"/>
        <v>NA</v>
      </c>
      <c r="AM181" s="88" t="str">
        <f t="shared" si="32"/>
        <v>NA</v>
      </c>
      <c r="AN181" s="111"/>
      <c r="AO181" s="112"/>
      <c r="AP181" s="113"/>
      <c r="AQ181" s="112"/>
      <c r="AR181" s="31"/>
      <c r="AS181" s="32"/>
      <c r="AT181" s="90"/>
      <c r="AU181" s="88"/>
      <c r="AV181" s="88"/>
      <c r="AW181" s="111"/>
      <c r="AX181" s="112"/>
      <c r="AY181" s="113"/>
      <c r="AZ181" s="112"/>
      <c r="BA181" s="31"/>
      <c r="BB181" s="32"/>
      <c r="BC181" s="90"/>
      <c r="BD181" s="88"/>
      <c r="BE181" s="88"/>
      <c r="BF181" s="111"/>
      <c r="BG181" s="112"/>
      <c r="BH181" s="113"/>
      <c r="BI181" s="112"/>
      <c r="BJ181" s="31"/>
      <c r="BK181" s="32"/>
      <c r="BL181" s="90"/>
      <c r="BM181" s="88"/>
      <c r="BN181" s="88"/>
      <c r="BO181" s="111"/>
      <c r="BP181" s="112"/>
      <c r="BQ181" s="113"/>
      <c r="BR181" s="112"/>
      <c r="BS181" s="31"/>
      <c r="BT181" s="32"/>
      <c r="BU181" s="90"/>
      <c r="BV181" s="88"/>
      <c r="BW181" s="88"/>
      <c r="BX181" s="111"/>
      <c r="BY181" s="112"/>
      <c r="BZ181" s="113"/>
      <c r="CA181" s="112"/>
      <c r="CB181" s="31"/>
      <c r="CC181" s="32"/>
      <c r="CD181" s="90"/>
      <c r="CE181" s="88"/>
      <c r="CF181" s="88"/>
      <c r="CG181" s="111"/>
      <c r="CH181" s="112"/>
      <c r="CI181" s="113"/>
      <c r="CJ181" s="112"/>
      <c r="CK181" s="31"/>
      <c r="CL181" s="32"/>
      <c r="CM181" s="90"/>
      <c r="CN181" s="88"/>
      <c r="CO181" s="88"/>
      <c r="CP181" s="111"/>
      <c r="CQ181" s="112"/>
      <c r="CR181" s="113"/>
      <c r="CS181" s="112"/>
      <c r="CT181" s="55"/>
      <c r="CV181" s="230" t="s">
        <v>157</v>
      </c>
      <c r="CX181" s="226" t="s">
        <v>1424</v>
      </c>
      <c r="CY181" s="226" t="s">
        <v>541</v>
      </c>
      <c r="CZ181" s="226" t="s">
        <v>541</v>
      </c>
      <c r="DA181" s="226" t="s">
        <v>541</v>
      </c>
      <c r="DB181" s="14"/>
      <c r="DC181" s="226" t="s">
        <v>1430</v>
      </c>
      <c r="DD181" s="226" t="s">
        <v>541</v>
      </c>
      <c r="DE181" s="226" t="s">
        <v>541</v>
      </c>
      <c r="DF181" s="226" t="s">
        <v>541</v>
      </c>
      <c r="DG181" s="226" t="s">
        <v>1463</v>
      </c>
      <c r="DH181" s="14"/>
    </row>
    <row r="182" spans="1:112" ht="12.75" customHeight="1" x14ac:dyDescent="0.25">
      <c r="A182" s="17" t="s">
        <v>470</v>
      </c>
      <c r="B182" s="17" t="s">
        <v>541</v>
      </c>
      <c r="C182" s="17" t="s">
        <v>154</v>
      </c>
      <c r="D182" s="17" t="s">
        <v>155</v>
      </c>
      <c r="E182" s="17" t="b">
        <f t="shared" si="28"/>
        <v>1</v>
      </c>
      <c r="F182" s="127" t="s">
        <v>470</v>
      </c>
      <c r="G182" s="248" t="s">
        <v>541</v>
      </c>
      <c r="H182" s="128" t="s">
        <v>154</v>
      </c>
      <c r="I182" s="128" t="s">
        <v>155</v>
      </c>
      <c r="J182" s="31"/>
      <c r="K182" s="102" t="s">
        <v>354</v>
      </c>
      <c r="L182" s="90"/>
      <c r="M182" s="111"/>
      <c r="N182" s="112"/>
      <c r="O182" s="113"/>
      <c r="P182" s="112"/>
      <c r="Q182" s="31"/>
      <c r="R182" s="102"/>
      <c r="S182" s="90"/>
      <c r="T182" s="88" t="str">
        <f t="shared" si="26"/>
        <v>NA</v>
      </c>
      <c r="U182" s="88" t="str">
        <f t="shared" si="27"/>
        <v>NA</v>
      </c>
      <c r="V182" s="111"/>
      <c r="W182" s="112"/>
      <c r="X182" s="113"/>
      <c r="Y182" s="112"/>
      <c r="Z182" s="31"/>
      <c r="AA182" s="296"/>
      <c r="AB182" s="89"/>
      <c r="AC182" s="88" t="str">
        <f t="shared" si="33"/>
        <v>NA</v>
      </c>
      <c r="AD182" s="88" t="str">
        <f t="shared" si="34"/>
        <v>NA</v>
      </c>
      <c r="AE182" s="111"/>
      <c r="AF182" s="112"/>
      <c r="AG182" s="113"/>
      <c r="AH182" s="112"/>
      <c r="AI182" s="31"/>
      <c r="AJ182" s="294"/>
      <c r="AK182" s="89"/>
      <c r="AL182" s="88" t="str">
        <f t="shared" si="31"/>
        <v>NA</v>
      </c>
      <c r="AM182" s="88" t="str">
        <f t="shared" si="32"/>
        <v>NA</v>
      </c>
      <c r="AN182" s="111"/>
      <c r="AO182" s="112"/>
      <c r="AP182" s="113"/>
      <c r="AQ182" s="112"/>
      <c r="AR182" s="31"/>
      <c r="AS182" s="32"/>
      <c r="AT182" s="90"/>
      <c r="AU182" s="88"/>
      <c r="AV182" s="88"/>
      <c r="AW182" s="111"/>
      <c r="AX182" s="112"/>
      <c r="AY182" s="113"/>
      <c r="AZ182" s="112"/>
      <c r="BA182" s="31"/>
      <c r="BB182" s="32"/>
      <c r="BC182" s="90"/>
      <c r="BD182" s="88"/>
      <c r="BE182" s="88"/>
      <c r="BF182" s="111"/>
      <c r="BG182" s="112"/>
      <c r="BH182" s="113"/>
      <c r="BI182" s="112"/>
      <c r="BJ182" s="31"/>
      <c r="BK182" s="32"/>
      <c r="BL182" s="90"/>
      <c r="BM182" s="88"/>
      <c r="BN182" s="88"/>
      <c r="BO182" s="111"/>
      <c r="BP182" s="112"/>
      <c r="BQ182" s="113"/>
      <c r="BR182" s="112"/>
      <c r="BS182" s="31"/>
      <c r="BT182" s="32"/>
      <c r="BU182" s="90"/>
      <c r="BV182" s="88"/>
      <c r="BW182" s="88"/>
      <c r="BX182" s="111"/>
      <c r="BY182" s="112"/>
      <c r="BZ182" s="113"/>
      <c r="CA182" s="112"/>
      <c r="CB182" s="31"/>
      <c r="CC182" s="32"/>
      <c r="CD182" s="90"/>
      <c r="CE182" s="88"/>
      <c r="CF182" s="88"/>
      <c r="CG182" s="111"/>
      <c r="CH182" s="112"/>
      <c r="CI182" s="113"/>
      <c r="CJ182" s="112"/>
      <c r="CK182" s="31"/>
      <c r="CL182" s="32"/>
      <c r="CM182" s="90"/>
      <c r="CN182" s="88"/>
      <c r="CO182" s="88"/>
      <c r="CP182" s="111"/>
      <c r="CQ182" s="112"/>
      <c r="CR182" s="113"/>
      <c r="CS182" s="112"/>
      <c r="CT182" s="55"/>
      <c r="CV182" s="230" t="s">
        <v>155</v>
      </c>
      <c r="CX182" s="226" t="s">
        <v>541</v>
      </c>
      <c r="CY182" s="226" t="s">
        <v>541</v>
      </c>
      <c r="CZ182" s="226" t="s">
        <v>541</v>
      </c>
      <c r="DA182" s="226" t="s">
        <v>541</v>
      </c>
      <c r="DB182" s="14"/>
      <c r="DC182" s="226" t="s">
        <v>1430</v>
      </c>
      <c r="DD182" s="226" t="s">
        <v>541</v>
      </c>
      <c r="DE182" s="226" t="s">
        <v>541</v>
      </c>
      <c r="DF182" s="226" t="s">
        <v>541</v>
      </c>
      <c r="DG182" s="226" t="s">
        <v>1463</v>
      </c>
      <c r="DH182" s="14"/>
    </row>
    <row r="183" spans="1:112" ht="12.75" customHeight="1" x14ac:dyDescent="0.25">
      <c r="A183" s="17" t="s">
        <v>471</v>
      </c>
      <c r="B183" s="17" t="s">
        <v>541</v>
      </c>
      <c r="C183" s="17" t="s">
        <v>152</v>
      </c>
      <c r="D183" s="17" t="s">
        <v>153</v>
      </c>
      <c r="E183" s="17" t="b">
        <f t="shared" si="28"/>
        <v>1</v>
      </c>
      <c r="F183" s="127" t="s">
        <v>471</v>
      </c>
      <c r="G183" s="248" t="s">
        <v>541</v>
      </c>
      <c r="H183" s="128" t="s">
        <v>152</v>
      </c>
      <c r="I183" s="128" t="s">
        <v>153</v>
      </c>
      <c r="J183" s="31"/>
      <c r="K183" s="102" t="s">
        <v>354</v>
      </c>
      <c r="L183" s="90"/>
      <c r="M183" s="111"/>
      <c r="N183" s="112"/>
      <c r="O183" s="113"/>
      <c r="P183" s="112"/>
      <c r="Q183" s="31"/>
      <c r="R183" s="102"/>
      <c r="S183" s="90"/>
      <c r="T183" s="88" t="str">
        <f t="shared" si="26"/>
        <v>NA</v>
      </c>
      <c r="U183" s="88" t="str">
        <f t="shared" si="27"/>
        <v>NA</v>
      </c>
      <c r="V183" s="111"/>
      <c r="W183" s="112"/>
      <c r="X183" s="113"/>
      <c r="Y183" s="112"/>
      <c r="Z183" s="31"/>
      <c r="AA183" s="296"/>
      <c r="AB183" s="89"/>
      <c r="AC183" s="88" t="str">
        <f t="shared" si="33"/>
        <v>NA</v>
      </c>
      <c r="AD183" s="88" t="str">
        <f t="shared" si="34"/>
        <v>NA</v>
      </c>
      <c r="AE183" s="111"/>
      <c r="AF183" s="112"/>
      <c r="AG183" s="113"/>
      <c r="AH183" s="112"/>
      <c r="AI183" s="31"/>
      <c r="AJ183" s="294"/>
      <c r="AK183" s="89"/>
      <c r="AL183" s="88" t="str">
        <f t="shared" si="31"/>
        <v>NA</v>
      </c>
      <c r="AM183" s="88" t="str">
        <f t="shared" si="32"/>
        <v>NA</v>
      </c>
      <c r="AN183" s="111"/>
      <c r="AO183" s="112"/>
      <c r="AP183" s="113"/>
      <c r="AQ183" s="112"/>
      <c r="AR183" s="31"/>
      <c r="AS183" s="32"/>
      <c r="AT183" s="90"/>
      <c r="AU183" s="88"/>
      <c r="AV183" s="88"/>
      <c r="AW183" s="111"/>
      <c r="AX183" s="112"/>
      <c r="AY183" s="113"/>
      <c r="AZ183" s="112"/>
      <c r="BA183" s="31"/>
      <c r="BB183" s="32"/>
      <c r="BC183" s="90"/>
      <c r="BD183" s="88"/>
      <c r="BE183" s="88"/>
      <c r="BF183" s="111"/>
      <c r="BG183" s="112"/>
      <c r="BH183" s="113"/>
      <c r="BI183" s="112"/>
      <c r="BJ183" s="31"/>
      <c r="BK183" s="32"/>
      <c r="BL183" s="90"/>
      <c r="BM183" s="88"/>
      <c r="BN183" s="88"/>
      <c r="BO183" s="111"/>
      <c r="BP183" s="112"/>
      <c r="BQ183" s="113"/>
      <c r="BR183" s="112"/>
      <c r="BS183" s="31"/>
      <c r="BT183" s="32"/>
      <c r="BU183" s="90"/>
      <c r="BV183" s="88"/>
      <c r="BW183" s="88"/>
      <c r="BX183" s="111"/>
      <c r="BY183" s="112"/>
      <c r="BZ183" s="113"/>
      <c r="CA183" s="112"/>
      <c r="CB183" s="31"/>
      <c r="CC183" s="32"/>
      <c r="CD183" s="90"/>
      <c r="CE183" s="88"/>
      <c r="CF183" s="88"/>
      <c r="CG183" s="111"/>
      <c r="CH183" s="112"/>
      <c r="CI183" s="113"/>
      <c r="CJ183" s="112"/>
      <c r="CK183" s="31"/>
      <c r="CL183" s="32"/>
      <c r="CM183" s="90"/>
      <c r="CN183" s="88"/>
      <c r="CO183" s="88"/>
      <c r="CP183" s="111"/>
      <c r="CQ183" s="112"/>
      <c r="CR183" s="113"/>
      <c r="CS183" s="112"/>
      <c r="CT183" s="55"/>
      <c r="CV183" s="230" t="s">
        <v>153</v>
      </c>
      <c r="CX183" s="226" t="s">
        <v>541</v>
      </c>
      <c r="CY183" s="226" t="s">
        <v>541</v>
      </c>
      <c r="CZ183" s="226" t="s">
        <v>541</v>
      </c>
      <c r="DA183" s="226" t="s">
        <v>541</v>
      </c>
      <c r="DB183" s="14"/>
      <c r="DC183" s="226" t="s">
        <v>1430</v>
      </c>
      <c r="DD183" s="226" t="s">
        <v>541</v>
      </c>
      <c r="DE183" s="226" t="s">
        <v>541</v>
      </c>
      <c r="DF183" s="226" t="s">
        <v>541</v>
      </c>
      <c r="DG183" s="226" t="s">
        <v>1463</v>
      </c>
      <c r="DH183" s="14"/>
    </row>
    <row r="184" spans="1:112" ht="12.75" customHeight="1" x14ac:dyDescent="0.25">
      <c r="A184" s="17" t="s">
        <v>472</v>
      </c>
      <c r="B184" s="17" t="s">
        <v>541</v>
      </c>
      <c r="C184" s="17" t="s">
        <v>150</v>
      </c>
      <c r="D184" s="17" t="s">
        <v>151</v>
      </c>
      <c r="E184" s="17" t="b">
        <f t="shared" si="28"/>
        <v>1</v>
      </c>
      <c r="F184" s="127" t="s">
        <v>472</v>
      </c>
      <c r="G184" s="248" t="s">
        <v>541</v>
      </c>
      <c r="H184" s="128" t="s">
        <v>150</v>
      </c>
      <c r="I184" s="128" t="s">
        <v>151</v>
      </c>
      <c r="J184" s="31"/>
      <c r="K184" s="102" t="s">
        <v>354</v>
      </c>
      <c r="L184" s="90"/>
      <c r="M184" s="111"/>
      <c r="N184" s="112"/>
      <c r="O184" s="113"/>
      <c r="P184" s="112"/>
      <c r="Q184" s="31"/>
      <c r="R184" s="102"/>
      <c r="S184" s="90"/>
      <c r="T184" s="88" t="str">
        <f t="shared" si="26"/>
        <v>NA</v>
      </c>
      <c r="U184" s="88" t="str">
        <f t="shared" si="27"/>
        <v>NA</v>
      </c>
      <c r="V184" s="111"/>
      <c r="W184" s="112"/>
      <c r="X184" s="113"/>
      <c r="Y184" s="112"/>
      <c r="Z184" s="31"/>
      <c r="AA184" s="296"/>
      <c r="AB184" s="89"/>
      <c r="AC184" s="88" t="str">
        <f t="shared" si="33"/>
        <v>NA</v>
      </c>
      <c r="AD184" s="88" t="str">
        <f t="shared" si="34"/>
        <v>NA</v>
      </c>
      <c r="AE184" s="111"/>
      <c r="AF184" s="112"/>
      <c r="AG184" s="113"/>
      <c r="AH184" s="112"/>
      <c r="AI184" s="31"/>
      <c r="AJ184" s="294"/>
      <c r="AK184" s="89"/>
      <c r="AL184" s="88" t="str">
        <f t="shared" si="31"/>
        <v>NA</v>
      </c>
      <c r="AM184" s="88" t="str">
        <f t="shared" si="32"/>
        <v>NA</v>
      </c>
      <c r="AN184" s="111"/>
      <c r="AO184" s="112"/>
      <c r="AP184" s="113"/>
      <c r="AQ184" s="112"/>
      <c r="AR184" s="31"/>
      <c r="AS184" s="32"/>
      <c r="AT184" s="90"/>
      <c r="AU184" s="88"/>
      <c r="AV184" s="88"/>
      <c r="AW184" s="111"/>
      <c r="AX184" s="112"/>
      <c r="AY184" s="113"/>
      <c r="AZ184" s="112"/>
      <c r="BA184" s="31"/>
      <c r="BB184" s="32"/>
      <c r="BC184" s="90"/>
      <c r="BD184" s="88"/>
      <c r="BE184" s="88"/>
      <c r="BF184" s="111"/>
      <c r="BG184" s="112"/>
      <c r="BH184" s="113"/>
      <c r="BI184" s="112"/>
      <c r="BJ184" s="31"/>
      <c r="BK184" s="32"/>
      <c r="BL184" s="90"/>
      <c r="BM184" s="88"/>
      <c r="BN184" s="88"/>
      <c r="BO184" s="111"/>
      <c r="BP184" s="112"/>
      <c r="BQ184" s="113"/>
      <c r="BR184" s="112"/>
      <c r="BS184" s="31"/>
      <c r="BT184" s="32"/>
      <c r="BU184" s="90"/>
      <c r="BV184" s="88"/>
      <c r="BW184" s="88"/>
      <c r="BX184" s="111"/>
      <c r="BY184" s="112"/>
      <c r="BZ184" s="113"/>
      <c r="CA184" s="112"/>
      <c r="CB184" s="31"/>
      <c r="CC184" s="32"/>
      <c r="CD184" s="90"/>
      <c r="CE184" s="88"/>
      <c r="CF184" s="88"/>
      <c r="CG184" s="111"/>
      <c r="CH184" s="112"/>
      <c r="CI184" s="113"/>
      <c r="CJ184" s="112"/>
      <c r="CK184" s="31"/>
      <c r="CL184" s="32"/>
      <c r="CM184" s="90"/>
      <c r="CN184" s="88"/>
      <c r="CO184" s="88"/>
      <c r="CP184" s="111"/>
      <c r="CQ184" s="112"/>
      <c r="CR184" s="113"/>
      <c r="CS184" s="112"/>
      <c r="CT184" s="55"/>
      <c r="CV184" s="230" t="s">
        <v>151</v>
      </c>
      <c r="CX184" s="226" t="s">
        <v>541</v>
      </c>
      <c r="CY184" s="226" t="s">
        <v>541</v>
      </c>
      <c r="CZ184" s="226" t="s">
        <v>541</v>
      </c>
      <c r="DA184" s="226" t="s">
        <v>541</v>
      </c>
      <c r="DB184" s="14"/>
      <c r="DC184" s="226" t="s">
        <v>1430</v>
      </c>
      <c r="DD184" s="226" t="s">
        <v>541</v>
      </c>
      <c r="DE184" s="226" t="s">
        <v>541</v>
      </c>
      <c r="DF184" s="226" t="s">
        <v>541</v>
      </c>
      <c r="DG184" s="226" t="s">
        <v>1463</v>
      </c>
      <c r="DH184" s="14"/>
    </row>
    <row r="185" spans="1:112" ht="12.75" customHeight="1" x14ac:dyDescent="0.25">
      <c r="A185" s="17" t="s">
        <v>473</v>
      </c>
      <c r="B185" s="17" t="s">
        <v>541</v>
      </c>
      <c r="C185" s="17" t="s">
        <v>148</v>
      </c>
      <c r="D185" s="17" t="s">
        <v>149</v>
      </c>
      <c r="E185" s="17" t="b">
        <f t="shared" si="28"/>
        <v>1</v>
      </c>
      <c r="F185" s="127" t="s">
        <v>473</v>
      </c>
      <c r="G185" s="248" t="s">
        <v>541</v>
      </c>
      <c r="H185" s="128" t="s">
        <v>148</v>
      </c>
      <c r="I185" s="128" t="s">
        <v>149</v>
      </c>
      <c r="J185" s="31"/>
      <c r="K185" s="102" t="s">
        <v>354</v>
      </c>
      <c r="L185" s="90"/>
      <c r="M185" s="111"/>
      <c r="N185" s="112"/>
      <c r="O185" s="113"/>
      <c r="P185" s="112"/>
      <c r="Q185" s="31"/>
      <c r="R185" s="102"/>
      <c r="S185" s="90"/>
      <c r="T185" s="88" t="str">
        <f t="shared" si="26"/>
        <v>NA</v>
      </c>
      <c r="U185" s="88" t="str">
        <f t="shared" si="27"/>
        <v>NA</v>
      </c>
      <c r="V185" s="111"/>
      <c r="W185" s="112"/>
      <c r="X185" s="113"/>
      <c r="Y185" s="112"/>
      <c r="Z185" s="31"/>
      <c r="AA185" s="296"/>
      <c r="AB185" s="89"/>
      <c r="AC185" s="88" t="str">
        <f t="shared" si="33"/>
        <v>NA</v>
      </c>
      <c r="AD185" s="88" t="str">
        <f t="shared" si="34"/>
        <v>NA</v>
      </c>
      <c r="AE185" s="111"/>
      <c r="AF185" s="112"/>
      <c r="AG185" s="113"/>
      <c r="AH185" s="112"/>
      <c r="AI185" s="31"/>
      <c r="AJ185" s="294"/>
      <c r="AK185" s="89"/>
      <c r="AL185" s="88" t="str">
        <f t="shared" si="31"/>
        <v>NA</v>
      </c>
      <c r="AM185" s="88" t="str">
        <f t="shared" si="32"/>
        <v>NA</v>
      </c>
      <c r="AN185" s="111"/>
      <c r="AO185" s="112"/>
      <c r="AP185" s="113"/>
      <c r="AQ185" s="112"/>
      <c r="AR185" s="31"/>
      <c r="AS185" s="32"/>
      <c r="AT185" s="90"/>
      <c r="AU185" s="88"/>
      <c r="AV185" s="88"/>
      <c r="AW185" s="111"/>
      <c r="AX185" s="112"/>
      <c r="AY185" s="113"/>
      <c r="AZ185" s="112"/>
      <c r="BA185" s="31"/>
      <c r="BB185" s="32"/>
      <c r="BC185" s="90"/>
      <c r="BD185" s="88"/>
      <c r="BE185" s="88"/>
      <c r="BF185" s="111"/>
      <c r="BG185" s="112"/>
      <c r="BH185" s="113"/>
      <c r="BI185" s="112"/>
      <c r="BJ185" s="31"/>
      <c r="BK185" s="32"/>
      <c r="BL185" s="90"/>
      <c r="BM185" s="88"/>
      <c r="BN185" s="88"/>
      <c r="BO185" s="111"/>
      <c r="BP185" s="112"/>
      <c r="BQ185" s="113"/>
      <c r="BR185" s="112"/>
      <c r="BS185" s="31"/>
      <c r="BT185" s="32"/>
      <c r="BU185" s="90"/>
      <c r="BV185" s="88"/>
      <c r="BW185" s="88"/>
      <c r="BX185" s="111"/>
      <c r="BY185" s="112"/>
      <c r="BZ185" s="113"/>
      <c r="CA185" s="112"/>
      <c r="CB185" s="31"/>
      <c r="CC185" s="32"/>
      <c r="CD185" s="90"/>
      <c r="CE185" s="88"/>
      <c r="CF185" s="88"/>
      <c r="CG185" s="111"/>
      <c r="CH185" s="112"/>
      <c r="CI185" s="113"/>
      <c r="CJ185" s="112"/>
      <c r="CK185" s="31"/>
      <c r="CL185" s="32"/>
      <c r="CM185" s="90"/>
      <c r="CN185" s="88"/>
      <c r="CO185" s="88"/>
      <c r="CP185" s="111"/>
      <c r="CQ185" s="112"/>
      <c r="CR185" s="113"/>
      <c r="CS185" s="112"/>
      <c r="CT185" s="55"/>
      <c r="CV185" s="230" t="s">
        <v>149</v>
      </c>
      <c r="CX185" s="226" t="s">
        <v>541</v>
      </c>
      <c r="CY185" s="226" t="s">
        <v>541</v>
      </c>
      <c r="CZ185" s="226" t="s">
        <v>541</v>
      </c>
      <c r="DA185" s="226" t="s">
        <v>541</v>
      </c>
      <c r="DB185" s="14"/>
      <c r="DC185" s="226" t="s">
        <v>1430</v>
      </c>
      <c r="DD185" s="226" t="s">
        <v>541</v>
      </c>
      <c r="DE185" s="226" t="s">
        <v>541</v>
      </c>
      <c r="DF185" s="226" t="s">
        <v>541</v>
      </c>
      <c r="DG185" s="226" t="s">
        <v>1463</v>
      </c>
      <c r="DH185" s="14"/>
    </row>
    <row r="186" spans="1:112" ht="12.75" customHeight="1" x14ac:dyDescent="0.25">
      <c r="A186" s="17" t="s">
        <v>474</v>
      </c>
      <c r="B186" s="17" t="s">
        <v>541</v>
      </c>
      <c r="C186" s="17" t="s">
        <v>146</v>
      </c>
      <c r="D186" s="17" t="s">
        <v>147</v>
      </c>
      <c r="E186" s="17" t="b">
        <f t="shared" si="28"/>
        <v>1</v>
      </c>
      <c r="F186" s="127" t="s">
        <v>474</v>
      </c>
      <c r="G186" s="248" t="s">
        <v>541</v>
      </c>
      <c r="H186" s="128" t="s">
        <v>146</v>
      </c>
      <c r="I186" s="128" t="s">
        <v>147</v>
      </c>
      <c r="J186" s="31"/>
      <c r="K186" s="102" t="s">
        <v>354</v>
      </c>
      <c r="L186" s="90"/>
      <c r="M186" s="111"/>
      <c r="N186" s="112"/>
      <c r="O186" s="113"/>
      <c r="P186" s="112"/>
      <c r="Q186" s="31"/>
      <c r="R186" s="102"/>
      <c r="S186" s="90"/>
      <c r="T186" s="88" t="str">
        <f t="shared" si="26"/>
        <v>NA</v>
      </c>
      <c r="U186" s="88" t="str">
        <f t="shared" si="27"/>
        <v>NA</v>
      </c>
      <c r="V186" s="111"/>
      <c r="W186" s="112"/>
      <c r="X186" s="113"/>
      <c r="Y186" s="112"/>
      <c r="Z186" s="31"/>
      <c r="AA186" s="296"/>
      <c r="AB186" s="89"/>
      <c r="AC186" s="88" t="str">
        <f t="shared" si="33"/>
        <v>NA</v>
      </c>
      <c r="AD186" s="88" t="str">
        <f t="shared" si="34"/>
        <v>NA</v>
      </c>
      <c r="AE186" s="111"/>
      <c r="AF186" s="112"/>
      <c r="AG186" s="113"/>
      <c r="AH186" s="112"/>
      <c r="AI186" s="31"/>
      <c r="AJ186" s="294"/>
      <c r="AK186" s="89"/>
      <c r="AL186" s="88" t="str">
        <f t="shared" si="31"/>
        <v>NA</v>
      </c>
      <c r="AM186" s="88" t="str">
        <f t="shared" si="32"/>
        <v>NA</v>
      </c>
      <c r="AN186" s="111"/>
      <c r="AO186" s="112"/>
      <c r="AP186" s="113"/>
      <c r="AQ186" s="112"/>
      <c r="AR186" s="31"/>
      <c r="AS186" s="32"/>
      <c r="AT186" s="90"/>
      <c r="AU186" s="88"/>
      <c r="AV186" s="88"/>
      <c r="AW186" s="111"/>
      <c r="AX186" s="112"/>
      <c r="AY186" s="113"/>
      <c r="AZ186" s="112"/>
      <c r="BA186" s="31"/>
      <c r="BB186" s="32"/>
      <c r="BC186" s="90"/>
      <c r="BD186" s="88"/>
      <c r="BE186" s="88"/>
      <c r="BF186" s="111"/>
      <c r="BG186" s="112"/>
      <c r="BH186" s="113"/>
      <c r="BI186" s="112"/>
      <c r="BJ186" s="31"/>
      <c r="BK186" s="32"/>
      <c r="BL186" s="90"/>
      <c r="BM186" s="88"/>
      <c r="BN186" s="88"/>
      <c r="BO186" s="111"/>
      <c r="BP186" s="112"/>
      <c r="BQ186" s="113"/>
      <c r="BR186" s="112"/>
      <c r="BS186" s="31"/>
      <c r="BT186" s="32"/>
      <c r="BU186" s="90"/>
      <c r="BV186" s="88"/>
      <c r="BW186" s="88"/>
      <c r="BX186" s="111"/>
      <c r="BY186" s="112"/>
      <c r="BZ186" s="113"/>
      <c r="CA186" s="112"/>
      <c r="CB186" s="31"/>
      <c r="CC186" s="32"/>
      <c r="CD186" s="90"/>
      <c r="CE186" s="88"/>
      <c r="CF186" s="88"/>
      <c r="CG186" s="111"/>
      <c r="CH186" s="112"/>
      <c r="CI186" s="113"/>
      <c r="CJ186" s="112"/>
      <c r="CK186" s="31"/>
      <c r="CL186" s="32"/>
      <c r="CM186" s="90"/>
      <c r="CN186" s="88"/>
      <c r="CO186" s="88"/>
      <c r="CP186" s="111"/>
      <c r="CQ186" s="112"/>
      <c r="CR186" s="113"/>
      <c r="CS186" s="112"/>
      <c r="CT186" s="55"/>
      <c r="CV186" s="230" t="s">
        <v>147</v>
      </c>
      <c r="CX186" s="226" t="s">
        <v>1425</v>
      </c>
      <c r="CY186" s="226" t="s">
        <v>541</v>
      </c>
      <c r="CZ186" s="226" t="s">
        <v>541</v>
      </c>
      <c r="DA186" s="226" t="s">
        <v>541</v>
      </c>
      <c r="DB186" s="14"/>
      <c r="DC186" s="226" t="s">
        <v>1430</v>
      </c>
      <c r="DD186" s="226" t="s">
        <v>541</v>
      </c>
      <c r="DE186" s="226" t="s">
        <v>541</v>
      </c>
      <c r="DF186" s="226" t="s">
        <v>541</v>
      </c>
      <c r="DG186" s="226" t="s">
        <v>1463</v>
      </c>
      <c r="DH186" s="14"/>
    </row>
    <row r="187" spans="1:112" ht="12.75" customHeight="1" x14ac:dyDescent="0.25">
      <c r="A187" s="17" t="s">
        <v>475</v>
      </c>
      <c r="B187" s="17" t="s">
        <v>541</v>
      </c>
      <c r="C187" s="17" t="s">
        <v>144</v>
      </c>
      <c r="D187" s="17" t="s">
        <v>145</v>
      </c>
      <c r="E187" s="17" t="b">
        <f t="shared" si="28"/>
        <v>1</v>
      </c>
      <c r="F187" s="127" t="s">
        <v>475</v>
      </c>
      <c r="G187" s="248" t="s">
        <v>541</v>
      </c>
      <c r="H187" s="128" t="s">
        <v>144</v>
      </c>
      <c r="I187" s="128" t="s">
        <v>145</v>
      </c>
      <c r="J187" s="31"/>
      <c r="K187" s="102" t="s">
        <v>354</v>
      </c>
      <c r="L187" s="90"/>
      <c r="M187" s="111"/>
      <c r="N187" s="112"/>
      <c r="O187" s="113"/>
      <c r="P187" s="112"/>
      <c r="Q187" s="31"/>
      <c r="R187" s="102"/>
      <c r="S187" s="90"/>
      <c r="T187" s="88" t="str">
        <f t="shared" si="26"/>
        <v>NA</v>
      </c>
      <c r="U187" s="88" t="str">
        <f t="shared" si="27"/>
        <v>NA</v>
      </c>
      <c r="V187" s="111"/>
      <c r="W187" s="112"/>
      <c r="X187" s="113"/>
      <c r="Y187" s="112"/>
      <c r="Z187" s="31"/>
      <c r="AA187" s="296"/>
      <c r="AB187" s="89"/>
      <c r="AC187" s="88" t="str">
        <f t="shared" si="33"/>
        <v>NA</v>
      </c>
      <c r="AD187" s="88" t="str">
        <f t="shared" si="34"/>
        <v>NA</v>
      </c>
      <c r="AE187" s="111"/>
      <c r="AF187" s="112"/>
      <c r="AG187" s="113"/>
      <c r="AH187" s="112"/>
      <c r="AI187" s="31"/>
      <c r="AJ187" s="294"/>
      <c r="AK187" s="89"/>
      <c r="AL187" s="88" t="str">
        <f t="shared" si="31"/>
        <v>NA</v>
      </c>
      <c r="AM187" s="88" t="str">
        <f t="shared" si="32"/>
        <v>NA</v>
      </c>
      <c r="AN187" s="111"/>
      <c r="AO187" s="112"/>
      <c r="AP187" s="113"/>
      <c r="AQ187" s="112"/>
      <c r="AR187" s="31"/>
      <c r="AS187" s="32"/>
      <c r="AT187" s="90"/>
      <c r="AU187" s="88"/>
      <c r="AV187" s="88"/>
      <c r="AW187" s="111"/>
      <c r="AX187" s="112"/>
      <c r="AY187" s="113"/>
      <c r="AZ187" s="112"/>
      <c r="BA187" s="31"/>
      <c r="BB187" s="32"/>
      <c r="BC187" s="90"/>
      <c r="BD187" s="88"/>
      <c r="BE187" s="88"/>
      <c r="BF187" s="111"/>
      <c r="BG187" s="112"/>
      <c r="BH187" s="113"/>
      <c r="BI187" s="112"/>
      <c r="BJ187" s="31"/>
      <c r="BK187" s="32"/>
      <c r="BL187" s="90"/>
      <c r="BM187" s="88"/>
      <c r="BN187" s="88"/>
      <c r="BO187" s="111"/>
      <c r="BP187" s="112"/>
      <c r="BQ187" s="113"/>
      <c r="BR187" s="112"/>
      <c r="BS187" s="31"/>
      <c r="BT187" s="32"/>
      <c r="BU187" s="90"/>
      <c r="BV187" s="88"/>
      <c r="BW187" s="88"/>
      <c r="BX187" s="111"/>
      <c r="BY187" s="112"/>
      <c r="BZ187" s="113"/>
      <c r="CA187" s="112"/>
      <c r="CB187" s="31"/>
      <c r="CC187" s="32"/>
      <c r="CD187" s="90"/>
      <c r="CE187" s="88"/>
      <c r="CF187" s="88"/>
      <c r="CG187" s="111"/>
      <c r="CH187" s="112"/>
      <c r="CI187" s="113"/>
      <c r="CJ187" s="112"/>
      <c r="CK187" s="31"/>
      <c r="CL187" s="32"/>
      <c r="CM187" s="90"/>
      <c r="CN187" s="88"/>
      <c r="CO187" s="88"/>
      <c r="CP187" s="111"/>
      <c r="CQ187" s="112"/>
      <c r="CR187" s="113"/>
      <c r="CS187" s="112"/>
      <c r="CT187" s="55"/>
      <c r="CV187" s="230" t="s">
        <v>145</v>
      </c>
      <c r="CX187" s="226" t="s">
        <v>1425</v>
      </c>
      <c r="CY187" s="226" t="s">
        <v>541</v>
      </c>
      <c r="CZ187" s="226" t="s">
        <v>541</v>
      </c>
      <c r="DA187" s="226" t="s">
        <v>541</v>
      </c>
      <c r="DB187" s="14"/>
      <c r="DC187" s="226" t="s">
        <v>1430</v>
      </c>
      <c r="DD187" s="226" t="s">
        <v>541</v>
      </c>
      <c r="DE187" s="226" t="s">
        <v>541</v>
      </c>
      <c r="DF187" s="226" t="s">
        <v>541</v>
      </c>
      <c r="DG187" s="226" t="s">
        <v>1463</v>
      </c>
      <c r="DH187" s="14"/>
    </row>
    <row r="188" spans="1:112" ht="12.75" customHeight="1" x14ac:dyDescent="0.25">
      <c r="A188" s="17" t="s">
        <v>476</v>
      </c>
      <c r="B188" s="17" t="s">
        <v>541</v>
      </c>
      <c r="C188" s="17" t="s">
        <v>142</v>
      </c>
      <c r="D188" s="17" t="s">
        <v>143</v>
      </c>
      <c r="E188" s="17" t="b">
        <f t="shared" si="28"/>
        <v>1</v>
      </c>
      <c r="F188" s="127" t="s">
        <v>476</v>
      </c>
      <c r="G188" s="248" t="s">
        <v>541</v>
      </c>
      <c r="H188" s="128" t="s">
        <v>142</v>
      </c>
      <c r="I188" s="128" t="s">
        <v>143</v>
      </c>
      <c r="J188" s="31"/>
      <c r="K188" s="102" t="s">
        <v>354</v>
      </c>
      <c r="L188" s="90"/>
      <c r="M188" s="111"/>
      <c r="N188" s="112"/>
      <c r="O188" s="113"/>
      <c r="P188" s="112"/>
      <c r="Q188" s="31"/>
      <c r="R188" s="102"/>
      <c r="S188" s="90"/>
      <c r="T188" s="88" t="str">
        <f t="shared" si="26"/>
        <v>NA</v>
      </c>
      <c r="U188" s="88" t="str">
        <f t="shared" si="27"/>
        <v>NA</v>
      </c>
      <c r="V188" s="111"/>
      <c r="W188" s="112"/>
      <c r="X188" s="113"/>
      <c r="Y188" s="112"/>
      <c r="Z188" s="31"/>
      <c r="AA188" s="296"/>
      <c r="AB188" s="89"/>
      <c r="AC188" s="88" t="str">
        <f t="shared" si="33"/>
        <v>NA</v>
      </c>
      <c r="AD188" s="88" t="str">
        <f t="shared" si="34"/>
        <v>NA</v>
      </c>
      <c r="AE188" s="111"/>
      <c r="AF188" s="112"/>
      <c r="AG188" s="113"/>
      <c r="AH188" s="112"/>
      <c r="AI188" s="31"/>
      <c r="AJ188" s="294"/>
      <c r="AK188" s="89"/>
      <c r="AL188" s="88" t="str">
        <f t="shared" si="31"/>
        <v>NA</v>
      </c>
      <c r="AM188" s="88" t="str">
        <f t="shared" si="32"/>
        <v>NA</v>
      </c>
      <c r="AN188" s="111"/>
      <c r="AO188" s="112"/>
      <c r="AP188" s="113"/>
      <c r="AQ188" s="112"/>
      <c r="AR188" s="31"/>
      <c r="AS188" s="32"/>
      <c r="AT188" s="90"/>
      <c r="AU188" s="88"/>
      <c r="AV188" s="88"/>
      <c r="AW188" s="111"/>
      <c r="AX188" s="112"/>
      <c r="AY188" s="113"/>
      <c r="AZ188" s="112"/>
      <c r="BA188" s="31"/>
      <c r="BB188" s="32"/>
      <c r="BC188" s="90"/>
      <c r="BD188" s="88"/>
      <c r="BE188" s="88"/>
      <c r="BF188" s="111"/>
      <c r="BG188" s="112"/>
      <c r="BH188" s="113"/>
      <c r="BI188" s="112"/>
      <c r="BJ188" s="31"/>
      <c r="BK188" s="32"/>
      <c r="BL188" s="90"/>
      <c r="BM188" s="88"/>
      <c r="BN188" s="88"/>
      <c r="BO188" s="111"/>
      <c r="BP188" s="112"/>
      <c r="BQ188" s="113"/>
      <c r="BR188" s="112"/>
      <c r="BS188" s="31"/>
      <c r="BT188" s="32"/>
      <c r="BU188" s="90"/>
      <c r="BV188" s="88"/>
      <c r="BW188" s="88"/>
      <c r="BX188" s="111"/>
      <c r="BY188" s="112"/>
      <c r="BZ188" s="113"/>
      <c r="CA188" s="112"/>
      <c r="CB188" s="31"/>
      <c r="CC188" s="32"/>
      <c r="CD188" s="90"/>
      <c r="CE188" s="88"/>
      <c r="CF188" s="88"/>
      <c r="CG188" s="111"/>
      <c r="CH188" s="112"/>
      <c r="CI188" s="113"/>
      <c r="CJ188" s="112"/>
      <c r="CK188" s="31"/>
      <c r="CL188" s="32"/>
      <c r="CM188" s="90"/>
      <c r="CN188" s="88"/>
      <c r="CO188" s="88"/>
      <c r="CP188" s="111"/>
      <c r="CQ188" s="112"/>
      <c r="CR188" s="113"/>
      <c r="CS188" s="112"/>
      <c r="CT188" s="55"/>
      <c r="CV188" s="230" t="s">
        <v>143</v>
      </c>
      <c r="CX188" s="226" t="s">
        <v>1424</v>
      </c>
      <c r="CY188" s="226" t="s">
        <v>541</v>
      </c>
      <c r="CZ188" s="226" t="s">
        <v>541</v>
      </c>
      <c r="DA188" s="226" t="s">
        <v>541</v>
      </c>
      <c r="DB188" s="226"/>
      <c r="DC188" s="226" t="s">
        <v>541</v>
      </c>
      <c r="DD188" s="226" t="s">
        <v>541</v>
      </c>
      <c r="DE188" s="226" t="s">
        <v>541</v>
      </c>
      <c r="DF188" s="226" t="s">
        <v>541</v>
      </c>
      <c r="DG188" s="226" t="s">
        <v>541</v>
      </c>
      <c r="DH188" s="14"/>
    </row>
    <row r="189" spans="1:112" ht="26" x14ac:dyDescent="0.25">
      <c r="A189" s="17" t="s">
        <v>477</v>
      </c>
      <c r="B189" s="17" t="s">
        <v>541</v>
      </c>
      <c r="C189" s="17" t="s">
        <v>140</v>
      </c>
      <c r="D189" s="17" t="s">
        <v>141</v>
      </c>
      <c r="E189" s="17" t="b">
        <f t="shared" si="28"/>
        <v>1</v>
      </c>
      <c r="F189" s="127" t="s">
        <v>477</v>
      </c>
      <c r="G189" s="248" t="s">
        <v>541</v>
      </c>
      <c r="H189" s="128" t="s">
        <v>140</v>
      </c>
      <c r="I189" s="128" t="s">
        <v>141</v>
      </c>
      <c r="J189" s="31"/>
      <c r="K189" s="102" t="s">
        <v>354</v>
      </c>
      <c r="L189" s="90" t="s">
        <v>31</v>
      </c>
      <c r="M189" s="111" t="s">
        <v>2470</v>
      </c>
      <c r="N189" s="112"/>
      <c r="O189" s="113"/>
      <c r="P189" s="112"/>
      <c r="Q189" s="31"/>
      <c r="R189" s="102"/>
      <c r="S189" s="90"/>
      <c r="T189" s="88" t="str">
        <f t="shared" ref="T189:T252" si="35">IF(LEFT(S189,1)&lt;&gt;"x","NA",IF(RIGHT(R189,3)=RIGHT(K189,3),IF(RIGHT(R189,3)&lt;&gt;RIGHT(K189,3),IF(OR(AND(RIGHT(R189,3)=RIGHT(K189,3),S189=L189)),"NO","YES"),"NO"),IF(OR(RIGHT(R189,3)=RIGHT(K189,3)),"ERROR","YES")))</f>
        <v>NA</v>
      </c>
      <c r="U189" s="88" t="str">
        <f t="shared" ref="U189:U252" si="36">IF(LEFT(L189,1)&lt;&gt;LEFT(S189,1),"YES",IF(LEFT(S189,1)="x","NO","NA"))</f>
        <v>YES</v>
      </c>
      <c r="V189" s="111"/>
      <c r="W189" s="112"/>
      <c r="X189" s="113"/>
      <c r="Y189" s="112"/>
      <c r="Z189" s="31"/>
      <c r="AA189" s="296"/>
      <c r="AB189" s="89"/>
      <c r="AC189" s="88" t="str">
        <f t="shared" si="33"/>
        <v>NA</v>
      </c>
      <c r="AD189" s="88" t="str">
        <f t="shared" si="34"/>
        <v>NA</v>
      </c>
      <c r="AE189" s="111"/>
      <c r="AF189" s="112"/>
      <c r="AG189" s="113"/>
      <c r="AH189" s="112"/>
      <c r="AI189" s="31"/>
      <c r="AJ189" s="294"/>
      <c r="AK189" s="89"/>
      <c r="AL189" s="88" t="str">
        <f t="shared" si="31"/>
        <v>NA</v>
      </c>
      <c r="AM189" s="88" t="str">
        <f t="shared" si="32"/>
        <v>NA</v>
      </c>
      <c r="AN189" s="111"/>
      <c r="AO189" s="112"/>
      <c r="AP189" s="113"/>
      <c r="AQ189" s="112"/>
      <c r="AR189" s="31"/>
      <c r="AS189" s="32"/>
      <c r="AT189" s="90"/>
      <c r="AU189" s="88"/>
      <c r="AV189" s="88"/>
      <c r="AW189" s="111"/>
      <c r="AX189" s="112"/>
      <c r="AY189" s="113"/>
      <c r="AZ189" s="112"/>
      <c r="BA189" s="31"/>
      <c r="BB189" s="32"/>
      <c r="BC189" s="90"/>
      <c r="BD189" s="88"/>
      <c r="BE189" s="88"/>
      <c r="BF189" s="111"/>
      <c r="BG189" s="112"/>
      <c r="BH189" s="113"/>
      <c r="BI189" s="112"/>
      <c r="BJ189" s="31"/>
      <c r="BK189" s="32"/>
      <c r="BL189" s="90"/>
      <c r="BM189" s="88"/>
      <c r="BN189" s="88"/>
      <c r="BO189" s="111"/>
      <c r="BP189" s="112"/>
      <c r="BQ189" s="113"/>
      <c r="BR189" s="112"/>
      <c r="BS189" s="31"/>
      <c r="BT189" s="32"/>
      <c r="BU189" s="90"/>
      <c r="BV189" s="88"/>
      <c r="BW189" s="88"/>
      <c r="BX189" s="111"/>
      <c r="BY189" s="112"/>
      <c r="BZ189" s="113"/>
      <c r="CA189" s="112"/>
      <c r="CB189" s="31"/>
      <c r="CC189" s="32"/>
      <c r="CD189" s="90"/>
      <c r="CE189" s="88"/>
      <c r="CF189" s="88"/>
      <c r="CG189" s="111"/>
      <c r="CH189" s="112"/>
      <c r="CI189" s="113"/>
      <c r="CJ189" s="112"/>
      <c r="CK189" s="31"/>
      <c r="CL189" s="32"/>
      <c r="CM189" s="90"/>
      <c r="CN189" s="88"/>
      <c r="CO189" s="88"/>
      <c r="CP189" s="111"/>
      <c r="CQ189" s="112"/>
      <c r="CR189" s="113"/>
      <c r="CS189" s="112"/>
      <c r="CT189" s="55"/>
      <c r="CV189" s="230" t="s">
        <v>141</v>
      </c>
      <c r="CX189" s="226" t="s">
        <v>1425</v>
      </c>
      <c r="CY189" s="226" t="s">
        <v>541</v>
      </c>
      <c r="CZ189" s="226" t="s">
        <v>541</v>
      </c>
      <c r="DA189" s="226" t="s">
        <v>541</v>
      </c>
      <c r="DB189" s="14"/>
      <c r="DC189" s="226" t="s">
        <v>541</v>
      </c>
      <c r="DD189" s="226" t="s">
        <v>541</v>
      </c>
      <c r="DE189" s="226" t="s">
        <v>541</v>
      </c>
      <c r="DF189" s="226" t="s">
        <v>541</v>
      </c>
      <c r="DG189" s="226" t="s">
        <v>541</v>
      </c>
      <c r="DH189" s="14"/>
    </row>
    <row r="190" spans="1:112" ht="26" x14ac:dyDescent="0.25">
      <c r="A190" s="17" t="s">
        <v>478</v>
      </c>
      <c r="B190" s="17" t="s">
        <v>541</v>
      </c>
      <c r="C190" s="17" t="s">
        <v>138</v>
      </c>
      <c r="D190" s="17" t="s">
        <v>139</v>
      </c>
      <c r="E190" s="17" t="b">
        <f t="shared" si="28"/>
        <v>1</v>
      </c>
      <c r="F190" s="127" t="s">
        <v>478</v>
      </c>
      <c r="G190" s="248" t="s">
        <v>541</v>
      </c>
      <c r="H190" s="128" t="s">
        <v>138</v>
      </c>
      <c r="I190" s="128" t="s">
        <v>139</v>
      </c>
      <c r="J190" s="31"/>
      <c r="K190" s="102" t="s">
        <v>354</v>
      </c>
      <c r="L190" s="90" t="s">
        <v>31</v>
      </c>
      <c r="M190" s="111" t="s">
        <v>2470</v>
      </c>
      <c r="N190" s="112"/>
      <c r="O190" s="113"/>
      <c r="P190" s="112"/>
      <c r="Q190" s="31"/>
      <c r="R190" s="102"/>
      <c r="S190" s="90"/>
      <c r="T190" s="88" t="str">
        <f t="shared" si="35"/>
        <v>NA</v>
      </c>
      <c r="U190" s="88" t="str">
        <f t="shared" si="36"/>
        <v>YES</v>
      </c>
      <c r="V190" s="111"/>
      <c r="W190" s="112"/>
      <c r="X190" s="113"/>
      <c r="Y190" s="112"/>
      <c r="Z190" s="31"/>
      <c r="AA190" s="296"/>
      <c r="AB190" s="89"/>
      <c r="AC190" s="88" t="str">
        <f t="shared" si="33"/>
        <v>NA</v>
      </c>
      <c r="AD190" s="88" t="str">
        <f t="shared" si="34"/>
        <v>NA</v>
      </c>
      <c r="AE190" s="111"/>
      <c r="AF190" s="112"/>
      <c r="AG190" s="113"/>
      <c r="AH190" s="112"/>
      <c r="AI190" s="31"/>
      <c r="AJ190" s="294"/>
      <c r="AK190" s="89"/>
      <c r="AL190" s="88" t="str">
        <f t="shared" si="31"/>
        <v>NA</v>
      </c>
      <c r="AM190" s="88" t="str">
        <f t="shared" si="32"/>
        <v>NA</v>
      </c>
      <c r="AN190" s="111"/>
      <c r="AO190" s="112"/>
      <c r="AP190" s="113"/>
      <c r="AQ190" s="112"/>
      <c r="AR190" s="31"/>
      <c r="AS190" s="32"/>
      <c r="AT190" s="90"/>
      <c r="AU190" s="88"/>
      <c r="AV190" s="88"/>
      <c r="AW190" s="111"/>
      <c r="AX190" s="112"/>
      <c r="AY190" s="113"/>
      <c r="AZ190" s="112"/>
      <c r="BA190" s="31"/>
      <c r="BB190" s="32"/>
      <c r="BC190" s="90"/>
      <c r="BD190" s="88"/>
      <c r="BE190" s="88"/>
      <c r="BF190" s="111"/>
      <c r="BG190" s="112"/>
      <c r="BH190" s="113"/>
      <c r="BI190" s="112"/>
      <c r="BJ190" s="31"/>
      <c r="BK190" s="32"/>
      <c r="BL190" s="90"/>
      <c r="BM190" s="88"/>
      <c r="BN190" s="88"/>
      <c r="BO190" s="111"/>
      <c r="BP190" s="112"/>
      <c r="BQ190" s="113"/>
      <c r="BR190" s="112"/>
      <c r="BS190" s="31"/>
      <c r="BT190" s="32"/>
      <c r="BU190" s="90"/>
      <c r="BV190" s="88"/>
      <c r="BW190" s="88"/>
      <c r="BX190" s="111"/>
      <c r="BY190" s="112"/>
      <c r="BZ190" s="113"/>
      <c r="CA190" s="112"/>
      <c r="CB190" s="31"/>
      <c r="CC190" s="32"/>
      <c r="CD190" s="90"/>
      <c r="CE190" s="88"/>
      <c r="CF190" s="88"/>
      <c r="CG190" s="111"/>
      <c r="CH190" s="112"/>
      <c r="CI190" s="113"/>
      <c r="CJ190" s="112"/>
      <c r="CK190" s="31"/>
      <c r="CL190" s="32"/>
      <c r="CM190" s="90"/>
      <c r="CN190" s="88"/>
      <c r="CO190" s="88"/>
      <c r="CP190" s="111"/>
      <c r="CQ190" s="112"/>
      <c r="CR190" s="113"/>
      <c r="CS190" s="112"/>
      <c r="CT190" s="55"/>
      <c r="CV190" s="230" t="s">
        <v>139</v>
      </c>
      <c r="CX190" s="226" t="s">
        <v>541</v>
      </c>
      <c r="CY190" s="226" t="s">
        <v>541</v>
      </c>
      <c r="CZ190" s="226" t="s">
        <v>541</v>
      </c>
      <c r="DA190" s="226" t="s">
        <v>541</v>
      </c>
      <c r="DB190" s="226"/>
      <c r="DC190" s="226" t="s">
        <v>541</v>
      </c>
      <c r="DD190" s="226" t="s">
        <v>541</v>
      </c>
      <c r="DE190" s="226" t="s">
        <v>541</v>
      </c>
      <c r="DF190" s="226" t="s">
        <v>541</v>
      </c>
      <c r="DG190" s="226" t="s">
        <v>541</v>
      </c>
      <c r="DH190" s="14"/>
    </row>
    <row r="191" spans="1:112" ht="26" x14ac:dyDescent="0.25">
      <c r="A191" s="17" t="s">
        <v>479</v>
      </c>
      <c r="B191" s="17" t="s">
        <v>541</v>
      </c>
      <c r="C191" s="17" t="s">
        <v>136</v>
      </c>
      <c r="D191" s="17" t="s">
        <v>137</v>
      </c>
      <c r="E191" s="17" t="b">
        <f t="shared" si="28"/>
        <v>1</v>
      </c>
      <c r="F191" s="127" t="s">
        <v>479</v>
      </c>
      <c r="G191" s="248" t="s">
        <v>541</v>
      </c>
      <c r="H191" s="128" t="s">
        <v>136</v>
      </c>
      <c r="I191" s="128" t="s">
        <v>137</v>
      </c>
      <c r="J191" s="31"/>
      <c r="K191" s="102" t="s">
        <v>354</v>
      </c>
      <c r="L191" s="90" t="s">
        <v>31</v>
      </c>
      <c r="M191" s="111" t="s">
        <v>2470</v>
      </c>
      <c r="N191" s="112"/>
      <c r="O191" s="113"/>
      <c r="P191" s="112"/>
      <c r="Q191" s="31"/>
      <c r="R191" s="102"/>
      <c r="S191" s="90"/>
      <c r="T191" s="88" t="str">
        <f t="shared" si="35"/>
        <v>NA</v>
      </c>
      <c r="U191" s="88" t="str">
        <f t="shared" si="36"/>
        <v>YES</v>
      </c>
      <c r="V191" s="111"/>
      <c r="W191" s="112"/>
      <c r="X191" s="113"/>
      <c r="Y191" s="112"/>
      <c r="Z191" s="31"/>
      <c r="AA191" s="296"/>
      <c r="AB191" s="89"/>
      <c r="AC191" s="88" t="str">
        <f t="shared" si="33"/>
        <v>NA</v>
      </c>
      <c r="AD191" s="88" t="str">
        <f t="shared" si="34"/>
        <v>NA</v>
      </c>
      <c r="AE191" s="111"/>
      <c r="AF191" s="112"/>
      <c r="AG191" s="113"/>
      <c r="AH191" s="112"/>
      <c r="AI191" s="31"/>
      <c r="AJ191" s="294"/>
      <c r="AK191" s="89"/>
      <c r="AL191" s="88" t="str">
        <f t="shared" si="31"/>
        <v>NA</v>
      </c>
      <c r="AM191" s="88" t="str">
        <f t="shared" si="32"/>
        <v>NA</v>
      </c>
      <c r="AN191" s="111"/>
      <c r="AO191" s="112"/>
      <c r="AP191" s="113"/>
      <c r="AQ191" s="112"/>
      <c r="AR191" s="31"/>
      <c r="AS191" s="32"/>
      <c r="AT191" s="90"/>
      <c r="AU191" s="88"/>
      <c r="AV191" s="88"/>
      <c r="AW191" s="111"/>
      <c r="AX191" s="112"/>
      <c r="AY191" s="113"/>
      <c r="AZ191" s="112"/>
      <c r="BA191" s="31"/>
      <c r="BB191" s="32"/>
      <c r="BC191" s="90"/>
      <c r="BD191" s="88"/>
      <c r="BE191" s="88"/>
      <c r="BF191" s="111"/>
      <c r="BG191" s="112"/>
      <c r="BH191" s="113"/>
      <c r="BI191" s="112"/>
      <c r="BJ191" s="31"/>
      <c r="BK191" s="32"/>
      <c r="BL191" s="90"/>
      <c r="BM191" s="88"/>
      <c r="BN191" s="88"/>
      <c r="BO191" s="111"/>
      <c r="BP191" s="112"/>
      <c r="BQ191" s="113"/>
      <c r="BR191" s="112"/>
      <c r="BS191" s="31"/>
      <c r="BT191" s="32"/>
      <c r="BU191" s="90"/>
      <c r="BV191" s="88"/>
      <c r="BW191" s="88"/>
      <c r="BX191" s="111"/>
      <c r="BY191" s="112"/>
      <c r="BZ191" s="113"/>
      <c r="CA191" s="112"/>
      <c r="CB191" s="31"/>
      <c r="CC191" s="32"/>
      <c r="CD191" s="90"/>
      <c r="CE191" s="88"/>
      <c r="CF191" s="88"/>
      <c r="CG191" s="111"/>
      <c r="CH191" s="112"/>
      <c r="CI191" s="113"/>
      <c r="CJ191" s="112"/>
      <c r="CK191" s="31"/>
      <c r="CL191" s="32"/>
      <c r="CM191" s="90"/>
      <c r="CN191" s="88"/>
      <c r="CO191" s="88"/>
      <c r="CP191" s="111"/>
      <c r="CQ191" s="112"/>
      <c r="CR191" s="113"/>
      <c r="CS191" s="112"/>
      <c r="CT191" s="55"/>
      <c r="CV191" s="230" t="s">
        <v>137</v>
      </c>
      <c r="CX191" s="226" t="s">
        <v>541</v>
      </c>
      <c r="CY191" s="226" t="s">
        <v>541</v>
      </c>
      <c r="CZ191" s="226" t="s">
        <v>541</v>
      </c>
      <c r="DA191" s="226" t="s">
        <v>541</v>
      </c>
      <c r="DB191" s="226"/>
      <c r="DC191" s="226" t="s">
        <v>1427</v>
      </c>
      <c r="DD191" s="226" t="s">
        <v>541</v>
      </c>
      <c r="DE191" s="226" t="s">
        <v>541</v>
      </c>
      <c r="DF191" s="226" t="s">
        <v>541</v>
      </c>
      <c r="DG191" s="226" t="s">
        <v>541</v>
      </c>
      <c r="DH191" s="14"/>
    </row>
    <row r="192" spans="1:112" ht="104" x14ac:dyDescent="0.25">
      <c r="A192" s="17" t="s">
        <v>480</v>
      </c>
      <c r="B192" s="17" t="s">
        <v>541</v>
      </c>
      <c r="C192" s="17" t="s">
        <v>30</v>
      </c>
      <c r="D192" s="17" t="s">
        <v>674</v>
      </c>
      <c r="E192" s="17" t="b">
        <f t="shared" si="28"/>
        <v>1</v>
      </c>
      <c r="F192" s="127" t="s">
        <v>480</v>
      </c>
      <c r="G192" s="248" t="s">
        <v>541</v>
      </c>
      <c r="H192" s="128" t="s">
        <v>30</v>
      </c>
      <c r="I192" s="128" t="s">
        <v>674</v>
      </c>
      <c r="J192" s="31"/>
      <c r="K192" s="102" t="s">
        <v>583</v>
      </c>
      <c r="L192" s="90" t="s">
        <v>31</v>
      </c>
      <c r="M192" s="111" t="s">
        <v>2470</v>
      </c>
      <c r="N192" s="112"/>
      <c r="O192" s="113"/>
      <c r="P192" s="112"/>
      <c r="Q192" s="31"/>
      <c r="R192" s="102"/>
      <c r="S192" s="90"/>
      <c r="T192" s="88" t="str">
        <f t="shared" si="35"/>
        <v>NA</v>
      </c>
      <c r="U192" s="88" t="str">
        <f t="shared" si="36"/>
        <v>YES</v>
      </c>
      <c r="V192" s="111"/>
      <c r="W192" s="112"/>
      <c r="X192" s="113"/>
      <c r="Y192" s="112"/>
      <c r="Z192" s="31"/>
      <c r="AA192" s="296"/>
      <c r="AB192" s="89"/>
      <c r="AC192" s="88" t="str">
        <f t="shared" si="33"/>
        <v>NA</v>
      </c>
      <c r="AD192" s="88" t="str">
        <f t="shared" si="34"/>
        <v>NA</v>
      </c>
      <c r="AE192" s="111"/>
      <c r="AF192" s="112"/>
      <c r="AG192" s="113"/>
      <c r="AH192" s="112"/>
      <c r="AI192" s="31"/>
      <c r="AJ192" s="294"/>
      <c r="AK192" s="89"/>
      <c r="AL192" s="88" t="str">
        <f t="shared" si="31"/>
        <v>NA</v>
      </c>
      <c r="AM192" s="88" t="str">
        <f t="shared" si="32"/>
        <v>NA</v>
      </c>
      <c r="AN192" s="111"/>
      <c r="AO192" s="112"/>
      <c r="AP192" s="113"/>
      <c r="AQ192" s="112"/>
      <c r="AR192" s="31"/>
      <c r="AS192" s="32"/>
      <c r="AT192" s="90"/>
      <c r="AU192" s="88"/>
      <c r="AV192" s="88"/>
      <c r="AW192" s="111"/>
      <c r="AX192" s="112"/>
      <c r="AY192" s="113"/>
      <c r="AZ192" s="112"/>
      <c r="BA192" s="31"/>
      <c r="BB192" s="32"/>
      <c r="BC192" s="90"/>
      <c r="BD192" s="88"/>
      <c r="BE192" s="88"/>
      <c r="BF192" s="111"/>
      <c r="BG192" s="112"/>
      <c r="BH192" s="113"/>
      <c r="BI192" s="112"/>
      <c r="BJ192" s="31"/>
      <c r="BK192" s="32"/>
      <c r="BL192" s="90"/>
      <c r="BM192" s="88"/>
      <c r="BN192" s="88"/>
      <c r="BO192" s="111"/>
      <c r="BP192" s="112"/>
      <c r="BQ192" s="113"/>
      <c r="BR192" s="112"/>
      <c r="BS192" s="31"/>
      <c r="BT192" s="32"/>
      <c r="BU192" s="90"/>
      <c r="BV192" s="88"/>
      <c r="BW192" s="88"/>
      <c r="BX192" s="111"/>
      <c r="BY192" s="112"/>
      <c r="BZ192" s="113"/>
      <c r="CA192" s="112"/>
      <c r="CB192" s="31"/>
      <c r="CC192" s="32"/>
      <c r="CD192" s="90"/>
      <c r="CE192" s="88"/>
      <c r="CF192" s="88"/>
      <c r="CG192" s="111"/>
      <c r="CH192" s="112"/>
      <c r="CI192" s="113"/>
      <c r="CJ192" s="112"/>
      <c r="CK192" s="31"/>
      <c r="CL192" s="32"/>
      <c r="CM192" s="90"/>
      <c r="CN192" s="88"/>
      <c r="CO192" s="88"/>
      <c r="CP192" s="111"/>
      <c r="CQ192" s="112"/>
      <c r="CR192" s="113"/>
      <c r="CS192" s="112"/>
      <c r="CT192" s="55"/>
      <c r="CV192" s="230" t="s">
        <v>674</v>
      </c>
      <c r="CX192" s="226" t="s">
        <v>541</v>
      </c>
      <c r="CY192" s="226" t="s">
        <v>541</v>
      </c>
      <c r="CZ192" s="226" t="s">
        <v>541</v>
      </c>
      <c r="DA192" s="226" t="s">
        <v>541</v>
      </c>
      <c r="DB192" s="226"/>
      <c r="DC192" s="226" t="s">
        <v>541</v>
      </c>
      <c r="DD192" s="226" t="s">
        <v>541</v>
      </c>
      <c r="DE192" s="226" t="s">
        <v>541</v>
      </c>
      <c r="DF192" s="226" t="s">
        <v>541</v>
      </c>
      <c r="DG192" s="226" t="s">
        <v>541</v>
      </c>
      <c r="DH192" s="14"/>
    </row>
    <row r="193" spans="1:112" ht="13" x14ac:dyDescent="0.25">
      <c r="A193" s="17" t="s">
        <v>481</v>
      </c>
      <c r="B193" s="17" t="s">
        <v>541</v>
      </c>
      <c r="C193" s="17" t="s">
        <v>134</v>
      </c>
      <c r="D193" s="17" t="s">
        <v>135</v>
      </c>
      <c r="E193" s="17" t="b">
        <f t="shared" si="28"/>
        <v>1</v>
      </c>
      <c r="F193" s="127" t="s">
        <v>481</v>
      </c>
      <c r="G193" s="248" t="s">
        <v>541</v>
      </c>
      <c r="H193" s="128" t="s">
        <v>134</v>
      </c>
      <c r="I193" s="128" t="s">
        <v>135</v>
      </c>
      <c r="J193" s="31"/>
      <c r="K193" s="102" t="s">
        <v>354</v>
      </c>
      <c r="L193" s="90"/>
      <c r="M193" s="111"/>
      <c r="N193" s="112"/>
      <c r="O193" s="113"/>
      <c r="P193" s="112"/>
      <c r="Q193" s="31"/>
      <c r="R193" s="102"/>
      <c r="S193" s="90"/>
      <c r="T193" s="88" t="str">
        <f t="shared" si="35"/>
        <v>NA</v>
      </c>
      <c r="U193" s="88" t="str">
        <f t="shared" si="36"/>
        <v>NA</v>
      </c>
      <c r="V193" s="111"/>
      <c r="W193" s="112"/>
      <c r="X193" s="113"/>
      <c r="Y193" s="112"/>
      <c r="Z193" s="31"/>
      <c r="AA193" s="296"/>
      <c r="AB193" s="89"/>
      <c r="AC193" s="88" t="str">
        <f t="shared" si="33"/>
        <v>NA</v>
      </c>
      <c r="AD193" s="88" t="str">
        <f t="shared" si="34"/>
        <v>NA</v>
      </c>
      <c r="AE193" s="111"/>
      <c r="AF193" s="112"/>
      <c r="AG193" s="113"/>
      <c r="AH193" s="112"/>
      <c r="AI193" s="31"/>
      <c r="AJ193" s="294"/>
      <c r="AK193" s="89"/>
      <c r="AL193" s="88" t="str">
        <f t="shared" si="31"/>
        <v>NA</v>
      </c>
      <c r="AM193" s="88" t="str">
        <f t="shared" si="32"/>
        <v>NA</v>
      </c>
      <c r="AN193" s="111"/>
      <c r="AO193" s="112"/>
      <c r="AP193" s="113"/>
      <c r="AQ193" s="112"/>
      <c r="AR193" s="31"/>
      <c r="AS193" s="32"/>
      <c r="AT193" s="90"/>
      <c r="AU193" s="88"/>
      <c r="AV193" s="88"/>
      <c r="AW193" s="111"/>
      <c r="AX193" s="112"/>
      <c r="AY193" s="113"/>
      <c r="AZ193" s="112"/>
      <c r="BA193" s="31"/>
      <c r="BB193" s="32"/>
      <c r="BC193" s="90"/>
      <c r="BD193" s="88"/>
      <c r="BE193" s="88"/>
      <c r="BF193" s="111"/>
      <c r="BG193" s="112"/>
      <c r="BH193" s="113"/>
      <c r="BI193" s="112"/>
      <c r="BJ193" s="31"/>
      <c r="BK193" s="32"/>
      <c r="BL193" s="90"/>
      <c r="BM193" s="88"/>
      <c r="BN193" s="88"/>
      <c r="BO193" s="111"/>
      <c r="BP193" s="112"/>
      <c r="BQ193" s="113"/>
      <c r="BR193" s="112"/>
      <c r="BS193" s="31"/>
      <c r="BT193" s="32"/>
      <c r="BU193" s="90"/>
      <c r="BV193" s="88"/>
      <c r="BW193" s="88"/>
      <c r="BX193" s="111"/>
      <c r="BY193" s="112"/>
      <c r="BZ193" s="113"/>
      <c r="CA193" s="112"/>
      <c r="CB193" s="31"/>
      <c r="CC193" s="32"/>
      <c r="CD193" s="90"/>
      <c r="CE193" s="88"/>
      <c r="CF193" s="88"/>
      <c r="CG193" s="111"/>
      <c r="CH193" s="112"/>
      <c r="CI193" s="113"/>
      <c r="CJ193" s="112"/>
      <c r="CK193" s="31"/>
      <c r="CL193" s="32"/>
      <c r="CM193" s="90"/>
      <c r="CN193" s="88"/>
      <c r="CO193" s="88"/>
      <c r="CP193" s="111"/>
      <c r="CQ193" s="112"/>
      <c r="CR193" s="113"/>
      <c r="CS193" s="112"/>
      <c r="CT193" s="55"/>
      <c r="CV193" s="230" t="s">
        <v>135</v>
      </c>
      <c r="CX193" s="226" t="s">
        <v>1424</v>
      </c>
      <c r="CY193" s="226" t="s">
        <v>541</v>
      </c>
      <c r="CZ193" s="226" t="s">
        <v>541</v>
      </c>
      <c r="DA193" s="226" t="s">
        <v>541</v>
      </c>
      <c r="DB193" s="226"/>
      <c r="DC193" s="226" t="s">
        <v>541</v>
      </c>
      <c r="DD193" s="226" t="s">
        <v>541</v>
      </c>
      <c r="DE193" s="226" t="s">
        <v>541</v>
      </c>
      <c r="DF193" s="226" t="s">
        <v>541</v>
      </c>
      <c r="DG193" s="226" t="s">
        <v>541</v>
      </c>
      <c r="DH193" s="14"/>
    </row>
    <row r="194" spans="1:112" ht="13" x14ac:dyDescent="0.25">
      <c r="A194" s="17" t="s">
        <v>482</v>
      </c>
      <c r="B194" s="17" t="s">
        <v>541</v>
      </c>
      <c r="C194" s="17" t="s">
        <v>132</v>
      </c>
      <c r="D194" s="17" t="s">
        <v>133</v>
      </c>
      <c r="E194" s="17" t="b">
        <f t="shared" si="28"/>
        <v>1</v>
      </c>
      <c r="F194" s="127" t="s">
        <v>482</v>
      </c>
      <c r="G194" s="248" t="s">
        <v>541</v>
      </c>
      <c r="H194" s="128" t="s">
        <v>132</v>
      </c>
      <c r="I194" s="128" t="s">
        <v>133</v>
      </c>
      <c r="J194" s="31"/>
      <c r="K194" s="102" t="s">
        <v>354</v>
      </c>
      <c r="L194" s="90"/>
      <c r="M194" s="111"/>
      <c r="N194" s="112"/>
      <c r="O194" s="113"/>
      <c r="P194" s="112"/>
      <c r="Q194" s="31"/>
      <c r="R194" s="102"/>
      <c r="S194" s="90"/>
      <c r="T194" s="88" t="str">
        <f t="shared" si="35"/>
        <v>NA</v>
      </c>
      <c r="U194" s="88" t="str">
        <f t="shared" si="36"/>
        <v>NA</v>
      </c>
      <c r="V194" s="111"/>
      <c r="W194" s="112"/>
      <c r="X194" s="113"/>
      <c r="Y194" s="112"/>
      <c r="Z194" s="31"/>
      <c r="AA194" s="296"/>
      <c r="AB194" s="89"/>
      <c r="AC194" s="88" t="str">
        <f t="shared" si="33"/>
        <v>NA</v>
      </c>
      <c r="AD194" s="88" t="str">
        <f t="shared" si="34"/>
        <v>NA</v>
      </c>
      <c r="AE194" s="111"/>
      <c r="AF194" s="112"/>
      <c r="AG194" s="113"/>
      <c r="AH194" s="112"/>
      <c r="AI194" s="31"/>
      <c r="AJ194" s="294"/>
      <c r="AK194" s="89"/>
      <c r="AL194" s="88" t="str">
        <f t="shared" si="31"/>
        <v>NA</v>
      </c>
      <c r="AM194" s="88" t="str">
        <f t="shared" si="32"/>
        <v>NA</v>
      </c>
      <c r="AN194" s="111"/>
      <c r="AO194" s="112"/>
      <c r="AP194" s="113"/>
      <c r="AQ194" s="112"/>
      <c r="AR194" s="31"/>
      <c r="AS194" s="32"/>
      <c r="AT194" s="90"/>
      <c r="AU194" s="88"/>
      <c r="AV194" s="88"/>
      <c r="AW194" s="111"/>
      <c r="AX194" s="112"/>
      <c r="AY194" s="113"/>
      <c r="AZ194" s="112"/>
      <c r="BA194" s="31"/>
      <c r="BB194" s="32"/>
      <c r="BC194" s="90"/>
      <c r="BD194" s="88"/>
      <c r="BE194" s="88"/>
      <c r="BF194" s="111"/>
      <c r="BG194" s="112"/>
      <c r="BH194" s="113"/>
      <c r="BI194" s="112"/>
      <c r="BJ194" s="31"/>
      <c r="BK194" s="32"/>
      <c r="BL194" s="90"/>
      <c r="BM194" s="88"/>
      <c r="BN194" s="88"/>
      <c r="BO194" s="111"/>
      <c r="BP194" s="112"/>
      <c r="BQ194" s="113"/>
      <c r="BR194" s="112"/>
      <c r="BS194" s="31"/>
      <c r="BT194" s="32"/>
      <c r="BU194" s="90"/>
      <c r="BV194" s="88"/>
      <c r="BW194" s="88"/>
      <c r="BX194" s="111"/>
      <c r="BY194" s="112"/>
      <c r="BZ194" s="113"/>
      <c r="CA194" s="112"/>
      <c r="CB194" s="31"/>
      <c r="CC194" s="32"/>
      <c r="CD194" s="90"/>
      <c r="CE194" s="88"/>
      <c r="CF194" s="88"/>
      <c r="CG194" s="111"/>
      <c r="CH194" s="112"/>
      <c r="CI194" s="113"/>
      <c r="CJ194" s="112"/>
      <c r="CK194" s="31"/>
      <c r="CL194" s="32"/>
      <c r="CM194" s="90"/>
      <c r="CN194" s="88"/>
      <c r="CO194" s="88"/>
      <c r="CP194" s="111"/>
      <c r="CQ194" s="112"/>
      <c r="CR194" s="113"/>
      <c r="CS194" s="112"/>
      <c r="CT194" s="55"/>
      <c r="CV194" s="230" t="s">
        <v>133</v>
      </c>
      <c r="CX194" s="226" t="s">
        <v>1425</v>
      </c>
      <c r="CY194" s="226" t="s">
        <v>541</v>
      </c>
      <c r="CZ194" s="226" t="s">
        <v>541</v>
      </c>
      <c r="DA194" s="226" t="s">
        <v>541</v>
      </c>
      <c r="DB194" s="14"/>
      <c r="DC194" s="226" t="s">
        <v>541</v>
      </c>
      <c r="DD194" s="226" t="s">
        <v>541</v>
      </c>
      <c r="DE194" s="226" t="s">
        <v>541</v>
      </c>
      <c r="DF194" s="226" t="s">
        <v>541</v>
      </c>
      <c r="DG194" s="226" t="s">
        <v>541</v>
      </c>
      <c r="DH194" s="14"/>
    </row>
    <row r="195" spans="1:112" ht="26" x14ac:dyDescent="0.25">
      <c r="A195" s="17" t="s">
        <v>483</v>
      </c>
      <c r="B195" s="17" t="s">
        <v>541</v>
      </c>
      <c r="C195" s="17" t="s">
        <v>130</v>
      </c>
      <c r="D195" s="17" t="s">
        <v>131</v>
      </c>
      <c r="E195" s="17" t="b">
        <f t="shared" si="28"/>
        <v>1</v>
      </c>
      <c r="F195" s="127" t="s">
        <v>483</v>
      </c>
      <c r="G195" s="248" t="s">
        <v>541</v>
      </c>
      <c r="H195" s="128" t="s">
        <v>130</v>
      </c>
      <c r="I195" s="128" t="s">
        <v>131</v>
      </c>
      <c r="J195" s="31"/>
      <c r="K195" s="102" t="s">
        <v>354</v>
      </c>
      <c r="L195" s="90"/>
      <c r="M195" s="111"/>
      <c r="N195" s="112"/>
      <c r="O195" s="113"/>
      <c r="P195" s="112"/>
      <c r="Q195" s="31"/>
      <c r="R195" s="102"/>
      <c r="S195" s="90"/>
      <c r="T195" s="88" t="str">
        <f t="shared" si="35"/>
        <v>NA</v>
      </c>
      <c r="U195" s="88" t="str">
        <f t="shared" si="36"/>
        <v>NA</v>
      </c>
      <c r="V195" s="111"/>
      <c r="W195" s="112"/>
      <c r="X195" s="113"/>
      <c r="Y195" s="112"/>
      <c r="Z195" s="31"/>
      <c r="AA195" s="296"/>
      <c r="AB195" s="89"/>
      <c r="AC195" s="88" t="str">
        <f t="shared" si="33"/>
        <v>NA</v>
      </c>
      <c r="AD195" s="88" t="str">
        <f t="shared" si="34"/>
        <v>NA</v>
      </c>
      <c r="AE195" s="111"/>
      <c r="AF195" s="112"/>
      <c r="AG195" s="113"/>
      <c r="AH195" s="112"/>
      <c r="AI195" s="31"/>
      <c r="AJ195" s="294"/>
      <c r="AK195" s="89"/>
      <c r="AL195" s="88" t="str">
        <f t="shared" si="31"/>
        <v>NA</v>
      </c>
      <c r="AM195" s="88" t="str">
        <f t="shared" si="32"/>
        <v>NA</v>
      </c>
      <c r="AN195" s="111"/>
      <c r="AO195" s="112"/>
      <c r="AP195" s="113"/>
      <c r="AQ195" s="112"/>
      <c r="AR195" s="31"/>
      <c r="AS195" s="32"/>
      <c r="AT195" s="90"/>
      <c r="AU195" s="88"/>
      <c r="AV195" s="88"/>
      <c r="AW195" s="111"/>
      <c r="AX195" s="112"/>
      <c r="AY195" s="113"/>
      <c r="AZ195" s="112"/>
      <c r="BA195" s="31"/>
      <c r="BB195" s="32"/>
      <c r="BC195" s="90"/>
      <c r="BD195" s="88"/>
      <c r="BE195" s="88"/>
      <c r="BF195" s="111"/>
      <c r="BG195" s="112"/>
      <c r="BH195" s="113"/>
      <c r="BI195" s="112"/>
      <c r="BJ195" s="31"/>
      <c r="BK195" s="32"/>
      <c r="BL195" s="90"/>
      <c r="BM195" s="88"/>
      <c r="BN195" s="88"/>
      <c r="BO195" s="111"/>
      <c r="BP195" s="112"/>
      <c r="BQ195" s="113"/>
      <c r="BR195" s="112"/>
      <c r="BS195" s="31"/>
      <c r="BT195" s="32"/>
      <c r="BU195" s="90"/>
      <c r="BV195" s="88"/>
      <c r="BW195" s="88"/>
      <c r="BX195" s="111"/>
      <c r="BY195" s="112"/>
      <c r="BZ195" s="113"/>
      <c r="CA195" s="112"/>
      <c r="CB195" s="31"/>
      <c r="CC195" s="32"/>
      <c r="CD195" s="90"/>
      <c r="CE195" s="88"/>
      <c r="CF195" s="88"/>
      <c r="CG195" s="111"/>
      <c r="CH195" s="112"/>
      <c r="CI195" s="113"/>
      <c r="CJ195" s="112"/>
      <c r="CK195" s="31"/>
      <c r="CL195" s="32"/>
      <c r="CM195" s="90"/>
      <c r="CN195" s="88"/>
      <c r="CO195" s="88"/>
      <c r="CP195" s="111"/>
      <c r="CQ195" s="112"/>
      <c r="CR195" s="113"/>
      <c r="CS195" s="112"/>
      <c r="CT195" s="55"/>
      <c r="CV195" s="230" t="s">
        <v>131</v>
      </c>
      <c r="CX195" s="226" t="s">
        <v>1424</v>
      </c>
      <c r="CY195" s="226" t="s">
        <v>541</v>
      </c>
      <c r="CZ195" s="226" t="s">
        <v>541</v>
      </c>
      <c r="DA195" s="226" t="s">
        <v>541</v>
      </c>
      <c r="DB195" s="226"/>
      <c r="DC195" s="226" t="s">
        <v>541</v>
      </c>
      <c r="DD195" s="226" t="s">
        <v>541</v>
      </c>
      <c r="DE195" s="226" t="s">
        <v>541</v>
      </c>
      <c r="DF195" s="226" t="s">
        <v>541</v>
      </c>
      <c r="DG195" s="226" t="s">
        <v>541</v>
      </c>
      <c r="DH195" s="14"/>
    </row>
    <row r="196" spans="1:112" ht="26" x14ac:dyDescent="0.25">
      <c r="A196" s="17" t="s">
        <v>484</v>
      </c>
      <c r="B196" s="17" t="s">
        <v>541</v>
      </c>
      <c r="C196" s="17" t="s">
        <v>128</v>
      </c>
      <c r="D196" s="17" t="s">
        <v>129</v>
      </c>
      <c r="E196" s="17" t="b">
        <f t="shared" si="28"/>
        <v>1</v>
      </c>
      <c r="F196" s="127" t="s">
        <v>484</v>
      </c>
      <c r="G196" s="248" t="s">
        <v>541</v>
      </c>
      <c r="H196" s="128" t="s">
        <v>128</v>
      </c>
      <c r="I196" s="128" t="s">
        <v>129</v>
      </c>
      <c r="J196" s="31"/>
      <c r="K196" s="102" t="s">
        <v>354</v>
      </c>
      <c r="L196" s="90" t="s">
        <v>31</v>
      </c>
      <c r="M196" s="111" t="s">
        <v>2470</v>
      </c>
      <c r="N196" s="112"/>
      <c r="O196" s="113"/>
      <c r="P196" s="112"/>
      <c r="Q196" s="31"/>
      <c r="R196" s="102"/>
      <c r="S196" s="90"/>
      <c r="T196" s="88" t="str">
        <f t="shared" si="35"/>
        <v>NA</v>
      </c>
      <c r="U196" s="88" t="str">
        <f t="shared" si="36"/>
        <v>YES</v>
      </c>
      <c r="V196" s="111"/>
      <c r="W196" s="112"/>
      <c r="X196" s="113"/>
      <c r="Y196" s="112"/>
      <c r="Z196" s="31"/>
      <c r="AA196" s="296"/>
      <c r="AB196" s="89"/>
      <c r="AC196" s="88" t="str">
        <f t="shared" si="33"/>
        <v>NA</v>
      </c>
      <c r="AD196" s="88" t="str">
        <f t="shared" si="34"/>
        <v>NA</v>
      </c>
      <c r="AE196" s="111"/>
      <c r="AF196" s="112"/>
      <c r="AG196" s="113"/>
      <c r="AH196" s="112"/>
      <c r="AI196" s="31"/>
      <c r="AJ196" s="294"/>
      <c r="AK196" s="89"/>
      <c r="AL196" s="88" t="str">
        <f t="shared" si="31"/>
        <v>NA</v>
      </c>
      <c r="AM196" s="88" t="str">
        <f t="shared" si="32"/>
        <v>NA</v>
      </c>
      <c r="AN196" s="111"/>
      <c r="AO196" s="112"/>
      <c r="AP196" s="113"/>
      <c r="AQ196" s="112"/>
      <c r="AR196" s="31"/>
      <c r="AS196" s="32"/>
      <c r="AT196" s="90"/>
      <c r="AU196" s="88"/>
      <c r="AV196" s="88"/>
      <c r="AW196" s="111"/>
      <c r="AX196" s="112"/>
      <c r="AY196" s="113"/>
      <c r="AZ196" s="112"/>
      <c r="BA196" s="31"/>
      <c r="BB196" s="32"/>
      <c r="BC196" s="90"/>
      <c r="BD196" s="88"/>
      <c r="BE196" s="88"/>
      <c r="BF196" s="111"/>
      <c r="BG196" s="112"/>
      <c r="BH196" s="113"/>
      <c r="BI196" s="112"/>
      <c r="BJ196" s="31"/>
      <c r="BK196" s="32"/>
      <c r="BL196" s="90"/>
      <c r="BM196" s="88"/>
      <c r="BN196" s="88"/>
      <c r="BO196" s="111"/>
      <c r="BP196" s="112"/>
      <c r="BQ196" s="113"/>
      <c r="BR196" s="112"/>
      <c r="BS196" s="31"/>
      <c r="BT196" s="32"/>
      <c r="BU196" s="90"/>
      <c r="BV196" s="88"/>
      <c r="BW196" s="88"/>
      <c r="BX196" s="111"/>
      <c r="BY196" s="112"/>
      <c r="BZ196" s="113"/>
      <c r="CA196" s="112"/>
      <c r="CB196" s="31"/>
      <c r="CC196" s="32"/>
      <c r="CD196" s="90"/>
      <c r="CE196" s="88"/>
      <c r="CF196" s="88"/>
      <c r="CG196" s="111"/>
      <c r="CH196" s="112"/>
      <c r="CI196" s="113"/>
      <c r="CJ196" s="112"/>
      <c r="CK196" s="31"/>
      <c r="CL196" s="32"/>
      <c r="CM196" s="90"/>
      <c r="CN196" s="88"/>
      <c r="CO196" s="88"/>
      <c r="CP196" s="111"/>
      <c r="CQ196" s="112"/>
      <c r="CR196" s="113"/>
      <c r="CS196" s="112"/>
      <c r="CT196" s="55"/>
      <c r="CV196" s="230" t="s">
        <v>129</v>
      </c>
      <c r="CX196" s="226" t="s">
        <v>1425</v>
      </c>
      <c r="CY196" s="226" t="s">
        <v>541</v>
      </c>
      <c r="CZ196" s="226" t="s">
        <v>541</v>
      </c>
      <c r="DA196" s="226" t="s">
        <v>541</v>
      </c>
      <c r="DB196" s="14"/>
      <c r="DC196" s="226" t="s">
        <v>541</v>
      </c>
      <c r="DD196" s="226" t="s">
        <v>541</v>
      </c>
      <c r="DE196" s="226" t="s">
        <v>541</v>
      </c>
      <c r="DF196" s="226" t="s">
        <v>541</v>
      </c>
      <c r="DG196" s="226" t="s">
        <v>541</v>
      </c>
      <c r="DH196" s="14"/>
    </row>
    <row r="197" spans="1:112" ht="39" x14ac:dyDescent="0.25">
      <c r="A197" s="17" t="s">
        <v>485</v>
      </c>
      <c r="B197" s="17" t="s">
        <v>541</v>
      </c>
      <c r="C197" s="17" t="s">
        <v>127</v>
      </c>
      <c r="D197" s="17" t="s">
        <v>2109</v>
      </c>
      <c r="E197" s="17" t="b">
        <f t="shared" si="28"/>
        <v>0</v>
      </c>
      <c r="F197" s="127" t="s">
        <v>485</v>
      </c>
      <c r="G197" s="248" t="s">
        <v>541</v>
      </c>
      <c r="H197" s="128" t="s">
        <v>127</v>
      </c>
      <c r="I197" s="128" t="s">
        <v>675</v>
      </c>
      <c r="J197" s="31"/>
      <c r="K197" s="102" t="s">
        <v>354</v>
      </c>
      <c r="L197" s="90"/>
      <c r="M197" s="111"/>
      <c r="N197" s="112"/>
      <c r="O197" s="113"/>
      <c r="P197" s="112"/>
      <c r="Q197" s="31"/>
      <c r="R197" s="102"/>
      <c r="S197" s="90"/>
      <c r="T197" s="88" t="str">
        <f t="shared" si="35"/>
        <v>NA</v>
      </c>
      <c r="U197" s="88" t="str">
        <f t="shared" si="36"/>
        <v>NA</v>
      </c>
      <c r="V197" s="111"/>
      <c r="W197" s="112"/>
      <c r="X197" s="113"/>
      <c r="Y197" s="112"/>
      <c r="Z197" s="31"/>
      <c r="AA197" s="296"/>
      <c r="AB197" s="89"/>
      <c r="AC197" s="88" t="str">
        <f t="shared" si="33"/>
        <v>NA</v>
      </c>
      <c r="AD197" s="88" t="str">
        <f t="shared" si="34"/>
        <v>NA</v>
      </c>
      <c r="AE197" s="111"/>
      <c r="AF197" s="112"/>
      <c r="AG197" s="113"/>
      <c r="AH197" s="112"/>
      <c r="AI197" s="31"/>
      <c r="AJ197" s="294"/>
      <c r="AK197" s="89"/>
      <c r="AL197" s="88" t="str">
        <f t="shared" si="31"/>
        <v>NA</v>
      </c>
      <c r="AM197" s="88" t="str">
        <f t="shared" si="32"/>
        <v>NA</v>
      </c>
      <c r="AN197" s="111"/>
      <c r="AO197" s="112"/>
      <c r="AP197" s="113"/>
      <c r="AQ197" s="112"/>
      <c r="AR197" s="31"/>
      <c r="AS197" s="32"/>
      <c r="AT197" s="90"/>
      <c r="AU197" s="88"/>
      <c r="AV197" s="88"/>
      <c r="AW197" s="111"/>
      <c r="AX197" s="112"/>
      <c r="AY197" s="113"/>
      <c r="AZ197" s="112"/>
      <c r="BA197" s="31"/>
      <c r="BB197" s="32"/>
      <c r="BC197" s="90"/>
      <c r="BD197" s="88"/>
      <c r="BE197" s="88"/>
      <c r="BF197" s="111"/>
      <c r="BG197" s="112"/>
      <c r="BH197" s="113"/>
      <c r="BI197" s="112"/>
      <c r="BJ197" s="31"/>
      <c r="BK197" s="32"/>
      <c r="BL197" s="90"/>
      <c r="BM197" s="88"/>
      <c r="BN197" s="88"/>
      <c r="BO197" s="111"/>
      <c r="BP197" s="112"/>
      <c r="BQ197" s="113"/>
      <c r="BR197" s="112"/>
      <c r="BS197" s="31"/>
      <c r="BT197" s="32"/>
      <c r="BU197" s="90"/>
      <c r="BV197" s="88"/>
      <c r="BW197" s="88"/>
      <c r="BX197" s="111"/>
      <c r="BY197" s="112"/>
      <c r="BZ197" s="113"/>
      <c r="CA197" s="112"/>
      <c r="CB197" s="31"/>
      <c r="CC197" s="32"/>
      <c r="CD197" s="90"/>
      <c r="CE197" s="88"/>
      <c r="CF197" s="88"/>
      <c r="CG197" s="111"/>
      <c r="CH197" s="112"/>
      <c r="CI197" s="113"/>
      <c r="CJ197" s="112"/>
      <c r="CK197" s="31"/>
      <c r="CL197" s="32"/>
      <c r="CM197" s="90"/>
      <c r="CN197" s="88"/>
      <c r="CO197" s="88"/>
      <c r="CP197" s="111"/>
      <c r="CQ197" s="112"/>
      <c r="CR197" s="113"/>
      <c r="CS197" s="112"/>
      <c r="CT197" s="55"/>
      <c r="CV197" s="230" t="s">
        <v>675</v>
      </c>
      <c r="CX197" s="226" t="s">
        <v>1424</v>
      </c>
      <c r="CY197" s="226" t="s">
        <v>541</v>
      </c>
      <c r="CZ197" s="226" t="s">
        <v>541</v>
      </c>
      <c r="DA197" s="226" t="s">
        <v>541</v>
      </c>
      <c r="DB197" s="226"/>
      <c r="DC197" s="226" t="s">
        <v>541</v>
      </c>
      <c r="DD197" s="226" t="s">
        <v>541</v>
      </c>
      <c r="DE197" s="226" t="s">
        <v>541</v>
      </c>
      <c r="DF197" s="226" t="s">
        <v>541</v>
      </c>
      <c r="DG197" s="226" t="s">
        <v>541</v>
      </c>
      <c r="DH197" s="14"/>
    </row>
    <row r="198" spans="1:112" ht="26" x14ac:dyDescent="0.25">
      <c r="A198" s="17" t="s">
        <v>486</v>
      </c>
      <c r="B198" s="17" t="s">
        <v>541</v>
      </c>
      <c r="C198" s="17" t="s">
        <v>125</v>
      </c>
      <c r="D198" s="17" t="s">
        <v>126</v>
      </c>
      <c r="E198" s="17" t="b">
        <f t="shared" si="28"/>
        <v>1</v>
      </c>
      <c r="F198" s="127" t="s">
        <v>486</v>
      </c>
      <c r="G198" s="248" t="s">
        <v>541</v>
      </c>
      <c r="H198" s="128" t="s">
        <v>125</v>
      </c>
      <c r="I198" s="128" t="s">
        <v>126</v>
      </c>
      <c r="J198" s="31"/>
      <c r="K198" s="102" t="s">
        <v>354</v>
      </c>
      <c r="L198" s="90" t="s">
        <v>31</v>
      </c>
      <c r="M198" s="111" t="s">
        <v>2470</v>
      </c>
      <c r="N198" s="112"/>
      <c r="O198" s="113"/>
      <c r="P198" s="112"/>
      <c r="Q198" s="31"/>
      <c r="R198" s="102"/>
      <c r="S198" s="90"/>
      <c r="T198" s="88" t="str">
        <f t="shared" si="35"/>
        <v>NA</v>
      </c>
      <c r="U198" s="88" t="str">
        <f t="shared" si="36"/>
        <v>YES</v>
      </c>
      <c r="V198" s="111"/>
      <c r="W198" s="112"/>
      <c r="X198" s="113"/>
      <c r="Y198" s="112"/>
      <c r="Z198" s="31"/>
      <c r="AA198" s="296"/>
      <c r="AB198" s="89"/>
      <c r="AC198" s="88" t="str">
        <f t="shared" si="33"/>
        <v>NA</v>
      </c>
      <c r="AD198" s="88" t="str">
        <f t="shared" si="34"/>
        <v>NA</v>
      </c>
      <c r="AE198" s="111"/>
      <c r="AF198" s="112"/>
      <c r="AG198" s="113"/>
      <c r="AH198" s="112"/>
      <c r="AI198" s="31"/>
      <c r="AJ198" s="294"/>
      <c r="AK198" s="89"/>
      <c r="AL198" s="88" t="str">
        <f t="shared" si="31"/>
        <v>NA</v>
      </c>
      <c r="AM198" s="88" t="str">
        <f t="shared" si="32"/>
        <v>NA</v>
      </c>
      <c r="AN198" s="111"/>
      <c r="AO198" s="112"/>
      <c r="AP198" s="113"/>
      <c r="AQ198" s="112"/>
      <c r="AR198" s="31"/>
      <c r="AS198" s="32"/>
      <c r="AT198" s="90"/>
      <c r="AU198" s="88"/>
      <c r="AV198" s="88"/>
      <c r="AW198" s="111"/>
      <c r="AX198" s="112"/>
      <c r="AY198" s="113"/>
      <c r="AZ198" s="112"/>
      <c r="BA198" s="31"/>
      <c r="BB198" s="32"/>
      <c r="BC198" s="90"/>
      <c r="BD198" s="88"/>
      <c r="BE198" s="88"/>
      <c r="BF198" s="111"/>
      <c r="BG198" s="112"/>
      <c r="BH198" s="113"/>
      <c r="BI198" s="112"/>
      <c r="BJ198" s="31"/>
      <c r="BK198" s="32"/>
      <c r="BL198" s="90"/>
      <c r="BM198" s="88"/>
      <c r="BN198" s="88"/>
      <c r="BO198" s="111"/>
      <c r="BP198" s="112"/>
      <c r="BQ198" s="113"/>
      <c r="BR198" s="112"/>
      <c r="BS198" s="31"/>
      <c r="BT198" s="32"/>
      <c r="BU198" s="90"/>
      <c r="BV198" s="88"/>
      <c r="BW198" s="88"/>
      <c r="BX198" s="111"/>
      <c r="BY198" s="112"/>
      <c r="BZ198" s="113"/>
      <c r="CA198" s="112"/>
      <c r="CB198" s="31"/>
      <c r="CC198" s="32"/>
      <c r="CD198" s="90"/>
      <c r="CE198" s="88"/>
      <c r="CF198" s="88"/>
      <c r="CG198" s="111"/>
      <c r="CH198" s="112"/>
      <c r="CI198" s="113"/>
      <c r="CJ198" s="112"/>
      <c r="CK198" s="31"/>
      <c r="CL198" s="32"/>
      <c r="CM198" s="90"/>
      <c r="CN198" s="88"/>
      <c r="CO198" s="88"/>
      <c r="CP198" s="111"/>
      <c r="CQ198" s="112"/>
      <c r="CR198" s="113"/>
      <c r="CS198" s="112"/>
      <c r="CT198" s="55"/>
      <c r="CV198" s="230" t="s">
        <v>126</v>
      </c>
      <c r="CX198" s="226" t="s">
        <v>1425</v>
      </c>
      <c r="CY198" s="226" t="s">
        <v>541</v>
      </c>
      <c r="CZ198" s="226" t="s">
        <v>541</v>
      </c>
      <c r="DA198" s="226" t="s">
        <v>541</v>
      </c>
      <c r="DB198" s="14"/>
      <c r="DC198" s="226" t="s">
        <v>541</v>
      </c>
      <c r="DD198" s="226" t="s">
        <v>541</v>
      </c>
      <c r="DE198" s="226" t="s">
        <v>541</v>
      </c>
      <c r="DF198" s="226" t="s">
        <v>541</v>
      </c>
      <c r="DG198" s="226" t="s">
        <v>541</v>
      </c>
      <c r="DH198" s="14"/>
    </row>
    <row r="199" spans="1:112" ht="39" x14ac:dyDescent="0.25">
      <c r="A199" s="17" t="s">
        <v>487</v>
      </c>
      <c r="B199" s="17" t="s">
        <v>541</v>
      </c>
      <c r="C199" s="17" t="s">
        <v>123</v>
      </c>
      <c r="D199" s="17" t="s">
        <v>124</v>
      </c>
      <c r="E199" s="17" t="b">
        <f t="shared" si="28"/>
        <v>1</v>
      </c>
      <c r="F199" s="127" t="s">
        <v>487</v>
      </c>
      <c r="G199" s="248" t="s">
        <v>541</v>
      </c>
      <c r="H199" s="128" t="s">
        <v>123</v>
      </c>
      <c r="I199" s="128" t="s">
        <v>124</v>
      </c>
      <c r="J199" s="31"/>
      <c r="K199" s="102" t="s">
        <v>354</v>
      </c>
      <c r="L199" s="90"/>
      <c r="M199" s="111"/>
      <c r="N199" s="112"/>
      <c r="O199" s="113"/>
      <c r="P199" s="112"/>
      <c r="Q199" s="31"/>
      <c r="R199" s="102"/>
      <c r="S199" s="90"/>
      <c r="T199" s="88" t="str">
        <f t="shared" si="35"/>
        <v>NA</v>
      </c>
      <c r="U199" s="88" t="str">
        <f t="shared" si="36"/>
        <v>NA</v>
      </c>
      <c r="V199" s="111"/>
      <c r="W199" s="112"/>
      <c r="X199" s="113"/>
      <c r="Y199" s="112"/>
      <c r="Z199" s="31"/>
      <c r="AA199" s="296"/>
      <c r="AB199" s="89"/>
      <c r="AC199" s="88" t="str">
        <f t="shared" si="33"/>
        <v>NA</v>
      </c>
      <c r="AD199" s="88" t="str">
        <f t="shared" si="34"/>
        <v>NA</v>
      </c>
      <c r="AE199" s="111"/>
      <c r="AF199" s="112"/>
      <c r="AG199" s="113"/>
      <c r="AH199" s="112"/>
      <c r="AI199" s="31"/>
      <c r="AJ199" s="294"/>
      <c r="AK199" s="89"/>
      <c r="AL199" s="88" t="str">
        <f t="shared" si="31"/>
        <v>NA</v>
      </c>
      <c r="AM199" s="88" t="str">
        <f t="shared" si="32"/>
        <v>NA</v>
      </c>
      <c r="AN199" s="111"/>
      <c r="AO199" s="112"/>
      <c r="AP199" s="113"/>
      <c r="AQ199" s="112"/>
      <c r="AR199" s="31"/>
      <c r="AS199" s="32"/>
      <c r="AT199" s="90"/>
      <c r="AU199" s="88"/>
      <c r="AV199" s="88"/>
      <c r="AW199" s="111"/>
      <c r="AX199" s="112"/>
      <c r="AY199" s="113"/>
      <c r="AZ199" s="112"/>
      <c r="BA199" s="31"/>
      <c r="BB199" s="32"/>
      <c r="BC199" s="90"/>
      <c r="BD199" s="88"/>
      <c r="BE199" s="88"/>
      <c r="BF199" s="111"/>
      <c r="BG199" s="112"/>
      <c r="BH199" s="113"/>
      <c r="BI199" s="112"/>
      <c r="BJ199" s="31"/>
      <c r="BK199" s="32"/>
      <c r="BL199" s="90"/>
      <c r="BM199" s="88"/>
      <c r="BN199" s="88"/>
      <c r="BO199" s="111"/>
      <c r="BP199" s="112"/>
      <c r="BQ199" s="113"/>
      <c r="BR199" s="112"/>
      <c r="BS199" s="31"/>
      <c r="BT199" s="32"/>
      <c r="BU199" s="90"/>
      <c r="BV199" s="88"/>
      <c r="BW199" s="88"/>
      <c r="BX199" s="111"/>
      <c r="BY199" s="112"/>
      <c r="BZ199" s="113"/>
      <c r="CA199" s="112"/>
      <c r="CB199" s="31"/>
      <c r="CC199" s="32"/>
      <c r="CD199" s="90"/>
      <c r="CE199" s="88"/>
      <c r="CF199" s="88"/>
      <c r="CG199" s="111"/>
      <c r="CH199" s="112"/>
      <c r="CI199" s="113"/>
      <c r="CJ199" s="112"/>
      <c r="CK199" s="31"/>
      <c r="CL199" s="32"/>
      <c r="CM199" s="90"/>
      <c r="CN199" s="88"/>
      <c r="CO199" s="88"/>
      <c r="CP199" s="111"/>
      <c r="CQ199" s="112"/>
      <c r="CR199" s="113"/>
      <c r="CS199" s="112"/>
      <c r="CT199" s="55"/>
      <c r="CV199" s="230" t="s">
        <v>124</v>
      </c>
      <c r="CX199" s="226" t="s">
        <v>1424</v>
      </c>
      <c r="CY199" s="226" t="s">
        <v>1431</v>
      </c>
      <c r="CZ199" s="226" t="s">
        <v>541</v>
      </c>
      <c r="DA199" s="226" t="s">
        <v>541</v>
      </c>
      <c r="DB199" s="14"/>
      <c r="DC199" s="226" t="s">
        <v>541</v>
      </c>
      <c r="DD199" s="226" t="s">
        <v>541</v>
      </c>
      <c r="DE199" s="226" t="s">
        <v>541</v>
      </c>
      <c r="DF199" s="226" t="s">
        <v>541</v>
      </c>
      <c r="DG199" s="226" t="s">
        <v>541</v>
      </c>
      <c r="DH199" s="14"/>
    </row>
    <row r="200" spans="1:112" ht="39" x14ac:dyDescent="0.25">
      <c r="A200" s="17" t="s">
        <v>488</v>
      </c>
      <c r="B200" s="17" t="s">
        <v>541</v>
      </c>
      <c r="C200" s="17" t="s">
        <v>121</v>
      </c>
      <c r="D200" s="17" t="s">
        <v>122</v>
      </c>
      <c r="E200" s="17" t="b">
        <f t="shared" si="28"/>
        <v>1</v>
      </c>
      <c r="F200" s="127" t="s">
        <v>488</v>
      </c>
      <c r="G200" s="248" t="s">
        <v>541</v>
      </c>
      <c r="H200" s="128" t="s">
        <v>121</v>
      </c>
      <c r="I200" s="128" t="s">
        <v>122</v>
      </c>
      <c r="J200" s="31"/>
      <c r="K200" s="102" t="s">
        <v>354</v>
      </c>
      <c r="L200" s="90"/>
      <c r="M200" s="111"/>
      <c r="N200" s="112"/>
      <c r="O200" s="113"/>
      <c r="P200" s="112"/>
      <c r="Q200" s="31"/>
      <c r="R200" s="102"/>
      <c r="S200" s="90"/>
      <c r="T200" s="88" t="str">
        <f t="shared" si="35"/>
        <v>NA</v>
      </c>
      <c r="U200" s="88" t="str">
        <f t="shared" si="36"/>
        <v>NA</v>
      </c>
      <c r="V200" s="111"/>
      <c r="W200" s="112"/>
      <c r="X200" s="113"/>
      <c r="Y200" s="112"/>
      <c r="Z200" s="31"/>
      <c r="AA200" s="296"/>
      <c r="AB200" s="89"/>
      <c r="AC200" s="88" t="str">
        <f t="shared" si="33"/>
        <v>NA</v>
      </c>
      <c r="AD200" s="88" t="str">
        <f t="shared" si="34"/>
        <v>NA</v>
      </c>
      <c r="AE200" s="111"/>
      <c r="AF200" s="112"/>
      <c r="AG200" s="113"/>
      <c r="AH200" s="112"/>
      <c r="AI200" s="31"/>
      <c r="AJ200" s="294"/>
      <c r="AK200" s="89"/>
      <c r="AL200" s="88" t="str">
        <f t="shared" si="31"/>
        <v>NA</v>
      </c>
      <c r="AM200" s="88" t="str">
        <f t="shared" si="32"/>
        <v>NA</v>
      </c>
      <c r="AN200" s="111"/>
      <c r="AO200" s="112"/>
      <c r="AP200" s="113"/>
      <c r="AQ200" s="112"/>
      <c r="AR200" s="31"/>
      <c r="AS200" s="32"/>
      <c r="AT200" s="90"/>
      <c r="AU200" s="88"/>
      <c r="AV200" s="88"/>
      <c r="AW200" s="111"/>
      <c r="AX200" s="112"/>
      <c r="AY200" s="113"/>
      <c r="AZ200" s="112"/>
      <c r="BA200" s="31"/>
      <c r="BB200" s="32"/>
      <c r="BC200" s="90"/>
      <c r="BD200" s="88"/>
      <c r="BE200" s="88"/>
      <c r="BF200" s="111"/>
      <c r="BG200" s="112"/>
      <c r="BH200" s="113"/>
      <c r="BI200" s="112"/>
      <c r="BJ200" s="31"/>
      <c r="BK200" s="32"/>
      <c r="BL200" s="90"/>
      <c r="BM200" s="88"/>
      <c r="BN200" s="88"/>
      <c r="BO200" s="111"/>
      <c r="BP200" s="112"/>
      <c r="BQ200" s="113"/>
      <c r="BR200" s="112"/>
      <c r="BS200" s="31"/>
      <c r="BT200" s="32"/>
      <c r="BU200" s="90"/>
      <c r="BV200" s="88"/>
      <c r="BW200" s="88"/>
      <c r="BX200" s="111"/>
      <c r="BY200" s="112"/>
      <c r="BZ200" s="113"/>
      <c r="CA200" s="112"/>
      <c r="CB200" s="31"/>
      <c r="CC200" s="32"/>
      <c r="CD200" s="90"/>
      <c r="CE200" s="88"/>
      <c r="CF200" s="88"/>
      <c r="CG200" s="111"/>
      <c r="CH200" s="112"/>
      <c r="CI200" s="113"/>
      <c r="CJ200" s="112"/>
      <c r="CK200" s="31"/>
      <c r="CL200" s="32"/>
      <c r="CM200" s="90"/>
      <c r="CN200" s="88"/>
      <c r="CO200" s="88"/>
      <c r="CP200" s="111"/>
      <c r="CQ200" s="112"/>
      <c r="CR200" s="113"/>
      <c r="CS200" s="112"/>
      <c r="CT200" s="55"/>
      <c r="CV200" s="230" t="s">
        <v>122</v>
      </c>
      <c r="CX200" s="226" t="s">
        <v>1425</v>
      </c>
      <c r="CY200" s="226" t="s">
        <v>1431</v>
      </c>
      <c r="CZ200" s="226" t="s">
        <v>541</v>
      </c>
      <c r="DA200" s="226" t="s">
        <v>541</v>
      </c>
      <c r="DB200" s="14"/>
      <c r="DC200" s="226" t="s">
        <v>541</v>
      </c>
      <c r="DD200" s="226" t="s">
        <v>541</v>
      </c>
      <c r="DE200" s="226" t="s">
        <v>541</v>
      </c>
      <c r="DF200" s="226" t="s">
        <v>541</v>
      </c>
      <c r="DG200" s="226" t="s">
        <v>541</v>
      </c>
      <c r="DH200" s="14"/>
    </row>
    <row r="201" spans="1:112" ht="26" x14ac:dyDescent="0.25">
      <c r="A201" s="17" t="s">
        <v>489</v>
      </c>
      <c r="B201" s="17" t="s">
        <v>541</v>
      </c>
      <c r="C201" s="17" t="s">
        <v>119</v>
      </c>
      <c r="D201" s="17" t="s">
        <v>120</v>
      </c>
      <c r="E201" s="17" t="b">
        <f t="shared" ref="E201:E264" si="37">D201=I201</f>
        <v>1</v>
      </c>
      <c r="F201" s="127" t="s">
        <v>489</v>
      </c>
      <c r="G201" s="248" t="s">
        <v>541</v>
      </c>
      <c r="H201" s="128" t="s">
        <v>119</v>
      </c>
      <c r="I201" s="128" t="s">
        <v>120</v>
      </c>
      <c r="J201" s="31"/>
      <c r="K201" s="102" t="s">
        <v>354</v>
      </c>
      <c r="L201" s="90"/>
      <c r="M201" s="111"/>
      <c r="N201" s="112"/>
      <c r="O201" s="113"/>
      <c r="P201" s="112"/>
      <c r="Q201" s="31"/>
      <c r="R201" s="102"/>
      <c r="S201" s="90"/>
      <c r="T201" s="88" t="str">
        <f t="shared" si="35"/>
        <v>NA</v>
      </c>
      <c r="U201" s="88" t="str">
        <f t="shared" si="36"/>
        <v>NA</v>
      </c>
      <c r="V201" s="111"/>
      <c r="W201" s="112"/>
      <c r="X201" s="113"/>
      <c r="Y201" s="112"/>
      <c r="Z201" s="31"/>
      <c r="AA201" s="296"/>
      <c r="AB201" s="89"/>
      <c r="AC201" s="88" t="str">
        <f t="shared" ref="AC201:AC264" si="38">IF(LEFT(AB201,1)&lt;&gt;"x","NA",IF(RIGHT(AA201,3)=RIGHT(R201,3),IF(RIGHT(AA201,3)&lt;&gt;RIGHT(K201,3),IF(OR(AND(RIGHT(AA201,3)=RIGHT(R201,3),AB201=S201),AND(RIGHT(AA201,3)=RIGHT(K201,3),AB201=L201)),"NO","YES"),"NO"),IF(OR(RIGHT(AA201,3)=RIGHT(R201,3),RIGHT(AA201,3)=RIGHT(K201,3)),"ERROR","YES")))</f>
        <v>NA</v>
      </c>
      <c r="AD201" s="88" t="str">
        <f t="shared" ref="AD201:AD264" si="39">IF(LEFT(S201,1)&lt;&gt;LEFT(AB201,1),"YES",IF(LEFT(AB201,1)="x","NO","NA"))</f>
        <v>NA</v>
      </c>
      <c r="AE201" s="111"/>
      <c r="AF201" s="112"/>
      <c r="AG201" s="113"/>
      <c r="AH201" s="112"/>
      <c r="AI201" s="31"/>
      <c r="AJ201" s="294"/>
      <c r="AK201" s="89"/>
      <c r="AL201" s="88" t="str">
        <f t="shared" ref="AL201:AL264" si="40">IF(LEFT(AK201,1)&lt;&gt;"x","NA",IF(RIGHT(AJ201,3)=RIGHT(AA201,3),IF(RIGHT(AJ201,3)&lt;&gt;RIGHT(T201,3),IF(OR(AND(RIGHT(AJ201,3)=RIGHT(AA201,3),AK201=AB201),AND(RIGHT(AJ201,3)=RIGHT(T201,3),AK201=U201)),"NO","YES"),"NO"),IF(OR(RIGHT(AJ201,3)=RIGHT(AA201,3),RIGHT(AJ201,3)=RIGHT(T201,3)),"ERROR","YES")))</f>
        <v>NA</v>
      </c>
      <c r="AM201" s="88" t="str">
        <f t="shared" ref="AM201:AM264" si="41">IF(LEFT(AB201,1)&lt;&gt;LEFT(AK201,1),"YES",IF(LEFT(AK201,1)="x","NO","NA"))</f>
        <v>NA</v>
      </c>
      <c r="AN201" s="111"/>
      <c r="AO201" s="112"/>
      <c r="AP201" s="113"/>
      <c r="AQ201" s="112"/>
      <c r="AR201" s="31"/>
      <c r="AS201" s="32"/>
      <c r="AT201" s="90"/>
      <c r="AU201" s="88"/>
      <c r="AV201" s="88"/>
      <c r="AW201" s="111"/>
      <c r="AX201" s="112"/>
      <c r="AY201" s="113"/>
      <c r="AZ201" s="112"/>
      <c r="BA201" s="31"/>
      <c r="BB201" s="32"/>
      <c r="BC201" s="90"/>
      <c r="BD201" s="88"/>
      <c r="BE201" s="88"/>
      <c r="BF201" s="111"/>
      <c r="BG201" s="112"/>
      <c r="BH201" s="113"/>
      <c r="BI201" s="112"/>
      <c r="BJ201" s="31"/>
      <c r="BK201" s="32"/>
      <c r="BL201" s="90"/>
      <c r="BM201" s="88"/>
      <c r="BN201" s="88"/>
      <c r="BO201" s="111"/>
      <c r="BP201" s="112"/>
      <c r="BQ201" s="113"/>
      <c r="BR201" s="112"/>
      <c r="BS201" s="31"/>
      <c r="BT201" s="32"/>
      <c r="BU201" s="90"/>
      <c r="BV201" s="88"/>
      <c r="BW201" s="88"/>
      <c r="BX201" s="111"/>
      <c r="BY201" s="112"/>
      <c r="BZ201" s="113"/>
      <c r="CA201" s="112"/>
      <c r="CB201" s="31"/>
      <c r="CC201" s="32"/>
      <c r="CD201" s="90"/>
      <c r="CE201" s="88"/>
      <c r="CF201" s="88"/>
      <c r="CG201" s="111"/>
      <c r="CH201" s="112"/>
      <c r="CI201" s="113"/>
      <c r="CJ201" s="112"/>
      <c r="CK201" s="31"/>
      <c r="CL201" s="32"/>
      <c r="CM201" s="90"/>
      <c r="CN201" s="88"/>
      <c r="CO201" s="88"/>
      <c r="CP201" s="111"/>
      <c r="CQ201" s="112"/>
      <c r="CR201" s="113"/>
      <c r="CS201" s="112"/>
      <c r="CT201" s="55"/>
      <c r="CV201" s="230" t="s">
        <v>120</v>
      </c>
      <c r="CX201" s="226" t="s">
        <v>1424</v>
      </c>
      <c r="CY201" s="226" t="s">
        <v>1431</v>
      </c>
      <c r="CZ201" s="226" t="s">
        <v>541</v>
      </c>
      <c r="DA201" s="226" t="s">
        <v>541</v>
      </c>
      <c r="DB201" s="14"/>
      <c r="DC201" s="226" t="s">
        <v>541</v>
      </c>
      <c r="DD201" s="226" t="s">
        <v>1421</v>
      </c>
      <c r="DE201" s="226" t="s">
        <v>1469</v>
      </c>
      <c r="DF201" s="226" t="s">
        <v>541</v>
      </c>
      <c r="DG201" s="226" t="s">
        <v>541</v>
      </c>
      <c r="DH201" s="14"/>
    </row>
    <row r="202" spans="1:112" ht="26" x14ac:dyDescent="0.25">
      <c r="A202" s="17" t="s">
        <v>490</v>
      </c>
      <c r="B202" s="17" t="s">
        <v>541</v>
      </c>
      <c r="C202" s="17" t="s">
        <v>117</v>
      </c>
      <c r="D202" s="17" t="s">
        <v>118</v>
      </c>
      <c r="E202" s="17" t="b">
        <f t="shared" si="37"/>
        <v>1</v>
      </c>
      <c r="F202" s="127" t="s">
        <v>490</v>
      </c>
      <c r="G202" s="248" t="s">
        <v>541</v>
      </c>
      <c r="H202" s="128" t="s">
        <v>117</v>
      </c>
      <c r="I202" s="128" t="s">
        <v>118</v>
      </c>
      <c r="J202" s="31"/>
      <c r="K202" s="102" t="s">
        <v>354</v>
      </c>
      <c r="L202" s="90"/>
      <c r="M202" s="111"/>
      <c r="N202" s="112"/>
      <c r="O202" s="113"/>
      <c r="P202" s="112"/>
      <c r="Q202" s="31"/>
      <c r="R202" s="102"/>
      <c r="S202" s="90"/>
      <c r="T202" s="88" t="str">
        <f t="shared" si="35"/>
        <v>NA</v>
      </c>
      <c r="U202" s="88" t="str">
        <f t="shared" si="36"/>
        <v>NA</v>
      </c>
      <c r="V202" s="111"/>
      <c r="W202" s="112"/>
      <c r="X202" s="113"/>
      <c r="Y202" s="112"/>
      <c r="Z202" s="31"/>
      <c r="AA202" s="296"/>
      <c r="AB202" s="89"/>
      <c r="AC202" s="88" t="str">
        <f t="shared" si="38"/>
        <v>NA</v>
      </c>
      <c r="AD202" s="88" t="str">
        <f t="shared" si="39"/>
        <v>NA</v>
      </c>
      <c r="AE202" s="111"/>
      <c r="AF202" s="112"/>
      <c r="AG202" s="113"/>
      <c r="AH202" s="112"/>
      <c r="AI202" s="31"/>
      <c r="AJ202" s="294"/>
      <c r="AK202" s="89"/>
      <c r="AL202" s="88" t="str">
        <f t="shared" si="40"/>
        <v>NA</v>
      </c>
      <c r="AM202" s="88" t="str">
        <f t="shared" si="41"/>
        <v>NA</v>
      </c>
      <c r="AN202" s="111"/>
      <c r="AO202" s="112"/>
      <c r="AP202" s="113"/>
      <c r="AQ202" s="112"/>
      <c r="AR202" s="31"/>
      <c r="AS202" s="32"/>
      <c r="AT202" s="90"/>
      <c r="AU202" s="88"/>
      <c r="AV202" s="88"/>
      <c r="AW202" s="111"/>
      <c r="AX202" s="112"/>
      <c r="AY202" s="113"/>
      <c r="AZ202" s="112"/>
      <c r="BA202" s="31"/>
      <c r="BB202" s="32"/>
      <c r="BC202" s="90"/>
      <c r="BD202" s="88"/>
      <c r="BE202" s="88"/>
      <c r="BF202" s="111"/>
      <c r="BG202" s="112"/>
      <c r="BH202" s="113"/>
      <c r="BI202" s="112"/>
      <c r="BJ202" s="31"/>
      <c r="BK202" s="32"/>
      <c r="BL202" s="90"/>
      <c r="BM202" s="88"/>
      <c r="BN202" s="88"/>
      <c r="BO202" s="111"/>
      <c r="BP202" s="112"/>
      <c r="BQ202" s="113"/>
      <c r="BR202" s="112"/>
      <c r="BS202" s="31"/>
      <c r="BT202" s="32"/>
      <c r="BU202" s="90"/>
      <c r="BV202" s="88"/>
      <c r="BW202" s="88"/>
      <c r="BX202" s="111"/>
      <c r="BY202" s="112"/>
      <c r="BZ202" s="113"/>
      <c r="CA202" s="112"/>
      <c r="CB202" s="31"/>
      <c r="CC202" s="32"/>
      <c r="CD202" s="90"/>
      <c r="CE202" s="88"/>
      <c r="CF202" s="88"/>
      <c r="CG202" s="111"/>
      <c r="CH202" s="112"/>
      <c r="CI202" s="113"/>
      <c r="CJ202" s="112"/>
      <c r="CK202" s="31"/>
      <c r="CL202" s="32"/>
      <c r="CM202" s="90"/>
      <c r="CN202" s="88"/>
      <c r="CO202" s="88"/>
      <c r="CP202" s="111"/>
      <c r="CQ202" s="112"/>
      <c r="CR202" s="113"/>
      <c r="CS202" s="112"/>
      <c r="CT202" s="55"/>
      <c r="CV202" s="230" t="s">
        <v>118</v>
      </c>
      <c r="CX202" s="226" t="s">
        <v>1425</v>
      </c>
      <c r="CY202" s="226" t="s">
        <v>1431</v>
      </c>
      <c r="CZ202" s="226" t="s">
        <v>541</v>
      </c>
      <c r="DA202" s="226" t="s">
        <v>541</v>
      </c>
      <c r="DB202" s="14"/>
      <c r="DC202" s="226" t="s">
        <v>541</v>
      </c>
      <c r="DD202" s="226" t="s">
        <v>1421</v>
      </c>
      <c r="DE202" s="226" t="s">
        <v>1469</v>
      </c>
      <c r="DF202" s="226" t="s">
        <v>541</v>
      </c>
      <c r="DG202" s="226" t="s">
        <v>541</v>
      </c>
      <c r="DH202" s="14"/>
    </row>
    <row r="203" spans="1:112" ht="26" x14ac:dyDescent="0.25">
      <c r="A203" s="17" t="s">
        <v>491</v>
      </c>
      <c r="B203" s="17" t="s">
        <v>541</v>
      </c>
      <c r="C203" s="17" t="s">
        <v>115</v>
      </c>
      <c r="D203" s="17" t="s">
        <v>116</v>
      </c>
      <c r="E203" s="17" t="b">
        <f t="shared" si="37"/>
        <v>1</v>
      </c>
      <c r="F203" s="127" t="s">
        <v>491</v>
      </c>
      <c r="G203" s="248" t="s">
        <v>541</v>
      </c>
      <c r="H203" s="128" t="s">
        <v>115</v>
      </c>
      <c r="I203" s="128" t="s">
        <v>116</v>
      </c>
      <c r="J203" s="31"/>
      <c r="K203" s="102" t="s">
        <v>354</v>
      </c>
      <c r="L203" s="90"/>
      <c r="M203" s="111"/>
      <c r="N203" s="112"/>
      <c r="O203" s="113"/>
      <c r="P203" s="112"/>
      <c r="Q203" s="31"/>
      <c r="R203" s="102"/>
      <c r="S203" s="90"/>
      <c r="T203" s="88" t="str">
        <f t="shared" si="35"/>
        <v>NA</v>
      </c>
      <c r="U203" s="88" t="str">
        <f t="shared" si="36"/>
        <v>NA</v>
      </c>
      <c r="V203" s="111"/>
      <c r="W203" s="112"/>
      <c r="X203" s="113"/>
      <c r="Y203" s="112"/>
      <c r="Z203" s="31"/>
      <c r="AA203" s="296"/>
      <c r="AB203" s="89"/>
      <c r="AC203" s="88" t="str">
        <f t="shared" si="38"/>
        <v>NA</v>
      </c>
      <c r="AD203" s="88" t="str">
        <f t="shared" si="39"/>
        <v>NA</v>
      </c>
      <c r="AE203" s="111"/>
      <c r="AF203" s="112"/>
      <c r="AG203" s="113"/>
      <c r="AH203" s="112"/>
      <c r="AI203" s="31"/>
      <c r="AJ203" s="294"/>
      <c r="AK203" s="89"/>
      <c r="AL203" s="88" t="str">
        <f t="shared" si="40"/>
        <v>NA</v>
      </c>
      <c r="AM203" s="88" t="str">
        <f t="shared" si="41"/>
        <v>NA</v>
      </c>
      <c r="AN203" s="111"/>
      <c r="AO203" s="112"/>
      <c r="AP203" s="113"/>
      <c r="AQ203" s="112"/>
      <c r="AR203" s="31"/>
      <c r="AS203" s="32"/>
      <c r="AT203" s="90"/>
      <c r="AU203" s="88"/>
      <c r="AV203" s="88"/>
      <c r="AW203" s="111"/>
      <c r="AX203" s="112"/>
      <c r="AY203" s="113"/>
      <c r="AZ203" s="112"/>
      <c r="BA203" s="31"/>
      <c r="BB203" s="32"/>
      <c r="BC203" s="90"/>
      <c r="BD203" s="88"/>
      <c r="BE203" s="88"/>
      <c r="BF203" s="111"/>
      <c r="BG203" s="112"/>
      <c r="BH203" s="113"/>
      <c r="BI203" s="112"/>
      <c r="BJ203" s="31"/>
      <c r="BK203" s="32"/>
      <c r="BL203" s="90"/>
      <c r="BM203" s="88"/>
      <c r="BN203" s="88"/>
      <c r="BO203" s="111"/>
      <c r="BP203" s="112"/>
      <c r="BQ203" s="113"/>
      <c r="BR203" s="112"/>
      <c r="BS203" s="31"/>
      <c r="BT203" s="32"/>
      <c r="BU203" s="90"/>
      <c r="BV203" s="88"/>
      <c r="BW203" s="88"/>
      <c r="BX203" s="111"/>
      <c r="BY203" s="112"/>
      <c r="BZ203" s="113"/>
      <c r="CA203" s="112"/>
      <c r="CB203" s="31"/>
      <c r="CC203" s="32"/>
      <c r="CD203" s="90"/>
      <c r="CE203" s="88"/>
      <c r="CF203" s="88"/>
      <c r="CG203" s="111"/>
      <c r="CH203" s="112"/>
      <c r="CI203" s="113"/>
      <c r="CJ203" s="112"/>
      <c r="CK203" s="31"/>
      <c r="CL203" s="32"/>
      <c r="CM203" s="90"/>
      <c r="CN203" s="88"/>
      <c r="CO203" s="88"/>
      <c r="CP203" s="111"/>
      <c r="CQ203" s="112"/>
      <c r="CR203" s="113"/>
      <c r="CS203" s="112"/>
      <c r="CT203" s="55"/>
      <c r="CV203" s="230" t="s">
        <v>116</v>
      </c>
      <c r="CX203" s="226" t="s">
        <v>1424</v>
      </c>
      <c r="CY203" s="226" t="s">
        <v>1431</v>
      </c>
      <c r="CZ203" s="226" t="s">
        <v>541</v>
      </c>
      <c r="DA203" s="226" t="s">
        <v>541</v>
      </c>
      <c r="DB203" s="14"/>
      <c r="DC203" s="226" t="s">
        <v>541</v>
      </c>
      <c r="DD203" s="226" t="s">
        <v>1421</v>
      </c>
      <c r="DE203" s="226" t="s">
        <v>1469</v>
      </c>
      <c r="DF203" s="226" t="s">
        <v>541</v>
      </c>
      <c r="DG203" s="226" t="s">
        <v>541</v>
      </c>
      <c r="DH203" s="14"/>
    </row>
    <row r="204" spans="1:112" ht="26" x14ac:dyDescent="0.25">
      <c r="A204" s="17" t="s">
        <v>492</v>
      </c>
      <c r="B204" s="17" t="s">
        <v>541</v>
      </c>
      <c r="C204" s="17" t="s">
        <v>113</v>
      </c>
      <c r="D204" s="17" t="s">
        <v>114</v>
      </c>
      <c r="E204" s="17" t="b">
        <f t="shared" si="37"/>
        <v>1</v>
      </c>
      <c r="F204" s="127" t="s">
        <v>492</v>
      </c>
      <c r="G204" s="248" t="s">
        <v>541</v>
      </c>
      <c r="H204" s="128" t="s">
        <v>113</v>
      </c>
      <c r="I204" s="128" t="s">
        <v>114</v>
      </c>
      <c r="J204" s="31"/>
      <c r="K204" s="102" t="s">
        <v>354</v>
      </c>
      <c r="L204" s="90"/>
      <c r="M204" s="111"/>
      <c r="N204" s="112"/>
      <c r="O204" s="113"/>
      <c r="P204" s="112"/>
      <c r="Q204" s="31"/>
      <c r="R204" s="102"/>
      <c r="S204" s="90"/>
      <c r="T204" s="88" t="str">
        <f t="shared" si="35"/>
        <v>NA</v>
      </c>
      <c r="U204" s="88" t="str">
        <f t="shared" si="36"/>
        <v>NA</v>
      </c>
      <c r="V204" s="111"/>
      <c r="W204" s="112"/>
      <c r="X204" s="113"/>
      <c r="Y204" s="112"/>
      <c r="Z204" s="31"/>
      <c r="AA204" s="296"/>
      <c r="AB204" s="89"/>
      <c r="AC204" s="88" t="str">
        <f t="shared" si="38"/>
        <v>NA</v>
      </c>
      <c r="AD204" s="88" t="str">
        <f t="shared" si="39"/>
        <v>NA</v>
      </c>
      <c r="AE204" s="111"/>
      <c r="AF204" s="112"/>
      <c r="AG204" s="113"/>
      <c r="AH204" s="112"/>
      <c r="AI204" s="31"/>
      <c r="AJ204" s="294"/>
      <c r="AK204" s="89"/>
      <c r="AL204" s="88" t="str">
        <f t="shared" si="40"/>
        <v>NA</v>
      </c>
      <c r="AM204" s="88" t="str">
        <f t="shared" si="41"/>
        <v>NA</v>
      </c>
      <c r="AN204" s="111"/>
      <c r="AO204" s="112"/>
      <c r="AP204" s="113"/>
      <c r="AQ204" s="112"/>
      <c r="AR204" s="31"/>
      <c r="AS204" s="32"/>
      <c r="AT204" s="90"/>
      <c r="AU204" s="88"/>
      <c r="AV204" s="88"/>
      <c r="AW204" s="111"/>
      <c r="AX204" s="112"/>
      <c r="AY204" s="113"/>
      <c r="AZ204" s="112"/>
      <c r="BA204" s="31"/>
      <c r="BB204" s="32"/>
      <c r="BC204" s="90"/>
      <c r="BD204" s="88"/>
      <c r="BE204" s="88"/>
      <c r="BF204" s="111"/>
      <c r="BG204" s="112"/>
      <c r="BH204" s="113"/>
      <c r="BI204" s="112"/>
      <c r="BJ204" s="31"/>
      <c r="BK204" s="32"/>
      <c r="BL204" s="90"/>
      <c r="BM204" s="88"/>
      <c r="BN204" s="88"/>
      <c r="BO204" s="111"/>
      <c r="BP204" s="112"/>
      <c r="BQ204" s="113"/>
      <c r="BR204" s="112"/>
      <c r="BS204" s="31"/>
      <c r="BT204" s="32"/>
      <c r="BU204" s="90"/>
      <c r="BV204" s="88"/>
      <c r="BW204" s="88"/>
      <c r="BX204" s="111"/>
      <c r="BY204" s="112"/>
      <c r="BZ204" s="113"/>
      <c r="CA204" s="112"/>
      <c r="CB204" s="31"/>
      <c r="CC204" s="32"/>
      <c r="CD204" s="90"/>
      <c r="CE204" s="88"/>
      <c r="CF204" s="88"/>
      <c r="CG204" s="111"/>
      <c r="CH204" s="112"/>
      <c r="CI204" s="113"/>
      <c r="CJ204" s="112"/>
      <c r="CK204" s="31"/>
      <c r="CL204" s="32"/>
      <c r="CM204" s="90"/>
      <c r="CN204" s="88"/>
      <c r="CO204" s="88"/>
      <c r="CP204" s="111"/>
      <c r="CQ204" s="112"/>
      <c r="CR204" s="113"/>
      <c r="CS204" s="112"/>
      <c r="CT204" s="55"/>
      <c r="CV204" s="230" t="s">
        <v>114</v>
      </c>
      <c r="CX204" s="226" t="s">
        <v>1425</v>
      </c>
      <c r="CY204" s="226" t="s">
        <v>1431</v>
      </c>
      <c r="CZ204" s="226" t="s">
        <v>541</v>
      </c>
      <c r="DA204" s="226" t="s">
        <v>541</v>
      </c>
      <c r="DB204" s="14"/>
      <c r="DC204" s="226" t="s">
        <v>541</v>
      </c>
      <c r="DD204" s="226" t="s">
        <v>1421</v>
      </c>
      <c r="DE204" s="226" t="s">
        <v>1469</v>
      </c>
      <c r="DF204" s="226" t="s">
        <v>541</v>
      </c>
      <c r="DG204" s="226" t="s">
        <v>541</v>
      </c>
      <c r="DH204" s="14"/>
    </row>
    <row r="205" spans="1:112" ht="13" x14ac:dyDescent="0.25">
      <c r="A205" s="17" t="s">
        <v>493</v>
      </c>
      <c r="B205" s="17" t="s">
        <v>541</v>
      </c>
      <c r="C205" s="17" t="s">
        <v>111</v>
      </c>
      <c r="D205" s="17" t="s">
        <v>112</v>
      </c>
      <c r="E205" s="17" t="b">
        <f t="shared" si="37"/>
        <v>1</v>
      </c>
      <c r="F205" s="127" t="s">
        <v>493</v>
      </c>
      <c r="G205" s="248" t="s">
        <v>541</v>
      </c>
      <c r="H205" s="128" t="s">
        <v>111</v>
      </c>
      <c r="I205" s="128" t="s">
        <v>112</v>
      </c>
      <c r="J205" s="31"/>
      <c r="K205" s="102" t="s">
        <v>354</v>
      </c>
      <c r="L205" s="90"/>
      <c r="M205" s="111"/>
      <c r="N205" s="112"/>
      <c r="O205" s="113"/>
      <c r="P205" s="112"/>
      <c r="Q205" s="31"/>
      <c r="R205" s="102"/>
      <c r="S205" s="90"/>
      <c r="T205" s="88" t="str">
        <f t="shared" si="35"/>
        <v>NA</v>
      </c>
      <c r="U205" s="88" t="str">
        <f t="shared" si="36"/>
        <v>NA</v>
      </c>
      <c r="V205" s="111"/>
      <c r="W205" s="112"/>
      <c r="X205" s="113"/>
      <c r="Y205" s="112"/>
      <c r="Z205" s="31"/>
      <c r="AA205" s="296"/>
      <c r="AB205" s="89"/>
      <c r="AC205" s="88" t="str">
        <f t="shared" si="38"/>
        <v>NA</v>
      </c>
      <c r="AD205" s="88" t="str">
        <f t="shared" si="39"/>
        <v>NA</v>
      </c>
      <c r="AE205" s="111"/>
      <c r="AF205" s="112"/>
      <c r="AG205" s="113"/>
      <c r="AH205" s="112"/>
      <c r="AI205" s="31"/>
      <c r="AJ205" s="294"/>
      <c r="AK205" s="89"/>
      <c r="AL205" s="88" t="str">
        <f t="shared" si="40"/>
        <v>NA</v>
      </c>
      <c r="AM205" s="88" t="str">
        <f t="shared" si="41"/>
        <v>NA</v>
      </c>
      <c r="AN205" s="111"/>
      <c r="AO205" s="112"/>
      <c r="AP205" s="113"/>
      <c r="AQ205" s="112"/>
      <c r="AR205" s="31"/>
      <c r="AS205" s="32"/>
      <c r="AT205" s="90"/>
      <c r="AU205" s="88"/>
      <c r="AV205" s="88"/>
      <c r="AW205" s="111"/>
      <c r="AX205" s="112"/>
      <c r="AY205" s="113"/>
      <c r="AZ205" s="112"/>
      <c r="BA205" s="31"/>
      <c r="BB205" s="32"/>
      <c r="BC205" s="90"/>
      <c r="BD205" s="88"/>
      <c r="BE205" s="88"/>
      <c r="BF205" s="111"/>
      <c r="BG205" s="112"/>
      <c r="BH205" s="113"/>
      <c r="BI205" s="112"/>
      <c r="BJ205" s="31"/>
      <c r="BK205" s="32"/>
      <c r="BL205" s="90"/>
      <c r="BM205" s="88"/>
      <c r="BN205" s="88"/>
      <c r="BO205" s="111"/>
      <c r="BP205" s="112"/>
      <c r="BQ205" s="113"/>
      <c r="BR205" s="112"/>
      <c r="BS205" s="31"/>
      <c r="BT205" s="32"/>
      <c r="BU205" s="90"/>
      <c r="BV205" s="88"/>
      <c r="BW205" s="88"/>
      <c r="BX205" s="111"/>
      <c r="BY205" s="112"/>
      <c r="BZ205" s="113"/>
      <c r="CA205" s="112"/>
      <c r="CB205" s="31"/>
      <c r="CC205" s="32"/>
      <c r="CD205" s="90"/>
      <c r="CE205" s="88"/>
      <c r="CF205" s="88"/>
      <c r="CG205" s="111"/>
      <c r="CH205" s="112"/>
      <c r="CI205" s="113"/>
      <c r="CJ205" s="112"/>
      <c r="CK205" s="31"/>
      <c r="CL205" s="32"/>
      <c r="CM205" s="90"/>
      <c r="CN205" s="88"/>
      <c r="CO205" s="88"/>
      <c r="CP205" s="111"/>
      <c r="CQ205" s="112"/>
      <c r="CR205" s="113"/>
      <c r="CS205" s="112"/>
      <c r="CT205" s="55"/>
      <c r="CV205" s="230" t="s">
        <v>112</v>
      </c>
      <c r="CX205" s="226" t="s">
        <v>1424</v>
      </c>
      <c r="CY205" s="226" t="s">
        <v>1431</v>
      </c>
      <c r="CZ205" s="226" t="s">
        <v>541</v>
      </c>
      <c r="DA205" s="226" t="s">
        <v>541</v>
      </c>
      <c r="DB205" s="14"/>
      <c r="DC205" s="226" t="s">
        <v>541</v>
      </c>
      <c r="DD205" s="226" t="s">
        <v>541</v>
      </c>
      <c r="DE205" s="226" t="s">
        <v>1469</v>
      </c>
      <c r="DF205" s="226" t="s">
        <v>541</v>
      </c>
      <c r="DG205" s="226" t="s">
        <v>541</v>
      </c>
      <c r="DH205" s="14"/>
    </row>
    <row r="206" spans="1:112" ht="13" x14ac:dyDescent="0.25">
      <c r="A206" s="17" t="s">
        <v>494</v>
      </c>
      <c r="B206" s="17" t="s">
        <v>541</v>
      </c>
      <c r="C206" s="17" t="s">
        <v>109</v>
      </c>
      <c r="D206" s="17" t="s">
        <v>110</v>
      </c>
      <c r="E206" s="17" t="b">
        <f t="shared" si="37"/>
        <v>1</v>
      </c>
      <c r="F206" s="127" t="s">
        <v>494</v>
      </c>
      <c r="G206" s="248" t="s">
        <v>541</v>
      </c>
      <c r="H206" s="128" t="s">
        <v>109</v>
      </c>
      <c r="I206" s="128" t="s">
        <v>110</v>
      </c>
      <c r="J206" s="31"/>
      <c r="K206" s="102" t="s">
        <v>354</v>
      </c>
      <c r="L206" s="90"/>
      <c r="M206" s="111"/>
      <c r="N206" s="112"/>
      <c r="O206" s="113"/>
      <c r="P206" s="112"/>
      <c r="Q206" s="31"/>
      <c r="R206" s="102"/>
      <c r="S206" s="90"/>
      <c r="T206" s="88" t="str">
        <f t="shared" si="35"/>
        <v>NA</v>
      </c>
      <c r="U206" s="88" t="str">
        <f t="shared" si="36"/>
        <v>NA</v>
      </c>
      <c r="V206" s="111"/>
      <c r="W206" s="112"/>
      <c r="X206" s="113"/>
      <c r="Y206" s="112"/>
      <c r="Z206" s="31"/>
      <c r="AA206" s="296"/>
      <c r="AB206" s="89"/>
      <c r="AC206" s="88" t="str">
        <f t="shared" si="38"/>
        <v>NA</v>
      </c>
      <c r="AD206" s="88" t="str">
        <f t="shared" si="39"/>
        <v>NA</v>
      </c>
      <c r="AE206" s="111"/>
      <c r="AF206" s="112"/>
      <c r="AG206" s="113"/>
      <c r="AH206" s="112"/>
      <c r="AI206" s="31"/>
      <c r="AJ206" s="294"/>
      <c r="AK206" s="89"/>
      <c r="AL206" s="88" t="str">
        <f t="shared" si="40"/>
        <v>NA</v>
      </c>
      <c r="AM206" s="88" t="str">
        <f t="shared" si="41"/>
        <v>NA</v>
      </c>
      <c r="AN206" s="111"/>
      <c r="AO206" s="112"/>
      <c r="AP206" s="113"/>
      <c r="AQ206" s="112"/>
      <c r="AR206" s="31"/>
      <c r="AS206" s="32"/>
      <c r="AT206" s="90"/>
      <c r="AU206" s="88"/>
      <c r="AV206" s="88"/>
      <c r="AW206" s="111"/>
      <c r="AX206" s="112"/>
      <c r="AY206" s="113"/>
      <c r="AZ206" s="112"/>
      <c r="BA206" s="31"/>
      <c r="BB206" s="32"/>
      <c r="BC206" s="90"/>
      <c r="BD206" s="88"/>
      <c r="BE206" s="88"/>
      <c r="BF206" s="111"/>
      <c r="BG206" s="112"/>
      <c r="BH206" s="113"/>
      <c r="BI206" s="112"/>
      <c r="BJ206" s="31"/>
      <c r="BK206" s="32"/>
      <c r="BL206" s="90"/>
      <c r="BM206" s="88"/>
      <c r="BN206" s="88"/>
      <c r="BO206" s="111"/>
      <c r="BP206" s="112"/>
      <c r="BQ206" s="113"/>
      <c r="BR206" s="112"/>
      <c r="BS206" s="31"/>
      <c r="BT206" s="32"/>
      <c r="BU206" s="90"/>
      <c r="BV206" s="88"/>
      <c r="BW206" s="88"/>
      <c r="BX206" s="111"/>
      <c r="BY206" s="112"/>
      <c r="BZ206" s="113"/>
      <c r="CA206" s="112"/>
      <c r="CB206" s="31"/>
      <c r="CC206" s="32"/>
      <c r="CD206" s="90"/>
      <c r="CE206" s="88"/>
      <c r="CF206" s="88"/>
      <c r="CG206" s="111"/>
      <c r="CH206" s="112"/>
      <c r="CI206" s="113"/>
      <c r="CJ206" s="112"/>
      <c r="CK206" s="31"/>
      <c r="CL206" s="32"/>
      <c r="CM206" s="90"/>
      <c r="CN206" s="88"/>
      <c r="CO206" s="88"/>
      <c r="CP206" s="111"/>
      <c r="CQ206" s="112"/>
      <c r="CR206" s="113"/>
      <c r="CS206" s="112"/>
      <c r="CT206" s="55"/>
      <c r="CV206" s="230" t="s">
        <v>110</v>
      </c>
      <c r="CX206" s="226" t="s">
        <v>1425</v>
      </c>
      <c r="CY206" s="226" t="s">
        <v>1431</v>
      </c>
      <c r="CZ206" s="226" t="s">
        <v>541</v>
      </c>
      <c r="DA206" s="226" t="s">
        <v>541</v>
      </c>
      <c r="DB206" s="14"/>
      <c r="DC206" s="226" t="s">
        <v>541</v>
      </c>
      <c r="DD206" s="226" t="s">
        <v>541</v>
      </c>
      <c r="DE206" s="226" t="s">
        <v>1469</v>
      </c>
      <c r="DF206" s="226" t="s">
        <v>541</v>
      </c>
      <c r="DG206" s="226" t="s">
        <v>541</v>
      </c>
      <c r="DH206" s="14"/>
    </row>
    <row r="207" spans="1:112" ht="13" x14ac:dyDescent="0.25">
      <c r="A207" s="17" t="s">
        <v>495</v>
      </c>
      <c r="B207" s="17" t="s">
        <v>541</v>
      </c>
      <c r="C207" s="17" t="s">
        <v>107</v>
      </c>
      <c r="D207" s="17" t="s">
        <v>108</v>
      </c>
      <c r="E207" s="17" t="b">
        <f t="shared" si="37"/>
        <v>1</v>
      </c>
      <c r="F207" s="127" t="s">
        <v>495</v>
      </c>
      <c r="G207" s="248" t="s">
        <v>541</v>
      </c>
      <c r="H207" s="128" t="s">
        <v>107</v>
      </c>
      <c r="I207" s="128" t="s">
        <v>108</v>
      </c>
      <c r="J207" s="31"/>
      <c r="K207" s="102" t="s">
        <v>354</v>
      </c>
      <c r="L207" s="90"/>
      <c r="M207" s="111"/>
      <c r="N207" s="112"/>
      <c r="O207" s="113"/>
      <c r="P207" s="112"/>
      <c r="Q207" s="31"/>
      <c r="R207" s="102"/>
      <c r="S207" s="90"/>
      <c r="T207" s="88" t="str">
        <f t="shared" si="35"/>
        <v>NA</v>
      </c>
      <c r="U207" s="88" t="str">
        <f t="shared" si="36"/>
        <v>NA</v>
      </c>
      <c r="V207" s="111"/>
      <c r="W207" s="112"/>
      <c r="X207" s="113"/>
      <c r="Y207" s="112"/>
      <c r="Z207" s="31"/>
      <c r="AA207" s="296"/>
      <c r="AB207" s="89"/>
      <c r="AC207" s="88" t="str">
        <f t="shared" si="38"/>
        <v>NA</v>
      </c>
      <c r="AD207" s="88" t="str">
        <f t="shared" si="39"/>
        <v>NA</v>
      </c>
      <c r="AE207" s="111"/>
      <c r="AF207" s="112"/>
      <c r="AG207" s="113"/>
      <c r="AH207" s="112"/>
      <c r="AI207" s="31"/>
      <c r="AJ207" s="294"/>
      <c r="AK207" s="89"/>
      <c r="AL207" s="88" t="str">
        <f t="shared" si="40"/>
        <v>NA</v>
      </c>
      <c r="AM207" s="88" t="str">
        <f t="shared" si="41"/>
        <v>NA</v>
      </c>
      <c r="AN207" s="111"/>
      <c r="AO207" s="112"/>
      <c r="AP207" s="113"/>
      <c r="AQ207" s="112"/>
      <c r="AR207" s="31"/>
      <c r="AS207" s="32"/>
      <c r="AT207" s="90"/>
      <c r="AU207" s="88"/>
      <c r="AV207" s="88"/>
      <c r="AW207" s="111"/>
      <c r="AX207" s="112"/>
      <c r="AY207" s="113"/>
      <c r="AZ207" s="112"/>
      <c r="BA207" s="31"/>
      <c r="BB207" s="32"/>
      <c r="BC207" s="90"/>
      <c r="BD207" s="88"/>
      <c r="BE207" s="88"/>
      <c r="BF207" s="111"/>
      <c r="BG207" s="112"/>
      <c r="BH207" s="113"/>
      <c r="BI207" s="112"/>
      <c r="BJ207" s="31"/>
      <c r="BK207" s="32"/>
      <c r="BL207" s="90"/>
      <c r="BM207" s="88"/>
      <c r="BN207" s="88"/>
      <c r="BO207" s="111"/>
      <c r="BP207" s="112"/>
      <c r="BQ207" s="113"/>
      <c r="BR207" s="112"/>
      <c r="BS207" s="31"/>
      <c r="BT207" s="32"/>
      <c r="BU207" s="90"/>
      <c r="BV207" s="88"/>
      <c r="BW207" s="88"/>
      <c r="BX207" s="111"/>
      <c r="BY207" s="112"/>
      <c r="BZ207" s="113"/>
      <c r="CA207" s="112"/>
      <c r="CB207" s="31"/>
      <c r="CC207" s="32"/>
      <c r="CD207" s="90"/>
      <c r="CE207" s="88"/>
      <c r="CF207" s="88"/>
      <c r="CG207" s="111"/>
      <c r="CH207" s="112"/>
      <c r="CI207" s="113"/>
      <c r="CJ207" s="112"/>
      <c r="CK207" s="31"/>
      <c r="CL207" s="32"/>
      <c r="CM207" s="90"/>
      <c r="CN207" s="88"/>
      <c r="CO207" s="88"/>
      <c r="CP207" s="111"/>
      <c r="CQ207" s="112"/>
      <c r="CR207" s="113"/>
      <c r="CS207" s="112"/>
      <c r="CT207" s="55"/>
      <c r="CV207" s="230" t="s">
        <v>108</v>
      </c>
      <c r="CX207" s="226" t="s">
        <v>1424</v>
      </c>
      <c r="CY207" s="226" t="s">
        <v>1431</v>
      </c>
      <c r="CZ207" s="226" t="s">
        <v>541</v>
      </c>
      <c r="DA207" s="226" t="s">
        <v>541</v>
      </c>
      <c r="DB207" s="14"/>
      <c r="DC207" s="226" t="s">
        <v>541</v>
      </c>
      <c r="DD207" s="226" t="s">
        <v>541</v>
      </c>
      <c r="DE207" s="226" t="s">
        <v>1469</v>
      </c>
      <c r="DF207" s="226" t="s">
        <v>541</v>
      </c>
      <c r="DG207" s="226" t="s">
        <v>541</v>
      </c>
      <c r="DH207" s="14"/>
    </row>
    <row r="208" spans="1:112" ht="13" x14ac:dyDescent="0.25">
      <c r="A208" s="17" t="s">
        <v>496</v>
      </c>
      <c r="B208" s="17" t="s">
        <v>541</v>
      </c>
      <c r="C208" s="17" t="s">
        <v>105</v>
      </c>
      <c r="D208" s="17" t="s">
        <v>106</v>
      </c>
      <c r="E208" s="17" t="b">
        <f t="shared" si="37"/>
        <v>1</v>
      </c>
      <c r="F208" s="127" t="s">
        <v>496</v>
      </c>
      <c r="G208" s="248" t="s">
        <v>541</v>
      </c>
      <c r="H208" s="128" t="s">
        <v>105</v>
      </c>
      <c r="I208" s="128" t="s">
        <v>106</v>
      </c>
      <c r="J208" s="31"/>
      <c r="K208" s="102" t="s">
        <v>354</v>
      </c>
      <c r="L208" s="90"/>
      <c r="M208" s="111"/>
      <c r="N208" s="112"/>
      <c r="O208" s="113"/>
      <c r="P208" s="112"/>
      <c r="Q208" s="31"/>
      <c r="R208" s="102"/>
      <c r="S208" s="90"/>
      <c r="T208" s="88" t="str">
        <f t="shared" si="35"/>
        <v>NA</v>
      </c>
      <c r="U208" s="88" t="str">
        <f t="shared" si="36"/>
        <v>NA</v>
      </c>
      <c r="V208" s="111"/>
      <c r="W208" s="112"/>
      <c r="X208" s="113"/>
      <c r="Y208" s="112"/>
      <c r="Z208" s="31"/>
      <c r="AA208" s="296"/>
      <c r="AB208" s="89"/>
      <c r="AC208" s="88" t="str">
        <f t="shared" si="38"/>
        <v>NA</v>
      </c>
      <c r="AD208" s="88" t="str">
        <f t="shared" si="39"/>
        <v>NA</v>
      </c>
      <c r="AE208" s="111"/>
      <c r="AF208" s="112"/>
      <c r="AG208" s="113"/>
      <c r="AH208" s="112"/>
      <c r="AI208" s="31"/>
      <c r="AJ208" s="294"/>
      <c r="AK208" s="89"/>
      <c r="AL208" s="88" t="str">
        <f t="shared" si="40"/>
        <v>NA</v>
      </c>
      <c r="AM208" s="88" t="str">
        <f t="shared" si="41"/>
        <v>NA</v>
      </c>
      <c r="AN208" s="111"/>
      <c r="AO208" s="112"/>
      <c r="AP208" s="113"/>
      <c r="AQ208" s="112"/>
      <c r="AR208" s="31"/>
      <c r="AS208" s="32"/>
      <c r="AT208" s="90"/>
      <c r="AU208" s="88"/>
      <c r="AV208" s="88"/>
      <c r="AW208" s="111"/>
      <c r="AX208" s="112"/>
      <c r="AY208" s="113"/>
      <c r="AZ208" s="112"/>
      <c r="BA208" s="31"/>
      <c r="BB208" s="32"/>
      <c r="BC208" s="90"/>
      <c r="BD208" s="88"/>
      <c r="BE208" s="88"/>
      <c r="BF208" s="111"/>
      <c r="BG208" s="112"/>
      <c r="BH208" s="113"/>
      <c r="BI208" s="112"/>
      <c r="BJ208" s="31"/>
      <c r="BK208" s="32"/>
      <c r="BL208" s="90"/>
      <c r="BM208" s="88"/>
      <c r="BN208" s="88"/>
      <c r="BO208" s="111"/>
      <c r="BP208" s="112"/>
      <c r="BQ208" s="113"/>
      <c r="BR208" s="112"/>
      <c r="BS208" s="31"/>
      <c r="BT208" s="32"/>
      <c r="BU208" s="90"/>
      <c r="BV208" s="88"/>
      <c r="BW208" s="88"/>
      <c r="BX208" s="111"/>
      <c r="BY208" s="112"/>
      <c r="BZ208" s="113"/>
      <c r="CA208" s="112"/>
      <c r="CB208" s="31"/>
      <c r="CC208" s="32"/>
      <c r="CD208" s="90"/>
      <c r="CE208" s="88"/>
      <c r="CF208" s="88"/>
      <c r="CG208" s="111"/>
      <c r="CH208" s="112"/>
      <c r="CI208" s="113"/>
      <c r="CJ208" s="112"/>
      <c r="CK208" s="31"/>
      <c r="CL208" s="32"/>
      <c r="CM208" s="90"/>
      <c r="CN208" s="88"/>
      <c r="CO208" s="88"/>
      <c r="CP208" s="111"/>
      <c r="CQ208" s="112"/>
      <c r="CR208" s="113"/>
      <c r="CS208" s="112"/>
      <c r="CT208" s="55"/>
      <c r="CV208" s="230" t="s">
        <v>106</v>
      </c>
      <c r="CX208" s="226" t="s">
        <v>1425</v>
      </c>
      <c r="CY208" s="226" t="s">
        <v>1431</v>
      </c>
      <c r="CZ208" s="226" t="s">
        <v>541</v>
      </c>
      <c r="DA208" s="226" t="s">
        <v>541</v>
      </c>
      <c r="DB208" s="14"/>
      <c r="DC208" s="226" t="s">
        <v>541</v>
      </c>
      <c r="DD208" s="226" t="s">
        <v>541</v>
      </c>
      <c r="DE208" s="226" t="s">
        <v>1469</v>
      </c>
      <c r="DF208" s="226" t="s">
        <v>541</v>
      </c>
      <c r="DG208" s="226" t="s">
        <v>541</v>
      </c>
      <c r="DH208" s="14"/>
    </row>
    <row r="209" spans="1:112" ht="26" x14ac:dyDescent="0.25">
      <c r="A209" s="17" t="s">
        <v>1004</v>
      </c>
      <c r="B209" s="17" t="s">
        <v>1310</v>
      </c>
      <c r="C209" s="17" t="s">
        <v>1388</v>
      </c>
      <c r="D209" s="17" t="s">
        <v>1331</v>
      </c>
      <c r="E209" s="17" t="b">
        <f t="shared" si="37"/>
        <v>1</v>
      </c>
      <c r="F209" s="232" t="s">
        <v>2110</v>
      </c>
      <c r="G209" s="278" t="s">
        <v>2176</v>
      </c>
      <c r="H209" s="128" t="s">
        <v>1388</v>
      </c>
      <c r="I209" s="233" t="s">
        <v>1331</v>
      </c>
      <c r="J209" s="31"/>
      <c r="K209" s="102" t="s">
        <v>354</v>
      </c>
      <c r="L209" s="89"/>
      <c r="M209" s="111"/>
      <c r="N209" s="112"/>
      <c r="O209" s="113"/>
      <c r="P209" s="112"/>
      <c r="Q209" s="31"/>
      <c r="R209" s="102"/>
      <c r="S209" s="89"/>
      <c r="T209" s="88" t="str">
        <f t="shared" si="35"/>
        <v>NA</v>
      </c>
      <c r="U209" s="88" t="str">
        <f t="shared" si="36"/>
        <v>NA</v>
      </c>
      <c r="V209" s="111"/>
      <c r="W209" s="112"/>
      <c r="X209" s="113"/>
      <c r="Y209" s="112"/>
      <c r="Z209" s="31"/>
      <c r="AA209" s="296"/>
      <c r="AB209" s="89"/>
      <c r="AC209" s="88" t="str">
        <f t="shared" si="38"/>
        <v>NA</v>
      </c>
      <c r="AD209" s="88" t="str">
        <f t="shared" si="39"/>
        <v>NA</v>
      </c>
      <c r="AE209" s="111"/>
      <c r="AF209" s="112"/>
      <c r="AG209" s="113"/>
      <c r="AH209" s="112"/>
      <c r="AI209" s="31"/>
      <c r="AJ209" s="294"/>
      <c r="AK209" s="89"/>
      <c r="AL209" s="88" t="str">
        <f t="shared" si="40"/>
        <v>NA</v>
      </c>
      <c r="AM209" s="88" t="str">
        <f t="shared" si="41"/>
        <v>NA</v>
      </c>
      <c r="AN209" s="111"/>
      <c r="AO209" s="112"/>
      <c r="AP209" s="113"/>
      <c r="AQ209" s="112"/>
      <c r="AR209" s="31"/>
      <c r="AS209" s="32"/>
      <c r="AT209" s="90"/>
      <c r="AU209" s="88"/>
      <c r="AV209" s="88"/>
      <c r="AW209" s="111"/>
      <c r="AX209" s="112"/>
      <c r="AY209" s="113"/>
      <c r="AZ209" s="112"/>
      <c r="BA209" s="31"/>
      <c r="BB209" s="32"/>
      <c r="BC209" s="90"/>
      <c r="BD209" s="88"/>
      <c r="BE209" s="88"/>
      <c r="BF209" s="111"/>
      <c r="BG209" s="112"/>
      <c r="BH209" s="113"/>
      <c r="BI209" s="112"/>
      <c r="BJ209" s="31"/>
      <c r="BK209" s="32"/>
      <c r="BL209" s="90"/>
      <c r="BM209" s="88"/>
      <c r="BN209" s="88"/>
      <c r="BO209" s="111"/>
      <c r="BP209" s="112"/>
      <c r="BQ209" s="113"/>
      <c r="BR209" s="112"/>
      <c r="BS209" s="31"/>
      <c r="BT209" s="32"/>
      <c r="BU209" s="90"/>
      <c r="BV209" s="88"/>
      <c r="BW209" s="88"/>
      <c r="BX209" s="111"/>
      <c r="BY209" s="112"/>
      <c r="BZ209" s="113"/>
      <c r="CA209" s="112"/>
      <c r="CB209" s="31"/>
      <c r="CC209" s="32"/>
      <c r="CD209" s="90"/>
      <c r="CE209" s="88"/>
      <c r="CF209" s="88"/>
      <c r="CG209" s="111"/>
      <c r="CH209" s="112"/>
      <c r="CI209" s="113"/>
      <c r="CJ209" s="112"/>
      <c r="CK209" s="31"/>
      <c r="CL209" s="32"/>
      <c r="CM209" s="90"/>
      <c r="CN209" s="88"/>
      <c r="CO209" s="88"/>
      <c r="CP209" s="111"/>
      <c r="CQ209" s="112"/>
      <c r="CR209" s="113"/>
      <c r="CS209" s="112"/>
      <c r="CT209" s="55"/>
      <c r="CV209" s="230"/>
      <c r="CX209" s="226" t="s">
        <v>1424</v>
      </c>
      <c r="CY209" s="226" t="s">
        <v>541</v>
      </c>
      <c r="CZ209" s="226" t="s">
        <v>541</v>
      </c>
      <c r="DA209" s="226" t="s">
        <v>541</v>
      </c>
      <c r="DB209" s="226"/>
      <c r="DC209" s="226" t="s">
        <v>541</v>
      </c>
      <c r="DD209" s="226" t="s">
        <v>541</v>
      </c>
      <c r="DE209" s="226" t="s">
        <v>541</v>
      </c>
      <c r="DF209" s="226" t="s">
        <v>541</v>
      </c>
      <c r="DG209" s="226" t="s">
        <v>541</v>
      </c>
      <c r="DH209" s="14"/>
    </row>
    <row r="210" spans="1:112" ht="26" x14ac:dyDescent="0.25">
      <c r="A210" s="17" t="s">
        <v>1004</v>
      </c>
      <c r="B210" s="17" t="s">
        <v>1311</v>
      </c>
      <c r="C210" s="17" t="s">
        <v>1389</v>
      </c>
      <c r="D210" s="17" t="s">
        <v>1332</v>
      </c>
      <c r="E210" s="17" t="b">
        <f t="shared" si="37"/>
        <v>1</v>
      </c>
      <c r="F210" s="232" t="s">
        <v>2111</v>
      </c>
      <c r="G210" s="278" t="s">
        <v>2177</v>
      </c>
      <c r="H210" s="128" t="s">
        <v>1389</v>
      </c>
      <c r="I210" s="233" t="s">
        <v>1332</v>
      </c>
      <c r="J210" s="31"/>
      <c r="K210" s="102" t="s">
        <v>354</v>
      </c>
      <c r="L210" s="89"/>
      <c r="M210" s="111"/>
      <c r="N210" s="112"/>
      <c r="O210" s="113"/>
      <c r="P210" s="112"/>
      <c r="Q210" s="31"/>
      <c r="R210" s="102"/>
      <c r="S210" s="89"/>
      <c r="T210" s="88" t="str">
        <f t="shared" si="35"/>
        <v>NA</v>
      </c>
      <c r="U210" s="88" t="str">
        <f t="shared" si="36"/>
        <v>NA</v>
      </c>
      <c r="V210" s="111"/>
      <c r="W210" s="112"/>
      <c r="X210" s="113"/>
      <c r="Y210" s="112"/>
      <c r="Z210" s="31"/>
      <c r="AA210" s="296"/>
      <c r="AB210" s="89"/>
      <c r="AC210" s="88" t="str">
        <f t="shared" si="38"/>
        <v>NA</v>
      </c>
      <c r="AD210" s="88" t="str">
        <f t="shared" si="39"/>
        <v>NA</v>
      </c>
      <c r="AE210" s="111"/>
      <c r="AF210" s="112"/>
      <c r="AG210" s="113"/>
      <c r="AH210" s="112"/>
      <c r="AI210" s="31"/>
      <c r="AJ210" s="294"/>
      <c r="AK210" s="89"/>
      <c r="AL210" s="88" t="str">
        <f t="shared" si="40"/>
        <v>NA</v>
      </c>
      <c r="AM210" s="88" t="str">
        <f t="shared" si="41"/>
        <v>NA</v>
      </c>
      <c r="AN210" s="111"/>
      <c r="AO210" s="112"/>
      <c r="AP210" s="113"/>
      <c r="AQ210" s="112"/>
      <c r="AR210" s="31"/>
      <c r="AS210" s="32"/>
      <c r="AT210" s="90"/>
      <c r="AU210" s="88"/>
      <c r="AV210" s="88"/>
      <c r="AW210" s="111"/>
      <c r="AX210" s="112"/>
      <c r="AY210" s="113"/>
      <c r="AZ210" s="112"/>
      <c r="BA210" s="31"/>
      <c r="BB210" s="32"/>
      <c r="BC210" s="90"/>
      <c r="BD210" s="88"/>
      <c r="BE210" s="88"/>
      <c r="BF210" s="111"/>
      <c r="BG210" s="112"/>
      <c r="BH210" s="113"/>
      <c r="BI210" s="112"/>
      <c r="BJ210" s="31"/>
      <c r="BK210" s="32"/>
      <c r="BL210" s="90"/>
      <c r="BM210" s="88"/>
      <c r="BN210" s="88"/>
      <c r="BO210" s="111"/>
      <c r="BP210" s="112"/>
      <c r="BQ210" s="113"/>
      <c r="BR210" s="112"/>
      <c r="BS210" s="31"/>
      <c r="BT210" s="32"/>
      <c r="BU210" s="90"/>
      <c r="BV210" s="88"/>
      <c r="BW210" s="88"/>
      <c r="BX210" s="111"/>
      <c r="BY210" s="112"/>
      <c r="BZ210" s="113"/>
      <c r="CA210" s="112"/>
      <c r="CB210" s="31"/>
      <c r="CC210" s="32"/>
      <c r="CD210" s="90"/>
      <c r="CE210" s="88"/>
      <c r="CF210" s="88"/>
      <c r="CG210" s="111"/>
      <c r="CH210" s="112"/>
      <c r="CI210" s="113"/>
      <c r="CJ210" s="112"/>
      <c r="CK210" s="31"/>
      <c r="CL210" s="32"/>
      <c r="CM210" s="90"/>
      <c r="CN210" s="88"/>
      <c r="CO210" s="88"/>
      <c r="CP210" s="111"/>
      <c r="CQ210" s="112"/>
      <c r="CR210" s="113"/>
      <c r="CS210" s="112"/>
      <c r="CT210" s="55"/>
      <c r="CV210" s="230"/>
      <c r="CX210" s="226" t="s">
        <v>1425</v>
      </c>
      <c r="CY210" s="226" t="s">
        <v>541</v>
      </c>
      <c r="CZ210" s="226" t="s">
        <v>541</v>
      </c>
      <c r="DA210" s="226" t="s">
        <v>541</v>
      </c>
      <c r="DB210" s="14"/>
      <c r="DC210" s="226" t="s">
        <v>541</v>
      </c>
      <c r="DD210" s="226" t="s">
        <v>541</v>
      </c>
      <c r="DE210" s="226" t="s">
        <v>541</v>
      </c>
      <c r="DF210" s="226" t="s">
        <v>541</v>
      </c>
      <c r="DG210" s="226" t="s">
        <v>541</v>
      </c>
      <c r="DH210" s="14"/>
    </row>
    <row r="211" spans="1:112" ht="26" x14ac:dyDescent="0.25">
      <c r="A211" s="17" t="s">
        <v>1004</v>
      </c>
      <c r="B211" s="17" t="s">
        <v>1312</v>
      </c>
      <c r="C211" s="17" t="s">
        <v>1390</v>
      </c>
      <c r="D211" s="17" t="s">
        <v>1333</v>
      </c>
      <c r="E211" s="17" t="b">
        <f t="shared" si="37"/>
        <v>1</v>
      </c>
      <c r="F211" s="232" t="s">
        <v>2112</v>
      </c>
      <c r="G211" s="278" t="s">
        <v>2178</v>
      </c>
      <c r="H211" s="128" t="s">
        <v>1390</v>
      </c>
      <c r="I211" s="233" t="s">
        <v>1333</v>
      </c>
      <c r="J211" s="31"/>
      <c r="K211" s="102" t="s">
        <v>354</v>
      </c>
      <c r="L211" s="89"/>
      <c r="M211" s="111"/>
      <c r="N211" s="112"/>
      <c r="O211" s="113"/>
      <c r="P211" s="112"/>
      <c r="Q211" s="31"/>
      <c r="R211" s="102"/>
      <c r="S211" s="89"/>
      <c r="T211" s="88" t="str">
        <f t="shared" si="35"/>
        <v>NA</v>
      </c>
      <c r="U211" s="88" t="str">
        <f t="shared" si="36"/>
        <v>NA</v>
      </c>
      <c r="V211" s="111"/>
      <c r="W211" s="112"/>
      <c r="X211" s="113"/>
      <c r="Y211" s="112"/>
      <c r="Z211" s="31"/>
      <c r="AA211" s="296"/>
      <c r="AB211" s="89"/>
      <c r="AC211" s="88" t="str">
        <f t="shared" si="38"/>
        <v>NA</v>
      </c>
      <c r="AD211" s="88" t="str">
        <f t="shared" si="39"/>
        <v>NA</v>
      </c>
      <c r="AE211" s="111"/>
      <c r="AF211" s="112"/>
      <c r="AG211" s="113"/>
      <c r="AH211" s="112"/>
      <c r="AI211" s="31"/>
      <c r="AJ211" s="294"/>
      <c r="AK211" s="89"/>
      <c r="AL211" s="88" t="str">
        <f t="shared" si="40"/>
        <v>NA</v>
      </c>
      <c r="AM211" s="88" t="str">
        <f t="shared" si="41"/>
        <v>NA</v>
      </c>
      <c r="AN211" s="111"/>
      <c r="AO211" s="112"/>
      <c r="AP211" s="113"/>
      <c r="AQ211" s="112"/>
      <c r="AR211" s="31"/>
      <c r="AS211" s="32"/>
      <c r="AT211" s="90"/>
      <c r="AU211" s="88"/>
      <c r="AV211" s="88"/>
      <c r="AW211" s="111"/>
      <c r="AX211" s="112"/>
      <c r="AY211" s="113"/>
      <c r="AZ211" s="112"/>
      <c r="BA211" s="31"/>
      <c r="BB211" s="32"/>
      <c r="BC211" s="90"/>
      <c r="BD211" s="88"/>
      <c r="BE211" s="88"/>
      <c r="BF211" s="111"/>
      <c r="BG211" s="112"/>
      <c r="BH211" s="113"/>
      <c r="BI211" s="112"/>
      <c r="BJ211" s="31"/>
      <c r="BK211" s="32"/>
      <c r="BL211" s="90"/>
      <c r="BM211" s="88"/>
      <c r="BN211" s="88"/>
      <c r="BO211" s="111"/>
      <c r="BP211" s="112"/>
      <c r="BQ211" s="113"/>
      <c r="BR211" s="112"/>
      <c r="BS211" s="31"/>
      <c r="BT211" s="32"/>
      <c r="BU211" s="90"/>
      <c r="BV211" s="88"/>
      <c r="BW211" s="88"/>
      <c r="BX211" s="111"/>
      <c r="BY211" s="112"/>
      <c r="BZ211" s="113"/>
      <c r="CA211" s="112"/>
      <c r="CB211" s="31"/>
      <c r="CC211" s="32"/>
      <c r="CD211" s="90"/>
      <c r="CE211" s="88"/>
      <c r="CF211" s="88"/>
      <c r="CG211" s="111"/>
      <c r="CH211" s="112"/>
      <c r="CI211" s="113"/>
      <c r="CJ211" s="112"/>
      <c r="CK211" s="31"/>
      <c r="CL211" s="32"/>
      <c r="CM211" s="90"/>
      <c r="CN211" s="88"/>
      <c r="CO211" s="88"/>
      <c r="CP211" s="111"/>
      <c r="CQ211" s="112"/>
      <c r="CR211" s="113"/>
      <c r="CS211" s="112"/>
      <c r="CT211" s="55"/>
      <c r="CV211" s="230"/>
      <c r="CX211" s="226" t="s">
        <v>541</v>
      </c>
      <c r="CY211" s="226" t="s">
        <v>541</v>
      </c>
      <c r="CZ211" s="226" t="s">
        <v>541</v>
      </c>
      <c r="DA211" s="226" t="s">
        <v>541</v>
      </c>
      <c r="DB211" s="226"/>
      <c r="DC211" s="226" t="s">
        <v>541</v>
      </c>
      <c r="DD211" s="226" t="s">
        <v>541</v>
      </c>
      <c r="DE211" s="226" t="s">
        <v>541</v>
      </c>
      <c r="DF211" s="226" t="s">
        <v>541</v>
      </c>
      <c r="DG211" s="226" t="s">
        <v>541</v>
      </c>
      <c r="DH211" s="14"/>
    </row>
    <row r="212" spans="1:112" ht="26" x14ac:dyDescent="0.25">
      <c r="A212" s="17" t="s">
        <v>1004</v>
      </c>
      <c r="B212" s="17" t="s">
        <v>1313</v>
      </c>
      <c r="C212" s="17" t="s">
        <v>1391</v>
      </c>
      <c r="D212" s="17" t="s">
        <v>1334</v>
      </c>
      <c r="E212" s="17" t="b">
        <f t="shared" si="37"/>
        <v>1</v>
      </c>
      <c r="F212" s="232" t="s">
        <v>2113</v>
      </c>
      <c r="G212" s="278" t="s">
        <v>2179</v>
      </c>
      <c r="H212" s="128" t="s">
        <v>1391</v>
      </c>
      <c r="I212" s="233" t="s">
        <v>1334</v>
      </c>
      <c r="J212" s="31"/>
      <c r="K212" s="102" t="s">
        <v>354</v>
      </c>
      <c r="L212" s="89"/>
      <c r="M212" s="111"/>
      <c r="N212" s="112"/>
      <c r="O212" s="113"/>
      <c r="P212" s="112"/>
      <c r="Q212" s="31"/>
      <c r="R212" s="102"/>
      <c r="S212" s="89"/>
      <c r="T212" s="88" t="str">
        <f t="shared" si="35"/>
        <v>NA</v>
      </c>
      <c r="U212" s="88" t="str">
        <f t="shared" si="36"/>
        <v>NA</v>
      </c>
      <c r="V212" s="111"/>
      <c r="W212" s="112"/>
      <c r="X212" s="113"/>
      <c r="Y212" s="112"/>
      <c r="Z212" s="31"/>
      <c r="AA212" s="296"/>
      <c r="AB212" s="89"/>
      <c r="AC212" s="88" t="str">
        <f t="shared" si="38"/>
        <v>NA</v>
      </c>
      <c r="AD212" s="88" t="str">
        <f t="shared" si="39"/>
        <v>NA</v>
      </c>
      <c r="AE212" s="111"/>
      <c r="AF212" s="112"/>
      <c r="AG212" s="113"/>
      <c r="AH212" s="112"/>
      <c r="AI212" s="31"/>
      <c r="AJ212" s="294"/>
      <c r="AK212" s="89"/>
      <c r="AL212" s="88" t="str">
        <f t="shared" si="40"/>
        <v>NA</v>
      </c>
      <c r="AM212" s="88" t="str">
        <f t="shared" si="41"/>
        <v>NA</v>
      </c>
      <c r="AN212" s="111"/>
      <c r="AO212" s="112"/>
      <c r="AP212" s="113"/>
      <c r="AQ212" s="112"/>
      <c r="AR212" s="31"/>
      <c r="AS212" s="32"/>
      <c r="AT212" s="90"/>
      <c r="AU212" s="88"/>
      <c r="AV212" s="88"/>
      <c r="AW212" s="111"/>
      <c r="AX212" s="112"/>
      <c r="AY212" s="113"/>
      <c r="AZ212" s="112"/>
      <c r="BA212" s="31"/>
      <c r="BB212" s="32"/>
      <c r="BC212" s="90"/>
      <c r="BD212" s="88"/>
      <c r="BE212" s="88"/>
      <c r="BF212" s="111"/>
      <c r="BG212" s="112"/>
      <c r="BH212" s="113"/>
      <c r="BI212" s="112"/>
      <c r="BJ212" s="31"/>
      <c r="BK212" s="32"/>
      <c r="BL212" s="90"/>
      <c r="BM212" s="88"/>
      <c r="BN212" s="88"/>
      <c r="BO212" s="111"/>
      <c r="BP212" s="112"/>
      <c r="BQ212" s="113"/>
      <c r="BR212" s="112"/>
      <c r="BS212" s="31"/>
      <c r="BT212" s="32"/>
      <c r="BU212" s="90"/>
      <c r="BV212" s="88"/>
      <c r="BW212" s="88"/>
      <c r="BX212" s="111"/>
      <c r="BY212" s="112"/>
      <c r="BZ212" s="113"/>
      <c r="CA212" s="112"/>
      <c r="CB212" s="31"/>
      <c r="CC212" s="32"/>
      <c r="CD212" s="90"/>
      <c r="CE212" s="88"/>
      <c r="CF212" s="88"/>
      <c r="CG212" s="111"/>
      <c r="CH212" s="112"/>
      <c r="CI212" s="113"/>
      <c r="CJ212" s="112"/>
      <c r="CK212" s="31"/>
      <c r="CL212" s="32"/>
      <c r="CM212" s="90"/>
      <c r="CN212" s="88"/>
      <c r="CO212" s="88"/>
      <c r="CP212" s="111"/>
      <c r="CQ212" s="112"/>
      <c r="CR212" s="113"/>
      <c r="CS212" s="112"/>
      <c r="CT212" s="55"/>
      <c r="CV212" s="230"/>
      <c r="CX212" s="226" t="s">
        <v>541</v>
      </c>
      <c r="CY212" s="226" t="s">
        <v>541</v>
      </c>
      <c r="CZ212" s="226" t="s">
        <v>541</v>
      </c>
      <c r="DA212" s="226" t="s">
        <v>541</v>
      </c>
      <c r="DB212" s="226"/>
      <c r="DC212" s="226" t="s">
        <v>541</v>
      </c>
      <c r="DD212" s="226" t="s">
        <v>541</v>
      </c>
      <c r="DE212" s="226" t="s">
        <v>541</v>
      </c>
      <c r="DF212" s="226" t="s">
        <v>541</v>
      </c>
      <c r="DG212" s="226" t="s">
        <v>541</v>
      </c>
      <c r="DH212" s="14"/>
    </row>
    <row r="213" spans="1:112" ht="26" x14ac:dyDescent="0.25">
      <c r="A213" s="17" t="s">
        <v>1004</v>
      </c>
      <c r="B213" s="17" t="s">
        <v>1314</v>
      </c>
      <c r="C213" s="17" t="s">
        <v>1392</v>
      </c>
      <c r="D213" s="17" t="s">
        <v>1335</v>
      </c>
      <c r="E213" s="17" t="b">
        <f t="shared" si="37"/>
        <v>1</v>
      </c>
      <c r="F213" s="232" t="s">
        <v>2114</v>
      </c>
      <c r="G213" s="278" t="s">
        <v>2180</v>
      </c>
      <c r="H213" s="128" t="s">
        <v>1392</v>
      </c>
      <c r="I213" s="233" t="s">
        <v>1335</v>
      </c>
      <c r="J213" s="31"/>
      <c r="K213" s="102" t="s">
        <v>354</v>
      </c>
      <c r="L213" s="89"/>
      <c r="M213" s="111"/>
      <c r="N213" s="112"/>
      <c r="O213" s="113"/>
      <c r="P213" s="112"/>
      <c r="Q213" s="31"/>
      <c r="R213" s="102"/>
      <c r="S213" s="89"/>
      <c r="T213" s="88" t="str">
        <f t="shared" si="35"/>
        <v>NA</v>
      </c>
      <c r="U213" s="88" t="str">
        <f t="shared" si="36"/>
        <v>NA</v>
      </c>
      <c r="V213" s="111"/>
      <c r="W213" s="112"/>
      <c r="X213" s="113"/>
      <c r="Y213" s="112"/>
      <c r="Z213" s="31"/>
      <c r="AA213" s="296"/>
      <c r="AB213" s="89"/>
      <c r="AC213" s="88" t="str">
        <f t="shared" si="38"/>
        <v>NA</v>
      </c>
      <c r="AD213" s="88" t="str">
        <f t="shared" si="39"/>
        <v>NA</v>
      </c>
      <c r="AE213" s="111"/>
      <c r="AF213" s="112"/>
      <c r="AG213" s="113"/>
      <c r="AH213" s="112"/>
      <c r="AI213" s="31"/>
      <c r="AJ213" s="294"/>
      <c r="AK213" s="89"/>
      <c r="AL213" s="88" t="str">
        <f t="shared" si="40"/>
        <v>NA</v>
      </c>
      <c r="AM213" s="88" t="str">
        <f t="shared" si="41"/>
        <v>NA</v>
      </c>
      <c r="AN213" s="111"/>
      <c r="AO213" s="112"/>
      <c r="AP213" s="113"/>
      <c r="AQ213" s="112"/>
      <c r="AR213" s="31"/>
      <c r="AS213" s="32"/>
      <c r="AT213" s="90"/>
      <c r="AU213" s="88"/>
      <c r="AV213" s="88"/>
      <c r="AW213" s="111"/>
      <c r="AX213" s="112"/>
      <c r="AY213" s="113"/>
      <c r="AZ213" s="112"/>
      <c r="BA213" s="31"/>
      <c r="BB213" s="32"/>
      <c r="BC213" s="90"/>
      <c r="BD213" s="88"/>
      <c r="BE213" s="88"/>
      <c r="BF213" s="111"/>
      <c r="BG213" s="112"/>
      <c r="BH213" s="113"/>
      <c r="BI213" s="112"/>
      <c r="BJ213" s="31"/>
      <c r="BK213" s="32"/>
      <c r="BL213" s="90"/>
      <c r="BM213" s="88"/>
      <c r="BN213" s="88"/>
      <c r="BO213" s="111"/>
      <c r="BP213" s="112"/>
      <c r="BQ213" s="113"/>
      <c r="BR213" s="112"/>
      <c r="BS213" s="31"/>
      <c r="BT213" s="32"/>
      <c r="BU213" s="90"/>
      <c r="BV213" s="88"/>
      <c r="BW213" s="88"/>
      <c r="BX213" s="111"/>
      <c r="BY213" s="112"/>
      <c r="BZ213" s="113"/>
      <c r="CA213" s="112"/>
      <c r="CB213" s="31"/>
      <c r="CC213" s="32"/>
      <c r="CD213" s="90"/>
      <c r="CE213" s="88"/>
      <c r="CF213" s="88"/>
      <c r="CG213" s="111"/>
      <c r="CH213" s="112"/>
      <c r="CI213" s="113"/>
      <c r="CJ213" s="112"/>
      <c r="CK213" s="31"/>
      <c r="CL213" s="32"/>
      <c r="CM213" s="90"/>
      <c r="CN213" s="88"/>
      <c r="CO213" s="88"/>
      <c r="CP213" s="111"/>
      <c r="CQ213" s="112"/>
      <c r="CR213" s="113"/>
      <c r="CS213" s="112"/>
      <c r="CT213" s="55"/>
      <c r="CV213" s="230"/>
      <c r="CX213" s="226" t="s">
        <v>541</v>
      </c>
      <c r="CY213" s="226" t="s">
        <v>541</v>
      </c>
      <c r="CZ213" s="226" t="s">
        <v>541</v>
      </c>
      <c r="DA213" s="226" t="s">
        <v>541</v>
      </c>
      <c r="DB213" s="226"/>
      <c r="DC213" s="226" t="s">
        <v>541</v>
      </c>
      <c r="DD213" s="226" t="s">
        <v>541</v>
      </c>
      <c r="DE213" s="226" t="s">
        <v>541</v>
      </c>
      <c r="DF213" s="226" t="s">
        <v>541</v>
      </c>
      <c r="DG213" s="226" t="s">
        <v>541</v>
      </c>
      <c r="DH213" s="14"/>
    </row>
    <row r="214" spans="1:112" ht="26" x14ac:dyDescent="0.25">
      <c r="A214" s="17" t="s">
        <v>1004</v>
      </c>
      <c r="B214" s="17" t="s">
        <v>1315</v>
      </c>
      <c r="C214" s="17" t="s">
        <v>1393</v>
      </c>
      <c r="D214" s="17" t="s">
        <v>1336</v>
      </c>
      <c r="E214" s="17" t="b">
        <f t="shared" si="37"/>
        <v>1</v>
      </c>
      <c r="F214" s="232" t="s">
        <v>2115</v>
      </c>
      <c r="G214" s="278" t="s">
        <v>2181</v>
      </c>
      <c r="H214" s="128" t="s">
        <v>1393</v>
      </c>
      <c r="I214" s="233" t="s">
        <v>1336</v>
      </c>
      <c r="J214" s="31"/>
      <c r="K214" s="102" t="s">
        <v>354</v>
      </c>
      <c r="L214" s="89"/>
      <c r="M214" s="111"/>
      <c r="N214" s="112"/>
      <c r="O214" s="113"/>
      <c r="P214" s="112"/>
      <c r="Q214" s="31"/>
      <c r="R214" s="102"/>
      <c r="S214" s="89"/>
      <c r="T214" s="88" t="str">
        <f t="shared" si="35"/>
        <v>NA</v>
      </c>
      <c r="U214" s="88" t="str">
        <f t="shared" si="36"/>
        <v>NA</v>
      </c>
      <c r="V214" s="111"/>
      <c r="W214" s="112"/>
      <c r="X214" s="113"/>
      <c r="Y214" s="112"/>
      <c r="Z214" s="31"/>
      <c r="AA214" s="296"/>
      <c r="AB214" s="89"/>
      <c r="AC214" s="88" t="str">
        <f t="shared" si="38"/>
        <v>NA</v>
      </c>
      <c r="AD214" s="88" t="str">
        <f t="shared" si="39"/>
        <v>NA</v>
      </c>
      <c r="AE214" s="111"/>
      <c r="AF214" s="112"/>
      <c r="AG214" s="113"/>
      <c r="AH214" s="112"/>
      <c r="AI214" s="31"/>
      <c r="AJ214" s="294"/>
      <c r="AK214" s="89"/>
      <c r="AL214" s="88" t="str">
        <f t="shared" si="40"/>
        <v>NA</v>
      </c>
      <c r="AM214" s="88" t="str">
        <f t="shared" si="41"/>
        <v>NA</v>
      </c>
      <c r="AN214" s="111"/>
      <c r="AO214" s="112"/>
      <c r="AP214" s="113"/>
      <c r="AQ214" s="112"/>
      <c r="AR214" s="31"/>
      <c r="AS214" s="32"/>
      <c r="AT214" s="90"/>
      <c r="AU214" s="88"/>
      <c r="AV214" s="88"/>
      <c r="AW214" s="111"/>
      <c r="AX214" s="112"/>
      <c r="AY214" s="113"/>
      <c r="AZ214" s="112"/>
      <c r="BA214" s="31"/>
      <c r="BB214" s="32"/>
      <c r="BC214" s="90"/>
      <c r="BD214" s="88"/>
      <c r="BE214" s="88"/>
      <c r="BF214" s="111"/>
      <c r="BG214" s="112"/>
      <c r="BH214" s="113"/>
      <c r="BI214" s="112"/>
      <c r="BJ214" s="31"/>
      <c r="BK214" s="32"/>
      <c r="BL214" s="90"/>
      <c r="BM214" s="88"/>
      <c r="BN214" s="88"/>
      <c r="BO214" s="111"/>
      <c r="BP214" s="112"/>
      <c r="BQ214" s="113"/>
      <c r="BR214" s="112"/>
      <c r="BS214" s="31"/>
      <c r="BT214" s="32"/>
      <c r="BU214" s="90"/>
      <c r="BV214" s="88"/>
      <c r="BW214" s="88"/>
      <c r="BX214" s="111"/>
      <c r="BY214" s="112"/>
      <c r="BZ214" s="113"/>
      <c r="CA214" s="112"/>
      <c r="CB214" s="31"/>
      <c r="CC214" s="32"/>
      <c r="CD214" s="90"/>
      <c r="CE214" s="88"/>
      <c r="CF214" s="88"/>
      <c r="CG214" s="111"/>
      <c r="CH214" s="112"/>
      <c r="CI214" s="113"/>
      <c r="CJ214" s="112"/>
      <c r="CK214" s="31"/>
      <c r="CL214" s="32"/>
      <c r="CM214" s="90"/>
      <c r="CN214" s="88"/>
      <c r="CO214" s="88"/>
      <c r="CP214" s="111"/>
      <c r="CQ214" s="112"/>
      <c r="CR214" s="113"/>
      <c r="CS214" s="112"/>
      <c r="CT214" s="55"/>
      <c r="CV214" s="230"/>
      <c r="CX214" s="226" t="s">
        <v>541</v>
      </c>
      <c r="CY214" s="226" t="s">
        <v>541</v>
      </c>
      <c r="CZ214" s="226" t="s">
        <v>541</v>
      </c>
      <c r="DA214" s="226" t="s">
        <v>541</v>
      </c>
      <c r="DB214" s="226"/>
      <c r="DC214" s="226" t="s">
        <v>541</v>
      </c>
      <c r="DD214" s="226" t="s">
        <v>541</v>
      </c>
      <c r="DE214" s="226" t="s">
        <v>541</v>
      </c>
      <c r="DF214" s="226" t="s">
        <v>541</v>
      </c>
      <c r="DG214" s="226" t="s">
        <v>541</v>
      </c>
      <c r="DH214" s="14"/>
    </row>
    <row r="215" spans="1:112" ht="26" x14ac:dyDescent="0.25">
      <c r="A215" s="17" t="s">
        <v>1004</v>
      </c>
      <c r="B215" s="17" t="s">
        <v>1316</v>
      </c>
      <c r="C215" s="17" t="s">
        <v>1394</v>
      </c>
      <c r="D215" s="17" t="s">
        <v>1337</v>
      </c>
      <c r="E215" s="17" t="b">
        <f t="shared" si="37"/>
        <v>1</v>
      </c>
      <c r="F215" s="232" t="s">
        <v>2116</v>
      </c>
      <c r="G215" s="278" t="s">
        <v>2182</v>
      </c>
      <c r="H215" s="128" t="s">
        <v>1394</v>
      </c>
      <c r="I215" s="233" t="s">
        <v>1337</v>
      </c>
      <c r="J215" s="31"/>
      <c r="K215" s="102" t="s">
        <v>354</v>
      </c>
      <c r="L215" s="89"/>
      <c r="M215" s="111"/>
      <c r="N215" s="112"/>
      <c r="O215" s="113"/>
      <c r="P215" s="112"/>
      <c r="Q215" s="31"/>
      <c r="R215" s="102"/>
      <c r="S215" s="89"/>
      <c r="T215" s="88" t="str">
        <f t="shared" si="35"/>
        <v>NA</v>
      </c>
      <c r="U215" s="88" t="str">
        <f t="shared" si="36"/>
        <v>NA</v>
      </c>
      <c r="V215" s="111"/>
      <c r="W215" s="112"/>
      <c r="X215" s="113"/>
      <c r="Y215" s="112"/>
      <c r="Z215" s="31"/>
      <c r="AA215" s="296"/>
      <c r="AB215" s="89"/>
      <c r="AC215" s="88" t="str">
        <f t="shared" si="38"/>
        <v>NA</v>
      </c>
      <c r="AD215" s="88" t="str">
        <f t="shared" si="39"/>
        <v>NA</v>
      </c>
      <c r="AE215" s="111"/>
      <c r="AF215" s="112"/>
      <c r="AG215" s="113"/>
      <c r="AH215" s="112"/>
      <c r="AI215" s="31"/>
      <c r="AJ215" s="294"/>
      <c r="AK215" s="89"/>
      <c r="AL215" s="88" t="str">
        <f t="shared" si="40"/>
        <v>NA</v>
      </c>
      <c r="AM215" s="88" t="str">
        <f t="shared" si="41"/>
        <v>NA</v>
      </c>
      <c r="AN215" s="111"/>
      <c r="AO215" s="112"/>
      <c r="AP215" s="113"/>
      <c r="AQ215" s="112"/>
      <c r="AR215" s="31"/>
      <c r="AS215" s="32"/>
      <c r="AT215" s="90"/>
      <c r="AU215" s="88"/>
      <c r="AV215" s="88"/>
      <c r="AW215" s="111"/>
      <c r="AX215" s="112"/>
      <c r="AY215" s="113"/>
      <c r="AZ215" s="112"/>
      <c r="BA215" s="31"/>
      <c r="BB215" s="32"/>
      <c r="BC215" s="90"/>
      <c r="BD215" s="88"/>
      <c r="BE215" s="88"/>
      <c r="BF215" s="111"/>
      <c r="BG215" s="112"/>
      <c r="BH215" s="113"/>
      <c r="BI215" s="112"/>
      <c r="BJ215" s="31"/>
      <c r="BK215" s="32"/>
      <c r="BL215" s="90"/>
      <c r="BM215" s="88"/>
      <c r="BN215" s="88"/>
      <c r="BO215" s="111"/>
      <c r="BP215" s="112"/>
      <c r="BQ215" s="113"/>
      <c r="BR215" s="112"/>
      <c r="BS215" s="31"/>
      <c r="BT215" s="32"/>
      <c r="BU215" s="90"/>
      <c r="BV215" s="88"/>
      <c r="BW215" s="88"/>
      <c r="BX215" s="111"/>
      <c r="BY215" s="112"/>
      <c r="BZ215" s="113"/>
      <c r="CA215" s="112"/>
      <c r="CB215" s="31"/>
      <c r="CC215" s="32"/>
      <c r="CD215" s="90"/>
      <c r="CE215" s="88"/>
      <c r="CF215" s="88"/>
      <c r="CG215" s="111"/>
      <c r="CH215" s="112"/>
      <c r="CI215" s="113"/>
      <c r="CJ215" s="112"/>
      <c r="CK215" s="31"/>
      <c r="CL215" s="32"/>
      <c r="CM215" s="90"/>
      <c r="CN215" s="88"/>
      <c r="CO215" s="88"/>
      <c r="CP215" s="111"/>
      <c r="CQ215" s="112"/>
      <c r="CR215" s="113"/>
      <c r="CS215" s="112"/>
      <c r="CT215" s="55"/>
      <c r="CV215" s="230"/>
      <c r="CX215" s="226" t="s">
        <v>541</v>
      </c>
      <c r="CY215" s="226" t="s">
        <v>541</v>
      </c>
      <c r="CZ215" s="226" t="s">
        <v>541</v>
      </c>
      <c r="DA215" s="226" t="s">
        <v>541</v>
      </c>
      <c r="DB215" s="226"/>
      <c r="DC215" s="226" t="s">
        <v>541</v>
      </c>
      <c r="DD215" s="226" t="s">
        <v>541</v>
      </c>
      <c r="DE215" s="226" t="s">
        <v>541</v>
      </c>
      <c r="DF215" s="226" t="s">
        <v>541</v>
      </c>
      <c r="DG215" s="226" t="s">
        <v>541</v>
      </c>
      <c r="DH215" s="14"/>
    </row>
    <row r="216" spans="1:112" ht="26" x14ac:dyDescent="0.25">
      <c r="A216" s="17" t="s">
        <v>1004</v>
      </c>
      <c r="B216" s="17" t="s">
        <v>1317</v>
      </c>
      <c r="C216" s="17" t="s">
        <v>1395</v>
      </c>
      <c r="D216" s="17" t="s">
        <v>1338</v>
      </c>
      <c r="E216" s="17" t="b">
        <f t="shared" si="37"/>
        <v>1</v>
      </c>
      <c r="F216" s="232" t="s">
        <v>2117</v>
      </c>
      <c r="G216" s="278" t="s">
        <v>2183</v>
      </c>
      <c r="H216" s="128" t="s">
        <v>1395</v>
      </c>
      <c r="I216" s="233" t="s">
        <v>1338</v>
      </c>
      <c r="J216" s="31"/>
      <c r="K216" s="102" t="s">
        <v>354</v>
      </c>
      <c r="L216" s="89"/>
      <c r="M216" s="111"/>
      <c r="N216" s="112"/>
      <c r="O216" s="113"/>
      <c r="P216" s="112"/>
      <c r="Q216" s="31"/>
      <c r="R216" s="102"/>
      <c r="S216" s="89"/>
      <c r="T216" s="88" t="str">
        <f t="shared" si="35"/>
        <v>NA</v>
      </c>
      <c r="U216" s="88" t="str">
        <f t="shared" si="36"/>
        <v>NA</v>
      </c>
      <c r="V216" s="111"/>
      <c r="W216" s="112"/>
      <c r="X216" s="113"/>
      <c r="Y216" s="112"/>
      <c r="Z216" s="31"/>
      <c r="AA216" s="296"/>
      <c r="AB216" s="89"/>
      <c r="AC216" s="88" t="str">
        <f t="shared" si="38"/>
        <v>NA</v>
      </c>
      <c r="AD216" s="88" t="str">
        <f t="shared" si="39"/>
        <v>NA</v>
      </c>
      <c r="AE216" s="111"/>
      <c r="AF216" s="112"/>
      <c r="AG216" s="113"/>
      <c r="AH216" s="112"/>
      <c r="AI216" s="31"/>
      <c r="AJ216" s="294"/>
      <c r="AK216" s="89"/>
      <c r="AL216" s="88" t="str">
        <f t="shared" si="40"/>
        <v>NA</v>
      </c>
      <c r="AM216" s="88" t="str">
        <f t="shared" si="41"/>
        <v>NA</v>
      </c>
      <c r="AN216" s="111"/>
      <c r="AO216" s="112"/>
      <c r="AP216" s="113"/>
      <c r="AQ216" s="112"/>
      <c r="AR216" s="31"/>
      <c r="AS216" s="32"/>
      <c r="AT216" s="90"/>
      <c r="AU216" s="88"/>
      <c r="AV216" s="88"/>
      <c r="AW216" s="111"/>
      <c r="AX216" s="112"/>
      <c r="AY216" s="113"/>
      <c r="AZ216" s="112"/>
      <c r="BA216" s="31"/>
      <c r="BB216" s="32"/>
      <c r="BC216" s="90"/>
      <c r="BD216" s="88"/>
      <c r="BE216" s="88"/>
      <c r="BF216" s="111"/>
      <c r="BG216" s="112"/>
      <c r="BH216" s="113"/>
      <c r="BI216" s="112"/>
      <c r="BJ216" s="31"/>
      <c r="BK216" s="32"/>
      <c r="BL216" s="90"/>
      <c r="BM216" s="88"/>
      <c r="BN216" s="88"/>
      <c r="BO216" s="111"/>
      <c r="BP216" s="112"/>
      <c r="BQ216" s="113"/>
      <c r="BR216" s="112"/>
      <c r="BS216" s="31"/>
      <c r="BT216" s="32"/>
      <c r="BU216" s="90"/>
      <c r="BV216" s="88"/>
      <c r="BW216" s="88"/>
      <c r="BX216" s="111"/>
      <c r="BY216" s="112"/>
      <c r="BZ216" s="113"/>
      <c r="CA216" s="112"/>
      <c r="CB216" s="31"/>
      <c r="CC216" s="32"/>
      <c r="CD216" s="90"/>
      <c r="CE216" s="88"/>
      <c r="CF216" s="88"/>
      <c r="CG216" s="111"/>
      <c r="CH216" s="112"/>
      <c r="CI216" s="113"/>
      <c r="CJ216" s="112"/>
      <c r="CK216" s="31"/>
      <c r="CL216" s="32"/>
      <c r="CM216" s="90"/>
      <c r="CN216" s="88"/>
      <c r="CO216" s="88"/>
      <c r="CP216" s="111"/>
      <c r="CQ216" s="112"/>
      <c r="CR216" s="113"/>
      <c r="CS216" s="112"/>
      <c r="CT216" s="55"/>
      <c r="CV216" s="230"/>
      <c r="CX216" s="226" t="s">
        <v>541</v>
      </c>
      <c r="CY216" s="226" t="s">
        <v>541</v>
      </c>
      <c r="CZ216" s="226" t="s">
        <v>541</v>
      </c>
      <c r="DA216" s="226" t="s">
        <v>541</v>
      </c>
      <c r="DB216" s="226"/>
      <c r="DC216" s="226" t="s">
        <v>541</v>
      </c>
      <c r="DD216" s="226" t="s">
        <v>541</v>
      </c>
      <c r="DE216" s="226" t="s">
        <v>541</v>
      </c>
      <c r="DF216" s="226" t="s">
        <v>541</v>
      </c>
      <c r="DG216" s="226" t="s">
        <v>541</v>
      </c>
      <c r="DH216" s="14"/>
    </row>
    <row r="217" spans="1:112" ht="26" x14ac:dyDescent="0.25">
      <c r="A217" s="17" t="s">
        <v>1004</v>
      </c>
      <c r="B217" s="17" t="s">
        <v>1318</v>
      </c>
      <c r="C217" s="17" t="s">
        <v>1396</v>
      </c>
      <c r="D217" s="17" t="s">
        <v>1339</v>
      </c>
      <c r="E217" s="17" t="b">
        <f t="shared" si="37"/>
        <v>1</v>
      </c>
      <c r="F217" s="232" t="s">
        <v>2118</v>
      </c>
      <c r="G217" s="278" t="s">
        <v>2184</v>
      </c>
      <c r="H217" s="236" t="s">
        <v>1396</v>
      </c>
      <c r="I217" s="233" t="s">
        <v>1339</v>
      </c>
      <c r="J217" s="31"/>
      <c r="K217" s="102" t="s">
        <v>354</v>
      </c>
      <c r="L217" s="89"/>
      <c r="M217" s="111"/>
      <c r="N217" s="112"/>
      <c r="O217" s="113"/>
      <c r="P217" s="112"/>
      <c r="Q217" s="31"/>
      <c r="R217" s="102"/>
      <c r="S217" s="89"/>
      <c r="T217" s="88" t="str">
        <f t="shared" si="35"/>
        <v>NA</v>
      </c>
      <c r="U217" s="88" t="str">
        <f t="shared" si="36"/>
        <v>NA</v>
      </c>
      <c r="V217" s="111"/>
      <c r="W217" s="112"/>
      <c r="X217" s="113"/>
      <c r="Y217" s="112"/>
      <c r="Z217" s="31"/>
      <c r="AA217" s="296"/>
      <c r="AB217" s="89"/>
      <c r="AC217" s="88" t="str">
        <f t="shared" si="38"/>
        <v>NA</v>
      </c>
      <c r="AD217" s="88" t="str">
        <f t="shared" si="39"/>
        <v>NA</v>
      </c>
      <c r="AE217" s="111"/>
      <c r="AF217" s="112"/>
      <c r="AG217" s="113"/>
      <c r="AH217" s="112"/>
      <c r="AI217" s="31"/>
      <c r="AJ217" s="294"/>
      <c r="AK217" s="89"/>
      <c r="AL217" s="88" t="str">
        <f t="shared" si="40"/>
        <v>NA</v>
      </c>
      <c r="AM217" s="88" t="str">
        <f t="shared" si="41"/>
        <v>NA</v>
      </c>
      <c r="AN217" s="111"/>
      <c r="AO217" s="112"/>
      <c r="AP217" s="113"/>
      <c r="AQ217" s="112"/>
      <c r="AR217" s="31"/>
      <c r="AS217" s="32"/>
      <c r="AT217" s="90"/>
      <c r="AU217" s="88"/>
      <c r="AV217" s="88"/>
      <c r="AW217" s="111"/>
      <c r="AX217" s="112"/>
      <c r="AY217" s="113"/>
      <c r="AZ217" s="112"/>
      <c r="BA217" s="31"/>
      <c r="BB217" s="32"/>
      <c r="BC217" s="90"/>
      <c r="BD217" s="88"/>
      <c r="BE217" s="88"/>
      <c r="BF217" s="111"/>
      <c r="BG217" s="112"/>
      <c r="BH217" s="113"/>
      <c r="BI217" s="112"/>
      <c r="BJ217" s="31"/>
      <c r="BK217" s="32"/>
      <c r="BL217" s="90"/>
      <c r="BM217" s="88"/>
      <c r="BN217" s="88"/>
      <c r="BO217" s="111"/>
      <c r="BP217" s="112"/>
      <c r="BQ217" s="113"/>
      <c r="BR217" s="112"/>
      <c r="BS217" s="31"/>
      <c r="BT217" s="32"/>
      <c r="BU217" s="90"/>
      <c r="BV217" s="88"/>
      <c r="BW217" s="88"/>
      <c r="BX217" s="111"/>
      <c r="BY217" s="112"/>
      <c r="BZ217" s="113"/>
      <c r="CA217" s="112"/>
      <c r="CB217" s="31"/>
      <c r="CC217" s="32"/>
      <c r="CD217" s="90"/>
      <c r="CE217" s="88"/>
      <c r="CF217" s="88"/>
      <c r="CG217" s="111"/>
      <c r="CH217" s="112"/>
      <c r="CI217" s="113"/>
      <c r="CJ217" s="112"/>
      <c r="CK217" s="31"/>
      <c r="CL217" s="32"/>
      <c r="CM217" s="90"/>
      <c r="CN217" s="88"/>
      <c r="CO217" s="88"/>
      <c r="CP217" s="111"/>
      <c r="CQ217" s="112"/>
      <c r="CR217" s="113"/>
      <c r="CS217" s="112"/>
      <c r="CT217" s="55"/>
      <c r="CV217" s="230"/>
      <c r="CX217" s="226" t="s">
        <v>541</v>
      </c>
      <c r="CY217" s="226" t="s">
        <v>541</v>
      </c>
      <c r="CZ217" s="226" t="s">
        <v>541</v>
      </c>
      <c r="DA217" s="226" t="s">
        <v>541</v>
      </c>
      <c r="DB217" s="226"/>
      <c r="DC217" s="226" t="s">
        <v>541</v>
      </c>
      <c r="DD217" s="226" t="s">
        <v>541</v>
      </c>
      <c r="DE217" s="226" t="s">
        <v>541</v>
      </c>
      <c r="DF217" s="226" t="s">
        <v>541</v>
      </c>
      <c r="DG217" s="226" t="s">
        <v>541</v>
      </c>
      <c r="DH217" s="14"/>
    </row>
    <row r="218" spans="1:112" ht="26" x14ac:dyDescent="0.25">
      <c r="A218" s="17" t="s">
        <v>1004</v>
      </c>
      <c r="B218" s="17" t="s">
        <v>1319</v>
      </c>
      <c r="C218" s="17" t="s">
        <v>1397</v>
      </c>
      <c r="D218" s="17" t="s">
        <v>1340</v>
      </c>
      <c r="E218" s="17" t="b">
        <f t="shared" si="37"/>
        <v>1</v>
      </c>
      <c r="F218" s="232" t="s">
        <v>2119</v>
      </c>
      <c r="G218" s="278" t="s">
        <v>2185</v>
      </c>
      <c r="H218" s="128" t="s">
        <v>1397</v>
      </c>
      <c r="I218" s="233" t="s">
        <v>1340</v>
      </c>
      <c r="J218" s="31"/>
      <c r="K218" s="102" t="s">
        <v>354</v>
      </c>
      <c r="L218" s="89"/>
      <c r="M218" s="111"/>
      <c r="N218" s="112"/>
      <c r="O218" s="113"/>
      <c r="P218" s="112"/>
      <c r="Q218" s="31"/>
      <c r="R218" s="102"/>
      <c r="S218" s="89"/>
      <c r="T218" s="88" t="str">
        <f t="shared" si="35"/>
        <v>NA</v>
      </c>
      <c r="U218" s="88" t="str">
        <f t="shared" si="36"/>
        <v>NA</v>
      </c>
      <c r="V218" s="111"/>
      <c r="W218" s="112"/>
      <c r="X218" s="113"/>
      <c r="Y218" s="112"/>
      <c r="Z218" s="31"/>
      <c r="AA218" s="296"/>
      <c r="AB218" s="89"/>
      <c r="AC218" s="88" t="str">
        <f t="shared" si="38"/>
        <v>NA</v>
      </c>
      <c r="AD218" s="88" t="str">
        <f t="shared" si="39"/>
        <v>NA</v>
      </c>
      <c r="AE218" s="111"/>
      <c r="AF218" s="112"/>
      <c r="AG218" s="113"/>
      <c r="AH218" s="112"/>
      <c r="AI218" s="31"/>
      <c r="AJ218" s="294"/>
      <c r="AK218" s="89"/>
      <c r="AL218" s="88" t="str">
        <f t="shared" si="40"/>
        <v>NA</v>
      </c>
      <c r="AM218" s="88" t="str">
        <f t="shared" si="41"/>
        <v>NA</v>
      </c>
      <c r="AN218" s="111"/>
      <c r="AO218" s="112"/>
      <c r="AP218" s="113"/>
      <c r="AQ218" s="112"/>
      <c r="AR218" s="31"/>
      <c r="AS218" s="32"/>
      <c r="AT218" s="90"/>
      <c r="AU218" s="88"/>
      <c r="AV218" s="88"/>
      <c r="AW218" s="111"/>
      <c r="AX218" s="112"/>
      <c r="AY218" s="113"/>
      <c r="AZ218" s="112"/>
      <c r="BA218" s="31"/>
      <c r="BB218" s="32"/>
      <c r="BC218" s="90"/>
      <c r="BD218" s="88"/>
      <c r="BE218" s="88"/>
      <c r="BF218" s="111"/>
      <c r="BG218" s="112"/>
      <c r="BH218" s="113"/>
      <c r="BI218" s="112"/>
      <c r="BJ218" s="31"/>
      <c r="BK218" s="32"/>
      <c r="BL218" s="90"/>
      <c r="BM218" s="88"/>
      <c r="BN218" s="88"/>
      <c r="BO218" s="111"/>
      <c r="BP218" s="112"/>
      <c r="BQ218" s="113"/>
      <c r="BR218" s="112"/>
      <c r="BS218" s="31"/>
      <c r="BT218" s="32"/>
      <c r="BU218" s="90"/>
      <c r="BV218" s="88"/>
      <c r="BW218" s="88"/>
      <c r="BX218" s="111"/>
      <c r="BY218" s="112"/>
      <c r="BZ218" s="113"/>
      <c r="CA218" s="112"/>
      <c r="CB218" s="31"/>
      <c r="CC218" s="32"/>
      <c r="CD218" s="90"/>
      <c r="CE218" s="88"/>
      <c r="CF218" s="88"/>
      <c r="CG218" s="111"/>
      <c r="CH218" s="112"/>
      <c r="CI218" s="113"/>
      <c r="CJ218" s="112"/>
      <c r="CK218" s="31"/>
      <c r="CL218" s="32"/>
      <c r="CM218" s="90"/>
      <c r="CN218" s="88"/>
      <c r="CO218" s="88"/>
      <c r="CP218" s="111"/>
      <c r="CQ218" s="112"/>
      <c r="CR218" s="113"/>
      <c r="CS218" s="112"/>
      <c r="CT218" s="55"/>
      <c r="CV218" s="230"/>
      <c r="CX218" s="226" t="s">
        <v>541</v>
      </c>
      <c r="CY218" s="226" t="s">
        <v>541</v>
      </c>
      <c r="CZ218" s="226" t="s">
        <v>541</v>
      </c>
      <c r="DA218" s="226" t="s">
        <v>541</v>
      </c>
      <c r="DB218" s="226"/>
      <c r="DC218" s="226" t="s">
        <v>541</v>
      </c>
      <c r="DD218" s="226" t="s">
        <v>541</v>
      </c>
      <c r="DE218" s="226" t="s">
        <v>541</v>
      </c>
      <c r="DF218" s="226" t="s">
        <v>541</v>
      </c>
      <c r="DG218" s="226" t="s">
        <v>541</v>
      </c>
      <c r="DH218" s="14"/>
    </row>
    <row r="219" spans="1:112" ht="143" x14ac:dyDescent="0.25">
      <c r="A219" s="17" t="s">
        <v>1004</v>
      </c>
      <c r="B219" s="17" t="s">
        <v>1320</v>
      </c>
      <c r="C219" s="17" t="s">
        <v>1398</v>
      </c>
      <c r="D219" s="17" t="s">
        <v>1341</v>
      </c>
      <c r="E219" s="17" t="b">
        <f t="shared" si="37"/>
        <v>1</v>
      </c>
      <c r="F219" s="232" t="s">
        <v>2120</v>
      </c>
      <c r="G219" s="277" t="s">
        <v>2186</v>
      </c>
      <c r="H219" s="128" t="s">
        <v>1398</v>
      </c>
      <c r="I219" s="233" t="s">
        <v>1341</v>
      </c>
      <c r="J219" s="31"/>
      <c r="K219" s="102" t="s">
        <v>354</v>
      </c>
      <c r="L219" s="89"/>
      <c r="M219" s="111"/>
      <c r="N219" s="112"/>
      <c r="O219" s="113"/>
      <c r="P219" s="112"/>
      <c r="Q219" s="31"/>
      <c r="R219" s="102"/>
      <c r="S219" s="89"/>
      <c r="T219" s="88" t="str">
        <f t="shared" si="35"/>
        <v>NA</v>
      </c>
      <c r="U219" s="88" t="str">
        <f t="shared" si="36"/>
        <v>NA</v>
      </c>
      <c r="V219" s="111"/>
      <c r="W219" s="112"/>
      <c r="X219" s="113"/>
      <c r="Y219" s="112"/>
      <c r="Z219" s="31"/>
      <c r="AA219" s="296"/>
      <c r="AB219" s="89"/>
      <c r="AC219" s="88" t="str">
        <f t="shared" si="38"/>
        <v>NA</v>
      </c>
      <c r="AD219" s="88" t="str">
        <f t="shared" si="39"/>
        <v>NA</v>
      </c>
      <c r="AE219" s="111"/>
      <c r="AF219" s="112"/>
      <c r="AG219" s="113"/>
      <c r="AH219" s="112"/>
      <c r="AI219" s="31"/>
      <c r="AJ219" s="294"/>
      <c r="AK219" s="89"/>
      <c r="AL219" s="88" t="str">
        <f t="shared" si="40"/>
        <v>NA</v>
      </c>
      <c r="AM219" s="88" t="str">
        <f t="shared" si="41"/>
        <v>NA</v>
      </c>
      <c r="AN219" s="111"/>
      <c r="AO219" s="112"/>
      <c r="AP219" s="113"/>
      <c r="AQ219" s="112"/>
      <c r="AR219" s="31"/>
      <c r="AS219" s="32"/>
      <c r="AT219" s="90"/>
      <c r="AU219" s="88"/>
      <c r="AV219" s="88"/>
      <c r="AW219" s="111"/>
      <c r="AX219" s="112"/>
      <c r="AY219" s="113"/>
      <c r="AZ219" s="112"/>
      <c r="BA219" s="31"/>
      <c r="BB219" s="32"/>
      <c r="BC219" s="90"/>
      <c r="BD219" s="88"/>
      <c r="BE219" s="88"/>
      <c r="BF219" s="111"/>
      <c r="BG219" s="112"/>
      <c r="BH219" s="113"/>
      <c r="BI219" s="112"/>
      <c r="BJ219" s="31"/>
      <c r="BK219" s="32"/>
      <c r="BL219" s="90"/>
      <c r="BM219" s="88"/>
      <c r="BN219" s="88"/>
      <c r="BO219" s="111"/>
      <c r="BP219" s="112"/>
      <c r="BQ219" s="113"/>
      <c r="BR219" s="112"/>
      <c r="BS219" s="31"/>
      <c r="BT219" s="32"/>
      <c r="BU219" s="90"/>
      <c r="BV219" s="88"/>
      <c r="BW219" s="88"/>
      <c r="BX219" s="111"/>
      <c r="BY219" s="112"/>
      <c r="BZ219" s="113"/>
      <c r="CA219" s="112"/>
      <c r="CB219" s="31"/>
      <c r="CC219" s="32"/>
      <c r="CD219" s="90"/>
      <c r="CE219" s="88"/>
      <c r="CF219" s="88"/>
      <c r="CG219" s="111"/>
      <c r="CH219" s="112"/>
      <c r="CI219" s="113"/>
      <c r="CJ219" s="112"/>
      <c r="CK219" s="31"/>
      <c r="CL219" s="32"/>
      <c r="CM219" s="90"/>
      <c r="CN219" s="88"/>
      <c r="CO219" s="88"/>
      <c r="CP219" s="111"/>
      <c r="CQ219" s="112"/>
      <c r="CR219" s="113"/>
      <c r="CS219" s="112"/>
      <c r="CT219" s="55"/>
      <c r="CV219" s="230"/>
      <c r="CX219" s="226" t="s">
        <v>1425</v>
      </c>
      <c r="CY219" s="226" t="s">
        <v>541</v>
      </c>
      <c r="CZ219" s="226" t="s">
        <v>541</v>
      </c>
      <c r="DA219" s="226" t="s">
        <v>541</v>
      </c>
      <c r="DB219" s="14"/>
      <c r="DC219" s="226" t="s">
        <v>541</v>
      </c>
      <c r="DD219" s="226" t="s">
        <v>541</v>
      </c>
      <c r="DE219" s="226" t="s">
        <v>541</v>
      </c>
      <c r="DF219" s="226" t="s">
        <v>541</v>
      </c>
      <c r="DG219" s="226" t="s">
        <v>541</v>
      </c>
      <c r="DH219" s="14"/>
    </row>
    <row r="220" spans="1:112" ht="26" x14ac:dyDescent="0.25">
      <c r="A220" s="17" t="s">
        <v>1004</v>
      </c>
      <c r="B220" s="17" t="s">
        <v>1321</v>
      </c>
      <c r="C220" s="17" t="s">
        <v>1399</v>
      </c>
      <c r="D220" s="17" t="s">
        <v>1342</v>
      </c>
      <c r="E220" s="17" t="b">
        <f t="shared" si="37"/>
        <v>1</v>
      </c>
      <c r="F220" s="232" t="s">
        <v>2121</v>
      </c>
      <c r="G220" s="278" t="s">
        <v>2187</v>
      </c>
      <c r="H220" s="128" t="s">
        <v>1399</v>
      </c>
      <c r="I220" s="233" t="s">
        <v>1342</v>
      </c>
      <c r="J220" s="31"/>
      <c r="K220" s="102" t="s">
        <v>354</v>
      </c>
      <c r="L220" s="89"/>
      <c r="M220" s="111"/>
      <c r="N220" s="112"/>
      <c r="O220" s="113"/>
      <c r="P220" s="112"/>
      <c r="Q220" s="31"/>
      <c r="R220" s="102"/>
      <c r="S220" s="89"/>
      <c r="T220" s="88" t="str">
        <f t="shared" si="35"/>
        <v>NA</v>
      </c>
      <c r="U220" s="88" t="str">
        <f t="shared" si="36"/>
        <v>NA</v>
      </c>
      <c r="V220" s="111"/>
      <c r="W220" s="112"/>
      <c r="X220" s="113"/>
      <c r="Y220" s="112"/>
      <c r="Z220" s="31"/>
      <c r="AA220" s="296"/>
      <c r="AB220" s="89"/>
      <c r="AC220" s="88" t="str">
        <f t="shared" si="38"/>
        <v>NA</v>
      </c>
      <c r="AD220" s="88" t="str">
        <f t="shared" si="39"/>
        <v>NA</v>
      </c>
      <c r="AE220" s="111"/>
      <c r="AF220" s="112"/>
      <c r="AG220" s="113"/>
      <c r="AH220" s="112"/>
      <c r="AI220" s="31"/>
      <c r="AJ220" s="294"/>
      <c r="AK220" s="89"/>
      <c r="AL220" s="88" t="str">
        <f t="shared" si="40"/>
        <v>NA</v>
      </c>
      <c r="AM220" s="88" t="str">
        <f t="shared" si="41"/>
        <v>NA</v>
      </c>
      <c r="AN220" s="111"/>
      <c r="AO220" s="112"/>
      <c r="AP220" s="113"/>
      <c r="AQ220" s="112"/>
      <c r="AR220" s="31"/>
      <c r="AS220" s="32"/>
      <c r="AT220" s="90"/>
      <c r="AU220" s="88"/>
      <c r="AV220" s="88"/>
      <c r="AW220" s="111"/>
      <c r="AX220" s="112"/>
      <c r="AY220" s="113"/>
      <c r="AZ220" s="112"/>
      <c r="BA220" s="31"/>
      <c r="BB220" s="32"/>
      <c r="BC220" s="90"/>
      <c r="BD220" s="88"/>
      <c r="BE220" s="88"/>
      <c r="BF220" s="111"/>
      <c r="BG220" s="112"/>
      <c r="BH220" s="113"/>
      <c r="BI220" s="112"/>
      <c r="BJ220" s="31"/>
      <c r="BK220" s="32"/>
      <c r="BL220" s="90"/>
      <c r="BM220" s="88"/>
      <c r="BN220" s="88"/>
      <c r="BO220" s="111"/>
      <c r="BP220" s="112"/>
      <c r="BQ220" s="113"/>
      <c r="BR220" s="112"/>
      <c r="BS220" s="31"/>
      <c r="BT220" s="32"/>
      <c r="BU220" s="90"/>
      <c r="BV220" s="88"/>
      <c r="BW220" s="88"/>
      <c r="BX220" s="111"/>
      <c r="BY220" s="112"/>
      <c r="BZ220" s="113"/>
      <c r="CA220" s="112"/>
      <c r="CB220" s="31"/>
      <c r="CC220" s="32"/>
      <c r="CD220" s="90"/>
      <c r="CE220" s="88"/>
      <c r="CF220" s="88"/>
      <c r="CG220" s="111"/>
      <c r="CH220" s="112"/>
      <c r="CI220" s="113"/>
      <c r="CJ220" s="112"/>
      <c r="CK220" s="31"/>
      <c r="CL220" s="32"/>
      <c r="CM220" s="90"/>
      <c r="CN220" s="88"/>
      <c r="CO220" s="88"/>
      <c r="CP220" s="111"/>
      <c r="CQ220" s="112"/>
      <c r="CR220" s="113"/>
      <c r="CS220" s="112"/>
      <c r="CT220" s="55"/>
      <c r="CV220" s="230"/>
      <c r="CX220" s="226" t="s">
        <v>1424</v>
      </c>
      <c r="CY220" s="226" t="s">
        <v>541</v>
      </c>
      <c r="CZ220" s="226" t="s">
        <v>541</v>
      </c>
      <c r="DA220" s="226" t="s">
        <v>541</v>
      </c>
      <c r="DB220" s="226"/>
      <c r="DC220" s="226" t="s">
        <v>541</v>
      </c>
      <c r="DD220" s="226" t="s">
        <v>541</v>
      </c>
      <c r="DE220" s="226" t="s">
        <v>1470</v>
      </c>
      <c r="DF220" s="226" t="s">
        <v>541</v>
      </c>
      <c r="DG220" s="226" t="s">
        <v>541</v>
      </c>
      <c r="DH220" s="14"/>
    </row>
    <row r="221" spans="1:112" ht="26" x14ac:dyDescent="0.25">
      <c r="A221" s="17" t="s">
        <v>1004</v>
      </c>
      <c r="B221" s="17" t="s">
        <v>1322</v>
      </c>
      <c r="C221" s="17" t="s">
        <v>1400</v>
      </c>
      <c r="D221" s="17" t="s">
        <v>1343</v>
      </c>
      <c r="E221" s="17" t="b">
        <f t="shared" si="37"/>
        <v>1</v>
      </c>
      <c r="F221" s="232" t="s">
        <v>2122</v>
      </c>
      <c r="G221" s="278" t="s">
        <v>2188</v>
      </c>
      <c r="H221" s="128" t="s">
        <v>1400</v>
      </c>
      <c r="I221" s="233" t="s">
        <v>1343</v>
      </c>
      <c r="J221" s="31"/>
      <c r="K221" s="102" t="s">
        <v>354</v>
      </c>
      <c r="L221" s="89"/>
      <c r="M221" s="111"/>
      <c r="N221" s="112"/>
      <c r="O221" s="113"/>
      <c r="P221" s="112"/>
      <c r="Q221" s="31"/>
      <c r="R221" s="102"/>
      <c r="S221" s="89"/>
      <c r="T221" s="88" t="str">
        <f t="shared" si="35"/>
        <v>NA</v>
      </c>
      <c r="U221" s="88" t="str">
        <f t="shared" si="36"/>
        <v>NA</v>
      </c>
      <c r="V221" s="111"/>
      <c r="W221" s="112"/>
      <c r="X221" s="113"/>
      <c r="Y221" s="112"/>
      <c r="Z221" s="31"/>
      <c r="AA221" s="296"/>
      <c r="AB221" s="89"/>
      <c r="AC221" s="88" t="str">
        <f t="shared" si="38"/>
        <v>NA</v>
      </c>
      <c r="AD221" s="88" t="str">
        <f t="shared" si="39"/>
        <v>NA</v>
      </c>
      <c r="AE221" s="111"/>
      <c r="AF221" s="112"/>
      <c r="AG221" s="113"/>
      <c r="AH221" s="112"/>
      <c r="AI221" s="31"/>
      <c r="AJ221" s="294"/>
      <c r="AK221" s="89"/>
      <c r="AL221" s="88" t="str">
        <f t="shared" si="40"/>
        <v>NA</v>
      </c>
      <c r="AM221" s="88" t="str">
        <f t="shared" si="41"/>
        <v>NA</v>
      </c>
      <c r="AN221" s="111"/>
      <c r="AO221" s="112"/>
      <c r="AP221" s="113"/>
      <c r="AQ221" s="112"/>
      <c r="AR221" s="31"/>
      <c r="AS221" s="32"/>
      <c r="AT221" s="90"/>
      <c r="AU221" s="88"/>
      <c r="AV221" s="88"/>
      <c r="AW221" s="111"/>
      <c r="AX221" s="112"/>
      <c r="AY221" s="113"/>
      <c r="AZ221" s="112"/>
      <c r="BA221" s="31"/>
      <c r="BB221" s="32"/>
      <c r="BC221" s="90"/>
      <c r="BD221" s="88"/>
      <c r="BE221" s="88"/>
      <c r="BF221" s="111"/>
      <c r="BG221" s="112"/>
      <c r="BH221" s="113"/>
      <c r="BI221" s="112"/>
      <c r="BJ221" s="31"/>
      <c r="BK221" s="32"/>
      <c r="BL221" s="90"/>
      <c r="BM221" s="88"/>
      <c r="BN221" s="88"/>
      <c r="BO221" s="111"/>
      <c r="BP221" s="112"/>
      <c r="BQ221" s="113"/>
      <c r="BR221" s="112"/>
      <c r="BS221" s="31"/>
      <c r="BT221" s="32"/>
      <c r="BU221" s="90"/>
      <c r="BV221" s="88"/>
      <c r="BW221" s="88"/>
      <c r="BX221" s="111"/>
      <c r="BY221" s="112"/>
      <c r="BZ221" s="113"/>
      <c r="CA221" s="112"/>
      <c r="CB221" s="31"/>
      <c r="CC221" s="32"/>
      <c r="CD221" s="90"/>
      <c r="CE221" s="88"/>
      <c r="CF221" s="88"/>
      <c r="CG221" s="111"/>
      <c r="CH221" s="112"/>
      <c r="CI221" s="113"/>
      <c r="CJ221" s="112"/>
      <c r="CK221" s="31"/>
      <c r="CL221" s="32"/>
      <c r="CM221" s="90"/>
      <c r="CN221" s="88"/>
      <c r="CO221" s="88"/>
      <c r="CP221" s="111"/>
      <c r="CQ221" s="112"/>
      <c r="CR221" s="113"/>
      <c r="CS221" s="112"/>
      <c r="CT221" s="55"/>
      <c r="CV221" s="230"/>
      <c r="CX221" s="226" t="s">
        <v>1425</v>
      </c>
      <c r="CY221" s="226" t="s">
        <v>541</v>
      </c>
      <c r="CZ221" s="226" t="s">
        <v>541</v>
      </c>
      <c r="DA221" s="226" t="s">
        <v>541</v>
      </c>
      <c r="DB221" s="14"/>
      <c r="DC221" s="226" t="s">
        <v>541</v>
      </c>
      <c r="DD221" s="226" t="s">
        <v>541</v>
      </c>
      <c r="DE221" s="226" t="s">
        <v>1470</v>
      </c>
      <c r="DF221" s="226" t="s">
        <v>541</v>
      </c>
      <c r="DG221" s="226" t="s">
        <v>541</v>
      </c>
      <c r="DH221" s="14"/>
    </row>
    <row r="222" spans="1:112" ht="26" x14ac:dyDescent="0.25">
      <c r="A222" s="17" t="s">
        <v>1004</v>
      </c>
      <c r="B222" s="17" t="s">
        <v>1323</v>
      </c>
      <c r="C222" s="17" t="s">
        <v>1401</v>
      </c>
      <c r="D222" s="17" t="s">
        <v>1344</v>
      </c>
      <c r="E222" s="17" t="b">
        <f t="shared" si="37"/>
        <v>1</v>
      </c>
      <c r="F222" s="232" t="s">
        <v>2123</v>
      </c>
      <c r="G222" s="278" t="s">
        <v>2189</v>
      </c>
      <c r="H222" s="128" t="s">
        <v>1401</v>
      </c>
      <c r="I222" s="233" t="s">
        <v>1344</v>
      </c>
      <c r="J222" s="31"/>
      <c r="K222" s="102" t="s">
        <v>354</v>
      </c>
      <c r="L222" s="89"/>
      <c r="M222" s="111"/>
      <c r="N222" s="112"/>
      <c r="O222" s="113"/>
      <c r="P222" s="112"/>
      <c r="Q222" s="31"/>
      <c r="R222" s="102"/>
      <c r="S222" s="89"/>
      <c r="T222" s="88" t="str">
        <f t="shared" si="35"/>
        <v>NA</v>
      </c>
      <c r="U222" s="88" t="str">
        <f t="shared" si="36"/>
        <v>NA</v>
      </c>
      <c r="V222" s="111"/>
      <c r="W222" s="112"/>
      <c r="X222" s="113"/>
      <c r="Y222" s="112"/>
      <c r="Z222" s="31"/>
      <c r="AA222" s="296"/>
      <c r="AB222" s="89"/>
      <c r="AC222" s="88" t="str">
        <f t="shared" si="38"/>
        <v>NA</v>
      </c>
      <c r="AD222" s="88" t="str">
        <f t="shared" si="39"/>
        <v>NA</v>
      </c>
      <c r="AE222" s="111"/>
      <c r="AF222" s="112"/>
      <c r="AG222" s="113"/>
      <c r="AH222" s="112"/>
      <c r="AI222" s="31"/>
      <c r="AJ222" s="294"/>
      <c r="AK222" s="89"/>
      <c r="AL222" s="88" t="str">
        <f t="shared" si="40"/>
        <v>NA</v>
      </c>
      <c r="AM222" s="88" t="str">
        <f t="shared" si="41"/>
        <v>NA</v>
      </c>
      <c r="AN222" s="111"/>
      <c r="AO222" s="112"/>
      <c r="AP222" s="113"/>
      <c r="AQ222" s="112"/>
      <c r="AR222" s="31"/>
      <c r="AS222" s="32"/>
      <c r="AT222" s="90"/>
      <c r="AU222" s="88"/>
      <c r="AV222" s="88"/>
      <c r="AW222" s="111"/>
      <c r="AX222" s="112"/>
      <c r="AY222" s="113"/>
      <c r="AZ222" s="112"/>
      <c r="BA222" s="31"/>
      <c r="BB222" s="32"/>
      <c r="BC222" s="90"/>
      <c r="BD222" s="88"/>
      <c r="BE222" s="88"/>
      <c r="BF222" s="111"/>
      <c r="BG222" s="112"/>
      <c r="BH222" s="113"/>
      <c r="BI222" s="112"/>
      <c r="BJ222" s="31"/>
      <c r="BK222" s="32"/>
      <c r="BL222" s="90"/>
      <c r="BM222" s="88"/>
      <c r="BN222" s="88"/>
      <c r="BO222" s="111"/>
      <c r="BP222" s="112"/>
      <c r="BQ222" s="113"/>
      <c r="BR222" s="112"/>
      <c r="BS222" s="31"/>
      <c r="BT222" s="32"/>
      <c r="BU222" s="90"/>
      <c r="BV222" s="88"/>
      <c r="BW222" s="88"/>
      <c r="BX222" s="111"/>
      <c r="BY222" s="112"/>
      <c r="BZ222" s="113"/>
      <c r="CA222" s="112"/>
      <c r="CB222" s="31"/>
      <c r="CC222" s="32"/>
      <c r="CD222" s="90"/>
      <c r="CE222" s="88"/>
      <c r="CF222" s="88"/>
      <c r="CG222" s="111"/>
      <c r="CH222" s="112"/>
      <c r="CI222" s="113"/>
      <c r="CJ222" s="112"/>
      <c r="CK222" s="31"/>
      <c r="CL222" s="32"/>
      <c r="CM222" s="90"/>
      <c r="CN222" s="88"/>
      <c r="CO222" s="88"/>
      <c r="CP222" s="111"/>
      <c r="CQ222" s="112"/>
      <c r="CR222" s="113"/>
      <c r="CS222" s="112"/>
      <c r="CT222" s="55"/>
      <c r="CV222" s="230"/>
      <c r="CX222" s="226" t="s">
        <v>541</v>
      </c>
      <c r="CY222" s="226" t="s">
        <v>541</v>
      </c>
      <c r="CZ222" s="226" t="s">
        <v>541</v>
      </c>
      <c r="DA222" s="226" t="s">
        <v>541</v>
      </c>
      <c r="DB222" s="226"/>
      <c r="DC222" s="226" t="s">
        <v>541</v>
      </c>
      <c r="DD222" s="226" t="s">
        <v>541</v>
      </c>
      <c r="DE222" s="226" t="s">
        <v>1470</v>
      </c>
      <c r="DF222" s="226" t="s">
        <v>541</v>
      </c>
      <c r="DG222" s="226" t="s">
        <v>541</v>
      </c>
      <c r="DH222" s="14"/>
    </row>
    <row r="223" spans="1:112" ht="26" x14ac:dyDescent="0.25">
      <c r="A223" s="17" t="s">
        <v>1004</v>
      </c>
      <c r="B223" s="17" t="s">
        <v>1324</v>
      </c>
      <c r="C223" s="17" t="s">
        <v>1402</v>
      </c>
      <c r="D223" s="17" t="s">
        <v>1345</v>
      </c>
      <c r="E223" s="17" t="b">
        <f t="shared" si="37"/>
        <v>1</v>
      </c>
      <c r="F223" s="232" t="s">
        <v>2124</v>
      </c>
      <c r="G223" s="278" t="s">
        <v>2190</v>
      </c>
      <c r="H223" s="128" t="s">
        <v>1402</v>
      </c>
      <c r="I223" s="233" t="s">
        <v>1345</v>
      </c>
      <c r="J223" s="31"/>
      <c r="K223" s="102" t="s">
        <v>354</v>
      </c>
      <c r="L223" s="89"/>
      <c r="M223" s="111"/>
      <c r="N223" s="112"/>
      <c r="O223" s="113"/>
      <c r="P223" s="112"/>
      <c r="Q223" s="31"/>
      <c r="R223" s="102"/>
      <c r="S223" s="89"/>
      <c r="T223" s="88" t="str">
        <f t="shared" si="35"/>
        <v>NA</v>
      </c>
      <c r="U223" s="88" t="str">
        <f t="shared" si="36"/>
        <v>NA</v>
      </c>
      <c r="V223" s="111"/>
      <c r="W223" s="112"/>
      <c r="X223" s="113"/>
      <c r="Y223" s="112"/>
      <c r="Z223" s="31"/>
      <c r="AA223" s="296"/>
      <c r="AB223" s="89"/>
      <c r="AC223" s="88" t="str">
        <f t="shared" si="38"/>
        <v>NA</v>
      </c>
      <c r="AD223" s="88" t="str">
        <f t="shared" si="39"/>
        <v>NA</v>
      </c>
      <c r="AE223" s="111"/>
      <c r="AF223" s="112"/>
      <c r="AG223" s="113"/>
      <c r="AH223" s="112"/>
      <c r="AI223" s="31"/>
      <c r="AJ223" s="294"/>
      <c r="AK223" s="89"/>
      <c r="AL223" s="88" t="str">
        <f t="shared" si="40"/>
        <v>NA</v>
      </c>
      <c r="AM223" s="88" t="str">
        <f t="shared" si="41"/>
        <v>NA</v>
      </c>
      <c r="AN223" s="111"/>
      <c r="AO223" s="112"/>
      <c r="AP223" s="113"/>
      <c r="AQ223" s="112"/>
      <c r="AR223" s="31"/>
      <c r="AS223" s="32"/>
      <c r="AT223" s="90"/>
      <c r="AU223" s="88"/>
      <c r="AV223" s="88"/>
      <c r="AW223" s="111"/>
      <c r="AX223" s="112"/>
      <c r="AY223" s="113"/>
      <c r="AZ223" s="112"/>
      <c r="BA223" s="31"/>
      <c r="BB223" s="32"/>
      <c r="BC223" s="90"/>
      <c r="BD223" s="88"/>
      <c r="BE223" s="88"/>
      <c r="BF223" s="111"/>
      <c r="BG223" s="112"/>
      <c r="BH223" s="113"/>
      <c r="BI223" s="112"/>
      <c r="BJ223" s="31"/>
      <c r="BK223" s="32"/>
      <c r="BL223" s="90"/>
      <c r="BM223" s="88"/>
      <c r="BN223" s="88"/>
      <c r="BO223" s="111"/>
      <c r="BP223" s="112"/>
      <c r="BQ223" s="113"/>
      <c r="BR223" s="112"/>
      <c r="BS223" s="31"/>
      <c r="BT223" s="32"/>
      <c r="BU223" s="90"/>
      <c r="BV223" s="88"/>
      <c r="BW223" s="88"/>
      <c r="BX223" s="111"/>
      <c r="BY223" s="112"/>
      <c r="BZ223" s="113"/>
      <c r="CA223" s="112"/>
      <c r="CB223" s="31"/>
      <c r="CC223" s="32"/>
      <c r="CD223" s="90"/>
      <c r="CE223" s="88"/>
      <c r="CF223" s="88"/>
      <c r="CG223" s="111"/>
      <c r="CH223" s="112"/>
      <c r="CI223" s="113"/>
      <c r="CJ223" s="112"/>
      <c r="CK223" s="31"/>
      <c r="CL223" s="32"/>
      <c r="CM223" s="90"/>
      <c r="CN223" s="88"/>
      <c r="CO223" s="88"/>
      <c r="CP223" s="111"/>
      <c r="CQ223" s="112"/>
      <c r="CR223" s="113"/>
      <c r="CS223" s="112"/>
      <c r="CT223" s="55"/>
      <c r="CV223" s="230"/>
      <c r="CX223" s="226" t="s">
        <v>541</v>
      </c>
      <c r="CY223" s="226" t="s">
        <v>541</v>
      </c>
      <c r="CZ223" s="226" t="s">
        <v>541</v>
      </c>
      <c r="DA223" s="226" t="s">
        <v>541</v>
      </c>
      <c r="DB223" s="226"/>
      <c r="DC223" s="226" t="s">
        <v>541</v>
      </c>
      <c r="DD223" s="226" t="s">
        <v>541</v>
      </c>
      <c r="DE223" s="226" t="s">
        <v>1470</v>
      </c>
      <c r="DF223" s="226" t="s">
        <v>541</v>
      </c>
      <c r="DG223" s="226" t="s">
        <v>541</v>
      </c>
      <c r="DH223" s="14"/>
    </row>
    <row r="224" spans="1:112" ht="65" x14ac:dyDescent="0.25">
      <c r="A224" s="17" t="s">
        <v>1004</v>
      </c>
      <c r="B224" s="17" t="s">
        <v>1325</v>
      </c>
      <c r="C224" s="17" t="s">
        <v>1403</v>
      </c>
      <c r="D224" s="17" t="s">
        <v>1346</v>
      </c>
      <c r="E224" s="17" t="b">
        <f t="shared" si="37"/>
        <v>1</v>
      </c>
      <c r="F224" s="232" t="s">
        <v>2125</v>
      </c>
      <c r="G224" s="277" t="s">
        <v>2191</v>
      </c>
      <c r="H224" s="128" t="s">
        <v>1403</v>
      </c>
      <c r="I224" s="233" t="s">
        <v>1346</v>
      </c>
      <c r="J224" s="31"/>
      <c r="K224" s="102" t="s">
        <v>354</v>
      </c>
      <c r="L224" s="89"/>
      <c r="M224" s="111"/>
      <c r="N224" s="112"/>
      <c r="O224" s="113"/>
      <c r="P224" s="112"/>
      <c r="Q224" s="31"/>
      <c r="R224" s="102"/>
      <c r="S224" s="89"/>
      <c r="T224" s="88" t="str">
        <f t="shared" si="35"/>
        <v>NA</v>
      </c>
      <c r="U224" s="88" t="str">
        <f t="shared" si="36"/>
        <v>NA</v>
      </c>
      <c r="V224" s="111"/>
      <c r="W224" s="112"/>
      <c r="X224" s="113"/>
      <c r="Y224" s="112"/>
      <c r="Z224" s="31"/>
      <c r="AA224" s="296"/>
      <c r="AB224" s="89"/>
      <c r="AC224" s="88" t="str">
        <f t="shared" si="38"/>
        <v>NA</v>
      </c>
      <c r="AD224" s="88" t="str">
        <f t="shared" si="39"/>
        <v>NA</v>
      </c>
      <c r="AE224" s="111"/>
      <c r="AF224" s="112"/>
      <c r="AG224" s="113"/>
      <c r="AH224" s="112"/>
      <c r="AI224" s="31"/>
      <c r="AJ224" s="294"/>
      <c r="AK224" s="89"/>
      <c r="AL224" s="88" t="str">
        <f t="shared" si="40"/>
        <v>NA</v>
      </c>
      <c r="AM224" s="88" t="str">
        <f t="shared" si="41"/>
        <v>NA</v>
      </c>
      <c r="AN224" s="111"/>
      <c r="AO224" s="112"/>
      <c r="AP224" s="113"/>
      <c r="AQ224" s="112"/>
      <c r="AR224" s="31"/>
      <c r="AS224" s="32"/>
      <c r="AT224" s="90"/>
      <c r="AU224" s="88"/>
      <c r="AV224" s="88"/>
      <c r="AW224" s="111"/>
      <c r="AX224" s="112"/>
      <c r="AY224" s="113"/>
      <c r="AZ224" s="112"/>
      <c r="BA224" s="31"/>
      <c r="BB224" s="32"/>
      <c r="BC224" s="90"/>
      <c r="BD224" s="88"/>
      <c r="BE224" s="88"/>
      <c r="BF224" s="111"/>
      <c r="BG224" s="112"/>
      <c r="BH224" s="113"/>
      <c r="BI224" s="112"/>
      <c r="BJ224" s="31"/>
      <c r="BK224" s="32"/>
      <c r="BL224" s="90"/>
      <c r="BM224" s="88"/>
      <c r="BN224" s="88"/>
      <c r="BO224" s="111"/>
      <c r="BP224" s="112"/>
      <c r="BQ224" s="113"/>
      <c r="BR224" s="112"/>
      <c r="BS224" s="31"/>
      <c r="BT224" s="32"/>
      <c r="BU224" s="90"/>
      <c r="BV224" s="88"/>
      <c r="BW224" s="88"/>
      <c r="BX224" s="111"/>
      <c r="BY224" s="112"/>
      <c r="BZ224" s="113"/>
      <c r="CA224" s="112"/>
      <c r="CB224" s="31"/>
      <c r="CC224" s="32"/>
      <c r="CD224" s="90"/>
      <c r="CE224" s="88"/>
      <c r="CF224" s="88"/>
      <c r="CG224" s="111"/>
      <c r="CH224" s="112"/>
      <c r="CI224" s="113"/>
      <c r="CJ224" s="112"/>
      <c r="CK224" s="31"/>
      <c r="CL224" s="32"/>
      <c r="CM224" s="90"/>
      <c r="CN224" s="88"/>
      <c r="CO224" s="88"/>
      <c r="CP224" s="111"/>
      <c r="CQ224" s="112"/>
      <c r="CR224" s="113"/>
      <c r="CS224" s="112"/>
      <c r="CT224" s="55"/>
      <c r="CV224" s="230"/>
      <c r="CX224" s="226" t="s">
        <v>1425</v>
      </c>
      <c r="CY224" s="226" t="s">
        <v>541</v>
      </c>
      <c r="CZ224" s="226" t="s">
        <v>541</v>
      </c>
      <c r="DA224" s="226" t="s">
        <v>541</v>
      </c>
      <c r="DB224" s="14"/>
      <c r="DC224" s="226" t="s">
        <v>541</v>
      </c>
      <c r="DD224" s="226" t="s">
        <v>541</v>
      </c>
      <c r="DE224" s="226" t="s">
        <v>1470</v>
      </c>
      <c r="DF224" s="226" t="s">
        <v>541</v>
      </c>
      <c r="DG224" s="226" t="s">
        <v>541</v>
      </c>
      <c r="DH224" s="14"/>
    </row>
    <row r="225" spans="1:112" ht="26" x14ac:dyDescent="0.25">
      <c r="A225" s="17" t="s">
        <v>1004</v>
      </c>
      <c r="B225" s="17" t="s">
        <v>1326</v>
      </c>
      <c r="C225" s="17" t="s">
        <v>1404</v>
      </c>
      <c r="D225" s="17" t="s">
        <v>1347</v>
      </c>
      <c r="E225" s="17" t="b">
        <f t="shared" si="37"/>
        <v>1</v>
      </c>
      <c r="F225" s="232" t="s">
        <v>2126</v>
      </c>
      <c r="G225" s="278" t="s">
        <v>2192</v>
      </c>
      <c r="H225" s="128" t="s">
        <v>1404</v>
      </c>
      <c r="I225" s="233" t="s">
        <v>1347</v>
      </c>
      <c r="J225" s="31"/>
      <c r="K225" s="102" t="s">
        <v>354</v>
      </c>
      <c r="L225" s="89"/>
      <c r="M225" s="111"/>
      <c r="N225" s="112"/>
      <c r="O225" s="113"/>
      <c r="P225" s="112"/>
      <c r="Q225" s="31"/>
      <c r="R225" s="102"/>
      <c r="S225" s="89"/>
      <c r="T225" s="88" t="str">
        <f t="shared" si="35"/>
        <v>NA</v>
      </c>
      <c r="U225" s="88" t="str">
        <f t="shared" si="36"/>
        <v>NA</v>
      </c>
      <c r="V225" s="111"/>
      <c r="W225" s="112"/>
      <c r="X225" s="113"/>
      <c r="Y225" s="112"/>
      <c r="Z225" s="31"/>
      <c r="AA225" s="296"/>
      <c r="AB225" s="89"/>
      <c r="AC225" s="88" t="str">
        <f t="shared" si="38"/>
        <v>NA</v>
      </c>
      <c r="AD225" s="88" t="str">
        <f t="shared" si="39"/>
        <v>NA</v>
      </c>
      <c r="AE225" s="111"/>
      <c r="AF225" s="112"/>
      <c r="AG225" s="113"/>
      <c r="AH225" s="112"/>
      <c r="AI225" s="31"/>
      <c r="AJ225" s="294"/>
      <c r="AK225" s="89"/>
      <c r="AL225" s="88" t="str">
        <f t="shared" si="40"/>
        <v>NA</v>
      </c>
      <c r="AM225" s="88" t="str">
        <f t="shared" si="41"/>
        <v>NA</v>
      </c>
      <c r="AN225" s="111"/>
      <c r="AO225" s="112"/>
      <c r="AP225" s="113"/>
      <c r="AQ225" s="112"/>
      <c r="AR225" s="31"/>
      <c r="AS225" s="32"/>
      <c r="AT225" s="90"/>
      <c r="AU225" s="88"/>
      <c r="AV225" s="88"/>
      <c r="AW225" s="111"/>
      <c r="AX225" s="112"/>
      <c r="AY225" s="113"/>
      <c r="AZ225" s="112"/>
      <c r="BA225" s="31"/>
      <c r="BB225" s="32"/>
      <c r="BC225" s="90"/>
      <c r="BD225" s="88"/>
      <c r="BE225" s="88"/>
      <c r="BF225" s="111"/>
      <c r="BG225" s="112"/>
      <c r="BH225" s="113"/>
      <c r="BI225" s="112"/>
      <c r="BJ225" s="31"/>
      <c r="BK225" s="32"/>
      <c r="BL225" s="90"/>
      <c r="BM225" s="88"/>
      <c r="BN225" s="88"/>
      <c r="BO225" s="111"/>
      <c r="BP225" s="112"/>
      <c r="BQ225" s="113"/>
      <c r="BR225" s="112"/>
      <c r="BS225" s="31"/>
      <c r="BT225" s="32"/>
      <c r="BU225" s="90"/>
      <c r="BV225" s="88"/>
      <c r="BW225" s="88"/>
      <c r="BX225" s="111"/>
      <c r="BY225" s="112"/>
      <c r="BZ225" s="113"/>
      <c r="CA225" s="112"/>
      <c r="CB225" s="31"/>
      <c r="CC225" s="32"/>
      <c r="CD225" s="90"/>
      <c r="CE225" s="88"/>
      <c r="CF225" s="88"/>
      <c r="CG225" s="111"/>
      <c r="CH225" s="112"/>
      <c r="CI225" s="113"/>
      <c r="CJ225" s="112"/>
      <c r="CK225" s="31"/>
      <c r="CL225" s="32"/>
      <c r="CM225" s="90"/>
      <c r="CN225" s="88"/>
      <c r="CO225" s="88"/>
      <c r="CP225" s="111"/>
      <c r="CQ225" s="112"/>
      <c r="CR225" s="113"/>
      <c r="CS225" s="112"/>
      <c r="CT225" s="55"/>
      <c r="CV225" s="230"/>
      <c r="CX225" s="226" t="s">
        <v>1424</v>
      </c>
      <c r="CY225" s="226" t="s">
        <v>541</v>
      </c>
      <c r="CZ225" s="226" t="s">
        <v>541</v>
      </c>
      <c r="DA225" s="226" t="s">
        <v>541</v>
      </c>
      <c r="DB225" s="226"/>
      <c r="DC225" s="226" t="s">
        <v>541</v>
      </c>
      <c r="DD225" s="226" t="s">
        <v>541</v>
      </c>
      <c r="DE225" s="226" t="s">
        <v>1471</v>
      </c>
      <c r="DF225" s="226" t="s">
        <v>541</v>
      </c>
      <c r="DG225" s="226" t="s">
        <v>541</v>
      </c>
      <c r="DH225" s="14"/>
    </row>
    <row r="226" spans="1:112" ht="26" x14ac:dyDescent="0.25">
      <c r="A226" s="17" t="s">
        <v>1004</v>
      </c>
      <c r="B226" s="17" t="s">
        <v>1327</v>
      </c>
      <c r="C226" s="17" t="s">
        <v>1405</v>
      </c>
      <c r="D226" s="17" t="s">
        <v>1348</v>
      </c>
      <c r="E226" s="17" t="b">
        <f t="shared" si="37"/>
        <v>1</v>
      </c>
      <c r="F226" s="232" t="s">
        <v>2127</v>
      </c>
      <c r="G226" s="278" t="s">
        <v>2193</v>
      </c>
      <c r="H226" s="128" t="s">
        <v>1405</v>
      </c>
      <c r="I226" s="233" t="s">
        <v>1348</v>
      </c>
      <c r="J226" s="31"/>
      <c r="K226" s="102" t="s">
        <v>354</v>
      </c>
      <c r="L226" s="89"/>
      <c r="M226" s="111"/>
      <c r="N226" s="112"/>
      <c r="O226" s="113"/>
      <c r="P226" s="112"/>
      <c r="Q226" s="31"/>
      <c r="R226" s="102"/>
      <c r="S226" s="89"/>
      <c r="T226" s="88" t="str">
        <f t="shared" si="35"/>
        <v>NA</v>
      </c>
      <c r="U226" s="88" t="str">
        <f t="shared" si="36"/>
        <v>NA</v>
      </c>
      <c r="V226" s="111"/>
      <c r="W226" s="112"/>
      <c r="X226" s="113"/>
      <c r="Y226" s="112"/>
      <c r="Z226" s="31"/>
      <c r="AA226" s="296"/>
      <c r="AB226" s="89"/>
      <c r="AC226" s="88" t="str">
        <f t="shared" si="38"/>
        <v>NA</v>
      </c>
      <c r="AD226" s="88" t="str">
        <f t="shared" si="39"/>
        <v>NA</v>
      </c>
      <c r="AE226" s="111"/>
      <c r="AF226" s="112"/>
      <c r="AG226" s="113"/>
      <c r="AH226" s="112"/>
      <c r="AI226" s="31"/>
      <c r="AJ226" s="294"/>
      <c r="AK226" s="89"/>
      <c r="AL226" s="88" t="str">
        <f t="shared" si="40"/>
        <v>NA</v>
      </c>
      <c r="AM226" s="88" t="str">
        <f t="shared" si="41"/>
        <v>NA</v>
      </c>
      <c r="AN226" s="111"/>
      <c r="AO226" s="112"/>
      <c r="AP226" s="113"/>
      <c r="AQ226" s="112"/>
      <c r="AR226" s="31"/>
      <c r="AS226" s="32"/>
      <c r="AT226" s="90"/>
      <c r="AU226" s="88"/>
      <c r="AV226" s="88"/>
      <c r="AW226" s="111"/>
      <c r="AX226" s="112"/>
      <c r="AY226" s="113"/>
      <c r="AZ226" s="112"/>
      <c r="BA226" s="31"/>
      <c r="BB226" s="32"/>
      <c r="BC226" s="90"/>
      <c r="BD226" s="88"/>
      <c r="BE226" s="88"/>
      <c r="BF226" s="111"/>
      <c r="BG226" s="112"/>
      <c r="BH226" s="113"/>
      <c r="BI226" s="112"/>
      <c r="BJ226" s="31"/>
      <c r="BK226" s="32"/>
      <c r="BL226" s="90"/>
      <c r="BM226" s="88"/>
      <c r="BN226" s="88"/>
      <c r="BO226" s="111"/>
      <c r="BP226" s="112"/>
      <c r="BQ226" s="113"/>
      <c r="BR226" s="112"/>
      <c r="BS226" s="31"/>
      <c r="BT226" s="32"/>
      <c r="BU226" s="90"/>
      <c r="BV226" s="88"/>
      <c r="BW226" s="88"/>
      <c r="BX226" s="111"/>
      <c r="BY226" s="112"/>
      <c r="BZ226" s="113"/>
      <c r="CA226" s="112"/>
      <c r="CB226" s="31"/>
      <c r="CC226" s="32"/>
      <c r="CD226" s="90"/>
      <c r="CE226" s="88"/>
      <c r="CF226" s="88"/>
      <c r="CG226" s="111"/>
      <c r="CH226" s="112"/>
      <c r="CI226" s="113"/>
      <c r="CJ226" s="112"/>
      <c r="CK226" s="31"/>
      <c r="CL226" s="32"/>
      <c r="CM226" s="90"/>
      <c r="CN226" s="88"/>
      <c r="CO226" s="88"/>
      <c r="CP226" s="111"/>
      <c r="CQ226" s="112"/>
      <c r="CR226" s="113"/>
      <c r="CS226" s="112"/>
      <c r="CT226" s="55"/>
      <c r="CV226" s="230"/>
      <c r="CX226" s="226" t="s">
        <v>1425</v>
      </c>
      <c r="CY226" s="226" t="s">
        <v>541</v>
      </c>
      <c r="CZ226" s="226" t="s">
        <v>541</v>
      </c>
      <c r="DA226" s="226" t="s">
        <v>541</v>
      </c>
      <c r="DB226" s="14"/>
      <c r="DC226" s="226" t="s">
        <v>541</v>
      </c>
      <c r="DD226" s="226" t="s">
        <v>541</v>
      </c>
      <c r="DE226" s="226" t="s">
        <v>1471</v>
      </c>
      <c r="DF226" s="226" t="s">
        <v>541</v>
      </c>
      <c r="DG226" s="226" t="s">
        <v>541</v>
      </c>
      <c r="DH226" s="14"/>
    </row>
    <row r="227" spans="1:112" ht="26" x14ac:dyDescent="0.25">
      <c r="A227" s="17" t="s">
        <v>1004</v>
      </c>
      <c r="B227" s="17" t="s">
        <v>1328</v>
      </c>
      <c r="C227" s="17" t="s">
        <v>1406</v>
      </c>
      <c r="D227" s="17" t="s">
        <v>1349</v>
      </c>
      <c r="E227" s="17" t="b">
        <f t="shared" si="37"/>
        <v>1</v>
      </c>
      <c r="F227" s="232" t="s">
        <v>2128</v>
      </c>
      <c r="G227" s="277" t="s">
        <v>2194</v>
      </c>
      <c r="H227" s="128" t="s">
        <v>1406</v>
      </c>
      <c r="I227" s="233" t="s">
        <v>1349</v>
      </c>
      <c r="J227" s="31"/>
      <c r="K227" s="102" t="s">
        <v>354</v>
      </c>
      <c r="L227" s="89"/>
      <c r="M227" s="111"/>
      <c r="N227" s="112"/>
      <c r="O227" s="113"/>
      <c r="P227" s="112"/>
      <c r="Q227" s="31"/>
      <c r="R227" s="102"/>
      <c r="S227" s="89"/>
      <c r="T227" s="88" t="str">
        <f t="shared" si="35"/>
        <v>NA</v>
      </c>
      <c r="U227" s="88" t="str">
        <f t="shared" si="36"/>
        <v>NA</v>
      </c>
      <c r="V227" s="111"/>
      <c r="W227" s="112"/>
      <c r="X227" s="113"/>
      <c r="Y227" s="112"/>
      <c r="Z227" s="31"/>
      <c r="AA227" s="296"/>
      <c r="AB227" s="89"/>
      <c r="AC227" s="88" t="str">
        <f t="shared" si="38"/>
        <v>NA</v>
      </c>
      <c r="AD227" s="88" t="str">
        <f t="shared" si="39"/>
        <v>NA</v>
      </c>
      <c r="AE227" s="111"/>
      <c r="AF227" s="112"/>
      <c r="AG227" s="113"/>
      <c r="AH227" s="112"/>
      <c r="AI227" s="31"/>
      <c r="AJ227" s="294"/>
      <c r="AK227" s="89"/>
      <c r="AL227" s="88" t="str">
        <f t="shared" si="40"/>
        <v>NA</v>
      </c>
      <c r="AM227" s="88" t="str">
        <f t="shared" si="41"/>
        <v>NA</v>
      </c>
      <c r="AN227" s="111"/>
      <c r="AO227" s="112"/>
      <c r="AP227" s="113"/>
      <c r="AQ227" s="112"/>
      <c r="AR227" s="31"/>
      <c r="AS227" s="32"/>
      <c r="AT227" s="90"/>
      <c r="AU227" s="88"/>
      <c r="AV227" s="88"/>
      <c r="AW227" s="111"/>
      <c r="AX227" s="112"/>
      <c r="AY227" s="113"/>
      <c r="AZ227" s="112"/>
      <c r="BA227" s="31"/>
      <c r="BB227" s="32"/>
      <c r="BC227" s="90"/>
      <c r="BD227" s="88"/>
      <c r="BE227" s="88"/>
      <c r="BF227" s="111"/>
      <c r="BG227" s="112"/>
      <c r="BH227" s="113"/>
      <c r="BI227" s="112"/>
      <c r="BJ227" s="31"/>
      <c r="BK227" s="32"/>
      <c r="BL227" s="90"/>
      <c r="BM227" s="88"/>
      <c r="BN227" s="88"/>
      <c r="BO227" s="111"/>
      <c r="BP227" s="112"/>
      <c r="BQ227" s="113"/>
      <c r="BR227" s="112"/>
      <c r="BS227" s="31"/>
      <c r="BT227" s="32"/>
      <c r="BU227" s="90"/>
      <c r="BV227" s="88"/>
      <c r="BW227" s="88"/>
      <c r="BX227" s="111"/>
      <c r="BY227" s="112"/>
      <c r="BZ227" s="113"/>
      <c r="CA227" s="112"/>
      <c r="CB227" s="31"/>
      <c r="CC227" s="32"/>
      <c r="CD227" s="90"/>
      <c r="CE227" s="88"/>
      <c r="CF227" s="88"/>
      <c r="CG227" s="111"/>
      <c r="CH227" s="112"/>
      <c r="CI227" s="113"/>
      <c r="CJ227" s="112"/>
      <c r="CK227" s="31"/>
      <c r="CL227" s="32"/>
      <c r="CM227" s="90"/>
      <c r="CN227" s="88"/>
      <c r="CO227" s="88"/>
      <c r="CP227" s="111"/>
      <c r="CQ227" s="112"/>
      <c r="CR227" s="113"/>
      <c r="CS227" s="112"/>
      <c r="CT227" s="55"/>
      <c r="CV227" s="230"/>
      <c r="CX227" s="226" t="s">
        <v>541</v>
      </c>
      <c r="CY227" s="226" t="s">
        <v>541</v>
      </c>
      <c r="CZ227" s="226" t="s">
        <v>541</v>
      </c>
      <c r="DA227" s="226" t="s">
        <v>541</v>
      </c>
      <c r="DB227" s="226"/>
      <c r="DC227" s="226" t="s">
        <v>541</v>
      </c>
      <c r="DD227" s="226" t="s">
        <v>541</v>
      </c>
      <c r="DE227" s="226" t="s">
        <v>1471</v>
      </c>
      <c r="DF227" s="226" t="s">
        <v>541</v>
      </c>
      <c r="DG227" s="226" t="s">
        <v>541</v>
      </c>
      <c r="DH227" s="14"/>
    </row>
    <row r="228" spans="1:112" ht="26" x14ac:dyDescent="0.25">
      <c r="A228" s="17" t="s">
        <v>1004</v>
      </c>
      <c r="B228" s="17" t="s">
        <v>1329</v>
      </c>
      <c r="C228" s="17" t="s">
        <v>1407</v>
      </c>
      <c r="D228" s="17" t="s">
        <v>1350</v>
      </c>
      <c r="E228" s="17" t="b">
        <f t="shared" si="37"/>
        <v>1</v>
      </c>
      <c r="F228" s="232" t="s">
        <v>2129</v>
      </c>
      <c r="G228" s="277" t="s">
        <v>2195</v>
      </c>
      <c r="H228" s="128" t="s">
        <v>1407</v>
      </c>
      <c r="I228" s="233" t="s">
        <v>1350</v>
      </c>
      <c r="J228" s="31"/>
      <c r="K228" s="102" t="s">
        <v>354</v>
      </c>
      <c r="L228" s="89"/>
      <c r="M228" s="111"/>
      <c r="N228" s="112"/>
      <c r="O228" s="113"/>
      <c r="P228" s="112"/>
      <c r="Q228" s="31"/>
      <c r="R228" s="102"/>
      <c r="S228" s="89"/>
      <c r="T228" s="88" t="str">
        <f t="shared" si="35"/>
        <v>NA</v>
      </c>
      <c r="U228" s="88" t="str">
        <f t="shared" si="36"/>
        <v>NA</v>
      </c>
      <c r="V228" s="111"/>
      <c r="W228" s="112"/>
      <c r="X228" s="113"/>
      <c r="Y228" s="112"/>
      <c r="Z228" s="31"/>
      <c r="AA228" s="296"/>
      <c r="AB228" s="89"/>
      <c r="AC228" s="88" t="str">
        <f t="shared" si="38"/>
        <v>NA</v>
      </c>
      <c r="AD228" s="88" t="str">
        <f t="shared" si="39"/>
        <v>NA</v>
      </c>
      <c r="AE228" s="111"/>
      <c r="AF228" s="112"/>
      <c r="AG228" s="113"/>
      <c r="AH228" s="112"/>
      <c r="AI228" s="31"/>
      <c r="AJ228" s="294"/>
      <c r="AK228" s="89"/>
      <c r="AL228" s="88" t="str">
        <f t="shared" si="40"/>
        <v>NA</v>
      </c>
      <c r="AM228" s="88" t="str">
        <f t="shared" si="41"/>
        <v>NA</v>
      </c>
      <c r="AN228" s="111"/>
      <c r="AO228" s="112"/>
      <c r="AP228" s="113"/>
      <c r="AQ228" s="112"/>
      <c r="AR228" s="31"/>
      <c r="AS228" s="32"/>
      <c r="AT228" s="90"/>
      <c r="AU228" s="88"/>
      <c r="AV228" s="88"/>
      <c r="AW228" s="111"/>
      <c r="AX228" s="112"/>
      <c r="AY228" s="113"/>
      <c r="AZ228" s="112"/>
      <c r="BA228" s="31"/>
      <c r="BB228" s="32"/>
      <c r="BC228" s="90"/>
      <c r="BD228" s="88"/>
      <c r="BE228" s="88"/>
      <c r="BF228" s="111"/>
      <c r="BG228" s="112"/>
      <c r="BH228" s="113"/>
      <c r="BI228" s="112"/>
      <c r="BJ228" s="31"/>
      <c r="BK228" s="32"/>
      <c r="BL228" s="90"/>
      <c r="BM228" s="88"/>
      <c r="BN228" s="88"/>
      <c r="BO228" s="111"/>
      <c r="BP228" s="112"/>
      <c r="BQ228" s="113"/>
      <c r="BR228" s="112"/>
      <c r="BS228" s="31"/>
      <c r="BT228" s="32"/>
      <c r="BU228" s="90"/>
      <c r="BV228" s="88"/>
      <c r="BW228" s="88"/>
      <c r="BX228" s="111"/>
      <c r="BY228" s="112"/>
      <c r="BZ228" s="113"/>
      <c r="CA228" s="112"/>
      <c r="CB228" s="31"/>
      <c r="CC228" s="32"/>
      <c r="CD228" s="90"/>
      <c r="CE228" s="88"/>
      <c r="CF228" s="88"/>
      <c r="CG228" s="111"/>
      <c r="CH228" s="112"/>
      <c r="CI228" s="113"/>
      <c r="CJ228" s="112"/>
      <c r="CK228" s="31"/>
      <c r="CL228" s="32"/>
      <c r="CM228" s="90"/>
      <c r="CN228" s="88"/>
      <c r="CO228" s="88"/>
      <c r="CP228" s="111"/>
      <c r="CQ228" s="112"/>
      <c r="CR228" s="113"/>
      <c r="CS228" s="112"/>
      <c r="CT228" s="55"/>
      <c r="CV228" s="230"/>
      <c r="CX228" s="226" t="s">
        <v>541</v>
      </c>
      <c r="CY228" s="226" t="s">
        <v>541</v>
      </c>
      <c r="CZ228" s="226" t="s">
        <v>541</v>
      </c>
      <c r="DA228" s="226" t="s">
        <v>541</v>
      </c>
      <c r="DB228" s="226"/>
      <c r="DC228" s="226" t="s">
        <v>541</v>
      </c>
      <c r="DD228" s="226" t="s">
        <v>541</v>
      </c>
      <c r="DE228" s="226" t="s">
        <v>1471</v>
      </c>
      <c r="DF228" s="226" t="s">
        <v>541</v>
      </c>
      <c r="DG228" s="226" t="s">
        <v>541</v>
      </c>
      <c r="DH228" s="14"/>
    </row>
    <row r="229" spans="1:112" ht="65" x14ac:dyDescent="0.25">
      <c r="A229" s="17" t="s">
        <v>1004</v>
      </c>
      <c r="B229" s="17" t="s">
        <v>1330</v>
      </c>
      <c r="C229" s="17" t="s">
        <v>1408</v>
      </c>
      <c r="D229" s="17" t="s">
        <v>1351</v>
      </c>
      <c r="E229" s="17" t="b">
        <f t="shared" si="37"/>
        <v>1</v>
      </c>
      <c r="F229" s="232" t="s">
        <v>2130</v>
      </c>
      <c r="G229" s="277" t="s">
        <v>2196</v>
      </c>
      <c r="H229" s="128" t="s">
        <v>1408</v>
      </c>
      <c r="I229" s="233" t="s">
        <v>1351</v>
      </c>
      <c r="J229" s="31"/>
      <c r="K229" s="102" t="s">
        <v>354</v>
      </c>
      <c r="L229" s="89"/>
      <c r="M229" s="111"/>
      <c r="N229" s="112"/>
      <c r="O229" s="113"/>
      <c r="P229" s="112"/>
      <c r="Q229" s="31"/>
      <c r="R229" s="102"/>
      <c r="S229" s="89"/>
      <c r="T229" s="88" t="str">
        <f t="shared" si="35"/>
        <v>NA</v>
      </c>
      <c r="U229" s="88" t="str">
        <f t="shared" si="36"/>
        <v>NA</v>
      </c>
      <c r="V229" s="111"/>
      <c r="W229" s="112"/>
      <c r="X229" s="113"/>
      <c r="Y229" s="112"/>
      <c r="Z229" s="31"/>
      <c r="AA229" s="296"/>
      <c r="AB229" s="89"/>
      <c r="AC229" s="88" t="str">
        <f t="shared" si="38"/>
        <v>NA</v>
      </c>
      <c r="AD229" s="88" t="str">
        <f t="shared" si="39"/>
        <v>NA</v>
      </c>
      <c r="AE229" s="111"/>
      <c r="AF229" s="112"/>
      <c r="AG229" s="113"/>
      <c r="AH229" s="112"/>
      <c r="AI229" s="31"/>
      <c r="AJ229" s="294"/>
      <c r="AK229" s="89"/>
      <c r="AL229" s="88" t="str">
        <f t="shared" si="40"/>
        <v>NA</v>
      </c>
      <c r="AM229" s="88" t="str">
        <f t="shared" si="41"/>
        <v>NA</v>
      </c>
      <c r="AN229" s="111"/>
      <c r="AO229" s="112"/>
      <c r="AP229" s="113"/>
      <c r="AQ229" s="112"/>
      <c r="AR229" s="31"/>
      <c r="AS229" s="32"/>
      <c r="AT229" s="90"/>
      <c r="AU229" s="88"/>
      <c r="AV229" s="88"/>
      <c r="AW229" s="111"/>
      <c r="AX229" s="112"/>
      <c r="AY229" s="113"/>
      <c r="AZ229" s="112"/>
      <c r="BA229" s="31"/>
      <c r="BB229" s="32"/>
      <c r="BC229" s="90"/>
      <c r="BD229" s="88"/>
      <c r="BE229" s="88"/>
      <c r="BF229" s="111"/>
      <c r="BG229" s="112"/>
      <c r="BH229" s="113"/>
      <c r="BI229" s="112"/>
      <c r="BJ229" s="31"/>
      <c r="BK229" s="32"/>
      <c r="BL229" s="90"/>
      <c r="BM229" s="88"/>
      <c r="BN229" s="88"/>
      <c r="BO229" s="111"/>
      <c r="BP229" s="112"/>
      <c r="BQ229" s="113"/>
      <c r="BR229" s="112"/>
      <c r="BS229" s="31"/>
      <c r="BT229" s="32"/>
      <c r="BU229" s="90"/>
      <c r="BV229" s="88"/>
      <c r="BW229" s="88"/>
      <c r="BX229" s="111"/>
      <c r="BY229" s="112"/>
      <c r="BZ229" s="113"/>
      <c r="CA229" s="112"/>
      <c r="CB229" s="31"/>
      <c r="CC229" s="32"/>
      <c r="CD229" s="90"/>
      <c r="CE229" s="88"/>
      <c r="CF229" s="88"/>
      <c r="CG229" s="111"/>
      <c r="CH229" s="112"/>
      <c r="CI229" s="113"/>
      <c r="CJ229" s="112"/>
      <c r="CK229" s="31"/>
      <c r="CL229" s="32"/>
      <c r="CM229" s="90"/>
      <c r="CN229" s="88"/>
      <c r="CO229" s="88"/>
      <c r="CP229" s="111"/>
      <c r="CQ229" s="112"/>
      <c r="CR229" s="113"/>
      <c r="CS229" s="112"/>
      <c r="CT229" s="55"/>
      <c r="CV229" s="230"/>
      <c r="CX229" s="226" t="s">
        <v>1425</v>
      </c>
      <c r="CY229" s="226" t="s">
        <v>541</v>
      </c>
      <c r="CZ229" s="226" t="s">
        <v>541</v>
      </c>
      <c r="DA229" s="226" t="s">
        <v>541</v>
      </c>
      <c r="DB229" s="14"/>
      <c r="DC229" s="226" t="s">
        <v>541</v>
      </c>
      <c r="DD229" s="226" t="s">
        <v>541</v>
      </c>
      <c r="DE229" s="226" t="s">
        <v>1471</v>
      </c>
      <c r="DF229" s="226" t="s">
        <v>541</v>
      </c>
      <c r="DG229" s="226" t="s">
        <v>541</v>
      </c>
      <c r="DH229" s="14"/>
    </row>
    <row r="230" spans="1:112" ht="26" x14ac:dyDescent="0.25">
      <c r="A230" s="17" t="s">
        <v>497</v>
      </c>
      <c r="B230" s="17" t="s">
        <v>541</v>
      </c>
      <c r="C230" s="17" t="s">
        <v>103</v>
      </c>
      <c r="D230" s="17" t="s">
        <v>104</v>
      </c>
      <c r="E230" s="17" t="b">
        <f t="shared" si="37"/>
        <v>1</v>
      </c>
      <c r="F230" s="127" t="s">
        <v>497</v>
      </c>
      <c r="G230" s="248" t="s">
        <v>541</v>
      </c>
      <c r="H230" s="128" t="s">
        <v>103</v>
      </c>
      <c r="I230" s="128" t="s">
        <v>104</v>
      </c>
      <c r="J230" s="31"/>
      <c r="K230" s="102" t="s">
        <v>354</v>
      </c>
      <c r="L230" s="89"/>
      <c r="M230" s="111"/>
      <c r="N230" s="112"/>
      <c r="O230" s="113"/>
      <c r="P230" s="112"/>
      <c r="Q230" s="31"/>
      <c r="R230" s="102"/>
      <c r="S230" s="89"/>
      <c r="T230" s="88" t="str">
        <f t="shared" si="35"/>
        <v>NA</v>
      </c>
      <c r="U230" s="88" t="str">
        <f t="shared" si="36"/>
        <v>NA</v>
      </c>
      <c r="V230" s="111"/>
      <c r="W230" s="112"/>
      <c r="X230" s="113"/>
      <c r="Y230" s="112"/>
      <c r="Z230" s="31"/>
      <c r="AA230" s="296"/>
      <c r="AB230" s="89"/>
      <c r="AC230" s="88" t="str">
        <f t="shared" si="38"/>
        <v>NA</v>
      </c>
      <c r="AD230" s="88" t="str">
        <f t="shared" si="39"/>
        <v>NA</v>
      </c>
      <c r="AE230" s="111"/>
      <c r="AF230" s="112"/>
      <c r="AG230" s="113"/>
      <c r="AH230" s="112"/>
      <c r="AI230" s="31"/>
      <c r="AJ230" s="294"/>
      <c r="AK230" s="89"/>
      <c r="AL230" s="88" t="str">
        <f t="shared" si="40"/>
        <v>NA</v>
      </c>
      <c r="AM230" s="88" t="str">
        <f t="shared" si="41"/>
        <v>NA</v>
      </c>
      <c r="AN230" s="111"/>
      <c r="AO230" s="112"/>
      <c r="AP230" s="113"/>
      <c r="AQ230" s="112"/>
      <c r="AR230" s="31"/>
      <c r="AS230" s="32"/>
      <c r="AT230" s="90"/>
      <c r="AU230" s="88"/>
      <c r="AV230" s="88"/>
      <c r="AW230" s="111"/>
      <c r="AX230" s="112"/>
      <c r="AY230" s="113"/>
      <c r="AZ230" s="112"/>
      <c r="BA230" s="31"/>
      <c r="BB230" s="32"/>
      <c r="BC230" s="90"/>
      <c r="BD230" s="88"/>
      <c r="BE230" s="88"/>
      <c r="BF230" s="111"/>
      <c r="BG230" s="112"/>
      <c r="BH230" s="113"/>
      <c r="BI230" s="112"/>
      <c r="BJ230" s="31"/>
      <c r="BK230" s="32"/>
      <c r="BL230" s="90"/>
      <c r="BM230" s="88"/>
      <c r="BN230" s="88"/>
      <c r="BO230" s="111"/>
      <c r="BP230" s="112"/>
      <c r="BQ230" s="113"/>
      <c r="BR230" s="112"/>
      <c r="BS230" s="31"/>
      <c r="BT230" s="32"/>
      <c r="BU230" s="90"/>
      <c r="BV230" s="88"/>
      <c r="BW230" s="88"/>
      <c r="BX230" s="111"/>
      <c r="BY230" s="112"/>
      <c r="BZ230" s="113"/>
      <c r="CA230" s="112"/>
      <c r="CB230" s="31"/>
      <c r="CC230" s="32"/>
      <c r="CD230" s="90"/>
      <c r="CE230" s="88"/>
      <c r="CF230" s="88"/>
      <c r="CG230" s="111"/>
      <c r="CH230" s="112"/>
      <c r="CI230" s="113"/>
      <c r="CJ230" s="112"/>
      <c r="CK230" s="31"/>
      <c r="CL230" s="32"/>
      <c r="CM230" s="90"/>
      <c r="CN230" s="88"/>
      <c r="CO230" s="88"/>
      <c r="CP230" s="111"/>
      <c r="CQ230" s="112"/>
      <c r="CR230" s="113"/>
      <c r="CS230" s="112"/>
      <c r="CT230" s="55"/>
      <c r="CV230" s="230" t="s">
        <v>104</v>
      </c>
      <c r="CX230" s="226" t="s">
        <v>1425</v>
      </c>
      <c r="CY230" s="226" t="s">
        <v>541</v>
      </c>
      <c r="CZ230" s="226" t="s">
        <v>541</v>
      </c>
      <c r="DA230" s="226" t="s">
        <v>541</v>
      </c>
      <c r="DB230" s="14"/>
      <c r="DC230" s="226" t="s">
        <v>541</v>
      </c>
      <c r="DD230" s="226" t="s">
        <v>541</v>
      </c>
      <c r="DE230" s="226" t="s">
        <v>541</v>
      </c>
      <c r="DF230" s="226" t="s">
        <v>541</v>
      </c>
      <c r="DG230" s="226" t="s">
        <v>541</v>
      </c>
      <c r="DH230" s="14"/>
    </row>
    <row r="231" spans="1:112" ht="12.75" customHeight="1" x14ac:dyDescent="0.25">
      <c r="A231" s="17" t="s">
        <v>498</v>
      </c>
      <c r="B231" s="17" t="s">
        <v>541</v>
      </c>
      <c r="C231" s="17" t="s">
        <v>101</v>
      </c>
      <c r="D231" s="17" t="s">
        <v>102</v>
      </c>
      <c r="E231" s="17" t="b">
        <f t="shared" si="37"/>
        <v>1</v>
      </c>
      <c r="F231" s="127" t="s">
        <v>498</v>
      </c>
      <c r="G231" s="248" t="s">
        <v>541</v>
      </c>
      <c r="H231" s="128" t="s">
        <v>101</v>
      </c>
      <c r="I231" s="128" t="s">
        <v>102</v>
      </c>
      <c r="J231" s="31"/>
      <c r="K231" s="102" t="s">
        <v>354</v>
      </c>
      <c r="L231" s="90"/>
      <c r="M231" s="111"/>
      <c r="N231" s="112"/>
      <c r="O231" s="113"/>
      <c r="P231" s="112"/>
      <c r="Q231" s="31"/>
      <c r="R231" s="102"/>
      <c r="S231" s="90"/>
      <c r="T231" s="88" t="str">
        <f t="shared" si="35"/>
        <v>NA</v>
      </c>
      <c r="U231" s="88" t="str">
        <f t="shared" si="36"/>
        <v>NA</v>
      </c>
      <c r="V231" s="111"/>
      <c r="W231" s="112"/>
      <c r="X231" s="113"/>
      <c r="Y231" s="112"/>
      <c r="Z231" s="31"/>
      <c r="AA231" s="296"/>
      <c r="AB231" s="89"/>
      <c r="AC231" s="88" t="str">
        <f t="shared" si="38"/>
        <v>NA</v>
      </c>
      <c r="AD231" s="88" t="str">
        <f t="shared" si="39"/>
        <v>NA</v>
      </c>
      <c r="AE231" s="111"/>
      <c r="AF231" s="112"/>
      <c r="AG231" s="113"/>
      <c r="AH231" s="112"/>
      <c r="AI231" s="31"/>
      <c r="AJ231" s="294"/>
      <c r="AK231" s="89"/>
      <c r="AL231" s="88" t="str">
        <f t="shared" si="40"/>
        <v>NA</v>
      </c>
      <c r="AM231" s="88" t="str">
        <f t="shared" si="41"/>
        <v>NA</v>
      </c>
      <c r="AN231" s="111"/>
      <c r="AO231" s="112"/>
      <c r="AP231" s="113"/>
      <c r="AQ231" s="112"/>
      <c r="AR231" s="31"/>
      <c r="AS231" s="32"/>
      <c r="AT231" s="90"/>
      <c r="AU231" s="88"/>
      <c r="AV231" s="88"/>
      <c r="AW231" s="111"/>
      <c r="AX231" s="112"/>
      <c r="AY231" s="113"/>
      <c r="AZ231" s="112"/>
      <c r="BA231" s="31"/>
      <c r="BB231" s="32"/>
      <c r="BC231" s="90"/>
      <c r="BD231" s="88"/>
      <c r="BE231" s="88"/>
      <c r="BF231" s="111"/>
      <c r="BG231" s="112"/>
      <c r="BH231" s="113"/>
      <c r="BI231" s="112"/>
      <c r="BJ231" s="31"/>
      <c r="BK231" s="32"/>
      <c r="BL231" s="90"/>
      <c r="BM231" s="88"/>
      <c r="BN231" s="88"/>
      <c r="BO231" s="111"/>
      <c r="BP231" s="112"/>
      <c r="BQ231" s="113"/>
      <c r="BR231" s="112"/>
      <c r="BS231" s="31"/>
      <c r="BT231" s="32"/>
      <c r="BU231" s="90"/>
      <c r="BV231" s="88"/>
      <c r="BW231" s="88"/>
      <c r="BX231" s="111"/>
      <c r="BY231" s="112"/>
      <c r="BZ231" s="113"/>
      <c r="CA231" s="112"/>
      <c r="CB231" s="31"/>
      <c r="CC231" s="32"/>
      <c r="CD231" s="90"/>
      <c r="CE231" s="88"/>
      <c r="CF231" s="88"/>
      <c r="CG231" s="111"/>
      <c r="CH231" s="112"/>
      <c r="CI231" s="113"/>
      <c r="CJ231" s="112"/>
      <c r="CK231" s="31"/>
      <c r="CL231" s="32"/>
      <c r="CM231" s="90"/>
      <c r="CN231" s="88"/>
      <c r="CO231" s="88"/>
      <c r="CP231" s="111"/>
      <c r="CQ231" s="112"/>
      <c r="CR231" s="113"/>
      <c r="CS231" s="112"/>
      <c r="CT231" s="55"/>
      <c r="CV231" s="230" t="s">
        <v>102</v>
      </c>
      <c r="CX231" s="226" t="s">
        <v>1424</v>
      </c>
      <c r="CY231" s="226" t="s">
        <v>541</v>
      </c>
      <c r="CZ231" s="226" t="s">
        <v>541</v>
      </c>
      <c r="DA231" s="226" t="s">
        <v>541</v>
      </c>
      <c r="DB231" s="226"/>
      <c r="DC231" s="226" t="s">
        <v>541</v>
      </c>
      <c r="DD231" s="226" t="s">
        <v>541</v>
      </c>
      <c r="DE231" s="226" t="s">
        <v>541</v>
      </c>
      <c r="DF231" s="226" t="s">
        <v>541</v>
      </c>
      <c r="DG231" s="226" t="s">
        <v>541</v>
      </c>
      <c r="DH231" s="14"/>
    </row>
    <row r="232" spans="1:112" ht="26" x14ac:dyDescent="0.25">
      <c r="A232" s="17" t="s">
        <v>499</v>
      </c>
      <c r="B232" s="17" t="s">
        <v>541</v>
      </c>
      <c r="C232" s="17" t="s">
        <v>99</v>
      </c>
      <c r="D232" s="17" t="s">
        <v>100</v>
      </c>
      <c r="E232" s="17" t="b">
        <f t="shared" si="37"/>
        <v>1</v>
      </c>
      <c r="F232" s="127" t="s">
        <v>499</v>
      </c>
      <c r="G232" s="248" t="s">
        <v>541</v>
      </c>
      <c r="H232" s="128" t="s">
        <v>99</v>
      </c>
      <c r="I232" s="128" t="s">
        <v>100</v>
      </c>
      <c r="J232" s="31"/>
      <c r="K232" s="102" t="s">
        <v>354</v>
      </c>
      <c r="L232" s="90"/>
      <c r="M232" s="111"/>
      <c r="N232" s="112"/>
      <c r="O232" s="113"/>
      <c r="P232" s="112"/>
      <c r="Q232" s="31"/>
      <c r="R232" s="102"/>
      <c r="S232" s="90"/>
      <c r="T232" s="88" t="str">
        <f t="shared" si="35"/>
        <v>NA</v>
      </c>
      <c r="U232" s="88" t="str">
        <f t="shared" si="36"/>
        <v>NA</v>
      </c>
      <c r="V232" s="111"/>
      <c r="W232" s="112"/>
      <c r="X232" s="113"/>
      <c r="Y232" s="112"/>
      <c r="Z232" s="31"/>
      <c r="AA232" s="296"/>
      <c r="AB232" s="89"/>
      <c r="AC232" s="88" t="str">
        <f t="shared" si="38"/>
        <v>NA</v>
      </c>
      <c r="AD232" s="88" t="str">
        <f t="shared" si="39"/>
        <v>NA</v>
      </c>
      <c r="AE232" s="111"/>
      <c r="AF232" s="112"/>
      <c r="AG232" s="113"/>
      <c r="AH232" s="112"/>
      <c r="AI232" s="31"/>
      <c r="AJ232" s="294"/>
      <c r="AK232" s="89"/>
      <c r="AL232" s="88" t="str">
        <f t="shared" si="40"/>
        <v>NA</v>
      </c>
      <c r="AM232" s="88" t="str">
        <f t="shared" si="41"/>
        <v>NA</v>
      </c>
      <c r="AN232" s="111"/>
      <c r="AO232" s="112"/>
      <c r="AP232" s="113"/>
      <c r="AQ232" s="112"/>
      <c r="AR232" s="31"/>
      <c r="AS232" s="32"/>
      <c r="AT232" s="90"/>
      <c r="AU232" s="88"/>
      <c r="AV232" s="88"/>
      <c r="AW232" s="111"/>
      <c r="AX232" s="112"/>
      <c r="AY232" s="113"/>
      <c r="AZ232" s="112"/>
      <c r="BA232" s="31"/>
      <c r="BB232" s="32"/>
      <c r="BC232" s="90"/>
      <c r="BD232" s="88"/>
      <c r="BE232" s="88"/>
      <c r="BF232" s="111"/>
      <c r="BG232" s="112"/>
      <c r="BH232" s="113"/>
      <c r="BI232" s="112"/>
      <c r="BJ232" s="31"/>
      <c r="BK232" s="32"/>
      <c r="BL232" s="90"/>
      <c r="BM232" s="88"/>
      <c r="BN232" s="88"/>
      <c r="BO232" s="111"/>
      <c r="BP232" s="112"/>
      <c r="BQ232" s="113"/>
      <c r="BR232" s="112"/>
      <c r="BS232" s="31"/>
      <c r="BT232" s="32"/>
      <c r="BU232" s="90"/>
      <c r="BV232" s="88"/>
      <c r="BW232" s="88"/>
      <c r="BX232" s="111"/>
      <c r="BY232" s="112"/>
      <c r="BZ232" s="113"/>
      <c r="CA232" s="112"/>
      <c r="CB232" s="31"/>
      <c r="CC232" s="32"/>
      <c r="CD232" s="90"/>
      <c r="CE232" s="88"/>
      <c r="CF232" s="88"/>
      <c r="CG232" s="111"/>
      <c r="CH232" s="112"/>
      <c r="CI232" s="113"/>
      <c r="CJ232" s="112"/>
      <c r="CK232" s="31"/>
      <c r="CL232" s="32"/>
      <c r="CM232" s="90"/>
      <c r="CN232" s="88"/>
      <c r="CO232" s="88"/>
      <c r="CP232" s="111"/>
      <c r="CQ232" s="112"/>
      <c r="CR232" s="113"/>
      <c r="CS232" s="112"/>
      <c r="CT232" s="55"/>
      <c r="CV232" s="230" t="s">
        <v>100</v>
      </c>
      <c r="CX232" s="226" t="s">
        <v>1425</v>
      </c>
      <c r="CY232" s="226" t="s">
        <v>541</v>
      </c>
      <c r="CZ232" s="226" t="s">
        <v>541</v>
      </c>
      <c r="DA232" s="226" t="s">
        <v>541</v>
      </c>
      <c r="DB232" s="14"/>
      <c r="DC232" s="226" t="s">
        <v>541</v>
      </c>
      <c r="DD232" s="226" t="s">
        <v>541</v>
      </c>
      <c r="DE232" s="226" t="s">
        <v>541</v>
      </c>
      <c r="DF232" s="226" t="s">
        <v>541</v>
      </c>
      <c r="DG232" s="226" t="s">
        <v>541</v>
      </c>
      <c r="DH232" s="14"/>
    </row>
    <row r="233" spans="1:112" ht="325" x14ac:dyDescent="0.25">
      <c r="A233" s="17" t="s">
        <v>500</v>
      </c>
      <c r="B233" s="17" t="s">
        <v>541</v>
      </c>
      <c r="C233" s="17" t="s">
        <v>98</v>
      </c>
      <c r="D233" s="17" t="s">
        <v>676</v>
      </c>
      <c r="E233" s="17" t="b">
        <f t="shared" si="37"/>
        <v>1</v>
      </c>
      <c r="F233" s="127" t="s">
        <v>500</v>
      </c>
      <c r="G233" s="248" t="s">
        <v>541</v>
      </c>
      <c r="H233" s="128" t="s">
        <v>98</v>
      </c>
      <c r="I233" s="128" t="s">
        <v>676</v>
      </c>
      <c r="J233" s="31"/>
      <c r="K233" s="102" t="s">
        <v>583</v>
      </c>
      <c r="L233" s="90"/>
      <c r="M233" s="111"/>
      <c r="N233" s="112"/>
      <c r="O233" s="113"/>
      <c r="P233" s="112"/>
      <c r="Q233" s="31"/>
      <c r="R233" s="102"/>
      <c r="S233" s="90"/>
      <c r="T233" s="88" t="str">
        <f t="shared" si="35"/>
        <v>NA</v>
      </c>
      <c r="U233" s="88" t="str">
        <f t="shared" si="36"/>
        <v>NA</v>
      </c>
      <c r="V233" s="111"/>
      <c r="W233" s="112"/>
      <c r="X233" s="113"/>
      <c r="Y233" s="112"/>
      <c r="Z233" s="31"/>
      <c r="AA233" s="296"/>
      <c r="AB233" s="89"/>
      <c r="AC233" s="88" t="str">
        <f t="shared" si="38"/>
        <v>NA</v>
      </c>
      <c r="AD233" s="88" t="str">
        <f t="shared" si="39"/>
        <v>NA</v>
      </c>
      <c r="AE233" s="111"/>
      <c r="AF233" s="112"/>
      <c r="AG233" s="113"/>
      <c r="AH233" s="112"/>
      <c r="AI233" s="31"/>
      <c r="AJ233" s="294"/>
      <c r="AK233" s="89"/>
      <c r="AL233" s="88" t="str">
        <f t="shared" si="40"/>
        <v>NA</v>
      </c>
      <c r="AM233" s="88" t="str">
        <f t="shared" si="41"/>
        <v>NA</v>
      </c>
      <c r="AN233" s="111"/>
      <c r="AO233" s="112"/>
      <c r="AP233" s="113"/>
      <c r="AQ233" s="112"/>
      <c r="AR233" s="31"/>
      <c r="AS233" s="32"/>
      <c r="AT233" s="90"/>
      <c r="AU233" s="88"/>
      <c r="AV233" s="88"/>
      <c r="AW233" s="111"/>
      <c r="AX233" s="112"/>
      <c r="AY233" s="113"/>
      <c r="AZ233" s="112"/>
      <c r="BA233" s="31"/>
      <c r="BB233" s="32"/>
      <c r="BC233" s="90"/>
      <c r="BD233" s="88"/>
      <c r="BE233" s="88"/>
      <c r="BF233" s="111"/>
      <c r="BG233" s="112"/>
      <c r="BH233" s="113"/>
      <c r="BI233" s="112"/>
      <c r="BJ233" s="31"/>
      <c r="BK233" s="32"/>
      <c r="BL233" s="90"/>
      <c r="BM233" s="88"/>
      <c r="BN233" s="88"/>
      <c r="BO233" s="111"/>
      <c r="BP233" s="112"/>
      <c r="BQ233" s="113"/>
      <c r="BR233" s="112"/>
      <c r="BS233" s="31"/>
      <c r="BT233" s="32"/>
      <c r="BU233" s="90"/>
      <c r="BV233" s="88"/>
      <c r="BW233" s="88"/>
      <c r="BX233" s="111"/>
      <c r="BY233" s="112"/>
      <c r="BZ233" s="113"/>
      <c r="CA233" s="112"/>
      <c r="CB233" s="31"/>
      <c r="CC233" s="32"/>
      <c r="CD233" s="90"/>
      <c r="CE233" s="88"/>
      <c r="CF233" s="88"/>
      <c r="CG233" s="111"/>
      <c r="CH233" s="112"/>
      <c r="CI233" s="113"/>
      <c r="CJ233" s="112"/>
      <c r="CK233" s="31"/>
      <c r="CL233" s="32"/>
      <c r="CM233" s="90"/>
      <c r="CN233" s="88"/>
      <c r="CO233" s="88"/>
      <c r="CP233" s="111"/>
      <c r="CQ233" s="112"/>
      <c r="CR233" s="113"/>
      <c r="CS233" s="112"/>
      <c r="CT233" s="55"/>
      <c r="CV233" s="230" t="s">
        <v>676</v>
      </c>
      <c r="CX233" s="226" t="s">
        <v>541</v>
      </c>
      <c r="CY233" s="226" t="s">
        <v>1431</v>
      </c>
      <c r="CZ233" s="226" t="s">
        <v>541</v>
      </c>
      <c r="DA233" s="226" t="s">
        <v>541</v>
      </c>
      <c r="DB233" s="14"/>
      <c r="DC233" s="226" t="s">
        <v>541</v>
      </c>
      <c r="DD233" s="226" t="s">
        <v>541</v>
      </c>
      <c r="DE233" s="226" t="s">
        <v>541</v>
      </c>
      <c r="DF233" s="226" t="s">
        <v>541</v>
      </c>
      <c r="DG233" s="226" t="s">
        <v>541</v>
      </c>
      <c r="DH233" s="14"/>
    </row>
    <row r="234" spans="1:112" ht="409.5" x14ac:dyDescent="0.25">
      <c r="A234" s="17" t="s">
        <v>501</v>
      </c>
      <c r="B234" s="17" t="s">
        <v>541</v>
      </c>
      <c r="C234" s="17" t="s">
        <v>97</v>
      </c>
      <c r="D234" s="17" t="s">
        <v>677</v>
      </c>
      <c r="E234" s="17" t="b">
        <f t="shared" si="37"/>
        <v>1</v>
      </c>
      <c r="F234" s="127" t="s">
        <v>501</v>
      </c>
      <c r="G234" s="248" t="s">
        <v>541</v>
      </c>
      <c r="H234" s="128" t="s">
        <v>97</v>
      </c>
      <c r="I234" s="128" t="s">
        <v>677</v>
      </c>
      <c r="J234" s="31"/>
      <c r="K234" s="102" t="s">
        <v>354</v>
      </c>
      <c r="L234" s="90"/>
      <c r="M234" s="111"/>
      <c r="N234" s="112"/>
      <c r="O234" s="113"/>
      <c r="P234" s="112"/>
      <c r="Q234" s="31"/>
      <c r="R234" s="102"/>
      <c r="S234" s="90"/>
      <c r="T234" s="88" t="str">
        <f t="shared" si="35"/>
        <v>NA</v>
      </c>
      <c r="U234" s="88" t="str">
        <f t="shared" si="36"/>
        <v>NA</v>
      </c>
      <c r="V234" s="111"/>
      <c r="W234" s="112"/>
      <c r="X234" s="113"/>
      <c r="Y234" s="112"/>
      <c r="Z234" s="31"/>
      <c r="AA234" s="296"/>
      <c r="AB234" s="89"/>
      <c r="AC234" s="88" t="str">
        <f t="shared" si="38"/>
        <v>NA</v>
      </c>
      <c r="AD234" s="88" t="str">
        <f t="shared" si="39"/>
        <v>NA</v>
      </c>
      <c r="AE234" s="111"/>
      <c r="AF234" s="112"/>
      <c r="AG234" s="113"/>
      <c r="AH234" s="112"/>
      <c r="AI234" s="31"/>
      <c r="AJ234" s="294"/>
      <c r="AK234" s="89"/>
      <c r="AL234" s="88" t="str">
        <f t="shared" si="40"/>
        <v>NA</v>
      </c>
      <c r="AM234" s="88" t="str">
        <f t="shared" si="41"/>
        <v>NA</v>
      </c>
      <c r="AN234" s="111"/>
      <c r="AO234" s="112"/>
      <c r="AP234" s="113"/>
      <c r="AQ234" s="112"/>
      <c r="AR234" s="31"/>
      <c r="AS234" s="32"/>
      <c r="AT234" s="90"/>
      <c r="AU234" s="88"/>
      <c r="AV234" s="88"/>
      <c r="AW234" s="111"/>
      <c r="AX234" s="112"/>
      <c r="AY234" s="113"/>
      <c r="AZ234" s="112"/>
      <c r="BA234" s="31"/>
      <c r="BB234" s="32"/>
      <c r="BC234" s="90"/>
      <c r="BD234" s="88"/>
      <c r="BE234" s="88"/>
      <c r="BF234" s="111"/>
      <c r="BG234" s="112"/>
      <c r="BH234" s="113"/>
      <c r="BI234" s="112"/>
      <c r="BJ234" s="31"/>
      <c r="BK234" s="32"/>
      <c r="BL234" s="90"/>
      <c r="BM234" s="88"/>
      <c r="BN234" s="88"/>
      <c r="BO234" s="111"/>
      <c r="BP234" s="112"/>
      <c r="BQ234" s="113"/>
      <c r="BR234" s="112"/>
      <c r="BS234" s="31"/>
      <c r="BT234" s="32"/>
      <c r="BU234" s="90"/>
      <c r="BV234" s="88"/>
      <c r="BW234" s="88"/>
      <c r="BX234" s="111"/>
      <c r="BY234" s="112"/>
      <c r="BZ234" s="113"/>
      <c r="CA234" s="112"/>
      <c r="CB234" s="31"/>
      <c r="CC234" s="32"/>
      <c r="CD234" s="90"/>
      <c r="CE234" s="88"/>
      <c r="CF234" s="88"/>
      <c r="CG234" s="111"/>
      <c r="CH234" s="112"/>
      <c r="CI234" s="113"/>
      <c r="CJ234" s="112"/>
      <c r="CK234" s="31"/>
      <c r="CL234" s="32"/>
      <c r="CM234" s="90"/>
      <c r="CN234" s="88"/>
      <c r="CO234" s="88"/>
      <c r="CP234" s="111"/>
      <c r="CQ234" s="112"/>
      <c r="CR234" s="113"/>
      <c r="CS234" s="112"/>
      <c r="CT234" s="55"/>
      <c r="CV234" s="230" t="s">
        <v>677</v>
      </c>
      <c r="CX234" s="242" t="s">
        <v>1424</v>
      </c>
      <c r="CY234" s="226" t="s">
        <v>1431</v>
      </c>
      <c r="CZ234" s="226" t="s">
        <v>541</v>
      </c>
      <c r="DA234" s="226" t="s">
        <v>541</v>
      </c>
      <c r="DB234" s="14"/>
      <c r="DC234" s="226" t="s">
        <v>541</v>
      </c>
      <c r="DD234" s="226" t="s">
        <v>541</v>
      </c>
      <c r="DE234" s="226" t="s">
        <v>541</v>
      </c>
      <c r="DF234" s="226" t="s">
        <v>541</v>
      </c>
      <c r="DG234" s="226" t="s">
        <v>541</v>
      </c>
      <c r="DH234" s="14"/>
    </row>
    <row r="235" spans="1:112" ht="52" x14ac:dyDescent="0.25">
      <c r="A235" s="17" t="s">
        <v>502</v>
      </c>
      <c r="B235" s="17" t="s">
        <v>541</v>
      </c>
      <c r="C235" s="17" t="s">
        <v>96</v>
      </c>
      <c r="D235" s="17" t="s">
        <v>678</v>
      </c>
      <c r="E235" s="17" t="b">
        <f t="shared" si="37"/>
        <v>1</v>
      </c>
      <c r="F235" s="127" t="s">
        <v>502</v>
      </c>
      <c r="G235" s="248" t="s">
        <v>541</v>
      </c>
      <c r="H235" s="128" t="s">
        <v>96</v>
      </c>
      <c r="I235" s="128" t="s">
        <v>678</v>
      </c>
      <c r="J235" s="31"/>
      <c r="K235" s="102" t="s">
        <v>354</v>
      </c>
      <c r="L235" s="90"/>
      <c r="M235" s="111"/>
      <c r="N235" s="112"/>
      <c r="O235" s="113"/>
      <c r="P235" s="112"/>
      <c r="Q235" s="31"/>
      <c r="R235" s="102"/>
      <c r="S235" s="90"/>
      <c r="T235" s="88" t="str">
        <f t="shared" si="35"/>
        <v>NA</v>
      </c>
      <c r="U235" s="88" t="str">
        <f t="shared" si="36"/>
        <v>NA</v>
      </c>
      <c r="V235" s="111"/>
      <c r="W235" s="112"/>
      <c r="X235" s="113"/>
      <c r="Y235" s="112"/>
      <c r="Z235" s="31"/>
      <c r="AA235" s="296"/>
      <c r="AB235" s="89"/>
      <c r="AC235" s="88" t="str">
        <f t="shared" si="38"/>
        <v>NA</v>
      </c>
      <c r="AD235" s="88" t="str">
        <f t="shared" si="39"/>
        <v>NA</v>
      </c>
      <c r="AE235" s="111"/>
      <c r="AF235" s="112"/>
      <c r="AG235" s="113"/>
      <c r="AH235" s="112"/>
      <c r="AI235" s="31"/>
      <c r="AJ235" s="294"/>
      <c r="AK235" s="89"/>
      <c r="AL235" s="88" t="str">
        <f t="shared" si="40"/>
        <v>NA</v>
      </c>
      <c r="AM235" s="88" t="str">
        <f t="shared" si="41"/>
        <v>NA</v>
      </c>
      <c r="AN235" s="111"/>
      <c r="AO235" s="112"/>
      <c r="AP235" s="113"/>
      <c r="AQ235" s="112"/>
      <c r="AR235" s="31"/>
      <c r="AS235" s="32"/>
      <c r="AT235" s="90"/>
      <c r="AU235" s="88"/>
      <c r="AV235" s="88"/>
      <c r="AW235" s="111"/>
      <c r="AX235" s="112"/>
      <c r="AY235" s="113"/>
      <c r="AZ235" s="112"/>
      <c r="BA235" s="31"/>
      <c r="BB235" s="32"/>
      <c r="BC235" s="90"/>
      <c r="BD235" s="88"/>
      <c r="BE235" s="88"/>
      <c r="BF235" s="111"/>
      <c r="BG235" s="112"/>
      <c r="BH235" s="113"/>
      <c r="BI235" s="112"/>
      <c r="BJ235" s="31"/>
      <c r="BK235" s="32"/>
      <c r="BL235" s="90"/>
      <c r="BM235" s="88"/>
      <c r="BN235" s="88"/>
      <c r="BO235" s="111"/>
      <c r="BP235" s="112"/>
      <c r="BQ235" s="113"/>
      <c r="BR235" s="112"/>
      <c r="BS235" s="31"/>
      <c r="BT235" s="32"/>
      <c r="BU235" s="90"/>
      <c r="BV235" s="88"/>
      <c r="BW235" s="88"/>
      <c r="BX235" s="111"/>
      <c r="BY235" s="112"/>
      <c r="BZ235" s="113"/>
      <c r="CA235" s="112"/>
      <c r="CB235" s="31"/>
      <c r="CC235" s="32"/>
      <c r="CD235" s="90"/>
      <c r="CE235" s="88"/>
      <c r="CF235" s="88"/>
      <c r="CG235" s="111"/>
      <c r="CH235" s="112"/>
      <c r="CI235" s="113"/>
      <c r="CJ235" s="112"/>
      <c r="CK235" s="31"/>
      <c r="CL235" s="32"/>
      <c r="CM235" s="90"/>
      <c r="CN235" s="88"/>
      <c r="CO235" s="88"/>
      <c r="CP235" s="111"/>
      <c r="CQ235" s="112"/>
      <c r="CR235" s="113"/>
      <c r="CS235" s="112"/>
      <c r="CT235" s="55"/>
      <c r="CV235" s="230" t="s">
        <v>678</v>
      </c>
      <c r="CX235" s="226" t="s">
        <v>541</v>
      </c>
      <c r="CY235" s="226" t="s">
        <v>1431</v>
      </c>
      <c r="CZ235" s="226" t="s">
        <v>541</v>
      </c>
      <c r="DA235" s="226" t="s">
        <v>541</v>
      </c>
      <c r="DB235" s="14"/>
      <c r="DC235" s="226" t="s">
        <v>541</v>
      </c>
      <c r="DD235" s="226" t="s">
        <v>541</v>
      </c>
      <c r="DE235" s="226" t="s">
        <v>541</v>
      </c>
      <c r="DF235" s="226" t="s">
        <v>541</v>
      </c>
      <c r="DG235" s="226" t="s">
        <v>541</v>
      </c>
      <c r="DH235" s="14"/>
    </row>
    <row r="236" spans="1:112" ht="39" x14ac:dyDescent="0.25">
      <c r="A236" s="17" t="s">
        <v>503</v>
      </c>
      <c r="B236" s="17" t="s">
        <v>541</v>
      </c>
      <c r="C236" s="17" t="s">
        <v>95</v>
      </c>
      <c r="D236" s="17" t="s">
        <v>679</v>
      </c>
      <c r="E236" s="17" t="b">
        <f t="shared" si="37"/>
        <v>1</v>
      </c>
      <c r="F236" s="127" t="s">
        <v>503</v>
      </c>
      <c r="G236" s="248" t="s">
        <v>541</v>
      </c>
      <c r="H236" s="128" t="s">
        <v>95</v>
      </c>
      <c r="I236" s="128" t="s">
        <v>679</v>
      </c>
      <c r="J236" s="31"/>
      <c r="K236" s="102" t="s">
        <v>354</v>
      </c>
      <c r="L236" s="90"/>
      <c r="M236" s="111"/>
      <c r="N236" s="112"/>
      <c r="O236" s="113"/>
      <c r="P236" s="112"/>
      <c r="Q236" s="31"/>
      <c r="R236" s="102"/>
      <c r="S236" s="90"/>
      <c r="T236" s="88" t="str">
        <f t="shared" si="35"/>
        <v>NA</v>
      </c>
      <c r="U236" s="88" t="str">
        <f t="shared" si="36"/>
        <v>NA</v>
      </c>
      <c r="V236" s="111"/>
      <c r="W236" s="112"/>
      <c r="X236" s="113"/>
      <c r="Y236" s="112"/>
      <c r="Z236" s="31"/>
      <c r="AA236" s="296"/>
      <c r="AB236" s="89"/>
      <c r="AC236" s="88" t="str">
        <f t="shared" si="38"/>
        <v>NA</v>
      </c>
      <c r="AD236" s="88" t="str">
        <f t="shared" si="39"/>
        <v>NA</v>
      </c>
      <c r="AE236" s="111"/>
      <c r="AF236" s="112"/>
      <c r="AG236" s="113"/>
      <c r="AH236" s="112"/>
      <c r="AI236" s="31"/>
      <c r="AJ236" s="294"/>
      <c r="AK236" s="89"/>
      <c r="AL236" s="88" t="str">
        <f t="shared" si="40"/>
        <v>NA</v>
      </c>
      <c r="AM236" s="88" t="str">
        <f t="shared" si="41"/>
        <v>NA</v>
      </c>
      <c r="AN236" s="111"/>
      <c r="AO236" s="112"/>
      <c r="AP236" s="113"/>
      <c r="AQ236" s="112"/>
      <c r="AR236" s="31"/>
      <c r="AS236" s="32"/>
      <c r="AT236" s="90"/>
      <c r="AU236" s="88"/>
      <c r="AV236" s="88"/>
      <c r="AW236" s="111"/>
      <c r="AX236" s="112"/>
      <c r="AY236" s="113"/>
      <c r="AZ236" s="112"/>
      <c r="BA236" s="31"/>
      <c r="BB236" s="32"/>
      <c r="BC236" s="90"/>
      <c r="BD236" s="88"/>
      <c r="BE236" s="88"/>
      <c r="BF236" s="111"/>
      <c r="BG236" s="112"/>
      <c r="BH236" s="113"/>
      <c r="BI236" s="112"/>
      <c r="BJ236" s="31"/>
      <c r="BK236" s="32"/>
      <c r="BL236" s="90"/>
      <c r="BM236" s="88"/>
      <c r="BN236" s="88"/>
      <c r="BO236" s="111"/>
      <c r="BP236" s="112"/>
      <c r="BQ236" s="113"/>
      <c r="BR236" s="112"/>
      <c r="BS236" s="31"/>
      <c r="BT236" s="32"/>
      <c r="BU236" s="90"/>
      <c r="BV236" s="88"/>
      <c r="BW236" s="88"/>
      <c r="BX236" s="111"/>
      <c r="BY236" s="112"/>
      <c r="BZ236" s="113"/>
      <c r="CA236" s="112"/>
      <c r="CB236" s="31"/>
      <c r="CC236" s="32"/>
      <c r="CD236" s="90"/>
      <c r="CE236" s="88"/>
      <c r="CF236" s="88"/>
      <c r="CG236" s="111"/>
      <c r="CH236" s="112"/>
      <c r="CI236" s="113"/>
      <c r="CJ236" s="112"/>
      <c r="CK236" s="31"/>
      <c r="CL236" s="32"/>
      <c r="CM236" s="90"/>
      <c r="CN236" s="88"/>
      <c r="CO236" s="88"/>
      <c r="CP236" s="111"/>
      <c r="CQ236" s="112"/>
      <c r="CR236" s="113"/>
      <c r="CS236" s="112"/>
      <c r="CT236" s="55"/>
      <c r="CV236" s="230" t="s">
        <v>679</v>
      </c>
      <c r="CX236" s="226" t="s">
        <v>541</v>
      </c>
      <c r="CY236" s="226" t="s">
        <v>1431</v>
      </c>
      <c r="CZ236" s="226" t="s">
        <v>541</v>
      </c>
      <c r="DA236" s="226" t="s">
        <v>541</v>
      </c>
      <c r="DB236" s="14"/>
      <c r="DC236" s="226" t="s">
        <v>541</v>
      </c>
      <c r="DD236" s="226" t="s">
        <v>541</v>
      </c>
      <c r="DE236" s="226" t="s">
        <v>541</v>
      </c>
      <c r="DF236" s="226" t="s">
        <v>541</v>
      </c>
      <c r="DG236" s="226" t="s">
        <v>541</v>
      </c>
      <c r="DH236" s="14"/>
    </row>
    <row r="237" spans="1:112" ht="104" x14ac:dyDescent="0.25">
      <c r="A237" s="17" t="s">
        <v>504</v>
      </c>
      <c r="B237" s="17" t="s">
        <v>541</v>
      </c>
      <c r="C237" s="17" t="s">
        <v>94</v>
      </c>
      <c r="D237" s="17" t="s">
        <v>680</v>
      </c>
      <c r="E237" s="17" t="b">
        <f t="shared" si="37"/>
        <v>1</v>
      </c>
      <c r="F237" s="127" t="s">
        <v>504</v>
      </c>
      <c r="G237" s="248" t="s">
        <v>541</v>
      </c>
      <c r="H237" s="128" t="s">
        <v>94</v>
      </c>
      <c r="I237" s="128" t="s">
        <v>680</v>
      </c>
      <c r="J237" s="31"/>
      <c r="K237" s="102" t="s">
        <v>354</v>
      </c>
      <c r="L237" s="90"/>
      <c r="M237" s="111"/>
      <c r="N237" s="112"/>
      <c r="O237" s="113"/>
      <c r="P237" s="112"/>
      <c r="Q237" s="31"/>
      <c r="R237" s="102"/>
      <c r="S237" s="90"/>
      <c r="T237" s="88" t="str">
        <f t="shared" si="35"/>
        <v>NA</v>
      </c>
      <c r="U237" s="88" t="str">
        <f t="shared" si="36"/>
        <v>NA</v>
      </c>
      <c r="V237" s="111"/>
      <c r="W237" s="112"/>
      <c r="X237" s="113"/>
      <c r="Y237" s="112"/>
      <c r="Z237" s="31"/>
      <c r="AA237" s="296"/>
      <c r="AB237" s="89"/>
      <c r="AC237" s="88" t="str">
        <f t="shared" si="38"/>
        <v>NA</v>
      </c>
      <c r="AD237" s="88" t="str">
        <f t="shared" si="39"/>
        <v>NA</v>
      </c>
      <c r="AE237" s="111"/>
      <c r="AF237" s="112"/>
      <c r="AG237" s="113"/>
      <c r="AH237" s="112"/>
      <c r="AI237" s="31"/>
      <c r="AJ237" s="294"/>
      <c r="AK237" s="89"/>
      <c r="AL237" s="88" t="str">
        <f t="shared" si="40"/>
        <v>NA</v>
      </c>
      <c r="AM237" s="88" t="str">
        <f t="shared" si="41"/>
        <v>NA</v>
      </c>
      <c r="AN237" s="111"/>
      <c r="AO237" s="112"/>
      <c r="AP237" s="113"/>
      <c r="AQ237" s="112"/>
      <c r="AR237" s="31"/>
      <c r="AS237" s="32"/>
      <c r="AT237" s="90"/>
      <c r="AU237" s="88"/>
      <c r="AV237" s="88"/>
      <c r="AW237" s="111"/>
      <c r="AX237" s="112"/>
      <c r="AY237" s="113"/>
      <c r="AZ237" s="112"/>
      <c r="BA237" s="31"/>
      <c r="BB237" s="32"/>
      <c r="BC237" s="90"/>
      <c r="BD237" s="88"/>
      <c r="BE237" s="88"/>
      <c r="BF237" s="111"/>
      <c r="BG237" s="112"/>
      <c r="BH237" s="113"/>
      <c r="BI237" s="112"/>
      <c r="BJ237" s="31"/>
      <c r="BK237" s="32"/>
      <c r="BL237" s="90"/>
      <c r="BM237" s="88"/>
      <c r="BN237" s="88"/>
      <c r="BO237" s="111"/>
      <c r="BP237" s="112"/>
      <c r="BQ237" s="113"/>
      <c r="BR237" s="112"/>
      <c r="BS237" s="31"/>
      <c r="BT237" s="32"/>
      <c r="BU237" s="90"/>
      <c r="BV237" s="88"/>
      <c r="BW237" s="88"/>
      <c r="BX237" s="111"/>
      <c r="BY237" s="112"/>
      <c r="BZ237" s="113"/>
      <c r="CA237" s="112"/>
      <c r="CB237" s="31"/>
      <c r="CC237" s="32"/>
      <c r="CD237" s="90"/>
      <c r="CE237" s="88"/>
      <c r="CF237" s="88"/>
      <c r="CG237" s="111"/>
      <c r="CH237" s="112"/>
      <c r="CI237" s="113"/>
      <c r="CJ237" s="112"/>
      <c r="CK237" s="31"/>
      <c r="CL237" s="32"/>
      <c r="CM237" s="90"/>
      <c r="CN237" s="88"/>
      <c r="CO237" s="88"/>
      <c r="CP237" s="111"/>
      <c r="CQ237" s="112"/>
      <c r="CR237" s="113"/>
      <c r="CS237" s="112"/>
      <c r="CT237" s="55"/>
      <c r="CV237" s="230" t="s">
        <v>680</v>
      </c>
      <c r="CX237" s="226" t="s">
        <v>541</v>
      </c>
      <c r="CY237" s="226" t="s">
        <v>1431</v>
      </c>
      <c r="CZ237" s="226" t="s">
        <v>541</v>
      </c>
      <c r="DA237" s="226" t="s">
        <v>541</v>
      </c>
      <c r="DB237" s="14"/>
      <c r="DC237" s="226" t="s">
        <v>541</v>
      </c>
      <c r="DD237" s="226" t="s">
        <v>541</v>
      </c>
      <c r="DE237" s="226" t="s">
        <v>541</v>
      </c>
      <c r="DF237" s="226" t="s">
        <v>541</v>
      </c>
      <c r="DG237" s="226" t="s">
        <v>541</v>
      </c>
      <c r="DH237" s="14"/>
    </row>
    <row r="238" spans="1:112" ht="247" x14ac:dyDescent="0.25">
      <c r="A238" s="17" t="s">
        <v>505</v>
      </c>
      <c r="B238" s="17" t="s">
        <v>541</v>
      </c>
      <c r="C238" s="17" t="s">
        <v>93</v>
      </c>
      <c r="D238" s="17" t="s">
        <v>681</v>
      </c>
      <c r="E238" s="17" t="b">
        <f t="shared" si="37"/>
        <v>1</v>
      </c>
      <c r="F238" s="127" t="s">
        <v>505</v>
      </c>
      <c r="G238" s="248" t="s">
        <v>541</v>
      </c>
      <c r="H238" s="128" t="s">
        <v>93</v>
      </c>
      <c r="I238" s="128" t="s">
        <v>681</v>
      </c>
      <c r="J238" s="31"/>
      <c r="K238" s="102" t="s">
        <v>354</v>
      </c>
      <c r="L238" s="90"/>
      <c r="M238" s="111"/>
      <c r="N238" s="112"/>
      <c r="O238" s="113"/>
      <c r="P238" s="112"/>
      <c r="Q238" s="31"/>
      <c r="R238" s="102"/>
      <c r="S238" s="90"/>
      <c r="T238" s="88" t="str">
        <f t="shared" si="35"/>
        <v>NA</v>
      </c>
      <c r="U238" s="88" t="str">
        <f t="shared" si="36"/>
        <v>NA</v>
      </c>
      <c r="V238" s="111"/>
      <c r="W238" s="112"/>
      <c r="X238" s="113"/>
      <c r="Y238" s="112"/>
      <c r="Z238" s="31"/>
      <c r="AA238" s="296"/>
      <c r="AB238" s="89"/>
      <c r="AC238" s="88" t="str">
        <f t="shared" si="38"/>
        <v>NA</v>
      </c>
      <c r="AD238" s="88" t="str">
        <f t="shared" si="39"/>
        <v>NA</v>
      </c>
      <c r="AE238" s="111"/>
      <c r="AF238" s="112"/>
      <c r="AG238" s="113"/>
      <c r="AH238" s="112"/>
      <c r="AI238" s="31"/>
      <c r="AJ238" s="294"/>
      <c r="AK238" s="89"/>
      <c r="AL238" s="88" t="str">
        <f t="shared" si="40"/>
        <v>NA</v>
      </c>
      <c r="AM238" s="88" t="str">
        <f t="shared" si="41"/>
        <v>NA</v>
      </c>
      <c r="AN238" s="111"/>
      <c r="AO238" s="112"/>
      <c r="AP238" s="113"/>
      <c r="AQ238" s="112"/>
      <c r="AR238" s="31"/>
      <c r="AS238" s="32"/>
      <c r="AT238" s="90"/>
      <c r="AU238" s="88"/>
      <c r="AV238" s="88"/>
      <c r="AW238" s="111"/>
      <c r="AX238" s="112"/>
      <c r="AY238" s="113"/>
      <c r="AZ238" s="112"/>
      <c r="BA238" s="31"/>
      <c r="BB238" s="32"/>
      <c r="BC238" s="90"/>
      <c r="BD238" s="88"/>
      <c r="BE238" s="88"/>
      <c r="BF238" s="111"/>
      <c r="BG238" s="112"/>
      <c r="BH238" s="113"/>
      <c r="BI238" s="112"/>
      <c r="BJ238" s="31"/>
      <c r="BK238" s="32"/>
      <c r="BL238" s="90"/>
      <c r="BM238" s="88"/>
      <c r="BN238" s="88"/>
      <c r="BO238" s="111"/>
      <c r="BP238" s="112"/>
      <c r="BQ238" s="113"/>
      <c r="BR238" s="112"/>
      <c r="BS238" s="31"/>
      <c r="BT238" s="32"/>
      <c r="BU238" s="90"/>
      <c r="BV238" s="88"/>
      <c r="BW238" s="88"/>
      <c r="BX238" s="111"/>
      <c r="BY238" s="112"/>
      <c r="BZ238" s="113"/>
      <c r="CA238" s="112"/>
      <c r="CB238" s="31"/>
      <c r="CC238" s="32"/>
      <c r="CD238" s="90"/>
      <c r="CE238" s="88"/>
      <c r="CF238" s="88"/>
      <c r="CG238" s="111"/>
      <c r="CH238" s="112"/>
      <c r="CI238" s="113"/>
      <c r="CJ238" s="112"/>
      <c r="CK238" s="31"/>
      <c r="CL238" s="32"/>
      <c r="CM238" s="90"/>
      <c r="CN238" s="88"/>
      <c r="CO238" s="88"/>
      <c r="CP238" s="111"/>
      <c r="CQ238" s="112"/>
      <c r="CR238" s="113"/>
      <c r="CS238" s="112"/>
      <c r="CT238" s="55"/>
      <c r="CV238" s="230" t="s">
        <v>681</v>
      </c>
      <c r="CX238" s="226" t="s">
        <v>1425</v>
      </c>
      <c r="CY238" s="226" t="s">
        <v>1431</v>
      </c>
      <c r="CZ238" s="226" t="s">
        <v>541</v>
      </c>
      <c r="DA238" s="226" t="s">
        <v>541</v>
      </c>
      <c r="DB238" s="14"/>
      <c r="DC238" s="226" t="s">
        <v>541</v>
      </c>
      <c r="DD238" s="226" t="s">
        <v>541</v>
      </c>
      <c r="DE238" s="226" t="s">
        <v>541</v>
      </c>
      <c r="DF238" s="226" t="s">
        <v>541</v>
      </c>
      <c r="DG238" s="226" t="s">
        <v>541</v>
      </c>
      <c r="DH238" s="14"/>
    </row>
    <row r="239" spans="1:112" ht="39" x14ac:dyDescent="0.25">
      <c r="A239" s="17" t="s">
        <v>1004</v>
      </c>
      <c r="B239" s="17" t="s">
        <v>1352</v>
      </c>
      <c r="C239" s="17" t="s">
        <v>1409</v>
      </c>
      <c r="D239" s="17" t="s">
        <v>1354</v>
      </c>
      <c r="E239" s="17" t="b">
        <f t="shared" si="37"/>
        <v>1</v>
      </c>
      <c r="F239" s="232" t="s">
        <v>2131</v>
      </c>
      <c r="G239" s="277" t="s">
        <v>2197</v>
      </c>
      <c r="H239" s="128" t="s">
        <v>1409</v>
      </c>
      <c r="I239" s="233" t="s">
        <v>1354</v>
      </c>
      <c r="J239" s="31"/>
      <c r="K239" s="102" t="s">
        <v>354</v>
      </c>
      <c r="L239" s="90"/>
      <c r="M239" s="111"/>
      <c r="N239" s="112"/>
      <c r="O239" s="113"/>
      <c r="P239" s="112"/>
      <c r="Q239" s="31"/>
      <c r="R239" s="102"/>
      <c r="S239" s="90"/>
      <c r="T239" s="88" t="str">
        <f t="shared" si="35"/>
        <v>NA</v>
      </c>
      <c r="U239" s="88" t="str">
        <f t="shared" si="36"/>
        <v>NA</v>
      </c>
      <c r="V239" s="111"/>
      <c r="W239" s="112"/>
      <c r="X239" s="113"/>
      <c r="Y239" s="112"/>
      <c r="Z239" s="31"/>
      <c r="AA239" s="296"/>
      <c r="AB239" s="89"/>
      <c r="AC239" s="88" t="str">
        <f t="shared" si="38"/>
        <v>NA</v>
      </c>
      <c r="AD239" s="88" t="str">
        <f t="shared" si="39"/>
        <v>NA</v>
      </c>
      <c r="AE239" s="111"/>
      <c r="AF239" s="112"/>
      <c r="AG239" s="113"/>
      <c r="AH239" s="112"/>
      <c r="AI239" s="31"/>
      <c r="AJ239" s="294"/>
      <c r="AK239" s="89"/>
      <c r="AL239" s="88" t="str">
        <f t="shared" si="40"/>
        <v>NA</v>
      </c>
      <c r="AM239" s="88" t="str">
        <f t="shared" si="41"/>
        <v>NA</v>
      </c>
      <c r="AN239" s="111"/>
      <c r="AO239" s="112"/>
      <c r="AP239" s="113"/>
      <c r="AQ239" s="112"/>
      <c r="AR239" s="31"/>
      <c r="AS239" s="32"/>
      <c r="AT239" s="90"/>
      <c r="AU239" s="88"/>
      <c r="AV239" s="88"/>
      <c r="AW239" s="111"/>
      <c r="AX239" s="112"/>
      <c r="AY239" s="113"/>
      <c r="AZ239" s="112"/>
      <c r="BA239" s="31"/>
      <c r="BB239" s="32"/>
      <c r="BC239" s="90"/>
      <c r="BD239" s="88"/>
      <c r="BE239" s="88"/>
      <c r="BF239" s="111"/>
      <c r="BG239" s="112"/>
      <c r="BH239" s="113"/>
      <c r="BI239" s="112"/>
      <c r="BJ239" s="31"/>
      <c r="BK239" s="32"/>
      <c r="BL239" s="90"/>
      <c r="BM239" s="88"/>
      <c r="BN239" s="88"/>
      <c r="BO239" s="111"/>
      <c r="BP239" s="112"/>
      <c r="BQ239" s="113"/>
      <c r="BR239" s="112"/>
      <c r="BS239" s="31"/>
      <c r="BT239" s="32"/>
      <c r="BU239" s="90"/>
      <c r="BV239" s="88"/>
      <c r="BW239" s="88"/>
      <c r="BX239" s="111"/>
      <c r="BY239" s="112"/>
      <c r="BZ239" s="113"/>
      <c r="CA239" s="112"/>
      <c r="CB239" s="31"/>
      <c r="CC239" s="32"/>
      <c r="CD239" s="90"/>
      <c r="CE239" s="88"/>
      <c r="CF239" s="88"/>
      <c r="CG239" s="111"/>
      <c r="CH239" s="112"/>
      <c r="CI239" s="113"/>
      <c r="CJ239" s="112"/>
      <c r="CK239" s="31"/>
      <c r="CL239" s="32"/>
      <c r="CM239" s="90"/>
      <c r="CN239" s="88"/>
      <c r="CO239" s="88"/>
      <c r="CP239" s="111"/>
      <c r="CQ239" s="112"/>
      <c r="CR239" s="113"/>
      <c r="CS239" s="112"/>
      <c r="CT239" s="55"/>
      <c r="CV239" s="230"/>
      <c r="CX239" s="226" t="s">
        <v>1424</v>
      </c>
      <c r="CY239" s="226" t="s">
        <v>1431</v>
      </c>
      <c r="CZ239" s="226" t="s">
        <v>541</v>
      </c>
      <c r="DA239" s="226" t="s">
        <v>541</v>
      </c>
      <c r="DB239" s="14"/>
      <c r="DC239" s="226" t="s">
        <v>541</v>
      </c>
      <c r="DD239" s="226" t="s">
        <v>541</v>
      </c>
      <c r="DE239" s="226" t="s">
        <v>541</v>
      </c>
      <c r="DF239" s="226" t="s">
        <v>541</v>
      </c>
      <c r="DG239" s="226" t="s">
        <v>541</v>
      </c>
      <c r="DH239" s="14"/>
    </row>
    <row r="240" spans="1:112" ht="52" x14ac:dyDescent="0.25">
      <c r="A240" s="17" t="s">
        <v>1004</v>
      </c>
      <c r="B240" s="17" t="s">
        <v>1353</v>
      </c>
      <c r="C240" s="17" t="s">
        <v>1410</v>
      </c>
      <c r="D240" s="17" t="s">
        <v>1355</v>
      </c>
      <c r="E240" s="17" t="b">
        <f t="shared" si="37"/>
        <v>1</v>
      </c>
      <c r="F240" s="232" t="s">
        <v>2132</v>
      </c>
      <c r="G240" s="277" t="s">
        <v>2198</v>
      </c>
      <c r="H240" s="128" t="s">
        <v>1410</v>
      </c>
      <c r="I240" s="233" t="s">
        <v>1355</v>
      </c>
      <c r="J240" s="31"/>
      <c r="K240" s="102" t="s">
        <v>354</v>
      </c>
      <c r="L240" s="90"/>
      <c r="M240" s="111"/>
      <c r="N240" s="112"/>
      <c r="O240" s="113"/>
      <c r="P240" s="112"/>
      <c r="Q240" s="31"/>
      <c r="R240" s="102"/>
      <c r="S240" s="90"/>
      <c r="T240" s="88" t="str">
        <f t="shared" si="35"/>
        <v>NA</v>
      </c>
      <c r="U240" s="88" t="str">
        <f t="shared" si="36"/>
        <v>NA</v>
      </c>
      <c r="V240" s="111"/>
      <c r="W240" s="112"/>
      <c r="X240" s="113"/>
      <c r="Y240" s="112"/>
      <c r="Z240" s="31"/>
      <c r="AA240" s="296"/>
      <c r="AB240" s="89"/>
      <c r="AC240" s="88" t="str">
        <f t="shared" si="38"/>
        <v>NA</v>
      </c>
      <c r="AD240" s="88" t="str">
        <f t="shared" si="39"/>
        <v>NA</v>
      </c>
      <c r="AE240" s="111"/>
      <c r="AF240" s="112"/>
      <c r="AG240" s="113"/>
      <c r="AH240" s="112"/>
      <c r="AI240" s="31"/>
      <c r="AJ240" s="294"/>
      <c r="AK240" s="89"/>
      <c r="AL240" s="88" t="str">
        <f t="shared" si="40"/>
        <v>NA</v>
      </c>
      <c r="AM240" s="88" t="str">
        <f t="shared" si="41"/>
        <v>NA</v>
      </c>
      <c r="AN240" s="111"/>
      <c r="AO240" s="112"/>
      <c r="AP240" s="113"/>
      <c r="AQ240" s="112"/>
      <c r="AR240" s="31"/>
      <c r="AS240" s="32"/>
      <c r="AT240" s="90"/>
      <c r="AU240" s="88"/>
      <c r="AV240" s="88"/>
      <c r="AW240" s="111"/>
      <c r="AX240" s="112"/>
      <c r="AY240" s="113"/>
      <c r="AZ240" s="112"/>
      <c r="BA240" s="31"/>
      <c r="BB240" s="32"/>
      <c r="BC240" s="90"/>
      <c r="BD240" s="88"/>
      <c r="BE240" s="88"/>
      <c r="BF240" s="111"/>
      <c r="BG240" s="112"/>
      <c r="BH240" s="113"/>
      <c r="BI240" s="112"/>
      <c r="BJ240" s="31"/>
      <c r="BK240" s="32"/>
      <c r="BL240" s="90"/>
      <c r="BM240" s="88"/>
      <c r="BN240" s="88"/>
      <c r="BO240" s="111"/>
      <c r="BP240" s="112"/>
      <c r="BQ240" s="113"/>
      <c r="BR240" s="112"/>
      <c r="BS240" s="31"/>
      <c r="BT240" s="32"/>
      <c r="BU240" s="90"/>
      <c r="BV240" s="88"/>
      <c r="BW240" s="88"/>
      <c r="BX240" s="111"/>
      <c r="BY240" s="112"/>
      <c r="BZ240" s="113"/>
      <c r="CA240" s="112"/>
      <c r="CB240" s="31"/>
      <c r="CC240" s="32"/>
      <c r="CD240" s="90"/>
      <c r="CE240" s="88"/>
      <c r="CF240" s="88"/>
      <c r="CG240" s="111"/>
      <c r="CH240" s="112"/>
      <c r="CI240" s="113"/>
      <c r="CJ240" s="112"/>
      <c r="CK240" s="31"/>
      <c r="CL240" s="32"/>
      <c r="CM240" s="90"/>
      <c r="CN240" s="88"/>
      <c r="CO240" s="88"/>
      <c r="CP240" s="111"/>
      <c r="CQ240" s="112"/>
      <c r="CR240" s="113"/>
      <c r="CS240" s="112"/>
      <c r="CT240" s="55"/>
      <c r="CV240" s="230"/>
      <c r="CX240" s="226" t="s">
        <v>1425</v>
      </c>
      <c r="CY240" s="226" t="s">
        <v>1431</v>
      </c>
      <c r="CZ240" s="226" t="s">
        <v>541</v>
      </c>
      <c r="DA240" s="226" t="s">
        <v>541</v>
      </c>
      <c r="DB240" s="14"/>
      <c r="DC240" s="226" t="s">
        <v>541</v>
      </c>
      <c r="DD240" s="226" t="s">
        <v>541</v>
      </c>
      <c r="DE240" s="226" t="s">
        <v>541</v>
      </c>
      <c r="DF240" s="226" t="s">
        <v>541</v>
      </c>
      <c r="DG240" s="226" t="s">
        <v>541</v>
      </c>
      <c r="DH240" s="14"/>
    </row>
    <row r="241" spans="1:112" ht="39" x14ac:dyDescent="0.25">
      <c r="A241" s="17" t="s">
        <v>572</v>
      </c>
      <c r="B241" s="17" t="s">
        <v>541</v>
      </c>
      <c r="C241" s="17" t="s">
        <v>609</v>
      </c>
      <c r="D241" s="17" t="s">
        <v>682</v>
      </c>
      <c r="E241" s="17" t="b">
        <f t="shared" si="37"/>
        <v>1</v>
      </c>
      <c r="F241" s="127" t="s">
        <v>572</v>
      </c>
      <c r="G241" s="248" t="s">
        <v>541</v>
      </c>
      <c r="H241" s="128" t="s">
        <v>609</v>
      </c>
      <c r="I241" s="128" t="s">
        <v>682</v>
      </c>
      <c r="J241" s="31"/>
      <c r="K241" s="102" t="s">
        <v>354</v>
      </c>
      <c r="L241" s="90"/>
      <c r="M241" s="111"/>
      <c r="N241" s="112"/>
      <c r="O241" s="113"/>
      <c r="P241" s="112"/>
      <c r="Q241" s="31"/>
      <c r="R241" s="102"/>
      <c r="S241" s="90"/>
      <c r="T241" s="88" t="str">
        <f t="shared" si="35"/>
        <v>NA</v>
      </c>
      <c r="U241" s="88" t="str">
        <f t="shared" si="36"/>
        <v>NA</v>
      </c>
      <c r="V241" s="111"/>
      <c r="W241" s="112"/>
      <c r="X241" s="113"/>
      <c r="Y241" s="112"/>
      <c r="Z241" s="31"/>
      <c r="AA241" s="296"/>
      <c r="AB241" s="89"/>
      <c r="AC241" s="88" t="str">
        <f t="shared" si="38"/>
        <v>NA</v>
      </c>
      <c r="AD241" s="88" t="str">
        <f t="shared" si="39"/>
        <v>NA</v>
      </c>
      <c r="AE241" s="111"/>
      <c r="AF241" s="112"/>
      <c r="AG241" s="113"/>
      <c r="AH241" s="112"/>
      <c r="AI241" s="31"/>
      <c r="AJ241" s="294"/>
      <c r="AK241" s="89"/>
      <c r="AL241" s="88" t="str">
        <f t="shared" si="40"/>
        <v>NA</v>
      </c>
      <c r="AM241" s="88" t="str">
        <f t="shared" si="41"/>
        <v>NA</v>
      </c>
      <c r="AN241" s="111"/>
      <c r="AO241" s="112"/>
      <c r="AP241" s="113"/>
      <c r="AQ241" s="112"/>
      <c r="AR241" s="31"/>
      <c r="AS241" s="32"/>
      <c r="AT241" s="90"/>
      <c r="AU241" s="88"/>
      <c r="AV241" s="88"/>
      <c r="AW241" s="111"/>
      <c r="AX241" s="112"/>
      <c r="AY241" s="113"/>
      <c r="AZ241" s="112"/>
      <c r="BA241" s="31"/>
      <c r="BB241" s="32"/>
      <c r="BC241" s="90"/>
      <c r="BD241" s="88"/>
      <c r="BE241" s="88"/>
      <c r="BF241" s="111"/>
      <c r="BG241" s="112"/>
      <c r="BH241" s="113"/>
      <c r="BI241" s="112"/>
      <c r="BJ241" s="31"/>
      <c r="BK241" s="32"/>
      <c r="BL241" s="90"/>
      <c r="BM241" s="88"/>
      <c r="BN241" s="88"/>
      <c r="BO241" s="111"/>
      <c r="BP241" s="112"/>
      <c r="BQ241" s="113"/>
      <c r="BR241" s="112"/>
      <c r="BS241" s="31"/>
      <c r="BT241" s="32"/>
      <c r="BU241" s="90"/>
      <c r="BV241" s="88"/>
      <c r="BW241" s="88"/>
      <c r="BX241" s="111"/>
      <c r="BY241" s="112"/>
      <c r="BZ241" s="113"/>
      <c r="CA241" s="112"/>
      <c r="CB241" s="31"/>
      <c r="CC241" s="32"/>
      <c r="CD241" s="90"/>
      <c r="CE241" s="88"/>
      <c r="CF241" s="88"/>
      <c r="CG241" s="111"/>
      <c r="CH241" s="112"/>
      <c r="CI241" s="113"/>
      <c r="CJ241" s="112"/>
      <c r="CK241" s="31"/>
      <c r="CL241" s="32"/>
      <c r="CM241" s="90"/>
      <c r="CN241" s="88"/>
      <c r="CO241" s="88"/>
      <c r="CP241" s="111"/>
      <c r="CQ241" s="112"/>
      <c r="CR241" s="113"/>
      <c r="CS241" s="112"/>
      <c r="CT241" s="55"/>
      <c r="CV241" s="230" t="s">
        <v>682</v>
      </c>
      <c r="CX241" s="226" t="s">
        <v>1424</v>
      </c>
      <c r="CY241" s="226" t="s">
        <v>1248</v>
      </c>
      <c r="CZ241" s="226" t="s">
        <v>541</v>
      </c>
      <c r="DA241" s="226" t="s">
        <v>541</v>
      </c>
      <c r="DB241" s="226"/>
      <c r="DC241" s="226" t="s">
        <v>541</v>
      </c>
      <c r="DD241" s="226" t="s">
        <v>541</v>
      </c>
      <c r="DE241" s="226" t="s">
        <v>541</v>
      </c>
      <c r="DF241" s="226" t="s">
        <v>541</v>
      </c>
      <c r="DG241" s="226" t="s">
        <v>541</v>
      </c>
      <c r="DH241" s="14"/>
    </row>
    <row r="242" spans="1:112" ht="39" x14ac:dyDescent="0.25">
      <c r="A242" s="17" t="s">
        <v>573</v>
      </c>
      <c r="B242" s="17" t="s">
        <v>541</v>
      </c>
      <c r="C242" s="17" t="s">
        <v>610</v>
      </c>
      <c r="D242" s="17" t="s">
        <v>683</v>
      </c>
      <c r="E242" s="17" t="b">
        <f t="shared" si="37"/>
        <v>1</v>
      </c>
      <c r="F242" s="127" t="s">
        <v>573</v>
      </c>
      <c r="G242" s="248" t="s">
        <v>541</v>
      </c>
      <c r="H242" s="128" t="s">
        <v>610</v>
      </c>
      <c r="I242" s="128" t="s">
        <v>683</v>
      </c>
      <c r="J242" s="31"/>
      <c r="K242" s="102" t="s">
        <v>354</v>
      </c>
      <c r="L242" s="90"/>
      <c r="M242" s="111"/>
      <c r="N242" s="112"/>
      <c r="O242" s="113"/>
      <c r="P242" s="112"/>
      <c r="Q242" s="31"/>
      <c r="R242" s="102"/>
      <c r="S242" s="90"/>
      <c r="T242" s="88" t="str">
        <f t="shared" si="35"/>
        <v>NA</v>
      </c>
      <c r="U242" s="88" t="str">
        <f t="shared" si="36"/>
        <v>NA</v>
      </c>
      <c r="V242" s="111"/>
      <c r="W242" s="112"/>
      <c r="X242" s="113"/>
      <c r="Y242" s="112"/>
      <c r="Z242" s="31"/>
      <c r="AA242" s="296"/>
      <c r="AB242" s="89"/>
      <c r="AC242" s="88" t="str">
        <f t="shared" si="38"/>
        <v>NA</v>
      </c>
      <c r="AD242" s="88" t="str">
        <f t="shared" si="39"/>
        <v>NA</v>
      </c>
      <c r="AE242" s="111"/>
      <c r="AF242" s="112"/>
      <c r="AG242" s="113"/>
      <c r="AH242" s="112"/>
      <c r="AI242" s="31"/>
      <c r="AJ242" s="294"/>
      <c r="AK242" s="89"/>
      <c r="AL242" s="88" t="str">
        <f t="shared" si="40"/>
        <v>NA</v>
      </c>
      <c r="AM242" s="88" t="str">
        <f t="shared" si="41"/>
        <v>NA</v>
      </c>
      <c r="AN242" s="111"/>
      <c r="AO242" s="112"/>
      <c r="AP242" s="113"/>
      <c r="AQ242" s="112"/>
      <c r="AR242" s="31"/>
      <c r="AS242" s="32"/>
      <c r="AT242" s="90"/>
      <c r="AU242" s="88"/>
      <c r="AV242" s="88"/>
      <c r="AW242" s="111"/>
      <c r="AX242" s="112"/>
      <c r="AY242" s="113"/>
      <c r="AZ242" s="112"/>
      <c r="BA242" s="31"/>
      <c r="BB242" s="32"/>
      <c r="BC242" s="90"/>
      <c r="BD242" s="88"/>
      <c r="BE242" s="88"/>
      <c r="BF242" s="111"/>
      <c r="BG242" s="112"/>
      <c r="BH242" s="113"/>
      <c r="BI242" s="112"/>
      <c r="BJ242" s="31"/>
      <c r="BK242" s="32"/>
      <c r="BL242" s="90"/>
      <c r="BM242" s="88"/>
      <c r="BN242" s="88"/>
      <c r="BO242" s="111"/>
      <c r="BP242" s="112"/>
      <c r="BQ242" s="113"/>
      <c r="BR242" s="112"/>
      <c r="BS242" s="31"/>
      <c r="BT242" s="32"/>
      <c r="BU242" s="90"/>
      <c r="BV242" s="88"/>
      <c r="BW242" s="88"/>
      <c r="BX242" s="111"/>
      <c r="BY242" s="112"/>
      <c r="BZ242" s="113"/>
      <c r="CA242" s="112"/>
      <c r="CB242" s="31"/>
      <c r="CC242" s="32"/>
      <c r="CD242" s="90"/>
      <c r="CE242" s="88"/>
      <c r="CF242" s="88"/>
      <c r="CG242" s="111"/>
      <c r="CH242" s="112"/>
      <c r="CI242" s="113"/>
      <c r="CJ242" s="112"/>
      <c r="CK242" s="31"/>
      <c r="CL242" s="32"/>
      <c r="CM242" s="90"/>
      <c r="CN242" s="88"/>
      <c r="CO242" s="88"/>
      <c r="CP242" s="111"/>
      <c r="CQ242" s="112"/>
      <c r="CR242" s="113"/>
      <c r="CS242" s="112"/>
      <c r="CT242" s="55"/>
      <c r="CV242" s="230" t="s">
        <v>683</v>
      </c>
      <c r="CX242" s="226" t="s">
        <v>1425</v>
      </c>
      <c r="CY242" s="226" t="s">
        <v>1248</v>
      </c>
      <c r="CZ242" s="226" t="s">
        <v>541</v>
      </c>
      <c r="DA242" s="226" t="s">
        <v>541</v>
      </c>
      <c r="DB242" s="14"/>
      <c r="DC242" s="226" t="s">
        <v>541</v>
      </c>
      <c r="DD242" s="226" t="s">
        <v>541</v>
      </c>
      <c r="DE242" s="226" t="s">
        <v>541</v>
      </c>
      <c r="DF242" s="226" t="s">
        <v>541</v>
      </c>
      <c r="DG242" s="226" t="s">
        <v>541</v>
      </c>
      <c r="DH242" s="14"/>
    </row>
    <row r="243" spans="1:112" ht="39" x14ac:dyDescent="0.25">
      <c r="A243" s="17" t="s">
        <v>1004</v>
      </c>
      <c r="B243" s="17" t="s">
        <v>1356</v>
      </c>
      <c r="C243" s="17" t="s">
        <v>1411</v>
      </c>
      <c r="D243" s="17" t="s">
        <v>751</v>
      </c>
      <c r="E243" s="17" t="b">
        <f t="shared" si="37"/>
        <v>1</v>
      </c>
      <c r="F243" s="232" t="s">
        <v>2133</v>
      </c>
      <c r="G243" s="277" t="s">
        <v>2199</v>
      </c>
      <c r="H243" s="128" t="s">
        <v>1411</v>
      </c>
      <c r="I243" s="233" t="s">
        <v>751</v>
      </c>
      <c r="J243" s="31"/>
      <c r="K243" s="102" t="s">
        <v>354</v>
      </c>
      <c r="L243" s="90"/>
      <c r="M243" s="111"/>
      <c r="N243" s="112"/>
      <c r="O243" s="113"/>
      <c r="P243" s="112"/>
      <c r="Q243" s="31"/>
      <c r="R243" s="102"/>
      <c r="S243" s="90"/>
      <c r="T243" s="88" t="str">
        <f t="shared" si="35"/>
        <v>NA</v>
      </c>
      <c r="U243" s="88" t="str">
        <f t="shared" si="36"/>
        <v>NA</v>
      </c>
      <c r="V243" s="111"/>
      <c r="W243" s="112"/>
      <c r="X243" s="113"/>
      <c r="Y243" s="112"/>
      <c r="Z243" s="31"/>
      <c r="AA243" s="296"/>
      <c r="AB243" s="89"/>
      <c r="AC243" s="88" t="str">
        <f t="shared" si="38"/>
        <v>NA</v>
      </c>
      <c r="AD243" s="88" t="str">
        <f t="shared" si="39"/>
        <v>NA</v>
      </c>
      <c r="AE243" s="111"/>
      <c r="AF243" s="112"/>
      <c r="AG243" s="113"/>
      <c r="AH243" s="112"/>
      <c r="AI243" s="31"/>
      <c r="AJ243" s="294"/>
      <c r="AK243" s="89"/>
      <c r="AL243" s="88" t="str">
        <f t="shared" si="40"/>
        <v>NA</v>
      </c>
      <c r="AM243" s="88" t="str">
        <f t="shared" si="41"/>
        <v>NA</v>
      </c>
      <c r="AN243" s="111"/>
      <c r="AO243" s="112"/>
      <c r="AP243" s="113"/>
      <c r="AQ243" s="112"/>
      <c r="AR243" s="31"/>
      <c r="AS243" s="32"/>
      <c r="AT243" s="90"/>
      <c r="AU243" s="88"/>
      <c r="AV243" s="88"/>
      <c r="AW243" s="111"/>
      <c r="AX243" s="112"/>
      <c r="AY243" s="113"/>
      <c r="AZ243" s="112"/>
      <c r="BA243" s="31"/>
      <c r="BB243" s="32"/>
      <c r="BC243" s="90"/>
      <c r="BD243" s="88"/>
      <c r="BE243" s="88"/>
      <c r="BF243" s="111"/>
      <c r="BG243" s="112"/>
      <c r="BH243" s="113"/>
      <c r="BI243" s="112"/>
      <c r="BJ243" s="31"/>
      <c r="BK243" s="32"/>
      <c r="BL243" s="90"/>
      <c r="BM243" s="88"/>
      <c r="BN243" s="88"/>
      <c r="BO243" s="111"/>
      <c r="BP243" s="112"/>
      <c r="BQ243" s="113"/>
      <c r="BR243" s="112"/>
      <c r="BS243" s="31"/>
      <c r="BT243" s="32"/>
      <c r="BU243" s="90"/>
      <c r="BV243" s="88"/>
      <c r="BW243" s="88"/>
      <c r="BX243" s="111"/>
      <c r="BY243" s="112"/>
      <c r="BZ243" s="113"/>
      <c r="CA243" s="112"/>
      <c r="CB243" s="31"/>
      <c r="CC243" s="32"/>
      <c r="CD243" s="90"/>
      <c r="CE243" s="88"/>
      <c r="CF243" s="88"/>
      <c r="CG243" s="111"/>
      <c r="CH243" s="112"/>
      <c r="CI243" s="113"/>
      <c r="CJ243" s="112"/>
      <c r="CK243" s="31"/>
      <c r="CL243" s="32"/>
      <c r="CM243" s="90"/>
      <c r="CN243" s="88"/>
      <c r="CO243" s="88"/>
      <c r="CP243" s="111"/>
      <c r="CQ243" s="112"/>
      <c r="CR243" s="113"/>
      <c r="CS243" s="112"/>
      <c r="CT243" s="55"/>
      <c r="CV243" s="230"/>
      <c r="CX243" s="226" t="s">
        <v>1424</v>
      </c>
      <c r="CY243" s="226" t="s">
        <v>1435</v>
      </c>
      <c r="CZ243" s="226" t="s">
        <v>541</v>
      </c>
      <c r="DA243" s="226" t="s">
        <v>541</v>
      </c>
      <c r="DB243" s="226"/>
      <c r="DC243" s="226" t="s">
        <v>541</v>
      </c>
      <c r="DD243" s="226" t="s">
        <v>541</v>
      </c>
      <c r="DE243" s="226" t="s">
        <v>541</v>
      </c>
      <c r="DF243" s="226" t="s">
        <v>541</v>
      </c>
      <c r="DG243" s="226" t="s">
        <v>541</v>
      </c>
      <c r="DH243" s="14"/>
    </row>
    <row r="244" spans="1:112" ht="52" x14ac:dyDescent="0.25">
      <c r="A244" s="17" t="s">
        <v>1004</v>
      </c>
      <c r="B244" s="17" t="s">
        <v>1357</v>
      </c>
      <c r="C244" s="17" t="s">
        <v>1412</v>
      </c>
      <c r="D244" s="17" t="s">
        <v>752</v>
      </c>
      <c r="E244" s="17" t="b">
        <f t="shared" si="37"/>
        <v>1</v>
      </c>
      <c r="F244" s="232" t="s">
        <v>2134</v>
      </c>
      <c r="G244" s="277" t="s">
        <v>2200</v>
      </c>
      <c r="H244" s="128" t="s">
        <v>1412</v>
      </c>
      <c r="I244" s="233" t="s">
        <v>752</v>
      </c>
      <c r="J244" s="31"/>
      <c r="K244" s="102" t="s">
        <v>354</v>
      </c>
      <c r="L244" s="90" t="s">
        <v>2405</v>
      </c>
      <c r="M244" s="111" t="s">
        <v>2470</v>
      </c>
      <c r="N244" s="112"/>
      <c r="O244" s="113"/>
      <c r="P244" s="112"/>
      <c r="Q244" s="31"/>
      <c r="R244" s="102"/>
      <c r="S244" s="90"/>
      <c r="T244" s="88" t="str">
        <f t="shared" si="35"/>
        <v>NA</v>
      </c>
      <c r="U244" s="88" t="str">
        <f t="shared" si="36"/>
        <v>YES</v>
      </c>
      <c r="V244" s="111"/>
      <c r="W244" s="112"/>
      <c r="X244" s="113"/>
      <c r="Y244" s="112"/>
      <c r="Z244" s="31"/>
      <c r="AA244" s="296"/>
      <c r="AB244" s="89"/>
      <c r="AC244" s="88" t="str">
        <f t="shared" si="38"/>
        <v>NA</v>
      </c>
      <c r="AD244" s="88" t="str">
        <f t="shared" si="39"/>
        <v>NA</v>
      </c>
      <c r="AE244" s="111"/>
      <c r="AF244" s="112"/>
      <c r="AG244" s="113"/>
      <c r="AH244" s="112"/>
      <c r="AI244" s="31"/>
      <c r="AJ244" s="294"/>
      <c r="AK244" s="89"/>
      <c r="AL244" s="88" t="str">
        <f t="shared" si="40"/>
        <v>NA</v>
      </c>
      <c r="AM244" s="88" t="str">
        <f t="shared" si="41"/>
        <v>NA</v>
      </c>
      <c r="AN244" s="111"/>
      <c r="AO244" s="112"/>
      <c r="AP244" s="113"/>
      <c r="AQ244" s="112"/>
      <c r="AR244" s="31"/>
      <c r="AS244" s="32"/>
      <c r="AT244" s="90"/>
      <c r="AU244" s="88"/>
      <c r="AV244" s="88"/>
      <c r="AW244" s="111"/>
      <c r="AX244" s="112"/>
      <c r="AY244" s="113"/>
      <c r="AZ244" s="112"/>
      <c r="BA244" s="31"/>
      <c r="BB244" s="32"/>
      <c r="BC244" s="90"/>
      <c r="BD244" s="88"/>
      <c r="BE244" s="88"/>
      <c r="BF244" s="111"/>
      <c r="BG244" s="112"/>
      <c r="BH244" s="113"/>
      <c r="BI244" s="112"/>
      <c r="BJ244" s="31"/>
      <c r="BK244" s="32"/>
      <c r="BL244" s="90"/>
      <c r="BM244" s="88"/>
      <c r="BN244" s="88"/>
      <c r="BO244" s="111"/>
      <c r="BP244" s="112"/>
      <c r="BQ244" s="113"/>
      <c r="BR244" s="112"/>
      <c r="BS244" s="31"/>
      <c r="BT244" s="32"/>
      <c r="BU244" s="90"/>
      <c r="BV244" s="88"/>
      <c r="BW244" s="88"/>
      <c r="BX244" s="111"/>
      <c r="BY244" s="112"/>
      <c r="BZ244" s="113"/>
      <c r="CA244" s="112"/>
      <c r="CB244" s="31"/>
      <c r="CC244" s="32"/>
      <c r="CD244" s="90"/>
      <c r="CE244" s="88"/>
      <c r="CF244" s="88"/>
      <c r="CG244" s="111"/>
      <c r="CH244" s="112"/>
      <c r="CI244" s="113"/>
      <c r="CJ244" s="112"/>
      <c r="CK244" s="31"/>
      <c r="CL244" s="32"/>
      <c r="CM244" s="90"/>
      <c r="CN244" s="88"/>
      <c r="CO244" s="88"/>
      <c r="CP244" s="111"/>
      <c r="CQ244" s="112"/>
      <c r="CR244" s="113"/>
      <c r="CS244" s="112"/>
      <c r="CT244" s="55"/>
      <c r="CV244" s="230"/>
      <c r="CX244" s="226" t="s">
        <v>1425</v>
      </c>
      <c r="CY244" s="226" t="s">
        <v>1435</v>
      </c>
      <c r="CZ244" s="226" t="s">
        <v>541</v>
      </c>
      <c r="DA244" s="226" t="s">
        <v>541</v>
      </c>
      <c r="DB244" s="14"/>
      <c r="DC244" s="226" t="s">
        <v>541</v>
      </c>
      <c r="DD244" s="226" t="s">
        <v>541</v>
      </c>
      <c r="DE244" s="226" t="s">
        <v>541</v>
      </c>
      <c r="DF244" s="226" t="s">
        <v>541</v>
      </c>
      <c r="DG244" s="226" t="s">
        <v>541</v>
      </c>
      <c r="DH244" s="14"/>
    </row>
    <row r="245" spans="1:112" ht="195" x14ac:dyDescent="0.25">
      <c r="A245" s="17" t="s">
        <v>1004</v>
      </c>
      <c r="B245" s="17" t="s">
        <v>1358</v>
      </c>
      <c r="C245" s="17" t="s">
        <v>1413</v>
      </c>
      <c r="D245" s="17" t="s">
        <v>1359</v>
      </c>
      <c r="E245" s="17" t="b">
        <f t="shared" si="37"/>
        <v>1</v>
      </c>
      <c r="F245" s="232" t="s">
        <v>2135</v>
      </c>
      <c r="G245" s="277" t="s">
        <v>2201</v>
      </c>
      <c r="H245" s="128" t="s">
        <v>1413</v>
      </c>
      <c r="I245" s="233" t="s">
        <v>1359</v>
      </c>
      <c r="J245" s="31"/>
      <c r="K245" s="102" t="s">
        <v>354</v>
      </c>
      <c r="L245" s="90"/>
      <c r="M245" s="111"/>
      <c r="N245" s="112"/>
      <c r="O245" s="113"/>
      <c r="P245" s="112"/>
      <c r="Q245" s="31"/>
      <c r="R245" s="102"/>
      <c r="S245" s="90"/>
      <c r="T245" s="88" t="str">
        <f t="shared" si="35"/>
        <v>NA</v>
      </c>
      <c r="U245" s="88" t="str">
        <f t="shared" si="36"/>
        <v>NA</v>
      </c>
      <c r="V245" s="111"/>
      <c r="W245" s="112"/>
      <c r="X245" s="113"/>
      <c r="Y245" s="112"/>
      <c r="Z245" s="31"/>
      <c r="AA245" s="296"/>
      <c r="AB245" s="89"/>
      <c r="AC245" s="88" t="str">
        <f t="shared" si="38"/>
        <v>NA</v>
      </c>
      <c r="AD245" s="88" t="str">
        <f t="shared" si="39"/>
        <v>NA</v>
      </c>
      <c r="AE245" s="111"/>
      <c r="AF245" s="112"/>
      <c r="AG245" s="113"/>
      <c r="AH245" s="112"/>
      <c r="AI245" s="31"/>
      <c r="AJ245" s="294"/>
      <c r="AK245" s="89"/>
      <c r="AL245" s="88" t="str">
        <f t="shared" si="40"/>
        <v>NA</v>
      </c>
      <c r="AM245" s="88" t="str">
        <f t="shared" si="41"/>
        <v>NA</v>
      </c>
      <c r="AN245" s="111"/>
      <c r="AO245" s="112"/>
      <c r="AP245" s="113"/>
      <c r="AQ245" s="112"/>
      <c r="AR245" s="31"/>
      <c r="AS245" s="32"/>
      <c r="AT245" s="90"/>
      <c r="AU245" s="88"/>
      <c r="AV245" s="88"/>
      <c r="AW245" s="111"/>
      <c r="AX245" s="112"/>
      <c r="AY245" s="113"/>
      <c r="AZ245" s="112"/>
      <c r="BA245" s="31"/>
      <c r="BB245" s="32"/>
      <c r="BC245" s="90"/>
      <c r="BD245" s="88"/>
      <c r="BE245" s="88"/>
      <c r="BF245" s="111"/>
      <c r="BG245" s="112"/>
      <c r="BH245" s="113"/>
      <c r="BI245" s="112"/>
      <c r="BJ245" s="31"/>
      <c r="BK245" s="32"/>
      <c r="BL245" s="90"/>
      <c r="BM245" s="88"/>
      <c r="BN245" s="88"/>
      <c r="BO245" s="111"/>
      <c r="BP245" s="112"/>
      <c r="BQ245" s="113"/>
      <c r="BR245" s="112"/>
      <c r="BS245" s="31"/>
      <c r="BT245" s="32"/>
      <c r="BU245" s="90"/>
      <c r="BV245" s="88"/>
      <c r="BW245" s="88"/>
      <c r="BX245" s="111"/>
      <c r="BY245" s="112"/>
      <c r="BZ245" s="113"/>
      <c r="CA245" s="112"/>
      <c r="CB245" s="31"/>
      <c r="CC245" s="32"/>
      <c r="CD245" s="90"/>
      <c r="CE245" s="88"/>
      <c r="CF245" s="88"/>
      <c r="CG245" s="111"/>
      <c r="CH245" s="112"/>
      <c r="CI245" s="113"/>
      <c r="CJ245" s="112"/>
      <c r="CK245" s="31"/>
      <c r="CL245" s="32"/>
      <c r="CM245" s="90"/>
      <c r="CN245" s="88"/>
      <c r="CO245" s="88"/>
      <c r="CP245" s="111"/>
      <c r="CQ245" s="112"/>
      <c r="CR245" s="113"/>
      <c r="CS245" s="112"/>
      <c r="CT245" s="55"/>
      <c r="CV245" s="230"/>
      <c r="CX245" s="226" t="s">
        <v>541</v>
      </c>
      <c r="CY245" s="226" t="s">
        <v>1434</v>
      </c>
      <c r="CZ245" s="226" t="s">
        <v>541</v>
      </c>
      <c r="DA245" s="226" t="s">
        <v>541</v>
      </c>
      <c r="DB245" s="226"/>
      <c r="DC245" s="226" t="s">
        <v>541</v>
      </c>
      <c r="DD245" s="226" t="s">
        <v>541</v>
      </c>
      <c r="DE245" s="226" t="s">
        <v>541</v>
      </c>
      <c r="DF245" s="226" t="s">
        <v>541</v>
      </c>
      <c r="DG245" s="226" t="s">
        <v>541</v>
      </c>
      <c r="DH245" s="14"/>
    </row>
    <row r="246" spans="1:112" ht="195" x14ac:dyDescent="0.25">
      <c r="A246" s="17" t="s">
        <v>574</v>
      </c>
      <c r="B246" s="17" t="s">
        <v>541</v>
      </c>
      <c r="C246" s="17" t="s">
        <v>611</v>
      </c>
      <c r="D246" s="17" t="s">
        <v>2136</v>
      </c>
      <c r="E246" s="17" t="b">
        <f t="shared" si="37"/>
        <v>0</v>
      </c>
      <c r="F246" s="127" t="s">
        <v>574</v>
      </c>
      <c r="G246" s="248" t="s">
        <v>541</v>
      </c>
      <c r="H246" s="128" t="s">
        <v>611</v>
      </c>
      <c r="I246" s="128" t="s">
        <v>684</v>
      </c>
      <c r="J246" s="31"/>
      <c r="K246" s="102" t="s">
        <v>354</v>
      </c>
      <c r="L246" s="90"/>
      <c r="M246" s="111"/>
      <c r="N246" s="112"/>
      <c r="O246" s="113"/>
      <c r="P246" s="112"/>
      <c r="Q246" s="31"/>
      <c r="R246" s="102"/>
      <c r="S246" s="90"/>
      <c r="T246" s="88" t="str">
        <f t="shared" si="35"/>
        <v>NA</v>
      </c>
      <c r="U246" s="88" t="str">
        <f t="shared" si="36"/>
        <v>NA</v>
      </c>
      <c r="V246" s="111"/>
      <c r="W246" s="112"/>
      <c r="X246" s="113"/>
      <c r="Y246" s="112"/>
      <c r="Z246" s="31"/>
      <c r="AA246" s="296"/>
      <c r="AB246" s="89"/>
      <c r="AC246" s="88" t="str">
        <f t="shared" si="38"/>
        <v>NA</v>
      </c>
      <c r="AD246" s="88" t="str">
        <f t="shared" si="39"/>
        <v>NA</v>
      </c>
      <c r="AE246" s="111"/>
      <c r="AF246" s="112"/>
      <c r="AG246" s="113"/>
      <c r="AH246" s="112"/>
      <c r="AI246" s="31"/>
      <c r="AJ246" s="294"/>
      <c r="AK246" s="89"/>
      <c r="AL246" s="88" t="str">
        <f t="shared" si="40"/>
        <v>NA</v>
      </c>
      <c r="AM246" s="88" t="str">
        <f t="shared" si="41"/>
        <v>NA</v>
      </c>
      <c r="AN246" s="111"/>
      <c r="AO246" s="112"/>
      <c r="AP246" s="113"/>
      <c r="AQ246" s="112"/>
      <c r="AR246" s="31"/>
      <c r="AS246" s="32"/>
      <c r="AT246" s="90"/>
      <c r="AU246" s="88"/>
      <c r="AV246" s="88"/>
      <c r="AW246" s="111"/>
      <c r="AX246" s="112"/>
      <c r="AY246" s="113"/>
      <c r="AZ246" s="112"/>
      <c r="BA246" s="31"/>
      <c r="BB246" s="32"/>
      <c r="BC246" s="90"/>
      <c r="BD246" s="88"/>
      <c r="BE246" s="88"/>
      <c r="BF246" s="111"/>
      <c r="BG246" s="112"/>
      <c r="BH246" s="113"/>
      <c r="BI246" s="112"/>
      <c r="BJ246" s="31"/>
      <c r="BK246" s="32"/>
      <c r="BL246" s="90"/>
      <c r="BM246" s="88"/>
      <c r="BN246" s="88"/>
      <c r="BO246" s="111"/>
      <c r="BP246" s="112"/>
      <c r="BQ246" s="113"/>
      <c r="BR246" s="112"/>
      <c r="BS246" s="31"/>
      <c r="BT246" s="32"/>
      <c r="BU246" s="90"/>
      <c r="BV246" s="88"/>
      <c r="BW246" s="88"/>
      <c r="BX246" s="111"/>
      <c r="BY246" s="112"/>
      <c r="BZ246" s="113"/>
      <c r="CA246" s="112"/>
      <c r="CB246" s="31"/>
      <c r="CC246" s="32"/>
      <c r="CD246" s="90"/>
      <c r="CE246" s="88"/>
      <c r="CF246" s="88"/>
      <c r="CG246" s="111"/>
      <c r="CH246" s="112"/>
      <c r="CI246" s="113"/>
      <c r="CJ246" s="112"/>
      <c r="CK246" s="31"/>
      <c r="CL246" s="32"/>
      <c r="CM246" s="90"/>
      <c r="CN246" s="88"/>
      <c r="CO246" s="88"/>
      <c r="CP246" s="111"/>
      <c r="CQ246" s="112"/>
      <c r="CR246" s="113"/>
      <c r="CS246" s="112"/>
      <c r="CT246" s="55"/>
      <c r="CV246" s="230" t="s">
        <v>684</v>
      </c>
      <c r="CX246" s="226" t="s">
        <v>541</v>
      </c>
      <c r="CY246" s="226" t="s">
        <v>1433</v>
      </c>
      <c r="CZ246" s="226" t="s">
        <v>541</v>
      </c>
      <c r="DA246" s="226" t="s">
        <v>541</v>
      </c>
      <c r="DB246" s="226"/>
      <c r="DC246" s="226" t="s">
        <v>541</v>
      </c>
      <c r="DD246" s="226" t="s">
        <v>541</v>
      </c>
      <c r="DE246" s="226" t="s">
        <v>541</v>
      </c>
      <c r="DF246" s="226" t="s">
        <v>541</v>
      </c>
      <c r="DG246" s="226" t="s">
        <v>541</v>
      </c>
      <c r="DH246" s="14"/>
    </row>
    <row r="247" spans="1:112" ht="195" x14ac:dyDescent="0.25">
      <c r="A247" s="17" t="s">
        <v>1004</v>
      </c>
      <c r="B247" s="17" t="s">
        <v>1360</v>
      </c>
      <c r="C247" s="17" t="s">
        <v>1414</v>
      </c>
      <c r="D247" s="17" t="s">
        <v>770</v>
      </c>
      <c r="E247" s="17" t="b">
        <f t="shared" si="37"/>
        <v>1</v>
      </c>
      <c r="F247" s="232" t="s">
        <v>2137</v>
      </c>
      <c r="G247" s="277" t="s">
        <v>2202</v>
      </c>
      <c r="H247" s="128" t="s">
        <v>1414</v>
      </c>
      <c r="I247" s="233" t="s">
        <v>770</v>
      </c>
      <c r="J247" s="31"/>
      <c r="K247" s="102" t="s">
        <v>354</v>
      </c>
      <c r="L247" s="90" t="s">
        <v>2405</v>
      </c>
      <c r="M247" s="111" t="s">
        <v>2470</v>
      </c>
      <c r="N247" s="112"/>
      <c r="O247" s="113"/>
      <c r="P247" s="112"/>
      <c r="Q247" s="31"/>
      <c r="R247" s="102"/>
      <c r="S247" s="90"/>
      <c r="T247" s="88" t="str">
        <f t="shared" si="35"/>
        <v>NA</v>
      </c>
      <c r="U247" s="88" t="str">
        <f t="shared" si="36"/>
        <v>YES</v>
      </c>
      <c r="V247" s="111"/>
      <c r="W247" s="112"/>
      <c r="X247" s="113"/>
      <c r="Y247" s="112"/>
      <c r="Z247" s="31"/>
      <c r="AA247" s="296"/>
      <c r="AB247" s="89"/>
      <c r="AC247" s="88" t="str">
        <f t="shared" si="38"/>
        <v>NA</v>
      </c>
      <c r="AD247" s="88" t="str">
        <f t="shared" si="39"/>
        <v>NA</v>
      </c>
      <c r="AE247" s="111"/>
      <c r="AF247" s="112"/>
      <c r="AG247" s="113"/>
      <c r="AH247" s="112"/>
      <c r="AI247" s="31"/>
      <c r="AJ247" s="294"/>
      <c r="AK247" s="89"/>
      <c r="AL247" s="88" t="str">
        <f t="shared" si="40"/>
        <v>NA</v>
      </c>
      <c r="AM247" s="88" t="str">
        <f t="shared" si="41"/>
        <v>NA</v>
      </c>
      <c r="AN247" s="111"/>
      <c r="AO247" s="112"/>
      <c r="AP247" s="113"/>
      <c r="AQ247" s="112"/>
      <c r="AR247" s="31"/>
      <c r="AS247" s="32"/>
      <c r="AT247" s="90"/>
      <c r="AU247" s="88"/>
      <c r="AV247" s="88"/>
      <c r="AW247" s="111"/>
      <c r="AX247" s="112"/>
      <c r="AY247" s="113"/>
      <c r="AZ247" s="112"/>
      <c r="BA247" s="31"/>
      <c r="BB247" s="32"/>
      <c r="BC247" s="90"/>
      <c r="BD247" s="88"/>
      <c r="BE247" s="88"/>
      <c r="BF247" s="111"/>
      <c r="BG247" s="112"/>
      <c r="BH247" s="113"/>
      <c r="BI247" s="112"/>
      <c r="BJ247" s="31"/>
      <c r="BK247" s="32"/>
      <c r="BL247" s="90"/>
      <c r="BM247" s="88"/>
      <c r="BN247" s="88"/>
      <c r="BO247" s="111"/>
      <c r="BP247" s="112"/>
      <c r="BQ247" s="113"/>
      <c r="BR247" s="112"/>
      <c r="BS247" s="31"/>
      <c r="BT247" s="32"/>
      <c r="BU247" s="90"/>
      <c r="BV247" s="88"/>
      <c r="BW247" s="88"/>
      <c r="BX247" s="111"/>
      <c r="BY247" s="112"/>
      <c r="BZ247" s="113"/>
      <c r="CA247" s="112"/>
      <c r="CB247" s="31"/>
      <c r="CC247" s="32"/>
      <c r="CD247" s="90"/>
      <c r="CE247" s="88"/>
      <c r="CF247" s="88"/>
      <c r="CG247" s="111"/>
      <c r="CH247" s="112"/>
      <c r="CI247" s="113"/>
      <c r="CJ247" s="112"/>
      <c r="CK247" s="31"/>
      <c r="CL247" s="32"/>
      <c r="CM247" s="90"/>
      <c r="CN247" s="88"/>
      <c r="CO247" s="88"/>
      <c r="CP247" s="111"/>
      <c r="CQ247" s="112"/>
      <c r="CR247" s="113"/>
      <c r="CS247" s="112"/>
      <c r="CT247" s="55"/>
      <c r="CV247" s="230"/>
      <c r="CX247" s="226" t="s">
        <v>541</v>
      </c>
      <c r="CY247" s="226" t="s">
        <v>1436</v>
      </c>
      <c r="CZ247" s="226" t="s">
        <v>541</v>
      </c>
      <c r="DA247" s="226" t="s">
        <v>541</v>
      </c>
      <c r="DB247" s="226"/>
      <c r="DC247" s="226" t="s">
        <v>541</v>
      </c>
      <c r="DD247" s="226" t="s">
        <v>541</v>
      </c>
      <c r="DE247" s="226" t="s">
        <v>541</v>
      </c>
      <c r="DF247" s="226" t="s">
        <v>541</v>
      </c>
      <c r="DG247" s="226" t="s">
        <v>541</v>
      </c>
      <c r="DH247" s="14"/>
    </row>
    <row r="248" spans="1:112" ht="26" x14ac:dyDescent="0.25">
      <c r="A248" s="17" t="s">
        <v>575</v>
      </c>
      <c r="B248" s="17" t="s">
        <v>541</v>
      </c>
      <c r="C248" s="17" t="s">
        <v>612</v>
      </c>
      <c r="D248" s="17" t="s">
        <v>685</v>
      </c>
      <c r="E248" s="17" t="b">
        <f t="shared" si="37"/>
        <v>1</v>
      </c>
      <c r="F248" s="127" t="s">
        <v>575</v>
      </c>
      <c r="G248" s="248" t="s">
        <v>541</v>
      </c>
      <c r="H248" s="128" t="s">
        <v>612</v>
      </c>
      <c r="I248" s="128" t="s">
        <v>685</v>
      </c>
      <c r="J248" s="31"/>
      <c r="K248" s="102" t="s">
        <v>354</v>
      </c>
      <c r="L248" s="90"/>
      <c r="M248" s="111"/>
      <c r="N248" s="112"/>
      <c r="O248" s="113"/>
      <c r="P248" s="112"/>
      <c r="Q248" s="31"/>
      <c r="R248" s="102"/>
      <c r="S248" s="90"/>
      <c r="T248" s="88" t="str">
        <f t="shared" si="35"/>
        <v>NA</v>
      </c>
      <c r="U248" s="88" t="str">
        <f t="shared" si="36"/>
        <v>NA</v>
      </c>
      <c r="V248" s="111"/>
      <c r="W248" s="112"/>
      <c r="X248" s="113"/>
      <c r="Y248" s="112"/>
      <c r="Z248" s="31"/>
      <c r="AA248" s="296"/>
      <c r="AB248" s="89"/>
      <c r="AC248" s="88" t="str">
        <f t="shared" si="38"/>
        <v>NA</v>
      </c>
      <c r="AD248" s="88" t="str">
        <f t="shared" si="39"/>
        <v>NA</v>
      </c>
      <c r="AE248" s="111"/>
      <c r="AF248" s="112"/>
      <c r="AG248" s="113"/>
      <c r="AH248" s="112"/>
      <c r="AI248" s="31"/>
      <c r="AJ248" s="294"/>
      <c r="AK248" s="89"/>
      <c r="AL248" s="88" t="str">
        <f t="shared" si="40"/>
        <v>NA</v>
      </c>
      <c r="AM248" s="88" t="str">
        <f t="shared" si="41"/>
        <v>NA</v>
      </c>
      <c r="AN248" s="111"/>
      <c r="AO248" s="112"/>
      <c r="AP248" s="113"/>
      <c r="AQ248" s="112"/>
      <c r="AR248" s="31"/>
      <c r="AS248" s="32"/>
      <c r="AT248" s="90"/>
      <c r="AU248" s="88"/>
      <c r="AV248" s="88"/>
      <c r="AW248" s="111"/>
      <c r="AX248" s="112"/>
      <c r="AY248" s="113"/>
      <c r="AZ248" s="112"/>
      <c r="BA248" s="31"/>
      <c r="BB248" s="32"/>
      <c r="BC248" s="90"/>
      <c r="BD248" s="88"/>
      <c r="BE248" s="88"/>
      <c r="BF248" s="111"/>
      <c r="BG248" s="112"/>
      <c r="BH248" s="113"/>
      <c r="BI248" s="112"/>
      <c r="BJ248" s="31"/>
      <c r="BK248" s="32"/>
      <c r="BL248" s="90"/>
      <c r="BM248" s="88"/>
      <c r="BN248" s="88"/>
      <c r="BO248" s="111"/>
      <c r="BP248" s="112"/>
      <c r="BQ248" s="113"/>
      <c r="BR248" s="112"/>
      <c r="BS248" s="31"/>
      <c r="BT248" s="32"/>
      <c r="BU248" s="90"/>
      <c r="BV248" s="88"/>
      <c r="BW248" s="88"/>
      <c r="BX248" s="111"/>
      <c r="BY248" s="112"/>
      <c r="BZ248" s="113"/>
      <c r="CA248" s="112"/>
      <c r="CB248" s="31"/>
      <c r="CC248" s="32"/>
      <c r="CD248" s="90"/>
      <c r="CE248" s="88"/>
      <c r="CF248" s="88"/>
      <c r="CG248" s="111"/>
      <c r="CH248" s="112"/>
      <c r="CI248" s="113"/>
      <c r="CJ248" s="112"/>
      <c r="CK248" s="31"/>
      <c r="CL248" s="32"/>
      <c r="CM248" s="90"/>
      <c r="CN248" s="88"/>
      <c r="CO248" s="88"/>
      <c r="CP248" s="111"/>
      <c r="CQ248" s="112"/>
      <c r="CR248" s="113"/>
      <c r="CS248" s="112"/>
      <c r="CT248" s="55"/>
      <c r="CV248" s="230" t="s">
        <v>685</v>
      </c>
      <c r="CX248" s="226" t="s">
        <v>1424</v>
      </c>
      <c r="CY248" s="226" t="s">
        <v>541</v>
      </c>
      <c r="CZ248" s="226" t="s">
        <v>541</v>
      </c>
      <c r="DA248" s="226" t="s">
        <v>541</v>
      </c>
      <c r="DB248" s="226"/>
      <c r="DC248" s="226" t="s">
        <v>541</v>
      </c>
      <c r="DD248" s="226" t="s">
        <v>1421</v>
      </c>
      <c r="DE248" s="226" t="s">
        <v>541</v>
      </c>
      <c r="DF248" s="226" t="s">
        <v>541</v>
      </c>
      <c r="DG248" s="226" t="s">
        <v>541</v>
      </c>
      <c r="DH248" s="14"/>
    </row>
    <row r="249" spans="1:112" ht="26" x14ac:dyDescent="0.25">
      <c r="A249" s="17" t="s">
        <v>576</v>
      </c>
      <c r="B249" s="17" t="s">
        <v>541</v>
      </c>
      <c r="C249" s="17" t="s">
        <v>613</v>
      </c>
      <c r="D249" s="17" t="s">
        <v>686</v>
      </c>
      <c r="E249" s="17" t="b">
        <f t="shared" si="37"/>
        <v>1</v>
      </c>
      <c r="F249" s="127" t="s">
        <v>576</v>
      </c>
      <c r="G249" s="248" t="s">
        <v>541</v>
      </c>
      <c r="H249" s="128" t="s">
        <v>613</v>
      </c>
      <c r="I249" s="128" t="s">
        <v>686</v>
      </c>
      <c r="J249" s="31"/>
      <c r="K249" s="102" t="s">
        <v>354</v>
      </c>
      <c r="L249" s="90"/>
      <c r="M249" s="111"/>
      <c r="N249" s="112"/>
      <c r="O249" s="113"/>
      <c r="P249" s="112"/>
      <c r="Q249" s="31"/>
      <c r="R249" s="102"/>
      <c r="S249" s="90"/>
      <c r="T249" s="88" t="str">
        <f t="shared" si="35"/>
        <v>NA</v>
      </c>
      <c r="U249" s="88" t="str">
        <f t="shared" si="36"/>
        <v>NA</v>
      </c>
      <c r="V249" s="111"/>
      <c r="W249" s="112"/>
      <c r="X249" s="113"/>
      <c r="Y249" s="112"/>
      <c r="Z249" s="31"/>
      <c r="AA249" s="296"/>
      <c r="AB249" s="89"/>
      <c r="AC249" s="88" t="str">
        <f t="shared" si="38"/>
        <v>NA</v>
      </c>
      <c r="AD249" s="88" t="str">
        <f t="shared" si="39"/>
        <v>NA</v>
      </c>
      <c r="AE249" s="111"/>
      <c r="AF249" s="112"/>
      <c r="AG249" s="113"/>
      <c r="AH249" s="112"/>
      <c r="AI249" s="31"/>
      <c r="AJ249" s="294"/>
      <c r="AK249" s="89"/>
      <c r="AL249" s="88" t="str">
        <f t="shared" si="40"/>
        <v>NA</v>
      </c>
      <c r="AM249" s="88" t="str">
        <f t="shared" si="41"/>
        <v>NA</v>
      </c>
      <c r="AN249" s="111"/>
      <c r="AO249" s="112"/>
      <c r="AP249" s="113"/>
      <c r="AQ249" s="112"/>
      <c r="AR249" s="31"/>
      <c r="AS249" s="32"/>
      <c r="AT249" s="90"/>
      <c r="AU249" s="88"/>
      <c r="AV249" s="88"/>
      <c r="AW249" s="111"/>
      <c r="AX249" s="112"/>
      <c r="AY249" s="113"/>
      <c r="AZ249" s="112"/>
      <c r="BA249" s="31"/>
      <c r="BB249" s="32"/>
      <c r="BC249" s="90"/>
      <c r="BD249" s="88"/>
      <c r="BE249" s="88"/>
      <c r="BF249" s="111"/>
      <c r="BG249" s="112"/>
      <c r="BH249" s="113"/>
      <c r="BI249" s="112"/>
      <c r="BJ249" s="31"/>
      <c r="BK249" s="32"/>
      <c r="BL249" s="90"/>
      <c r="BM249" s="88"/>
      <c r="BN249" s="88"/>
      <c r="BO249" s="111"/>
      <c r="BP249" s="112"/>
      <c r="BQ249" s="113"/>
      <c r="BR249" s="112"/>
      <c r="BS249" s="31"/>
      <c r="BT249" s="32"/>
      <c r="BU249" s="90"/>
      <c r="BV249" s="88"/>
      <c r="BW249" s="88"/>
      <c r="BX249" s="111"/>
      <c r="BY249" s="112"/>
      <c r="BZ249" s="113"/>
      <c r="CA249" s="112"/>
      <c r="CB249" s="31"/>
      <c r="CC249" s="32"/>
      <c r="CD249" s="90"/>
      <c r="CE249" s="88"/>
      <c r="CF249" s="88"/>
      <c r="CG249" s="111"/>
      <c r="CH249" s="112"/>
      <c r="CI249" s="113"/>
      <c r="CJ249" s="112"/>
      <c r="CK249" s="31"/>
      <c r="CL249" s="32"/>
      <c r="CM249" s="90"/>
      <c r="CN249" s="88"/>
      <c r="CO249" s="88"/>
      <c r="CP249" s="111"/>
      <c r="CQ249" s="112"/>
      <c r="CR249" s="113"/>
      <c r="CS249" s="112"/>
      <c r="CT249" s="55"/>
      <c r="CV249" s="230" t="s">
        <v>686</v>
      </c>
      <c r="CX249" s="226" t="s">
        <v>1425</v>
      </c>
      <c r="CY249" s="226" t="s">
        <v>541</v>
      </c>
      <c r="CZ249" s="226" t="s">
        <v>541</v>
      </c>
      <c r="DA249" s="226" t="s">
        <v>541</v>
      </c>
      <c r="DB249" s="14"/>
      <c r="DC249" s="226" t="s">
        <v>541</v>
      </c>
      <c r="DD249" s="226" t="s">
        <v>1421</v>
      </c>
      <c r="DE249" s="226" t="s">
        <v>541</v>
      </c>
      <c r="DF249" s="226" t="s">
        <v>541</v>
      </c>
      <c r="DG249" s="226" t="s">
        <v>541</v>
      </c>
      <c r="DH249" s="14"/>
    </row>
    <row r="250" spans="1:112" ht="26" x14ac:dyDescent="0.25">
      <c r="A250" s="17" t="s">
        <v>577</v>
      </c>
      <c r="B250" s="17" t="s">
        <v>541</v>
      </c>
      <c r="C250" s="17" t="s">
        <v>614</v>
      </c>
      <c r="D250" s="17" t="s">
        <v>544</v>
      </c>
      <c r="E250" s="17" t="b">
        <f t="shared" si="37"/>
        <v>1</v>
      </c>
      <c r="F250" s="127" t="s">
        <v>577</v>
      </c>
      <c r="G250" s="248" t="s">
        <v>541</v>
      </c>
      <c r="H250" s="128" t="s">
        <v>614</v>
      </c>
      <c r="I250" s="128" t="s">
        <v>544</v>
      </c>
      <c r="J250" s="31"/>
      <c r="K250" s="102" t="s">
        <v>354</v>
      </c>
      <c r="L250" s="90" t="s">
        <v>31</v>
      </c>
      <c r="M250" s="111" t="s">
        <v>2470</v>
      </c>
      <c r="N250" s="112"/>
      <c r="O250" s="113"/>
      <c r="P250" s="112"/>
      <c r="Q250" s="31"/>
      <c r="R250" s="102"/>
      <c r="S250" s="90"/>
      <c r="T250" s="88" t="str">
        <f t="shared" si="35"/>
        <v>NA</v>
      </c>
      <c r="U250" s="88" t="str">
        <f t="shared" si="36"/>
        <v>YES</v>
      </c>
      <c r="V250" s="111"/>
      <c r="W250" s="112"/>
      <c r="X250" s="113"/>
      <c r="Y250" s="112"/>
      <c r="Z250" s="31"/>
      <c r="AA250" s="296"/>
      <c r="AB250" s="89"/>
      <c r="AC250" s="88" t="str">
        <f t="shared" si="38"/>
        <v>NA</v>
      </c>
      <c r="AD250" s="88" t="str">
        <f t="shared" si="39"/>
        <v>NA</v>
      </c>
      <c r="AE250" s="111"/>
      <c r="AF250" s="112"/>
      <c r="AG250" s="113"/>
      <c r="AH250" s="112"/>
      <c r="AI250" s="31"/>
      <c r="AJ250" s="294"/>
      <c r="AK250" s="89"/>
      <c r="AL250" s="88" t="str">
        <f t="shared" si="40"/>
        <v>NA</v>
      </c>
      <c r="AM250" s="88" t="str">
        <f t="shared" si="41"/>
        <v>NA</v>
      </c>
      <c r="AN250" s="111"/>
      <c r="AO250" s="112"/>
      <c r="AP250" s="113"/>
      <c r="AQ250" s="112"/>
      <c r="AR250" s="31"/>
      <c r="AS250" s="32"/>
      <c r="AT250" s="90"/>
      <c r="AU250" s="88"/>
      <c r="AV250" s="88"/>
      <c r="AW250" s="111"/>
      <c r="AX250" s="112"/>
      <c r="AY250" s="113"/>
      <c r="AZ250" s="112"/>
      <c r="BA250" s="31"/>
      <c r="BB250" s="32"/>
      <c r="BC250" s="90"/>
      <c r="BD250" s="88"/>
      <c r="BE250" s="88"/>
      <c r="BF250" s="111"/>
      <c r="BG250" s="112"/>
      <c r="BH250" s="113"/>
      <c r="BI250" s="112"/>
      <c r="BJ250" s="31"/>
      <c r="BK250" s="32"/>
      <c r="BL250" s="90"/>
      <c r="BM250" s="88"/>
      <c r="BN250" s="88"/>
      <c r="BO250" s="111"/>
      <c r="BP250" s="112"/>
      <c r="BQ250" s="113"/>
      <c r="BR250" s="112"/>
      <c r="BS250" s="31"/>
      <c r="BT250" s="32"/>
      <c r="BU250" s="90"/>
      <c r="BV250" s="88"/>
      <c r="BW250" s="88"/>
      <c r="BX250" s="111"/>
      <c r="BY250" s="112"/>
      <c r="BZ250" s="113"/>
      <c r="CA250" s="112"/>
      <c r="CB250" s="31"/>
      <c r="CC250" s="32"/>
      <c r="CD250" s="90"/>
      <c r="CE250" s="88"/>
      <c r="CF250" s="88"/>
      <c r="CG250" s="111"/>
      <c r="CH250" s="112"/>
      <c r="CI250" s="113"/>
      <c r="CJ250" s="112"/>
      <c r="CK250" s="31"/>
      <c r="CL250" s="32"/>
      <c r="CM250" s="90"/>
      <c r="CN250" s="88"/>
      <c r="CO250" s="88"/>
      <c r="CP250" s="111"/>
      <c r="CQ250" s="112"/>
      <c r="CR250" s="113"/>
      <c r="CS250" s="112"/>
      <c r="CT250" s="55"/>
      <c r="CV250" s="230" t="s">
        <v>544</v>
      </c>
      <c r="CX250" s="226" t="s">
        <v>541</v>
      </c>
      <c r="CY250" s="226" t="s">
        <v>1437</v>
      </c>
      <c r="CZ250" s="226" t="s">
        <v>541</v>
      </c>
      <c r="DA250" s="226" t="s">
        <v>541</v>
      </c>
      <c r="DB250" s="226"/>
      <c r="DC250" s="226" t="s">
        <v>541</v>
      </c>
      <c r="DD250" s="226" t="s">
        <v>541</v>
      </c>
      <c r="DE250" s="226" t="s">
        <v>541</v>
      </c>
      <c r="DF250" s="226" t="s">
        <v>541</v>
      </c>
      <c r="DG250" s="226" t="s">
        <v>541</v>
      </c>
      <c r="DH250" s="14"/>
    </row>
    <row r="251" spans="1:112" ht="52" x14ac:dyDescent="0.25">
      <c r="A251" s="17" t="s">
        <v>578</v>
      </c>
      <c r="B251" s="17" t="s">
        <v>541</v>
      </c>
      <c r="C251" s="17" t="s">
        <v>615</v>
      </c>
      <c r="D251" s="17" t="s">
        <v>687</v>
      </c>
      <c r="E251" s="17" t="b">
        <f t="shared" si="37"/>
        <v>1</v>
      </c>
      <c r="F251" s="127" t="s">
        <v>578</v>
      </c>
      <c r="G251" s="248" t="s">
        <v>541</v>
      </c>
      <c r="H251" s="128" t="s">
        <v>615</v>
      </c>
      <c r="I251" s="128" t="s">
        <v>687</v>
      </c>
      <c r="J251" s="31"/>
      <c r="K251" s="102" t="s">
        <v>354</v>
      </c>
      <c r="L251" s="90" t="s">
        <v>31</v>
      </c>
      <c r="M251" s="111" t="s">
        <v>2470</v>
      </c>
      <c r="N251" s="112"/>
      <c r="O251" s="113"/>
      <c r="P251" s="112"/>
      <c r="Q251" s="31"/>
      <c r="R251" s="102"/>
      <c r="S251" s="90"/>
      <c r="T251" s="88" t="str">
        <f t="shared" si="35"/>
        <v>NA</v>
      </c>
      <c r="U251" s="88" t="str">
        <f t="shared" si="36"/>
        <v>YES</v>
      </c>
      <c r="V251" s="111"/>
      <c r="W251" s="112"/>
      <c r="X251" s="113"/>
      <c r="Y251" s="112"/>
      <c r="Z251" s="31"/>
      <c r="AA251" s="296"/>
      <c r="AB251" s="89"/>
      <c r="AC251" s="88" t="str">
        <f t="shared" si="38"/>
        <v>NA</v>
      </c>
      <c r="AD251" s="88" t="str">
        <f t="shared" si="39"/>
        <v>NA</v>
      </c>
      <c r="AE251" s="111"/>
      <c r="AF251" s="112"/>
      <c r="AG251" s="113"/>
      <c r="AH251" s="112"/>
      <c r="AI251" s="31"/>
      <c r="AJ251" s="294"/>
      <c r="AK251" s="89"/>
      <c r="AL251" s="88" t="str">
        <f t="shared" si="40"/>
        <v>NA</v>
      </c>
      <c r="AM251" s="88" t="str">
        <f t="shared" si="41"/>
        <v>NA</v>
      </c>
      <c r="AN251" s="111"/>
      <c r="AO251" s="112"/>
      <c r="AP251" s="113"/>
      <c r="AQ251" s="112"/>
      <c r="AR251" s="31"/>
      <c r="AS251" s="32"/>
      <c r="AT251" s="90"/>
      <c r="AU251" s="88"/>
      <c r="AV251" s="88"/>
      <c r="AW251" s="111"/>
      <c r="AX251" s="112"/>
      <c r="AY251" s="113"/>
      <c r="AZ251" s="112"/>
      <c r="BA251" s="31"/>
      <c r="BB251" s="32"/>
      <c r="BC251" s="90"/>
      <c r="BD251" s="88"/>
      <c r="BE251" s="88"/>
      <c r="BF251" s="111"/>
      <c r="BG251" s="112"/>
      <c r="BH251" s="113"/>
      <c r="BI251" s="112"/>
      <c r="BJ251" s="31"/>
      <c r="BK251" s="32"/>
      <c r="BL251" s="90"/>
      <c r="BM251" s="88"/>
      <c r="BN251" s="88"/>
      <c r="BO251" s="111"/>
      <c r="BP251" s="112"/>
      <c r="BQ251" s="113"/>
      <c r="BR251" s="112"/>
      <c r="BS251" s="31"/>
      <c r="BT251" s="32"/>
      <c r="BU251" s="90"/>
      <c r="BV251" s="88"/>
      <c r="BW251" s="88"/>
      <c r="BX251" s="111"/>
      <c r="BY251" s="112"/>
      <c r="BZ251" s="113"/>
      <c r="CA251" s="112"/>
      <c r="CB251" s="31"/>
      <c r="CC251" s="32"/>
      <c r="CD251" s="90"/>
      <c r="CE251" s="88"/>
      <c r="CF251" s="88"/>
      <c r="CG251" s="111"/>
      <c r="CH251" s="112"/>
      <c r="CI251" s="113"/>
      <c r="CJ251" s="112"/>
      <c r="CK251" s="31"/>
      <c r="CL251" s="32"/>
      <c r="CM251" s="90"/>
      <c r="CN251" s="88"/>
      <c r="CO251" s="88"/>
      <c r="CP251" s="111"/>
      <c r="CQ251" s="112"/>
      <c r="CR251" s="113"/>
      <c r="CS251" s="112"/>
      <c r="CT251" s="55"/>
      <c r="CV251" s="230" t="s">
        <v>687</v>
      </c>
      <c r="CX251" s="226" t="s">
        <v>541</v>
      </c>
      <c r="CY251" s="226" t="s">
        <v>541</v>
      </c>
      <c r="CZ251" s="226" t="s">
        <v>541</v>
      </c>
      <c r="DA251" s="226" t="s">
        <v>541</v>
      </c>
      <c r="DB251" s="226"/>
      <c r="DC251" s="226" t="s">
        <v>541</v>
      </c>
      <c r="DD251" s="226" t="s">
        <v>541</v>
      </c>
      <c r="DE251" s="226" t="s">
        <v>541</v>
      </c>
      <c r="DF251" s="226" t="s">
        <v>541</v>
      </c>
      <c r="DG251" s="226" t="s">
        <v>541</v>
      </c>
      <c r="DH251" s="14"/>
    </row>
    <row r="252" spans="1:112" ht="65" x14ac:dyDescent="0.25">
      <c r="A252" s="17" t="s">
        <v>579</v>
      </c>
      <c r="B252" s="17" t="s">
        <v>541</v>
      </c>
      <c r="C252" s="17" t="s">
        <v>616</v>
      </c>
      <c r="D252" s="17" t="s">
        <v>688</v>
      </c>
      <c r="E252" s="17" t="b">
        <f t="shared" si="37"/>
        <v>1</v>
      </c>
      <c r="F252" s="127" t="s">
        <v>579</v>
      </c>
      <c r="G252" s="248" t="s">
        <v>541</v>
      </c>
      <c r="H252" s="128" t="s">
        <v>616</v>
      </c>
      <c r="I252" s="128" t="s">
        <v>688</v>
      </c>
      <c r="J252" s="31"/>
      <c r="K252" s="102" t="s">
        <v>354</v>
      </c>
      <c r="L252" s="90"/>
      <c r="M252" s="111"/>
      <c r="N252" s="112"/>
      <c r="O252" s="113"/>
      <c r="P252" s="112"/>
      <c r="Q252" s="31"/>
      <c r="R252" s="102"/>
      <c r="S252" s="90"/>
      <c r="T252" s="88" t="str">
        <f t="shared" si="35"/>
        <v>NA</v>
      </c>
      <c r="U252" s="88" t="str">
        <f t="shared" si="36"/>
        <v>NA</v>
      </c>
      <c r="V252" s="111"/>
      <c r="W252" s="112"/>
      <c r="X252" s="113"/>
      <c r="Y252" s="112"/>
      <c r="Z252" s="31"/>
      <c r="AA252" s="296"/>
      <c r="AB252" s="89"/>
      <c r="AC252" s="88" t="str">
        <f t="shared" si="38"/>
        <v>NA</v>
      </c>
      <c r="AD252" s="88" t="str">
        <f t="shared" si="39"/>
        <v>NA</v>
      </c>
      <c r="AE252" s="111"/>
      <c r="AF252" s="112"/>
      <c r="AG252" s="113"/>
      <c r="AH252" s="112"/>
      <c r="AI252" s="31"/>
      <c r="AJ252" s="294"/>
      <c r="AK252" s="89"/>
      <c r="AL252" s="88" t="str">
        <f t="shared" si="40"/>
        <v>NA</v>
      </c>
      <c r="AM252" s="88" t="str">
        <f t="shared" si="41"/>
        <v>NA</v>
      </c>
      <c r="AN252" s="111"/>
      <c r="AO252" s="112"/>
      <c r="AP252" s="113"/>
      <c r="AQ252" s="112"/>
      <c r="AR252" s="31"/>
      <c r="AS252" s="32"/>
      <c r="AT252" s="90"/>
      <c r="AU252" s="88"/>
      <c r="AV252" s="88"/>
      <c r="AW252" s="111"/>
      <c r="AX252" s="112"/>
      <c r="AY252" s="113"/>
      <c r="AZ252" s="112"/>
      <c r="BA252" s="31"/>
      <c r="BB252" s="32"/>
      <c r="BC252" s="90"/>
      <c r="BD252" s="88"/>
      <c r="BE252" s="88"/>
      <c r="BF252" s="111"/>
      <c r="BG252" s="112"/>
      <c r="BH252" s="113"/>
      <c r="BI252" s="112"/>
      <c r="BJ252" s="31"/>
      <c r="BK252" s="32"/>
      <c r="BL252" s="90"/>
      <c r="BM252" s="88"/>
      <c r="BN252" s="88"/>
      <c r="BO252" s="111"/>
      <c r="BP252" s="112"/>
      <c r="BQ252" s="113"/>
      <c r="BR252" s="112"/>
      <c r="BS252" s="31"/>
      <c r="BT252" s="32"/>
      <c r="BU252" s="90"/>
      <c r="BV252" s="88"/>
      <c r="BW252" s="88"/>
      <c r="BX252" s="111"/>
      <c r="BY252" s="112"/>
      <c r="BZ252" s="113"/>
      <c r="CA252" s="112"/>
      <c r="CB252" s="31"/>
      <c r="CC252" s="32"/>
      <c r="CD252" s="90"/>
      <c r="CE252" s="88"/>
      <c r="CF252" s="88"/>
      <c r="CG252" s="111"/>
      <c r="CH252" s="112"/>
      <c r="CI252" s="113"/>
      <c r="CJ252" s="112"/>
      <c r="CK252" s="31"/>
      <c r="CL252" s="32"/>
      <c r="CM252" s="90"/>
      <c r="CN252" s="88"/>
      <c r="CO252" s="88"/>
      <c r="CP252" s="111"/>
      <c r="CQ252" s="112"/>
      <c r="CR252" s="113"/>
      <c r="CS252" s="112"/>
      <c r="CT252" s="55"/>
      <c r="CV252" s="230" t="s">
        <v>688</v>
      </c>
      <c r="CX252" s="226" t="s">
        <v>541</v>
      </c>
      <c r="CY252" s="226" t="s">
        <v>541</v>
      </c>
      <c r="CZ252" s="226" t="s">
        <v>541</v>
      </c>
      <c r="DA252" s="226" t="s">
        <v>541</v>
      </c>
      <c r="DB252" s="226"/>
      <c r="DC252" s="226" t="s">
        <v>541</v>
      </c>
      <c r="DD252" s="226" t="s">
        <v>541</v>
      </c>
      <c r="DE252" s="226" t="s">
        <v>541</v>
      </c>
      <c r="DF252" s="226" t="s">
        <v>541</v>
      </c>
      <c r="DG252" s="226" t="s">
        <v>541</v>
      </c>
      <c r="DH252" s="14"/>
    </row>
    <row r="253" spans="1:112" ht="104" x14ac:dyDescent="0.25">
      <c r="A253" s="17" t="s">
        <v>506</v>
      </c>
      <c r="B253" s="17" t="s">
        <v>541</v>
      </c>
      <c r="C253" s="17" t="s">
        <v>92</v>
      </c>
      <c r="D253" s="17" t="s">
        <v>689</v>
      </c>
      <c r="E253" s="17" t="b">
        <f t="shared" si="37"/>
        <v>1</v>
      </c>
      <c r="F253" s="127" t="s">
        <v>506</v>
      </c>
      <c r="G253" s="248" t="s">
        <v>541</v>
      </c>
      <c r="H253" s="128" t="s">
        <v>92</v>
      </c>
      <c r="I253" s="128" t="s">
        <v>689</v>
      </c>
      <c r="J253" s="31"/>
      <c r="K253" s="102" t="s">
        <v>354</v>
      </c>
      <c r="L253" s="90"/>
      <c r="M253" s="111"/>
      <c r="N253" s="112"/>
      <c r="O253" s="113"/>
      <c r="P253" s="112"/>
      <c r="Q253" s="31"/>
      <c r="R253" s="102"/>
      <c r="S253" s="90"/>
      <c r="T253" s="88" t="str">
        <f t="shared" ref="T253:T288" si="42">IF(LEFT(S253,1)&lt;&gt;"x","NA",IF(RIGHT(R253,3)=RIGHT(K253,3),IF(RIGHT(R253,3)&lt;&gt;RIGHT(K253,3),IF(OR(AND(RIGHT(R253,3)=RIGHT(K253,3),S253=L253)),"NO","YES"),"NO"),IF(OR(RIGHT(R253,3)=RIGHT(K253,3)),"ERROR","YES")))</f>
        <v>NA</v>
      </c>
      <c r="U253" s="88" t="str">
        <f t="shared" ref="U253:U288" si="43">IF(LEFT(L253,1)&lt;&gt;LEFT(S253,1),"YES",IF(LEFT(S253,1)="x","NO","NA"))</f>
        <v>NA</v>
      </c>
      <c r="V253" s="111"/>
      <c r="W253" s="112"/>
      <c r="X253" s="113"/>
      <c r="Y253" s="112"/>
      <c r="Z253" s="31"/>
      <c r="AA253" s="296"/>
      <c r="AB253" s="89"/>
      <c r="AC253" s="88" t="str">
        <f t="shared" si="38"/>
        <v>NA</v>
      </c>
      <c r="AD253" s="88" t="str">
        <f t="shared" si="39"/>
        <v>NA</v>
      </c>
      <c r="AE253" s="111"/>
      <c r="AF253" s="112"/>
      <c r="AG253" s="113"/>
      <c r="AH253" s="112"/>
      <c r="AI253" s="31"/>
      <c r="AJ253" s="294"/>
      <c r="AK253" s="89"/>
      <c r="AL253" s="88" t="str">
        <f t="shared" si="40"/>
        <v>NA</v>
      </c>
      <c r="AM253" s="88" t="str">
        <f t="shared" si="41"/>
        <v>NA</v>
      </c>
      <c r="AN253" s="111"/>
      <c r="AO253" s="112"/>
      <c r="AP253" s="113"/>
      <c r="AQ253" s="112"/>
      <c r="AR253" s="31"/>
      <c r="AS253" s="32"/>
      <c r="AT253" s="90"/>
      <c r="AU253" s="88"/>
      <c r="AV253" s="88"/>
      <c r="AW253" s="111"/>
      <c r="AX253" s="112"/>
      <c r="AY253" s="113"/>
      <c r="AZ253" s="112"/>
      <c r="BA253" s="31"/>
      <c r="BB253" s="32"/>
      <c r="BC253" s="90"/>
      <c r="BD253" s="88"/>
      <c r="BE253" s="88"/>
      <c r="BF253" s="111"/>
      <c r="BG253" s="112"/>
      <c r="BH253" s="113"/>
      <c r="BI253" s="112"/>
      <c r="BJ253" s="31"/>
      <c r="BK253" s="32"/>
      <c r="BL253" s="90"/>
      <c r="BM253" s="88"/>
      <c r="BN253" s="88"/>
      <c r="BO253" s="111"/>
      <c r="BP253" s="112"/>
      <c r="BQ253" s="113"/>
      <c r="BR253" s="112"/>
      <c r="BS253" s="31"/>
      <c r="BT253" s="32"/>
      <c r="BU253" s="90"/>
      <c r="BV253" s="88"/>
      <c r="BW253" s="88"/>
      <c r="BX253" s="111"/>
      <c r="BY253" s="112"/>
      <c r="BZ253" s="113"/>
      <c r="CA253" s="112"/>
      <c r="CB253" s="31"/>
      <c r="CC253" s="32"/>
      <c r="CD253" s="90"/>
      <c r="CE253" s="88"/>
      <c r="CF253" s="88"/>
      <c r="CG253" s="111"/>
      <c r="CH253" s="112"/>
      <c r="CI253" s="113"/>
      <c r="CJ253" s="112"/>
      <c r="CK253" s="31"/>
      <c r="CL253" s="32"/>
      <c r="CM253" s="90"/>
      <c r="CN253" s="88"/>
      <c r="CO253" s="88"/>
      <c r="CP253" s="111"/>
      <c r="CQ253" s="112"/>
      <c r="CR253" s="113"/>
      <c r="CS253" s="112"/>
      <c r="CT253" s="55"/>
      <c r="CV253" s="230" t="s">
        <v>689</v>
      </c>
      <c r="CX253" s="226" t="s">
        <v>1424</v>
      </c>
      <c r="CY253" s="226" t="s">
        <v>541</v>
      </c>
      <c r="CZ253" s="226" t="s">
        <v>541</v>
      </c>
      <c r="DA253" s="226" t="s">
        <v>541</v>
      </c>
      <c r="DB253" s="226"/>
      <c r="DC253" s="226" t="s">
        <v>541</v>
      </c>
      <c r="DD253" s="226" t="s">
        <v>1421</v>
      </c>
      <c r="DE253" s="226" t="s">
        <v>541</v>
      </c>
      <c r="DF253" s="226" t="s">
        <v>541</v>
      </c>
      <c r="DG253" s="226" t="s">
        <v>541</v>
      </c>
      <c r="DH253" s="14"/>
    </row>
    <row r="254" spans="1:112" ht="104" x14ac:dyDescent="0.25">
      <c r="A254" s="17" t="s">
        <v>507</v>
      </c>
      <c r="B254" s="17" t="s">
        <v>541</v>
      </c>
      <c r="C254" s="17" t="s">
        <v>91</v>
      </c>
      <c r="D254" s="17" t="s">
        <v>690</v>
      </c>
      <c r="E254" s="17" t="b">
        <f t="shared" si="37"/>
        <v>1</v>
      </c>
      <c r="F254" s="127" t="s">
        <v>507</v>
      </c>
      <c r="G254" s="248" t="s">
        <v>541</v>
      </c>
      <c r="H254" s="128" t="s">
        <v>91</v>
      </c>
      <c r="I254" s="128" t="s">
        <v>690</v>
      </c>
      <c r="J254" s="31"/>
      <c r="K254" s="102" t="s">
        <v>354</v>
      </c>
      <c r="L254" s="90"/>
      <c r="M254" s="111"/>
      <c r="N254" s="112"/>
      <c r="O254" s="113"/>
      <c r="P254" s="112"/>
      <c r="Q254" s="31"/>
      <c r="R254" s="102"/>
      <c r="S254" s="90"/>
      <c r="T254" s="88" t="str">
        <f t="shared" si="42"/>
        <v>NA</v>
      </c>
      <c r="U254" s="88" t="str">
        <f t="shared" si="43"/>
        <v>NA</v>
      </c>
      <c r="V254" s="111"/>
      <c r="W254" s="112"/>
      <c r="X254" s="113"/>
      <c r="Y254" s="112"/>
      <c r="Z254" s="31"/>
      <c r="AA254" s="296"/>
      <c r="AB254" s="89"/>
      <c r="AC254" s="88" t="str">
        <f t="shared" si="38"/>
        <v>NA</v>
      </c>
      <c r="AD254" s="88" t="str">
        <f t="shared" si="39"/>
        <v>NA</v>
      </c>
      <c r="AE254" s="111"/>
      <c r="AF254" s="112"/>
      <c r="AG254" s="113"/>
      <c r="AH254" s="112"/>
      <c r="AI254" s="31"/>
      <c r="AJ254" s="294"/>
      <c r="AK254" s="89"/>
      <c r="AL254" s="88" t="str">
        <f t="shared" si="40"/>
        <v>NA</v>
      </c>
      <c r="AM254" s="88" t="str">
        <f t="shared" si="41"/>
        <v>NA</v>
      </c>
      <c r="AN254" s="111"/>
      <c r="AO254" s="112"/>
      <c r="AP254" s="113"/>
      <c r="AQ254" s="112"/>
      <c r="AR254" s="31"/>
      <c r="AS254" s="32"/>
      <c r="AT254" s="90"/>
      <c r="AU254" s="88"/>
      <c r="AV254" s="88"/>
      <c r="AW254" s="111"/>
      <c r="AX254" s="112"/>
      <c r="AY254" s="113"/>
      <c r="AZ254" s="112"/>
      <c r="BA254" s="31"/>
      <c r="BB254" s="32"/>
      <c r="BC254" s="90"/>
      <c r="BD254" s="88"/>
      <c r="BE254" s="88"/>
      <c r="BF254" s="111"/>
      <c r="BG254" s="112"/>
      <c r="BH254" s="113"/>
      <c r="BI254" s="112"/>
      <c r="BJ254" s="31"/>
      <c r="BK254" s="32"/>
      <c r="BL254" s="90"/>
      <c r="BM254" s="88"/>
      <c r="BN254" s="88"/>
      <c r="BO254" s="111"/>
      <c r="BP254" s="112"/>
      <c r="BQ254" s="113"/>
      <c r="BR254" s="112"/>
      <c r="BS254" s="31"/>
      <c r="BT254" s="32"/>
      <c r="BU254" s="90"/>
      <c r="BV254" s="88"/>
      <c r="BW254" s="88"/>
      <c r="BX254" s="111"/>
      <c r="BY254" s="112"/>
      <c r="BZ254" s="113"/>
      <c r="CA254" s="112"/>
      <c r="CB254" s="31"/>
      <c r="CC254" s="32"/>
      <c r="CD254" s="90"/>
      <c r="CE254" s="88"/>
      <c r="CF254" s="88"/>
      <c r="CG254" s="111"/>
      <c r="CH254" s="112"/>
      <c r="CI254" s="113"/>
      <c r="CJ254" s="112"/>
      <c r="CK254" s="31"/>
      <c r="CL254" s="32"/>
      <c r="CM254" s="90"/>
      <c r="CN254" s="88"/>
      <c r="CO254" s="88"/>
      <c r="CP254" s="111"/>
      <c r="CQ254" s="112"/>
      <c r="CR254" s="113"/>
      <c r="CS254" s="112"/>
      <c r="CT254" s="55"/>
      <c r="CV254" s="230" t="s">
        <v>690</v>
      </c>
      <c r="CX254" s="226" t="s">
        <v>1425</v>
      </c>
      <c r="CY254" s="226" t="s">
        <v>541</v>
      </c>
      <c r="CZ254" s="226" t="s">
        <v>541</v>
      </c>
      <c r="DA254" s="226" t="s">
        <v>541</v>
      </c>
      <c r="DB254" s="14"/>
      <c r="DC254" s="226" t="s">
        <v>541</v>
      </c>
      <c r="DD254" s="226" t="s">
        <v>1421</v>
      </c>
      <c r="DE254" s="226" t="s">
        <v>541</v>
      </c>
      <c r="DF254" s="226" t="s">
        <v>541</v>
      </c>
      <c r="DG254" s="226" t="s">
        <v>541</v>
      </c>
      <c r="DH254" s="14"/>
    </row>
    <row r="255" spans="1:112" ht="26" x14ac:dyDescent="0.25">
      <c r="A255" s="17" t="s">
        <v>508</v>
      </c>
      <c r="B255" s="17" t="s">
        <v>541</v>
      </c>
      <c r="C255" s="17" t="s">
        <v>89</v>
      </c>
      <c r="D255" s="17" t="s">
        <v>90</v>
      </c>
      <c r="E255" s="17" t="b">
        <f t="shared" si="37"/>
        <v>1</v>
      </c>
      <c r="F255" s="127" t="s">
        <v>508</v>
      </c>
      <c r="G255" s="248" t="s">
        <v>541</v>
      </c>
      <c r="H255" s="128" t="s">
        <v>89</v>
      </c>
      <c r="I255" s="128" t="s">
        <v>90</v>
      </c>
      <c r="J255" s="31"/>
      <c r="K255" s="102" t="s">
        <v>354</v>
      </c>
      <c r="L255" s="90"/>
      <c r="M255" s="111"/>
      <c r="N255" s="112"/>
      <c r="O255" s="113"/>
      <c r="P255" s="112"/>
      <c r="Q255" s="31"/>
      <c r="R255" s="102"/>
      <c r="S255" s="90"/>
      <c r="T255" s="88" t="str">
        <f t="shared" si="42"/>
        <v>NA</v>
      </c>
      <c r="U255" s="88" t="str">
        <f t="shared" si="43"/>
        <v>NA</v>
      </c>
      <c r="V255" s="111"/>
      <c r="W255" s="112"/>
      <c r="X255" s="113"/>
      <c r="Y255" s="112"/>
      <c r="Z255" s="31"/>
      <c r="AA255" s="296"/>
      <c r="AB255" s="89"/>
      <c r="AC255" s="88" t="str">
        <f t="shared" si="38"/>
        <v>NA</v>
      </c>
      <c r="AD255" s="88" t="str">
        <f t="shared" si="39"/>
        <v>NA</v>
      </c>
      <c r="AE255" s="111"/>
      <c r="AF255" s="112"/>
      <c r="AG255" s="113"/>
      <c r="AH255" s="112"/>
      <c r="AI255" s="31"/>
      <c r="AJ255" s="294"/>
      <c r="AK255" s="89"/>
      <c r="AL255" s="88" t="str">
        <f t="shared" si="40"/>
        <v>NA</v>
      </c>
      <c r="AM255" s="88" t="str">
        <f t="shared" si="41"/>
        <v>NA</v>
      </c>
      <c r="AN255" s="111"/>
      <c r="AO255" s="112"/>
      <c r="AP255" s="113"/>
      <c r="AQ255" s="112"/>
      <c r="AR255" s="31"/>
      <c r="AS255" s="32"/>
      <c r="AT255" s="90"/>
      <c r="AU255" s="88"/>
      <c r="AV255" s="88"/>
      <c r="AW255" s="111"/>
      <c r="AX255" s="112"/>
      <c r="AY255" s="113"/>
      <c r="AZ255" s="112"/>
      <c r="BA255" s="31"/>
      <c r="BB255" s="32"/>
      <c r="BC255" s="90"/>
      <c r="BD255" s="88"/>
      <c r="BE255" s="88"/>
      <c r="BF255" s="111"/>
      <c r="BG255" s="112"/>
      <c r="BH255" s="113"/>
      <c r="BI255" s="112"/>
      <c r="BJ255" s="31"/>
      <c r="BK255" s="32"/>
      <c r="BL255" s="90"/>
      <c r="BM255" s="88"/>
      <c r="BN255" s="88"/>
      <c r="BO255" s="111"/>
      <c r="BP255" s="112"/>
      <c r="BQ255" s="113"/>
      <c r="BR255" s="112"/>
      <c r="BS255" s="31"/>
      <c r="BT255" s="32"/>
      <c r="BU255" s="90"/>
      <c r="BV255" s="88"/>
      <c r="BW255" s="88"/>
      <c r="BX255" s="111"/>
      <c r="BY255" s="112"/>
      <c r="BZ255" s="113"/>
      <c r="CA255" s="112"/>
      <c r="CB255" s="31"/>
      <c r="CC255" s="32"/>
      <c r="CD255" s="90"/>
      <c r="CE255" s="88"/>
      <c r="CF255" s="88"/>
      <c r="CG255" s="111"/>
      <c r="CH255" s="112"/>
      <c r="CI255" s="113"/>
      <c r="CJ255" s="112"/>
      <c r="CK255" s="31"/>
      <c r="CL255" s="32"/>
      <c r="CM255" s="90"/>
      <c r="CN255" s="88"/>
      <c r="CO255" s="88"/>
      <c r="CP255" s="111"/>
      <c r="CQ255" s="112"/>
      <c r="CR255" s="113"/>
      <c r="CS255" s="112"/>
      <c r="CT255" s="55"/>
      <c r="CV255" s="230" t="s">
        <v>90</v>
      </c>
      <c r="CX255" s="226" t="s">
        <v>1424</v>
      </c>
      <c r="CY255" s="226" t="s">
        <v>541</v>
      </c>
      <c r="CZ255" s="226" t="s">
        <v>541</v>
      </c>
      <c r="DA255" s="226" t="s">
        <v>541</v>
      </c>
      <c r="DB255" s="226"/>
      <c r="DC255" s="226" t="s">
        <v>541</v>
      </c>
      <c r="DD255" s="226" t="s">
        <v>541</v>
      </c>
      <c r="DE255" s="226" t="s">
        <v>541</v>
      </c>
      <c r="DF255" s="226" t="s">
        <v>541</v>
      </c>
      <c r="DG255" s="226" t="s">
        <v>541</v>
      </c>
      <c r="DH255" s="14"/>
    </row>
    <row r="256" spans="1:112" ht="26" x14ac:dyDescent="0.25">
      <c r="A256" s="17" t="s">
        <v>509</v>
      </c>
      <c r="B256" s="17" t="s">
        <v>541</v>
      </c>
      <c r="C256" s="17" t="s">
        <v>87</v>
      </c>
      <c r="D256" s="17" t="s">
        <v>88</v>
      </c>
      <c r="E256" s="17" t="b">
        <f t="shared" si="37"/>
        <v>1</v>
      </c>
      <c r="F256" s="127" t="s">
        <v>509</v>
      </c>
      <c r="G256" s="248" t="s">
        <v>541</v>
      </c>
      <c r="H256" s="128" t="s">
        <v>87</v>
      </c>
      <c r="I256" s="128" t="s">
        <v>88</v>
      </c>
      <c r="J256" s="31"/>
      <c r="K256" s="102" t="s">
        <v>354</v>
      </c>
      <c r="L256" s="90"/>
      <c r="M256" s="111"/>
      <c r="N256" s="112"/>
      <c r="O256" s="113"/>
      <c r="P256" s="112"/>
      <c r="Q256" s="31"/>
      <c r="R256" s="102"/>
      <c r="S256" s="90"/>
      <c r="T256" s="88" t="str">
        <f t="shared" si="42"/>
        <v>NA</v>
      </c>
      <c r="U256" s="88" t="str">
        <f t="shared" si="43"/>
        <v>NA</v>
      </c>
      <c r="V256" s="111"/>
      <c r="W256" s="112"/>
      <c r="X256" s="113"/>
      <c r="Y256" s="112"/>
      <c r="Z256" s="31"/>
      <c r="AA256" s="296"/>
      <c r="AB256" s="89"/>
      <c r="AC256" s="88" t="str">
        <f t="shared" si="38"/>
        <v>NA</v>
      </c>
      <c r="AD256" s="88" t="str">
        <f t="shared" si="39"/>
        <v>NA</v>
      </c>
      <c r="AE256" s="111"/>
      <c r="AF256" s="112"/>
      <c r="AG256" s="113"/>
      <c r="AH256" s="112"/>
      <c r="AI256" s="31"/>
      <c r="AJ256" s="294"/>
      <c r="AK256" s="89"/>
      <c r="AL256" s="88" t="str">
        <f t="shared" si="40"/>
        <v>NA</v>
      </c>
      <c r="AM256" s="88" t="str">
        <f t="shared" si="41"/>
        <v>NA</v>
      </c>
      <c r="AN256" s="111"/>
      <c r="AO256" s="112"/>
      <c r="AP256" s="113"/>
      <c r="AQ256" s="112"/>
      <c r="AR256" s="31"/>
      <c r="AS256" s="32"/>
      <c r="AT256" s="90"/>
      <c r="AU256" s="88"/>
      <c r="AV256" s="88"/>
      <c r="AW256" s="111"/>
      <c r="AX256" s="112"/>
      <c r="AY256" s="113"/>
      <c r="AZ256" s="112"/>
      <c r="BA256" s="31"/>
      <c r="BB256" s="32"/>
      <c r="BC256" s="90"/>
      <c r="BD256" s="88"/>
      <c r="BE256" s="88"/>
      <c r="BF256" s="111"/>
      <c r="BG256" s="112"/>
      <c r="BH256" s="113"/>
      <c r="BI256" s="112"/>
      <c r="BJ256" s="31"/>
      <c r="BK256" s="32"/>
      <c r="BL256" s="90"/>
      <c r="BM256" s="88"/>
      <c r="BN256" s="88"/>
      <c r="BO256" s="111"/>
      <c r="BP256" s="112"/>
      <c r="BQ256" s="113"/>
      <c r="BR256" s="112"/>
      <c r="BS256" s="31"/>
      <c r="BT256" s="32"/>
      <c r="BU256" s="90"/>
      <c r="BV256" s="88"/>
      <c r="BW256" s="88"/>
      <c r="BX256" s="111"/>
      <c r="BY256" s="112"/>
      <c r="BZ256" s="113"/>
      <c r="CA256" s="112"/>
      <c r="CB256" s="31"/>
      <c r="CC256" s="32"/>
      <c r="CD256" s="90"/>
      <c r="CE256" s="88"/>
      <c r="CF256" s="88"/>
      <c r="CG256" s="111"/>
      <c r="CH256" s="112"/>
      <c r="CI256" s="113"/>
      <c r="CJ256" s="112"/>
      <c r="CK256" s="31"/>
      <c r="CL256" s="32"/>
      <c r="CM256" s="90"/>
      <c r="CN256" s="88"/>
      <c r="CO256" s="88"/>
      <c r="CP256" s="111"/>
      <c r="CQ256" s="112"/>
      <c r="CR256" s="113"/>
      <c r="CS256" s="112"/>
      <c r="CT256" s="55"/>
      <c r="CV256" s="230" t="s">
        <v>88</v>
      </c>
      <c r="CX256" s="226" t="s">
        <v>1424</v>
      </c>
      <c r="CY256" s="226" t="s">
        <v>1431</v>
      </c>
      <c r="CZ256" s="226" t="s">
        <v>541</v>
      </c>
      <c r="DA256" s="226" t="s">
        <v>541</v>
      </c>
      <c r="DB256" s="14"/>
      <c r="DC256" s="226" t="s">
        <v>541</v>
      </c>
      <c r="DD256" s="226" t="s">
        <v>1421</v>
      </c>
      <c r="DE256" s="226" t="s">
        <v>541</v>
      </c>
      <c r="DF256" s="226" t="s">
        <v>541</v>
      </c>
      <c r="DG256" s="226" t="s">
        <v>541</v>
      </c>
      <c r="DH256" s="14"/>
    </row>
    <row r="257" spans="1:112" ht="26" x14ac:dyDescent="0.25">
      <c r="A257" s="17" t="s">
        <v>510</v>
      </c>
      <c r="B257" s="17" t="s">
        <v>541</v>
      </c>
      <c r="C257" s="17" t="s">
        <v>85</v>
      </c>
      <c r="D257" s="17" t="s">
        <v>86</v>
      </c>
      <c r="E257" s="17" t="b">
        <f t="shared" si="37"/>
        <v>1</v>
      </c>
      <c r="F257" s="127" t="s">
        <v>510</v>
      </c>
      <c r="G257" s="248" t="s">
        <v>541</v>
      </c>
      <c r="H257" s="128" t="s">
        <v>85</v>
      </c>
      <c r="I257" s="128" t="s">
        <v>86</v>
      </c>
      <c r="J257" s="31"/>
      <c r="K257" s="102" t="s">
        <v>354</v>
      </c>
      <c r="L257" s="90"/>
      <c r="M257" s="111"/>
      <c r="N257" s="112"/>
      <c r="O257" s="113"/>
      <c r="P257" s="112"/>
      <c r="Q257" s="31"/>
      <c r="R257" s="102"/>
      <c r="S257" s="90"/>
      <c r="T257" s="88" t="str">
        <f t="shared" si="42"/>
        <v>NA</v>
      </c>
      <c r="U257" s="88" t="str">
        <f t="shared" si="43"/>
        <v>NA</v>
      </c>
      <c r="V257" s="111"/>
      <c r="W257" s="112"/>
      <c r="X257" s="113"/>
      <c r="Y257" s="112"/>
      <c r="Z257" s="31"/>
      <c r="AA257" s="296"/>
      <c r="AB257" s="89"/>
      <c r="AC257" s="88" t="str">
        <f t="shared" si="38"/>
        <v>NA</v>
      </c>
      <c r="AD257" s="88" t="str">
        <f t="shared" si="39"/>
        <v>NA</v>
      </c>
      <c r="AE257" s="111"/>
      <c r="AF257" s="112"/>
      <c r="AG257" s="113"/>
      <c r="AH257" s="112"/>
      <c r="AI257" s="31"/>
      <c r="AJ257" s="294"/>
      <c r="AK257" s="89"/>
      <c r="AL257" s="88" t="str">
        <f t="shared" si="40"/>
        <v>NA</v>
      </c>
      <c r="AM257" s="88" t="str">
        <f t="shared" si="41"/>
        <v>NA</v>
      </c>
      <c r="AN257" s="111"/>
      <c r="AO257" s="112"/>
      <c r="AP257" s="113"/>
      <c r="AQ257" s="112"/>
      <c r="AR257" s="31"/>
      <c r="AS257" s="32"/>
      <c r="AT257" s="90"/>
      <c r="AU257" s="88"/>
      <c r="AV257" s="88"/>
      <c r="AW257" s="111"/>
      <c r="AX257" s="112"/>
      <c r="AY257" s="113"/>
      <c r="AZ257" s="112"/>
      <c r="BA257" s="31"/>
      <c r="BB257" s="32"/>
      <c r="BC257" s="90"/>
      <c r="BD257" s="88"/>
      <c r="BE257" s="88"/>
      <c r="BF257" s="111"/>
      <c r="BG257" s="112"/>
      <c r="BH257" s="113"/>
      <c r="BI257" s="112"/>
      <c r="BJ257" s="31"/>
      <c r="BK257" s="32"/>
      <c r="BL257" s="90"/>
      <c r="BM257" s="88"/>
      <c r="BN257" s="88"/>
      <c r="BO257" s="111"/>
      <c r="BP257" s="112"/>
      <c r="BQ257" s="113"/>
      <c r="BR257" s="112"/>
      <c r="BS257" s="31"/>
      <c r="BT257" s="32"/>
      <c r="BU257" s="90"/>
      <c r="BV257" s="88"/>
      <c r="BW257" s="88"/>
      <c r="BX257" s="111"/>
      <c r="BY257" s="112"/>
      <c r="BZ257" s="113"/>
      <c r="CA257" s="112"/>
      <c r="CB257" s="31"/>
      <c r="CC257" s="32"/>
      <c r="CD257" s="90"/>
      <c r="CE257" s="88"/>
      <c r="CF257" s="88"/>
      <c r="CG257" s="111"/>
      <c r="CH257" s="112"/>
      <c r="CI257" s="113"/>
      <c r="CJ257" s="112"/>
      <c r="CK257" s="31"/>
      <c r="CL257" s="32"/>
      <c r="CM257" s="90"/>
      <c r="CN257" s="88"/>
      <c r="CO257" s="88"/>
      <c r="CP257" s="111"/>
      <c r="CQ257" s="112"/>
      <c r="CR257" s="113"/>
      <c r="CS257" s="112"/>
      <c r="CT257" s="55"/>
      <c r="CV257" s="230" t="s">
        <v>86</v>
      </c>
      <c r="CX257" s="226" t="s">
        <v>1425</v>
      </c>
      <c r="CY257" s="226" t="s">
        <v>1431</v>
      </c>
      <c r="CZ257" s="226" t="s">
        <v>541</v>
      </c>
      <c r="DA257" s="226" t="s">
        <v>541</v>
      </c>
      <c r="DB257" s="14"/>
      <c r="DC257" s="226" t="s">
        <v>541</v>
      </c>
      <c r="DD257" s="226" t="s">
        <v>1421</v>
      </c>
      <c r="DE257" s="226" t="s">
        <v>541</v>
      </c>
      <c r="DF257" s="226" t="s">
        <v>541</v>
      </c>
      <c r="DG257" s="226" t="s">
        <v>541</v>
      </c>
      <c r="DH257" s="14"/>
    </row>
    <row r="258" spans="1:112" ht="26" x14ac:dyDescent="0.25">
      <c r="A258" s="17" t="s">
        <v>511</v>
      </c>
      <c r="B258" s="17" t="s">
        <v>541</v>
      </c>
      <c r="C258" s="17" t="s">
        <v>83</v>
      </c>
      <c r="D258" s="17" t="s">
        <v>84</v>
      </c>
      <c r="E258" s="17" t="b">
        <f t="shared" si="37"/>
        <v>1</v>
      </c>
      <c r="F258" s="127" t="s">
        <v>511</v>
      </c>
      <c r="G258" s="248" t="s">
        <v>541</v>
      </c>
      <c r="H258" s="128" t="s">
        <v>83</v>
      </c>
      <c r="I258" s="128" t="s">
        <v>84</v>
      </c>
      <c r="J258" s="31"/>
      <c r="K258" s="102" t="s">
        <v>354</v>
      </c>
      <c r="L258" s="90"/>
      <c r="M258" s="111"/>
      <c r="N258" s="112"/>
      <c r="O258" s="113"/>
      <c r="P258" s="112"/>
      <c r="Q258" s="31"/>
      <c r="R258" s="102"/>
      <c r="S258" s="90"/>
      <c r="T258" s="88" t="str">
        <f t="shared" si="42"/>
        <v>NA</v>
      </c>
      <c r="U258" s="88" t="str">
        <f t="shared" si="43"/>
        <v>NA</v>
      </c>
      <c r="V258" s="111"/>
      <c r="W258" s="112"/>
      <c r="X258" s="113"/>
      <c r="Y258" s="112"/>
      <c r="Z258" s="31"/>
      <c r="AA258" s="296"/>
      <c r="AB258" s="89"/>
      <c r="AC258" s="88" t="str">
        <f t="shared" si="38"/>
        <v>NA</v>
      </c>
      <c r="AD258" s="88" t="str">
        <f t="shared" si="39"/>
        <v>NA</v>
      </c>
      <c r="AE258" s="111"/>
      <c r="AF258" s="112"/>
      <c r="AG258" s="113"/>
      <c r="AH258" s="112"/>
      <c r="AI258" s="31"/>
      <c r="AJ258" s="294"/>
      <c r="AK258" s="89"/>
      <c r="AL258" s="88" t="str">
        <f t="shared" si="40"/>
        <v>NA</v>
      </c>
      <c r="AM258" s="88" t="str">
        <f t="shared" si="41"/>
        <v>NA</v>
      </c>
      <c r="AN258" s="111"/>
      <c r="AO258" s="112"/>
      <c r="AP258" s="113"/>
      <c r="AQ258" s="112"/>
      <c r="AR258" s="31"/>
      <c r="AS258" s="32"/>
      <c r="AT258" s="90"/>
      <c r="AU258" s="88"/>
      <c r="AV258" s="88"/>
      <c r="AW258" s="111"/>
      <c r="AX258" s="112"/>
      <c r="AY258" s="113"/>
      <c r="AZ258" s="112"/>
      <c r="BA258" s="31"/>
      <c r="BB258" s="32"/>
      <c r="BC258" s="90"/>
      <c r="BD258" s="88"/>
      <c r="BE258" s="88"/>
      <c r="BF258" s="111"/>
      <c r="BG258" s="112"/>
      <c r="BH258" s="113"/>
      <c r="BI258" s="112"/>
      <c r="BJ258" s="31"/>
      <c r="BK258" s="32"/>
      <c r="BL258" s="90"/>
      <c r="BM258" s="88"/>
      <c r="BN258" s="88"/>
      <c r="BO258" s="111"/>
      <c r="BP258" s="112"/>
      <c r="BQ258" s="113"/>
      <c r="BR258" s="112"/>
      <c r="BS258" s="31"/>
      <c r="BT258" s="32"/>
      <c r="BU258" s="90"/>
      <c r="BV258" s="88"/>
      <c r="BW258" s="88"/>
      <c r="BX258" s="111"/>
      <c r="BY258" s="112"/>
      <c r="BZ258" s="113"/>
      <c r="CA258" s="112"/>
      <c r="CB258" s="31"/>
      <c r="CC258" s="32"/>
      <c r="CD258" s="90"/>
      <c r="CE258" s="88"/>
      <c r="CF258" s="88"/>
      <c r="CG258" s="111"/>
      <c r="CH258" s="112"/>
      <c r="CI258" s="113"/>
      <c r="CJ258" s="112"/>
      <c r="CK258" s="31"/>
      <c r="CL258" s="32"/>
      <c r="CM258" s="90"/>
      <c r="CN258" s="88"/>
      <c r="CO258" s="88"/>
      <c r="CP258" s="111"/>
      <c r="CQ258" s="112"/>
      <c r="CR258" s="113"/>
      <c r="CS258" s="112"/>
      <c r="CT258" s="55"/>
      <c r="CV258" s="230" t="s">
        <v>84</v>
      </c>
      <c r="CX258" s="226" t="s">
        <v>1424</v>
      </c>
      <c r="CY258" s="226" t="s">
        <v>1431</v>
      </c>
      <c r="CZ258" s="226" t="s">
        <v>541</v>
      </c>
      <c r="DA258" s="226" t="s">
        <v>541</v>
      </c>
      <c r="DB258" s="14"/>
      <c r="DC258" s="226" t="s">
        <v>541</v>
      </c>
      <c r="DD258" s="226"/>
      <c r="DE258" s="226" t="s">
        <v>541</v>
      </c>
      <c r="DF258" s="226" t="s">
        <v>541</v>
      </c>
      <c r="DG258" s="226" t="s">
        <v>541</v>
      </c>
      <c r="DH258" s="14"/>
    </row>
    <row r="259" spans="1:112" ht="26" x14ac:dyDescent="0.25">
      <c r="A259" s="17" t="s">
        <v>512</v>
      </c>
      <c r="B259" s="17" t="s">
        <v>541</v>
      </c>
      <c r="C259" s="17" t="s">
        <v>81</v>
      </c>
      <c r="D259" s="17" t="s">
        <v>82</v>
      </c>
      <c r="E259" s="17" t="b">
        <f t="shared" si="37"/>
        <v>1</v>
      </c>
      <c r="F259" s="127" t="s">
        <v>512</v>
      </c>
      <c r="G259" s="248" t="s">
        <v>541</v>
      </c>
      <c r="H259" s="128" t="s">
        <v>81</v>
      </c>
      <c r="I259" s="128" t="s">
        <v>82</v>
      </c>
      <c r="J259" s="31"/>
      <c r="K259" s="102" t="s">
        <v>354</v>
      </c>
      <c r="L259" s="90"/>
      <c r="M259" s="111"/>
      <c r="N259" s="112"/>
      <c r="O259" s="113"/>
      <c r="P259" s="112"/>
      <c r="Q259" s="31"/>
      <c r="R259" s="102"/>
      <c r="S259" s="90"/>
      <c r="T259" s="88" t="str">
        <f t="shared" si="42"/>
        <v>NA</v>
      </c>
      <c r="U259" s="88" t="str">
        <f t="shared" si="43"/>
        <v>NA</v>
      </c>
      <c r="V259" s="111"/>
      <c r="W259" s="112"/>
      <c r="X259" s="113"/>
      <c r="Y259" s="112"/>
      <c r="Z259" s="31"/>
      <c r="AA259" s="296"/>
      <c r="AB259" s="89"/>
      <c r="AC259" s="88" t="str">
        <f t="shared" si="38"/>
        <v>NA</v>
      </c>
      <c r="AD259" s="88" t="str">
        <f t="shared" si="39"/>
        <v>NA</v>
      </c>
      <c r="AE259" s="111"/>
      <c r="AF259" s="112"/>
      <c r="AG259" s="113"/>
      <c r="AH259" s="112"/>
      <c r="AI259" s="31"/>
      <c r="AJ259" s="294"/>
      <c r="AK259" s="89"/>
      <c r="AL259" s="88" t="str">
        <f t="shared" si="40"/>
        <v>NA</v>
      </c>
      <c r="AM259" s="88" t="str">
        <f t="shared" si="41"/>
        <v>NA</v>
      </c>
      <c r="AN259" s="111"/>
      <c r="AO259" s="112"/>
      <c r="AP259" s="113"/>
      <c r="AQ259" s="112"/>
      <c r="AR259" s="31"/>
      <c r="AS259" s="32"/>
      <c r="AT259" s="90"/>
      <c r="AU259" s="88"/>
      <c r="AV259" s="88"/>
      <c r="AW259" s="111"/>
      <c r="AX259" s="112"/>
      <c r="AY259" s="113"/>
      <c r="AZ259" s="112"/>
      <c r="BA259" s="31"/>
      <c r="BB259" s="32"/>
      <c r="BC259" s="90"/>
      <c r="BD259" s="88"/>
      <c r="BE259" s="88"/>
      <c r="BF259" s="111"/>
      <c r="BG259" s="112"/>
      <c r="BH259" s="113"/>
      <c r="BI259" s="112"/>
      <c r="BJ259" s="31"/>
      <c r="BK259" s="32"/>
      <c r="BL259" s="90"/>
      <c r="BM259" s="88"/>
      <c r="BN259" s="88"/>
      <c r="BO259" s="111"/>
      <c r="BP259" s="112"/>
      <c r="BQ259" s="113"/>
      <c r="BR259" s="112"/>
      <c r="BS259" s="31"/>
      <c r="BT259" s="32"/>
      <c r="BU259" s="90"/>
      <c r="BV259" s="88"/>
      <c r="BW259" s="88"/>
      <c r="BX259" s="111"/>
      <c r="BY259" s="112"/>
      <c r="BZ259" s="113"/>
      <c r="CA259" s="112"/>
      <c r="CB259" s="31"/>
      <c r="CC259" s="32"/>
      <c r="CD259" s="90"/>
      <c r="CE259" s="88"/>
      <c r="CF259" s="88"/>
      <c r="CG259" s="111"/>
      <c r="CH259" s="112"/>
      <c r="CI259" s="113"/>
      <c r="CJ259" s="112"/>
      <c r="CK259" s="31"/>
      <c r="CL259" s="32"/>
      <c r="CM259" s="90"/>
      <c r="CN259" s="88"/>
      <c r="CO259" s="88"/>
      <c r="CP259" s="111"/>
      <c r="CQ259" s="112"/>
      <c r="CR259" s="113"/>
      <c r="CS259" s="112"/>
      <c r="CT259" s="55"/>
      <c r="CV259" s="230" t="s">
        <v>82</v>
      </c>
      <c r="CX259" s="226" t="s">
        <v>1425</v>
      </c>
      <c r="CY259" s="226" t="s">
        <v>1431</v>
      </c>
      <c r="CZ259" s="226" t="s">
        <v>541</v>
      </c>
      <c r="DA259" s="226" t="s">
        <v>541</v>
      </c>
      <c r="DB259" s="14"/>
      <c r="DC259" s="226" t="s">
        <v>541</v>
      </c>
      <c r="DD259" s="226"/>
      <c r="DE259" s="226" t="s">
        <v>541</v>
      </c>
      <c r="DF259" s="226" t="s">
        <v>541</v>
      </c>
      <c r="DG259" s="226" t="s">
        <v>541</v>
      </c>
      <c r="DH259" s="14"/>
    </row>
    <row r="260" spans="1:112" ht="26" x14ac:dyDescent="0.25">
      <c r="A260" s="17" t="s">
        <v>513</v>
      </c>
      <c r="B260" s="17" t="s">
        <v>541</v>
      </c>
      <c r="C260" s="17" t="s">
        <v>79</v>
      </c>
      <c r="D260" s="17" t="s">
        <v>80</v>
      </c>
      <c r="E260" s="17" t="b">
        <f t="shared" si="37"/>
        <v>1</v>
      </c>
      <c r="F260" s="127" t="s">
        <v>513</v>
      </c>
      <c r="G260" s="248" t="s">
        <v>541</v>
      </c>
      <c r="H260" s="128" t="s">
        <v>79</v>
      </c>
      <c r="I260" s="128" t="s">
        <v>80</v>
      </c>
      <c r="J260" s="31"/>
      <c r="K260" s="102" t="s">
        <v>354</v>
      </c>
      <c r="L260" s="90"/>
      <c r="M260" s="111"/>
      <c r="N260" s="112"/>
      <c r="O260" s="113"/>
      <c r="P260" s="112"/>
      <c r="Q260" s="31"/>
      <c r="R260" s="102"/>
      <c r="S260" s="90"/>
      <c r="T260" s="88" t="str">
        <f t="shared" si="42"/>
        <v>NA</v>
      </c>
      <c r="U260" s="88" t="str">
        <f t="shared" si="43"/>
        <v>NA</v>
      </c>
      <c r="V260" s="111"/>
      <c r="W260" s="112"/>
      <c r="X260" s="113"/>
      <c r="Y260" s="112"/>
      <c r="Z260" s="31"/>
      <c r="AA260" s="296"/>
      <c r="AB260" s="89"/>
      <c r="AC260" s="88" t="str">
        <f t="shared" si="38"/>
        <v>NA</v>
      </c>
      <c r="AD260" s="88" t="str">
        <f t="shared" si="39"/>
        <v>NA</v>
      </c>
      <c r="AE260" s="111"/>
      <c r="AF260" s="112"/>
      <c r="AG260" s="113"/>
      <c r="AH260" s="112"/>
      <c r="AI260" s="31"/>
      <c r="AJ260" s="294"/>
      <c r="AK260" s="89"/>
      <c r="AL260" s="88" t="str">
        <f t="shared" si="40"/>
        <v>NA</v>
      </c>
      <c r="AM260" s="88" t="str">
        <f t="shared" si="41"/>
        <v>NA</v>
      </c>
      <c r="AN260" s="111"/>
      <c r="AO260" s="112"/>
      <c r="AP260" s="113"/>
      <c r="AQ260" s="112"/>
      <c r="AR260" s="31"/>
      <c r="AS260" s="32"/>
      <c r="AT260" s="90"/>
      <c r="AU260" s="88"/>
      <c r="AV260" s="88"/>
      <c r="AW260" s="111"/>
      <c r="AX260" s="112"/>
      <c r="AY260" s="113"/>
      <c r="AZ260" s="112"/>
      <c r="BA260" s="31"/>
      <c r="BB260" s="32"/>
      <c r="BC260" s="90"/>
      <c r="BD260" s="88"/>
      <c r="BE260" s="88"/>
      <c r="BF260" s="111"/>
      <c r="BG260" s="112"/>
      <c r="BH260" s="113"/>
      <c r="BI260" s="112"/>
      <c r="BJ260" s="31"/>
      <c r="BK260" s="32"/>
      <c r="BL260" s="90"/>
      <c r="BM260" s="88"/>
      <c r="BN260" s="88"/>
      <c r="BO260" s="111"/>
      <c r="BP260" s="112"/>
      <c r="BQ260" s="113"/>
      <c r="BR260" s="112"/>
      <c r="BS260" s="31"/>
      <c r="BT260" s="32"/>
      <c r="BU260" s="90"/>
      <c r="BV260" s="88"/>
      <c r="BW260" s="88"/>
      <c r="BX260" s="111"/>
      <c r="BY260" s="112"/>
      <c r="BZ260" s="113"/>
      <c r="CA260" s="112"/>
      <c r="CB260" s="31"/>
      <c r="CC260" s="32"/>
      <c r="CD260" s="90"/>
      <c r="CE260" s="88"/>
      <c r="CF260" s="88"/>
      <c r="CG260" s="111"/>
      <c r="CH260" s="112"/>
      <c r="CI260" s="113"/>
      <c r="CJ260" s="112"/>
      <c r="CK260" s="31"/>
      <c r="CL260" s="32"/>
      <c r="CM260" s="90"/>
      <c r="CN260" s="88"/>
      <c r="CO260" s="88"/>
      <c r="CP260" s="111"/>
      <c r="CQ260" s="112"/>
      <c r="CR260" s="113"/>
      <c r="CS260" s="112"/>
      <c r="CT260" s="55"/>
      <c r="CV260" s="230" t="s">
        <v>80</v>
      </c>
      <c r="CX260" s="226" t="s">
        <v>1424</v>
      </c>
      <c r="CY260" s="226" t="s">
        <v>1431</v>
      </c>
      <c r="CZ260" s="226" t="s">
        <v>541</v>
      </c>
      <c r="DA260" s="226" t="s">
        <v>541</v>
      </c>
      <c r="DB260" s="14"/>
      <c r="DC260" s="226" t="s">
        <v>541</v>
      </c>
      <c r="DD260" s="226" t="s">
        <v>1421</v>
      </c>
      <c r="DE260" s="226" t="s">
        <v>541</v>
      </c>
      <c r="DF260" s="226" t="s">
        <v>541</v>
      </c>
      <c r="DG260" s="226" t="s">
        <v>541</v>
      </c>
      <c r="DH260" s="14"/>
    </row>
    <row r="261" spans="1:112" ht="26" x14ac:dyDescent="0.25">
      <c r="A261" s="17" t="s">
        <v>514</v>
      </c>
      <c r="B261" s="17" t="s">
        <v>541</v>
      </c>
      <c r="C261" s="17" t="s">
        <v>77</v>
      </c>
      <c r="D261" s="17" t="s">
        <v>78</v>
      </c>
      <c r="E261" s="17" t="b">
        <f t="shared" si="37"/>
        <v>1</v>
      </c>
      <c r="F261" s="127" t="s">
        <v>514</v>
      </c>
      <c r="G261" s="248" t="s">
        <v>541</v>
      </c>
      <c r="H261" s="128" t="s">
        <v>77</v>
      </c>
      <c r="I261" s="128" t="s">
        <v>78</v>
      </c>
      <c r="J261" s="31"/>
      <c r="K261" s="102" t="s">
        <v>354</v>
      </c>
      <c r="L261" s="90"/>
      <c r="M261" s="111"/>
      <c r="N261" s="112"/>
      <c r="O261" s="113"/>
      <c r="P261" s="112"/>
      <c r="Q261" s="31"/>
      <c r="R261" s="102"/>
      <c r="S261" s="90"/>
      <c r="T261" s="88" t="str">
        <f t="shared" si="42"/>
        <v>NA</v>
      </c>
      <c r="U261" s="88" t="str">
        <f t="shared" si="43"/>
        <v>NA</v>
      </c>
      <c r="V261" s="111"/>
      <c r="W261" s="112"/>
      <c r="X261" s="113"/>
      <c r="Y261" s="112"/>
      <c r="Z261" s="31"/>
      <c r="AA261" s="296"/>
      <c r="AB261" s="89"/>
      <c r="AC261" s="88" t="str">
        <f t="shared" si="38"/>
        <v>NA</v>
      </c>
      <c r="AD261" s="88" t="str">
        <f t="shared" si="39"/>
        <v>NA</v>
      </c>
      <c r="AE261" s="111"/>
      <c r="AF261" s="112"/>
      <c r="AG261" s="113"/>
      <c r="AH261" s="112"/>
      <c r="AI261" s="31"/>
      <c r="AJ261" s="294"/>
      <c r="AK261" s="89"/>
      <c r="AL261" s="88" t="str">
        <f t="shared" si="40"/>
        <v>NA</v>
      </c>
      <c r="AM261" s="88" t="str">
        <f t="shared" si="41"/>
        <v>NA</v>
      </c>
      <c r="AN261" s="111"/>
      <c r="AO261" s="112"/>
      <c r="AP261" s="113"/>
      <c r="AQ261" s="112"/>
      <c r="AR261" s="31"/>
      <c r="AS261" s="32"/>
      <c r="AT261" s="90"/>
      <c r="AU261" s="88"/>
      <c r="AV261" s="88"/>
      <c r="AW261" s="111"/>
      <c r="AX261" s="112"/>
      <c r="AY261" s="113"/>
      <c r="AZ261" s="112"/>
      <c r="BA261" s="31"/>
      <c r="BB261" s="32"/>
      <c r="BC261" s="90"/>
      <c r="BD261" s="88"/>
      <c r="BE261" s="88"/>
      <c r="BF261" s="111"/>
      <c r="BG261" s="112"/>
      <c r="BH261" s="113"/>
      <c r="BI261" s="112"/>
      <c r="BJ261" s="31"/>
      <c r="BK261" s="32"/>
      <c r="BL261" s="90"/>
      <c r="BM261" s="88"/>
      <c r="BN261" s="88"/>
      <c r="BO261" s="111"/>
      <c r="BP261" s="112"/>
      <c r="BQ261" s="113"/>
      <c r="BR261" s="112"/>
      <c r="BS261" s="31"/>
      <c r="BT261" s="32"/>
      <c r="BU261" s="90"/>
      <c r="BV261" s="88"/>
      <c r="BW261" s="88"/>
      <c r="BX261" s="111"/>
      <c r="BY261" s="112"/>
      <c r="BZ261" s="113"/>
      <c r="CA261" s="112"/>
      <c r="CB261" s="31"/>
      <c r="CC261" s="32"/>
      <c r="CD261" s="90"/>
      <c r="CE261" s="88"/>
      <c r="CF261" s="88"/>
      <c r="CG261" s="111"/>
      <c r="CH261" s="112"/>
      <c r="CI261" s="113"/>
      <c r="CJ261" s="112"/>
      <c r="CK261" s="31"/>
      <c r="CL261" s="32"/>
      <c r="CM261" s="90"/>
      <c r="CN261" s="88"/>
      <c r="CO261" s="88"/>
      <c r="CP261" s="111"/>
      <c r="CQ261" s="112"/>
      <c r="CR261" s="113"/>
      <c r="CS261" s="112"/>
      <c r="CT261" s="55"/>
      <c r="CV261" s="230" t="s">
        <v>78</v>
      </c>
      <c r="CX261" s="226" t="s">
        <v>1425</v>
      </c>
      <c r="CY261" s="226" t="s">
        <v>1431</v>
      </c>
      <c r="CZ261" s="226" t="s">
        <v>541</v>
      </c>
      <c r="DA261" s="226" t="s">
        <v>541</v>
      </c>
      <c r="DB261" s="14"/>
      <c r="DC261" s="226" t="s">
        <v>541</v>
      </c>
      <c r="DD261" s="226" t="s">
        <v>541</v>
      </c>
      <c r="DE261" s="226" t="s">
        <v>541</v>
      </c>
      <c r="DF261" s="226" t="s">
        <v>541</v>
      </c>
      <c r="DG261" s="226" t="s">
        <v>541</v>
      </c>
      <c r="DH261" s="14"/>
    </row>
    <row r="262" spans="1:112" ht="26" x14ac:dyDescent="0.25">
      <c r="A262" s="17" t="s">
        <v>515</v>
      </c>
      <c r="B262" s="17" t="s">
        <v>541</v>
      </c>
      <c r="C262" s="17" t="s">
        <v>75</v>
      </c>
      <c r="D262" s="17" t="s">
        <v>76</v>
      </c>
      <c r="E262" s="17" t="b">
        <f t="shared" si="37"/>
        <v>1</v>
      </c>
      <c r="F262" s="127" t="s">
        <v>515</v>
      </c>
      <c r="G262" s="248" t="s">
        <v>541</v>
      </c>
      <c r="H262" s="128" t="s">
        <v>75</v>
      </c>
      <c r="I262" s="128" t="s">
        <v>76</v>
      </c>
      <c r="J262" s="31"/>
      <c r="K262" s="102" t="s">
        <v>354</v>
      </c>
      <c r="L262" s="90"/>
      <c r="M262" s="111"/>
      <c r="N262" s="112"/>
      <c r="O262" s="113"/>
      <c r="P262" s="112"/>
      <c r="Q262" s="31"/>
      <c r="R262" s="102"/>
      <c r="S262" s="90"/>
      <c r="T262" s="88" t="str">
        <f t="shared" si="42"/>
        <v>NA</v>
      </c>
      <c r="U262" s="88" t="str">
        <f t="shared" si="43"/>
        <v>NA</v>
      </c>
      <c r="V262" s="111"/>
      <c r="W262" s="112"/>
      <c r="X262" s="113"/>
      <c r="Y262" s="112"/>
      <c r="Z262" s="31"/>
      <c r="AA262" s="296"/>
      <c r="AB262" s="89"/>
      <c r="AC262" s="88" t="str">
        <f t="shared" si="38"/>
        <v>NA</v>
      </c>
      <c r="AD262" s="88" t="str">
        <f t="shared" si="39"/>
        <v>NA</v>
      </c>
      <c r="AE262" s="111"/>
      <c r="AF262" s="112"/>
      <c r="AG262" s="113"/>
      <c r="AH262" s="112"/>
      <c r="AI262" s="31"/>
      <c r="AJ262" s="294"/>
      <c r="AK262" s="89"/>
      <c r="AL262" s="88" t="str">
        <f t="shared" si="40"/>
        <v>NA</v>
      </c>
      <c r="AM262" s="88" t="str">
        <f t="shared" si="41"/>
        <v>NA</v>
      </c>
      <c r="AN262" s="111"/>
      <c r="AO262" s="112"/>
      <c r="AP262" s="113"/>
      <c r="AQ262" s="112"/>
      <c r="AR262" s="31"/>
      <c r="AS262" s="32"/>
      <c r="AT262" s="90"/>
      <c r="AU262" s="88"/>
      <c r="AV262" s="88"/>
      <c r="AW262" s="111"/>
      <c r="AX262" s="112"/>
      <c r="AY262" s="113"/>
      <c r="AZ262" s="112"/>
      <c r="BA262" s="31"/>
      <c r="BB262" s="32"/>
      <c r="BC262" s="90"/>
      <c r="BD262" s="88"/>
      <c r="BE262" s="88"/>
      <c r="BF262" s="111"/>
      <c r="BG262" s="112"/>
      <c r="BH262" s="113"/>
      <c r="BI262" s="112"/>
      <c r="BJ262" s="31"/>
      <c r="BK262" s="32"/>
      <c r="BL262" s="90"/>
      <c r="BM262" s="88"/>
      <c r="BN262" s="88"/>
      <c r="BO262" s="111"/>
      <c r="BP262" s="112"/>
      <c r="BQ262" s="113"/>
      <c r="BR262" s="112"/>
      <c r="BS262" s="31"/>
      <c r="BT262" s="32"/>
      <c r="BU262" s="90"/>
      <c r="BV262" s="88"/>
      <c r="BW262" s="88"/>
      <c r="BX262" s="111"/>
      <c r="BY262" s="112"/>
      <c r="BZ262" s="113"/>
      <c r="CA262" s="112"/>
      <c r="CB262" s="31"/>
      <c r="CC262" s="32"/>
      <c r="CD262" s="90"/>
      <c r="CE262" s="88"/>
      <c r="CF262" s="88"/>
      <c r="CG262" s="111"/>
      <c r="CH262" s="112"/>
      <c r="CI262" s="113"/>
      <c r="CJ262" s="112"/>
      <c r="CK262" s="31"/>
      <c r="CL262" s="32"/>
      <c r="CM262" s="90"/>
      <c r="CN262" s="88"/>
      <c r="CO262" s="88"/>
      <c r="CP262" s="111"/>
      <c r="CQ262" s="112"/>
      <c r="CR262" s="113"/>
      <c r="CS262" s="112"/>
      <c r="CT262" s="55"/>
      <c r="CV262" s="230" t="s">
        <v>76</v>
      </c>
      <c r="CX262" s="226" t="s">
        <v>1425</v>
      </c>
      <c r="CY262" s="226" t="s">
        <v>1431</v>
      </c>
      <c r="CZ262" s="226" t="s">
        <v>541</v>
      </c>
      <c r="DA262" s="226" t="s">
        <v>541</v>
      </c>
      <c r="DB262" s="14"/>
      <c r="DC262" s="226" t="s">
        <v>541</v>
      </c>
      <c r="DD262" s="226" t="s">
        <v>1421</v>
      </c>
      <c r="DE262" s="226" t="s">
        <v>541</v>
      </c>
      <c r="DF262" s="226" t="s">
        <v>541</v>
      </c>
      <c r="DG262" s="226" t="s">
        <v>541</v>
      </c>
      <c r="DH262" s="14"/>
    </row>
    <row r="263" spans="1:112" ht="26" x14ac:dyDescent="0.25">
      <c r="A263" s="17" t="s">
        <v>1004</v>
      </c>
      <c r="B263" s="17" t="s">
        <v>1361</v>
      </c>
      <c r="C263" s="17" t="s">
        <v>1474</v>
      </c>
      <c r="D263" s="17" t="s">
        <v>753</v>
      </c>
      <c r="E263" s="17" t="b">
        <f t="shared" si="37"/>
        <v>1</v>
      </c>
      <c r="F263" s="127" t="s">
        <v>2138</v>
      </c>
      <c r="G263" s="248" t="s">
        <v>2203</v>
      </c>
      <c r="H263" s="128" t="s">
        <v>1474</v>
      </c>
      <c r="I263" s="128" t="s">
        <v>753</v>
      </c>
      <c r="J263" s="31"/>
      <c r="K263" s="102" t="s">
        <v>354</v>
      </c>
      <c r="L263" s="90"/>
      <c r="M263" s="111"/>
      <c r="N263" s="112"/>
      <c r="O263" s="113"/>
      <c r="P263" s="112"/>
      <c r="Q263" s="31"/>
      <c r="R263" s="102"/>
      <c r="S263" s="90"/>
      <c r="T263" s="88" t="str">
        <f t="shared" ref="T263:T264" si="44">IF(LEFT(S263,1)&lt;&gt;"x","NA",IF(RIGHT(R263,3)=RIGHT(K263,3),IF(RIGHT(R263,3)&lt;&gt;RIGHT(K263,3),IF(OR(AND(RIGHT(R263,3)=RIGHT(K263,3),S263=L263)),"NO","YES"),"NO"),IF(OR(RIGHT(R263,3)=RIGHT(K263,3)),"ERROR","YES")))</f>
        <v>NA</v>
      </c>
      <c r="U263" s="88" t="str">
        <f t="shared" ref="U263:U264" si="45">IF(LEFT(L263,1)&lt;&gt;LEFT(S263,1),"YES",IF(LEFT(S263,1)="x","NO","NA"))</f>
        <v>NA</v>
      </c>
      <c r="V263" s="111"/>
      <c r="W263" s="112"/>
      <c r="X263" s="113"/>
      <c r="Y263" s="112"/>
      <c r="Z263" s="31"/>
      <c r="AA263" s="296"/>
      <c r="AB263" s="89"/>
      <c r="AC263" s="88" t="str">
        <f t="shared" si="38"/>
        <v>NA</v>
      </c>
      <c r="AD263" s="88" t="str">
        <f t="shared" si="39"/>
        <v>NA</v>
      </c>
      <c r="AE263" s="111"/>
      <c r="AF263" s="112"/>
      <c r="AG263" s="113"/>
      <c r="AH263" s="112"/>
      <c r="AI263" s="31"/>
      <c r="AJ263" s="294"/>
      <c r="AK263" s="89"/>
      <c r="AL263" s="88" t="str">
        <f t="shared" si="40"/>
        <v>NA</v>
      </c>
      <c r="AM263" s="88" t="str">
        <f t="shared" si="41"/>
        <v>NA</v>
      </c>
      <c r="AN263" s="111"/>
      <c r="AO263" s="112"/>
      <c r="AP263" s="113"/>
      <c r="AQ263" s="112"/>
      <c r="AR263" s="31"/>
      <c r="AS263" s="32"/>
      <c r="AT263" s="90"/>
      <c r="AU263" s="88"/>
      <c r="AV263" s="88"/>
      <c r="AW263" s="111"/>
      <c r="AX263" s="112"/>
      <c r="AY263" s="113"/>
      <c r="AZ263" s="112"/>
      <c r="BA263" s="31"/>
      <c r="BB263" s="32"/>
      <c r="BC263" s="90"/>
      <c r="BD263" s="88"/>
      <c r="BE263" s="88"/>
      <c r="BF263" s="111"/>
      <c r="BG263" s="112"/>
      <c r="BH263" s="113"/>
      <c r="BI263" s="112"/>
      <c r="BJ263" s="31"/>
      <c r="BK263" s="32"/>
      <c r="BL263" s="90"/>
      <c r="BM263" s="88"/>
      <c r="BN263" s="88"/>
      <c r="BO263" s="111"/>
      <c r="BP263" s="112"/>
      <c r="BQ263" s="113"/>
      <c r="BR263" s="112"/>
      <c r="BS263" s="31"/>
      <c r="BT263" s="32"/>
      <c r="BU263" s="90"/>
      <c r="BV263" s="88"/>
      <c r="BW263" s="88"/>
      <c r="BX263" s="111"/>
      <c r="BY263" s="112"/>
      <c r="BZ263" s="113"/>
      <c r="CA263" s="112"/>
      <c r="CB263" s="31"/>
      <c r="CC263" s="32"/>
      <c r="CD263" s="90"/>
      <c r="CE263" s="88"/>
      <c r="CF263" s="88"/>
      <c r="CG263" s="111"/>
      <c r="CH263" s="112"/>
      <c r="CI263" s="113"/>
      <c r="CJ263" s="112"/>
      <c r="CK263" s="31"/>
      <c r="CL263" s="32"/>
      <c r="CM263" s="90"/>
      <c r="CN263" s="88"/>
      <c r="CO263" s="88"/>
      <c r="CP263" s="111"/>
      <c r="CQ263" s="112"/>
      <c r="CR263" s="113"/>
      <c r="CS263" s="112"/>
      <c r="CT263" s="55"/>
      <c r="CV263" s="230"/>
      <c r="CX263" s="226"/>
      <c r="CY263" s="226"/>
      <c r="CZ263" s="226"/>
      <c r="DA263" s="226"/>
      <c r="DB263" s="14"/>
      <c r="DC263" s="226"/>
      <c r="DD263" s="226"/>
      <c r="DE263" s="226"/>
      <c r="DF263" s="226"/>
      <c r="DG263" s="226"/>
      <c r="DH263" s="14"/>
    </row>
    <row r="264" spans="1:112" ht="12.75" customHeight="1" x14ac:dyDescent="0.25">
      <c r="A264" s="17" t="s">
        <v>516</v>
      </c>
      <c r="B264" s="17" t="s">
        <v>541</v>
      </c>
      <c r="C264" s="17" t="s">
        <v>74</v>
      </c>
      <c r="D264" s="17" t="s">
        <v>691</v>
      </c>
      <c r="E264" s="17" t="b">
        <f t="shared" si="37"/>
        <v>1</v>
      </c>
      <c r="F264" s="232" t="s">
        <v>516</v>
      </c>
      <c r="G264" s="277" t="s">
        <v>541</v>
      </c>
      <c r="H264" s="128" t="s">
        <v>74</v>
      </c>
      <c r="I264" s="128" t="s">
        <v>691</v>
      </c>
      <c r="J264" s="31"/>
      <c r="K264" s="102" t="s">
        <v>583</v>
      </c>
      <c r="L264" s="90"/>
      <c r="M264" s="111"/>
      <c r="N264" s="112"/>
      <c r="O264" s="113"/>
      <c r="P264" s="112"/>
      <c r="Q264" s="31"/>
      <c r="R264" s="102"/>
      <c r="S264" s="90"/>
      <c r="T264" s="88" t="str">
        <f t="shared" si="44"/>
        <v>NA</v>
      </c>
      <c r="U264" s="88" t="str">
        <f t="shared" si="45"/>
        <v>NA</v>
      </c>
      <c r="V264" s="111"/>
      <c r="W264" s="112"/>
      <c r="X264" s="113"/>
      <c r="Y264" s="112"/>
      <c r="Z264" s="31"/>
      <c r="AA264" s="296"/>
      <c r="AB264" s="89"/>
      <c r="AC264" s="88" t="str">
        <f t="shared" si="38"/>
        <v>NA</v>
      </c>
      <c r="AD264" s="88" t="str">
        <f t="shared" si="39"/>
        <v>NA</v>
      </c>
      <c r="AE264" s="111"/>
      <c r="AF264" s="112"/>
      <c r="AG264" s="113"/>
      <c r="AH264" s="112"/>
      <c r="AI264" s="31"/>
      <c r="AJ264" s="294"/>
      <c r="AK264" s="89"/>
      <c r="AL264" s="88" t="str">
        <f t="shared" si="40"/>
        <v>NA</v>
      </c>
      <c r="AM264" s="88" t="str">
        <f t="shared" si="41"/>
        <v>NA</v>
      </c>
      <c r="AN264" s="111"/>
      <c r="AO264" s="112"/>
      <c r="AP264" s="113"/>
      <c r="AQ264" s="112"/>
      <c r="AR264" s="31"/>
      <c r="AS264" s="32"/>
      <c r="AT264" s="90"/>
      <c r="AU264" s="88"/>
      <c r="AV264" s="88"/>
      <c r="AW264" s="111"/>
      <c r="AX264" s="112"/>
      <c r="AY264" s="113"/>
      <c r="AZ264" s="112"/>
      <c r="BA264" s="31"/>
      <c r="BB264" s="32"/>
      <c r="BC264" s="90"/>
      <c r="BD264" s="88"/>
      <c r="BE264" s="88"/>
      <c r="BF264" s="111"/>
      <c r="BG264" s="112"/>
      <c r="BH264" s="113"/>
      <c r="BI264" s="112"/>
      <c r="BJ264" s="31"/>
      <c r="BK264" s="32"/>
      <c r="BL264" s="90"/>
      <c r="BM264" s="88"/>
      <c r="BN264" s="88"/>
      <c r="BO264" s="111"/>
      <c r="BP264" s="112"/>
      <c r="BQ264" s="113"/>
      <c r="BR264" s="112"/>
      <c r="BS264" s="31"/>
      <c r="BT264" s="32"/>
      <c r="BU264" s="90"/>
      <c r="BV264" s="88"/>
      <c r="BW264" s="88"/>
      <c r="BX264" s="111"/>
      <c r="BY264" s="112"/>
      <c r="BZ264" s="113"/>
      <c r="CA264" s="112"/>
      <c r="CB264" s="31"/>
      <c r="CC264" s="32"/>
      <c r="CD264" s="90"/>
      <c r="CE264" s="88"/>
      <c r="CF264" s="88"/>
      <c r="CG264" s="111"/>
      <c r="CH264" s="112"/>
      <c r="CI264" s="113"/>
      <c r="CJ264" s="112"/>
      <c r="CK264" s="31"/>
      <c r="CL264" s="32"/>
      <c r="CM264" s="90"/>
      <c r="CN264" s="88"/>
      <c r="CO264" s="88"/>
      <c r="CP264" s="111"/>
      <c r="CQ264" s="112"/>
      <c r="CR264" s="113"/>
      <c r="CS264" s="112"/>
      <c r="CT264" s="55"/>
      <c r="CV264" s="230"/>
      <c r="CX264" s="226" t="s">
        <v>1425</v>
      </c>
      <c r="CY264" s="226" t="s">
        <v>1437</v>
      </c>
      <c r="CZ264" s="226" t="s">
        <v>541</v>
      </c>
      <c r="DA264" s="226" t="s">
        <v>541</v>
      </c>
      <c r="DB264" s="14"/>
      <c r="DC264" s="226" t="s">
        <v>541</v>
      </c>
      <c r="DD264" s="226" t="s">
        <v>541</v>
      </c>
      <c r="DE264" s="226" t="s">
        <v>541</v>
      </c>
      <c r="DF264" s="226" t="s">
        <v>541</v>
      </c>
      <c r="DG264" s="226" t="s">
        <v>541</v>
      </c>
      <c r="DH264" s="14"/>
    </row>
    <row r="265" spans="1:112" ht="25" x14ac:dyDescent="0.25">
      <c r="A265" s="17" t="s">
        <v>580</v>
      </c>
      <c r="B265" s="17" t="s">
        <v>541</v>
      </c>
      <c r="C265" s="17" t="s">
        <v>617</v>
      </c>
      <c r="D265" s="17" t="s">
        <v>2139</v>
      </c>
      <c r="E265" s="17" t="b">
        <f t="shared" ref="E265:E288" si="46">D265=I265</f>
        <v>1</v>
      </c>
      <c r="F265" s="127" t="s">
        <v>580</v>
      </c>
      <c r="G265" s="248" t="s">
        <v>541</v>
      </c>
      <c r="H265" s="128" t="s">
        <v>617</v>
      </c>
      <c r="I265" s="128" t="s">
        <v>2139</v>
      </c>
      <c r="J265" s="31"/>
      <c r="K265" s="102" t="s">
        <v>354</v>
      </c>
      <c r="L265" s="90" t="s">
        <v>31</v>
      </c>
      <c r="M265" s="111" t="s">
        <v>2470</v>
      </c>
      <c r="N265" s="112"/>
      <c r="O265" s="113"/>
      <c r="P265" s="112"/>
      <c r="Q265" s="31"/>
      <c r="R265" s="102"/>
      <c r="S265" s="90"/>
      <c r="T265" s="88" t="str">
        <f t="shared" si="42"/>
        <v>NA</v>
      </c>
      <c r="U265" s="88" t="str">
        <f t="shared" si="43"/>
        <v>YES</v>
      </c>
      <c r="V265" s="111"/>
      <c r="W265" s="112"/>
      <c r="X265" s="113"/>
      <c r="Y265" s="112"/>
      <c r="Z265" s="31"/>
      <c r="AA265" s="296"/>
      <c r="AB265" s="89"/>
      <c r="AC265" s="88" t="str">
        <f t="shared" ref="AC265:AC288" si="47">IF(LEFT(AB265,1)&lt;&gt;"x","NA",IF(RIGHT(AA265,3)=RIGHT(R265,3),IF(RIGHT(AA265,3)&lt;&gt;RIGHT(K265,3),IF(OR(AND(RIGHT(AA265,3)=RIGHT(R265,3),AB265=S265),AND(RIGHT(AA265,3)=RIGHT(K265,3),AB265=L265)),"NO","YES"),"NO"),IF(OR(RIGHT(AA265,3)=RIGHT(R265,3),RIGHT(AA265,3)=RIGHT(K265,3)),"ERROR","YES")))</f>
        <v>NA</v>
      </c>
      <c r="AD265" s="88" t="str">
        <f t="shared" ref="AD265:AD288" si="48">IF(LEFT(S265,1)&lt;&gt;LEFT(AB265,1),"YES",IF(LEFT(AB265,1)="x","NO","NA"))</f>
        <v>NA</v>
      </c>
      <c r="AE265" s="111"/>
      <c r="AF265" s="112"/>
      <c r="AG265" s="113"/>
      <c r="AH265" s="112"/>
      <c r="AI265" s="31"/>
      <c r="AJ265" s="294"/>
      <c r="AK265" s="89"/>
      <c r="AL265" s="88" t="str">
        <f t="shared" ref="AL265:AL288" si="49">IF(LEFT(AK265,1)&lt;&gt;"x","NA",IF(RIGHT(AJ265,3)=RIGHT(AA265,3),IF(RIGHT(AJ265,3)&lt;&gt;RIGHT(T265,3),IF(OR(AND(RIGHT(AJ265,3)=RIGHT(AA265,3),AK265=AB265),AND(RIGHT(AJ265,3)=RIGHT(T265,3),AK265=U265)),"NO","YES"),"NO"),IF(OR(RIGHT(AJ265,3)=RIGHT(AA265,3),RIGHT(AJ265,3)=RIGHT(T265,3)),"ERROR","YES")))</f>
        <v>NA</v>
      </c>
      <c r="AM265" s="88" t="str">
        <f t="shared" ref="AM265:AM288" si="50">IF(LEFT(AB265,1)&lt;&gt;LEFT(AK265,1),"YES",IF(LEFT(AK265,1)="x","NO","NA"))</f>
        <v>NA</v>
      </c>
      <c r="AN265" s="111"/>
      <c r="AO265" s="112"/>
      <c r="AP265" s="113"/>
      <c r="AQ265" s="112"/>
      <c r="AR265" s="31"/>
      <c r="AS265" s="32"/>
      <c r="AT265" s="90"/>
      <c r="AU265" s="88"/>
      <c r="AV265" s="88"/>
      <c r="AW265" s="111"/>
      <c r="AX265" s="112"/>
      <c r="AY265" s="113"/>
      <c r="AZ265" s="112"/>
      <c r="BA265" s="31"/>
      <c r="BB265" s="32"/>
      <c r="BC265" s="90"/>
      <c r="BD265" s="88"/>
      <c r="BE265" s="88"/>
      <c r="BF265" s="111"/>
      <c r="BG265" s="112"/>
      <c r="BH265" s="113"/>
      <c r="BI265" s="112"/>
      <c r="BJ265" s="31"/>
      <c r="BK265" s="32"/>
      <c r="BL265" s="90"/>
      <c r="BM265" s="88"/>
      <c r="BN265" s="88"/>
      <c r="BO265" s="111"/>
      <c r="BP265" s="112"/>
      <c r="BQ265" s="113"/>
      <c r="BR265" s="112"/>
      <c r="BS265" s="31"/>
      <c r="BT265" s="32"/>
      <c r="BU265" s="90"/>
      <c r="BV265" s="88"/>
      <c r="BW265" s="88"/>
      <c r="BX265" s="111"/>
      <c r="BY265" s="112"/>
      <c r="BZ265" s="113"/>
      <c r="CA265" s="112"/>
      <c r="CB265" s="31"/>
      <c r="CC265" s="32"/>
      <c r="CD265" s="90"/>
      <c r="CE265" s="88"/>
      <c r="CF265" s="88"/>
      <c r="CG265" s="111"/>
      <c r="CH265" s="112"/>
      <c r="CI265" s="113"/>
      <c r="CJ265" s="112"/>
      <c r="CK265" s="31"/>
      <c r="CL265" s="32"/>
      <c r="CM265" s="90"/>
      <c r="CN265" s="88"/>
      <c r="CO265" s="88"/>
      <c r="CP265" s="111"/>
      <c r="CQ265" s="112"/>
      <c r="CR265" s="113"/>
      <c r="CS265" s="112"/>
      <c r="CT265" s="55"/>
      <c r="CV265" s="230" t="s">
        <v>692</v>
      </c>
      <c r="CX265" s="226" t="s">
        <v>1425</v>
      </c>
      <c r="CY265" s="226" t="s">
        <v>541</v>
      </c>
      <c r="CZ265" s="226" t="s">
        <v>541</v>
      </c>
      <c r="DA265" s="226" t="s">
        <v>541</v>
      </c>
      <c r="DB265" s="14"/>
      <c r="DC265" s="226" t="s">
        <v>541</v>
      </c>
      <c r="DD265" s="226" t="s">
        <v>541</v>
      </c>
      <c r="DE265" s="226" t="s">
        <v>541</v>
      </c>
      <c r="DF265" s="226" t="s">
        <v>541</v>
      </c>
      <c r="DG265" s="226" t="s">
        <v>541</v>
      </c>
      <c r="DH265" s="14"/>
    </row>
    <row r="266" spans="1:112" ht="39" x14ac:dyDescent="0.25">
      <c r="A266" s="17" t="s">
        <v>517</v>
      </c>
      <c r="B266" s="17" t="s">
        <v>541</v>
      </c>
      <c r="C266" s="17" t="s">
        <v>72</v>
      </c>
      <c r="D266" s="17" t="s">
        <v>73</v>
      </c>
      <c r="E266" s="17" t="b">
        <f t="shared" si="46"/>
        <v>1</v>
      </c>
      <c r="F266" s="127" t="s">
        <v>517</v>
      </c>
      <c r="G266" s="248" t="s">
        <v>541</v>
      </c>
      <c r="H266" s="128" t="s">
        <v>72</v>
      </c>
      <c r="I266" s="128" t="s">
        <v>73</v>
      </c>
      <c r="J266" s="31"/>
      <c r="K266" s="102" t="s">
        <v>354</v>
      </c>
      <c r="L266" s="90"/>
      <c r="M266" s="111"/>
      <c r="N266" s="112"/>
      <c r="O266" s="113"/>
      <c r="P266" s="112"/>
      <c r="Q266" s="31"/>
      <c r="R266" s="102"/>
      <c r="S266" s="90"/>
      <c r="T266" s="88" t="str">
        <f t="shared" si="42"/>
        <v>NA</v>
      </c>
      <c r="U266" s="88" t="str">
        <f t="shared" si="43"/>
        <v>NA</v>
      </c>
      <c r="V266" s="111"/>
      <c r="W266" s="112"/>
      <c r="X266" s="113"/>
      <c r="Y266" s="112"/>
      <c r="Z266" s="31"/>
      <c r="AA266" s="296"/>
      <c r="AB266" s="89"/>
      <c r="AC266" s="88" t="str">
        <f t="shared" si="47"/>
        <v>NA</v>
      </c>
      <c r="AD266" s="88" t="str">
        <f t="shared" si="48"/>
        <v>NA</v>
      </c>
      <c r="AE266" s="111"/>
      <c r="AF266" s="112"/>
      <c r="AG266" s="113"/>
      <c r="AH266" s="112"/>
      <c r="AI266" s="31"/>
      <c r="AJ266" s="294"/>
      <c r="AK266" s="89"/>
      <c r="AL266" s="88" t="str">
        <f t="shared" si="49"/>
        <v>NA</v>
      </c>
      <c r="AM266" s="88" t="str">
        <f t="shared" si="50"/>
        <v>NA</v>
      </c>
      <c r="AN266" s="111"/>
      <c r="AO266" s="112"/>
      <c r="AP266" s="113"/>
      <c r="AQ266" s="112"/>
      <c r="AR266" s="31"/>
      <c r="AS266" s="32"/>
      <c r="AT266" s="90"/>
      <c r="AU266" s="88"/>
      <c r="AV266" s="88"/>
      <c r="AW266" s="111"/>
      <c r="AX266" s="112"/>
      <c r="AY266" s="113"/>
      <c r="AZ266" s="112"/>
      <c r="BA266" s="31"/>
      <c r="BB266" s="32"/>
      <c r="BC266" s="90"/>
      <c r="BD266" s="88"/>
      <c r="BE266" s="88"/>
      <c r="BF266" s="111"/>
      <c r="BG266" s="112"/>
      <c r="BH266" s="113"/>
      <c r="BI266" s="112"/>
      <c r="BJ266" s="31"/>
      <c r="BK266" s="32"/>
      <c r="BL266" s="90"/>
      <c r="BM266" s="88"/>
      <c r="BN266" s="88"/>
      <c r="BO266" s="111"/>
      <c r="BP266" s="112"/>
      <c r="BQ266" s="113"/>
      <c r="BR266" s="112"/>
      <c r="BS266" s="31"/>
      <c r="BT266" s="32"/>
      <c r="BU266" s="90"/>
      <c r="BV266" s="88"/>
      <c r="BW266" s="88"/>
      <c r="BX266" s="111"/>
      <c r="BY266" s="112"/>
      <c r="BZ266" s="113"/>
      <c r="CA266" s="112"/>
      <c r="CB266" s="31"/>
      <c r="CC266" s="32"/>
      <c r="CD266" s="90"/>
      <c r="CE266" s="88"/>
      <c r="CF266" s="88"/>
      <c r="CG266" s="111"/>
      <c r="CH266" s="112"/>
      <c r="CI266" s="113"/>
      <c r="CJ266" s="112"/>
      <c r="CK266" s="31"/>
      <c r="CL266" s="32"/>
      <c r="CM266" s="90"/>
      <c r="CN266" s="88"/>
      <c r="CO266" s="88"/>
      <c r="CP266" s="111"/>
      <c r="CQ266" s="112"/>
      <c r="CR266" s="113"/>
      <c r="CS266" s="112"/>
      <c r="CT266" s="55"/>
      <c r="CV266" s="230" t="s">
        <v>73</v>
      </c>
      <c r="CX266" s="226" t="s">
        <v>1424</v>
      </c>
      <c r="CY266" s="226" t="s">
        <v>1431</v>
      </c>
      <c r="CZ266" s="226" t="s">
        <v>541</v>
      </c>
      <c r="DA266" s="226" t="s">
        <v>541</v>
      </c>
      <c r="DB266" s="14"/>
      <c r="DC266" s="226" t="s">
        <v>541</v>
      </c>
      <c r="DD266" s="226" t="s">
        <v>1421</v>
      </c>
      <c r="DE266" s="226" t="s">
        <v>541</v>
      </c>
      <c r="DF266" s="226" t="s">
        <v>541</v>
      </c>
      <c r="DG266" s="226" t="s">
        <v>541</v>
      </c>
      <c r="DH266" s="14"/>
    </row>
    <row r="267" spans="1:112" ht="39" x14ac:dyDescent="0.25">
      <c r="A267" s="17" t="s">
        <v>518</v>
      </c>
      <c r="B267" s="17" t="s">
        <v>541</v>
      </c>
      <c r="C267" s="17" t="s">
        <v>70</v>
      </c>
      <c r="D267" s="17" t="s">
        <v>71</v>
      </c>
      <c r="E267" s="17" t="b">
        <f t="shared" si="46"/>
        <v>1</v>
      </c>
      <c r="F267" s="127" t="s">
        <v>518</v>
      </c>
      <c r="G267" s="248" t="s">
        <v>541</v>
      </c>
      <c r="H267" s="128" t="s">
        <v>70</v>
      </c>
      <c r="I267" s="128" t="s">
        <v>71</v>
      </c>
      <c r="J267" s="31"/>
      <c r="K267" s="102" t="s">
        <v>354</v>
      </c>
      <c r="L267" s="90"/>
      <c r="M267" s="111"/>
      <c r="N267" s="112"/>
      <c r="O267" s="113"/>
      <c r="P267" s="112"/>
      <c r="Q267" s="31"/>
      <c r="R267" s="102"/>
      <c r="S267" s="90"/>
      <c r="T267" s="88" t="str">
        <f t="shared" si="42"/>
        <v>NA</v>
      </c>
      <c r="U267" s="88" t="str">
        <f t="shared" si="43"/>
        <v>NA</v>
      </c>
      <c r="V267" s="111"/>
      <c r="W267" s="112"/>
      <c r="X267" s="113"/>
      <c r="Y267" s="112"/>
      <c r="Z267" s="31"/>
      <c r="AA267" s="296"/>
      <c r="AB267" s="89"/>
      <c r="AC267" s="88" t="str">
        <f t="shared" si="47"/>
        <v>NA</v>
      </c>
      <c r="AD267" s="88" t="str">
        <f t="shared" si="48"/>
        <v>NA</v>
      </c>
      <c r="AE267" s="111"/>
      <c r="AF267" s="112"/>
      <c r="AG267" s="113"/>
      <c r="AH267" s="112"/>
      <c r="AI267" s="31"/>
      <c r="AJ267" s="294"/>
      <c r="AK267" s="89"/>
      <c r="AL267" s="88" t="str">
        <f t="shared" si="49"/>
        <v>NA</v>
      </c>
      <c r="AM267" s="88" t="str">
        <f t="shared" si="50"/>
        <v>NA</v>
      </c>
      <c r="AN267" s="111"/>
      <c r="AO267" s="112"/>
      <c r="AP267" s="113"/>
      <c r="AQ267" s="112"/>
      <c r="AR267" s="31"/>
      <c r="AS267" s="32"/>
      <c r="AT267" s="90"/>
      <c r="AU267" s="88"/>
      <c r="AV267" s="88"/>
      <c r="AW267" s="111"/>
      <c r="AX267" s="112"/>
      <c r="AY267" s="113"/>
      <c r="AZ267" s="112"/>
      <c r="BA267" s="31"/>
      <c r="BB267" s="32"/>
      <c r="BC267" s="90"/>
      <c r="BD267" s="88"/>
      <c r="BE267" s="88"/>
      <c r="BF267" s="111"/>
      <c r="BG267" s="112"/>
      <c r="BH267" s="113"/>
      <c r="BI267" s="112"/>
      <c r="BJ267" s="31"/>
      <c r="BK267" s="32"/>
      <c r="BL267" s="90"/>
      <c r="BM267" s="88"/>
      <c r="BN267" s="88"/>
      <c r="BO267" s="111"/>
      <c r="BP267" s="112"/>
      <c r="BQ267" s="113"/>
      <c r="BR267" s="112"/>
      <c r="BS267" s="31"/>
      <c r="BT267" s="32"/>
      <c r="BU267" s="90"/>
      <c r="BV267" s="88"/>
      <c r="BW267" s="88"/>
      <c r="BX267" s="111"/>
      <c r="BY267" s="112"/>
      <c r="BZ267" s="113"/>
      <c r="CA267" s="112"/>
      <c r="CB267" s="31"/>
      <c r="CC267" s="32"/>
      <c r="CD267" s="90"/>
      <c r="CE267" s="88"/>
      <c r="CF267" s="88"/>
      <c r="CG267" s="111"/>
      <c r="CH267" s="112"/>
      <c r="CI267" s="113"/>
      <c r="CJ267" s="112"/>
      <c r="CK267" s="31"/>
      <c r="CL267" s="32"/>
      <c r="CM267" s="90"/>
      <c r="CN267" s="88"/>
      <c r="CO267" s="88"/>
      <c r="CP267" s="111"/>
      <c r="CQ267" s="112"/>
      <c r="CR267" s="113"/>
      <c r="CS267" s="112"/>
      <c r="CT267" s="55"/>
      <c r="CV267" s="230" t="s">
        <v>71</v>
      </c>
      <c r="CX267" s="226" t="s">
        <v>1424</v>
      </c>
      <c r="CY267" s="226" t="s">
        <v>1431</v>
      </c>
      <c r="CZ267" s="226" t="s">
        <v>541</v>
      </c>
      <c r="DA267" s="226" t="s">
        <v>541</v>
      </c>
      <c r="DB267" s="14"/>
      <c r="DC267" s="226" t="s">
        <v>541</v>
      </c>
      <c r="DD267" s="226" t="s">
        <v>1421</v>
      </c>
      <c r="DE267" s="226" t="s">
        <v>541</v>
      </c>
      <c r="DF267" s="226" t="s">
        <v>541</v>
      </c>
      <c r="DG267" s="226" t="s">
        <v>541</v>
      </c>
      <c r="DH267" s="14"/>
    </row>
    <row r="268" spans="1:112" ht="26" x14ac:dyDescent="0.25">
      <c r="A268" s="17" t="s">
        <v>519</v>
      </c>
      <c r="B268" s="17" t="s">
        <v>541</v>
      </c>
      <c r="C268" s="17" t="s">
        <v>68</v>
      </c>
      <c r="D268" s="17" t="s">
        <v>69</v>
      </c>
      <c r="E268" s="17" t="b">
        <f t="shared" si="46"/>
        <v>1</v>
      </c>
      <c r="F268" s="127" t="s">
        <v>519</v>
      </c>
      <c r="G268" s="248" t="s">
        <v>541</v>
      </c>
      <c r="H268" s="128" t="s">
        <v>68</v>
      </c>
      <c r="I268" s="128" t="s">
        <v>69</v>
      </c>
      <c r="J268" s="31"/>
      <c r="K268" s="102" t="s">
        <v>354</v>
      </c>
      <c r="L268" s="90"/>
      <c r="M268" s="111"/>
      <c r="N268" s="112"/>
      <c r="O268" s="113"/>
      <c r="P268" s="112"/>
      <c r="Q268" s="31"/>
      <c r="R268" s="102"/>
      <c r="S268" s="90"/>
      <c r="T268" s="88" t="str">
        <f t="shared" si="42"/>
        <v>NA</v>
      </c>
      <c r="U268" s="88" t="str">
        <f t="shared" si="43"/>
        <v>NA</v>
      </c>
      <c r="V268" s="111"/>
      <c r="W268" s="112"/>
      <c r="X268" s="113"/>
      <c r="Y268" s="112"/>
      <c r="Z268" s="31"/>
      <c r="AA268" s="296"/>
      <c r="AB268" s="89"/>
      <c r="AC268" s="88" t="str">
        <f t="shared" si="47"/>
        <v>NA</v>
      </c>
      <c r="AD268" s="88" t="str">
        <f t="shared" si="48"/>
        <v>NA</v>
      </c>
      <c r="AE268" s="111"/>
      <c r="AF268" s="112"/>
      <c r="AG268" s="113"/>
      <c r="AH268" s="112"/>
      <c r="AI268" s="31"/>
      <c r="AJ268" s="294"/>
      <c r="AK268" s="89"/>
      <c r="AL268" s="88" t="str">
        <f t="shared" si="49"/>
        <v>NA</v>
      </c>
      <c r="AM268" s="88" t="str">
        <f t="shared" si="50"/>
        <v>NA</v>
      </c>
      <c r="AN268" s="111"/>
      <c r="AO268" s="112"/>
      <c r="AP268" s="113"/>
      <c r="AQ268" s="112"/>
      <c r="AR268" s="31"/>
      <c r="AS268" s="32"/>
      <c r="AT268" s="90"/>
      <c r="AU268" s="88"/>
      <c r="AV268" s="88"/>
      <c r="AW268" s="111"/>
      <c r="AX268" s="112"/>
      <c r="AY268" s="113"/>
      <c r="AZ268" s="112"/>
      <c r="BA268" s="31"/>
      <c r="BB268" s="32"/>
      <c r="BC268" s="90"/>
      <c r="BD268" s="88"/>
      <c r="BE268" s="88"/>
      <c r="BF268" s="111"/>
      <c r="BG268" s="112"/>
      <c r="BH268" s="113"/>
      <c r="BI268" s="112"/>
      <c r="BJ268" s="31"/>
      <c r="BK268" s="32"/>
      <c r="BL268" s="90"/>
      <c r="BM268" s="88"/>
      <c r="BN268" s="88"/>
      <c r="BO268" s="111"/>
      <c r="BP268" s="112"/>
      <c r="BQ268" s="113"/>
      <c r="BR268" s="112"/>
      <c r="BS268" s="31"/>
      <c r="BT268" s="32"/>
      <c r="BU268" s="90"/>
      <c r="BV268" s="88"/>
      <c r="BW268" s="88"/>
      <c r="BX268" s="111"/>
      <c r="BY268" s="112"/>
      <c r="BZ268" s="113"/>
      <c r="CA268" s="112"/>
      <c r="CB268" s="31"/>
      <c r="CC268" s="32"/>
      <c r="CD268" s="90"/>
      <c r="CE268" s="88"/>
      <c r="CF268" s="88"/>
      <c r="CG268" s="111"/>
      <c r="CH268" s="112"/>
      <c r="CI268" s="113"/>
      <c r="CJ268" s="112"/>
      <c r="CK268" s="31"/>
      <c r="CL268" s="32"/>
      <c r="CM268" s="90"/>
      <c r="CN268" s="88"/>
      <c r="CO268" s="88"/>
      <c r="CP268" s="111"/>
      <c r="CQ268" s="112"/>
      <c r="CR268" s="113"/>
      <c r="CS268" s="112"/>
      <c r="CT268" s="55"/>
      <c r="CV268" s="230" t="s">
        <v>69</v>
      </c>
      <c r="CX268" s="226" t="s">
        <v>1425</v>
      </c>
      <c r="CY268" s="226" t="s">
        <v>541</v>
      </c>
      <c r="CZ268" s="226" t="s">
        <v>541</v>
      </c>
      <c r="DA268" s="226" t="s">
        <v>541</v>
      </c>
      <c r="DB268" s="14"/>
      <c r="DC268" s="226" t="s">
        <v>541</v>
      </c>
      <c r="DD268" s="226" t="s">
        <v>541</v>
      </c>
      <c r="DE268" s="226" t="s">
        <v>541</v>
      </c>
      <c r="DF268" s="226" t="s">
        <v>541</v>
      </c>
      <c r="DG268" s="226" t="s">
        <v>541</v>
      </c>
      <c r="DH268" s="14"/>
    </row>
    <row r="269" spans="1:112" ht="39" x14ac:dyDescent="0.25">
      <c r="A269" s="17" t="s">
        <v>520</v>
      </c>
      <c r="B269" s="17" t="s">
        <v>541</v>
      </c>
      <c r="C269" s="17" t="s">
        <v>66</v>
      </c>
      <c r="D269" s="17" t="s">
        <v>67</v>
      </c>
      <c r="E269" s="17" t="b">
        <f t="shared" si="46"/>
        <v>1</v>
      </c>
      <c r="F269" s="127" t="s">
        <v>520</v>
      </c>
      <c r="G269" s="248" t="s">
        <v>541</v>
      </c>
      <c r="H269" s="128" t="s">
        <v>66</v>
      </c>
      <c r="I269" s="128" t="s">
        <v>67</v>
      </c>
      <c r="J269" s="31"/>
      <c r="K269" s="102" t="s">
        <v>354</v>
      </c>
      <c r="L269" s="90"/>
      <c r="M269" s="111"/>
      <c r="N269" s="112"/>
      <c r="O269" s="113"/>
      <c r="P269" s="112"/>
      <c r="Q269" s="31"/>
      <c r="R269" s="102"/>
      <c r="S269" s="90"/>
      <c r="T269" s="88" t="str">
        <f t="shared" si="42"/>
        <v>NA</v>
      </c>
      <c r="U269" s="88" t="str">
        <f t="shared" si="43"/>
        <v>NA</v>
      </c>
      <c r="V269" s="111"/>
      <c r="W269" s="112"/>
      <c r="X269" s="113"/>
      <c r="Y269" s="112"/>
      <c r="Z269" s="31"/>
      <c r="AA269" s="296"/>
      <c r="AB269" s="89"/>
      <c r="AC269" s="88" t="str">
        <f t="shared" si="47"/>
        <v>NA</v>
      </c>
      <c r="AD269" s="88" t="str">
        <f t="shared" si="48"/>
        <v>NA</v>
      </c>
      <c r="AE269" s="111"/>
      <c r="AF269" s="112"/>
      <c r="AG269" s="113"/>
      <c r="AH269" s="112"/>
      <c r="AI269" s="31"/>
      <c r="AJ269" s="294"/>
      <c r="AK269" s="89"/>
      <c r="AL269" s="88" t="str">
        <f t="shared" si="49"/>
        <v>NA</v>
      </c>
      <c r="AM269" s="88" t="str">
        <f t="shared" si="50"/>
        <v>NA</v>
      </c>
      <c r="AN269" s="111"/>
      <c r="AO269" s="112"/>
      <c r="AP269" s="113"/>
      <c r="AQ269" s="112"/>
      <c r="AR269" s="31"/>
      <c r="AS269" s="32"/>
      <c r="AT269" s="90"/>
      <c r="AU269" s="88"/>
      <c r="AV269" s="88"/>
      <c r="AW269" s="111"/>
      <c r="AX269" s="112"/>
      <c r="AY269" s="113"/>
      <c r="AZ269" s="112"/>
      <c r="BA269" s="31"/>
      <c r="BB269" s="32"/>
      <c r="BC269" s="90"/>
      <c r="BD269" s="88"/>
      <c r="BE269" s="88"/>
      <c r="BF269" s="111"/>
      <c r="BG269" s="112"/>
      <c r="BH269" s="113"/>
      <c r="BI269" s="112"/>
      <c r="BJ269" s="31"/>
      <c r="BK269" s="32"/>
      <c r="BL269" s="90"/>
      <c r="BM269" s="88"/>
      <c r="BN269" s="88"/>
      <c r="BO269" s="111"/>
      <c r="BP269" s="112"/>
      <c r="BQ269" s="113"/>
      <c r="BR269" s="112"/>
      <c r="BS269" s="31"/>
      <c r="BT269" s="32"/>
      <c r="BU269" s="90"/>
      <c r="BV269" s="88"/>
      <c r="BW269" s="88"/>
      <c r="BX269" s="111"/>
      <c r="BY269" s="112"/>
      <c r="BZ269" s="113"/>
      <c r="CA269" s="112"/>
      <c r="CB269" s="31"/>
      <c r="CC269" s="32"/>
      <c r="CD269" s="90"/>
      <c r="CE269" s="88"/>
      <c r="CF269" s="88"/>
      <c r="CG269" s="111"/>
      <c r="CH269" s="112"/>
      <c r="CI269" s="113"/>
      <c r="CJ269" s="112"/>
      <c r="CK269" s="31"/>
      <c r="CL269" s="32"/>
      <c r="CM269" s="90"/>
      <c r="CN269" s="88"/>
      <c r="CO269" s="88"/>
      <c r="CP269" s="111"/>
      <c r="CQ269" s="112"/>
      <c r="CR269" s="113"/>
      <c r="CS269" s="112"/>
      <c r="CT269" s="55"/>
      <c r="CV269" s="230" t="s">
        <v>67</v>
      </c>
      <c r="CX269" s="226" t="s">
        <v>1425</v>
      </c>
      <c r="CY269" s="226" t="s">
        <v>1431</v>
      </c>
      <c r="CZ269" s="226" t="s">
        <v>541</v>
      </c>
      <c r="DA269" s="226" t="s">
        <v>541</v>
      </c>
      <c r="DB269" s="14"/>
      <c r="DC269" s="226" t="s">
        <v>541</v>
      </c>
      <c r="DD269" s="226" t="s">
        <v>1421</v>
      </c>
      <c r="DE269" s="226" t="s">
        <v>541</v>
      </c>
      <c r="DF269" s="226" t="s">
        <v>541</v>
      </c>
      <c r="DG269" s="226" t="s">
        <v>541</v>
      </c>
      <c r="DH269" s="14"/>
    </row>
    <row r="270" spans="1:112" ht="39" x14ac:dyDescent="0.25">
      <c r="A270" s="17" t="s">
        <v>521</v>
      </c>
      <c r="B270" s="17" t="s">
        <v>541</v>
      </c>
      <c r="C270" s="17" t="s">
        <v>64</v>
      </c>
      <c r="D270" s="17" t="s">
        <v>65</v>
      </c>
      <c r="E270" s="17" t="b">
        <f t="shared" si="46"/>
        <v>1</v>
      </c>
      <c r="F270" s="127" t="s">
        <v>521</v>
      </c>
      <c r="G270" s="248" t="s">
        <v>541</v>
      </c>
      <c r="H270" s="128" t="s">
        <v>64</v>
      </c>
      <c r="I270" s="128" t="s">
        <v>65</v>
      </c>
      <c r="J270" s="31"/>
      <c r="K270" s="102" t="s">
        <v>354</v>
      </c>
      <c r="L270" s="90"/>
      <c r="M270" s="111"/>
      <c r="N270" s="112"/>
      <c r="O270" s="113"/>
      <c r="P270" s="112"/>
      <c r="Q270" s="31"/>
      <c r="R270" s="102"/>
      <c r="S270" s="90"/>
      <c r="T270" s="88" t="str">
        <f t="shared" si="42"/>
        <v>NA</v>
      </c>
      <c r="U270" s="88" t="str">
        <f t="shared" si="43"/>
        <v>NA</v>
      </c>
      <c r="V270" s="111"/>
      <c r="W270" s="112"/>
      <c r="X270" s="113"/>
      <c r="Y270" s="112"/>
      <c r="Z270" s="31"/>
      <c r="AA270" s="296"/>
      <c r="AB270" s="89"/>
      <c r="AC270" s="88" t="str">
        <f t="shared" si="47"/>
        <v>NA</v>
      </c>
      <c r="AD270" s="88" t="str">
        <f t="shared" si="48"/>
        <v>NA</v>
      </c>
      <c r="AE270" s="111"/>
      <c r="AF270" s="112"/>
      <c r="AG270" s="113"/>
      <c r="AH270" s="112"/>
      <c r="AI270" s="31"/>
      <c r="AJ270" s="294"/>
      <c r="AK270" s="89"/>
      <c r="AL270" s="88" t="str">
        <f t="shared" si="49"/>
        <v>NA</v>
      </c>
      <c r="AM270" s="88" t="str">
        <f t="shared" si="50"/>
        <v>NA</v>
      </c>
      <c r="AN270" s="111"/>
      <c r="AO270" s="112"/>
      <c r="AP270" s="113"/>
      <c r="AQ270" s="112"/>
      <c r="AR270" s="31"/>
      <c r="AS270" s="32"/>
      <c r="AT270" s="90"/>
      <c r="AU270" s="88"/>
      <c r="AV270" s="88"/>
      <c r="AW270" s="111"/>
      <c r="AX270" s="112"/>
      <c r="AY270" s="113"/>
      <c r="AZ270" s="112"/>
      <c r="BA270" s="31"/>
      <c r="BB270" s="32"/>
      <c r="BC270" s="90"/>
      <c r="BD270" s="88"/>
      <c r="BE270" s="88"/>
      <c r="BF270" s="111"/>
      <c r="BG270" s="112"/>
      <c r="BH270" s="113"/>
      <c r="BI270" s="112"/>
      <c r="BJ270" s="31"/>
      <c r="BK270" s="32"/>
      <c r="BL270" s="90"/>
      <c r="BM270" s="88"/>
      <c r="BN270" s="88"/>
      <c r="BO270" s="111"/>
      <c r="BP270" s="112"/>
      <c r="BQ270" s="113"/>
      <c r="BR270" s="112"/>
      <c r="BS270" s="31"/>
      <c r="BT270" s="32"/>
      <c r="BU270" s="90"/>
      <c r="BV270" s="88"/>
      <c r="BW270" s="88"/>
      <c r="BX270" s="111"/>
      <c r="BY270" s="112"/>
      <c r="BZ270" s="113"/>
      <c r="CA270" s="112"/>
      <c r="CB270" s="31"/>
      <c r="CC270" s="32"/>
      <c r="CD270" s="90"/>
      <c r="CE270" s="88"/>
      <c r="CF270" s="88"/>
      <c r="CG270" s="111"/>
      <c r="CH270" s="112"/>
      <c r="CI270" s="113"/>
      <c r="CJ270" s="112"/>
      <c r="CK270" s="31"/>
      <c r="CL270" s="32"/>
      <c r="CM270" s="90"/>
      <c r="CN270" s="88"/>
      <c r="CO270" s="88"/>
      <c r="CP270" s="111"/>
      <c r="CQ270" s="112"/>
      <c r="CR270" s="113"/>
      <c r="CS270" s="112"/>
      <c r="CT270" s="55"/>
      <c r="CV270" s="230" t="s">
        <v>65</v>
      </c>
      <c r="CX270" s="226" t="s">
        <v>1425</v>
      </c>
      <c r="CY270" s="226" t="s">
        <v>1431</v>
      </c>
      <c r="CZ270" s="226" t="s">
        <v>541</v>
      </c>
      <c r="DA270" s="226" t="s">
        <v>541</v>
      </c>
      <c r="DB270" s="14"/>
      <c r="DC270" s="226" t="s">
        <v>541</v>
      </c>
      <c r="DD270" s="226" t="s">
        <v>1421</v>
      </c>
      <c r="DE270" s="226" t="s">
        <v>541</v>
      </c>
      <c r="DF270" s="226" t="s">
        <v>541</v>
      </c>
      <c r="DG270" s="226" t="s">
        <v>541</v>
      </c>
      <c r="DH270" s="14"/>
    </row>
    <row r="271" spans="1:112" ht="26" x14ac:dyDescent="0.25">
      <c r="A271" s="17" t="s">
        <v>522</v>
      </c>
      <c r="B271" s="17" t="s">
        <v>541</v>
      </c>
      <c r="C271" s="17" t="s">
        <v>62</v>
      </c>
      <c r="D271" s="17" t="s">
        <v>63</v>
      </c>
      <c r="E271" s="17" t="b">
        <f t="shared" si="46"/>
        <v>1</v>
      </c>
      <c r="F271" s="127" t="s">
        <v>522</v>
      </c>
      <c r="G271" s="248" t="s">
        <v>541</v>
      </c>
      <c r="H271" s="128" t="s">
        <v>62</v>
      </c>
      <c r="I271" s="128" t="s">
        <v>63</v>
      </c>
      <c r="J271" s="31"/>
      <c r="K271" s="102" t="s">
        <v>354</v>
      </c>
      <c r="L271" s="90"/>
      <c r="M271" s="111"/>
      <c r="N271" s="112"/>
      <c r="O271" s="113"/>
      <c r="P271" s="112"/>
      <c r="Q271" s="31"/>
      <c r="R271" s="102"/>
      <c r="S271" s="90"/>
      <c r="T271" s="88" t="str">
        <f t="shared" si="42"/>
        <v>NA</v>
      </c>
      <c r="U271" s="88" t="str">
        <f t="shared" si="43"/>
        <v>NA</v>
      </c>
      <c r="V271" s="111"/>
      <c r="W271" s="112"/>
      <c r="X271" s="113"/>
      <c r="Y271" s="112"/>
      <c r="Z271" s="31"/>
      <c r="AA271" s="296"/>
      <c r="AB271" s="89"/>
      <c r="AC271" s="88" t="str">
        <f t="shared" si="47"/>
        <v>NA</v>
      </c>
      <c r="AD271" s="88" t="str">
        <f t="shared" si="48"/>
        <v>NA</v>
      </c>
      <c r="AE271" s="111"/>
      <c r="AF271" s="112"/>
      <c r="AG271" s="113"/>
      <c r="AH271" s="112"/>
      <c r="AI271" s="31"/>
      <c r="AJ271" s="294"/>
      <c r="AK271" s="89"/>
      <c r="AL271" s="88" t="str">
        <f t="shared" si="49"/>
        <v>NA</v>
      </c>
      <c r="AM271" s="88" t="str">
        <f t="shared" si="50"/>
        <v>NA</v>
      </c>
      <c r="AN271" s="111"/>
      <c r="AO271" s="112"/>
      <c r="AP271" s="113"/>
      <c r="AQ271" s="112"/>
      <c r="AR271" s="31"/>
      <c r="AS271" s="32"/>
      <c r="AT271" s="90"/>
      <c r="AU271" s="88"/>
      <c r="AV271" s="88"/>
      <c r="AW271" s="111"/>
      <c r="AX271" s="112"/>
      <c r="AY271" s="113"/>
      <c r="AZ271" s="112"/>
      <c r="BA271" s="31"/>
      <c r="BB271" s="32"/>
      <c r="BC271" s="90"/>
      <c r="BD271" s="88"/>
      <c r="BE271" s="88"/>
      <c r="BF271" s="111"/>
      <c r="BG271" s="112"/>
      <c r="BH271" s="113"/>
      <c r="BI271" s="112"/>
      <c r="BJ271" s="31"/>
      <c r="BK271" s="32"/>
      <c r="BL271" s="90"/>
      <c r="BM271" s="88"/>
      <c r="BN271" s="88"/>
      <c r="BO271" s="111"/>
      <c r="BP271" s="112"/>
      <c r="BQ271" s="113"/>
      <c r="BR271" s="112"/>
      <c r="BS271" s="31"/>
      <c r="BT271" s="32"/>
      <c r="BU271" s="90"/>
      <c r="BV271" s="88"/>
      <c r="BW271" s="88"/>
      <c r="BX271" s="111"/>
      <c r="BY271" s="112"/>
      <c r="BZ271" s="113"/>
      <c r="CA271" s="112"/>
      <c r="CB271" s="31"/>
      <c r="CC271" s="32"/>
      <c r="CD271" s="90"/>
      <c r="CE271" s="88"/>
      <c r="CF271" s="88"/>
      <c r="CG271" s="111"/>
      <c r="CH271" s="112"/>
      <c r="CI271" s="113"/>
      <c r="CJ271" s="112"/>
      <c r="CK271" s="31"/>
      <c r="CL271" s="32"/>
      <c r="CM271" s="90"/>
      <c r="CN271" s="88"/>
      <c r="CO271" s="88"/>
      <c r="CP271" s="111"/>
      <c r="CQ271" s="112"/>
      <c r="CR271" s="113"/>
      <c r="CS271" s="112"/>
      <c r="CT271" s="55"/>
      <c r="CV271" s="230" t="s">
        <v>63</v>
      </c>
      <c r="CX271" s="226" t="s">
        <v>1424</v>
      </c>
      <c r="CY271" s="226" t="s">
        <v>541</v>
      </c>
      <c r="CZ271" s="226" t="s">
        <v>541</v>
      </c>
      <c r="DA271" s="226" t="s">
        <v>541</v>
      </c>
      <c r="DB271" s="239" t="s">
        <v>1472</v>
      </c>
      <c r="DC271" s="226" t="s">
        <v>541</v>
      </c>
      <c r="DD271" s="226" t="s">
        <v>541</v>
      </c>
      <c r="DE271" s="226" t="s">
        <v>541</v>
      </c>
      <c r="DF271" s="226" t="s">
        <v>541</v>
      </c>
      <c r="DG271" s="226" t="s">
        <v>541</v>
      </c>
      <c r="DH271" s="14"/>
    </row>
    <row r="272" spans="1:112" ht="39" x14ac:dyDescent="0.25">
      <c r="A272" s="17" t="s">
        <v>1004</v>
      </c>
      <c r="B272" s="17" t="s">
        <v>1362</v>
      </c>
      <c r="C272" s="17" t="s">
        <v>1415</v>
      </c>
      <c r="D272" s="17" t="s">
        <v>63</v>
      </c>
      <c r="E272" s="17" t="b">
        <f t="shared" si="46"/>
        <v>1</v>
      </c>
      <c r="F272" s="232" t="s">
        <v>2140</v>
      </c>
      <c r="G272" s="277" t="s">
        <v>2204</v>
      </c>
      <c r="H272" s="128" t="s">
        <v>1415</v>
      </c>
      <c r="I272" s="233" t="s">
        <v>63</v>
      </c>
      <c r="J272" s="31"/>
      <c r="K272" s="102" t="s">
        <v>354</v>
      </c>
      <c r="L272" s="90"/>
      <c r="M272" s="111"/>
      <c r="N272" s="112"/>
      <c r="O272" s="113"/>
      <c r="P272" s="112"/>
      <c r="Q272" s="31"/>
      <c r="R272" s="102"/>
      <c r="S272" s="90"/>
      <c r="T272" s="88" t="str">
        <f t="shared" si="42"/>
        <v>NA</v>
      </c>
      <c r="U272" s="88" t="str">
        <f t="shared" si="43"/>
        <v>NA</v>
      </c>
      <c r="V272" s="111"/>
      <c r="W272" s="112"/>
      <c r="X272" s="113"/>
      <c r="Y272" s="112"/>
      <c r="Z272" s="31"/>
      <c r="AA272" s="296"/>
      <c r="AB272" s="89"/>
      <c r="AC272" s="88" t="str">
        <f t="shared" si="47"/>
        <v>NA</v>
      </c>
      <c r="AD272" s="88" t="str">
        <f t="shared" si="48"/>
        <v>NA</v>
      </c>
      <c r="AE272" s="111"/>
      <c r="AF272" s="112"/>
      <c r="AG272" s="113"/>
      <c r="AH272" s="112"/>
      <c r="AI272" s="31"/>
      <c r="AJ272" s="294"/>
      <c r="AK272" s="89"/>
      <c r="AL272" s="88" t="str">
        <f t="shared" si="49"/>
        <v>NA</v>
      </c>
      <c r="AM272" s="88" t="str">
        <f t="shared" si="50"/>
        <v>NA</v>
      </c>
      <c r="AN272" s="111"/>
      <c r="AO272" s="112"/>
      <c r="AP272" s="113"/>
      <c r="AQ272" s="112"/>
      <c r="AR272" s="31"/>
      <c r="AS272" s="32"/>
      <c r="AT272" s="90"/>
      <c r="AU272" s="88"/>
      <c r="AV272" s="88"/>
      <c r="AW272" s="111"/>
      <c r="AX272" s="112"/>
      <c r="AY272" s="113"/>
      <c r="AZ272" s="112"/>
      <c r="BA272" s="31"/>
      <c r="BB272" s="32"/>
      <c r="BC272" s="90"/>
      <c r="BD272" s="88"/>
      <c r="BE272" s="88"/>
      <c r="BF272" s="111"/>
      <c r="BG272" s="112"/>
      <c r="BH272" s="113"/>
      <c r="BI272" s="112"/>
      <c r="BJ272" s="31"/>
      <c r="BK272" s="32"/>
      <c r="BL272" s="90"/>
      <c r="BM272" s="88"/>
      <c r="BN272" s="88"/>
      <c r="BO272" s="111"/>
      <c r="BP272" s="112"/>
      <c r="BQ272" s="113"/>
      <c r="BR272" s="112"/>
      <c r="BS272" s="31"/>
      <c r="BT272" s="32"/>
      <c r="BU272" s="90"/>
      <c r="BV272" s="88"/>
      <c r="BW272" s="88"/>
      <c r="BX272" s="111"/>
      <c r="BY272" s="112"/>
      <c r="BZ272" s="113"/>
      <c r="CA272" s="112"/>
      <c r="CB272" s="31"/>
      <c r="CC272" s="32"/>
      <c r="CD272" s="90"/>
      <c r="CE272" s="88"/>
      <c r="CF272" s="88"/>
      <c r="CG272" s="111"/>
      <c r="CH272" s="112"/>
      <c r="CI272" s="113"/>
      <c r="CJ272" s="112"/>
      <c r="CK272" s="31"/>
      <c r="CL272" s="32"/>
      <c r="CM272" s="90"/>
      <c r="CN272" s="88"/>
      <c r="CO272" s="88"/>
      <c r="CP272" s="111"/>
      <c r="CQ272" s="112"/>
      <c r="CR272" s="113"/>
      <c r="CS272" s="112"/>
      <c r="CT272" s="55"/>
      <c r="CV272" s="230"/>
      <c r="CX272" s="226" t="s">
        <v>1424</v>
      </c>
      <c r="CY272" s="226" t="s">
        <v>1473</v>
      </c>
      <c r="CZ272" s="226" t="s">
        <v>541</v>
      </c>
      <c r="DA272" s="226" t="s">
        <v>541</v>
      </c>
      <c r="DB272" s="226"/>
      <c r="DC272" s="226" t="s">
        <v>541</v>
      </c>
      <c r="DD272" s="226" t="s">
        <v>1421</v>
      </c>
      <c r="DE272" s="226" t="s">
        <v>541</v>
      </c>
      <c r="DF272" s="226" t="s">
        <v>541</v>
      </c>
      <c r="DG272" s="226" t="s">
        <v>541</v>
      </c>
      <c r="DH272" s="14"/>
    </row>
    <row r="273" spans="1:112" ht="117" x14ac:dyDescent="0.25">
      <c r="A273" s="17" t="s">
        <v>1004</v>
      </c>
      <c r="B273" s="17" t="s">
        <v>1363</v>
      </c>
      <c r="C273" s="17" t="s">
        <v>1416</v>
      </c>
      <c r="D273" s="17" t="s">
        <v>1364</v>
      </c>
      <c r="E273" s="17" t="b">
        <f t="shared" si="46"/>
        <v>1</v>
      </c>
      <c r="F273" s="232" t="s">
        <v>2141</v>
      </c>
      <c r="G273" s="277" t="s">
        <v>2205</v>
      </c>
      <c r="H273" s="128" t="s">
        <v>1416</v>
      </c>
      <c r="I273" s="233" t="s">
        <v>1364</v>
      </c>
      <c r="J273" s="31"/>
      <c r="K273" s="102" t="s">
        <v>354</v>
      </c>
      <c r="L273" s="90"/>
      <c r="M273" s="111"/>
      <c r="N273" s="112"/>
      <c r="O273" s="113"/>
      <c r="P273" s="112"/>
      <c r="Q273" s="31"/>
      <c r="R273" s="102"/>
      <c r="S273" s="90"/>
      <c r="T273" s="88" t="str">
        <f t="shared" si="42"/>
        <v>NA</v>
      </c>
      <c r="U273" s="88" t="str">
        <f t="shared" si="43"/>
        <v>NA</v>
      </c>
      <c r="V273" s="111"/>
      <c r="W273" s="112"/>
      <c r="X273" s="113"/>
      <c r="Y273" s="112"/>
      <c r="Z273" s="31"/>
      <c r="AA273" s="296"/>
      <c r="AB273" s="89"/>
      <c r="AC273" s="88" t="str">
        <f t="shared" si="47"/>
        <v>NA</v>
      </c>
      <c r="AD273" s="88" t="str">
        <f t="shared" si="48"/>
        <v>NA</v>
      </c>
      <c r="AE273" s="111"/>
      <c r="AF273" s="112"/>
      <c r="AG273" s="113"/>
      <c r="AH273" s="112"/>
      <c r="AI273" s="31"/>
      <c r="AJ273" s="294"/>
      <c r="AK273" s="89"/>
      <c r="AL273" s="88" t="str">
        <f t="shared" si="49"/>
        <v>NA</v>
      </c>
      <c r="AM273" s="88" t="str">
        <f t="shared" si="50"/>
        <v>NA</v>
      </c>
      <c r="AN273" s="111"/>
      <c r="AO273" s="112"/>
      <c r="AP273" s="113"/>
      <c r="AQ273" s="112"/>
      <c r="AR273" s="31"/>
      <c r="AS273" s="32"/>
      <c r="AT273" s="90"/>
      <c r="AU273" s="88"/>
      <c r="AV273" s="88"/>
      <c r="AW273" s="111"/>
      <c r="AX273" s="112"/>
      <c r="AY273" s="113"/>
      <c r="AZ273" s="112"/>
      <c r="BA273" s="31"/>
      <c r="BB273" s="32"/>
      <c r="BC273" s="90"/>
      <c r="BD273" s="88"/>
      <c r="BE273" s="88"/>
      <c r="BF273" s="111"/>
      <c r="BG273" s="112"/>
      <c r="BH273" s="113"/>
      <c r="BI273" s="112"/>
      <c r="BJ273" s="31"/>
      <c r="BK273" s="32"/>
      <c r="BL273" s="90"/>
      <c r="BM273" s="88"/>
      <c r="BN273" s="88"/>
      <c r="BO273" s="111"/>
      <c r="BP273" s="112"/>
      <c r="BQ273" s="113"/>
      <c r="BR273" s="112"/>
      <c r="BS273" s="31"/>
      <c r="BT273" s="32"/>
      <c r="BU273" s="90"/>
      <c r="BV273" s="88"/>
      <c r="BW273" s="88"/>
      <c r="BX273" s="111"/>
      <c r="BY273" s="112"/>
      <c r="BZ273" s="113"/>
      <c r="CA273" s="112"/>
      <c r="CB273" s="31"/>
      <c r="CC273" s="32"/>
      <c r="CD273" s="90"/>
      <c r="CE273" s="88"/>
      <c r="CF273" s="88"/>
      <c r="CG273" s="111"/>
      <c r="CH273" s="112"/>
      <c r="CI273" s="113"/>
      <c r="CJ273" s="112"/>
      <c r="CK273" s="31"/>
      <c r="CL273" s="32"/>
      <c r="CM273" s="90"/>
      <c r="CN273" s="88"/>
      <c r="CO273" s="88"/>
      <c r="CP273" s="111"/>
      <c r="CQ273" s="112"/>
      <c r="CR273" s="113"/>
      <c r="CS273" s="112"/>
      <c r="CT273" s="55"/>
      <c r="CV273" s="230"/>
      <c r="CX273" s="226" t="s">
        <v>1425</v>
      </c>
      <c r="CY273" s="226" t="s">
        <v>1473</v>
      </c>
      <c r="CZ273" s="226" t="s">
        <v>541</v>
      </c>
      <c r="DA273" s="226" t="s">
        <v>541</v>
      </c>
      <c r="DB273" s="14"/>
      <c r="DC273" s="226" t="s">
        <v>541</v>
      </c>
      <c r="DD273" s="226" t="s">
        <v>1421</v>
      </c>
      <c r="DE273" s="226" t="s">
        <v>541</v>
      </c>
      <c r="DF273" s="226" t="s">
        <v>541</v>
      </c>
      <c r="DG273" s="226" t="s">
        <v>541</v>
      </c>
      <c r="DH273" s="14"/>
    </row>
    <row r="274" spans="1:112" ht="104" x14ac:dyDescent="0.25">
      <c r="A274" s="17" t="s">
        <v>581</v>
      </c>
      <c r="B274" s="17" t="s">
        <v>541</v>
      </c>
      <c r="C274" s="17" t="s">
        <v>618</v>
      </c>
      <c r="D274" s="17" t="s">
        <v>693</v>
      </c>
      <c r="E274" s="17" t="b">
        <f t="shared" si="46"/>
        <v>1</v>
      </c>
      <c r="F274" s="127" t="s">
        <v>581</v>
      </c>
      <c r="G274" s="248" t="s">
        <v>541</v>
      </c>
      <c r="H274" s="128" t="s">
        <v>618</v>
      </c>
      <c r="I274" s="128" t="s">
        <v>693</v>
      </c>
      <c r="J274" s="31"/>
      <c r="K274" s="102" t="s">
        <v>354</v>
      </c>
      <c r="L274" s="90"/>
      <c r="M274" s="111"/>
      <c r="N274" s="112"/>
      <c r="O274" s="113"/>
      <c r="P274" s="112"/>
      <c r="Q274" s="31"/>
      <c r="R274" s="102"/>
      <c r="S274" s="90"/>
      <c r="T274" s="88" t="str">
        <f t="shared" si="42"/>
        <v>NA</v>
      </c>
      <c r="U274" s="88" t="str">
        <f t="shared" si="43"/>
        <v>NA</v>
      </c>
      <c r="V274" s="111"/>
      <c r="W274" s="112"/>
      <c r="X274" s="113"/>
      <c r="Y274" s="112"/>
      <c r="Z274" s="31"/>
      <c r="AA274" s="296"/>
      <c r="AB274" s="89"/>
      <c r="AC274" s="88" t="str">
        <f t="shared" si="47"/>
        <v>NA</v>
      </c>
      <c r="AD274" s="88" t="str">
        <f t="shared" si="48"/>
        <v>NA</v>
      </c>
      <c r="AE274" s="111"/>
      <c r="AF274" s="112"/>
      <c r="AG274" s="113"/>
      <c r="AH274" s="112"/>
      <c r="AI274" s="31"/>
      <c r="AJ274" s="294"/>
      <c r="AK274" s="89"/>
      <c r="AL274" s="88" t="str">
        <f t="shared" si="49"/>
        <v>NA</v>
      </c>
      <c r="AM274" s="88" t="str">
        <f t="shared" si="50"/>
        <v>NA</v>
      </c>
      <c r="AN274" s="111"/>
      <c r="AO274" s="112"/>
      <c r="AP274" s="113"/>
      <c r="AQ274" s="112"/>
      <c r="AR274" s="31"/>
      <c r="AS274" s="32"/>
      <c r="AT274" s="90"/>
      <c r="AU274" s="88"/>
      <c r="AV274" s="88"/>
      <c r="AW274" s="111"/>
      <c r="AX274" s="112"/>
      <c r="AY274" s="113"/>
      <c r="AZ274" s="112"/>
      <c r="BA274" s="31"/>
      <c r="BB274" s="32"/>
      <c r="BC274" s="90"/>
      <c r="BD274" s="88"/>
      <c r="BE274" s="88"/>
      <c r="BF274" s="111"/>
      <c r="BG274" s="112"/>
      <c r="BH274" s="113"/>
      <c r="BI274" s="112"/>
      <c r="BJ274" s="31"/>
      <c r="BK274" s="32"/>
      <c r="BL274" s="90"/>
      <c r="BM274" s="88"/>
      <c r="BN274" s="88"/>
      <c r="BO274" s="111"/>
      <c r="BP274" s="112"/>
      <c r="BQ274" s="113"/>
      <c r="BR274" s="112"/>
      <c r="BS274" s="31"/>
      <c r="BT274" s="32"/>
      <c r="BU274" s="90"/>
      <c r="BV274" s="88"/>
      <c r="BW274" s="88"/>
      <c r="BX274" s="111"/>
      <c r="BY274" s="112"/>
      <c r="BZ274" s="113"/>
      <c r="CA274" s="112"/>
      <c r="CB274" s="31"/>
      <c r="CC274" s="32"/>
      <c r="CD274" s="90"/>
      <c r="CE274" s="88"/>
      <c r="CF274" s="88"/>
      <c r="CG274" s="111"/>
      <c r="CH274" s="112"/>
      <c r="CI274" s="113"/>
      <c r="CJ274" s="112"/>
      <c r="CK274" s="31"/>
      <c r="CL274" s="32"/>
      <c r="CM274" s="90"/>
      <c r="CN274" s="88"/>
      <c r="CO274" s="88"/>
      <c r="CP274" s="111"/>
      <c r="CQ274" s="112"/>
      <c r="CR274" s="113"/>
      <c r="CS274" s="112"/>
      <c r="CT274" s="55"/>
      <c r="CV274" s="230" t="s">
        <v>693</v>
      </c>
      <c r="CX274" s="226" t="s">
        <v>1424</v>
      </c>
      <c r="CY274" s="226" t="s">
        <v>1437</v>
      </c>
      <c r="CZ274" s="226" t="s">
        <v>541</v>
      </c>
      <c r="DA274" s="226" t="s">
        <v>541</v>
      </c>
      <c r="DB274" s="226"/>
      <c r="DC274" s="226" t="s">
        <v>541</v>
      </c>
      <c r="DD274" s="226" t="s">
        <v>1421</v>
      </c>
      <c r="DE274" s="226" t="s">
        <v>541</v>
      </c>
      <c r="DF274" s="226" t="s">
        <v>541</v>
      </c>
      <c r="DG274" s="226" t="s">
        <v>541</v>
      </c>
      <c r="DH274" s="14"/>
    </row>
    <row r="275" spans="1:112" ht="104" x14ac:dyDescent="0.25">
      <c r="A275" s="17" t="s">
        <v>582</v>
      </c>
      <c r="B275" s="17" t="s">
        <v>541</v>
      </c>
      <c r="C275" s="17" t="s">
        <v>619</v>
      </c>
      <c r="D275" s="17" t="s">
        <v>694</v>
      </c>
      <c r="E275" s="17" t="b">
        <f t="shared" si="46"/>
        <v>1</v>
      </c>
      <c r="F275" s="127" t="s">
        <v>582</v>
      </c>
      <c r="G275" s="248" t="s">
        <v>541</v>
      </c>
      <c r="H275" s="128" t="s">
        <v>619</v>
      </c>
      <c r="I275" s="128" t="s">
        <v>694</v>
      </c>
      <c r="J275" s="31"/>
      <c r="K275" s="102" t="s">
        <v>354</v>
      </c>
      <c r="L275" s="90"/>
      <c r="M275" s="111"/>
      <c r="N275" s="112"/>
      <c r="O275" s="113"/>
      <c r="P275" s="112"/>
      <c r="Q275" s="31"/>
      <c r="R275" s="102"/>
      <c r="S275" s="90"/>
      <c r="T275" s="88" t="str">
        <f t="shared" si="42"/>
        <v>NA</v>
      </c>
      <c r="U275" s="88" t="str">
        <f t="shared" si="43"/>
        <v>NA</v>
      </c>
      <c r="V275" s="111"/>
      <c r="W275" s="112"/>
      <c r="X275" s="113"/>
      <c r="Y275" s="112"/>
      <c r="Z275" s="31"/>
      <c r="AA275" s="296"/>
      <c r="AB275" s="89"/>
      <c r="AC275" s="88" t="str">
        <f t="shared" si="47"/>
        <v>NA</v>
      </c>
      <c r="AD275" s="88" t="str">
        <f t="shared" si="48"/>
        <v>NA</v>
      </c>
      <c r="AE275" s="111"/>
      <c r="AF275" s="112"/>
      <c r="AG275" s="113"/>
      <c r="AH275" s="112"/>
      <c r="AI275" s="31"/>
      <c r="AJ275" s="294"/>
      <c r="AK275" s="89"/>
      <c r="AL275" s="88" t="str">
        <f t="shared" si="49"/>
        <v>NA</v>
      </c>
      <c r="AM275" s="88" t="str">
        <f t="shared" si="50"/>
        <v>NA</v>
      </c>
      <c r="AN275" s="111"/>
      <c r="AO275" s="112"/>
      <c r="AP275" s="113"/>
      <c r="AQ275" s="112"/>
      <c r="AR275" s="31"/>
      <c r="AS275" s="32"/>
      <c r="AT275" s="90"/>
      <c r="AU275" s="88"/>
      <c r="AV275" s="88"/>
      <c r="AW275" s="111"/>
      <c r="AX275" s="112"/>
      <c r="AY275" s="113"/>
      <c r="AZ275" s="112"/>
      <c r="BA275" s="31"/>
      <c r="BB275" s="32"/>
      <c r="BC275" s="90"/>
      <c r="BD275" s="88"/>
      <c r="BE275" s="88"/>
      <c r="BF275" s="111"/>
      <c r="BG275" s="112"/>
      <c r="BH275" s="113"/>
      <c r="BI275" s="112"/>
      <c r="BJ275" s="31"/>
      <c r="BK275" s="32"/>
      <c r="BL275" s="90"/>
      <c r="BM275" s="88"/>
      <c r="BN275" s="88"/>
      <c r="BO275" s="111"/>
      <c r="BP275" s="112"/>
      <c r="BQ275" s="113"/>
      <c r="BR275" s="112"/>
      <c r="BS275" s="31"/>
      <c r="BT275" s="32"/>
      <c r="BU275" s="90"/>
      <c r="BV275" s="88"/>
      <c r="BW275" s="88"/>
      <c r="BX275" s="111"/>
      <c r="BY275" s="112"/>
      <c r="BZ275" s="113"/>
      <c r="CA275" s="112"/>
      <c r="CB275" s="31"/>
      <c r="CC275" s="32"/>
      <c r="CD275" s="90"/>
      <c r="CE275" s="88"/>
      <c r="CF275" s="88"/>
      <c r="CG275" s="111"/>
      <c r="CH275" s="112"/>
      <c r="CI275" s="113"/>
      <c r="CJ275" s="112"/>
      <c r="CK275" s="31"/>
      <c r="CL275" s="32"/>
      <c r="CM275" s="90"/>
      <c r="CN275" s="88"/>
      <c r="CO275" s="88"/>
      <c r="CP275" s="111"/>
      <c r="CQ275" s="112"/>
      <c r="CR275" s="113"/>
      <c r="CS275" s="112"/>
      <c r="CT275" s="55"/>
      <c r="CV275" s="230" t="s">
        <v>694</v>
      </c>
      <c r="CX275" s="226" t="s">
        <v>1425</v>
      </c>
      <c r="CY275" s="226" t="s">
        <v>1437</v>
      </c>
      <c r="CZ275" s="226" t="s">
        <v>541</v>
      </c>
      <c r="DA275" s="226" t="s">
        <v>541</v>
      </c>
      <c r="DB275" s="14"/>
      <c r="DC275" s="226" t="s">
        <v>541</v>
      </c>
      <c r="DD275" s="226" t="s">
        <v>1421</v>
      </c>
      <c r="DE275" s="226" t="s">
        <v>541</v>
      </c>
      <c r="DF275" s="226" t="s">
        <v>541</v>
      </c>
      <c r="DG275" s="226" t="s">
        <v>541</v>
      </c>
      <c r="DH275" s="14"/>
    </row>
    <row r="276" spans="1:112" ht="39" x14ac:dyDescent="0.25">
      <c r="A276" s="17" t="s">
        <v>523</v>
      </c>
      <c r="B276" s="17" t="s">
        <v>541</v>
      </c>
      <c r="C276" s="17" t="s">
        <v>60</v>
      </c>
      <c r="D276" s="17" t="s">
        <v>61</v>
      </c>
      <c r="E276" s="17" t="b">
        <f t="shared" si="46"/>
        <v>1</v>
      </c>
      <c r="F276" s="127" t="s">
        <v>523</v>
      </c>
      <c r="G276" s="248" t="s">
        <v>541</v>
      </c>
      <c r="H276" s="128" t="s">
        <v>60</v>
      </c>
      <c r="I276" s="128" t="s">
        <v>61</v>
      </c>
      <c r="J276" s="31"/>
      <c r="K276" s="102" t="s">
        <v>354</v>
      </c>
      <c r="L276" s="90" t="s">
        <v>31</v>
      </c>
      <c r="M276" s="111" t="s">
        <v>2470</v>
      </c>
      <c r="N276" s="112"/>
      <c r="O276" s="113"/>
      <c r="P276" s="112"/>
      <c r="Q276" s="31"/>
      <c r="R276" s="102"/>
      <c r="S276" s="90"/>
      <c r="T276" s="88" t="str">
        <f t="shared" si="42"/>
        <v>NA</v>
      </c>
      <c r="U276" s="88" t="str">
        <f t="shared" si="43"/>
        <v>YES</v>
      </c>
      <c r="V276" s="111"/>
      <c r="W276" s="112"/>
      <c r="X276" s="113"/>
      <c r="Y276" s="112"/>
      <c r="Z276" s="31"/>
      <c r="AA276" s="296"/>
      <c r="AB276" s="89"/>
      <c r="AC276" s="88" t="str">
        <f t="shared" si="47"/>
        <v>NA</v>
      </c>
      <c r="AD276" s="88" t="str">
        <f t="shared" si="48"/>
        <v>NA</v>
      </c>
      <c r="AE276" s="111"/>
      <c r="AF276" s="112"/>
      <c r="AG276" s="113"/>
      <c r="AH276" s="112"/>
      <c r="AI276" s="31"/>
      <c r="AJ276" s="294"/>
      <c r="AK276" s="89"/>
      <c r="AL276" s="88" t="str">
        <f t="shared" si="49"/>
        <v>NA</v>
      </c>
      <c r="AM276" s="88" t="str">
        <f t="shared" si="50"/>
        <v>NA</v>
      </c>
      <c r="AN276" s="111"/>
      <c r="AO276" s="112"/>
      <c r="AP276" s="113"/>
      <c r="AQ276" s="112"/>
      <c r="AR276" s="31"/>
      <c r="AS276" s="32"/>
      <c r="AT276" s="90"/>
      <c r="AU276" s="88"/>
      <c r="AV276" s="88"/>
      <c r="AW276" s="111"/>
      <c r="AX276" s="112"/>
      <c r="AY276" s="113"/>
      <c r="AZ276" s="112"/>
      <c r="BA276" s="31"/>
      <c r="BB276" s="32"/>
      <c r="BC276" s="90"/>
      <c r="BD276" s="88"/>
      <c r="BE276" s="88"/>
      <c r="BF276" s="111"/>
      <c r="BG276" s="112"/>
      <c r="BH276" s="113"/>
      <c r="BI276" s="112"/>
      <c r="BJ276" s="31"/>
      <c r="BK276" s="32"/>
      <c r="BL276" s="90"/>
      <c r="BM276" s="88"/>
      <c r="BN276" s="88"/>
      <c r="BO276" s="111"/>
      <c r="BP276" s="112"/>
      <c r="BQ276" s="113"/>
      <c r="BR276" s="112"/>
      <c r="BS276" s="31"/>
      <c r="BT276" s="32"/>
      <c r="BU276" s="90"/>
      <c r="BV276" s="88"/>
      <c r="BW276" s="88"/>
      <c r="BX276" s="111"/>
      <c r="BY276" s="112"/>
      <c r="BZ276" s="113"/>
      <c r="CA276" s="112"/>
      <c r="CB276" s="31"/>
      <c r="CC276" s="32"/>
      <c r="CD276" s="90"/>
      <c r="CE276" s="88"/>
      <c r="CF276" s="88"/>
      <c r="CG276" s="111"/>
      <c r="CH276" s="112"/>
      <c r="CI276" s="113"/>
      <c r="CJ276" s="112"/>
      <c r="CK276" s="31"/>
      <c r="CL276" s="32"/>
      <c r="CM276" s="90"/>
      <c r="CN276" s="88"/>
      <c r="CO276" s="88"/>
      <c r="CP276" s="111"/>
      <c r="CQ276" s="112"/>
      <c r="CR276" s="113"/>
      <c r="CS276" s="112"/>
      <c r="CT276" s="55"/>
      <c r="CV276" s="230" t="s">
        <v>61</v>
      </c>
      <c r="CX276" s="226" t="s">
        <v>541</v>
      </c>
      <c r="CY276" s="226" t="s">
        <v>541</v>
      </c>
      <c r="CZ276" s="226" t="s">
        <v>541</v>
      </c>
      <c r="DA276" s="226" t="s">
        <v>541</v>
      </c>
      <c r="DB276" s="226"/>
      <c r="DC276" s="226" t="s">
        <v>541</v>
      </c>
      <c r="DD276" s="226" t="s">
        <v>541</v>
      </c>
      <c r="DE276" s="226" t="s">
        <v>541</v>
      </c>
      <c r="DF276" s="226" t="s">
        <v>541</v>
      </c>
      <c r="DG276" s="226" t="s">
        <v>541</v>
      </c>
      <c r="DH276" s="14"/>
    </row>
    <row r="277" spans="1:112" ht="39" x14ac:dyDescent="0.25">
      <c r="A277" s="17" t="s">
        <v>524</v>
      </c>
      <c r="B277" s="17" t="s">
        <v>541</v>
      </c>
      <c r="C277" s="17" t="s">
        <v>58</v>
      </c>
      <c r="D277" s="17" t="s">
        <v>59</v>
      </c>
      <c r="E277" s="17" t="b">
        <f t="shared" si="46"/>
        <v>1</v>
      </c>
      <c r="F277" s="127" t="s">
        <v>524</v>
      </c>
      <c r="G277" s="248" t="s">
        <v>541</v>
      </c>
      <c r="H277" s="128" t="s">
        <v>58</v>
      </c>
      <c r="I277" s="128" t="s">
        <v>59</v>
      </c>
      <c r="J277" s="31"/>
      <c r="K277" s="102" t="s">
        <v>354</v>
      </c>
      <c r="L277" s="90"/>
      <c r="M277" s="111"/>
      <c r="N277" s="112"/>
      <c r="O277" s="113"/>
      <c r="P277" s="112"/>
      <c r="Q277" s="31"/>
      <c r="R277" s="102"/>
      <c r="S277" s="90"/>
      <c r="T277" s="88" t="str">
        <f t="shared" si="42"/>
        <v>NA</v>
      </c>
      <c r="U277" s="88" t="str">
        <f t="shared" si="43"/>
        <v>NA</v>
      </c>
      <c r="V277" s="111"/>
      <c r="W277" s="112"/>
      <c r="X277" s="113"/>
      <c r="Y277" s="112"/>
      <c r="Z277" s="31"/>
      <c r="AA277" s="296"/>
      <c r="AB277" s="89"/>
      <c r="AC277" s="88" t="str">
        <f t="shared" si="47"/>
        <v>NA</v>
      </c>
      <c r="AD277" s="88" t="str">
        <f t="shared" si="48"/>
        <v>NA</v>
      </c>
      <c r="AE277" s="111"/>
      <c r="AF277" s="112"/>
      <c r="AG277" s="113"/>
      <c r="AH277" s="112"/>
      <c r="AI277" s="31"/>
      <c r="AJ277" s="294"/>
      <c r="AK277" s="89"/>
      <c r="AL277" s="88" t="str">
        <f t="shared" si="49"/>
        <v>NA</v>
      </c>
      <c r="AM277" s="88" t="str">
        <f t="shared" si="50"/>
        <v>NA</v>
      </c>
      <c r="AN277" s="111"/>
      <c r="AO277" s="112"/>
      <c r="AP277" s="113"/>
      <c r="AQ277" s="112"/>
      <c r="AR277" s="31"/>
      <c r="AS277" s="32"/>
      <c r="AT277" s="90"/>
      <c r="AU277" s="88"/>
      <c r="AV277" s="88"/>
      <c r="AW277" s="111"/>
      <c r="AX277" s="112"/>
      <c r="AY277" s="113"/>
      <c r="AZ277" s="112"/>
      <c r="BA277" s="31"/>
      <c r="BB277" s="32"/>
      <c r="BC277" s="90"/>
      <c r="BD277" s="88"/>
      <c r="BE277" s="88"/>
      <c r="BF277" s="111"/>
      <c r="BG277" s="112"/>
      <c r="BH277" s="113"/>
      <c r="BI277" s="112"/>
      <c r="BJ277" s="31"/>
      <c r="BK277" s="32"/>
      <c r="BL277" s="90"/>
      <c r="BM277" s="88"/>
      <c r="BN277" s="88"/>
      <c r="BO277" s="111"/>
      <c r="BP277" s="112"/>
      <c r="BQ277" s="113"/>
      <c r="BR277" s="112"/>
      <c r="BS277" s="31"/>
      <c r="BT277" s="32"/>
      <c r="BU277" s="90"/>
      <c r="BV277" s="88"/>
      <c r="BW277" s="88"/>
      <c r="BX277" s="111"/>
      <c r="BY277" s="112"/>
      <c r="BZ277" s="113"/>
      <c r="CA277" s="112"/>
      <c r="CB277" s="31"/>
      <c r="CC277" s="32"/>
      <c r="CD277" s="90"/>
      <c r="CE277" s="88"/>
      <c r="CF277" s="88"/>
      <c r="CG277" s="111"/>
      <c r="CH277" s="112"/>
      <c r="CI277" s="113"/>
      <c r="CJ277" s="112"/>
      <c r="CK277" s="31"/>
      <c r="CL277" s="32"/>
      <c r="CM277" s="90"/>
      <c r="CN277" s="88"/>
      <c r="CO277" s="88"/>
      <c r="CP277" s="111"/>
      <c r="CQ277" s="112"/>
      <c r="CR277" s="113"/>
      <c r="CS277" s="112"/>
      <c r="CT277" s="55"/>
      <c r="CV277" s="230" t="s">
        <v>59</v>
      </c>
      <c r="CX277" s="226" t="s">
        <v>1424</v>
      </c>
      <c r="CY277" s="226" t="s">
        <v>541</v>
      </c>
      <c r="CZ277" s="226" t="s">
        <v>541</v>
      </c>
      <c r="DA277" s="226" t="s">
        <v>541</v>
      </c>
      <c r="DB277" s="226"/>
      <c r="DC277" s="226" t="s">
        <v>1427</v>
      </c>
      <c r="DD277" s="226" t="s">
        <v>541</v>
      </c>
      <c r="DE277" s="226" t="s">
        <v>541</v>
      </c>
      <c r="DF277" s="226" t="s">
        <v>541</v>
      </c>
      <c r="DG277" s="226" t="s">
        <v>541</v>
      </c>
      <c r="DH277" s="14"/>
    </row>
    <row r="278" spans="1:112" ht="39" x14ac:dyDescent="0.25">
      <c r="A278" s="17" t="s">
        <v>525</v>
      </c>
      <c r="B278" s="17" t="s">
        <v>541</v>
      </c>
      <c r="C278" s="17" t="s">
        <v>57</v>
      </c>
      <c r="D278" s="17" t="s">
        <v>695</v>
      </c>
      <c r="E278" s="17" t="b">
        <f t="shared" si="46"/>
        <v>1</v>
      </c>
      <c r="F278" s="127" t="s">
        <v>525</v>
      </c>
      <c r="G278" s="248" t="s">
        <v>541</v>
      </c>
      <c r="H278" s="128" t="s">
        <v>57</v>
      </c>
      <c r="I278" s="128" t="s">
        <v>695</v>
      </c>
      <c r="J278" s="31"/>
      <c r="K278" s="102" t="s">
        <v>583</v>
      </c>
      <c r="L278" s="90" t="s">
        <v>31</v>
      </c>
      <c r="M278" s="111" t="s">
        <v>2470</v>
      </c>
      <c r="N278" s="112"/>
      <c r="O278" s="113"/>
      <c r="P278" s="112"/>
      <c r="Q278" s="31"/>
      <c r="R278" s="102"/>
      <c r="S278" s="90"/>
      <c r="T278" s="88" t="str">
        <f t="shared" si="42"/>
        <v>NA</v>
      </c>
      <c r="U278" s="88" t="str">
        <f t="shared" si="43"/>
        <v>YES</v>
      </c>
      <c r="V278" s="111"/>
      <c r="W278" s="112"/>
      <c r="X278" s="113"/>
      <c r="Y278" s="112"/>
      <c r="Z278" s="31"/>
      <c r="AA278" s="296"/>
      <c r="AB278" s="89"/>
      <c r="AC278" s="88" t="str">
        <f t="shared" si="47"/>
        <v>NA</v>
      </c>
      <c r="AD278" s="88" t="str">
        <f t="shared" si="48"/>
        <v>NA</v>
      </c>
      <c r="AE278" s="111"/>
      <c r="AF278" s="112"/>
      <c r="AG278" s="113"/>
      <c r="AH278" s="112"/>
      <c r="AI278" s="31"/>
      <c r="AJ278" s="294"/>
      <c r="AK278" s="89"/>
      <c r="AL278" s="88" t="str">
        <f t="shared" si="49"/>
        <v>NA</v>
      </c>
      <c r="AM278" s="88" t="str">
        <f t="shared" si="50"/>
        <v>NA</v>
      </c>
      <c r="AN278" s="111"/>
      <c r="AO278" s="112"/>
      <c r="AP278" s="113"/>
      <c r="AQ278" s="112"/>
      <c r="AR278" s="31"/>
      <c r="AS278" s="32"/>
      <c r="AT278" s="90"/>
      <c r="AU278" s="88"/>
      <c r="AV278" s="88"/>
      <c r="AW278" s="111"/>
      <c r="AX278" s="112"/>
      <c r="AY278" s="113"/>
      <c r="AZ278" s="112"/>
      <c r="BA278" s="31"/>
      <c r="BB278" s="32"/>
      <c r="BC278" s="90"/>
      <c r="BD278" s="88"/>
      <c r="BE278" s="88"/>
      <c r="BF278" s="111"/>
      <c r="BG278" s="112"/>
      <c r="BH278" s="113"/>
      <c r="BI278" s="112"/>
      <c r="BJ278" s="31"/>
      <c r="BK278" s="32"/>
      <c r="BL278" s="90"/>
      <c r="BM278" s="88"/>
      <c r="BN278" s="88"/>
      <c r="BO278" s="111"/>
      <c r="BP278" s="112"/>
      <c r="BQ278" s="113"/>
      <c r="BR278" s="112"/>
      <c r="BS278" s="31"/>
      <c r="BT278" s="32"/>
      <c r="BU278" s="90"/>
      <c r="BV278" s="88"/>
      <c r="BW278" s="88"/>
      <c r="BX278" s="111"/>
      <c r="BY278" s="112"/>
      <c r="BZ278" s="113"/>
      <c r="CA278" s="112"/>
      <c r="CB278" s="31"/>
      <c r="CC278" s="32"/>
      <c r="CD278" s="90"/>
      <c r="CE278" s="88"/>
      <c r="CF278" s="88"/>
      <c r="CG278" s="111"/>
      <c r="CH278" s="112"/>
      <c r="CI278" s="113"/>
      <c r="CJ278" s="112"/>
      <c r="CK278" s="31"/>
      <c r="CL278" s="32"/>
      <c r="CM278" s="90"/>
      <c r="CN278" s="88"/>
      <c r="CO278" s="88"/>
      <c r="CP278" s="111"/>
      <c r="CQ278" s="112"/>
      <c r="CR278" s="113"/>
      <c r="CS278" s="112"/>
      <c r="CT278" s="55"/>
      <c r="CV278" s="230" t="s">
        <v>695</v>
      </c>
      <c r="CX278" s="226" t="s">
        <v>1425</v>
      </c>
      <c r="CY278" s="226" t="s">
        <v>541</v>
      </c>
      <c r="CZ278" s="226" t="s">
        <v>541</v>
      </c>
      <c r="DA278" s="226" t="s">
        <v>541</v>
      </c>
      <c r="DB278" s="14"/>
      <c r="DC278" s="226" t="s">
        <v>1427</v>
      </c>
      <c r="DD278" s="226" t="s">
        <v>541</v>
      </c>
      <c r="DE278" s="226" t="s">
        <v>541</v>
      </c>
      <c r="DF278" s="226" t="s">
        <v>541</v>
      </c>
      <c r="DG278" s="226" t="s">
        <v>541</v>
      </c>
      <c r="DH278" s="14"/>
    </row>
    <row r="279" spans="1:112" ht="52" x14ac:dyDescent="0.25">
      <c r="A279" s="17" t="s">
        <v>526</v>
      </c>
      <c r="B279" s="17" t="s">
        <v>541</v>
      </c>
      <c r="C279" s="17" t="s">
        <v>55</v>
      </c>
      <c r="D279" s="17" t="s">
        <v>56</v>
      </c>
      <c r="E279" s="17" t="b">
        <f t="shared" si="46"/>
        <v>1</v>
      </c>
      <c r="F279" s="127" t="s">
        <v>526</v>
      </c>
      <c r="G279" s="248" t="s">
        <v>541</v>
      </c>
      <c r="H279" s="128" t="s">
        <v>55</v>
      </c>
      <c r="I279" s="128" t="s">
        <v>56</v>
      </c>
      <c r="J279" s="31"/>
      <c r="K279" s="102" t="s">
        <v>354</v>
      </c>
      <c r="L279" s="89"/>
      <c r="M279" s="111"/>
      <c r="N279" s="112"/>
      <c r="O279" s="113"/>
      <c r="P279" s="112"/>
      <c r="Q279" s="31"/>
      <c r="R279" s="102"/>
      <c r="S279" s="89"/>
      <c r="T279" s="88" t="str">
        <f t="shared" si="42"/>
        <v>NA</v>
      </c>
      <c r="U279" s="88" t="str">
        <f t="shared" si="43"/>
        <v>NA</v>
      </c>
      <c r="V279" s="111"/>
      <c r="W279" s="112"/>
      <c r="X279" s="113"/>
      <c r="Y279" s="112"/>
      <c r="Z279" s="31"/>
      <c r="AA279" s="296"/>
      <c r="AB279" s="89"/>
      <c r="AC279" s="88" t="str">
        <f t="shared" si="47"/>
        <v>NA</v>
      </c>
      <c r="AD279" s="88" t="str">
        <f t="shared" si="48"/>
        <v>NA</v>
      </c>
      <c r="AE279" s="111"/>
      <c r="AF279" s="112"/>
      <c r="AG279" s="113"/>
      <c r="AH279" s="112"/>
      <c r="AI279" s="31"/>
      <c r="AJ279" s="294"/>
      <c r="AK279" s="89"/>
      <c r="AL279" s="88" t="str">
        <f t="shared" si="49"/>
        <v>NA</v>
      </c>
      <c r="AM279" s="88" t="str">
        <f t="shared" si="50"/>
        <v>NA</v>
      </c>
      <c r="AN279" s="111"/>
      <c r="AO279" s="112"/>
      <c r="AP279" s="113"/>
      <c r="AQ279" s="112"/>
      <c r="AR279" s="31"/>
      <c r="AS279" s="32"/>
      <c r="AT279" s="90"/>
      <c r="AU279" s="88"/>
      <c r="AV279" s="88"/>
      <c r="AW279" s="111"/>
      <c r="AX279" s="112"/>
      <c r="AY279" s="113"/>
      <c r="AZ279" s="112"/>
      <c r="BA279" s="31"/>
      <c r="BB279" s="32"/>
      <c r="BC279" s="90"/>
      <c r="BD279" s="88"/>
      <c r="BE279" s="88"/>
      <c r="BF279" s="111"/>
      <c r="BG279" s="112"/>
      <c r="BH279" s="113"/>
      <c r="BI279" s="112"/>
      <c r="BJ279" s="31"/>
      <c r="BK279" s="32"/>
      <c r="BL279" s="90"/>
      <c r="BM279" s="88"/>
      <c r="BN279" s="88"/>
      <c r="BO279" s="111"/>
      <c r="BP279" s="112"/>
      <c r="BQ279" s="113"/>
      <c r="BR279" s="112"/>
      <c r="BS279" s="31"/>
      <c r="BT279" s="32"/>
      <c r="BU279" s="90"/>
      <c r="BV279" s="88"/>
      <c r="BW279" s="88"/>
      <c r="BX279" s="111"/>
      <c r="BY279" s="112"/>
      <c r="BZ279" s="113"/>
      <c r="CA279" s="112"/>
      <c r="CB279" s="31"/>
      <c r="CC279" s="32"/>
      <c r="CD279" s="90"/>
      <c r="CE279" s="88"/>
      <c r="CF279" s="88"/>
      <c r="CG279" s="111"/>
      <c r="CH279" s="112"/>
      <c r="CI279" s="113"/>
      <c r="CJ279" s="112"/>
      <c r="CK279" s="31"/>
      <c r="CL279" s="32"/>
      <c r="CM279" s="90"/>
      <c r="CN279" s="88"/>
      <c r="CO279" s="88"/>
      <c r="CP279" s="111"/>
      <c r="CQ279" s="112"/>
      <c r="CR279" s="113"/>
      <c r="CS279" s="112"/>
      <c r="CT279" s="55"/>
      <c r="CV279" s="230" t="s">
        <v>56</v>
      </c>
      <c r="CX279" s="226" t="s">
        <v>541</v>
      </c>
      <c r="CY279" s="226" t="s">
        <v>1431</v>
      </c>
      <c r="CZ279" s="226" t="s">
        <v>541</v>
      </c>
      <c r="DA279" s="226" t="s">
        <v>541</v>
      </c>
      <c r="DB279" s="14"/>
      <c r="DC279" s="226" t="s">
        <v>541</v>
      </c>
      <c r="DD279" s="226" t="s">
        <v>541</v>
      </c>
      <c r="DE279" s="226" t="s">
        <v>541</v>
      </c>
      <c r="DF279" s="226" t="s">
        <v>541</v>
      </c>
      <c r="DG279" s="226" t="s">
        <v>541</v>
      </c>
      <c r="DH279" s="14"/>
    </row>
    <row r="280" spans="1:112" ht="52" x14ac:dyDescent="0.25">
      <c r="A280" s="17" t="s">
        <v>1004</v>
      </c>
      <c r="B280" s="17" t="s">
        <v>1267</v>
      </c>
      <c r="C280" s="17" t="s">
        <v>1475</v>
      </c>
      <c r="D280" s="17" t="s">
        <v>1476</v>
      </c>
      <c r="E280" s="17" t="b">
        <f t="shared" si="46"/>
        <v>1</v>
      </c>
      <c r="F280" s="232" t="s">
        <v>2375</v>
      </c>
      <c r="G280" s="249" t="s">
        <v>2147</v>
      </c>
      <c r="H280" s="128" t="s">
        <v>1475</v>
      </c>
      <c r="I280" s="128" t="s">
        <v>1476</v>
      </c>
      <c r="J280" s="31"/>
      <c r="K280" s="102" t="s">
        <v>354</v>
      </c>
      <c r="L280" s="90" t="s">
        <v>31</v>
      </c>
      <c r="M280" s="111" t="s">
        <v>2470</v>
      </c>
      <c r="N280" s="112"/>
      <c r="O280" s="113"/>
      <c r="P280" s="112"/>
      <c r="Q280" s="31"/>
      <c r="R280" s="102"/>
      <c r="S280" s="90"/>
      <c r="T280" s="88" t="str">
        <f t="shared" si="42"/>
        <v>NA</v>
      </c>
      <c r="U280" s="88" t="str">
        <f t="shared" si="43"/>
        <v>YES</v>
      </c>
      <c r="V280" s="111"/>
      <c r="W280" s="112"/>
      <c r="X280" s="113"/>
      <c r="Y280" s="112"/>
      <c r="Z280" s="31"/>
      <c r="AA280" s="296"/>
      <c r="AB280" s="89"/>
      <c r="AC280" s="88" t="str">
        <f t="shared" si="47"/>
        <v>NA</v>
      </c>
      <c r="AD280" s="88" t="str">
        <f t="shared" si="48"/>
        <v>NA</v>
      </c>
      <c r="AE280" s="111"/>
      <c r="AF280" s="112"/>
      <c r="AG280" s="113"/>
      <c r="AH280" s="112"/>
      <c r="AI280" s="31"/>
      <c r="AJ280" s="294"/>
      <c r="AK280" s="89"/>
      <c r="AL280" s="88" t="str">
        <f t="shared" si="49"/>
        <v>NA</v>
      </c>
      <c r="AM280" s="88" t="str">
        <f t="shared" si="50"/>
        <v>NA</v>
      </c>
      <c r="AN280" s="111"/>
      <c r="AO280" s="112"/>
      <c r="AP280" s="113"/>
      <c r="AQ280" s="112"/>
      <c r="AR280" s="31"/>
      <c r="AS280" s="32"/>
      <c r="AT280" s="90"/>
      <c r="AU280" s="88"/>
      <c r="AV280" s="88"/>
      <c r="AW280" s="111"/>
      <c r="AX280" s="112"/>
      <c r="AY280" s="113"/>
      <c r="AZ280" s="112"/>
      <c r="BA280" s="31"/>
      <c r="BB280" s="32"/>
      <c r="BC280" s="90"/>
      <c r="BD280" s="88"/>
      <c r="BE280" s="88"/>
      <c r="BF280" s="111"/>
      <c r="BG280" s="112"/>
      <c r="BH280" s="113"/>
      <c r="BI280" s="112"/>
      <c r="BJ280" s="31"/>
      <c r="BK280" s="32"/>
      <c r="BL280" s="90"/>
      <c r="BM280" s="88"/>
      <c r="BN280" s="88"/>
      <c r="BO280" s="111"/>
      <c r="BP280" s="112"/>
      <c r="BQ280" s="113"/>
      <c r="BR280" s="112"/>
      <c r="BS280" s="31"/>
      <c r="BT280" s="32"/>
      <c r="BU280" s="90"/>
      <c r="BV280" s="88"/>
      <c r="BW280" s="88"/>
      <c r="BX280" s="111"/>
      <c r="BY280" s="112"/>
      <c r="BZ280" s="113"/>
      <c r="CA280" s="112"/>
      <c r="CB280" s="31"/>
      <c r="CC280" s="32"/>
      <c r="CD280" s="90"/>
      <c r="CE280" s="88"/>
      <c r="CF280" s="88"/>
      <c r="CG280" s="111"/>
      <c r="CH280" s="112"/>
      <c r="CI280" s="113"/>
      <c r="CJ280" s="112"/>
      <c r="CK280" s="31"/>
      <c r="CL280" s="32"/>
      <c r="CM280" s="90"/>
      <c r="CN280" s="88"/>
      <c r="CO280" s="88"/>
      <c r="CP280" s="111"/>
      <c r="CQ280" s="112"/>
      <c r="CR280" s="113"/>
      <c r="CS280" s="112"/>
      <c r="CT280" s="55"/>
      <c r="CV280" s="230"/>
      <c r="CX280" s="226" t="s">
        <v>541</v>
      </c>
      <c r="CY280" s="226" t="s">
        <v>1437</v>
      </c>
      <c r="CZ280" s="226" t="s">
        <v>541</v>
      </c>
      <c r="DA280" s="226" t="s">
        <v>541</v>
      </c>
      <c r="DB280" s="226"/>
      <c r="DC280" s="226" t="s">
        <v>541</v>
      </c>
      <c r="DD280" s="226" t="s">
        <v>541</v>
      </c>
      <c r="DE280" s="226" t="s">
        <v>541</v>
      </c>
      <c r="DF280" s="226" t="s">
        <v>541</v>
      </c>
      <c r="DG280" s="226" t="s">
        <v>541</v>
      </c>
      <c r="DH280" s="14"/>
    </row>
    <row r="281" spans="1:112" ht="26" x14ac:dyDescent="0.25">
      <c r="A281" s="17" t="s">
        <v>527</v>
      </c>
      <c r="B281" s="17" t="s">
        <v>541</v>
      </c>
      <c r="C281" s="17" t="s">
        <v>53</v>
      </c>
      <c r="D281" s="17" t="s">
        <v>54</v>
      </c>
      <c r="E281" s="17" t="b">
        <f t="shared" si="46"/>
        <v>1</v>
      </c>
      <c r="F281" s="127" t="s">
        <v>527</v>
      </c>
      <c r="G281" s="248" t="s">
        <v>541</v>
      </c>
      <c r="H281" s="128" t="s">
        <v>53</v>
      </c>
      <c r="I281" s="128" t="s">
        <v>54</v>
      </c>
      <c r="J281" s="31"/>
      <c r="K281" s="102" t="s">
        <v>354</v>
      </c>
      <c r="L281" s="90" t="s">
        <v>31</v>
      </c>
      <c r="M281" s="111" t="s">
        <v>2470</v>
      </c>
      <c r="N281" s="112"/>
      <c r="O281" s="113"/>
      <c r="P281" s="112"/>
      <c r="Q281" s="31"/>
      <c r="R281" s="102"/>
      <c r="S281" s="90"/>
      <c r="T281" s="88" t="str">
        <f t="shared" si="42"/>
        <v>NA</v>
      </c>
      <c r="U281" s="88" t="str">
        <f t="shared" si="43"/>
        <v>YES</v>
      </c>
      <c r="V281" s="111"/>
      <c r="W281" s="112"/>
      <c r="X281" s="113"/>
      <c r="Y281" s="112"/>
      <c r="Z281" s="31"/>
      <c r="AA281" s="296"/>
      <c r="AB281" s="89"/>
      <c r="AC281" s="88" t="str">
        <f t="shared" si="47"/>
        <v>NA</v>
      </c>
      <c r="AD281" s="88" t="str">
        <f t="shared" si="48"/>
        <v>NA</v>
      </c>
      <c r="AE281" s="111"/>
      <c r="AF281" s="112"/>
      <c r="AG281" s="113"/>
      <c r="AH281" s="112"/>
      <c r="AI281" s="31"/>
      <c r="AJ281" s="294"/>
      <c r="AK281" s="89"/>
      <c r="AL281" s="88" t="str">
        <f t="shared" si="49"/>
        <v>NA</v>
      </c>
      <c r="AM281" s="88" t="str">
        <f t="shared" si="50"/>
        <v>NA</v>
      </c>
      <c r="AN281" s="111"/>
      <c r="AO281" s="112"/>
      <c r="AP281" s="113"/>
      <c r="AQ281" s="112"/>
      <c r="AR281" s="31"/>
      <c r="AS281" s="32"/>
      <c r="AT281" s="90"/>
      <c r="AU281" s="88"/>
      <c r="AV281" s="88"/>
      <c r="AW281" s="111"/>
      <c r="AX281" s="112"/>
      <c r="AY281" s="113"/>
      <c r="AZ281" s="112"/>
      <c r="BA281" s="31"/>
      <c r="BB281" s="32"/>
      <c r="BC281" s="90"/>
      <c r="BD281" s="88"/>
      <c r="BE281" s="88"/>
      <c r="BF281" s="111"/>
      <c r="BG281" s="112"/>
      <c r="BH281" s="113"/>
      <c r="BI281" s="112"/>
      <c r="BJ281" s="31"/>
      <c r="BK281" s="32"/>
      <c r="BL281" s="90"/>
      <c r="BM281" s="88"/>
      <c r="BN281" s="88"/>
      <c r="BO281" s="111"/>
      <c r="BP281" s="112"/>
      <c r="BQ281" s="113"/>
      <c r="BR281" s="112"/>
      <c r="BS281" s="31"/>
      <c r="BT281" s="32"/>
      <c r="BU281" s="90"/>
      <c r="BV281" s="88"/>
      <c r="BW281" s="88"/>
      <c r="BX281" s="111"/>
      <c r="BY281" s="112"/>
      <c r="BZ281" s="113"/>
      <c r="CA281" s="112"/>
      <c r="CB281" s="31"/>
      <c r="CC281" s="32"/>
      <c r="CD281" s="90"/>
      <c r="CE281" s="88"/>
      <c r="CF281" s="88"/>
      <c r="CG281" s="111"/>
      <c r="CH281" s="112"/>
      <c r="CI281" s="113"/>
      <c r="CJ281" s="112"/>
      <c r="CK281" s="31"/>
      <c r="CL281" s="32"/>
      <c r="CM281" s="90"/>
      <c r="CN281" s="88"/>
      <c r="CO281" s="88"/>
      <c r="CP281" s="111"/>
      <c r="CQ281" s="112"/>
      <c r="CR281" s="113"/>
      <c r="CS281" s="112"/>
      <c r="CT281" s="55"/>
      <c r="CV281" s="230" t="s">
        <v>54</v>
      </c>
      <c r="CX281" s="226" t="s">
        <v>1425</v>
      </c>
      <c r="CY281" s="226" t="s">
        <v>541</v>
      </c>
      <c r="CZ281" s="226" t="s">
        <v>541</v>
      </c>
      <c r="DA281" s="226" t="s">
        <v>541</v>
      </c>
      <c r="DB281" s="14"/>
      <c r="DC281" s="226" t="s">
        <v>541</v>
      </c>
      <c r="DD281" s="226" t="s">
        <v>541</v>
      </c>
      <c r="DE281" s="226" t="s">
        <v>541</v>
      </c>
      <c r="DF281" s="226" t="s">
        <v>541</v>
      </c>
      <c r="DG281" s="226" t="s">
        <v>541</v>
      </c>
      <c r="DH281" s="14"/>
    </row>
    <row r="282" spans="1:112" ht="26" x14ac:dyDescent="0.25">
      <c r="A282" s="17" t="s">
        <v>528</v>
      </c>
      <c r="B282" s="17" t="s">
        <v>541</v>
      </c>
      <c r="C282" s="17" t="s">
        <v>51</v>
      </c>
      <c r="D282" s="17" t="s">
        <v>52</v>
      </c>
      <c r="E282" s="17" t="b">
        <f t="shared" si="46"/>
        <v>1</v>
      </c>
      <c r="F282" s="127" t="s">
        <v>528</v>
      </c>
      <c r="G282" s="248" t="s">
        <v>541</v>
      </c>
      <c r="H282" s="128" t="s">
        <v>51</v>
      </c>
      <c r="I282" s="128" t="s">
        <v>52</v>
      </c>
      <c r="J282" s="31"/>
      <c r="K282" s="102" t="s">
        <v>354</v>
      </c>
      <c r="L282" s="90" t="s">
        <v>31</v>
      </c>
      <c r="M282" s="111" t="s">
        <v>2470</v>
      </c>
      <c r="N282" s="112"/>
      <c r="O282" s="113"/>
      <c r="P282" s="112"/>
      <c r="Q282" s="31"/>
      <c r="R282" s="102"/>
      <c r="S282" s="90"/>
      <c r="T282" s="88" t="str">
        <f t="shared" si="42"/>
        <v>NA</v>
      </c>
      <c r="U282" s="88" t="str">
        <f t="shared" si="43"/>
        <v>YES</v>
      </c>
      <c r="V282" s="111"/>
      <c r="W282" s="112"/>
      <c r="X282" s="113"/>
      <c r="Y282" s="112"/>
      <c r="Z282" s="31"/>
      <c r="AA282" s="296"/>
      <c r="AB282" s="89"/>
      <c r="AC282" s="88" t="str">
        <f t="shared" si="47"/>
        <v>NA</v>
      </c>
      <c r="AD282" s="88" t="str">
        <f t="shared" si="48"/>
        <v>NA</v>
      </c>
      <c r="AE282" s="111"/>
      <c r="AF282" s="112"/>
      <c r="AG282" s="113"/>
      <c r="AH282" s="112"/>
      <c r="AI282" s="31"/>
      <c r="AJ282" s="294"/>
      <c r="AK282" s="89"/>
      <c r="AL282" s="88" t="str">
        <f t="shared" si="49"/>
        <v>NA</v>
      </c>
      <c r="AM282" s="88" t="str">
        <f t="shared" si="50"/>
        <v>NA</v>
      </c>
      <c r="AN282" s="111"/>
      <c r="AO282" s="112"/>
      <c r="AP282" s="113"/>
      <c r="AQ282" s="112"/>
      <c r="AR282" s="31"/>
      <c r="AS282" s="32"/>
      <c r="AT282" s="90"/>
      <c r="AU282" s="88"/>
      <c r="AV282" s="88"/>
      <c r="AW282" s="111"/>
      <c r="AX282" s="112"/>
      <c r="AY282" s="113"/>
      <c r="AZ282" s="112"/>
      <c r="BA282" s="31"/>
      <c r="BB282" s="32"/>
      <c r="BC282" s="90"/>
      <c r="BD282" s="88"/>
      <c r="BE282" s="88"/>
      <c r="BF282" s="111"/>
      <c r="BG282" s="112"/>
      <c r="BH282" s="113"/>
      <c r="BI282" s="112"/>
      <c r="BJ282" s="31"/>
      <c r="BK282" s="32"/>
      <c r="BL282" s="90"/>
      <c r="BM282" s="88"/>
      <c r="BN282" s="88"/>
      <c r="BO282" s="111"/>
      <c r="BP282" s="112"/>
      <c r="BQ282" s="113"/>
      <c r="BR282" s="112"/>
      <c r="BS282" s="31"/>
      <c r="BT282" s="32"/>
      <c r="BU282" s="90"/>
      <c r="BV282" s="88"/>
      <c r="BW282" s="88"/>
      <c r="BX282" s="111"/>
      <c r="BY282" s="112"/>
      <c r="BZ282" s="113"/>
      <c r="CA282" s="112"/>
      <c r="CB282" s="31"/>
      <c r="CC282" s="32"/>
      <c r="CD282" s="90"/>
      <c r="CE282" s="88"/>
      <c r="CF282" s="88"/>
      <c r="CG282" s="111"/>
      <c r="CH282" s="112"/>
      <c r="CI282" s="113"/>
      <c r="CJ282" s="112"/>
      <c r="CK282" s="31"/>
      <c r="CL282" s="32"/>
      <c r="CM282" s="90"/>
      <c r="CN282" s="88"/>
      <c r="CO282" s="88"/>
      <c r="CP282" s="111"/>
      <c r="CQ282" s="112"/>
      <c r="CR282" s="113"/>
      <c r="CS282" s="112"/>
      <c r="CT282" s="55"/>
      <c r="CV282" s="230" t="s">
        <v>52</v>
      </c>
      <c r="CX282" s="226" t="s">
        <v>1425</v>
      </c>
      <c r="CY282" s="226" t="s">
        <v>541</v>
      </c>
      <c r="CZ282" s="226" t="s">
        <v>541</v>
      </c>
      <c r="DA282" s="226" t="s">
        <v>541</v>
      </c>
      <c r="DB282" s="14"/>
      <c r="DC282" s="226" t="s">
        <v>541</v>
      </c>
      <c r="DD282" s="226" t="s">
        <v>541</v>
      </c>
      <c r="DE282" s="226" t="s">
        <v>541</v>
      </c>
      <c r="DF282" s="226" t="s">
        <v>541</v>
      </c>
      <c r="DG282" s="226" t="s">
        <v>541</v>
      </c>
      <c r="DH282" s="14"/>
    </row>
    <row r="283" spans="1:112" ht="39" x14ac:dyDescent="0.25">
      <c r="A283" s="17" t="s">
        <v>529</v>
      </c>
      <c r="B283" s="17" t="s">
        <v>541</v>
      </c>
      <c r="C283" s="17" t="s">
        <v>49</v>
      </c>
      <c r="D283" s="17" t="s">
        <v>50</v>
      </c>
      <c r="E283" s="17" t="b">
        <f t="shared" si="46"/>
        <v>1</v>
      </c>
      <c r="F283" s="127" t="s">
        <v>529</v>
      </c>
      <c r="G283" s="248" t="s">
        <v>541</v>
      </c>
      <c r="H283" s="128" t="s">
        <v>49</v>
      </c>
      <c r="I283" s="128" t="s">
        <v>50</v>
      </c>
      <c r="J283" s="31"/>
      <c r="K283" s="102" t="s">
        <v>354</v>
      </c>
      <c r="L283" s="90" t="s">
        <v>31</v>
      </c>
      <c r="M283" s="111" t="s">
        <v>2470</v>
      </c>
      <c r="N283" s="112"/>
      <c r="O283" s="113"/>
      <c r="P283" s="112"/>
      <c r="Q283" s="31"/>
      <c r="R283" s="102"/>
      <c r="S283" s="90"/>
      <c r="T283" s="88" t="str">
        <f t="shared" si="42"/>
        <v>NA</v>
      </c>
      <c r="U283" s="88" t="str">
        <f t="shared" si="43"/>
        <v>YES</v>
      </c>
      <c r="V283" s="111"/>
      <c r="W283" s="112"/>
      <c r="X283" s="113"/>
      <c r="Y283" s="112"/>
      <c r="Z283" s="31"/>
      <c r="AA283" s="296"/>
      <c r="AB283" s="89"/>
      <c r="AC283" s="88" t="str">
        <f t="shared" si="47"/>
        <v>NA</v>
      </c>
      <c r="AD283" s="88" t="str">
        <f t="shared" si="48"/>
        <v>NA</v>
      </c>
      <c r="AE283" s="111"/>
      <c r="AF283" s="112"/>
      <c r="AG283" s="113"/>
      <c r="AH283" s="112"/>
      <c r="AI283" s="31"/>
      <c r="AJ283" s="294"/>
      <c r="AK283" s="89"/>
      <c r="AL283" s="88" t="str">
        <f t="shared" si="49"/>
        <v>NA</v>
      </c>
      <c r="AM283" s="88" t="str">
        <f t="shared" si="50"/>
        <v>NA</v>
      </c>
      <c r="AN283" s="111"/>
      <c r="AO283" s="112"/>
      <c r="AP283" s="113"/>
      <c r="AQ283" s="112"/>
      <c r="AR283" s="31"/>
      <c r="AS283" s="32"/>
      <c r="AT283" s="90"/>
      <c r="AU283" s="88"/>
      <c r="AV283" s="88"/>
      <c r="AW283" s="111"/>
      <c r="AX283" s="112"/>
      <c r="AY283" s="113"/>
      <c r="AZ283" s="112"/>
      <c r="BA283" s="31"/>
      <c r="BB283" s="32"/>
      <c r="BC283" s="90"/>
      <c r="BD283" s="88"/>
      <c r="BE283" s="88"/>
      <c r="BF283" s="111"/>
      <c r="BG283" s="112"/>
      <c r="BH283" s="113"/>
      <c r="BI283" s="112"/>
      <c r="BJ283" s="31"/>
      <c r="BK283" s="32"/>
      <c r="BL283" s="90"/>
      <c r="BM283" s="88"/>
      <c r="BN283" s="88"/>
      <c r="BO283" s="111"/>
      <c r="BP283" s="112"/>
      <c r="BQ283" s="113"/>
      <c r="BR283" s="112"/>
      <c r="BS283" s="31"/>
      <c r="BT283" s="32"/>
      <c r="BU283" s="90"/>
      <c r="BV283" s="88"/>
      <c r="BW283" s="88"/>
      <c r="BX283" s="111"/>
      <c r="BY283" s="112"/>
      <c r="BZ283" s="113"/>
      <c r="CA283" s="112"/>
      <c r="CB283" s="31"/>
      <c r="CC283" s="32"/>
      <c r="CD283" s="90"/>
      <c r="CE283" s="88"/>
      <c r="CF283" s="88"/>
      <c r="CG283" s="111"/>
      <c r="CH283" s="112"/>
      <c r="CI283" s="113"/>
      <c r="CJ283" s="112"/>
      <c r="CK283" s="31"/>
      <c r="CL283" s="32"/>
      <c r="CM283" s="90"/>
      <c r="CN283" s="88"/>
      <c r="CO283" s="88"/>
      <c r="CP283" s="111"/>
      <c r="CQ283" s="112"/>
      <c r="CR283" s="113"/>
      <c r="CS283" s="112"/>
      <c r="CT283" s="55"/>
      <c r="CV283" s="230" t="s">
        <v>50</v>
      </c>
      <c r="CX283" s="226" t="s">
        <v>1425</v>
      </c>
      <c r="CY283" s="226" t="s">
        <v>541</v>
      </c>
      <c r="CZ283" s="226" t="s">
        <v>541</v>
      </c>
      <c r="DA283" s="226" t="s">
        <v>541</v>
      </c>
      <c r="DB283" s="14"/>
      <c r="DC283" s="226" t="s">
        <v>541</v>
      </c>
      <c r="DD283" s="226" t="s">
        <v>541</v>
      </c>
      <c r="DE283" s="226" t="s">
        <v>541</v>
      </c>
      <c r="DF283" s="226" t="s">
        <v>541</v>
      </c>
      <c r="DG283" s="226" t="s">
        <v>541</v>
      </c>
      <c r="DH283" s="14"/>
    </row>
    <row r="284" spans="1:112" ht="26" x14ac:dyDescent="0.25">
      <c r="A284" s="17" t="s">
        <v>530</v>
      </c>
      <c r="B284" s="17" t="s">
        <v>541</v>
      </c>
      <c r="C284" s="17" t="s">
        <v>47</v>
      </c>
      <c r="D284" s="17" t="s">
        <v>48</v>
      </c>
      <c r="E284" s="17" t="b">
        <f t="shared" si="46"/>
        <v>1</v>
      </c>
      <c r="F284" s="127" t="s">
        <v>530</v>
      </c>
      <c r="G284" s="248" t="s">
        <v>541</v>
      </c>
      <c r="H284" s="128" t="s">
        <v>47</v>
      </c>
      <c r="I284" s="128" t="s">
        <v>48</v>
      </c>
      <c r="J284" s="31"/>
      <c r="K284" s="102" t="s">
        <v>354</v>
      </c>
      <c r="L284" s="90"/>
      <c r="M284" s="111"/>
      <c r="N284" s="112"/>
      <c r="O284" s="113"/>
      <c r="P284" s="112"/>
      <c r="Q284" s="31"/>
      <c r="R284" s="102"/>
      <c r="S284" s="90"/>
      <c r="T284" s="88" t="str">
        <f t="shared" si="42"/>
        <v>NA</v>
      </c>
      <c r="U284" s="88" t="str">
        <f t="shared" si="43"/>
        <v>NA</v>
      </c>
      <c r="V284" s="111"/>
      <c r="W284" s="112"/>
      <c r="X284" s="113"/>
      <c r="Y284" s="112"/>
      <c r="Z284" s="31"/>
      <c r="AA284" s="296"/>
      <c r="AB284" s="89"/>
      <c r="AC284" s="88" t="str">
        <f t="shared" si="47"/>
        <v>NA</v>
      </c>
      <c r="AD284" s="88" t="str">
        <f t="shared" si="48"/>
        <v>NA</v>
      </c>
      <c r="AE284" s="111"/>
      <c r="AF284" s="112"/>
      <c r="AG284" s="113"/>
      <c r="AH284" s="112"/>
      <c r="AI284" s="31"/>
      <c r="AJ284" s="294"/>
      <c r="AK284" s="89"/>
      <c r="AL284" s="88" t="str">
        <f t="shared" si="49"/>
        <v>NA</v>
      </c>
      <c r="AM284" s="88" t="str">
        <f t="shared" si="50"/>
        <v>NA</v>
      </c>
      <c r="AN284" s="111"/>
      <c r="AO284" s="112"/>
      <c r="AP284" s="113"/>
      <c r="AQ284" s="112"/>
      <c r="AR284" s="31"/>
      <c r="AS284" s="32"/>
      <c r="AT284" s="90"/>
      <c r="AU284" s="88"/>
      <c r="AV284" s="88"/>
      <c r="AW284" s="111"/>
      <c r="AX284" s="112"/>
      <c r="AY284" s="113"/>
      <c r="AZ284" s="112"/>
      <c r="BA284" s="31"/>
      <c r="BB284" s="32"/>
      <c r="BC284" s="90"/>
      <c r="BD284" s="88"/>
      <c r="BE284" s="88"/>
      <c r="BF284" s="111"/>
      <c r="BG284" s="112"/>
      <c r="BH284" s="113"/>
      <c r="BI284" s="112"/>
      <c r="BJ284" s="31"/>
      <c r="BK284" s="32"/>
      <c r="BL284" s="90"/>
      <c r="BM284" s="88"/>
      <c r="BN284" s="88"/>
      <c r="BO284" s="111"/>
      <c r="BP284" s="112"/>
      <c r="BQ284" s="113"/>
      <c r="BR284" s="112"/>
      <c r="BS284" s="31"/>
      <c r="BT284" s="32"/>
      <c r="BU284" s="90"/>
      <c r="BV284" s="88"/>
      <c r="BW284" s="88"/>
      <c r="BX284" s="111"/>
      <c r="BY284" s="112"/>
      <c r="BZ284" s="113"/>
      <c r="CA284" s="112"/>
      <c r="CB284" s="31"/>
      <c r="CC284" s="32"/>
      <c r="CD284" s="90"/>
      <c r="CE284" s="88"/>
      <c r="CF284" s="88"/>
      <c r="CG284" s="111"/>
      <c r="CH284" s="112"/>
      <c r="CI284" s="113"/>
      <c r="CJ284" s="112"/>
      <c r="CK284" s="31"/>
      <c r="CL284" s="32"/>
      <c r="CM284" s="90"/>
      <c r="CN284" s="88"/>
      <c r="CO284" s="88"/>
      <c r="CP284" s="111"/>
      <c r="CQ284" s="112"/>
      <c r="CR284" s="113"/>
      <c r="CS284" s="112"/>
      <c r="CT284" s="55"/>
      <c r="CV284" s="230" t="s">
        <v>48</v>
      </c>
      <c r="CX284" s="226" t="s">
        <v>1425</v>
      </c>
      <c r="CY284" s="226" t="s">
        <v>541</v>
      </c>
      <c r="CZ284" s="226" t="s">
        <v>541</v>
      </c>
      <c r="DA284" s="226" t="s">
        <v>541</v>
      </c>
      <c r="DB284" s="14"/>
      <c r="DC284" s="226" t="s">
        <v>541</v>
      </c>
      <c r="DD284" s="226" t="s">
        <v>541</v>
      </c>
      <c r="DE284" s="226" t="s">
        <v>541</v>
      </c>
      <c r="DF284" s="226" t="s">
        <v>541</v>
      </c>
      <c r="DG284" s="226" t="s">
        <v>541</v>
      </c>
      <c r="DH284" s="14"/>
    </row>
    <row r="285" spans="1:112" ht="26" x14ac:dyDescent="0.25">
      <c r="A285" s="17" t="s">
        <v>531</v>
      </c>
      <c r="B285" s="17" t="s">
        <v>541</v>
      </c>
      <c r="C285" s="17" t="s">
        <v>45</v>
      </c>
      <c r="D285" s="17" t="s">
        <v>46</v>
      </c>
      <c r="E285" s="17" t="b">
        <f t="shared" si="46"/>
        <v>1</v>
      </c>
      <c r="F285" s="127" t="s">
        <v>531</v>
      </c>
      <c r="G285" s="248" t="s">
        <v>541</v>
      </c>
      <c r="H285" s="128" t="s">
        <v>45</v>
      </c>
      <c r="I285" s="128" t="s">
        <v>46</v>
      </c>
      <c r="J285" s="31"/>
      <c r="K285" s="102" t="s">
        <v>354</v>
      </c>
      <c r="L285" s="90"/>
      <c r="M285" s="111"/>
      <c r="N285" s="112"/>
      <c r="O285" s="113"/>
      <c r="P285" s="112"/>
      <c r="Q285" s="31"/>
      <c r="R285" s="102"/>
      <c r="S285" s="90"/>
      <c r="T285" s="88" t="str">
        <f t="shared" si="42"/>
        <v>NA</v>
      </c>
      <c r="U285" s="88" t="str">
        <f t="shared" si="43"/>
        <v>NA</v>
      </c>
      <c r="V285" s="111"/>
      <c r="W285" s="112"/>
      <c r="X285" s="113"/>
      <c r="Y285" s="112"/>
      <c r="Z285" s="31"/>
      <c r="AA285" s="296"/>
      <c r="AB285" s="89"/>
      <c r="AC285" s="88" t="str">
        <f t="shared" si="47"/>
        <v>NA</v>
      </c>
      <c r="AD285" s="88" t="str">
        <f t="shared" si="48"/>
        <v>NA</v>
      </c>
      <c r="AE285" s="111"/>
      <c r="AF285" s="112"/>
      <c r="AG285" s="113"/>
      <c r="AH285" s="112"/>
      <c r="AI285" s="31"/>
      <c r="AJ285" s="294"/>
      <c r="AK285" s="89"/>
      <c r="AL285" s="88" t="str">
        <f t="shared" si="49"/>
        <v>NA</v>
      </c>
      <c r="AM285" s="88" t="str">
        <f t="shared" si="50"/>
        <v>NA</v>
      </c>
      <c r="AN285" s="111"/>
      <c r="AO285" s="112"/>
      <c r="AP285" s="113"/>
      <c r="AQ285" s="112"/>
      <c r="AR285" s="31"/>
      <c r="AS285" s="32"/>
      <c r="AT285" s="90"/>
      <c r="AU285" s="88"/>
      <c r="AV285" s="88"/>
      <c r="AW285" s="111"/>
      <c r="AX285" s="112"/>
      <c r="AY285" s="113"/>
      <c r="AZ285" s="112"/>
      <c r="BA285" s="31"/>
      <c r="BB285" s="32"/>
      <c r="BC285" s="90"/>
      <c r="BD285" s="88"/>
      <c r="BE285" s="88"/>
      <c r="BF285" s="111"/>
      <c r="BG285" s="112"/>
      <c r="BH285" s="113"/>
      <c r="BI285" s="112"/>
      <c r="BJ285" s="31"/>
      <c r="BK285" s="32"/>
      <c r="BL285" s="90"/>
      <c r="BM285" s="88"/>
      <c r="BN285" s="88"/>
      <c r="BO285" s="111"/>
      <c r="BP285" s="112"/>
      <c r="BQ285" s="113"/>
      <c r="BR285" s="112"/>
      <c r="BS285" s="31"/>
      <c r="BT285" s="32"/>
      <c r="BU285" s="90"/>
      <c r="BV285" s="88"/>
      <c r="BW285" s="88"/>
      <c r="BX285" s="111"/>
      <c r="BY285" s="112"/>
      <c r="BZ285" s="113"/>
      <c r="CA285" s="112"/>
      <c r="CB285" s="31"/>
      <c r="CC285" s="32"/>
      <c r="CD285" s="90"/>
      <c r="CE285" s="88"/>
      <c r="CF285" s="88"/>
      <c r="CG285" s="111"/>
      <c r="CH285" s="112"/>
      <c r="CI285" s="113"/>
      <c r="CJ285" s="112"/>
      <c r="CK285" s="31"/>
      <c r="CL285" s="32"/>
      <c r="CM285" s="90"/>
      <c r="CN285" s="88"/>
      <c r="CO285" s="88"/>
      <c r="CP285" s="111"/>
      <c r="CQ285" s="112"/>
      <c r="CR285" s="113"/>
      <c r="CS285" s="112"/>
      <c r="CT285" s="55"/>
      <c r="CV285" s="230" t="s">
        <v>46</v>
      </c>
      <c r="CX285" s="226" t="s">
        <v>1424</v>
      </c>
      <c r="CY285" s="226" t="s">
        <v>541</v>
      </c>
      <c r="CZ285" s="226" t="s">
        <v>541</v>
      </c>
      <c r="DA285" s="226" t="s">
        <v>541</v>
      </c>
      <c r="DB285" s="226"/>
      <c r="DC285" s="226" t="s">
        <v>541</v>
      </c>
      <c r="DD285" s="226" t="s">
        <v>541</v>
      </c>
      <c r="DE285" s="226" t="s">
        <v>541</v>
      </c>
      <c r="DF285" s="226" t="s">
        <v>541</v>
      </c>
      <c r="DG285" s="226" t="s">
        <v>541</v>
      </c>
      <c r="DH285" s="14"/>
    </row>
    <row r="286" spans="1:112" ht="26" x14ac:dyDescent="0.25">
      <c r="A286" s="17" t="s">
        <v>532</v>
      </c>
      <c r="B286" s="17" t="s">
        <v>541</v>
      </c>
      <c r="C286" s="17" t="s">
        <v>43</v>
      </c>
      <c r="D286" s="17" t="s">
        <v>44</v>
      </c>
      <c r="E286" s="17" t="b">
        <f t="shared" si="46"/>
        <v>1</v>
      </c>
      <c r="F286" s="127" t="s">
        <v>532</v>
      </c>
      <c r="G286" s="248" t="s">
        <v>541</v>
      </c>
      <c r="H286" s="128" t="s">
        <v>43</v>
      </c>
      <c r="I286" s="128" t="s">
        <v>44</v>
      </c>
      <c r="J286" s="31"/>
      <c r="K286" s="102" t="s">
        <v>354</v>
      </c>
      <c r="L286" s="90"/>
      <c r="M286" s="111"/>
      <c r="N286" s="112"/>
      <c r="O286" s="113"/>
      <c r="P286" s="112"/>
      <c r="Q286" s="31"/>
      <c r="R286" s="102"/>
      <c r="S286" s="90"/>
      <c r="T286" s="88" t="str">
        <f t="shared" si="42"/>
        <v>NA</v>
      </c>
      <c r="U286" s="88" t="str">
        <f t="shared" si="43"/>
        <v>NA</v>
      </c>
      <c r="V286" s="111"/>
      <c r="W286" s="112"/>
      <c r="X286" s="113"/>
      <c r="Y286" s="112"/>
      <c r="Z286" s="31"/>
      <c r="AA286" s="296"/>
      <c r="AB286" s="89"/>
      <c r="AC286" s="88" t="str">
        <f t="shared" si="47"/>
        <v>NA</v>
      </c>
      <c r="AD286" s="88" t="str">
        <f t="shared" si="48"/>
        <v>NA</v>
      </c>
      <c r="AE286" s="111"/>
      <c r="AF286" s="112"/>
      <c r="AG286" s="113"/>
      <c r="AH286" s="112"/>
      <c r="AI286" s="31"/>
      <c r="AJ286" s="294"/>
      <c r="AK286" s="89"/>
      <c r="AL286" s="88" t="str">
        <f t="shared" si="49"/>
        <v>NA</v>
      </c>
      <c r="AM286" s="88" t="str">
        <f t="shared" si="50"/>
        <v>NA</v>
      </c>
      <c r="AN286" s="111"/>
      <c r="AO286" s="112"/>
      <c r="AP286" s="113"/>
      <c r="AQ286" s="112"/>
      <c r="AR286" s="31"/>
      <c r="AS286" s="32"/>
      <c r="AT286" s="90"/>
      <c r="AU286" s="88"/>
      <c r="AV286" s="88"/>
      <c r="AW286" s="111"/>
      <c r="AX286" s="112"/>
      <c r="AY286" s="113"/>
      <c r="AZ286" s="112"/>
      <c r="BA286" s="31"/>
      <c r="BB286" s="32"/>
      <c r="BC286" s="90"/>
      <c r="BD286" s="88"/>
      <c r="BE286" s="88"/>
      <c r="BF286" s="111"/>
      <c r="BG286" s="112"/>
      <c r="BH286" s="113"/>
      <c r="BI286" s="112"/>
      <c r="BJ286" s="31"/>
      <c r="BK286" s="32"/>
      <c r="BL286" s="90"/>
      <c r="BM286" s="88"/>
      <c r="BN286" s="88"/>
      <c r="BO286" s="111"/>
      <c r="BP286" s="112"/>
      <c r="BQ286" s="113"/>
      <c r="BR286" s="112"/>
      <c r="BS286" s="31"/>
      <c r="BT286" s="32"/>
      <c r="BU286" s="90"/>
      <c r="BV286" s="88"/>
      <c r="BW286" s="88"/>
      <c r="BX286" s="111"/>
      <c r="BY286" s="112"/>
      <c r="BZ286" s="113"/>
      <c r="CA286" s="112"/>
      <c r="CB286" s="31"/>
      <c r="CC286" s="32"/>
      <c r="CD286" s="90"/>
      <c r="CE286" s="88"/>
      <c r="CF286" s="88"/>
      <c r="CG286" s="111"/>
      <c r="CH286" s="112"/>
      <c r="CI286" s="113"/>
      <c r="CJ286" s="112"/>
      <c r="CK286" s="31"/>
      <c r="CL286" s="32"/>
      <c r="CM286" s="90"/>
      <c r="CN286" s="88"/>
      <c r="CO286" s="88"/>
      <c r="CP286" s="111"/>
      <c r="CQ286" s="112"/>
      <c r="CR286" s="113"/>
      <c r="CS286" s="112"/>
      <c r="CT286" s="55"/>
      <c r="CV286" s="230" t="s">
        <v>44</v>
      </c>
      <c r="CX286" s="226" t="s">
        <v>1424</v>
      </c>
      <c r="CY286" s="226" t="s">
        <v>541</v>
      </c>
      <c r="CZ286" s="226" t="s">
        <v>541</v>
      </c>
      <c r="DA286" s="226" t="s">
        <v>541</v>
      </c>
      <c r="DB286" s="226"/>
      <c r="DC286" s="226" t="s">
        <v>541</v>
      </c>
      <c r="DD286" s="226" t="s">
        <v>541</v>
      </c>
      <c r="DE286" s="226" t="s">
        <v>541</v>
      </c>
      <c r="DF286" s="226" t="s">
        <v>541</v>
      </c>
      <c r="DG286" s="226" t="s">
        <v>541</v>
      </c>
      <c r="DH286" s="14"/>
    </row>
    <row r="287" spans="1:112" ht="39" x14ac:dyDescent="0.25">
      <c r="A287" s="17" t="s">
        <v>533</v>
      </c>
      <c r="B287" s="17" t="s">
        <v>541</v>
      </c>
      <c r="C287" s="17" t="s">
        <v>41</v>
      </c>
      <c r="D287" s="17" t="s">
        <v>42</v>
      </c>
      <c r="E287" s="17" t="b">
        <f t="shared" si="46"/>
        <v>1</v>
      </c>
      <c r="F287" s="127" t="s">
        <v>533</v>
      </c>
      <c r="G287" s="248" t="s">
        <v>541</v>
      </c>
      <c r="H287" s="128" t="s">
        <v>41</v>
      </c>
      <c r="I287" s="128" t="s">
        <v>42</v>
      </c>
      <c r="J287" s="31"/>
      <c r="K287" s="102" t="s">
        <v>354</v>
      </c>
      <c r="L287" s="90"/>
      <c r="M287" s="111"/>
      <c r="N287" s="112"/>
      <c r="O287" s="113"/>
      <c r="P287" s="112"/>
      <c r="Q287" s="31"/>
      <c r="R287" s="102"/>
      <c r="S287" s="90"/>
      <c r="T287" s="88" t="str">
        <f t="shared" si="42"/>
        <v>NA</v>
      </c>
      <c r="U287" s="88" t="str">
        <f t="shared" si="43"/>
        <v>NA</v>
      </c>
      <c r="V287" s="111"/>
      <c r="W287" s="112"/>
      <c r="X287" s="113"/>
      <c r="Y287" s="112"/>
      <c r="Z287" s="31"/>
      <c r="AA287" s="296"/>
      <c r="AB287" s="89"/>
      <c r="AC287" s="88" t="str">
        <f t="shared" si="47"/>
        <v>NA</v>
      </c>
      <c r="AD287" s="88" t="str">
        <f t="shared" si="48"/>
        <v>NA</v>
      </c>
      <c r="AE287" s="111"/>
      <c r="AF287" s="112"/>
      <c r="AG287" s="113"/>
      <c r="AH287" s="112"/>
      <c r="AI287" s="31"/>
      <c r="AJ287" s="294"/>
      <c r="AK287" s="89"/>
      <c r="AL287" s="88" t="str">
        <f t="shared" si="49"/>
        <v>NA</v>
      </c>
      <c r="AM287" s="88" t="str">
        <f t="shared" si="50"/>
        <v>NA</v>
      </c>
      <c r="AN287" s="111"/>
      <c r="AO287" s="112"/>
      <c r="AP287" s="113"/>
      <c r="AQ287" s="112"/>
      <c r="AR287" s="31"/>
      <c r="AS287" s="32"/>
      <c r="AT287" s="90"/>
      <c r="AU287" s="88"/>
      <c r="AV287" s="88"/>
      <c r="AW287" s="111"/>
      <c r="AX287" s="112"/>
      <c r="AY287" s="113"/>
      <c r="AZ287" s="112"/>
      <c r="BA287" s="31"/>
      <c r="BB287" s="32"/>
      <c r="BC287" s="90"/>
      <c r="BD287" s="88"/>
      <c r="BE287" s="88"/>
      <c r="BF287" s="111"/>
      <c r="BG287" s="112"/>
      <c r="BH287" s="113"/>
      <c r="BI287" s="112"/>
      <c r="BJ287" s="31"/>
      <c r="BK287" s="32"/>
      <c r="BL287" s="90"/>
      <c r="BM287" s="88"/>
      <c r="BN287" s="88"/>
      <c r="BO287" s="111"/>
      <c r="BP287" s="112"/>
      <c r="BQ287" s="113"/>
      <c r="BR287" s="112"/>
      <c r="BS287" s="31"/>
      <c r="BT287" s="32"/>
      <c r="BU287" s="90"/>
      <c r="BV287" s="88"/>
      <c r="BW287" s="88"/>
      <c r="BX287" s="111"/>
      <c r="BY287" s="112"/>
      <c r="BZ287" s="113"/>
      <c r="CA287" s="112"/>
      <c r="CB287" s="31"/>
      <c r="CC287" s="32"/>
      <c r="CD287" s="90"/>
      <c r="CE287" s="88"/>
      <c r="CF287" s="88"/>
      <c r="CG287" s="111"/>
      <c r="CH287" s="112"/>
      <c r="CI287" s="113"/>
      <c r="CJ287" s="112"/>
      <c r="CK287" s="31"/>
      <c r="CL287" s="32"/>
      <c r="CM287" s="90"/>
      <c r="CN287" s="88"/>
      <c r="CO287" s="88"/>
      <c r="CP287" s="111"/>
      <c r="CQ287" s="112"/>
      <c r="CR287" s="113"/>
      <c r="CS287" s="112"/>
      <c r="CT287" s="55"/>
      <c r="CV287" s="230" t="s">
        <v>42</v>
      </c>
      <c r="CX287" s="226" t="s">
        <v>1424</v>
      </c>
      <c r="CY287" s="226" t="s">
        <v>541</v>
      </c>
      <c r="CZ287" s="226" t="s">
        <v>541</v>
      </c>
      <c r="DA287" s="226" t="s">
        <v>541</v>
      </c>
      <c r="DB287" s="226"/>
      <c r="DC287" s="226" t="s">
        <v>541</v>
      </c>
      <c r="DD287" s="226" t="s">
        <v>541</v>
      </c>
      <c r="DE287" s="226" t="s">
        <v>541</v>
      </c>
      <c r="DF287" s="226" t="s">
        <v>541</v>
      </c>
      <c r="DG287" s="226" t="s">
        <v>541</v>
      </c>
      <c r="DH287" s="14"/>
    </row>
    <row r="288" spans="1:112" ht="26" x14ac:dyDescent="0.25">
      <c r="A288" s="17" t="s">
        <v>534</v>
      </c>
      <c r="B288" s="17" t="s">
        <v>541</v>
      </c>
      <c r="C288" s="17" t="s">
        <v>39</v>
      </c>
      <c r="D288" s="17" t="s">
        <v>40</v>
      </c>
      <c r="E288" s="17" t="b">
        <f t="shared" si="46"/>
        <v>1</v>
      </c>
      <c r="F288" s="127" t="s">
        <v>534</v>
      </c>
      <c r="G288" s="248" t="s">
        <v>541</v>
      </c>
      <c r="H288" s="128" t="s">
        <v>39</v>
      </c>
      <c r="I288" s="128" t="s">
        <v>40</v>
      </c>
      <c r="J288" s="31"/>
      <c r="K288" s="102" t="s">
        <v>354</v>
      </c>
      <c r="L288" s="90"/>
      <c r="M288" s="111"/>
      <c r="N288" s="112"/>
      <c r="O288" s="113"/>
      <c r="P288" s="112"/>
      <c r="Q288" s="31"/>
      <c r="R288" s="102"/>
      <c r="S288" s="90"/>
      <c r="T288" s="88" t="str">
        <f t="shared" si="42"/>
        <v>NA</v>
      </c>
      <c r="U288" s="88" t="str">
        <f t="shared" si="43"/>
        <v>NA</v>
      </c>
      <c r="V288" s="111"/>
      <c r="W288" s="112"/>
      <c r="X288" s="113"/>
      <c r="Y288" s="112"/>
      <c r="Z288" s="31"/>
      <c r="AA288" s="296"/>
      <c r="AB288" s="89"/>
      <c r="AC288" s="88" t="str">
        <f t="shared" si="47"/>
        <v>NA</v>
      </c>
      <c r="AD288" s="88" t="str">
        <f t="shared" si="48"/>
        <v>NA</v>
      </c>
      <c r="AE288" s="111"/>
      <c r="AF288" s="112"/>
      <c r="AG288" s="113"/>
      <c r="AH288" s="112"/>
      <c r="AI288" s="31"/>
      <c r="AJ288" s="294"/>
      <c r="AK288" s="89"/>
      <c r="AL288" s="88" t="str">
        <f t="shared" si="49"/>
        <v>NA</v>
      </c>
      <c r="AM288" s="88" t="str">
        <f t="shared" si="50"/>
        <v>NA</v>
      </c>
      <c r="AN288" s="111"/>
      <c r="AO288" s="112"/>
      <c r="AP288" s="113"/>
      <c r="AQ288" s="112"/>
      <c r="AR288" s="31"/>
      <c r="AS288" s="32"/>
      <c r="AT288" s="90"/>
      <c r="AU288" s="88"/>
      <c r="AV288" s="88"/>
      <c r="AW288" s="111"/>
      <c r="AX288" s="112"/>
      <c r="AY288" s="113"/>
      <c r="AZ288" s="112"/>
      <c r="BA288" s="31"/>
      <c r="BB288" s="32"/>
      <c r="BC288" s="90"/>
      <c r="BD288" s="88"/>
      <c r="BE288" s="88"/>
      <c r="BF288" s="111"/>
      <c r="BG288" s="112"/>
      <c r="BH288" s="113"/>
      <c r="BI288" s="112"/>
      <c r="BJ288" s="31"/>
      <c r="BK288" s="32"/>
      <c r="BL288" s="90"/>
      <c r="BM288" s="88"/>
      <c r="BN288" s="88"/>
      <c r="BO288" s="111"/>
      <c r="BP288" s="112"/>
      <c r="BQ288" s="113"/>
      <c r="BR288" s="112"/>
      <c r="BS288" s="31"/>
      <c r="BT288" s="32"/>
      <c r="BU288" s="90"/>
      <c r="BV288" s="88"/>
      <c r="BW288" s="88"/>
      <c r="BX288" s="111"/>
      <c r="BY288" s="112"/>
      <c r="BZ288" s="113"/>
      <c r="CA288" s="112"/>
      <c r="CB288" s="31"/>
      <c r="CC288" s="32"/>
      <c r="CD288" s="90"/>
      <c r="CE288" s="88"/>
      <c r="CF288" s="88"/>
      <c r="CG288" s="111"/>
      <c r="CH288" s="112"/>
      <c r="CI288" s="113"/>
      <c r="CJ288" s="112"/>
      <c r="CK288" s="31"/>
      <c r="CL288" s="32"/>
      <c r="CM288" s="90"/>
      <c r="CN288" s="88"/>
      <c r="CO288" s="88"/>
      <c r="CP288" s="111"/>
      <c r="CQ288" s="112"/>
      <c r="CR288" s="113"/>
      <c r="CS288" s="112"/>
      <c r="CT288" s="55"/>
      <c r="CV288" s="230" t="s">
        <v>40</v>
      </c>
      <c r="CX288" s="226" t="s">
        <v>1424</v>
      </c>
      <c r="CY288" s="226" t="s">
        <v>541</v>
      </c>
      <c r="CZ288" s="226" t="s">
        <v>541</v>
      </c>
      <c r="DA288" s="226" t="s">
        <v>541</v>
      </c>
      <c r="DB288" s="226"/>
      <c r="DC288" s="226" t="s">
        <v>541</v>
      </c>
      <c r="DD288" s="226" t="s">
        <v>541</v>
      </c>
      <c r="DE288" s="226" t="s">
        <v>541</v>
      </c>
      <c r="DF288" s="226" t="s">
        <v>541</v>
      </c>
      <c r="DG288" s="226" t="s">
        <v>541</v>
      </c>
      <c r="DH288" s="14"/>
    </row>
    <row r="289" spans="6:112" ht="12.75" customHeight="1" x14ac:dyDescent="0.25">
      <c r="F289" s="127"/>
      <c r="G289" s="127"/>
      <c r="H289" s="128"/>
      <c r="I289" s="128"/>
      <c r="J289" s="31"/>
      <c r="K289" s="102"/>
      <c r="L289" s="90"/>
      <c r="M289" s="111"/>
      <c r="N289" s="112"/>
      <c r="O289" s="113"/>
      <c r="P289" s="112"/>
      <c r="Q289" s="31"/>
      <c r="R289" s="300"/>
      <c r="S289" s="298"/>
      <c r="T289" s="102"/>
      <c r="U289" s="90"/>
      <c r="V289" s="111"/>
      <c r="W289" s="112"/>
      <c r="X289" s="113"/>
      <c r="Y289" s="112"/>
      <c r="Z289" s="31"/>
      <c r="AA289" s="235"/>
      <c r="AB289" s="90"/>
      <c r="AC289" s="88"/>
      <c r="AD289" s="88"/>
      <c r="AE289" s="111"/>
      <c r="AF289" s="112"/>
      <c r="AG289" s="113"/>
      <c r="AH289" s="112"/>
      <c r="AI289" s="31"/>
      <c r="AJ289" s="32"/>
      <c r="AK289" s="90"/>
      <c r="AL289" s="88"/>
      <c r="AM289" s="88"/>
      <c r="AN289" s="111"/>
      <c r="AO289" s="112"/>
      <c r="AP289" s="113"/>
      <c r="AQ289" s="112"/>
      <c r="AR289" s="31"/>
      <c r="AS289" s="32"/>
      <c r="AT289" s="90"/>
      <c r="AU289" s="88"/>
      <c r="AV289" s="88"/>
      <c r="AW289" s="111"/>
      <c r="AX289" s="112"/>
      <c r="AY289" s="113"/>
      <c r="AZ289" s="112"/>
      <c r="BA289" s="31"/>
      <c r="BB289" s="32"/>
      <c r="BC289" s="90"/>
      <c r="BD289" s="88"/>
      <c r="BE289" s="88"/>
      <c r="BF289" s="111"/>
      <c r="BG289" s="112"/>
      <c r="BH289" s="113"/>
      <c r="BI289" s="112"/>
      <c r="BJ289" s="31"/>
      <c r="BK289" s="32"/>
      <c r="BL289" s="90"/>
      <c r="BM289" s="88"/>
      <c r="BN289" s="88"/>
      <c r="BO289" s="111"/>
      <c r="BP289" s="112"/>
      <c r="BQ289" s="113"/>
      <c r="BR289" s="112"/>
      <c r="BS289" s="31"/>
      <c r="BT289" s="32"/>
      <c r="BU289" s="90"/>
      <c r="BV289" s="88"/>
      <c r="BW289" s="88"/>
      <c r="BX289" s="111"/>
      <c r="BY289" s="112"/>
      <c r="BZ289" s="113"/>
      <c r="CA289" s="112"/>
      <c r="CB289" s="31"/>
      <c r="CC289" s="32"/>
      <c r="CD289" s="90"/>
      <c r="CE289" s="88"/>
      <c r="CF289" s="88"/>
      <c r="CG289" s="111"/>
      <c r="CH289" s="112"/>
      <c r="CI289" s="113"/>
      <c r="CJ289" s="112"/>
      <c r="CK289" s="31"/>
      <c r="CL289" s="32"/>
      <c r="CM289" s="90"/>
      <c r="CN289" s="88"/>
      <c r="CO289" s="88"/>
      <c r="CP289" s="111"/>
      <c r="CQ289" s="112"/>
      <c r="CR289" s="113"/>
      <c r="CS289" s="112"/>
      <c r="CT289" s="55"/>
      <c r="CX289" s="226"/>
      <c r="CY289" s="226"/>
      <c r="CZ289" s="226"/>
      <c r="DA289" s="226"/>
      <c r="DB289" s="226"/>
      <c r="DC289" s="226"/>
      <c r="DD289" s="226"/>
      <c r="DE289" s="226"/>
      <c r="DF289" s="226"/>
      <c r="DG289" s="226"/>
      <c r="DH289" s="14"/>
    </row>
    <row r="290" spans="6:112" ht="13.5" thickBot="1" x14ac:dyDescent="0.3">
      <c r="F290" s="79"/>
      <c r="G290" s="79"/>
      <c r="H290" s="79"/>
      <c r="I290" s="79"/>
      <c r="J290" s="31"/>
      <c r="K290" s="101"/>
      <c r="L290" s="100"/>
      <c r="M290" s="4"/>
      <c r="N290" s="5"/>
      <c r="O290" s="6"/>
      <c r="P290" s="5"/>
      <c r="Q290" s="31"/>
      <c r="R290" s="301"/>
      <c r="S290" s="299"/>
      <c r="T290" s="86"/>
      <c r="U290" s="7"/>
      <c r="V290" s="114"/>
      <c r="W290" s="115"/>
      <c r="X290" s="8"/>
      <c r="Y290" s="115"/>
      <c r="Z290" s="31"/>
      <c r="AA290" s="108"/>
      <c r="AB290" s="7"/>
      <c r="AC290" s="87"/>
      <c r="AD290" s="87"/>
      <c r="AE290" s="114"/>
      <c r="AF290" s="115"/>
      <c r="AG290" s="8"/>
      <c r="AH290" s="115"/>
      <c r="AI290" s="31"/>
      <c r="AJ290" s="86"/>
      <c r="AK290" s="7"/>
      <c r="AL290" s="87"/>
      <c r="AM290" s="87"/>
      <c r="AN290" s="114"/>
      <c r="AO290" s="115"/>
      <c r="AP290" s="8"/>
      <c r="AQ290" s="115"/>
      <c r="AR290" s="31"/>
      <c r="AS290" s="86"/>
      <c r="AT290" s="7"/>
      <c r="AU290" s="87"/>
      <c r="AV290" s="87"/>
      <c r="AW290" s="114"/>
      <c r="AX290" s="115"/>
      <c r="AY290" s="8"/>
      <c r="AZ290" s="115"/>
      <c r="BA290" s="31"/>
      <c r="BB290" s="86"/>
      <c r="BC290" s="7"/>
      <c r="BD290" s="87"/>
      <c r="BE290" s="87"/>
      <c r="BF290" s="114"/>
      <c r="BG290" s="115"/>
      <c r="BH290" s="8"/>
      <c r="BI290" s="115"/>
      <c r="BJ290" s="31"/>
      <c r="BK290" s="86"/>
      <c r="BL290" s="7"/>
      <c r="BM290" s="87"/>
      <c r="BN290" s="87"/>
      <c r="BO290" s="114"/>
      <c r="BP290" s="115"/>
      <c r="BQ290" s="8"/>
      <c r="BR290" s="115"/>
      <c r="BS290" s="31"/>
      <c r="BT290" s="86"/>
      <c r="BU290" s="7"/>
      <c r="BV290" s="87"/>
      <c r="BW290" s="87"/>
      <c r="BX290" s="114"/>
      <c r="BY290" s="115"/>
      <c r="BZ290" s="8"/>
      <c r="CA290" s="115"/>
      <c r="CB290" s="31"/>
      <c r="CC290" s="86"/>
      <c r="CD290" s="7"/>
      <c r="CE290" s="87"/>
      <c r="CF290" s="87"/>
      <c r="CG290" s="114"/>
      <c r="CH290" s="115"/>
      <c r="CI290" s="8"/>
      <c r="CJ290" s="115"/>
      <c r="CK290" s="31"/>
      <c r="CL290" s="86"/>
      <c r="CM290" s="7"/>
      <c r="CN290" s="87"/>
      <c r="CO290" s="87"/>
      <c r="CP290" s="114"/>
      <c r="CQ290" s="115"/>
      <c r="CR290" s="8"/>
      <c r="CS290" s="115"/>
      <c r="CT290" s="55"/>
    </row>
    <row r="291" spans="6:112" ht="13" x14ac:dyDescent="0.25">
      <c r="F291" s="80"/>
      <c r="G291" s="279"/>
      <c r="H291" s="80"/>
      <c r="I291" s="80"/>
      <c r="J291" s="57"/>
      <c r="K291" s="81"/>
      <c r="L291" s="82"/>
      <c r="M291" s="83"/>
      <c r="N291" s="84"/>
      <c r="O291" s="83"/>
      <c r="P291" s="85"/>
      <c r="Q291" s="57"/>
      <c r="R291" s="38"/>
      <c r="S291" s="34"/>
      <c r="T291" s="39"/>
      <c r="U291" s="39"/>
      <c r="V291" s="35"/>
      <c r="W291" s="36"/>
      <c r="X291" s="35"/>
      <c r="Y291" s="37"/>
      <c r="Z291" s="57"/>
      <c r="AA291" s="106"/>
      <c r="AB291" s="34"/>
      <c r="AC291" s="39"/>
      <c r="AD291" s="39"/>
      <c r="AE291" s="35"/>
      <c r="AF291" s="36"/>
      <c r="AG291" s="35"/>
      <c r="AH291" s="37"/>
      <c r="AI291" s="57"/>
      <c r="AJ291" s="38"/>
      <c r="AK291" s="34"/>
      <c r="AL291" s="39"/>
      <c r="AM291" s="39"/>
      <c r="AN291" s="35"/>
      <c r="AO291" s="36"/>
      <c r="AP291" s="35"/>
      <c r="AQ291" s="37"/>
      <c r="AR291" s="57"/>
      <c r="AS291" s="38"/>
      <c r="AT291" s="34"/>
      <c r="AU291" s="39"/>
      <c r="AV291" s="39"/>
      <c r="AW291" s="35"/>
      <c r="AX291" s="36"/>
      <c r="AY291" s="35"/>
      <c r="AZ291" s="37"/>
      <c r="BA291" s="57"/>
      <c r="BB291" s="38"/>
      <c r="BC291" s="34"/>
      <c r="BD291" s="39"/>
      <c r="BE291" s="39"/>
      <c r="BF291" s="35"/>
      <c r="BG291" s="36"/>
      <c r="BH291" s="35"/>
      <c r="BI291" s="37"/>
      <c r="BJ291" s="57"/>
      <c r="BK291" s="38"/>
      <c r="BL291" s="34"/>
      <c r="BM291" s="39"/>
      <c r="BN291" s="39"/>
      <c r="BO291" s="35"/>
      <c r="BP291" s="36"/>
      <c r="BQ291" s="35"/>
      <c r="BR291" s="37"/>
      <c r="BS291" s="57"/>
      <c r="BT291" s="38"/>
      <c r="BU291" s="34"/>
      <c r="BV291" s="39"/>
      <c r="BW291" s="39"/>
      <c r="BX291" s="35"/>
      <c r="BY291" s="36"/>
      <c r="BZ291" s="35"/>
      <c r="CA291" s="37"/>
      <c r="CB291" s="57"/>
      <c r="CC291" s="38"/>
      <c r="CD291" s="34"/>
      <c r="CE291" s="39"/>
      <c r="CF291" s="39"/>
      <c r="CG291" s="35"/>
      <c r="CH291" s="36"/>
      <c r="CI291" s="35"/>
      <c r="CJ291" s="37"/>
      <c r="CK291" s="57"/>
      <c r="CL291" s="38"/>
      <c r="CM291" s="34"/>
      <c r="CN291" s="39"/>
      <c r="CO291" s="39"/>
      <c r="CP291" s="35"/>
      <c r="CQ291" s="36"/>
      <c r="CR291" s="35"/>
      <c r="CS291" s="37"/>
      <c r="CT291" s="57"/>
    </row>
    <row r="292" spans="6:112" x14ac:dyDescent="0.25">
      <c r="F292" s="64"/>
      <c r="G292" s="280"/>
      <c r="H292" s="64"/>
      <c r="I292" s="64"/>
      <c r="J292" s="57"/>
      <c r="K292" s="33"/>
      <c r="L292" s="25"/>
      <c r="M292" s="35"/>
      <c r="N292" s="36"/>
      <c r="O292" s="35"/>
      <c r="P292" s="37"/>
      <c r="Q292" s="57"/>
      <c r="R292" s="33"/>
      <c r="S292" s="25"/>
      <c r="T292" s="40"/>
      <c r="U292" s="40"/>
      <c r="V292" s="35"/>
      <c r="W292" s="36"/>
      <c r="X292" s="35"/>
      <c r="Y292" s="37"/>
      <c r="Z292" s="57"/>
      <c r="AA292" s="25"/>
      <c r="AB292" s="25"/>
      <c r="AC292" s="40"/>
      <c r="AD292" s="40"/>
      <c r="AE292" s="35"/>
      <c r="AF292" s="36"/>
      <c r="AG292" s="35"/>
      <c r="AH292" s="37"/>
      <c r="AI292" s="57"/>
      <c r="AJ292" s="33"/>
      <c r="AK292" s="25"/>
      <c r="AL292" s="40"/>
      <c r="AM292" s="40"/>
      <c r="AN292" s="35"/>
      <c r="AO292" s="36"/>
      <c r="AP292" s="35"/>
      <c r="AQ292" s="37"/>
      <c r="AR292" s="57"/>
      <c r="AS292" s="33"/>
      <c r="AT292" s="25"/>
      <c r="AU292" s="40"/>
      <c r="AV292" s="40"/>
      <c r="AW292" s="35"/>
      <c r="AX292" s="36"/>
      <c r="AY292" s="35"/>
      <c r="AZ292" s="37"/>
      <c r="BA292" s="57"/>
      <c r="BB292" s="33"/>
      <c r="BC292" s="25"/>
      <c r="BD292" s="40"/>
      <c r="BE292" s="40"/>
      <c r="BF292" s="35"/>
      <c r="BG292" s="36"/>
      <c r="BH292" s="35"/>
      <c r="BI292" s="37"/>
      <c r="BJ292" s="57"/>
      <c r="BK292" s="33"/>
      <c r="BL292" s="25"/>
      <c r="BM292" s="40"/>
      <c r="BN292" s="40"/>
      <c r="BO292" s="35"/>
      <c r="BP292" s="36"/>
      <c r="BQ292" s="35"/>
      <c r="BR292" s="37"/>
      <c r="BS292" s="57"/>
      <c r="BT292" s="33"/>
      <c r="BU292" s="25"/>
      <c r="BV292" s="40"/>
      <c r="BW292" s="40"/>
      <c r="BX292" s="35"/>
      <c r="BY292" s="36"/>
      <c r="BZ292" s="35"/>
      <c r="CA292" s="37"/>
      <c r="CB292" s="57"/>
      <c r="CC292" s="33"/>
      <c r="CD292" s="25"/>
      <c r="CE292" s="40"/>
      <c r="CF292" s="40"/>
      <c r="CG292" s="35"/>
      <c r="CH292" s="36"/>
      <c r="CI292" s="35"/>
      <c r="CJ292" s="37"/>
      <c r="CK292" s="57"/>
      <c r="CL292" s="33"/>
      <c r="CM292" s="25"/>
      <c r="CN292" s="40"/>
      <c r="CO292" s="40"/>
      <c r="CP292" s="35"/>
      <c r="CQ292" s="36"/>
      <c r="CR292" s="35"/>
      <c r="CS292" s="37"/>
      <c r="CT292" s="57"/>
    </row>
    <row r="293" spans="6:112" x14ac:dyDescent="0.25">
      <c r="F293" s="64"/>
      <c r="G293" s="280"/>
      <c r="H293" s="64"/>
      <c r="I293" s="64"/>
      <c r="J293" s="57"/>
      <c r="K293" s="33"/>
      <c r="L293" s="25"/>
      <c r="M293" s="35"/>
      <c r="N293" s="36"/>
      <c r="O293" s="35"/>
      <c r="P293" s="37"/>
      <c r="Q293" s="57"/>
      <c r="R293" s="33"/>
      <c r="S293" s="25"/>
      <c r="T293" s="40"/>
      <c r="U293" s="40"/>
      <c r="V293" s="35"/>
      <c r="W293" s="36"/>
      <c r="X293" s="35"/>
      <c r="Y293" s="37"/>
      <c r="Z293" s="57"/>
      <c r="AA293" s="25"/>
      <c r="AB293" s="25"/>
      <c r="AC293" s="40"/>
      <c r="AD293" s="40"/>
      <c r="AE293" s="35"/>
      <c r="AF293" s="36"/>
      <c r="AG293" s="35"/>
      <c r="AH293" s="37"/>
      <c r="AI293" s="57"/>
      <c r="AJ293" s="33"/>
      <c r="AK293" s="25"/>
      <c r="AL293" s="40"/>
      <c r="AM293" s="40"/>
      <c r="AN293" s="35"/>
      <c r="AO293" s="36"/>
      <c r="AP293" s="35"/>
      <c r="AQ293" s="37"/>
      <c r="AR293" s="57"/>
      <c r="AS293" s="33"/>
      <c r="AT293" s="25"/>
      <c r="AU293" s="40"/>
      <c r="AV293" s="40"/>
      <c r="AW293" s="35"/>
      <c r="AX293" s="36"/>
      <c r="AY293" s="35"/>
      <c r="AZ293" s="37"/>
      <c r="BA293" s="57"/>
      <c r="BB293" s="33"/>
      <c r="BC293" s="25"/>
      <c r="BD293" s="40"/>
      <c r="BE293" s="40"/>
      <c r="BF293" s="35"/>
      <c r="BG293" s="36"/>
      <c r="BH293" s="35"/>
      <c r="BI293" s="37"/>
      <c r="BJ293" s="57"/>
      <c r="BK293" s="33"/>
      <c r="BL293" s="25"/>
      <c r="BM293" s="40"/>
      <c r="BN293" s="40"/>
      <c r="BO293" s="35"/>
      <c r="BP293" s="36"/>
      <c r="BQ293" s="35"/>
      <c r="BR293" s="37"/>
      <c r="BS293" s="57"/>
      <c r="BT293" s="33"/>
      <c r="BU293" s="25"/>
      <c r="BV293" s="40"/>
      <c r="BW293" s="40"/>
      <c r="BX293" s="35"/>
      <c r="BY293" s="36"/>
      <c r="BZ293" s="35"/>
      <c r="CA293" s="37"/>
      <c r="CB293" s="57"/>
      <c r="CC293" s="33"/>
      <c r="CD293" s="25"/>
      <c r="CE293" s="40"/>
      <c r="CF293" s="40"/>
      <c r="CG293" s="35"/>
      <c r="CH293" s="36"/>
      <c r="CI293" s="35"/>
      <c r="CJ293" s="37"/>
      <c r="CK293" s="57"/>
      <c r="CL293" s="33"/>
      <c r="CM293" s="25"/>
      <c r="CN293" s="40"/>
      <c r="CO293" s="40"/>
      <c r="CP293" s="35"/>
      <c r="CQ293" s="36"/>
      <c r="CR293" s="35"/>
      <c r="CS293" s="37"/>
      <c r="CT293" s="57"/>
    </row>
    <row r="294" spans="6:112" ht="13" thickBot="1" x14ac:dyDescent="0.3">
      <c r="F294" s="65"/>
      <c r="G294" s="281"/>
      <c r="H294" s="65"/>
      <c r="I294" s="65"/>
      <c r="J294" s="50"/>
      <c r="K294" s="43"/>
      <c r="L294" s="41"/>
      <c r="M294" s="44"/>
      <c r="N294" s="45"/>
      <c r="O294" s="44"/>
      <c r="P294" s="45"/>
      <c r="Q294" s="50"/>
      <c r="R294" s="43"/>
      <c r="S294" s="41"/>
      <c r="T294" s="47"/>
      <c r="U294" s="47"/>
      <c r="V294" s="44"/>
      <c r="W294" s="45"/>
      <c r="X294" s="44"/>
      <c r="Y294" s="45"/>
      <c r="Z294" s="50"/>
      <c r="AA294" s="41"/>
      <c r="AB294" s="41"/>
      <c r="AC294" s="47"/>
      <c r="AD294" s="47"/>
      <c r="AE294" s="44"/>
      <c r="AF294" s="45"/>
      <c r="AG294" s="44"/>
      <c r="AH294" s="46"/>
      <c r="AI294" s="50"/>
      <c r="AJ294" s="43"/>
      <c r="AK294" s="41"/>
      <c r="AL294" s="47"/>
      <c r="AM294" s="47"/>
      <c r="AN294" s="44"/>
      <c r="AO294" s="45"/>
      <c r="AP294" s="44"/>
      <c r="AQ294" s="46"/>
      <c r="AR294" s="50"/>
      <c r="AS294" s="43"/>
      <c r="AT294" s="41"/>
      <c r="AU294" s="47"/>
      <c r="AV294" s="47"/>
      <c r="AW294" s="44"/>
      <c r="AX294" s="45"/>
      <c r="AY294" s="44"/>
      <c r="AZ294" s="46"/>
      <c r="BA294" s="50"/>
      <c r="BB294" s="43"/>
      <c r="BC294" s="41"/>
      <c r="BD294" s="47"/>
      <c r="BE294" s="47"/>
      <c r="BF294" s="44"/>
      <c r="BG294" s="45"/>
      <c r="BH294" s="44"/>
      <c r="BI294" s="46"/>
      <c r="BJ294" s="50"/>
      <c r="BK294" s="43"/>
      <c r="BL294" s="41"/>
      <c r="BM294" s="47"/>
      <c r="BN294" s="47"/>
      <c r="BO294" s="44"/>
      <c r="BP294" s="45"/>
      <c r="BQ294" s="44"/>
      <c r="BR294" s="46"/>
      <c r="BS294" s="50"/>
      <c r="BT294" s="43"/>
      <c r="BU294" s="41"/>
      <c r="BV294" s="47"/>
      <c r="BW294" s="47"/>
      <c r="BX294" s="44"/>
      <c r="BY294" s="45"/>
      <c r="BZ294" s="44"/>
      <c r="CA294" s="46"/>
      <c r="CB294" s="50"/>
      <c r="CC294" s="43"/>
      <c r="CD294" s="41"/>
      <c r="CE294" s="47"/>
      <c r="CF294" s="47"/>
      <c r="CG294" s="44"/>
      <c r="CH294" s="45"/>
      <c r="CI294" s="44"/>
      <c r="CJ294" s="46"/>
      <c r="CK294" s="50"/>
      <c r="CL294" s="43"/>
      <c r="CM294" s="41"/>
      <c r="CN294" s="47"/>
      <c r="CO294" s="47"/>
      <c r="CP294" s="44"/>
      <c r="CQ294" s="45"/>
      <c r="CR294" s="44"/>
      <c r="CS294" s="46"/>
      <c r="CT294" s="50"/>
    </row>
  </sheetData>
  <sheetProtection password="CA6F" sheet="1" objects="1" scenarios="1"/>
  <autoFilter ref="B8:DI288"/>
  <mergeCells count="61">
    <mergeCell ref="CC7:CD7"/>
    <mergeCell ref="CL7:CM7"/>
    <mergeCell ref="K7:L7"/>
    <mergeCell ref="R7:S7"/>
    <mergeCell ref="AA7:AB7"/>
    <mergeCell ref="AJ7:AK7"/>
    <mergeCell ref="AS7:AT7"/>
    <mergeCell ref="BB7:BC7"/>
    <mergeCell ref="AL2:AM7"/>
    <mergeCell ref="AN2:AQ2"/>
    <mergeCell ref="AN3:AO3"/>
    <mergeCell ref="AP3:AQ3"/>
    <mergeCell ref="BK6:BL6"/>
    <mergeCell ref="BT6:BU6"/>
    <mergeCell ref="CC6:CD6"/>
    <mergeCell ref="CL6:CM6"/>
    <mergeCell ref="CP2:CS2"/>
    <mergeCell ref="M3:N3"/>
    <mergeCell ref="O3:P3"/>
    <mergeCell ref="V3:W3"/>
    <mergeCell ref="X3:Y3"/>
    <mergeCell ref="AE3:AF3"/>
    <mergeCell ref="AG3:AH3"/>
    <mergeCell ref="CP3:CQ3"/>
    <mergeCell ref="CR3:CS3"/>
    <mergeCell ref="BB2:BC5"/>
    <mergeCell ref="BK2:BL5"/>
    <mergeCell ref="BT2:BU5"/>
    <mergeCell ref="CC2:CD5"/>
    <mergeCell ref="CL2:CM5"/>
    <mergeCell ref="CN2:CO7"/>
    <mergeCell ref="R6:S6"/>
    <mergeCell ref="AA6:AB6"/>
    <mergeCell ref="AJ6:AK6"/>
    <mergeCell ref="AS6:AT6"/>
    <mergeCell ref="V2:Y2"/>
    <mergeCell ref="AA2:AB5"/>
    <mergeCell ref="AC2:AD7"/>
    <mergeCell ref="AE2:AH2"/>
    <mergeCell ref="AJ2:AK5"/>
    <mergeCell ref="BB1:BI1"/>
    <mergeCell ref="BK1:BR1"/>
    <mergeCell ref="BT1:CA1"/>
    <mergeCell ref="AS2:AT5"/>
    <mergeCell ref="BB6:BC6"/>
    <mergeCell ref="CC1:CJ1"/>
    <mergeCell ref="CL1:CS1"/>
    <mergeCell ref="F2:I7"/>
    <mergeCell ref="K2:L5"/>
    <mergeCell ref="M2:P2"/>
    <mergeCell ref="R2:S5"/>
    <mergeCell ref="T2:U7"/>
    <mergeCell ref="K6:L6"/>
    <mergeCell ref="AS1:AZ1"/>
    <mergeCell ref="F1:I1"/>
    <mergeCell ref="K1:P1"/>
    <mergeCell ref="R1:Y1"/>
    <mergeCell ref="AA1:AH1"/>
    <mergeCell ref="AJ1:AQ1"/>
    <mergeCell ref="BK7:BL7"/>
    <mergeCell ref="BT7:BU7"/>
  </mergeCells>
  <phoneticPr fontId="54" type="noConversion"/>
  <conditionalFormatting sqref="M291:M1048576 O291:O1048576 CR291:CR1048576 CP291:CP1048576 CI291:CI1048576 CG291:CG1048576 BZ291:BZ1048576 BX291:BX1048576 BQ291:BQ1048576 BO291:BO1048576 BH291:BH1048576 BF291:BF1048576 AY291:AY1048576 AW291:AW1048576 AP291:AP1048576 AN291:AN1048576 AG291:AG1048576 AE291:AE1048576 V291:V1048576 X291:X1048576 M197:M288 O197:O288 V197:V288 AE197:AE288 AG197:AG288 AN197:AN288 AP197:AP288 AW197:AW288 AY197:AY288 BF197:BF288 BH197:BH288 BO197:BO288 BQ197:BQ288 BX197:BX288 BZ197:BZ288 CG197:CG288 CI197:CI288 CP197:CP288 CR197:CR288 X197:X288">
    <cfRule type="cellIs" dxfId="1302" priority="1253" operator="equal">
      <formula>"NOK"</formula>
    </cfRule>
    <cfRule type="cellIs" dxfId="1301" priority="1254" operator="equal">
      <formula>"OK"</formula>
    </cfRule>
  </conditionalFormatting>
  <conditionalFormatting sqref="O291:O1048576 CR291:CR1048576 CI291:CI1048576 BZ291:BZ1048576 BQ291:BQ1048576 BH291:BH1048576 AY291:AY1048576 AP291:AP1048576 AG291:AG1048576 X291:X1048576 O197:O288 AG197:AG288 AP197:AP288 AY197:AY288 BH197:BH288 BQ197:BQ288 BZ197:BZ288 CI197:CI288 CR197:CR288 X197:X288">
    <cfRule type="cellIs" dxfId="1300" priority="1251" operator="equal">
      <formula>"STANDBY"</formula>
    </cfRule>
    <cfRule type="cellIs" dxfId="1299" priority="1252" operator="equal">
      <formula>"DEVIATION"</formula>
    </cfRule>
  </conditionalFormatting>
  <conditionalFormatting sqref="M291:P1048576 CP291:CS1048576 CG291:CJ1048576 BX291:CA1048576 BO291:BR1048576 BF291:BI1048576 AW291:AZ1048576 AN291:AQ1048576 AE291:AH1048576 V291:Y1048576 M197:P208 AE197:AH208 AN197:AQ208 AW197:AZ208 BF197:BI208 BO197:BR208 BX197:CA208 CG197:CJ208 CP197:CS208 V197:Y208 M230:P288 AE230:AH288 AN230:AQ288 AW230:AZ288 BF230:BI288 BO230:BR288 BX230:CA288 CG230:CJ288 CP230:CS288 V230:Y288">
    <cfRule type="expression" dxfId="1298" priority="1255">
      <formula>AND(#REF!&lt;&gt;"",#REF!="")</formula>
    </cfRule>
  </conditionalFormatting>
  <conditionalFormatting sqref="AA290:AH290 AA197:AH208 CL197:CS208 AS197:AZ208 BB197:BI208 BK197:BR208 BT197:CA208 CC197:CJ208 M197:P208 T197:Y208 F197:I208 AA9:AB196 H209:H216 H230:I238 H239:H240 H241:I242 H246:I246 H248:I249 H247 T209:T242 H218:H229 AA230:AH238 M230:P288 AJ230:AK288 AS230:AZ288 BB230:BI288 BK230:BR288 BT230:CA288 CC230:CJ288 CL230:CS288 I250:I271 H250:H288 AA209:AB229 AA239:AB240 AA241:AH242 AE239:AH240 AA243:AB245 AA246:AH246 AE243:AH245 AA248:AC249 AA247:AB247 AC248:AH262 AE247:AH247 AC264:AH271 AE263:AH263 AC274:AH279 AE272:AH273 AA281:AH288 AE280:AH280 AA250:AB280 AN230:AQ288 AJ197:AQ208 AL230:AM238 AL241:AM242 AL246:AM246 AL248:AM262 AL264:AM271 AL274:AM279 AL281:AM288 R197:S288 K197:L288 T230:Y288">
    <cfRule type="containsBlanks" dxfId="1297" priority="1250">
      <formula>LEN(TRIM(F9))=0</formula>
    </cfRule>
  </conditionalFormatting>
  <conditionalFormatting sqref="AU197:AV208 BD197:BE208 BM197:BN208 BV197:BW208 CE197:CF208 CN197:CO208 T197:U208 AC197:AD208 AU230:AV288 BD230:BE288 BM230:BN288 BV230:BW288 CE230:CF288 CN230:CO288 T209:T288 AC230:AD238 AC241:AD242 AC246:AD246 AC248:AD262 AC264:AD271 AC274:AD279 AC281:AD288 AL197:AM208 AL230:AM238 AL241:AM242 AL246:AM246 AL248:AM262 AL264:AM271 AL274:AM279 AL281:AM288 T230:U288">
    <cfRule type="cellIs" dxfId="1296" priority="1237" operator="equal">
      <formula>"ERROR"</formula>
    </cfRule>
    <cfRule type="cellIs" dxfId="1295" priority="1238" operator="equal">
      <formula>"NA"</formula>
    </cfRule>
    <cfRule type="cellIs" dxfId="1294" priority="1239" operator="equal">
      <formula>"YES"</formula>
    </cfRule>
  </conditionalFormatting>
  <conditionalFormatting sqref="CR290 CP290 CI290 CG290 BZ290 BX290 BQ290 BO290 BH290 BF290 AY290 AW290 AP290 AN290 AG290 AE290 X290 V290 O290 M290">
    <cfRule type="cellIs" dxfId="1293" priority="1247" operator="equal">
      <formula>"NOK"</formula>
    </cfRule>
    <cfRule type="cellIs" dxfId="1292" priority="1248" operator="equal">
      <formula>"OK"</formula>
    </cfRule>
  </conditionalFormatting>
  <conditionalFormatting sqref="CR290 CI290 BZ290 BQ290 BH290 AY290 AP290 AG290 X290 O290">
    <cfRule type="cellIs" dxfId="1291" priority="1245" operator="equal">
      <formula>"STANDBY"</formula>
    </cfRule>
    <cfRule type="cellIs" dxfId="1290" priority="1246" operator="equal">
      <formula>"DEVIATION"</formula>
    </cfRule>
  </conditionalFormatting>
  <conditionalFormatting sqref="CP290:CS290 CG290:CJ290 BX290:CA290 BO290:BR290 BF290:BI290 AW290:AZ290 AN290:AQ290 AE290:AH290 V290:Y290 M290:P290">
    <cfRule type="expression" dxfId="1289" priority="1249">
      <formula>AND(#REF!&lt;&gt;"",#REF!="")</formula>
    </cfRule>
  </conditionalFormatting>
  <conditionalFormatting sqref="CL290:CS290 CC290:CJ290 BT290:CA290 BK290:BR290 BB290:BI290 AS290:AZ290 AJ290:AQ290 V290:Y290 M290:P290">
    <cfRule type="containsBlanks" dxfId="1288" priority="1244">
      <formula>LEN(TRIM(M290))=0</formula>
    </cfRule>
  </conditionalFormatting>
  <conditionalFormatting sqref="CN290:CO290 CE290:CF290 BV290:BW290 BM290:BN290 BD290:BE290 AU290:AV290 AL290:AM290 AC290:AD290">
    <cfRule type="cellIs" dxfId="1287" priority="1241" operator="equal">
      <formula>"ERROR"</formula>
    </cfRule>
    <cfRule type="cellIs" dxfId="1286" priority="1242" operator="equal">
      <formula>"NA"</formula>
    </cfRule>
    <cfRule type="cellIs" dxfId="1285" priority="1243" operator="equal">
      <formula>"YES"</formula>
    </cfRule>
  </conditionalFormatting>
  <conditionalFormatting sqref="I290">
    <cfRule type="containsBlanks" dxfId="1284" priority="1240">
      <formula>LEN(TRIM(I290))=0</formula>
    </cfRule>
  </conditionalFormatting>
  <conditionalFormatting sqref="L290">
    <cfRule type="containsBlanks" dxfId="1283" priority="1236">
      <formula>LEN(TRIM(L290))=0</formula>
    </cfRule>
  </conditionalFormatting>
  <conditionalFormatting sqref="K290">
    <cfRule type="containsBlanks" dxfId="1282" priority="1235">
      <formula>LEN(TRIM(K290))=0</formula>
    </cfRule>
  </conditionalFormatting>
  <conditionalFormatting sqref="S290">
    <cfRule type="containsBlanks" dxfId="1281" priority="1234">
      <formula>LEN(TRIM(S290))=0</formula>
    </cfRule>
  </conditionalFormatting>
  <conditionalFormatting sqref="R290">
    <cfRule type="containsBlanks" dxfId="1280" priority="1233">
      <formula>LEN(TRIM(R290))=0</formula>
    </cfRule>
  </conditionalFormatting>
  <conditionalFormatting sqref="X9:X196 CR9:CR196 CP9:CP196 CI9:CI196 CG9:CG196 BZ9:BZ196 BX9:BX196 BQ9:BQ196 BO9:BO196 BH9:BH196 BF9:BF196 AY9:AY196 AW9:AW196 AP9:AP196 AN9:AN196 AG9:AG196 AE9:AE196 V9:V196 O9:O196 M9:M196">
    <cfRule type="cellIs" dxfId="1279" priority="1230" operator="equal">
      <formula>"NOK"</formula>
    </cfRule>
    <cfRule type="cellIs" dxfId="1278" priority="1231" operator="equal">
      <formula>"OK"</formula>
    </cfRule>
  </conditionalFormatting>
  <conditionalFormatting sqref="X9:X196 CR9:CR196 CI9:CI196 BZ9:BZ196 BQ9:BQ196 BH9:BH196 AY9:AY196 AP9:AP196 AG9:AG196 O9:O196">
    <cfRule type="cellIs" dxfId="1277" priority="1228" operator="equal">
      <formula>"STANDBY"</formula>
    </cfRule>
    <cfRule type="cellIs" dxfId="1276" priority="1229" operator="equal">
      <formula>"DEVIATION"</formula>
    </cfRule>
  </conditionalFormatting>
  <conditionalFormatting sqref="V9:Y196 CP9:CS196 CG9:CJ196 BX9:CA196 BO9:BR196 BF9:BI196 AW9:AZ196 AN9:AQ196 AE9:AH196 M9:P196">
    <cfRule type="expression" dxfId="1275" priority="1232">
      <formula>AND(#REF!&lt;&gt;"",#REF!="")</formula>
    </cfRule>
  </conditionalFormatting>
  <conditionalFormatting sqref="CL9:CS196 CC9:CJ196 BT9:CA196 BK9:BR196 BB9:BI196 AS9:AZ196 AJ9:AK65 T9:Y196 AE9:AH196 AN9:AQ196 AJ67:AK84 AJ66 AJ86:AK196 AJ85 M9:P196">
    <cfRule type="containsBlanks" dxfId="1274" priority="1227">
      <formula>LEN(TRIM(M9))=0</formula>
    </cfRule>
  </conditionalFormatting>
  <conditionalFormatting sqref="CN9:CO196 CE9:CF196 BV9:BW196 BM9:BN196 BD9:BE196 AU9:AV196 T9:U196">
    <cfRule type="cellIs" dxfId="1273" priority="1224" operator="equal">
      <formula>"ERROR"</formula>
    </cfRule>
    <cfRule type="cellIs" dxfId="1272" priority="1225" operator="equal">
      <formula>"NA"</formula>
    </cfRule>
    <cfRule type="cellIs" dxfId="1271" priority="1226" operator="equal">
      <formula>"YES"</formula>
    </cfRule>
  </conditionalFormatting>
  <conditionalFormatting sqref="I9:I15 I18 I20:I39 I42 I50:I61 I68:I69 I71:I86 I93 I98:I136 I138:I163 I167:I178 I180:I196 I274:I288">
    <cfRule type="containsBlanks" dxfId="1270" priority="1223">
      <formula>LEN(TRIM(I9))=0</formula>
    </cfRule>
  </conditionalFormatting>
  <conditionalFormatting sqref="BB208">
    <cfRule type="containsBlanks" dxfId="1269" priority="1205">
      <formula>LEN(TRIM(BB208))=0</formula>
    </cfRule>
  </conditionalFormatting>
  <conditionalFormatting sqref="CI208">
    <cfRule type="containsBlanks" dxfId="1268" priority="1190">
      <formula>LEN(TRIM(CI208))=0</formula>
    </cfRule>
  </conditionalFormatting>
  <conditionalFormatting sqref="AG208">
    <cfRule type="containsBlanks" dxfId="1267" priority="1214">
      <formula>LEN(TRIM(AG208))=0</formula>
    </cfRule>
  </conditionalFormatting>
  <conditionalFormatting sqref="M208">
    <cfRule type="containsBlanks" dxfId="1266" priority="1219">
      <formula>LEN(TRIM(M208))=0</formula>
    </cfRule>
  </conditionalFormatting>
  <conditionalFormatting sqref="O208">
    <cfRule type="containsBlanks" dxfId="1265" priority="1218">
      <formula>LEN(TRIM(O208))=0</formula>
    </cfRule>
  </conditionalFormatting>
  <conditionalFormatting sqref="V208">
    <cfRule type="containsBlanks" dxfId="1264" priority="1217">
      <formula>LEN(TRIM(V208))=0</formula>
    </cfRule>
  </conditionalFormatting>
  <conditionalFormatting sqref="X208">
    <cfRule type="containsBlanks" dxfId="1263" priority="1216">
      <formula>LEN(TRIM(X208))=0</formula>
    </cfRule>
  </conditionalFormatting>
  <conditionalFormatting sqref="AJ278">
    <cfRule type="containsBlanks" dxfId="1262" priority="1179">
      <formula>LEN(TRIM(AJ278))=0</formula>
    </cfRule>
  </conditionalFormatting>
  <conditionalFormatting sqref="AE208">
    <cfRule type="containsBlanks" dxfId="1261" priority="1215">
      <formula>LEN(TRIM(AE208))=0</formula>
    </cfRule>
  </conditionalFormatting>
  <conditionalFormatting sqref="CG208">
    <cfRule type="containsBlanks" dxfId="1260" priority="1191">
      <formula>LEN(TRIM(CG208))=0</formula>
    </cfRule>
  </conditionalFormatting>
  <conditionalFormatting sqref="AJ208">
    <cfRule type="containsBlanks" dxfId="1259" priority="1213">
      <formula>LEN(TRIM(AJ208))=0</formula>
    </cfRule>
  </conditionalFormatting>
  <conditionalFormatting sqref="AN208">
    <cfRule type="containsBlanks" dxfId="1258" priority="1211">
      <formula>LEN(TRIM(AN208))=0</formula>
    </cfRule>
  </conditionalFormatting>
  <conditionalFormatting sqref="AP208">
    <cfRule type="containsBlanks" dxfId="1257" priority="1210">
      <formula>LEN(TRIM(AP208))=0</formula>
    </cfRule>
  </conditionalFormatting>
  <conditionalFormatting sqref="AS208">
    <cfRule type="containsBlanks" dxfId="1256" priority="1209">
      <formula>LEN(TRIM(AS208))=0</formula>
    </cfRule>
  </conditionalFormatting>
  <conditionalFormatting sqref="AU208">
    <cfRule type="containsBlanks" dxfId="1255" priority="1208">
      <formula>LEN(TRIM(AU208))=0</formula>
    </cfRule>
  </conditionalFormatting>
  <conditionalFormatting sqref="AW208">
    <cfRule type="containsBlanks" dxfId="1254" priority="1207">
      <formula>LEN(TRIM(AW208))=0</formula>
    </cfRule>
  </conditionalFormatting>
  <conditionalFormatting sqref="AY208">
    <cfRule type="containsBlanks" dxfId="1253" priority="1206">
      <formula>LEN(TRIM(AY208))=0</formula>
    </cfRule>
  </conditionalFormatting>
  <conditionalFormatting sqref="BD208">
    <cfRule type="containsBlanks" dxfId="1252" priority="1204">
      <formula>LEN(TRIM(BD208))=0</formula>
    </cfRule>
  </conditionalFormatting>
  <conditionalFormatting sqref="BF208">
    <cfRule type="containsBlanks" dxfId="1251" priority="1203">
      <formula>LEN(TRIM(BF208))=0</formula>
    </cfRule>
  </conditionalFormatting>
  <conditionalFormatting sqref="BH208">
    <cfRule type="containsBlanks" dxfId="1250" priority="1202">
      <formula>LEN(TRIM(BH208))=0</formula>
    </cfRule>
  </conditionalFormatting>
  <conditionalFormatting sqref="BK208">
    <cfRule type="containsBlanks" dxfId="1249" priority="1201">
      <formula>LEN(TRIM(BK208))=0</formula>
    </cfRule>
  </conditionalFormatting>
  <conditionalFormatting sqref="BM208">
    <cfRule type="containsBlanks" dxfId="1248" priority="1200">
      <formula>LEN(TRIM(BM208))=0</formula>
    </cfRule>
  </conditionalFormatting>
  <conditionalFormatting sqref="BO208">
    <cfRule type="containsBlanks" dxfId="1247" priority="1199">
      <formula>LEN(TRIM(BO208))=0</formula>
    </cfRule>
  </conditionalFormatting>
  <conditionalFormatting sqref="BQ208">
    <cfRule type="containsBlanks" dxfId="1246" priority="1198">
      <formula>LEN(TRIM(BQ208))=0</formula>
    </cfRule>
  </conditionalFormatting>
  <conditionalFormatting sqref="BT208">
    <cfRule type="containsBlanks" dxfId="1245" priority="1197">
      <formula>LEN(TRIM(BT208))=0</formula>
    </cfRule>
  </conditionalFormatting>
  <conditionalFormatting sqref="BV208">
    <cfRule type="containsBlanks" dxfId="1244" priority="1196">
      <formula>LEN(TRIM(BV208))=0</formula>
    </cfRule>
  </conditionalFormatting>
  <conditionalFormatting sqref="BX208">
    <cfRule type="containsBlanks" dxfId="1243" priority="1195">
      <formula>LEN(TRIM(BX208))=0</formula>
    </cfRule>
  </conditionalFormatting>
  <conditionalFormatting sqref="BZ208">
    <cfRule type="containsBlanks" dxfId="1242" priority="1194">
      <formula>LEN(TRIM(BZ208))=0</formula>
    </cfRule>
  </conditionalFormatting>
  <conditionalFormatting sqref="CC208">
    <cfRule type="containsBlanks" dxfId="1241" priority="1193">
      <formula>LEN(TRIM(CC208))=0</formula>
    </cfRule>
  </conditionalFormatting>
  <conditionalFormatting sqref="CE208">
    <cfRule type="containsBlanks" dxfId="1240" priority="1192">
      <formula>LEN(TRIM(CE208))=0</formula>
    </cfRule>
  </conditionalFormatting>
  <conditionalFormatting sqref="CL208">
    <cfRule type="containsBlanks" dxfId="1239" priority="1189">
      <formula>LEN(TRIM(CL208))=0</formula>
    </cfRule>
  </conditionalFormatting>
  <conditionalFormatting sqref="CN208">
    <cfRule type="containsBlanks" dxfId="1238" priority="1188">
      <formula>LEN(TRIM(CN208))=0</formula>
    </cfRule>
  </conditionalFormatting>
  <conditionalFormatting sqref="CP208">
    <cfRule type="containsBlanks" dxfId="1237" priority="1187">
      <formula>LEN(TRIM(CP208))=0</formula>
    </cfRule>
  </conditionalFormatting>
  <conditionalFormatting sqref="CR208">
    <cfRule type="containsBlanks" dxfId="1236" priority="1186">
      <formula>LEN(TRIM(CR208))=0</formula>
    </cfRule>
  </conditionalFormatting>
  <conditionalFormatting sqref="BB278">
    <cfRule type="containsBlanks" dxfId="1235" priority="1171">
      <formula>LEN(TRIM(BB278))=0</formula>
    </cfRule>
  </conditionalFormatting>
  <conditionalFormatting sqref="CI278">
    <cfRule type="containsBlanks" dxfId="1234" priority="1156">
      <formula>LEN(TRIM(CI278))=0</formula>
    </cfRule>
  </conditionalFormatting>
  <conditionalFormatting sqref="AG278">
    <cfRule type="containsBlanks" dxfId="1233" priority="1180">
      <formula>LEN(TRIM(AG278))=0</formula>
    </cfRule>
  </conditionalFormatting>
  <conditionalFormatting sqref="M278">
    <cfRule type="containsBlanks" dxfId="1232" priority="1185">
      <formula>LEN(TRIM(M278))=0</formula>
    </cfRule>
  </conditionalFormatting>
  <conditionalFormatting sqref="O278">
    <cfRule type="containsBlanks" dxfId="1231" priority="1184">
      <formula>LEN(TRIM(O278))=0</formula>
    </cfRule>
  </conditionalFormatting>
  <conditionalFormatting sqref="V278">
    <cfRule type="containsBlanks" dxfId="1230" priority="1183">
      <formula>LEN(TRIM(V278))=0</formula>
    </cfRule>
  </conditionalFormatting>
  <conditionalFormatting sqref="X278">
    <cfRule type="containsBlanks" dxfId="1229" priority="1182">
      <formula>LEN(TRIM(X278))=0</formula>
    </cfRule>
  </conditionalFormatting>
  <conditionalFormatting sqref="AE278">
    <cfRule type="containsBlanks" dxfId="1228" priority="1181">
      <formula>LEN(TRIM(AE278))=0</formula>
    </cfRule>
  </conditionalFormatting>
  <conditionalFormatting sqref="CG278">
    <cfRule type="containsBlanks" dxfId="1227" priority="1157">
      <formula>LEN(TRIM(CG278))=0</formula>
    </cfRule>
  </conditionalFormatting>
  <conditionalFormatting sqref="AN278">
    <cfRule type="containsBlanks" dxfId="1226" priority="1177">
      <formula>LEN(TRIM(AN278))=0</formula>
    </cfRule>
  </conditionalFormatting>
  <conditionalFormatting sqref="AP278">
    <cfRule type="containsBlanks" dxfId="1225" priority="1176">
      <formula>LEN(TRIM(AP278))=0</formula>
    </cfRule>
  </conditionalFormatting>
  <conditionalFormatting sqref="AS278">
    <cfRule type="containsBlanks" dxfId="1224" priority="1175">
      <formula>LEN(TRIM(AS278))=0</formula>
    </cfRule>
  </conditionalFormatting>
  <conditionalFormatting sqref="AU278">
    <cfRule type="containsBlanks" dxfId="1223" priority="1174">
      <formula>LEN(TRIM(AU278))=0</formula>
    </cfRule>
  </conditionalFormatting>
  <conditionalFormatting sqref="AW278">
    <cfRule type="containsBlanks" dxfId="1222" priority="1173">
      <formula>LEN(TRIM(AW278))=0</formula>
    </cfRule>
  </conditionalFormatting>
  <conditionalFormatting sqref="AY278">
    <cfRule type="containsBlanks" dxfId="1221" priority="1172">
      <formula>LEN(TRIM(AY278))=0</formula>
    </cfRule>
  </conditionalFormatting>
  <conditionalFormatting sqref="BD278">
    <cfRule type="containsBlanks" dxfId="1220" priority="1170">
      <formula>LEN(TRIM(BD278))=0</formula>
    </cfRule>
  </conditionalFormatting>
  <conditionalFormatting sqref="BF278">
    <cfRule type="containsBlanks" dxfId="1219" priority="1169">
      <formula>LEN(TRIM(BF278))=0</formula>
    </cfRule>
  </conditionalFormatting>
  <conditionalFormatting sqref="BH278">
    <cfRule type="containsBlanks" dxfId="1218" priority="1168">
      <formula>LEN(TRIM(BH278))=0</formula>
    </cfRule>
  </conditionalFormatting>
  <conditionalFormatting sqref="BK278">
    <cfRule type="containsBlanks" dxfId="1217" priority="1167">
      <formula>LEN(TRIM(BK278))=0</formula>
    </cfRule>
  </conditionalFormatting>
  <conditionalFormatting sqref="BM278">
    <cfRule type="containsBlanks" dxfId="1216" priority="1166">
      <formula>LEN(TRIM(BM278))=0</formula>
    </cfRule>
  </conditionalFormatting>
  <conditionalFormatting sqref="BO278">
    <cfRule type="containsBlanks" dxfId="1215" priority="1165">
      <formula>LEN(TRIM(BO278))=0</formula>
    </cfRule>
  </conditionalFormatting>
  <conditionalFormatting sqref="BQ278">
    <cfRule type="containsBlanks" dxfId="1214" priority="1164">
      <formula>LEN(TRIM(BQ278))=0</formula>
    </cfRule>
  </conditionalFormatting>
  <conditionalFormatting sqref="BT278">
    <cfRule type="containsBlanks" dxfId="1213" priority="1163">
      <formula>LEN(TRIM(BT278))=0</formula>
    </cfRule>
  </conditionalFormatting>
  <conditionalFormatting sqref="BV278">
    <cfRule type="containsBlanks" dxfId="1212" priority="1162">
      <formula>LEN(TRIM(BV278))=0</formula>
    </cfRule>
  </conditionalFormatting>
  <conditionalFormatting sqref="BX278">
    <cfRule type="containsBlanks" dxfId="1211" priority="1161">
      <formula>LEN(TRIM(BX278))=0</formula>
    </cfRule>
  </conditionalFormatting>
  <conditionalFormatting sqref="BZ278">
    <cfRule type="containsBlanks" dxfId="1210" priority="1160">
      <formula>LEN(TRIM(BZ278))=0</formula>
    </cfRule>
  </conditionalFormatting>
  <conditionalFormatting sqref="CC278">
    <cfRule type="containsBlanks" dxfId="1209" priority="1159">
      <formula>LEN(TRIM(CC278))=0</formula>
    </cfRule>
  </conditionalFormatting>
  <conditionalFormatting sqref="CE278">
    <cfRule type="containsBlanks" dxfId="1208" priority="1158">
      <formula>LEN(TRIM(CE278))=0</formula>
    </cfRule>
  </conditionalFormatting>
  <conditionalFormatting sqref="CL278">
    <cfRule type="containsBlanks" dxfId="1207" priority="1155">
      <formula>LEN(TRIM(CL278))=0</formula>
    </cfRule>
  </conditionalFormatting>
  <conditionalFormatting sqref="CN278">
    <cfRule type="containsBlanks" dxfId="1206" priority="1154">
      <formula>LEN(TRIM(CN278))=0</formula>
    </cfRule>
  </conditionalFormatting>
  <conditionalFormatting sqref="CP278">
    <cfRule type="containsBlanks" dxfId="1205" priority="1153">
      <formula>LEN(TRIM(CP278))=0</formula>
    </cfRule>
  </conditionalFormatting>
  <conditionalFormatting sqref="CR278">
    <cfRule type="containsBlanks" dxfId="1204" priority="1152">
      <formula>LEN(TRIM(CR278))=0</formula>
    </cfRule>
  </conditionalFormatting>
  <conditionalFormatting sqref="BF12">
    <cfRule type="containsBlanks" dxfId="1203" priority="1135">
      <formula>LEN(TRIM(BF12))=0</formula>
    </cfRule>
  </conditionalFormatting>
  <conditionalFormatting sqref="CN12">
    <cfRule type="containsBlanks" dxfId="1202" priority="1120">
      <formula>LEN(TRIM(CN12))=0</formula>
    </cfRule>
  </conditionalFormatting>
  <conditionalFormatting sqref="M12">
    <cfRule type="containsBlanks" dxfId="1201" priority="1151">
      <formula>LEN(TRIM(M12))=0</formula>
    </cfRule>
  </conditionalFormatting>
  <conditionalFormatting sqref="O12">
    <cfRule type="containsBlanks" dxfId="1200" priority="1150">
      <formula>LEN(TRIM(O12))=0</formula>
    </cfRule>
  </conditionalFormatting>
  <conditionalFormatting sqref="V12">
    <cfRule type="containsBlanks" dxfId="1199" priority="1149">
      <formula>LEN(TRIM(V12))=0</formula>
    </cfRule>
  </conditionalFormatting>
  <conditionalFormatting sqref="X12">
    <cfRule type="containsBlanks" dxfId="1198" priority="1148">
      <formula>LEN(TRIM(X12))=0</formula>
    </cfRule>
  </conditionalFormatting>
  <conditionalFormatting sqref="AE12">
    <cfRule type="containsBlanks" dxfId="1197" priority="1147">
      <formula>LEN(TRIM(AE12))=0</formula>
    </cfRule>
  </conditionalFormatting>
  <conditionalFormatting sqref="AG12">
    <cfRule type="containsBlanks" dxfId="1196" priority="1146">
      <formula>LEN(TRIM(AG12))=0</formula>
    </cfRule>
  </conditionalFormatting>
  <conditionalFormatting sqref="AJ12">
    <cfRule type="containsBlanks" dxfId="1195" priority="1145">
      <formula>LEN(TRIM(AJ12))=0</formula>
    </cfRule>
  </conditionalFormatting>
  <conditionalFormatting sqref="CL12">
    <cfRule type="containsBlanks" dxfId="1194" priority="1121">
      <formula>LEN(TRIM(CL12))=0</formula>
    </cfRule>
  </conditionalFormatting>
  <conditionalFormatting sqref="AN12">
    <cfRule type="containsBlanks" dxfId="1193" priority="1143">
      <formula>LEN(TRIM(AN12))=0</formula>
    </cfRule>
  </conditionalFormatting>
  <conditionalFormatting sqref="AP12">
    <cfRule type="containsBlanks" dxfId="1192" priority="1142">
      <formula>LEN(TRIM(AP12))=0</formula>
    </cfRule>
  </conditionalFormatting>
  <conditionalFormatting sqref="AS12">
    <cfRule type="containsBlanks" dxfId="1191" priority="1141">
      <formula>LEN(TRIM(AS12))=0</formula>
    </cfRule>
  </conditionalFormatting>
  <conditionalFormatting sqref="AU12">
    <cfRule type="containsBlanks" dxfId="1190" priority="1140">
      <formula>LEN(TRIM(AU12))=0</formula>
    </cfRule>
  </conditionalFormatting>
  <conditionalFormatting sqref="AW12">
    <cfRule type="containsBlanks" dxfId="1189" priority="1139">
      <formula>LEN(TRIM(AW12))=0</formula>
    </cfRule>
  </conditionalFormatting>
  <conditionalFormatting sqref="AY12">
    <cfRule type="containsBlanks" dxfId="1188" priority="1138">
      <formula>LEN(TRIM(AY12))=0</formula>
    </cfRule>
  </conditionalFormatting>
  <conditionalFormatting sqref="BB12">
    <cfRule type="containsBlanks" dxfId="1187" priority="1137">
      <formula>LEN(TRIM(BB12))=0</formula>
    </cfRule>
  </conditionalFormatting>
  <conditionalFormatting sqref="BD12">
    <cfRule type="containsBlanks" dxfId="1186" priority="1136">
      <formula>LEN(TRIM(BD12))=0</formula>
    </cfRule>
  </conditionalFormatting>
  <conditionalFormatting sqref="BH12">
    <cfRule type="containsBlanks" dxfId="1185" priority="1134">
      <formula>LEN(TRIM(BH12))=0</formula>
    </cfRule>
  </conditionalFormatting>
  <conditionalFormatting sqref="BK12">
    <cfRule type="containsBlanks" dxfId="1184" priority="1133">
      <formula>LEN(TRIM(BK12))=0</formula>
    </cfRule>
  </conditionalFormatting>
  <conditionalFormatting sqref="BM12">
    <cfRule type="containsBlanks" dxfId="1183" priority="1132">
      <formula>LEN(TRIM(BM12))=0</formula>
    </cfRule>
  </conditionalFormatting>
  <conditionalFormatting sqref="BO12">
    <cfRule type="containsBlanks" dxfId="1182" priority="1131">
      <formula>LEN(TRIM(BO12))=0</formula>
    </cfRule>
  </conditionalFormatting>
  <conditionalFormatting sqref="BQ12">
    <cfRule type="containsBlanks" dxfId="1181" priority="1130">
      <formula>LEN(TRIM(BQ12))=0</formula>
    </cfRule>
  </conditionalFormatting>
  <conditionalFormatting sqref="BT12">
    <cfRule type="containsBlanks" dxfId="1180" priority="1129">
      <formula>LEN(TRIM(BT12))=0</formula>
    </cfRule>
  </conditionalFormatting>
  <conditionalFormatting sqref="BV12">
    <cfRule type="containsBlanks" dxfId="1179" priority="1128">
      <formula>LEN(TRIM(BV12))=0</formula>
    </cfRule>
  </conditionalFormatting>
  <conditionalFormatting sqref="BX12">
    <cfRule type="containsBlanks" dxfId="1178" priority="1127">
      <formula>LEN(TRIM(BX12))=0</formula>
    </cfRule>
  </conditionalFormatting>
  <conditionalFormatting sqref="BZ12">
    <cfRule type="containsBlanks" dxfId="1177" priority="1126">
      <formula>LEN(TRIM(BZ12))=0</formula>
    </cfRule>
  </conditionalFormatting>
  <conditionalFormatting sqref="CC12">
    <cfRule type="containsBlanks" dxfId="1176" priority="1125">
      <formula>LEN(TRIM(CC12))=0</formula>
    </cfRule>
  </conditionalFormatting>
  <conditionalFormatting sqref="CE12">
    <cfRule type="containsBlanks" dxfId="1175" priority="1124">
      <formula>LEN(TRIM(CE12))=0</formula>
    </cfRule>
  </conditionalFormatting>
  <conditionalFormatting sqref="CG12">
    <cfRule type="containsBlanks" dxfId="1174" priority="1123">
      <formula>LEN(TRIM(CG12))=0</formula>
    </cfRule>
  </conditionalFormatting>
  <conditionalFormatting sqref="CI12">
    <cfRule type="containsBlanks" dxfId="1173" priority="1122">
      <formula>LEN(TRIM(CI12))=0</formula>
    </cfRule>
  </conditionalFormatting>
  <conditionalFormatting sqref="CP12">
    <cfRule type="containsBlanks" dxfId="1172" priority="1119">
      <formula>LEN(TRIM(CP12))=0</formula>
    </cfRule>
  </conditionalFormatting>
  <conditionalFormatting sqref="CR12">
    <cfRule type="containsBlanks" dxfId="1171" priority="1118">
      <formula>LEN(TRIM(CR12))=0</formula>
    </cfRule>
  </conditionalFormatting>
  <conditionalFormatting sqref="M23">
    <cfRule type="containsBlanks" dxfId="1170" priority="1116">
      <formula>LEN(TRIM(M23))=0</formula>
    </cfRule>
  </conditionalFormatting>
  <conditionalFormatting sqref="O23">
    <cfRule type="containsBlanks" dxfId="1169" priority="1115">
      <formula>LEN(TRIM(O23))=0</formula>
    </cfRule>
  </conditionalFormatting>
  <conditionalFormatting sqref="AG23">
    <cfRule type="containsBlanks" dxfId="1168" priority="1111">
      <formula>LEN(TRIM(AG23))=0</formula>
    </cfRule>
  </conditionalFormatting>
  <conditionalFormatting sqref="V23">
    <cfRule type="containsBlanks" dxfId="1167" priority="1114">
      <formula>LEN(TRIM(V23))=0</formula>
    </cfRule>
  </conditionalFormatting>
  <conditionalFormatting sqref="X23">
    <cfRule type="containsBlanks" dxfId="1166" priority="1113">
      <formula>LEN(TRIM(X23))=0</formula>
    </cfRule>
  </conditionalFormatting>
  <conditionalFormatting sqref="AE23">
    <cfRule type="containsBlanks" dxfId="1165" priority="1112">
      <formula>LEN(TRIM(AE23))=0</formula>
    </cfRule>
  </conditionalFormatting>
  <conditionalFormatting sqref="CL23">
    <cfRule type="containsBlanks" dxfId="1164" priority="1086">
      <formula>LEN(TRIM(CL23))=0</formula>
    </cfRule>
  </conditionalFormatting>
  <conditionalFormatting sqref="CN23">
    <cfRule type="containsBlanks" dxfId="1163" priority="1085">
      <formula>LEN(TRIM(CN23))=0</formula>
    </cfRule>
  </conditionalFormatting>
  <conditionalFormatting sqref="CP23">
    <cfRule type="containsBlanks" dxfId="1162" priority="1084">
      <formula>LEN(TRIM(CP23))=0</formula>
    </cfRule>
  </conditionalFormatting>
  <conditionalFormatting sqref="CR23">
    <cfRule type="containsBlanks" dxfId="1161" priority="1083">
      <formula>LEN(TRIM(CR23))=0</formula>
    </cfRule>
  </conditionalFormatting>
  <conditionalFormatting sqref="AP23">
    <cfRule type="containsBlanks" dxfId="1160" priority="1107">
      <formula>LEN(TRIM(AP23))=0</formula>
    </cfRule>
  </conditionalFormatting>
  <conditionalFormatting sqref="AJ23">
    <cfRule type="containsBlanks" dxfId="1159" priority="1110">
      <formula>LEN(TRIM(AJ23))=0</formula>
    </cfRule>
  </conditionalFormatting>
  <conditionalFormatting sqref="AN23">
    <cfRule type="containsBlanks" dxfId="1158" priority="1108">
      <formula>LEN(TRIM(AN23))=0</formula>
    </cfRule>
  </conditionalFormatting>
  <conditionalFormatting sqref="AY23">
    <cfRule type="containsBlanks" dxfId="1157" priority="1103">
      <formula>LEN(TRIM(AY23))=0</formula>
    </cfRule>
  </conditionalFormatting>
  <conditionalFormatting sqref="AS23">
    <cfRule type="containsBlanks" dxfId="1156" priority="1106">
      <formula>LEN(TRIM(AS23))=0</formula>
    </cfRule>
  </conditionalFormatting>
  <conditionalFormatting sqref="AU23">
    <cfRule type="containsBlanks" dxfId="1155" priority="1105">
      <formula>LEN(TRIM(AU23))=0</formula>
    </cfRule>
  </conditionalFormatting>
  <conditionalFormatting sqref="AW23">
    <cfRule type="containsBlanks" dxfId="1154" priority="1104">
      <formula>LEN(TRIM(AW23))=0</formula>
    </cfRule>
  </conditionalFormatting>
  <conditionalFormatting sqref="BH23">
    <cfRule type="containsBlanks" dxfId="1153" priority="1099">
      <formula>LEN(TRIM(BH23))=0</formula>
    </cfRule>
  </conditionalFormatting>
  <conditionalFormatting sqref="BB23">
    <cfRule type="containsBlanks" dxfId="1152" priority="1102">
      <formula>LEN(TRIM(BB23))=0</formula>
    </cfRule>
  </conditionalFormatting>
  <conditionalFormatting sqref="BD23">
    <cfRule type="containsBlanks" dxfId="1151" priority="1101">
      <formula>LEN(TRIM(BD23))=0</formula>
    </cfRule>
  </conditionalFormatting>
  <conditionalFormatting sqref="BF23">
    <cfRule type="containsBlanks" dxfId="1150" priority="1100">
      <formula>LEN(TRIM(BF23))=0</formula>
    </cfRule>
  </conditionalFormatting>
  <conditionalFormatting sqref="BQ23">
    <cfRule type="containsBlanks" dxfId="1149" priority="1095">
      <formula>LEN(TRIM(BQ23))=0</formula>
    </cfRule>
  </conditionalFormatting>
  <conditionalFormatting sqref="BK23">
    <cfRule type="containsBlanks" dxfId="1148" priority="1098">
      <formula>LEN(TRIM(BK23))=0</formula>
    </cfRule>
  </conditionalFormatting>
  <conditionalFormatting sqref="BM23">
    <cfRule type="containsBlanks" dxfId="1147" priority="1097">
      <formula>LEN(TRIM(BM23))=0</formula>
    </cfRule>
  </conditionalFormatting>
  <conditionalFormatting sqref="BO23">
    <cfRule type="containsBlanks" dxfId="1146" priority="1096">
      <formula>LEN(TRIM(BO23))=0</formula>
    </cfRule>
  </conditionalFormatting>
  <conditionalFormatting sqref="BZ23">
    <cfRule type="containsBlanks" dxfId="1145" priority="1091">
      <formula>LEN(TRIM(BZ23))=0</formula>
    </cfRule>
  </conditionalFormatting>
  <conditionalFormatting sqref="BT23">
    <cfRule type="containsBlanks" dxfId="1144" priority="1094">
      <formula>LEN(TRIM(BT23))=0</formula>
    </cfRule>
  </conditionalFormatting>
  <conditionalFormatting sqref="BV23">
    <cfRule type="containsBlanks" dxfId="1143" priority="1093">
      <formula>LEN(TRIM(BV23))=0</formula>
    </cfRule>
  </conditionalFormatting>
  <conditionalFormatting sqref="BX23">
    <cfRule type="containsBlanks" dxfId="1142" priority="1092">
      <formula>LEN(TRIM(BX23))=0</formula>
    </cfRule>
  </conditionalFormatting>
  <conditionalFormatting sqref="CI23">
    <cfRule type="containsBlanks" dxfId="1141" priority="1087">
      <formula>LEN(TRIM(CI23))=0</formula>
    </cfRule>
  </conditionalFormatting>
  <conditionalFormatting sqref="CC23">
    <cfRule type="containsBlanks" dxfId="1140" priority="1090">
      <formula>LEN(TRIM(CC23))=0</formula>
    </cfRule>
  </conditionalFormatting>
  <conditionalFormatting sqref="CE23">
    <cfRule type="containsBlanks" dxfId="1139" priority="1089">
      <formula>LEN(TRIM(CE23))=0</formula>
    </cfRule>
  </conditionalFormatting>
  <conditionalFormatting sqref="CG23">
    <cfRule type="containsBlanks" dxfId="1138" priority="1088">
      <formula>LEN(TRIM(CG23))=0</formula>
    </cfRule>
  </conditionalFormatting>
  <conditionalFormatting sqref="M54">
    <cfRule type="containsBlanks" dxfId="1137" priority="1082">
      <formula>LEN(TRIM(M54))=0</formula>
    </cfRule>
  </conditionalFormatting>
  <conditionalFormatting sqref="O54">
    <cfRule type="containsBlanks" dxfId="1136" priority="1081">
      <formula>LEN(TRIM(O54))=0</formula>
    </cfRule>
  </conditionalFormatting>
  <conditionalFormatting sqref="AG54">
    <cfRule type="containsBlanks" dxfId="1135" priority="1077">
      <formula>LEN(TRIM(AG54))=0</formula>
    </cfRule>
  </conditionalFormatting>
  <conditionalFormatting sqref="V54">
    <cfRule type="containsBlanks" dxfId="1134" priority="1080">
      <formula>LEN(TRIM(V54))=0</formula>
    </cfRule>
  </conditionalFormatting>
  <conditionalFormatting sqref="X54">
    <cfRule type="containsBlanks" dxfId="1133" priority="1079">
      <formula>LEN(TRIM(X54))=0</formula>
    </cfRule>
  </conditionalFormatting>
  <conditionalFormatting sqref="AE54">
    <cfRule type="containsBlanks" dxfId="1132" priority="1078">
      <formula>LEN(TRIM(AE54))=0</formula>
    </cfRule>
  </conditionalFormatting>
  <conditionalFormatting sqref="CL54">
    <cfRule type="containsBlanks" dxfId="1131" priority="1052">
      <formula>LEN(TRIM(CL54))=0</formula>
    </cfRule>
  </conditionalFormatting>
  <conditionalFormatting sqref="CN54">
    <cfRule type="containsBlanks" dxfId="1130" priority="1051">
      <formula>LEN(TRIM(CN54))=0</formula>
    </cfRule>
  </conditionalFormatting>
  <conditionalFormatting sqref="CP54">
    <cfRule type="containsBlanks" dxfId="1129" priority="1050">
      <formula>LEN(TRIM(CP54))=0</formula>
    </cfRule>
  </conditionalFormatting>
  <conditionalFormatting sqref="CR54">
    <cfRule type="containsBlanks" dxfId="1128" priority="1049">
      <formula>LEN(TRIM(CR54))=0</formula>
    </cfRule>
  </conditionalFormatting>
  <conditionalFormatting sqref="AP54">
    <cfRule type="containsBlanks" dxfId="1127" priority="1073">
      <formula>LEN(TRIM(AP54))=0</formula>
    </cfRule>
  </conditionalFormatting>
  <conditionalFormatting sqref="AJ54">
    <cfRule type="containsBlanks" dxfId="1126" priority="1076">
      <formula>LEN(TRIM(AJ54))=0</formula>
    </cfRule>
  </conditionalFormatting>
  <conditionalFormatting sqref="AN54">
    <cfRule type="containsBlanks" dxfId="1125" priority="1074">
      <formula>LEN(TRIM(AN54))=0</formula>
    </cfRule>
  </conditionalFormatting>
  <conditionalFormatting sqref="AY54">
    <cfRule type="containsBlanks" dxfId="1124" priority="1069">
      <formula>LEN(TRIM(AY54))=0</formula>
    </cfRule>
  </conditionalFormatting>
  <conditionalFormatting sqref="AS54">
    <cfRule type="containsBlanks" dxfId="1123" priority="1072">
      <formula>LEN(TRIM(AS54))=0</formula>
    </cfRule>
  </conditionalFormatting>
  <conditionalFormatting sqref="AU54">
    <cfRule type="containsBlanks" dxfId="1122" priority="1071">
      <formula>LEN(TRIM(AU54))=0</formula>
    </cfRule>
  </conditionalFormatting>
  <conditionalFormatting sqref="AW54">
    <cfRule type="containsBlanks" dxfId="1121" priority="1070">
      <formula>LEN(TRIM(AW54))=0</formula>
    </cfRule>
  </conditionalFormatting>
  <conditionalFormatting sqref="BH54">
    <cfRule type="containsBlanks" dxfId="1120" priority="1065">
      <formula>LEN(TRIM(BH54))=0</formula>
    </cfRule>
  </conditionalFormatting>
  <conditionalFormatting sqref="BB54">
    <cfRule type="containsBlanks" dxfId="1119" priority="1068">
      <formula>LEN(TRIM(BB54))=0</formula>
    </cfRule>
  </conditionalFormatting>
  <conditionalFormatting sqref="BD54">
    <cfRule type="containsBlanks" dxfId="1118" priority="1067">
      <formula>LEN(TRIM(BD54))=0</formula>
    </cfRule>
  </conditionalFormatting>
  <conditionalFormatting sqref="BF54">
    <cfRule type="containsBlanks" dxfId="1117" priority="1066">
      <formula>LEN(TRIM(BF54))=0</formula>
    </cfRule>
  </conditionalFormatting>
  <conditionalFormatting sqref="BQ54">
    <cfRule type="containsBlanks" dxfId="1116" priority="1061">
      <formula>LEN(TRIM(BQ54))=0</formula>
    </cfRule>
  </conditionalFormatting>
  <conditionalFormatting sqref="BK54">
    <cfRule type="containsBlanks" dxfId="1115" priority="1064">
      <formula>LEN(TRIM(BK54))=0</formula>
    </cfRule>
  </conditionalFormatting>
  <conditionalFormatting sqref="BM54">
    <cfRule type="containsBlanks" dxfId="1114" priority="1063">
      <formula>LEN(TRIM(BM54))=0</formula>
    </cfRule>
  </conditionalFormatting>
  <conditionalFormatting sqref="BO54">
    <cfRule type="containsBlanks" dxfId="1113" priority="1062">
      <formula>LEN(TRIM(BO54))=0</formula>
    </cfRule>
  </conditionalFormatting>
  <conditionalFormatting sqref="BZ54">
    <cfRule type="containsBlanks" dxfId="1112" priority="1057">
      <formula>LEN(TRIM(BZ54))=0</formula>
    </cfRule>
  </conditionalFormatting>
  <conditionalFormatting sqref="BT54">
    <cfRule type="containsBlanks" dxfId="1111" priority="1060">
      <formula>LEN(TRIM(BT54))=0</formula>
    </cfRule>
  </conditionalFormatting>
  <conditionalFormatting sqref="BV54">
    <cfRule type="containsBlanks" dxfId="1110" priority="1059">
      <formula>LEN(TRIM(BV54))=0</formula>
    </cfRule>
  </conditionalFormatting>
  <conditionalFormatting sqref="BX54">
    <cfRule type="containsBlanks" dxfId="1109" priority="1058">
      <formula>LEN(TRIM(BX54))=0</formula>
    </cfRule>
  </conditionalFormatting>
  <conditionalFormatting sqref="CI54">
    <cfRule type="containsBlanks" dxfId="1108" priority="1053">
      <formula>LEN(TRIM(CI54))=0</formula>
    </cfRule>
  </conditionalFormatting>
  <conditionalFormatting sqref="CC54">
    <cfRule type="containsBlanks" dxfId="1107" priority="1056">
      <formula>LEN(TRIM(CC54))=0</formula>
    </cfRule>
  </conditionalFormatting>
  <conditionalFormatting sqref="CE54">
    <cfRule type="containsBlanks" dxfId="1106" priority="1055">
      <formula>LEN(TRIM(CE54))=0</formula>
    </cfRule>
  </conditionalFormatting>
  <conditionalFormatting sqref="CG54">
    <cfRule type="containsBlanks" dxfId="1105" priority="1054">
      <formula>LEN(TRIM(CG54))=0</formula>
    </cfRule>
  </conditionalFormatting>
  <conditionalFormatting sqref="M55">
    <cfRule type="containsBlanks" dxfId="1104" priority="1048">
      <formula>LEN(TRIM(M55))=0</formula>
    </cfRule>
  </conditionalFormatting>
  <conditionalFormatting sqref="O55">
    <cfRule type="containsBlanks" dxfId="1103" priority="1047">
      <formula>LEN(TRIM(O55))=0</formula>
    </cfRule>
  </conditionalFormatting>
  <conditionalFormatting sqref="AG55">
    <cfRule type="containsBlanks" dxfId="1102" priority="1043">
      <formula>LEN(TRIM(AG55))=0</formula>
    </cfRule>
  </conditionalFormatting>
  <conditionalFormatting sqref="V55">
    <cfRule type="containsBlanks" dxfId="1101" priority="1046">
      <formula>LEN(TRIM(V55))=0</formula>
    </cfRule>
  </conditionalFormatting>
  <conditionalFormatting sqref="X55">
    <cfRule type="containsBlanks" dxfId="1100" priority="1045">
      <formula>LEN(TRIM(X55))=0</formula>
    </cfRule>
  </conditionalFormatting>
  <conditionalFormatting sqref="AE55">
    <cfRule type="containsBlanks" dxfId="1099" priority="1044">
      <formula>LEN(TRIM(AE55))=0</formula>
    </cfRule>
  </conditionalFormatting>
  <conditionalFormatting sqref="CL55">
    <cfRule type="containsBlanks" dxfId="1098" priority="1018">
      <formula>LEN(TRIM(CL55))=0</formula>
    </cfRule>
  </conditionalFormatting>
  <conditionalFormatting sqref="CN55">
    <cfRule type="containsBlanks" dxfId="1097" priority="1017">
      <formula>LEN(TRIM(CN55))=0</formula>
    </cfRule>
  </conditionalFormatting>
  <conditionalFormatting sqref="CP55">
    <cfRule type="containsBlanks" dxfId="1096" priority="1016">
      <formula>LEN(TRIM(CP55))=0</formula>
    </cfRule>
  </conditionalFormatting>
  <conditionalFormatting sqref="CR55">
    <cfRule type="containsBlanks" dxfId="1095" priority="1015">
      <formula>LEN(TRIM(CR55))=0</formula>
    </cfRule>
  </conditionalFormatting>
  <conditionalFormatting sqref="AP55">
    <cfRule type="containsBlanks" dxfId="1094" priority="1039">
      <formula>LEN(TRIM(AP55))=0</formula>
    </cfRule>
  </conditionalFormatting>
  <conditionalFormatting sqref="AJ55">
    <cfRule type="containsBlanks" dxfId="1093" priority="1042">
      <formula>LEN(TRIM(AJ55))=0</formula>
    </cfRule>
  </conditionalFormatting>
  <conditionalFormatting sqref="AN55">
    <cfRule type="containsBlanks" dxfId="1092" priority="1040">
      <formula>LEN(TRIM(AN55))=0</formula>
    </cfRule>
  </conditionalFormatting>
  <conditionalFormatting sqref="AY55">
    <cfRule type="containsBlanks" dxfId="1091" priority="1035">
      <formula>LEN(TRIM(AY55))=0</formula>
    </cfRule>
  </conditionalFormatting>
  <conditionalFormatting sqref="AS55">
    <cfRule type="containsBlanks" dxfId="1090" priority="1038">
      <formula>LEN(TRIM(AS55))=0</formula>
    </cfRule>
  </conditionalFormatting>
  <conditionalFormatting sqref="AU55">
    <cfRule type="containsBlanks" dxfId="1089" priority="1037">
      <formula>LEN(TRIM(AU55))=0</formula>
    </cfRule>
  </conditionalFormatting>
  <conditionalFormatting sqref="AW55">
    <cfRule type="containsBlanks" dxfId="1088" priority="1036">
      <formula>LEN(TRIM(AW55))=0</formula>
    </cfRule>
  </conditionalFormatting>
  <conditionalFormatting sqref="BH55">
    <cfRule type="containsBlanks" dxfId="1087" priority="1031">
      <formula>LEN(TRIM(BH55))=0</formula>
    </cfRule>
  </conditionalFormatting>
  <conditionalFormatting sqref="BB55">
    <cfRule type="containsBlanks" dxfId="1086" priority="1034">
      <formula>LEN(TRIM(BB55))=0</formula>
    </cfRule>
  </conditionalFormatting>
  <conditionalFormatting sqref="BD55">
    <cfRule type="containsBlanks" dxfId="1085" priority="1033">
      <formula>LEN(TRIM(BD55))=0</formula>
    </cfRule>
  </conditionalFormatting>
  <conditionalFormatting sqref="BF55">
    <cfRule type="containsBlanks" dxfId="1084" priority="1032">
      <formula>LEN(TRIM(BF55))=0</formula>
    </cfRule>
  </conditionalFormatting>
  <conditionalFormatting sqref="BQ55">
    <cfRule type="containsBlanks" dxfId="1083" priority="1027">
      <formula>LEN(TRIM(BQ55))=0</formula>
    </cfRule>
  </conditionalFormatting>
  <conditionalFormatting sqref="BK55">
    <cfRule type="containsBlanks" dxfId="1082" priority="1030">
      <formula>LEN(TRIM(BK55))=0</formula>
    </cfRule>
  </conditionalFormatting>
  <conditionalFormatting sqref="BM55">
    <cfRule type="containsBlanks" dxfId="1081" priority="1029">
      <formula>LEN(TRIM(BM55))=0</formula>
    </cfRule>
  </conditionalFormatting>
  <conditionalFormatting sqref="BO55">
    <cfRule type="containsBlanks" dxfId="1080" priority="1028">
      <formula>LEN(TRIM(BO55))=0</formula>
    </cfRule>
  </conditionalFormatting>
  <conditionalFormatting sqref="BZ55">
    <cfRule type="containsBlanks" dxfId="1079" priority="1023">
      <formula>LEN(TRIM(BZ55))=0</formula>
    </cfRule>
  </conditionalFormatting>
  <conditionalFormatting sqref="BT55">
    <cfRule type="containsBlanks" dxfId="1078" priority="1026">
      <formula>LEN(TRIM(BT55))=0</formula>
    </cfRule>
  </conditionalFormatting>
  <conditionalFormatting sqref="BV55">
    <cfRule type="containsBlanks" dxfId="1077" priority="1025">
      <formula>LEN(TRIM(BV55))=0</formula>
    </cfRule>
  </conditionalFormatting>
  <conditionalFormatting sqref="BX55">
    <cfRule type="containsBlanks" dxfId="1076" priority="1024">
      <formula>LEN(TRIM(BX55))=0</formula>
    </cfRule>
  </conditionalFormatting>
  <conditionalFormatting sqref="CI55">
    <cfRule type="containsBlanks" dxfId="1075" priority="1019">
      <formula>LEN(TRIM(CI55))=0</formula>
    </cfRule>
  </conditionalFormatting>
  <conditionalFormatting sqref="CC55">
    <cfRule type="containsBlanks" dxfId="1074" priority="1022">
      <formula>LEN(TRIM(CC55))=0</formula>
    </cfRule>
  </conditionalFormatting>
  <conditionalFormatting sqref="CE55">
    <cfRule type="containsBlanks" dxfId="1073" priority="1021">
      <formula>LEN(TRIM(CE55))=0</formula>
    </cfRule>
  </conditionalFormatting>
  <conditionalFormatting sqref="CG55">
    <cfRule type="containsBlanks" dxfId="1072" priority="1020">
      <formula>LEN(TRIM(CG55))=0</formula>
    </cfRule>
  </conditionalFormatting>
  <conditionalFormatting sqref="M60">
    <cfRule type="containsBlanks" dxfId="1071" priority="1014">
      <formula>LEN(TRIM(M60))=0</formula>
    </cfRule>
  </conditionalFormatting>
  <conditionalFormatting sqref="O60">
    <cfRule type="containsBlanks" dxfId="1070" priority="1013">
      <formula>LEN(TRIM(O60))=0</formula>
    </cfRule>
  </conditionalFormatting>
  <conditionalFormatting sqref="AG60">
    <cfRule type="containsBlanks" dxfId="1069" priority="1009">
      <formula>LEN(TRIM(AG60))=0</formula>
    </cfRule>
  </conditionalFormatting>
  <conditionalFormatting sqref="V60">
    <cfRule type="containsBlanks" dxfId="1068" priority="1012">
      <formula>LEN(TRIM(V60))=0</formula>
    </cfRule>
  </conditionalFormatting>
  <conditionalFormatting sqref="X60">
    <cfRule type="containsBlanks" dxfId="1067" priority="1011">
      <formula>LEN(TRIM(X60))=0</formula>
    </cfRule>
  </conditionalFormatting>
  <conditionalFormatting sqref="AE60">
    <cfRule type="containsBlanks" dxfId="1066" priority="1010">
      <formula>LEN(TRIM(AE60))=0</formula>
    </cfRule>
  </conditionalFormatting>
  <conditionalFormatting sqref="CL60">
    <cfRule type="containsBlanks" dxfId="1065" priority="984">
      <formula>LEN(TRIM(CL60))=0</formula>
    </cfRule>
  </conditionalFormatting>
  <conditionalFormatting sqref="CN60">
    <cfRule type="containsBlanks" dxfId="1064" priority="983">
      <formula>LEN(TRIM(CN60))=0</formula>
    </cfRule>
  </conditionalFormatting>
  <conditionalFormatting sqref="CP60">
    <cfRule type="containsBlanks" dxfId="1063" priority="982">
      <formula>LEN(TRIM(CP60))=0</formula>
    </cfRule>
  </conditionalFormatting>
  <conditionalFormatting sqref="CR60">
    <cfRule type="containsBlanks" dxfId="1062" priority="981">
      <formula>LEN(TRIM(CR60))=0</formula>
    </cfRule>
  </conditionalFormatting>
  <conditionalFormatting sqref="AP60">
    <cfRule type="containsBlanks" dxfId="1061" priority="1005">
      <formula>LEN(TRIM(AP60))=0</formula>
    </cfRule>
  </conditionalFormatting>
  <conditionalFormatting sqref="AJ60">
    <cfRule type="containsBlanks" dxfId="1060" priority="1008">
      <formula>LEN(TRIM(AJ60))=0</formula>
    </cfRule>
  </conditionalFormatting>
  <conditionalFormatting sqref="AN60">
    <cfRule type="containsBlanks" dxfId="1059" priority="1006">
      <formula>LEN(TRIM(AN60))=0</formula>
    </cfRule>
  </conditionalFormatting>
  <conditionalFormatting sqref="AY60">
    <cfRule type="containsBlanks" dxfId="1058" priority="1001">
      <formula>LEN(TRIM(AY60))=0</formula>
    </cfRule>
  </conditionalFormatting>
  <conditionalFormatting sqref="AS60">
    <cfRule type="containsBlanks" dxfId="1057" priority="1004">
      <formula>LEN(TRIM(AS60))=0</formula>
    </cfRule>
  </conditionalFormatting>
  <conditionalFormatting sqref="AU60">
    <cfRule type="containsBlanks" dxfId="1056" priority="1003">
      <formula>LEN(TRIM(AU60))=0</formula>
    </cfRule>
  </conditionalFormatting>
  <conditionalFormatting sqref="AW60">
    <cfRule type="containsBlanks" dxfId="1055" priority="1002">
      <formula>LEN(TRIM(AW60))=0</formula>
    </cfRule>
  </conditionalFormatting>
  <conditionalFormatting sqref="BH60">
    <cfRule type="containsBlanks" dxfId="1054" priority="997">
      <formula>LEN(TRIM(BH60))=0</formula>
    </cfRule>
  </conditionalFormatting>
  <conditionalFormatting sqref="BB60">
    <cfRule type="containsBlanks" dxfId="1053" priority="1000">
      <formula>LEN(TRIM(BB60))=0</formula>
    </cfRule>
  </conditionalFormatting>
  <conditionalFormatting sqref="BD60">
    <cfRule type="containsBlanks" dxfId="1052" priority="999">
      <formula>LEN(TRIM(BD60))=0</formula>
    </cfRule>
  </conditionalFormatting>
  <conditionalFormatting sqref="BF60">
    <cfRule type="containsBlanks" dxfId="1051" priority="998">
      <formula>LEN(TRIM(BF60))=0</formula>
    </cfRule>
  </conditionalFormatting>
  <conditionalFormatting sqref="BQ60">
    <cfRule type="containsBlanks" dxfId="1050" priority="993">
      <formula>LEN(TRIM(BQ60))=0</formula>
    </cfRule>
  </conditionalFormatting>
  <conditionalFormatting sqref="BK60">
    <cfRule type="containsBlanks" dxfId="1049" priority="996">
      <formula>LEN(TRIM(BK60))=0</formula>
    </cfRule>
  </conditionalFormatting>
  <conditionalFormatting sqref="BM60">
    <cfRule type="containsBlanks" dxfId="1048" priority="995">
      <formula>LEN(TRIM(BM60))=0</formula>
    </cfRule>
  </conditionalFormatting>
  <conditionalFormatting sqref="BO60">
    <cfRule type="containsBlanks" dxfId="1047" priority="994">
      <formula>LEN(TRIM(BO60))=0</formula>
    </cfRule>
  </conditionalFormatting>
  <conditionalFormatting sqref="BZ60">
    <cfRule type="containsBlanks" dxfId="1046" priority="989">
      <formula>LEN(TRIM(BZ60))=0</formula>
    </cfRule>
  </conditionalFormatting>
  <conditionalFormatting sqref="BT60">
    <cfRule type="containsBlanks" dxfId="1045" priority="992">
      <formula>LEN(TRIM(BT60))=0</formula>
    </cfRule>
  </conditionalFormatting>
  <conditionalFormatting sqref="BV60">
    <cfRule type="containsBlanks" dxfId="1044" priority="991">
      <formula>LEN(TRIM(BV60))=0</formula>
    </cfRule>
  </conditionalFormatting>
  <conditionalFormatting sqref="BX60">
    <cfRule type="containsBlanks" dxfId="1043" priority="990">
      <formula>LEN(TRIM(BX60))=0</formula>
    </cfRule>
  </conditionalFormatting>
  <conditionalFormatting sqref="CI60">
    <cfRule type="containsBlanks" dxfId="1042" priority="985">
      <formula>LEN(TRIM(CI60))=0</formula>
    </cfRule>
  </conditionalFormatting>
  <conditionalFormatting sqref="CC60">
    <cfRule type="containsBlanks" dxfId="1041" priority="988">
      <formula>LEN(TRIM(CC60))=0</formula>
    </cfRule>
  </conditionalFormatting>
  <conditionalFormatting sqref="CE60">
    <cfRule type="containsBlanks" dxfId="1040" priority="987">
      <formula>LEN(TRIM(CE60))=0</formula>
    </cfRule>
  </conditionalFormatting>
  <conditionalFormatting sqref="CG60">
    <cfRule type="containsBlanks" dxfId="1039" priority="986">
      <formula>LEN(TRIM(CG60))=0</formula>
    </cfRule>
  </conditionalFormatting>
  <conditionalFormatting sqref="M62:M68">
    <cfRule type="containsBlanks" dxfId="1038" priority="980">
      <formula>LEN(TRIM(M62))=0</formula>
    </cfRule>
  </conditionalFormatting>
  <conditionalFormatting sqref="O62:O68">
    <cfRule type="containsBlanks" dxfId="1037" priority="979">
      <formula>LEN(TRIM(O62))=0</formula>
    </cfRule>
  </conditionalFormatting>
  <conditionalFormatting sqref="AG62:AG68">
    <cfRule type="containsBlanks" dxfId="1036" priority="975">
      <formula>LEN(TRIM(AG62))=0</formula>
    </cfRule>
  </conditionalFormatting>
  <conditionalFormatting sqref="V62:V68">
    <cfRule type="containsBlanks" dxfId="1035" priority="978">
      <formula>LEN(TRIM(V62))=0</formula>
    </cfRule>
  </conditionalFormatting>
  <conditionalFormatting sqref="X62:X68">
    <cfRule type="containsBlanks" dxfId="1034" priority="977">
      <formula>LEN(TRIM(X62))=0</formula>
    </cfRule>
  </conditionalFormatting>
  <conditionalFormatting sqref="AE62:AE68">
    <cfRule type="containsBlanks" dxfId="1033" priority="976">
      <formula>LEN(TRIM(AE62))=0</formula>
    </cfRule>
  </conditionalFormatting>
  <conditionalFormatting sqref="CL62:CL68">
    <cfRule type="containsBlanks" dxfId="1032" priority="950">
      <formula>LEN(TRIM(CL62))=0</formula>
    </cfRule>
  </conditionalFormatting>
  <conditionalFormatting sqref="CN62:CN68">
    <cfRule type="containsBlanks" dxfId="1031" priority="949">
      <formula>LEN(TRIM(CN62))=0</formula>
    </cfRule>
  </conditionalFormatting>
  <conditionalFormatting sqref="CP62:CP68">
    <cfRule type="containsBlanks" dxfId="1030" priority="948">
      <formula>LEN(TRIM(CP62))=0</formula>
    </cfRule>
  </conditionalFormatting>
  <conditionalFormatting sqref="CR62:CR68">
    <cfRule type="containsBlanks" dxfId="1029" priority="947">
      <formula>LEN(TRIM(CR62))=0</formula>
    </cfRule>
  </conditionalFormatting>
  <conditionalFormatting sqref="AP62:AP68">
    <cfRule type="containsBlanks" dxfId="1028" priority="971">
      <formula>LEN(TRIM(AP62))=0</formula>
    </cfRule>
  </conditionalFormatting>
  <conditionalFormatting sqref="AJ62:AJ68">
    <cfRule type="containsBlanks" dxfId="1027" priority="974">
      <formula>LEN(TRIM(AJ62))=0</formula>
    </cfRule>
  </conditionalFormatting>
  <conditionalFormatting sqref="AN62:AN68">
    <cfRule type="containsBlanks" dxfId="1026" priority="972">
      <formula>LEN(TRIM(AN62))=0</formula>
    </cfRule>
  </conditionalFormatting>
  <conditionalFormatting sqref="AY62:AY68">
    <cfRule type="containsBlanks" dxfId="1025" priority="967">
      <formula>LEN(TRIM(AY62))=0</formula>
    </cfRule>
  </conditionalFormatting>
  <conditionalFormatting sqref="AS62:AS68">
    <cfRule type="containsBlanks" dxfId="1024" priority="970">
      <formula>LEN(TRIM(AS62))=0</formula>
    </cfRule>
  </conditionalFormatting>
  <conditionalFormatting sqref="AU62:AU68">
    <cfRule type="containsBlanks" dxfId="1023" priority="969">
      <formula>LEN(TRIM(AU62))=0</formula>
    </cfRule>
  </conditionalFormatting>
  <conditionalFormatting sqref="AW62:AW68">
    <cfRule type="containsBlanks" dxfId="1022" priority="968">
      <formula>LEN(TRIM(AW62))=0</formula>
    </cfRule>
  </conditionalFormatting>
  <conditionalFormatting sqref="BH62:BH68">
    <cfRule type="containsBlanks" dxfId="1021" priority="963">
      <formula>LEN(TRIM(BH62))=0</formula>
    </cfRule>
  </conditionalFormatting>
  <conditionalFormatting sqref="BB62:BB68">
    <cfRule type="containsBlanks" dxfId="1020" priority="966">
      <formula>LEN(TRIM(BB62))=0</formula>
    </cfRule>
  </conditionalFormatting>
  <conditionalFormatting sqref="BD62:BD68">
    <cfRule type="containsBlanks" dxfId="1019" priority="965">
      <formula>LEN(TRIM(BD62))=0</formula>
    </cfRule>
  </conditionalFormatting>
  <conditionalFormatting sqref="BF62:BF68">
    <cfRule type="containsBlanks" dxfId="1018" priority="964">
      <formula>LEN(TRIM(BF62))=0</formula>
    </cfRule>
  </conditionalFormatting>
  <conditionalFormatting sqref="BQ62:BQ68">
    <cfRule type="containsBlanks" dxfId="1017" priority="959">
      <formula>LEN(TRIM(BQ62))=0</formula>
    </cfRule>
  </conditionalFormatting>
  <conditionalFormatting sqref="BK62:BK68">
    <cfRule type="containsBlanks" dxfId="1016" priority="962">
      <formula>LEN(TRIM(BK62))=0</formula>
    </cfRule>
  </conditionalFormatting>
  <conditionalFormatting sqref="BM62:BM68">
    <cfRule type="containsBlanks" dxfId="1015" priority="961">
      <formula>LEN(TRIM(BM62))=0</formula>
    </cfRule>
  </conditionalFormatting>
  <conditionalFormatting sqref="BO62:BO68">
    <cfRule type="containsBlanks" dxfId="1014" priority="960">
      <formula>LEN(TRIM(BO62))=0</formula>
    </cfRule>
  </conditionalFormatting>
  <conditionalFormatting sqref="BZ62:BZ68">
    <cfRule type="containsBlanks" dxfId="1013" priority="955">
      <formula>LEN(TRIM(BZ62))=0</formula>
    </cfRule>
  </conditionalFormatting>
  <conditionalFormatting sqref="BT62:BT68">
    <cfRule type="containsBlanks" dxfId="1012" priority="958">
      <formula>LEN(TRIM(BT62))=0</formula>
    </cfRule>
  </conditionalFormatting>
  <conditionalFormatting sqref="BV62:BV68">
    <cfRule type="containsBlanks" dxfId="1011" priority="957">
      <formula>LEN(TRIM(BV62))=0</formula>
    </cfRule>
  </conditionalFormatting>
  <conditionalFormatting sqref="BX62:BX68">
    <cfRule type="containsBlanks" dxfId="1010" priority="956">
      <formula>LEN(TRIM(BX62))=0</formula>
    </cfRule>
  </conditionalFormatting>
  <conditionalFormatting sqref="CI62:CI68">
    <cfRule type="containsBlanks" dxfId="1009" priority="951">
      <formula>LEN(TRIM(CI62))=0</formula>
    </cfRule>
  </conditionalFormatting>
  <conditionalFormatting sqref="CC62:CC68">
    <cfRule type="containsBlanks" dxfId="1008" priority="954">
      <formula>LEN(TRIM(CC62))=0</formula>
    </cfRule>
  </conditionalFormatting>
  <conditionalFormatting sqref="CE62:CE68">
    <cfRule type="containsBlanks" dxfId="1007" priority="953">
      <formula>LEN(TRIM(CE62))=0</formula>
    </cfRule>
  </conditionalFormatting>
  <conditionalFormatting sqref="CG62:CG68">
    <cfRule type="containsBlanks" dxfId="1006" priority="952">
      <formula>LEN(TRIM(CG62))=0</formula>
    </cfRule>
  </conditionalFormatting>
  <conditionalFormatting sqref="M191">
    <cfRule type="containsBlanks" dxfId="1005" priority="946">
      <formula>LEN(TRIM(M191))=0</formula>
    </cfRule>
  </conditionalFormatting>
  <conditionalFormatting sqref="O191">
    <cfRule type="containsBlanks" dxfId="1004" priority="945">
      <formula>LEN(TRIM(O191))=0</formula>
    </cfRule>
  </conditionalFormatting>
  <conditionalFormatting sqref="AG191">
    <cfRule type="containsBlanks" dxfId="1003" priority="941">
      <formula>LEN(TRIM(AG191))=0</formula>
    </cfRule>
  </conditionalFormatting>
  <conditionalFormatting sqref="V191">
    <cfRule type="containsBlanks" dxfId="1002" priority="944">
      <formula>LEN(TRIM(V191))=0</formula>
    </cfRule>
  </conditionalFormatting>
  <conditionalFormatting sqref="X191">
    <cfRule type="containsBlanks" dxfId="1001" priority="943">
      <formula>LEN(TRIM(X191))=0</formula>
    </cfRule>
  </conditionalFormatting>
  <conditionalFormatting sqref="T259">
    <cfRule type="containsBlanks" dxfId="1000" priority="460">
      <formula>LEN(TRIM(T259))=0</formula>
    </cfRule>
  </conditionalFormatting>
  <conditionalFormatting sqref="AE191">
    <cfRule type="containsBlanks" dxfId="999" priority="942">
      <formula>LEN(TRIM(AE191))=0</formula>
    </cfRule>
  </conditionalFormatting>
  <conditionalFormatting sqref="CL191">
    <cfRule type="containsBlanks" dxfId="998" priority="916">
      <formula>LEN(TRIM(CL191))=0</formula>
    </cfRule>
  </conditionalFormatting>
  <conditionalFormatting sqref="CN191">
    <cfRule type="containsBlanks" dxfId="997" priority="915">
      <formula>LEN(TRIM(CN191))=0</formula>
    </cfRule>
  </conditionalFormatting>
  <conditionalFormatting sqref="CP191">
    <cfRule type="containsBlanks" dxfId="996" priority="914">
      <formula>LEN(TRIM(CP191))=0</formula>
    </cfRule>
  </conditionalFormatting>
  <conditionalFormatting sqref="CR191">
    <cfRule type="containsBlanks" dxfId="995" priority="913">
      <formula>LEN(TRIM(CR191))=0</formula>
    </cfRule>
  </conditionalFormatting>
  <conditionalFormatting sqref="AP191">
    <cfRule type="containsBlanks" dxfId="994" priority="937">
      <formula>LEN(TRIM(AP191))=0</formula>
    </cfRule>
  </conditionalFormatting>
  <conditionalFormatting sqref="AJ191">
    <cfRule type="containsBlanks" dxfId="993" priority="940">
      <formula>LEN(TRIM(AJ191))=0</formula>
    </cfRule>
  </conditionalFormatting>
  <conditionalFormatting sqref="AN191">
    <cfRule type="containsBlanks" dxfId="992" priority="938">
      <formula>LEN(TRIM(AN191))=0</formula>
    </cfRule>
  </conditionalFormatting>
  <conditionalFormatting sqref="AY191">
    <cfRule type="containsBlanks" dxfId="991" priority="933">
      <formula>LEN(TRIM(AY191))=0</formula>
    </cfRule>
  </conditionalFormatting>
  <conditionalFormatting sqref="AS191">
    <cfRule type="containsBlanks" dxfId="990" priority="936">
      <formula>LEN(TRIM(AS191))=0</formula>
    </cfRule>
  </conditionalFormatting>
  <conditionalFormatting sqref="AU191">
    <cfRule type="containsBlanks" dxfId="989" priority="935">
      <formula>LEN(TRIM(AU191))=0</formula>
    </cfRule>
  </conditionalFormatting>
  <conditionalFormatting sqref="AW191">
    <cfRule type="containsBlanks" dxfId="988" priority="934">
      <formula>LEN(TRIM(AW191))=0</formula>
    </cfRule>
  </conditionalFormatting>
  <conditionalFormatting sqref="BH191">
    <cfRule type="containsBlanks" dxfId="987" priority="929">
      <formula>LEN(TRIM(BH191))=0</formula>
    </cfRule>
  </conditionalFormatting>
  <conditionalFormatting sqref="BB191">
    <cfRule type="containsBlanks" dxfId="986" priority="932">
      <formula>LEN(TRIM(BB191))=0</formula>
    </cfRule>
  </conditionalFormatting>
  <conditionalFormatting sqref="BD191">
    <cfRule type="containsBlanks" dxfId="985" priority="931">
      <formula>LEN(TRIM(BD191))=0</formula>
    </cfRule>
  </conditionalFormatting>
  <conditionalFormatting sqref="BF191">
    <cfRule type="containsBlanks" dxfId="984" priority="930">
      <formula>LEN(TRIM(BF191))=0</formula>
    </cfRule>
  </conditionalFormatting>
  <conditionalFormatting sqref="BQ191">
    <cfRule type="containsBlanks" dxfId="983" priority="925">
      <formula>LEN(TRIM(BQ191))=0</formula>
    </cfRule>
  </conditionalFormatting>
  <conditionalFormatting sqref="BK191">
    <cfRule type="containsBlanks" dxfId="982" priority="928">
      <formula>LEN(TRIM(BK191))=0</formula>
    </cfRule>
  </conditionalFormatting>
  <conditionalFormatting sqref="BM191">
    <cfRule type="containsBlanks" dxfId="981" priority="927">
      <formula>LEN(TRIM(BM191))=0</formula>
    </cfRule>
  </conditionalFormatting>
  <conditionalFormatting sqref="BO191">
    <cfRule type="containsBlanks" dxfId="980" priority="926">
      <formula>LEN(TRIM(BO191))=0</formula>
    </cfRule>
  </conditionalFormatting>
  <conditionalFormatting sqref="BZ191">
    <cfRule type="containsBlanks" dxfId="979" priority="921">
      <formula>LEN(TRIM(BZ191))=0</formula>
    </cfRule>
  </conditionalFormatting>
  <conditionalFormatting sqref="BT191">
    <cfRule type="containsBlanks" dxfId="978" priority="924">
      <formula>LEN(TRIM(BT191))=0</formula>
    </cfRule>
  </conditionalFormatting>
  <conditionalFormatting sqref="BV191">
    <cfRule type="containsBlanks" dxfId="977" priority="923">
      <formula>LEN(TRIM(BV191))=0</formula>
    </cfRule>
  </conditionalFormatting>
  <conditionalFormatting sqref="BX191">
    <cfRule type="containsBlanks" dxfId="976" priority="922">
      <formula>LEN(TRIM(BX191))=0</formula>
    </cfRule>
  </conditionalFormatting>
  <conditionalFormatting sqref="CI191">
    <cfRule type="containsBlanks" dxfId="975" priority="917">
      <formula>LEN(TRIM(CI191))=0</formula>
    </cfRule>
  </conditionalFormatting>
  <conditionalFormatting sqref="CC191">
    <cfRule type="containsBlanks" dxfId="974" priority="920">
      <formula>LEN(TRIM(CC191))=0</formula>
    </cfRule>
  </conditionalFormatting>
  <conditionalFormatting sqref="CE191">
    <cfRule type="containsBlanks" dxfId="973" priority="919">
      <formula>LEN(TRIM(CE191))=0</formula>
    </cfRule>
  </conditionalFormatting>
  <conditionalFormatting sqref="CG191">
    <cfRule type="containsBlanks" dxfId="972" priority="918">
      <formula>LEN(TRIM(CG191))=0</formula>
    </cfRule>
  </conditionalFormatting>
  <conditionalFormatting sqref="T232">
    <cfRule type="containsBlanks" dxfId="971" priority="466">
      <formula>LEN(TRIM(T232))=0</formula>
    </cfRule>
  </conditionalFormatting>
  <conditionalFormatting sqref="T249">
    <cfRule type="containsBlanks" dxfId="970" priority="462">
      <formula>LEN(TRIM(T249))=0</formula>
    </cfRule>
  </conditionalFormatting>
  <conditionalFormatting sqref="T234">
    <cfRule type="containsBlanks" dxfId="969" priority="465">
      <formula>LEN(TRIM(T234))=0</formula>
    </cfRule>
  </conditionalFormatting>
  <conditionalFormatting sqref="T237">
    <cfRule type="containsBlanks" dxfId="968" priority="464">
      <formula>LEN(TRIM(T237))=0</formula>
    </cfRule>
  </conditionalFormatting>
  <conditionalFormatting sqref="T239:T241">
    <cfRule type="containsBlanks" dxfId="967" priority="463">
      <formula>LEN(TRIM(T239))=0</formula>
    </cfRule>
  </conditionalFormatting>
  <conditionalFormatting sqref="T269">
    <cfRule type="containsBlanks" dxfId="966" priority="451">
      <formula>LEN(TRIM(T269))=0</formula>
    </cfRule>
  </conditionalFormatting>
  <conditionalFormatting sqref="T258">
    <cfRule type="containsBlanks" dxfId="965" priority="461">
      <formula>LEN(TRIM(T258))=0</formula>
    </cfRule>
  </conditionalFormatting>
  <conditionalFormatting sqref="T286">
    <cfRule type="containsBlanks" dxfId="964" priority="456">
      <formula>LEN(TRIM(T286))=0</formula>
    </cfRule>
  </conditionalFormatting>
  <conditionalFormatting sqref="T265">
    <cfRule type="containsBlanks" dxfId="963" priority="459">
      <formula>LEN(TRIM(T265))=0</formula>
    </cfRule>
  </conditionalFormatting>
  <conditionalFormatting sqref="T266">
    <cfRule type="containsBlanks" dxfId="962" priority="458">
      <formula>LEN(TRIM(T266))=0</formula>
    </cfRule>
  </conditionalFormatting>
  <conditionalFormatting sqref="T283">
    <cfRule type="containsBlanks" dxfId="961" priority="457">
      <formula>LEN(TRIM(T283))=0</formula>
    </cfRule>
  </conditionalFormatting>
  <conditionalFormatting sqref="T208">
    <cfRule type="containsBlanks" dxfId="960" priority="453">
      <formula>LEN(TRIM(T208))=0</formula>
    </cfRule>
  </conditionalFormatting>
  <conditionalFormatting sqref="T278">
    <cfRule type="containsBlanks" dxfId="959" priority="452">
      <formula>LEN(TRIM(T278))=0</formula>
    </cfRule>
  </conditionalFormatting>
  <conditionalFormatting sqref="M232">
    <cfRule type="containsBlanks" dxfId="958" priority="912">
      <formula>LEN(TRIM(M232))=0</formula>
    </cfRule>
  </conditionalFormatting>
  <conditionalFormatting sqref="O232">
    <cfRule type="containsBlanks" dxfId="957" priority="911">
      <formula>LEN(TRIM(O232))=0</formula>
    </cfRule>
  </conditionalFormatting>
  <conditionalFormatting sqref="AG232">
    <cfRule type="containsBlanks" dxfId="956" priority="907">
      <formula>LEN(TRIM(AG232))=0</formula>
    </cfRule>
  </conditionalFormatting>
  <conditionalFormatting sqref="V232">
    <cfRule type="containsBlanks" dxfId="955" priority="910">
      <formula>LEN(TRIM(V232))=0</formula>
    </cfRule>
  </conditionalFormatting>
  <conditionalFormatting sqref="X232">
    <cfRule type="containsBlanks" dxfId="954" priority="909">
      <formula>LEN(TRIM(X232))=0</formula>
    </cfRule>
  </conditionalFormatting>
  <conditionalFormatting sqref="AE232">
    <cfRule type="containsBlanks" dxfId="953" priority="908">
      <formula>LEN(TRIM(AE232))=0</formula>
    </cfRule>
  </conditionalFormatting>
  <conditionalFormatting sqref="CL232">
    <cfRule type="containsBlanks" dxfId="952" priority="882">
      <formula>LEN(TRIM(CL232))=0</formula>
    </cfRule>
  </conditionalFormatting>
  <conditionalFormatting sqref="CN232">
    <cfRule type="containsBlanks" dxfId="951" priority="881">
      <formula>LEN(TRIM(CN232))=0</formula>
    </cfRule>
  </conditionalFormatting>
  <conditionalFormatting sqref="CP232">
    <cfRule type="containsBlanks" dxfId="950" priority="880">
      <formula>LEN(TRIM(CP232))=0</formula>
    </cfRule>
  </conditionalFormatting>
  <conditionalFormatting sqref="CR232">
    <cfRule type="containsBlanks" dxfId="949" priority="879">
      <formula>LEN(TRIM(CR232))=0</formula>
    </cfRule>
  </conditionalFormatting>
  <conditionalFormatting sqref="AP232">
    <cfRule type="containsBlanks" dxfId="948" priority="903">
      <formula>LEN(TRIM(AP232))=0</formula>
    </cfRule>
  </conditionalFormatting>
  <conditionalFormatting sqref="AJ232">
    <cfRule type="containsBlanks" dxfId="947" priority="906">
      <formula>LEN(TRIM(AJ232))=0</formula>
    </cfRule>
  </conditionalFormatting>
  <conditionalFormatting sqref="AN232">
    <cfRule type="containsBlanks" dxfId="946" priority="904">
      <formula>LEN(TRIM(AN232))=0</formula>
    </cfRule>
  </conditionalFormatting>
  <conditionalFormatting sqref="AY232">
    <cfRule type="containsBlanks" dxfId="945" priority="899">
      <formula>LEN(TRIM(AY232))=0</formula>
    </cfRule>
  </conditionalFormatting>
  <conditionalFormatting sqref="AS232">
    <cfRule type="containsBlanks" dxfId="944" priority="902">
      <formula>LEN(TRIM(AS232))=0</formula>
    </cfRule>
  </conditionalFormatting>
  <conditionalFormatting sqref="AU232">
    <cfRule type="containsBlanks" dxfId="943" priority="901">
      <formula>LEN(TRIM(AU232))=0</formula>
    </cfRule>
  </conditionalFormatting>
  <conditionalFormatting sqref="AW232">
    <cfRule type="containsBlanks" dxfId="942" priority="900">
      <formula>LEN(TRIM(AW232))=0</formula>
    </cfRule>
  </conditionalFormatting>
  <conditionalFormatting sqref="BH232">
    <cfRule type="containsBlanks" dxfId="941" priority="895">
      <formula>LEN(TRIM(BH232))=0</formula>
    </cfRule>
  </conditionalFormatting>
  <conditionalFormatting sqref="BB232">
    <cfRule type="containsBlanks" dxfId="940" priority="898">
      <formula>LEN(TRIM(BB232))=0</formula>
    </cfRule>
  </conditionalFormatting>
  <conditionalFormatting sqref="BD232">
    <cfRule type="containsBlanks" dxfId="939" priority="897">
      <formula>LEN(TRIM(BD232))=0</formula>
    </cfRule>
  </conditionalFormatting>
  <conditionalFormatting sqref="BF232">
    <cfRule type="containsBlanks" dxfId="938" priority="896">
      <formula>LEN(TRIM(BF232))=0</formula>
    </cfRule>
  </conditionalFormatting>
  <conditionalFormatting sqref="BQ232">
    <cfRule type="containsBlanks" dxfId="937" priority="891">
      <formula>LEN(TRIM(BQ232))=0</formula>
    </cfRule>
  </conditionalFormatting>
  <conditionalFormatting sqref="BK232">
    <cfRule type="containsBlanks" dxfId="936" priority="894">
      <formula>LEN(TRIM(BK232))=0</formula>
    </cfRule>
  </conditionalFormatting>
  <conditionalFormatting sqref="BM232">
    <cfRule type="containsBlanks" dxfId="935" priority="893">
      <formula>LEN(TRIM(BM232))=0</formula>
    </cfRule>
  </conditionalFormatting>
  <conditionalFormatting sqref="BO232">
    <cfRule type="containsBlanks" dxfId="934" priority="892">
      <formula>LEN(TRIM(BO232))=0</formula>
    </cfRule>
  </conditionalFormatting>
  <conditionalFormatting sqref="BZ232">
    <cfRule type="containsBlanks" dxfId="933" priority="887">
      <formula>LEN(TRIM(BZ232))=0</formula>
    </cfRule>
  </conditionalFormatting>
  <conditionalFormatting sqref="BT232">
    <cfRule type="containsBlanks" dxfId="932" priority="890">
      <formula>LEN(TRIM(BT232))=0</formula>
    </cfRule>
  </conditionalFormatting>
  <conditionalFormatting sqref="BV232">
    <cfRule type="containsBlanks" dxfId="931" priority="889">
      <formula>LEN(TRIM(BV232))=0</formula>
    </cfRule>
  </conditionalFormatting>
  <conditionalFormatting sqref="BX232">
    <cfRule type="containsBlanks" dxfId="930" priority="888">
      <formula>LEN(TRIM(BX232))=0</formula>
    </cfRule>
  </conditionalFormatting>
  <conditionalFormatting sqref="CI232">
    <cfRule type="containsBlanks" dxfId="929" priority="883">
      <formula>LEN(TRIM(CI232))=0</formula>
    </cfRule>
  </conditionalFormatting>
  <conditionalFormatting sqref="CC232">
    <cfRule type="containsBlanks" dxfId="928" priority="886">
      <formula>LEN(TRIM(CC232))=0</formula>
    </cfRule>
  </conditionalFormatting>
  <conditionalFormatting sqref="CE232">
    <cfRule type="containsBlanks" dxfId="927" priority="885">
      <formula>LEN(TRIM(CE232))=0</formula>
    </cfRule>
  </conditionalFormatting>
  <conditionalFormatting sqref="CG232">
    <cfRule type="containsBlanks" dxfId="926" priority="884">
      <formula>LEN(TRIM(CG232))=0</formula>
    </cfRule>
  </conditionalFormatting>
  <conditionalFormatting sqref="M234">
    <cfRule type="containsBlanks" dxfId="925" priority="878">
      <formula>LEN(TRIM(M234))=0</formula>
    </cfRule>
  </conditionalFormatting>
  <conditionalFormatting sqref="O234">
    <cfRule type="containsBlanks" dxfId="924" priority="877">
      <formula>LEN(TRIM(O234))=0</formula>
    </cfRule>
  </conditionalFormatting>
  <conditionalFormatting sqref="AG234">
    <cfRule type="containsBlanks" dxfId="923" priority="873">
      <formula>LEN(TRIM(AG234))=0</formula>
    </cfRule>
  </conditionalFormatting>
  <conditionalFormatting sqref="V234">
    <cfRule type="containsBlanks" dxfId="922" priority="876">
      <formula>LEN(TRIM(V234))=0</formula>
    </cfRule>
  </conditionalFormatting>
  <conditionalFormatting sqref="X234">
    <cfRule type="containsBlanks" dxfId="921" priority="875">
      <formula>LEN(TRIM(X234))=0</formula>
    </cfRule>
  </conditionalFormatting>
  <conditionalFormatting sqref="AE234">
    <cfRule type="containsBlanks" dxfId="920" priority="874">
      <formula>LEN(TRIM(AE234))=0</formula>
    </cfRule>
  </conditionalFormatting>
  <conditionalFormatting sqref="CL234">
    <cfRule type="containsBlanks" dxfId="919" priority="848">
      <formula>LEN(TRIM(CL234))=0</formula>
    </cfRule>
  </conditionalFormatting>
  <conditionalFormatting sqref="CN234">
    <cfRule type="containsBlanks" dxfId="918" priority="847">
      <formula>LEN(TRIM(CN234))=0</formula>
    </cfRule>
  </conditionalFormatting>
  <conditionalFormatting sqref="CP234">
    <cfRule type="containsBlanks" dxfId="917" priority="846">
      <formula>LEN(TRIM(CP234))=0</formula>
    </cfRule>
  </conditionalFormatting>
  <conditionalFormatting sqref="CR234">
    <cfRule type="containsBlanks" dxfId="916" priority="845">
      <formula>LEN(TRIM(CR234))=0</formula>
    </cfRule>
  </conditionalFormatting>
  <conditionalFormatting sqref="AP234">
    <cfRule type="containsBlanks" dxfId="915" priority="869">
      <formula>LEN(TRIM(AP234))=0</formula>
    </cfRule>
  </conditionalFormatting>
  <conditionalFormatting sqref="AJ234">
    <cfRule type="containsBlanks" dxfId="914" priority="872">
      <formula>LEN(TRIM(AJ234))=0</formula>
    </cfRule>
  </conditionalFormatting>
  <conditionalFormatting sqref="AN234">
    <cfRule type="containsBlanks" dxfId="913" priority="870">
      <formula>LEN(TRIM(AN234))=0</formula>
    </cfRule>
  </conditionalFormatting>
  <conditionalFormatting sqref="AY234">
    <cfRule type="containsBlanks" dxfId="912" priority="865">
      <formula>LEN(TRIM(AY234))=0</formula>
    </cfRule>
  </conditionalFormatting>
  <conditionalFormatting sqref="AS234">
    <cfRule type="containsBlanks" dxfId="911" priority="868">
      <formula>LEN(TRIM(AS234))=0</formula>
    </cfRule>
  </conditionalFormatting>
  <conditionalFormatting sqref="AU234">
    <cfRule type="containsBlanks" dxfId="910" priority="867">
      <formula>LEN(TRIM(AU234))=0</formula>
    </cfRule>
  </conditionalFormatting>
  <conditionalFormatting sqref="AW234">
    <cfRule type="containsBlanks" dxfId="909" priority="866">
      <formula>LEN(TRIM(AW234))=0</formula>
    </cfRule>
  </conditionalFormatting>
  <conditionalFormatting sqref="BH234">
    <cfRule type="containsBlanks" dxfId="908" priority="861">
      <formula>LEN(TRIM(BH234))=0</formula>
    </cfRule>
  </conditionalFormatting>
  <conditionalFormatting sqref="BB234">
    <cfRule type="containsBlanks" dxfId="907" priority="864">
      <formula>LEN(TRIM(BB234))=0</formula>
    </cfRule>
  </conditionalFormatting>
  <conditionalFormatting sqref="BD234">
    <cfRule type="containsBlanks" dxfId="906" priority="863">
      <formula>LEN(TRIM(BD234))=0</formula>
    </cfRule>
  </conditionalFormatting>
  <conditionalFormatting sqref="BF234">
    <cfRule type="containsBlanks" dxfId="905" priority="862">
      <formula>LEN(TRIM(BF234))=0</formula>
    </cfRule>
  </conditionalFormatting>
  <conditionalFormatting sqref="BQ234">
    <cfRule type="containsBlanks" dxfId="904" priority="857">
      <formula>LEN(TRIM(BQ234))=0</formula>
    </cfRule>
  </conditionalFormatting>
  <conditionalFormatting sqref="BK234">
    <cfRule type="containsBlanks" dxfId="903" priority="860">
      <formula>LEN(TRIM(BK234))=0</formula>
    </cfRule>
  </conditionalFormatting>
  <conditionalFormatting sqref="BM234">
    <cfRule type="containsBlanks" dxfId="902" priority="859">
      <formula>LEN(TRIM(BM234))=0</formula>
    </cfRule>
  </conditionalFormatting>
  <conditionalFormatting sqref="BO234">
    <cfRule type="containsBlanks" dxfId="901" priority="858">
      <formula>LEN(TRIM(BO234))=0</formula>
    </cfRule>
  </conditionalFormatting>
  <conditionalFormatting sqref="BZ234">
    <cfRule type="containsBlanks" dxfId="900" priority="853">
      <formula>LEN(TRIM(BZ234))=0</formula>
    </cfRule>
  </conditionalFormatting>
  <conditionalFormatting sqref="BT234">
    <cfRule type="containsBlanks" dxfId="899" priority="856">
      <formula>LEN(TRIM(BT234))=0</formula>
    </cfRule>
  </conditionalFormatting>
  <conditionalFormatting sqref="BV234">
    <cfRule type="containsBlanks" dxfId="898" priority="855">
      <formula>LEN(TRIM(BV234))=0</formula>
    </cfRule>
  </conditionalFormatting>
  <conditionalFormatting sqref="BX234">
    <cfRule type="containsBlanks" dxfId="897" priority="854">
      <formula>LEN(TRIM(BX234))=0</formula>
    </cfRule>
  </conditionalFormatting>
  <conditionalFormatting sqref="CI234">
    <cfRule type="containsBlanks" dxfId="896" priority="849">
      <formula>LEN(TRIM(CI234))=0</formula>
    </cfRule>
  </conditionalFormatting>
  <conditionalFormatting sqref="CC234">
    <cfRule type="containsBlanks" dxfId="895" priority="852">
      <formula>LEN(TRIM(CC234))=0</formula>
    </cfRule>
  </conditionalFormatting>
  <conditionalFormatting sqref="CE234">
    <cfRule type="containsBlanks" dxfId="894" priority="851">
      <formula>LEN(TRIM(CE234))=0</formula>
    </cfRule>
  </conditionalFormatting>
  <conditionalFormatting sqref="CG234">
    <cfRule type="containsBlanks" dxfId="893" priority="850">
      <formula>LEN(TRIM(CG234))=0</formula>
    </cfRule>
  </conditionalFormatting>
  <conditionalFormatting sqref="M237">
    <cfRule type="containsBlanks" dxfId="892" priority="844">
      <formula>LEN(TRIM(M237))=0</formula>
    </cfRule>
  </conditionalFormatting>
  <conditionalFormatting sqref="O237">
    <cfRule type="containsBlanks" dxfId="891" priority="843">
      <formula>LEN(TRIM(O237))=0</formula>
    </cfRule>
  </conditionalFormatting>
  <conditionalFormatting sqref="AG237">
    <cfRule type="containsBlanks" dxfId="890" priority="839">
      <formula>LEN(TRIM(AG237))=0</formula>
    </cfRule>
  </conditionalFormatting>
  <conditionalFormatting sqref="V237">
    <cfRule type="containsBlanks" dxfId="889" priority="842">
      <formula>LEN(TRIM(V237))=0</formula>
    </cfRule>
  </conditionalFormatting>
  <conditionalFormatting sqref="X237">
    <cfRule type="containsBlanks" dxfId="888" priority="841">
      <formula>LEN(TRIM(X237))=0</formula>
    </cfRule>
  </conditionalFormatting>
  <conditionalFormatting sqref="AE237">
    <cfRule type="containsBlanks" dxfId="887" priority="840">
      <formula>LEN(TRIM(AE237))=0</formula>
    </cfRule>
  </conditionalFormatting>
  <conditionalFormatting sqref="CL237">
    <cfRule type="containsBlanks" dxfId="886" priority="814">
      <formula>LEN(TRIM(CL237))=0</formula>
    </cfRule>
  </conditionalFormatting>
  <conditionalFormatting sqref="CN237">
    <cfRule type="containsBlanks" dxfId="885" priority="813">
      <formula>LEN(TRIM(CN237))=0</formula>
    </cfRule>
  </conditionalFormatting>
  <conditionalFormatting sqref="CP237">
    <cfRule type="containsBlanks" dxfId="884" priority="812">
      <formula>LEN(TRIM(CP237))=0</formula>
    </cfRule>
  </conditionalFormatting>
  <conditionalFormatting sqref="CR237">
    <cfRule type="containsBlanks" dxfId="883" priority="811">
      <formula>LEN(TRIM(CR237))=0</formula>
    </cfRule>
  </conditionalFormatting>
  <conditionalFormatting sqref="AP237">
    <cfRule type="containsBlanks" dxfId="882" priority="835">
      <formula>LEN(TRIM(AP237))=0</formula>
    </cfRule>
  </conditionalFormatting>
  <conditionalFormatting sqref="AJ237">
    <cfRule type="containsBlanks" dxfId="881" priority="838">
      <formula>LEN(TRIM(AJ237))=0</formula>
    </cfRule>
  </conditionalFormatting>
  <conditionalFormatting sqref="AN237">
    <cfRule type="containsBlanks" dxfId="880" priority="836">
      <formula>LEN(TRIM(AN237))=0</formula>
    </cfRule>
  </conditionalFormatting>
  <conditionalFormatting sqref="AY237">
    <cfRule type="containsBlanks" dxfId="879" priority="831">
      <formula>LEN(TRIM(AY237))=0</formula>
    </cfRule>
  </conditionalFormatting>
  <conditionalFormatting sqref="AS237">
    <cfRule type="containsBlanks" dxfId="878" priority="834">
      <formula>LEN(TRIM(AS237))=0</formula>
    </cfRule>
  </conditionalFormatting>
  <conditionalFormatting sqref="AU237">
    <cfRule type="containsBlanks" dxfId="877" priority="833">
      <formula>LEN(TRIM(AU237))=0</formula>
    </cfRule>
  </conditionalFormatting>
  <conditionalFormatting sqref="AW237">
    <cfRule type="containsBlanks" dxfId="876" priority="832">
      <formula>LEN(TRIM(AW237))=0</formula>
    </cfRule>
  </conditionalFormatting>
  <conditionalFormatting sqref="BH237">
    <cfRule type="containsBlanks" dxfId="875" priority="827">
      <formula>LEN(TRIM(BH237))=0</formula>
    </cfRule>
  </conditionalFormatting>
  <conditionalFormatting sqref="BB237">
    <cfRule type="containsBlanks" dxfId="874" priority="830">
      <formula>LEN(TRIM(BB237))=0</formula>
    </cfRule>
  </conditionalFormatting>
  <conditionalFormatting sqref="BD237">
    <cfRule type="containsBlanks" dxfId="873" priority="829">
      <formula>LEN(TRIM(BD237))=0</formula>
    </cfRule>
  </conditionalFormatting>
  <conditionalFormatting sqref="BF237">
    <cfRule type="containsBlanks" dxfId="872" priority="828">
      <formula>LEN(TRIM(BF237))=0</formula>
    </cfRule>
  </conditionalFormatting>
  <conditionalFormatting sqref="BQ237">
    <cfRule type="containsBlanks" dxfId="871" priority="823">
      <formula>LEN(TRIM(BQ237))=0</formula>
    </cfRule>
  </conditionalFormatting>
  <conditionalFormatting sqref="BK237">
    <cfRule type="containsBlanks" dxfId="870" priority="826">
      <formula>LEN(TRIM(BK237))=0</formula>
    </cfRule>
  </conditionalFormatting>
  <conditionalFormatting sqref="BM237">
    <cfRule type="containsBlanks" dxfId="869" priority="825">
      <formula>LEN(TRIM(BM237))=0</formula>
    </cfRule>
  </conditionalFormatting>
  <conditionalFormatting sqref="BO237">
    <cfRule type="containsBlanks" dxfId="868" priority="824">
      <formula>LEN(TRIM(BO237))=0</formula>
    </cfRule>
  </conditionalFormatting>
  <conditionalFormatting sqref="BZ237">
    <cfRule type="containsBlanks" dxfId="867" priority="819">
      <formula>LEN(TRIM(BZ237))=0</formula>
    </cfRule>
  </conditionalFormatting>
  <conditionalFormatting sqref="BT237">
    <cfRule type="containsBlanks" dxfId="866" priority="822">
      <formula>LEN(TRIM(BT237))=0</formula>
    </cfRule>
  </conditionalFormatting>
  <conditionalFormatting sqref="BV237">
    <cfRule type="containsBlanks" dxfId="865" priority="821">
      <formula>LEN(TRIM(BV237))=0</formula>
    </cfRule>
  </conditionalFormatting>
  <conditionalFormatting sqref="BX237">
    <cfRule type="containsBlanks" dxfId="864" priority="820">
      <formula>LEN(TRIM(BX237))=0</formula>
    </cfRule>
  </conditionalFormatting>
  <conditionalFormatting sqref="CI237">
    <cfRule type="containsBlanks" dxfId="863" priority="815">
      <formula>LEN(TRIM(CI237))=0</formula>
    </cfRule>
  </conditionalFormatting>
  <conditionalFormatting sqref="CC237">
    <cfRule type="containsBlanks" dxfId="862" priority="818">
      <formula>LEN(TRIM(CC237))=0</formula>
    </cfRule>
  </conditionalFormatting>
  <conditionalFormatting sqref="CE237">
    <cfRule type="containsBlanks" dxfId="861" priority="817">
      <formula>LEN(TRIM(CE237))=0</formula>
    </cfRule>
  </conditionalFormatting>
  <conditionalFormatting sqref="CG237">
    <cfRule type="containsBlanks" dxfId="860" priority="816">
      <formula>LEN(TRIM(CG237))=0</formula>
    </cfRule>
  </conditionalFormatting>
  <conditionalFormatting sqref="M239:M241">
    <cfRule type="containsBlanks" dxfId="859" priority="810">
      <formula>LEN(TRIM(M239))=0</formula>
    </cfRule>
  </conditionalFormatting>
  <conditionalFormatting sqref="O239:O241">
    <cfRule type="containsBlanks" dxfId="858" priority="809">
      <formula>LEN(TRIM(O239))=0</formula>
    </cfRule>
  </conditionalFormatting>
  <conditionalFormatting sqref="AG239:AG241">
    <cfRule type="containsBlanks" dxfId="857" priority="805">
      <formula>LEN(TRIM(AG239))=0</formula>
    </cfRule>
  </conditionalFormatting>
  <conditionalFormatting sqref="V239:V241">
    <cfRule type="containsBlanks" dxfId="856" priority="808">
      <formula>LEN(TRIM(V239))=0</formula>
    </cfRule>
  </conditionalFormatting>
  <conditionalFormatting sqref="X239:X241">
    <cfRule type="containsBlanks" dxfId="855" priority="807">
      <formula>LEN(TRIM(X239))=0</formula>
    </cfRule>
  </conditionalFormatting>
  <conditionalFormatting sqref="AE239:AE241">
    <cfRule type="containsBlanks" dxfId="854" priority="806">
      <formula>LEN(TRIM(AE239))=0</formula>
    </cfRule>
  </conditionalFormatting>
  <conditionalFormatting sqref="CL239:CL241">
    <cfRule type="containsBlanks" dxfId="853" priority="780">
      <formula>LEN(TRIM(CL239))=0</formula>
    </cfRule>
  </conditionalFormatting>
  <conditionalFormatting sqref="CN239:CN241">
    <cfRule type="containsBlanks" dxfId="852" priority="779">
      <formula>LEN(TRIM(CN239))=0</formula>
    </cfRule>
  </conditionalFormatting>
  <conditionalFormatting sqref="CP239:CP241">
    <cfRule type="containsBlanks" dxfId="851" priority="778">
      <formula>LEN(TRIM(CP239))=0</formula>
    </cfRule>
  </conditionalFormatting>
  <conditionalFormatting sqref="CR239:CR241">
    <cfRule type="containsBlanks" dxfId="850" priority="777">
      <formula>LEN(TRIM(CR239))=0</formula>
    </cfRule>
  </conditionalFormatting>
  <conditionalFormatting sqref="AP239:AP241">
    <cfRule type="containsBlanks" dxfId="849" priority="801">
      <formula>LEN(TRIM(AP239))=0</formula>
    </cfRule>
  </conditionalFormatting>
  <conditionalFormatting sqref="AJ239:AJ241">
    <cfRule type="containsBlanks" dxfId="848" priority="804">
      <formula>LEN(TRIM(AJ239))=0</formula>
    </cfRule>
  </conditionalFormatting>
  <conditionalFormatting sqref="AN239:AN241">
    <cfRule type="containsBlanks" dxfId="847" priority="802">
      <formula>LEN(TRIM(AN239))=0</formula>
    </cfRule>
  </conditionalFormatting>
  <conditionalFormatting sqref="AY239:AY241">
    <cfRule type="containsBlanks" dxfId="846" priority="797">
      <formula>LEN(TRIM(AY239))=0</formula>
    </cfRule>
  </conditionalFormatting>
  <conditionalFormatting sqref="AS239:AS241">
    <cfRule type="containsBlanks" dxfId="845" priority="800">
      <formula>LEN(TRIM(AS239))=0</formula>
    </cfRule>
  </conditionalFormatting>
  <conditionalFormatting sqref="AU239:AU241">
    <cfRule type="containsBlanks" dxfId="844" priority="799">
      <formula>LEN(TRIM(AU239))=0</formula>
    </cfRule>
  </conditionalFormatting>
  <conditionalFormatting sqref="AW239:AW241">
    <cfRule type="containsBlanks" dxfId="843" priority="798">
      <formula>LEN(TRIM(AW239))=0</formula>
    </cfRule>
  </conditionalFormatting>
  <conditionalFormatting sqref="BH239:BH241">
    <cfRule type="containsBlanks" dxfId="842" priority="793">
      <formula>LEN(TRIM(BH239))=0</formula>
    </cfRule>
  </conditionalFormatting>
  <conditionalFormatting sqref="BB239:BB241">
    <cfRule type="containsBlanks" dxfId="841" priority="796">
      <formula>LEN(TRIM(BB239))=0</formula>
    </cfRule>
  </conditionalFormatting>
  <conditionalFormatting sqref="BD239:BD241">
    <cfRule type="containsBlanks" dxfId="840" priority="795">
      <formula>LEN(TRIM(BD239))=0</formula>
    </cfRule>
  </conditionalFormatting>
  <conditionalFormatting sqref="BF239:BF241">
    <cfRule type="containsBlanks" dxfId="839" priority="794">
      <formula>LEN(TRIM(BF239))=0</formula>
    </cfRule>
  </conditionalFormatting>
  <conditionalFormatting sqref="BQ239:BQ241">
    <cfRule type="containsBlanks" dxfId="838" priority="789">
      <formula>LEN(TRIM(BQ239))=0</formula>
    </cfRule>
  </conditionalFormatting>
  <conditionalFormatting sqref="BK239:BK241">
    <cfRule type="containsBlanks" dxfId="837" priority="792">
      <formula>LEN(TRIM(BK239))=0</formula>
    </cfRule>
  </conditionalFormatting>
  <conditionalFormatting sqref="BM239:BM241">
    <cfRule type="containsBlanks" dxfId="836" priority="791">
      <formula>LEN(TRIM(BM239))=0</formula>
    </cfRule>
  </conditionalFormatting>
  <conditionalFormatting sqref="BO239:BO241">
    <cfRule type="containsBlanks" dxfId="835" priority="790">
      <formula>LEN(TRIM(BO239))=0</formula>
    </cfRule>
  </conditionalFormatting>
  <conditionalFormatting sqref="BZ239:BZ241">
    <cfRule type="containsBlanks" dxfId="834" priority="785">
      <formula>LEN(TRIM(BZ239))=0</formula>
    </cfRule>
  </conditionalFormatting>
  <conditionalFormatting sqref="BT239:BT241">
    <cfRule type="containsBlanks" dxfId="833" priority="788">
      <formula>LEN(TRIM(BT239))=0</formula>
    </cfRule>
  </conditionalFormatting>
  <conditionalFormatting sqref="BV239:BV241">
    <cfRule type="containsBlanks" dxfId="832" priority="787">
      <formula>LEN(TRIM(BV239))=0</formula>
    </cfRule>
  </conditionalFormatting>
  <conditionalFormatting sqref="BX239:BX241">
    <cfRule type="containsBlanks" dxfId="831" priority="786">
      <formula>LEN(TRIM(BX239))=0</formula>
    </cfRule>
  </conditionalFormatting>
  <conditionalFormatting sqref="CI239:CI241">
    <cfRule type="containsBlanks" dxfId="830" priority="781">
      <formula>LEN(TRIM(CI239))=0</formula>
    </cfRule>
  </conditionalFormatting>
  <conditionalFormatting sqref="CC239:CC241">
    <cfRule type="containsBlanks" dxfId="829" priority="784">
      <formula>LEN(TRIM(CC239))=0</formula>
    </cfRule>
  </conditionalFormatting>
  <conditionalFormatting sqref="CE239:CE241">
    <cfRule type="containsBlanks" dxfId="828" priority="783">
      <formula>LEN(TRIM(CE239))=0</formula>
    </cfRule>
  </conditionalFormatting>
  <conditionalFormatting sqref="CG239:CG241">
    <cfRule type="containsBlanks" dxfId="827" priority="782">
      <formula>LEN(TRIM(CG239))=0</formula>
    </cfRule>
  </conditionalFormatting>
  <conditionalFormatting sqref="M249">
    <cfRule type="containsBlanks" dxfId="826" priority="776">
      <formula>LEN(TRIM(M249))=0</formula>
    </cfRule>
  </conditionalFormatting>
  <conditionalFormatting sqref="O249">
    <cfRule type="containsBlanks" dxfId="825" priority="775">
      <formula>LEN(TRIM(O249))=0</formula>
    </cfRule>
  </conditionalFormatting>
  <conditionalFormatting sqref="AG249">
    <cfRule type="containsBlanks" dxfId="824" priority="771">
      <formula>LEN(TRIM(AG249))=0</formula>
    </cfRule>
  </conditionalFormatting>
  <conditionalFormatting sqref="V249">
    <cfRule type="containsBlanks" dxfId="823" priority="774">
      <formula>LEN(TRIM(V249))=0</formula>
    </cfRule>
  </conditionalFormatting>
  <conditionalFormatting sqref="X249">
    <cfRule type="containsBlanks" dxfId="822" priority="773">
      <formula>LEN(TRIM(X249))=0</formula>
    </cfRule>
  </conditionalFormatting>
  <conditionalFormatting sqref="AJ258">
    <cfRule type="containsBlanks" dxfId="821" priority="735">
      <formula>LEN(TRIM(AJ258))=0</formula>
    </cfRule>
  </conditionalFormatting>
  <conditionalFormatting sqref="AE249">
    <cfRule type="containsBlanks" dxfId="820" priority="772">
      <formula>LEN(TRIM(AE249))=0</formula>
    </cfRule>
  </conditionalFormatting>
  <conditionalFormatting sqref="CL249">
    <cfRule type="containsBlanks" dxfId="819" priority="746">
      <formula>LEN(TRIM(CL249))=0</formula>
    </cfRule>
  </conditionalFormatting>
  <conditionalFormatting sqref="CN249">
    <cfRule type="containsBlanks" dxfId="818" priority="745">
      <formula>LEN(TRIM(CN249))=0</formula>
    </cfRule>
  </conditionalFormatting>
  <conditionalFormatting sqref="CP249">
    <cfRule type="containsBlanks" dxfId="817" priority="744">
      <formula>LEN(TRIM(CP249))=0</formula>
    </cfRule>
  </conditionalFormatting>
  <conditionalFormatting sqref="CR249">
    <cfRule type="containsBlanks" dxfId="816" priority="743">
      <formula>LEN(TRIM(CR249))=0</formula>
    </cfRule>
  </conditionalFormatting>
  <conditionalFormatting sqref="AP249">
    <cfRule type="containsBlanks" dxfId="815" priority="767">
      <formula>LEN(TRIM(AP249))=0</formula>
    </cfRule>
  </conditionalFormatting>
  <conditionalFormatting sqref="AJ249">
    <cfRule type="containsBlanks" dxfId="814" priority="770">
      <formula>LEN(TRIM(AJ249))=0</formula>
    </cfRule>
  </conditionalFormatting>
  <conditionalFormatting sqref="AN249">
    <cfRule type="containsBlanks" dxfId="813" priority="768">
      <formula>LEN(TRIM(AN249))=0</formula>
    </cfRule>
  </conditionalFormatting>
  <conditionalFormatting sqref="AY249">
    <cfRule type="containsBlanks" dxfId="812" priority="763">
      <formula>LEN(TRIM(AY249))=0</formula>
    </cfRule>
  </conditionalFormatting>
  <conditionalFormatting sqref="AS249">
    <cfRule type="containsBlanks" dxfId="811" priority="766">
      <formula>LEN(TRIM(AS249))=0</formula>
    </cfRule>
  </conditionalFormatting>
  <conditionalFormatting sqref="AU249">
    <cfRule type="containsBlanks" dxfId="810" priority="765">
      <formula>LEN(TRIM(AU249))=0</formula>
    </cfRule>
  </conditionalFormatting>
  <conditionalFormatting sqref="AW249">
    <cfRule type="containsBlanks" dxfId="809" priority="764">
      <formula>LEN(TRIM(AW249))=0</formula>
    </cfRule>
  </conditionalFormatting>
  <conditionalFormatting sqref="BH249">
    <cfRule type="containsBlanks" dxfId="808" priority="759">
      <formula>LEN(TRIM(BH249))=0</formula>
    </cfRule>
  </conditionalFormatting>
  <conditionalFormatting sqref="BB249">
    <cfRule type="containsBlanks" dxfId="807" priority="762">
      <formula>LEN(TRIM(BB249))=0</formula>
    </cfRule>
  </conditionalFormatting>
  <conditionalFormatting sqref="BD249">
    <cfRule type="containsBlanks" dxfId="806" priority="761">
      <formula>LEN(TRIM(BD249))=0</formula>
    </cfRule>
  </conditionalFormatting>
  <conditionalFormatting sqref="BF249">
    <cfRule type="containsBlanks" dxfId="805" priority="760">
      <formula>LEN(TRIM(BF249))=0</formula>
    </cfRule>
  </conditionalFormatting>
  <conditionalFormatting sqref="BQ249">
    <cfRule type="containsBlanks" dxfId="804" priority="755">
      <formula>LEN(TRIM(BQ249))=0</formula>
    </cfRule>
  </conditionalFormatting>
  <conditionalFormatting sqref="BK249">
    <cfRule type="containsBlanks" dxfId="803" priority="758">
      <formula>LEN(TRIM(BK249))=0</formula>
    </cfRule>
  </conditionalFormatting>
  <conditionalFormatting sqref="BM249">
    <cfRule type="containsBlanks" dxfId="802" priority="757">
      <formula>LEN(TRIM(BM249))=0</formula>
    </cfRule>
  </conditionalFormatting>
  <conditionalFormatting sqref="BO249">
    <cfRule type="containsBlanks" dxfId="801" priority="756">
      <formula>LEN(TRIM(BO249))=0</formula>
    </cfRule>
  </conditionalFormatting>
  <conditionalFormatting sqref="BZ249">
    <cfRule type="containsBlanks" dxfId="800" priority="751">
      <formula>LEN(TRIM(BZ249))=0</formula>
    </cfRule>
  </conditionalFormatting>
  <conditionalFormatting sqref="BT249">
    <cfRule type="containsBlanks" dxfId="799" priority="754">
      <formula>LEN(TRIM(BT249))=0</formula>
    </cfRule>
  </conditionalFormatting>
  <conditionalFormatting sqref="BV249">
    <cfRule type="containsBlanks" dxfId="798" priority="753">
      <formula>LEN(TRIM(BV249))=0</formula>
    </cfRule>
  </conditionalFormatting>
  <conditionalFormatting sqref="BX249">
    <cfRule type="containsBlanks" dxfId="797" priority="752">
      <formula>LEN(TRIM(BX249))=0</formula>
    </cfRule>
  </conditionalFormatting>
  <conditionalFormatting sqref="CI249">
    <cfRule type="containsBlanks" dxfId="796" priority="747">
      <formula>LEN(TRIM(CI249))=0</formula>
    </cfRule>
  </conditionalFormatting>
  <conditionalFormatting sqref="CC249">
    <cfRule type="containsBlanks" dxfId="795" priority="750">
      <formula>LEN(TRIM(CC249))=0</formula>
    </cfRule>
  </conditionalFormatting>
  <conditionalFormatting sqref="CE249">
    <cfRule type="containsBlanks" dxfId="794" priority="749">
      <formula>LEN(TRIM(CE249))=0</formula>
    </cfRule>
  </conditionalFormatting>
  <conditionalFormatting sqref="CG249">
    <cfRule type="containsBlanks" dxfId="793" priority="748">
      <formula>LEN(TRIM(CG249))=0</formula>
    </cfRule>
  </conditionalFormatting>
  <conditionalFormatting sqref="M258">
    <cfRule type="containsBlanks" dxfId="792" priority="742">
      <formula>LEN(TRIM(M258))=0</formula>
    </cfRule>
  </conditionalFormatting>
  <conditionalFormatting sqref="O258">
    <cfRule type="containsBlanks" dxfId="791" priority="741">
      <formula>LEN(TRIM(O258))=0</formula>
    </cfRule>
  </conditionalFormatting>
  <conditionalFormatting sqref="AG258">
    <cfRule type="containsBlanks" dxfId="790" priority="736">
      <formula>LEN(TRIM(AG258))=0</formula>
    </cfRule>
  </conditionalFormatting>
  <conditionalFormatting sqref="T267:T268 T284:T285 T287:T288 T270:T277 T279:T282">
    <cfRule type="containsBlanks" dxfId="789" priority="740">
      <formula>LEN(TRIM(T267))=0</formula>
    </cfRule>
  </conditionalFormatting>
  <conditionalFormatting sqref="V258">
    <cfRule type="containsBlanks" dxfId="788" priority="739">
      <formula>LEN(TRIM(V258))=0</formula>
    </cfRule>
  </conditionalFormatting>
  <conditionalFormatting sqref="X258">
    <cfRule type="containsBlanks" dxfId="787" priority="738">
      <formula>LEN(TRIM(X258))=0</formula>
    </cfRule>
  </conditionalFormatting>
  <conditionalFormatting sqref="AE258">
    <cfRule type="containsBlanks" dxfId="786" priority="737">
      <formula>LEN(TRIM(AE258))=0</formula>
    </cfRule>
  </conditionalFormatting>
  <conditionalFormatting sqref="CL258">
    <cfRule type="containsBlanks" dxfId="785" priority="711">
      <formula>LEN(TRIM(CL258))=0</formula>
    </cfRule>
  </conditionalFormatting>
  <conditionalFormatting sqref="CN258">
    <cfRule type="containsBlanks" dxfId="784" priority="710">
      <formula>LEN(TRIM(CN258))=0</formula>
    </cfRule>
  </conditionalFormatting>
  <conditionalFormatting sqref="CP258">
    <cfRule type="containsBlanks" dxfId="783" priority="709">
      <formula>LEN(TRIM(CP258))=0</formula>
    </cfRule>
  </conditionalFormatting>
  <conditionalFormatting sqref="CR258">
    <cfRule type="containsBlanks" dxfId="782" priority="708">
      <formula>LEN(TRIM(CR258))=0</formula>
    </cfRule>
  </conditionalFormatting>
  <conditionalFormatting sqref="AP258">
    <cfRule type="containsBlanks" dxfId="781" priority="732">
      <formula>LEN(TRIM(AP258))=0</formula>
    </cfRule>
  </conditionalFormatting>
  <conditionalFormatting sqref="AN258">
    <cfRule type="containsBlanks" dxfId="780" priority="733">
      <formula>LEN(TRIM(AN258))=0</formula>
    </cfRule>
  </conditionalFormatting>
  <conditionalFormatting sqref="AY258">
    <cfRule type="containsBlanks" dxfId="779" priority="728">
      <formula>LEN(TRIM(AY258))=0</formula>
    </cfRule>
  </conditionalFormatting>
  <conditionalFormatting sqref="AS258">
    <cfRule type="containsBlanks" dxfId="778" priority="731">
      <formula>LEN(TRIM(AS258))=0</formula>
    </cfRule>
  </conditionalFormatting>
  <conditionalFormatting sqref="AU258">
    <cfRule type="containsBlanks" dxfId="777" priority="730">
      <formula>LEN(TRIM(AU258))=0</formula>
    </cfRule>
  </conditionalFormatting>
  <conditionalFormatting sqref="AW258">
    <cfRule type="containsBlanks" dxfId="776" priority="729">
      <formula>LEN(TRIM(AW258))=0</formula>
    </cfRule>
  </conditionalFormatting>
  <conditionalFormatting sqref="BH258">
    <cfRule type="containsBlanks" dxfId="775" priority="724">
      <formula>LEN(TRIM(BH258))=0</formula>
    </cfRule>
  </conditionalFormatting>
  <conditionalFormatting sqref="BB258">
    <cfRule type="containsBlanks" dxfId="774" priority="727">
      <formula>LEN(TRIM(BB258))=0</formula>
    </cfRule>
  </conditionalFormatting>
  <conditionalFormatting sqref="BD258">
    <cfRule type="containsBlanks" dxfId="773" priority="726">
      <formula>LEN(TRIM(BD258))=0</formula>
    </cfRule>
  </conditionalFormatting>
  <conditionalFormatting sqref="BF258">
    <cfRule type="containsBlanks" dxfId="772" priority="725">
      <formula>LEN(TRIM(BF258))=0</formula>
    </cfRule>
  </conditionalFormatting>
  <conditionalFormatting sqref="BQ258">
    <cfRule type="containsBlanks" dxfId="771" priority="720">
      <formula>LEN(TRIM(BQ258))=0</formula>
    </cfRule>
  </conditionalFormatting>
  <conditionalFormatting sqref="BK258">
    <cfRule type="containsBlanks" dxfId="770" priority="723">
      <formula>LEN(TRIM(BK258))=0</formula>
    </cfRule>
  </conditionalFormatting>
  <conditionalFormatting sqref="BM258">
    <cfRule type="containsBlanks" dxfId="769" priority="722">
      <formula>LEN(TRIM(BM258))=0</formula>
    </cfRule>
  </conditionalFormatting>
  <conditionalFormatting sqref="BO258">
    <cfRule type="containsBlanks" dxfId="768" priority="721">
      <formula>LEN(TRIM(BO258))=0</formula>
    </cfRule>
  </conditionalFormatting>
  <conditionalFormatting sqref="BZ258">
    <cfRule type="containsBlanks" dxfId="767" priority="716">
      <formula>LEN(TRIM(BZ258))=0</formula>
    </cfRule>
  </conditionalFormatting>
  <conditionalFormatting sqref="BT258">
    <cfRule type="containsBlanks" dxfId="766" priority="719">
      <formula>LEN(TRIM(BT258))=0</formula>
    </cfRule>
  </conditionalFormatting>
  <conditionalFormatting sqref="BV258">
    <cfRule type="containsBlanks" dxfId="765" priority="718">
      <formula>LEN(TRIM(BV258))=0</formula>
    </cfRule>
  </conditionalFormatting>
  <conditionalFormatting sqref="BX258">
    <cfRule type="containsBlanks" dxfId="764" priority="717">
      <formula>LEN(TRIM(BX258))=0</formula>
    </cfRule>
  </conditionalFormatting>
  <conditionalFormatting sqref="CI258">
    <cfRule type="containsBlanks" dxfId="763" priority="712">
      <formula>LEN(TRIM(CI258))=0</formula>
    </cfRule>
  </conditionalFormatting>
  <conditionalFormatting sqref="CC258">
    <cfRule type="containsBlanks" dxfId="762" priority="715">
      <formula>LEN(TRIM(CC258))=0</formula>
    </cfRule>
  </conditionalFormatting>
  <conditionalFormatting sqref="CE258">
    <cfRule type="containsBlanks" dxfId="761" priority="714">
      <formula>LEN(TRIM(CE258))=0</formula>
    </cfRule>
  </conditionalFormatting>
  <conditionalFormatting sqref="CG258">
    <cfRule type="containsBlanks" dxfId="760" priority="713">
      <formula>LEN(TRIM(CG258))=0</formula>
    </cfRule>
  </conditionalFormatting>
  <conditionalFormatting sqref="M259">
    <cfRule type="containsBlanks" dxfId="759" priority="707">
      <formula>LEN(TRIM(M259))=0</formula>
    </cfRule>
  </conditionalFormatting>
  <conditionalFormatting sqref="O259">
    <cfRule type="containsBlanks" dxfId="758" priority="706">
      <formula>LEN(TRIM(O259))=0</formula>
    </cfRule>
  </conditionalFormatting>
  <conditionalFormatting sqref="AG259">
    <cfRule type="containsBlanks" dxfId="757" priority="702">
      <formula>LEN(TRIM(AG259))=0</formula>
    </cfRule>
  </conditionalFormatting>
  <conditionalFormatting sqref="V259">
    <cfRule type="containsBlanks" dxfId="756" priority="705">
      <formula>LEN(TRIM(V259))=0</formula>
    </cfRule>
  </conditionalFormatting>
  <conditionalFormatting sqref="X259">
    <cfRule type="containsBlanks" dxfId="755" priority="704">
      <formula>LEN(TRIM(X259))=0</formula>
    </cfRule>
  </conditionalFormatting>
  <conditionalFormatting sqref="CE269">
    <cfRule type="containsBlanks" dxfId="754" priority="578">
      <formula>LEN(TRIM(CE269))=0</formula>
    </cfRule>
  </conditionalFormatting>
  <conditionalFormatting sqref="AE259">
    <cfRule type="containsBlanks" dxfId="753" priority="703">
      <formula>LEN(TRIM(AE259))=0</formula>
    </cfRule>
  </conditionalFormatting>
  <conditionalFormatting sqref="CL259">
    <cfRule type="containsBlanks" dxfId="752" priority="677">
      <formula>LEN(TRIM(CL259))=0</formula>
    </cfRule>
  </conditionalFormatting>
  <conditionalFormatting sqref="CN259">
    <cfRule type="containsBlanks" dxfId="751" priority="676">
      <formula>LEN(TRIM(CN259))=0</formula>
    </cfRule>
  </conditionalFormatting>
  <conditionalFormatting sqref="CP259">
    <cfRule type="containsBlanks" dxfId="750" priority="675">
      <formula>LEN(TRIM(CP259))=0</formula>
    </cfRule>
  </conditionalFormatting>
  <conditionalFormatting sqref="CR259">
    <cfRule type="containsBlanks" dxfId="749" priority="674">
      <formula>LEN(TRIM(CR259))=0</formula>
    </cfRule>
  </conditionalFormatting>
  <conditionalFormatting sqref="AP259">
    <cfRule type="containsBlanks" dxfId="748" priority="698">
      <formula>LEN(TRIM(AP259))=0</formula>
    </cfRule>
  </conditionalFormatting>
  <conditionalFormatting sqref="AJ259">
    <cfRule type="containsBlanks" dxfId="747" priority="701">
      <formula>LEN(TRIM(AJ259))=0</formula>
    </cfRule>
  </conditionalFormatting>
  <conditionalFormatting sqref="AN259">
    <cfRule type="containsBlanks" dxfId="746" priority="699">
      <formula>LEN(TRIM(AN259))=0</formula>
    </cfRule>
  </conditionalFormatting>
  <conditionalFormatting sqref="AY259">
    <cfRule type="containsBlanks" dxfId="745" priority="694">
      <formula>LEN(TRIM(AY259))=0</formula>
    </cfRule>
  </conditionalFormatting>
  <conditionalFormatting sqref="AS259">
    <cfRule type="containsBlanks" dxfId="744" priority="697">
      <formula>LEN(TRIM(AS259))=0</formula>
    </cfRule>
  </conditionalFormatting>
  <conditionalFormatting sqref="AU259">
    <cfRule type="containsBlanks" dxfId="743" priority="696">
      <formula>LEN(TRIM(AU259))=0</formula>
    </cfRule>
  </conditionalFormatting>
  <conditionalFormatting sqref="AW259">
    <cfRule type="containsBlanks" dxfId="742" priority="695">
      <formula>LEN(TRIM(AW259))=0</formula>
    </cfRule>
  </conditionalFormatting>
  <conditionalFormatting sqref="BH259">
    <cfRule type="containsBlanks" dxfId="741" priority="690">
      <formula>LEN(TRIM(BH259))=0</formula>
    </cfRule>
  </conditionalFormatting>
  <conditionalFormatting sqref="BB259">
    <cfRule type="containsBlanks" dxfId="740" priority="693">
      <formula>LEN(TRIM(BB259))=0</formula>
    </cfRule>
  </conditionalFormatting>
  <conditionalFormatting sqref="BD259">
    <cfRule type="containsBlanks" dxfId="739" priority="692">
      <formula>LEN(TRIM(BD259))=0</formula>
    </cfRule>
  </conditionalFormatting>
  <conditionalFormatting sqref="BF259">
    <cfRule type="containsBlanks" dxfId="738" priority="691">
      <formula>LEN(TRIM(BF259))=0</formula>
    </cfRule>
  </conditionalFormatting>
  <conditionalFormatting sqref="BQ259">
    <cfRule type="containsBlanks" dxfId="737" priority="686">
      <formula>LEN(TRIM(BQ259))=0</formula>
    </cfRule>
  </conditionalFormatting>
  <conditionalFormatting sqref="BK259">
    <cfRule type="containsBlanks" dxfId="736" priority="689">
      <formula>LEN(TRIM(BK259))=0</formula>
    </cfRule>
  </conditionalFormatting>
  <conditionalFormatting sqref="BM259">
    <cfRule type="containsBlanks" dxfId="735" priority="688">
      <formula>LEN(TRIM(BM259))=0</formula>
    </cfRule>
  </conditionalFormatting>
  <conditionalFormatting sqref="BO259">
    <cfRule type="containsBlanks" dxfId="734" priority="687">
      <formula>LEN(TRIM(BO259))=0</formula>
    </cfRule>
  </conditionalFormatting>
  <conditionalFormatting sqref="BZ259">
    <cfRule type="containsBlanks" dxfId="733" priority="682">
      <formula>LEN(TRIM(BZ259))=0</formula>
    </cfRule>
  </conditionalFormatting>
  <conditionalFormatting sqref="BT259">
    <cfRule type="containsBlanks" dxfId="732" priority="685">
      <formula>LEN(TRIM(BT259))=0</formula>
    </cfRule>
  </conditionalFormatting>
  <conditionalFormatting sqref="BV259">
    <cfRule type="containsBlanks" dxfId="731" priority="684">
      <formula>LEN(TRIM(BV259))=0</formula>
    </cfRule>
  </conditionalFormatting>
  <conditionalFormatting sqref="BX259">
    <cfRule type="containsBlanks" dxfId="730" priority="683">
      <formula>LEN(TRIM(BX259))=0</formula>
    </cfRule>
  </conditionalFormatting>
  <conditionalFormatting sqref="CI259">
    <cfRule type="containsBlanks" dxfId="729" priority="678">
      <formula>LEN(TRIM(CI259))=0</formula>
    </cfRule>
  </conditionalFormatting>
  <conditionalFormatting sqref="CC259">
    <cfRule type="containsBlanks" dxfId="728" priority="681">
      <formula>LEN(TRIM(CC259))=0</formula>
    </cfRule>
  </conditionalFormatting>
  <conditionalFormatting sqref="CE259">
    <cfRule type="containsBlanks" dxfId="727" priority="680">
      <formula>LEN(TRIM(CE259))=0</formula>
    </cfRule>
  </conditionalFormatting>
  <conditionalFormatting sqref="CG259">
    <cfRule type="containsBlanks" dxfId="726" priority="679">
      <formula>LEN(TRIM(CG259))=0</formula>
    </cfRule>
  </conditionalFormatting>
  <conditionalFormatting sqref="BO269">
    <cfRule type="containsBlanks" dxfId="725" priority="585">
      <formula>LEN(TRIM(BO269))=0</formula>
    </cfRule>
  </conditionalFormatting>
  <conditionalFormatting sqref="BQ269">
    <cfRule type="containsBlanks" dxfId="724" priority="584">
      <formula>LEN(TRIM(BQ269))=0</formula>
    </cfRule>
  </conditionalFormatting>
  <conditionalFormatting sqref="BZ269">
    <cfRule type="containsBlanks" dxfId="723" priority="580">
      <formula>LEN(TRIM(BZ269))=0</formula>
    </cfRule>
  </conditionalFormatting>
  <conditionalFormatting sqref="BT269">
    <cfRule type="containsBlanks" dxfId="722" priority="583">
      <formula>LEN(TRIM(BT269))=0</formula>
    </cfRule>
  </conditionalFormatting>
  <conditionalFormatting sqref="BV269">
    <cfRule type="containsBlanks" dxfId="721" priority="582">
      <formula>LEN(TRIM(BV269))=0</formula>
    </cfRule>
  </conditionalFormatting>
  <conditionalFormatting sqref="BX269">
    <cfRule type="containsBlanks" dxfId="720" priority="581">
      <formula>LEN(TRIM(BX269))=0</formula>
    </cfRule>
  </conditionalFormatting>
  <conditionalFormatting sqref="BD283">
    <cfRule type="containsBlanks" dxfId="719" priority="556">
      <formula>LEN(TRIM(BD283))=0</formula>
    </cfRule>
  </conditionalFormatting>
  <conditionalFormatting sqref="BF283">
    <cfRule type="containsBlanks" dxfId="718" priority="555">
      <formula>LEN(TRIM(BF283))=0</formula>
    </cfRule>
  </conditionalFormatting>
  <conditionalFormatting sqref="BH283">
    <cfRule type="containsBlanks" dxfId="717" priority="554">
      <formula>LEN(TRIM(BH283))=0</formula>
    </cfRule>
  </conditionalFormatting>
  <conditionalFormatting sqref="BK283">
    <cfRule type="containsBlanks" dxfId="716" priority="553">
      <formula>LEN(TRIM(BK283))=0</formula>
    </cfRule>
  </conditionalFormatting>
  <conditionalFormatting sqref="CI269">
    <cfRule type="containsBlanks" dxfId="715" priority="576">
      <formula>LEN(TRIM(CI269))=0</formula>
    </cfRule>
  </conditionalFormatting>
  <conditionalFormatting sqref="CC269">
    <cfRule type="containsBlanks" dxfId="714" priority="579">
      <formula>LEN(TRIM(CC269))=0</formula>
    </cfRule>
  </conditionalFormatting>
  <conditionalFormatting sqref="CG269">
    <cfRule type="containsBlanks" dxfId="713" priority="577">
      <formula>LEN(TRIM(CG269))=0</formula>
    </cfRule>
  </conditionalFormatting>
  <conditionalFormatting sqref="CR269">
    <cfRule type="containsBlanks" dxfId="712" priority="572">
      <formula>LEN(TRIM(CR269))=0</formula>
    </cfRule>
  </conditionalFormatting>
  <conditionalFormatting sqref="CL269">
    <cfRule type="containsBlanks" dxfId="711" priority="575">
      <formula>LEN(TRIM(CL269))=0</formula>
    </cfRule>
  </conditionalFormatting>
  <conditionalFormatting sqref="CN269">
    <cfRule type="containsBlanks" dxfId="710" priority="574">
      <formula>LEN(TRIM(CN269))=0</formula>
    </cfRule>
  </conditionalFormatting>
  <conditionalFormatting sqref="CP269">
    <cfRule type="containsBlanks" dxfId="709" priority="573">
      <formula>LEN(TRIM(CP269))=0</formula>
    </cfRule>
  </conditionalFormatting>
  <conditionalFormatting sqref="V283">
    <cfRule type="containsBlanks" dxfId="708" priority="569">
      <formula>LEN(TRIM(V283))=0</formula>
    </cfRule>
  </conditionalFormatting>
  <conditionalFormatting sqref="M283">
    <cfRule type="containsBlanks" dxfId="707" priority="571">
      <formula>LEN(TRIM(M283))=0</formula>
    </cfRule>
  </conditionalFormatting>
  <conditionalFormatting sqref="O283">
    <cfRule type="containsBlanks" dxfId="706" priority="570">
      <formula>LEN(TRIM(O283))=0</formula>
    </cfRule>
  </conditionalFormatting>
  <conditionalFormatting sqref="AJ283">
    <cfRule type="containsBlanks" dxfId="705" priority="565">
      <formula>LEN(TRIM(AJ283))=0</formula>
    </cfRule>
  </conditionalFormatting>
  <conditionalFormatting sqref="X283">
    <cfRule type="containsBlanks" dxfId="704" priority="568">
      <formula>LEN(TRIM(X283))=0</formula>
    </cfRule>
  </conditionalFormatting>
  <conditionalFormatting sqref="AE283">
    <cfRule type="containsBlanks" dxfId="703" priority="567">
      <formula>LEN(TRIM(AE283))=0</formula>
    </cfRule>
  </conditionalFormatting>
  <conditionalFormatting sqref="AG283">
    <cfRule type="containsBlanks" dxfId="702" priority="566">
      <formula>LEN(TRIM(AG283))=0</formula>
    </cfRule>
  </conditionalFormatting>
  <conditionalFormatting sqref="AS283">
    <cfRule type="containsBlanks" dxfId="701" priority="561">
      <formula>LEN(TRIM(AS283))=0</formula>
    </cfRule>
  </conditionalFormatting>
  <conditionalFormatting sqref="AN283">
    <cfRule type="containsBlanks" dxfId="700" priority="563">
      <formula>LEN(TRIM(AN283))=0</formula>
    </cfRule>
  </conditionalFormatting>
  <conditionalFormatting sqref="AP283">
    <cfRule type="containsBlanks" dxfId="699" priority="562">
      <formula>LEN(TRIM(AP283))=0</formula>
    </cfRule>
  </conditionalFormatting>
  <conditionalFormatting sqref="BB283">
    <cfRule type="containsBlanks" dxfId="698" priority="557">
      <formula>LEN(TRIM(BB283))=0</formula>
    </cfRule>
  </conditionalFormatting>
  <conditionalFormatting sqref="AU283">
    <cfRule type="containsBlanks" dxfId="697" priority="560">
      <formula>LEN(TRIM(AU283))=0</formula>
    </cfRule>
  </conditionalFormatting>
  <conditionalFormatting sqref="AW283">
    <cfRule type="containsBlanks" dxfId="696" priority="559">
      <formula>LEN(TRIM(AW283))=0</formula>
    </cfRule>
  </conditionalFormatting>
  <conditionalFormatting sqref="AY283">
    <cfRule type="containsBlanks" dxfId="695" priority="558">
      <formula>LEN(TRIM(AY283))=0</formula>
    </cfRule>
  </conditionalFormatting>
  <conditionalFormatting sqref="BD269">
    <cfRule type="containsBlanks" dxfId="694" priority="590">
      <formula>LEN(TRIM(BD269))=0</formula>
    </cfRule>
  </conditionalFormatting>
  <conditionalFormatting sqref="BF269">
    <cfRule type="containsBlanks" dxfId="693" priority="589">
      <formula>LEN(TRIM(BF269))=0</formula>
    </cfRule>
  </conditionalFormatting>
  <conditionalFormatting sqref="BH269">
    <cfRule type="containsBlanks" dxfId="692" priority="588">
      <formula>LEN(TRIM(BH269))=0</formula>
    </cfRule>
  </conditionalFormatting>
  <conditionalFormatting sqref="BK269">
    <cfRule type="containsBlanks" dxfId="691" priority="587">
      <formula>LEN(TRIM(BK269))=0</formula>
    </cfRule>
  </conditionalFormatting>
  <conditionalFormatting sqref="BM269">
    <cfRule type="containsBlanks" dxfId="690" priority="586">
      <formula>LEN(TRIM(BM269))=0</formula>
    </cfRule>
  </conditionalFormatting>
  <conditionalFormatting sqref="M265">
    <cfRule type="containsBlanks" dxfId="689" priority="673">
      <formula>LEN(TRIM(M265))=0</formula>
    </cfRule>
  </conditionalFormatting>
  <conditionalFormatting sqref="O265">
    <cfRule type="containsBlanks" dxfId="688" priority="672">
      <formula>LEN(TRIM(O265))=0</formula>
    </cfRule>
  </conditionalFormatting>
  <conditionalFormatting sqref="AG265">
    <cfRule type="containsBlanks" dxfId="687" priority="668">
      <formula>LEN(TRIM(AG265))=0</formula>
    </cfRule>
  </conditionalFormatting>
  <conditionalFormatting sqref="V265">
    <cfRule type="containsBlanks" dxfId="686" priority="671">
      <formula>LEN(TRIM(V265))=0</formula>
    </cfRule>
  </conditionalFormatting>
  <conditionalFormatting sqref="X265">
    <cfRule type="containsBlanks" dxfId="685" priority="670">
      <formula>LEN(TRIM(X265))=0</formula>
    </cfRule>
  </conditionalFormatting>
  <conditionalFormatting sqref="AE265">
    <cfRule type="containsBlanks" dxfId="684" priority="669">
      <formula>LEN(TRIM(AE265))=0</formula>
    </cfRule>
  </conditionalFormatting>
  <conditionalFormatting sqref="CL265">
    <cfRule type="containsBlanks" dxfId="683" priority="643">
      <formula>LEN(TRIM(CL265))=0</formula>
    </cfRule>
  </conditionalFormatting>
  <conditionalFormatting sqref="CN265">
    <cfRule type="containsBlanks" dxfId="682" priority="642">
      <formula>LEN(TRIM(CN265))=0</formula>
    </cfRule>
  </conditionalFormatting>
  <conditionalFormatting sqref="CP265">
    <cfRule type="containsBlanks" dxfId="681" priority="641">
      <formula>LEN(TRIM(CP265))=0</formula>
    </cfRule>
  </conditionalFormatting>
  <conditionalFormatting sqref="CR265">
    <cfRule type="containsBlanks" dxfId="680" priority="640">
      <formula>LEN(TRIM(CR265))=0</formula>
    </cfRule>
  </conditionalFormatting>
  <conditionalFormatting sqref="AP265">
    <cfRule type="containsBlanks" dxfId="679" priority="664">
      <formula>LEN(TRIM(AP265))=0</formula>
    </cfRule>
  </conditionalFormatting>
  <conditionalFormatting sqref="AJ265">
    <cfRule type="containsBlanks" dxfId="678" priority="667">
      <formula>LEN(TRIM(AJ265))=0</formula>
    </cfRule>
  </conditionalFormatting>
  <conditionalFormatting sqref="AN265">
    <cfRule type="containsBlanks" dxfId="677" priority="665">
      <formula>LEN(TRIM(AN265))=0</formula>
    </cfRule>
  </conditionalFormatting>
  <conditionalFormatting sqref="AY265">
    <cfRule type="containsBlanks" dxfId="676" priority="660">
      <formula>LEN(TRIM(AY265))=0</formula>
    </cfRule>
  </conditionalFormatting>
  <conditionalFormatting sqref="AS265">
    <cfRule type="containsBlanks" dxfId="675" priority="663">
      <formula>LEN(TRIM(AS265))=0</formula>
    </cfRule>
  </conditionalFormatting>
  <conditionalFormatting sqref="AU265">
    <cfRule type="containsBlanks" dxfId="674" priority="662">
      <formula>LEN(TRIM(AU265))=0</formula>
    </cfRule>
  </conditionalFormatting>
  <conditionalFormatting sqref="AW265">
    <cfRule type="containsBlanks" dxfId="673" priority="661">
      <formula>LEN(TRIM(AW265))=0</formula>
    </cfRule>
  </conditionalFormatting>
  <conditionalFormatting sqref="BH265">
    <cfRule type="containsBlanks" dxfId="672" priority="656">
      <formula>LEN(TRIM(BH265))=0</formula>
    </cfRule>
  </conditionalFormatting>
  <conditionalFormatting sqref="BB265">
    <cfRule type="containsBlanks" dxfId="671" priority="659">
      <formula>LEN(TRIM(BB265))=0</formula>
    </cfRule>
  </conditionalFormatting>
  <conditionalFormatting sqref="BD265">
    <cfRule type="containsBlanks" dxfId="670" priority="658">
      <formula>LEN(TRIM(BD265))=0</formula>
    </cfRule>
  </conditionalFormatting>
  <conditionalFormatting sqref="BF265">
    <cfRule type="containsBlanks" dxfId="669" priority="657">
      <formula>LEN(TRIM(BF265))=0</formula>
    </cfRule>
  </conditionalFormatting>
  <conditionalFormatting sqref="BQ265">
    <cfRule type="containsBlanks" dxfId="668" priority="652">
      <formula>LEN(TRIM(BQ265))=0</formula>
    </cfRule>
  </conditionalFormatting>
  <conditionalFormatting sqref="BK265">
    <cfRule type="containsBlanks" dxfId="667" priority="655">
      <formula>LEN(TRIM(BK265))=0</formula>
    </cfRule>
  </conditionalFormatting>
  <conditionalFormatting sqref="BM265">
    <cfRule type="containsBlanks" dxfId="666" priority="654">
      <formula>LEN(TRIM(BM265))=0</formula>
    </cfRule>
  </conditionalFormatting>
  <conditionalFormatting sqref="BO265">
    <cfRule type="containsBlanks" dxfId="665" priority="653">
      <formula>LEN(TRIM(BO265))=0</formula>
    </cfRule>
  </conditionalFormatting>
  <conditionalFormatting sqref="BZ265">
    <cfRule type="containsBlanks" dxfId="664" priority="648">
      <formula>LEN(TRIM(BZ265))=0</formula>
    </cfRule>
  </conditionalFormatting>
  <conditionalFormatting sqref="BT265">
    <cfRule type="containsBlanks" dxfId="663" priority="651">
      <formula>LEN(TRIM(BT265))=0</formula>
    </cfRule>
  </conditionalFormatting>
  <conditionalFormatting sqref="BV265">
    <cfRule type="containsBlanks" dxfId="662" priority="650">
      <formula>LEN(TRIM(BV265))=0</formula>
    </cfRule>
  </conditionalFormatting>
  <conditionalFormatting sqref="BX265">
    <cfRule type="containsBlanks" dxfId="661" priority="649">
      <formula>LEN(TRIM(BX265))=0</formula>
    </cfRule>
  </conditionalFormatting>
  <conditionalFormatting sqref="CI265">
    <cfRule type="containsBlanks" dxfId="660" priority="644">
      <formula>LEN(TRIM(CI265))=0</formula>
    </cfRule>
  </conditionalFormatting>
  <conditionalFormatting sqref="CC265">
    <cfRule type="containsBlanks" dxfId="659" priority="647">
      <formula>LEN(TRIM(CC265))=0</formula>
    </cfRule>
  </conditionalFormatting>
  <conditionalFormatting sqref="CE265">
    <cfRule type="containsBlanks" dxfId="658" priority="646">
      <formula>LEN(TRIM(CE265))=0</formula>
    </cfRule>
  </conditionalFormatting>
  <conditionalFormatting sqref="CG265">
    <cfRule type="containsBlanks" dxfId="657" priority="645">
      <formula>LEN(TRIM(CG265))=0</formula>
    </cfRule>
  </conditionalFormatting>
  <conditionalFormatting sqref="M266">
    <cfRule type="containsBlanks" dxfId="656" priority="639">
      <formula>LEN(TRIM(M266))=0</formula>
    </cfRule>
  </conditionalFormatting>
  <conditionalFormatting sqref="O266">
    <cfRule type="containsBlanks" dxfId="655" priority="638">
      <formula>LEN(TRIM(O266))=0</formula>
    </cfRule>
  </conditionalFormatting>
  <conditionalFormatting sqref="AG266">
    <cfRule type="containsBlanks" dxfId="654" priority="634">
      <formula>LEN(TRIM(AG266))=0</formula>
    </cfRule>
  </conditionalFormatting>
  <conditionalFormatting sqref="V266">
    <cfRule type="containsBlanks" dxfId="653" priority="637">
      <formula>LEN(TRIM(V266))=0</formula>
    </cfRule>
  </conditionalFormatting>
  <conditionalFormatting sqref="X266">
    <cfRule type="containsBlanks" dxfId="652" priority="636">
      <formula>LEN(TRIM(X266))=0</formula>
    </cfRule>
  </conditionalFormatting>
  <conditionalFormatting sqref="AE266">
    <cfRule type="containsBlanks" dxfId="651" priority="635">
      <formula>LEN(TRIM(AE266))=0</formula>
    </cfRule>
  </conditionalFormatting>
  <conditionalFormatting sqref="CL266">
    <cfRule type="containsBlanks" dxfId="650" priority="609">
      <formula>LEN(TRIM(CL266))=0</formula>
    </cfRule>
  </conditionalFormatting>
  <conditionalFormatting sqref="CN266">
    <cfRule type="containsBlanks" dxfId="649" priority="608">
      <formula>LEN(TRIM(CN266))=0</formula>
    </cfRule>
  </conditionalFormatting>
  <conditionalFormatting sqref="CP266">
    <cfRule type="containsBlanks" dxfId="648" priority="607">
      <formula>LEN(TRIM(CP266))=0</formula>
    </cfRule>
  </conditionalFormatting>
  <conditionalFormatting sqref="CR266">
    <cfRule type="containsBlanks" dxfId="647" priority="606">
      <formula>LEN(TRIM(CR266))=0</formula>
    </cfRule>
  </conditionalFormatting>
  <conditionalFormatting sqref="AP266">
    <cfRule type="containsBlanks" dxfId="646" priority="630">
      <formula>LEN(TRIM(AP266))=0</formula>
    </cfRule>
  </conditionalFormatting>
  <conditionalFormatting sqref="AJ266">
    <cfRule type="containsBlanks" dxfId="645" priority="633">
      <formula>LEN(TRIM(AJ266))=0</formula>
    </cfRule>
  </conditionalFormatting>
  <conditionalFormatting sqref="AN266">
    <cfRule type="containsBlanks" dxfId="644" priority="631">
      <formula>LEN(TRIM(AN266))=0</formula>
    </cfRule>
  </conditionalFormatting>
  <conditionalFormatting sqref="AY266">
    <cfRule type="containsBlanks" dxfId="643" priority="626">
      <formula>LEN(TRIM(AY266))=0</formula>
    </cfRule>
  </conditionalFormatting>
  <conditionalFormatting sqref="AS266">
    <cfRule type="containsBlanks" dxfId="642" priority="629">
      <formula>LEN(TRIM(AS266))=0</formula>
    </cfRule>
  </conditionalFormatting>
  <conditionalFormatting sqref="AU266">
    <cfRule type="containsBlanks" dxfId="641" priority="628">
      <formula>LEN(TRIM(AU266))=0</formula>
    </cfRule>
  </conditionalFormatting>
  <conditionalFormatting sqref="AW266">
    <cfRule type="containsBlanks" dxfId="640" priority="627">
      <formula>LEN(TRIM(AW266))=0</formula>
    </cfRule>
  </conditionalFormatting>
  <conditionalFormatting sqref="BH266">
    <cfRule type="containsBlanks" dxfId="639" priority="622">
      <formula>LEN(TRIM(BH266))=0</formula>
    </cfRule>
  </conditionalFormatting>
  <conditionalFormatting sqref="BB266">
    <cfRule type="containsBlanks" dxfId="638" priority="625">
      <formula>LEN(TRIM(BB266))=0</formula>
    </cfRule>
  </conditionalFormatting>
  <conditionalFormatting sqref="BD266">
    <cfRule type="containsBlanks" dxfId="637" priority="624">
      <formula>LEN(TRIM(BD266))=0</formula>
    </cfRule>
  </conditionalFormatting>
  <conditionalFormatting sqref="BF266">
    <cfRule type="containsBlanks" dxfId="636" priority="623">
      <formula>LEN(TRIM(BF266))=0</formula>
    </cfRule>
  </conditionalFormatting>
  <conditionalFormatting sqref="BQ266">
    <cfRule type="containsBlanks" dxfId="635" priority="618">
      <formula>LEN(TRIM(BQ266))=0</formula>
    </cfRule>
  </conditionalFormatting>
  <conditionalFormatting sqref="BK266">
    <cfRule type="containsBlanks" dxfId="634" priority="621">
      <formula>LEN(TRIM(BK266))=0</formula>
    </cfRule>
  </conditionalFormatting>
  <conditionalFormatting sqref="BM266">
    <cfRule type="containsBlanks" dxfId="633" priority="620">
      <formula>LEN(TRIM(BM266))=0</formula>
    </cfRule>
  </conditionalFormatting>
  <conditionalFormatting sqref="BO266">
    <cfRule type="containsBlanks" dxfId="632" priority="619">
      <formula>LEN(TRIM(BO266))=0</formula>
    </cfRule>
  </conditionalFormatting>
  <conditionalFormatting sqref="BZ266">
    <cfRule type="containsBlanks" dxfId="631" priority="614">
      <formula>LEN(TRIM(BZ266))=0</formula>
    </cfRule>
  </conditionalFormatting>
  <conditionalFormatting sqref="BT266">
    <cfRule type="containsBlanks" dxfId="630" priority="617">
      <formula>LEN(TRIM(BT266))=0</formula>
    </cfRule>
  </conditionalFormatting>
  <conditionalFormatting sqref="BV266">
    <cfRule type="containsBlanks" dxfId="629" priority="616">
      <formula>LEN(TRIM(BV266))=0</formula>
    </cfRule>
  </conditionalFormatting>
  <conditionalFormatting sqref="BX266">
    <cfRule type="containsBlanks" dxfId="628" priority="615">
      <formula>LEN(TRIM(BX266))=0</formula>
    </cfRule>
  </conditionalFormatting>
  <conditionalFormatting sqref="CI266">
    <cfRule type="containsBlanks" dxfId="627" priority="610">
      <formula>LEN(TRIM(CI266))=0</formula>
    </cfRule>
  </conditionalFormatting>
  <conditionalFormatting sqref="CC266">
    <cfRule type="containsBlanks" dxfId="626" priority="613">
      <formula>LEN(TRIM(CC266))=0</formula>
    </cfRule>
  </conditionalFormatting>
  <conditionalFormatting sqref="CE266">
    <cfRule type="containsBlanks" dxfId="625" priority="612">
      <formula>LEN(TRIM(CE266))=0</formula>
    </cfRule>
  </conditionalFormatting>
  <conditionalFormatting sqref="CG266">
    <cfRule type="containsBlanks" dxfId="624" priority="611">
      <formula>LEN(TRIM(CG266))=0</formula>
    </cfRule>
  </conditionalFormatting>
  <conditionalFormatting sqref="M269">
    <cfRule type="containsBlanks" dxfId="623" priority="605">
      <formula>LEN(TRIM(M269))=0</formula>
    </cfRule>
  </conditionalFormatting>
  <conditionalFormatting sqref="O269">
    <cfRule type="containsBlanks" dxfId="622" priority="604">
      <formula>LEN(TRIM(O269))=0</formula>
    </cfRule>
  </conditionalFormatting>
  <conditionalFormatting sqref="AG269">
    <cfRule type="containsBlanks" dxfId="621" priority="600">
      <formula>LEN(TRIM(AG269))=0</formula>
    </cfRule>
  </conditionalFormatting>
  <conditionalFormatting sqref="V269">
    <cfRule type="containsBlanks" dxfId="620" priority="603">
      <formula>LEN(TRIM(V269))=0</formula>
    </cfRule>
  </conditionalFormatting>
  <conditionalFormatting sqref="X269">
    <cfRule type="containsBlanks" dxfId="619" priority="602">
      <formula>LEN(TRIM(X269))=0</formula>
    </cfRule>
  </conditionalFormatting>
  <conditionalFormatting sqref="AE269">
    <cfRule type="containsBlanks" dxfId="618" priority="601">
      <formula>LEN(TRIM(AE269))=0</formula>
    </cfRule>
  </conditionalFormatting>
  <conditionalFormatting sqref="AP269">
    <cfRule type="containsBlanks" dxfId="617" priority="596">
      <formula>LEN(TRIM(AP269))=0</formula>
    </cfRule>
  </conditionalFormatting>
  <conditionalFormatting sqref="AJ269">
    <cfRule type="containsBlanks" dxfId="616" priority="599">
      <formula>LEN(TRIM(AJ269))=0</formula>
    </cfRule>
  </conditionalFormatting>
  <conditionalFormatting sqref="AN269">
    <cfRule type="containsBlanks" dxfId="615" priority="597">
      <formula>LEN(TRIM(AN269))=0</formula>
    </cfRule>
  </conditionalFormatting>
  <conditionalFormatting sqref="AY269">
    <cfRule type="containsBlanks" dxfId="614" priority="592">
      <formula>LEN(TRIM(AY269))=0</formula>
    </cfRule>
  </conditionalFormatting>
  <conditionalFormatting sqref="AS269">
    <cfRule type="containsBlanks" dxfId="613" priority="595">
      <formula>LEN(TRIM(AS269))=0</formula>
    </cfRule>
  </conditionalFormatting>
  <conditionalFormatting sqref="AU269">
    <cfRule type="containsBlanks" dxfId="612" priority="594">
      <formula>LEN(TRIM(AU269))=0</formula>
    </cfRule>
  </conditionalFormatting>
  <conditionalFormatting sqref="AW269">
    <cfRule type="containsBlanks" dxfId="611" priority="593">
      <formula>LEN(TRIM(AW269))=0</formula>
    </cfRule>
  </conditionalFormatting>
  <conditionalFormatting sqref="BB269">
    <cfRule type="containsBlanks" dxfId="610" priority="591">
      <formula>LEN(TRIM(BB269))=0</formula>
    </cfRule>
  </conditionalFormatting>
  <conditionalFormatting sqref="CL283">
    <cfRule type="containsBlanks" dxfId="609" priority="541">
      <formula>LEN(TRIM(CL283))=0</formula>
    </cfRule>
  </conditionalFormatting>
  <conditionalFormatting sqref="CN283">
    <cfRule type="containsBlanks" dxfId="608" priority="540">
      <formula>LEN(TRIM(CN283))=0</formula>
    </cfRule>
  </conditionalFormatting>
  <conditionalFormatting sqref="CP283">
    <cfRule type="containsBlanks" dxfId="607" priority="539">
      <formula>LEN(TRIM(CP283))=0</formula>
    </cfRule>
  </conditionalFormatting>
  <conditionalFormatting sqref="CR283">
    <cfRule type="containsBlanks" dxfId="606" priority="538">
      <formula>LEN(TRIM(CR283))=0</formula>
    </cfRule>
  </conditionalFormatting>
  <conditionalFormatting sqref="BQ283">
    <cfRule type="containsBlanks" dxfId="605" priority="550">
      <formula>LEN(TRIM(BQ283))=0</formula>
    </cfRule>
  </conditionalFormatting>
  <conditionalFormatting sqref="BM283">
    <cfRule type="containsBlanks" dxfId="604" priority="552">
      <formula>LEN(TRIM(BM283))=0</formula>
    </cfRule>
  </conditionalFormatting>
  <conditionalFormatting sqref="BO283">
    <cfRule type="containsBlanks" dxfId="603" priority="551">
      <formula>LEN(TRIM(BO283))=0</formula>
    </cfRule>
  </conditionalFormatting>
  <conditionalFormatting sqref="BZ283">
    <cfRule type="containsBlanks" dxfId="602" priority="546">
      <formula>LEN(TRIM(BZ283))=0</formula>
    </cfRule>
  </conditionalFormatting>
  <conditionalFormatting sqref="BT283">
    <cfRule type="containsBlanks" dxfId="601" priority="549">
      <formula>LEN(TRIM(BT283))=0</formula>
    </cfRule>
  </conditionalFormatting>
  <conditionalFormatting sqref="BV283">
    <cfRule type="containsBlanks" dxfId="600" priority="548">
      <formula>LEN(TRIM(BV283))=0</formula>
    </cfRule>
  </conditionalFormatting>
  <conditionalFormatting sqref="BX283">
    <cfRule type="containsBlanks" dxfId="599" priority="547">
      <formula>LEN(TRIM(BX283))=0</formula>
    </cfRule>
  </conditionalFormatting>
  <conditionalFormatting sqref="CI283">
    <cfRule type="containsBlanks" dxfId="598" priority="542">
      <formula>LEN(TRIM(CI283))=0</formula>
    </cfRule>
  </conditionalFormatting>
  <conditionalFormatting sqref="CC283">
    <cfRule type="containsBlanks" dxfId="597" priority="545">
      <formula>LEN(TRIM(CC283))=0</formula>
    </cfRule>
  </conditionalFormatting>
  <conditionalFormatting sqref="CE283">
    <cfRule type="containsBlanks" dxfId="596" priority="544">
      <formula>LEN(TRIM(CE283))=0</formula>
    </cfRule>
  </conditionalFormatting>
  <conditionalFormatting sqref="CG283">
    <cfRule type="containsBlanks" dxfId="595" priority="543">
      <formula>LEN(TRIM(CG283))=0</formula>
    </cfRule>
  </conditionalFormatting>
  <conditionalFormatting sqref="M286">
    <cfRule type="containsBlanks" dxfId="594" priority="537">
      <formula>LEN(TRIM(M286))=0</formula>
    </cfRule>
  </conditionalFormatting>
  <conditionalFormatting sqref="O286">
    <cfRule type="containsBlanks" dxfId="593" priority="536">
      <formula>LEN(TRIM(O286))=0</formula>
    </cfRule>
  </conditionalFormatting>
  <conditionalFormatting sqref="AG286">
    <cfRule type="containsBlanks" dxfId="592" priority="532">
      <formula>LEN(TRIM(AG286))=0</formula>
    </cfRule>
  </conditionalFormatting>
  <conditionalFormatting sqref="V286">
    <cfRule type="containsBlanks" dxfId="591" priority="535">
      <formula>LEN(TRIM(V286))=0</formula>
    </cfRule>
  </conditionalFormatting>
  <conditionalFormatting sqref="X286">
    <cfRule type="containsBlanks" dxfId="590" priority="534">
      <formula>LEN(TRIM(X286))=0</formula>
    </cfRule>
  </conditionalFormatting>
  <conditionalFormatting sqref="AE286">
    <cfRule type="containsBlanks" dxfId="589" priority="533">
      <formula>LEN(TRIM(AE286))=0</formula>
    </cfRule>
  </conditionalFormatting>
  <conditionalFormatting sqref="CL286">
    <cfRule type="containsBlanks" dxfId="588" priority="507">
      <formula>LEN(TRIM(CL286))=0</formula>
    </cfRule>
  </conditionalFormatting>
  <conditionalFormatting sqref="CN286">
    <cfRule type="containsBlanks" dxfId="587" priority="506">
      <formula>LEN(TRIM(CN286))=0</formula>
    </cfRule>
  </conditionalFormatting>
  <conditionalFormatting sqref="CP286">
    <cfRule type="containsBlanks" dxfId="586" priority="505">
      <formula>LEN(TRIM(CP286))=0</formula>
    </cfRule>
  </conditionalFormatting>
  <conditionalFormatting sqref="CR286">
    <cfRule type="containsBlanks" dxfId="585" priority="504">
      <formula>LEN(TRIM(CR286))=0</formula>
    </cfRule>
  </conditionalFormatting>
  <conditionalFormatting sqref="AP286">
    <cfRule type="containsBlanks" dxfId="584" priority="528">
      <formula>LEN(TRIM(AP286))=0</formula>
    </cfRule>
  </conditionalFormatting>
  <conditionalFormatting sqref="AJ286">
    <cfRule type="containsBlanks" dxfId="583" priority="531">
      <formula>LEN(TRIM(AJ286))=0</formula>
    </cfRule>
  </conditionalFormatting>
  <conditionalFormatting sqref="AN286">
    <cfRule type="containsBlanks" dxfId="582" priority="529">
      <formula>LEN(TRIM(AN286))=0</formula>
    </cfRule>
  </conditionalFormatting>
  <conditionalFormatting sqref="AY286">
    <cfRule type="containsBlanks" dxfId="581" priority="524">
      <formula>LEN(TRIM(AY286))=0</formula>
    </cfRule>
  </conditionalFormatting>
  <conditionalFormatting sqref="AS286">
    <cfRule type="containsBlanks" dxfId="580" priority="527">
      <formula>LEN(TRIM(AS286))=0</formula>
    </cfRule>
  </conditionalFormatting>
  <conditionalFormatting sqref="AU286">
    <cfRule type="containsBlanks" dxfId="579" priority="526">
      <formula>LEN(TRIM(AU286))=0</formula>
    </cfRule>
  </conditionalFormatting>
  <conditionalFormatting sqref="AW286">
    <cfRule type="containsBlanks" dxfId="578" priority="525">
      <formula>LEN(TRIM(AW286))=0</formula>
    </cfRule>
  </conditionalFormatting>
  <conditionalFormatting sqref="BH286">
    <cfRule type="containsBlanks" dxfId="577" priority="520">
      <formula>LEN(TRIM(BH286))=0</formula>
    </cfRule>
  </conditionalFormatting>
  <conditionalFormatting sqref="BB286">
    <cfRule type="containsBlanks" dxfId="576" priority="523">
      <formula>LEN(TRIM(BB286))=0</formula>
    </cfRule>
  </conditionalFormatting>
  <conditionalFormatting sqref="BD286">
    <cfRule type="containsBlanks" dxfId="575" priority="522">
      <formula>LEN(TRIM(BD286))=0</formula>
    </cfRule>
  </conditionalFormatting>
  <conditionalFormatting sqref="BF286">
    <cfRule type="containsBlanks" dxfId="574" priority="521">
      <formula>LEN(TRIM(BF286))=0</formula>
    </cfRule>
  </conditionalFormatting>
  <conditionalFormatting sqref="BQ286">
    <cfRule type="containsBlanks" dxfId="573" priority="516">
      <formula>LEN(TRIM(BQ286))=0</formula>
    </cfRule>
  </conditionalFormatting>
  <conditionalFormatting sqref="BK286">
    <cfRule type="containsBlanks" dxfId="572" priority="519">
      <formula>LEN(TRIM(BK286))=0</formula>
    </cfRule>
  </conditionalFormatting>
  <conditionalFormatting sqref="BM286">
    <cfRule type="containsBlanks" dxfId="571" priority="518">
      <formula>LEN(TRIM(BM286))=0</formula>
    </cfRule>
  </conditionalFormatting>
  <conditionalFormatting sqref="BO286">
    <cfRule type="containsBlanks" dxfId="570" priority="517">
      <formula>LEN(TRIM(BO286))=0</formula>
    </cfRule>
  </conditionalFormatting>
  <conditionalFormatting sqref="BZ286">
    <cfRule type="containsBlanks" dxfId="569" priority="512">
      <formula>LEN(TRIM(BZ286))=0</formula>
    </cfRule>
  </conditionalFormatting>
  <conditionalFormatting sqref="BT286">
    <cfRule type="containsBlanks" dxfId="568" priority="515">
      <formula>LEN(TRIM(BT286))=0</formula>
    </cfRule>
  </conditionalFormatting>
  <conditionalFormatting sqref="BV286">
    <cfRule type="containsBlanks" dxfId="567" priority="514">
      <formula>LEN(TRIM(BV286))=0</formula>
    </cfRule>
  </conditionalFormatting>
  <conditionalFormatting sqref="BX286">
    <cfRule type="containsBlanks" dxfId="566" priority="513">
      <formula>LEN(TRIM(BX286))=0</formula>
    </cfRule>
  </conditionalFormatting>
  <conditionalFormatting sqref="CI286">
    <cfRule type="containsBlanks" dxfId="565" priority="508">
      <formula>LEN(TRIM(CI286))=0</formula>
    </cfRule>
  </conditionalFormatting>
  <conditionalFormatting sqref="CC286">
    <cfRule type="containsBlanks" dxfId="564" priority="511">
      <formula>LEN(TRIM(CC286))=0</formula>
    </cfRule>
  </conditionalFormatting>
  <conditionalFormatting sqref="CE286">
    <cfRule type="containsBlanks" dxfId="563" priority="510">
      <formula>LEN(TRIM(CE286))=0</formula>
    </cfRule>
  </conditionalFormatting>
  <conditionalFormatting sqref="CG286">
    <cfRule type="containsBlanks" dxfId="562" priority="509">
      <formula>LEN(TRIM(CG286))=0</formula>
    </cfRule>
  </conditionalFormatting>
  <conditionalFormatting sqref="I260">
    <cfRule type="containsBlanks" dxfId="561" priority="503">
      <formula>LEN(TRIM(I260))=0</formula>
    </cfRule>
  </conditionalFormatting>
  <conditionalFormatting sqref="T9:T196">
    <cfRule type="containsBlanks" dxfId="560" priority="502">
      <formula>LEN(TRIM(T9))=0</formula>
    </cfRule>
  </conditionalFormatting>
  <conditionalFormatting sqref="T9:T196">
    <cfRule type="cellIs" dxfId="559" priority="499" operator="equal">
      <formula>"ERROR"</formula>
    </cfRule>
    <cfRule type="cellIs" dxfId="558" priority="500" operator="equal">
      <formula>"NA"</formula>
    </cfRule>
    <cfRule type="cellIs" dxfId="557" priority="501" operator="equal">
      <formula>"YES"</formula>
    </cfRule>
  </conditionalFormatting>
  <conditionalFormatting sqref="T56">
    <cfRule type="containsBlanks" dxfId="556" priority="498">
      <formula>LEN(TRIM(T56))=0</formula>
    </cfRule>
  </conditionalFormatting>
  <conditionalFormatting sqref="T56">
    <cfRule type="cellIs" dxfId="555" priority="495" operator="equal">
      <formula>"ERROR"</formula>
    </cfRule>
    <cfRule type="cellIs" dxfId="554" priority="496" operator="equal">
      <formula>"NA"</formula>
    </cfRule>
    <cfRule type="cellIs" dxfId="553" priority="497" operator="equal">
      <formula>"YES"</formula>
    </cfRule>
  </conditionalFormatting>
  <conditionalFormatting sqref="T59 T61">
    <cfRule type="containsBlanks" dxfId="552" priority="494">
      <formula>LEN(TRIM(T59))=0</formula>
    </cfRule>
  </conditionalFormatting>
  <conditionalFormatting sqref="T59 T61">
    <cfRule type="cellIs" dxfId="551" priority="491" operator="equal">
      <formula>"ERROR"</formula>
    </cfRule>
    <cfRule type="cellIs" dxfId="550" priority="492" operator="equal">
      <formula>"NA"</formula>
    </cfRule>
    <cfRule type="cellIs" dxfId="549" priority="493" operator="equal">
      <formula>"YES"</formula>
    </cfRule>
  </conditionalFormatting>
  <conditionalFormatting sqref="T12">
    <cfRule type="containsBlanks" dxfId="548" priority="473">
      <formula>LEN(TRIM(T12))=0</formula>
    </cfRule>
  </conditionalFormatting>
  <conditionalFormatting sqref="T23">
    <cfRule type="containsBlanks" dxfId="547" priority="472">
      <formula>LEN(TRIM(T23))=0</formula>
    </cfRule>
  </conditionalFormatting>
  <conditionalFormatting sqref="T54">
    <cfRule type="containsBlanks" dxfId="546" priority="471">
      <formula>LEN(TRIM(T54))=0</formula>
    </cfRule>
  </conditionalFormatting>
  <conditionalFormatting sqref="T55">
    <cfRule type="containsBlanks" dxfId="545" priority="470">
      <formula>LEN(TRIM(T55))=0</formula>
    </cfRule>
  </conditionalFormatting>
  <conditionalFormatting sqref="T60">
    <cfRule type="containsBlanks" dxfId="544" priority="469">
      <formula>LEN(TRIM(T60))=0</formula>
    </cfRule>
  </conditionalFormatting>
  <conditionalFormatting sqref="T62:T68">
    <cfRule type="containsBlanks" dxfId="543" priority="468">
      <formula>LEN(TRIM(T62))=0</formula>
    </cfRule>
  </conditionalFormatting>
  <conditionalFormatting sqref="T191">
    <cfRule type="containsBlanks" dxfId="542" priority="467">
      <formula>LEN(TRIM(T191))=0</formula>
    </cfRule>
  </conditionalFormatting>
  <conditionalFormatting sqref="I289">
    <cfRule type="containsBlanks" dxfId="541" priority="415">
      <formula>LEN(TRIM(I289))=0</formula>
    </cfRule>
  </conditionalFormatting>
  <conditionalFormatting sqref="AC10:AD196 AC209:AD229 AC239:AD240 AC243:AD245 AC247:AD247 AC263:AD263 AC272:AD273 AC280:AD280">
    <cfRule type="containsBlanks" dxfId="540" priority="448">
      <formula>LEN(TRIM(AC10))=0</formula>
    </cfRule>
  </conditionalFormatting>
  <conditionalFormatting sqref="AC10:AD196 AC209:AD229 AC239:AD240 AC243:AD245 AC247:AD247 AC263:AD263 AC272:AD273 AC280:AD280">
    <cfRule type="cellIs" dxfId="539" priority="445" operator="equal">
      <formula>"ERROR"</formula>
    </cfRule>
    <cfRule type="cellIs" dxfId="538" priority="446" operator="equal">
      <formula>"NA"</formula>
    </cfRule>
    <cfRule type="cellIs" dxfId="537" priority="447" operator="equal">
      <formula>"YES"</formula>
    </cfRule>
  </conditionalFormatting>
  <conditionalFormatting sqref="AC10:AC196 AC209:AC229 AC239:AC240 AC243:AC245 AC247 AC263 AC272:AC273 AC280">
    <cfRule type="containsBlanks" dxfId="536" priority="444">
      <formula>LEN(TRIM(AC10))=0</formula>
    </cfRule>
  </conditionalFormatting>
  <conditionalFormatting sqref="AC10:AC196 AC209:AC229 AC239:AC240 AC243:AC245 AC247 AC263 AC272:AC273 AC280">
    <cfRule type="cellIs" dxfId="535" priority="441" operator="equal">
      <formula>"ERROR"</formula>
    </cfRule>
    <cfRule type="cellIs" dxfId="534" priority="442" operator="equal">
      <formula>"NA"</formula>
    </cfRule>
    <cfRule type="cellIs" dxfId="533" priority="443" operator="equal">
      <formula>"YES"</formula>
    </cfRule>
  </conditionalFormatting>
  <conditionalFormatting sqref="AC9:AD9">
    <cfRule type="containsBlanks" dxfId="532" priority="440">
      <formula>LEN(TRIM(AC9))=0</formula>
    </cfRule>
  </conditionalFormatting>
  <conditionalFormatting sqref="AC9:AD9">
    <cfRule type="cellIs" dxfId="531" priority="437" operator="equal">
      <formula>"ERROR"</formula>
    </cfRule>
    <cfRule type="cellIs" dxfId="530" priority="438" operator="equal">
      <formula>"NA"</formula>
    </cfRule>
    <cfRule type="cellIs" dxfId="529" priority="439" operator="equal">
      <formula>"YES"</formula>
    </cfRule>
  </conditionalFormatting>
  <conditionalFormatting sqref="AC9">
    <cfRule type="containsBlanks" dxfId="528" priority="436">
      <formula>LEN(TRIM(AC9))=0</formula>
    </cfRule>
  </conditionalFormatting>
  <conditionalFormatting sqref="AC9">
    <cfRule type="cellIs" dxfId="527" priority="433" operator="equal">
      <formula>"ERROR"</formula>
    </cfRule>
    <cfRule type="cellIs" dxfId="526" priority="434" operator="equal">
      <formula>"NA"</formula>
    </cfRule>
    <cfRule type="cellIs" dxfId="525" priority="435" operator="equal">
      <formula>"YES"</formula>
    </cfRule>
  </conditionalFormatting>
  <conditionalFormatting sqref="F290:G290">
    <cfRule type="containsBlanks" dxfId="524" priority="432">
      <formula>LEN(TRIM(F290))=0</formula>
    </cfRule>
  </conditionalFormatting>
  <conditionalFormatting sqref="F18:G18 F20:G39 F42:G42 F50:G61 F68:G69 F71:G86 F93:G93 F98:G136 F138:G163 F167:G178 F180:G196 F230:G238 F241:G242 F246:G246 F248:G263 F265:G271 F274:G279 F281:G288 F9:G15">
    <cfRule type="containsBlanks" dxfId="523" priority="431">
      <formula>LEN(TRIM(F9))=0</formula>
    </cfRule>
  </conditionalFormatting>
  <conditionalFormatting sqref="F260:G260">
    <cfRule type="containsBlanks" dxfId="522" priority="430">
      <formula>LEN(TRIM(F260))=0</formula>
    </cfRule>
  </conditionalFormatting>
  <conditionalFormatting sqref="H290">
    <cfRule type="containsBlanks" dxfId="521" priority="429">
      <formula>LEN(TRIM(H290))=0</formula>
    </cfRule>
  </conditionalFormatting>
  <conditionalFormatting sqref="H9:H196">
    <cfRule type="containsBlanks" dxfId="520" priority="428">
      <formula>LEN(TRIM(H9))=0</formula>
    </cfRule>
  </conditionalFormatting>
  <conditionalFormatting sqref="H260">
    <cfRule type="containsBlanks" dxfId="519" priority="427">
      <formula>LEN(TRIM(H260))=0</formula>
    </cfRule>
  </conditionalFormatting>
  <conditionalFormatting sqref="AA289:AB289">
    <cfRule type="containsBlanks" dxfId="518" priority="425">
      <formula>LEN(TRIM(AA289))=0</formula>
    </cfRule>
  </conditionalFormatting>
  <conditionalFormatting sqref="X289 CR289 CP289 CI289 CG289 BZ289 BX289 BQ289 BO289 BH289 BF289 AY289 AW289 AP289 AN289 AG289 AE289 V289 O289 M289">
    <cfRule type="cellIs" dxfId="517" priority="422" operator="equal">
      <formula>"NOK"</formula>
    </cfRule>
    <cfRule type="cellIs" dxfId="516" priority="423" operator="equal">
      <formula>"OK"</formula>
    </cfRule>
  </conditionalFormatting>
  <conditionalFormatting sqref="X289 CR289 CI289 BZ289 BQ289 BH289 AY289 AP289 AG289 O289">
    <cfRule type="cellIs" dxfId="515" priority="420" operator="equal">
      <formula>"STANDBY"</formula>
    </cfRule>
    <cfRule type="cellIs" dxfId="514" priority="421" operator="equal">
      <formula>"DEVIATION"</formula>
    </cfRule>
  </conditionalFormatting>
  <conditionalFormatting sqref="V289:Y289 CP289:CS289 CG289:CJ289 BX289:CA289 BO289:BR289 BF289:BI289 AW289:AZ289 AN289:AQ289 AE289:AH289 M289:P289">
    <cfRule type="expression" dxfId="513" priority="424">
      <formula>AND(#REF!&lt;&gt;"",#REF!="")</formula>
    </cfRule>
  </conditionalFormatting>
  <conditionalFormatting sqref="CL289:CS289 CC289:CJ289 BT289:CA289 BK289:BR289 BB289:BI289 AS289:AZ289 AJ289:AQ289 M289:P289 V289:Y289 AE289:AH289">
    <cfRule type="containsBlanks" dxfId="512" priority="419">
      <formula>LEN(TRIM(M289))=0</formula>
    </cfRule>
  </conditionalFormatting>
  <conditionalFormatting sqref="CN289:CO289 CE289:CF289 BV289:BW289 BM289:BN289 BD289:BE289 AU289:AV289 AL289:AM289">
    <cfRule type="cellIs" dxfId="511" priority="416" operator="equal">
      <formula>"ERROR"</formula>
    </cfRule>
    <cfRule type="cellIs" dxfId="510" priority="417" operator="equal">
      <formula>"NA"</formula>
    </cfRule>
    <cfRule type="cellIs" dxfId="509" priority="418" operator="equal">
      <formula>"YES"</formula>
    </cfRule>
  </conditionalFormatting>
  <conditionalFormatting sqref="L289">
    <cfRule type="containsBlanks" dxfId="508" priority="414">
      <formula>LEN(TRIM(L289))=0</formula>
    </cfRule>
  </conditionalFormatting>
  <conditionalFormatting sqref="K289">
    <cfRule type="containsBlanks" dxfId="507" priority="413">
      <formula>LEN(TRIM(K289))=0</formula>
    </cfRule>
  </conditionalFormatting>
  <conditionalFormatting sqref="S289">
    <cfRule type="containsBlanks" dxfId="506" priority="412">
      <formula>LEN(TRIM(S289))=0</formula>
    </cfRule>
  </conditionalFormatting>
  <conditionalFormatting sqref="R289">
    <cfRule type="containsBlanks" dxfId="505" priority="411">
      <formula>LEN(TRIM(R289))=0</formula>
    </cfRule>
  </conditionalFormatting>
  <conditionalFormatting sqref="AC289:AD289">
    <cfRule type="containsBlanks" dxfId="504" priority="410">
      <formula>LEN(TRIM(AC289))=0</formula>
    </cfRule>
  </conditionalFormatting>
  <conditionalFormatting sqref="AC289:AD289">
    <cfRule type="cellIs" dxfId="503" priority="407" operator="equal">
      <formula>"ERROR"</formula>
    </cfRule>
    <cfRule type="cellIs" dxfId="502" priority="408" operator="equal">
      <formula>"NA"</formula>
    </cfRule>
    <cfRule type="cellIs" dxfId="501" priority="409" operator="equal">
      <formula>"YES"</formula>
    </cfRule>
  </conditionalFormatting>
  <conditionalFormatting sqref="AC289">
    <cfRule type="containsBlanks" dxfId="500" priority="406">
      <formula>LEN(TRIM(AC289))=0</formula>
    </cfRule>
  </conditionalFormatting>
  <conditionalFormatting sqref="AC289">
    <cfRule type="cellIs" dxfId="499" priority="403" operator="equal">
      <formula>"ERROR"</formula>
    </cfRule>
    <cfRule type="cellIs" dxfId="498" priority="404" operator="equal">
      <formula>"NA"</formula>
    </cfRule>
    <cfRule type="cellIs" dxfId="497" priority="405" operator="equal">
      <formula>"YES"</formula>
    </cfRule>
  </conditionalFormatting>
  <conditionalFormatting sqref="F289:G289">
    <cfRule type="containsBlanks" dxfId="496" priority="402">
      <formula>LEN(TRIM(F289))=0</formula>
    </cfRule>
  </conditionalFormatting>
  <conditionalFormatting sqref="H289">
    <cfRule type="containsBlanks" dxfId="495" priority="401">
      <formula>LEN(TRIM(H289))=0</formula>
    </cfRule>
  </conditionalFormatting>
  <conditionalFormatting sqref="F16:F17">
    <cfRule type="containsBlanks" dxfId="494" priority="400">
      <formula>LEN(TRIM(F16))=0</formula>
    </cfRule>
  </conditionalFormatting>
  <conditionalFormatting sqref="I16:I17">
    <cfRule type="containsBlanks" dxfId="493" priority="399">
      <formula>LEN(TRIM(I16))=0</formula>
    </cfRule>
  </conditionalFormatting>
  <conditionalFormatting sqref="F19">
    <cfRule type="containsBlanks" dxfId="492" priority="397">
      <formula>LEN(TRIM(F19))=0</formula>
    </cfRule>
  </conditionalFormatting>
  <conditionalFormatting sqref="I19">
    <cfRule type="containsBlanks" dxfId="491" priority="396">
      <formula>LEN(TRIM(I19))=0</formula>
    </cfRule>
  </conditionalFormatting>
  <conditionalFormatting sqref="F40:F41">
    <cfRule type="containsBlanks" dxfId="490" priority="374">
      <formula>LEN(TRIM(F40))=0</formula>
    </cfRule>
  </conditionalFormatting>
  <conditionalFormatting sqref="I40:I41">
    <cfRule type="containsBlanks" dxfId="489" priority="372">
      <formula>LEN(TRIM(I40))=0</formula>
    </cfRule>
  </conditionalFormatting>
  <conditionalFormatting sqref="F43:F49">
    <cfRule type="containsBlanks" dxfId="488" priority="371">
      <formula>LEN(TRIM(F43))=0</formula>
    </cfRule>
  </conditionalFormatting>
  <conditionalFormatting sqref="I43:I49">
    <cfRule type="containsBlanks" dxfId="487" priority="369">
      <formula>LEN(TRIM(I43))=0</formula>
    </cfRule>
  </conditionalFormatting>
  <conditionalFormatting sqref="F62:F67">
    <cfRule type="containsBlanks" dxfId="486" priority="356">
      <formula>LEN(TRIM(F62))=0</formula>
    </cfRule>
  </conditionalFormatting>
  <conditionalFormatting sqref="I62:I67">
    <cfRule type="containsBlanks" dxfId="485" priority="355">
      <formula>LEN(TRIM(I62))=0</formula>
    </cfRule>
  </conditionalFormatting>
  <conditionalFormatting sqref="F70">
    <cfRule type="containsBlanks" dxfId="484" priority="353">
      <formula>LEN(TRIM(F70))=0</formula>
    </cfRule>
  </conditionalFormatting>
  <conditionalFormatting sqref="I70">
    <cfRule type="containsBlanks" dxfId="483" priority="351">
      <formula>LEN(TRIM(I70))=0</formula>
    </cfRule>
  </conditionalFormatting>
  <conditionalFormatting sqref="F87:F92">
    <cfRule type="containsBlanks" dxfId="482" priority="334">
      <formula>LEN(TRIM(F87))=0</formula>
    </cfRule>
  </conditionalFormatting>
  <conditionalFormatting sqref="I87:I92">
    <cfRule type="containsBlanks" dxfId="481" priority="333">
      <formula>LEN(TRIM(I87))=0</formula>
    </cfRule>
  </conditionalFormatting>
  <conditionalFormatting sqref="F94:F97">
    <cfRule type="containsBlanks" dxfId="480" priority="331">
      <formula>LEN(TRIM(F94))=0</formula>
    </cfRule>
  </conditionalFormatting>
  <conditionalFormatting sqref="I94:I97">
    <cfRule type="containsBlanks" dxfId="479" priority="330">
      <formula>LEN(TRIM(I94))=0</formula>
    </cfRule>
  </conditionalFormatting>
  <conditionalFormatting sqref="F137">
    <cfRule type="containsBlanks" dxfId="478" priority="288">
      <formula>LEN(TRIM(F137))=0</formula>
    </cfRule>
  </conditionalFormatting>
  <conditionalFormatting sqref="I137">
    <cfRule type="containsBlanks" dxfId="477" priority="287">
      <formula>LEN(TRIM(I137))=0</formula>
    </cfRule>
  </conditionalFormatting>
  <conditionalFormatting sqref="F164:F166">
    <cfRule type="containsBlanks" dxfId="476" priority="259">
      <formula>LEN(TRIM(F164))=0</formula>
    </cfRule>
  </conditionalFormatting>
  <conditionalFormatting sqref="I164:I166">
    <cfRule type="containsBlanks" dxfId="475" priority="257">
      <formula>LEN(TRIM(I164))=0</formula>
    </cfRule>
  </conditionalFormatting>
  <conditionalFormatting sqref="F179">
    <cfRule type="containsBlanks" dxfId="474" priority="244">
      <formula>LEN(TRIM(F179))=0</formula>
    </cfRule>
  </conditionalFormatting>
  <conditionalFormatting sqref="I179">
    <cfRule type="containsBlanks" dxfId="473" priority="243">
      <formula>LEN(TRIM(I179))=0</formula>
    </cfRule>
  </conditionalFormatting>
  <conditionalFormatting sqref="M209:P209 AE209:AH209 AN209:AQ209 AW209:AZ209 BF209:BI209 BO209:BR209 BX209:CA209 CG209:CJ209 CP209:CS209 V209:Y209">
    <cfRule type="expression" dxfId="472" priority="212">
      <formula>AND(#REF!&lt;&gt;"",#REF!="")</formula>
    </cfRule>
  </conditionalFormatting>
  <conditionalFormatting sqref="AE209:AH209 T209:Y209 M209:P209 AJ209:AK209 AS209:AZ209 BB209:BI209 BK209:BR209 BT209:CA209 CC209:CJ209 CL209:CS209 AN209:AQ209">
    <cfRule type="containsBlanks" dxfId="471" priority="211">
      <formula>LEN(TRIM(M209))=0</formula>
    </cfRule>
  </conditionalFormatting>
  <conditionalFormatting sqref="T209:U209 AU209:AV209 BD209:BE209 BM209:BN209 BV209:BW209 CE209:CF209 CN209:CO209">
    <cfRule type="cellIs" dxfId="470" priority="208" operator="equal">
      <formula>"ERROR"</formula>
    </cfRule>
    <cfRule type="cellIs" dxfId="469" priority="209" operator="equal">
      <formula>"NA"</formula>
    </cfRule>
    <cfRule type="cellIs" dxfId="468" priority="210" operator="equal">
      <formula>"YES"</formula>
    </cfRule>
  </conditionalFormatting>
  <conditionalFormatting sqref="M210:P224 AE210:AH224 AN210:AQ224 AW210:AZ224 BF210:BI224 BO210:BR224 BX210:CA224 CG210:CJ224 CP210:CS224 V210:Y224">
    <cfRule type="expression" dxfId="467" priority="203">
      <formula>AND(#REF!&lt;&gt;"",#REF!="")</formula>
    </cfRule>
  </conditionalFormatting>
  <conditionalFormatting sqref="AE210:AH224 T210:Y224 M210:P224 AJ210:AK224 AS210:AZ224 BB210:BI224 BK210:BR224 BT210:CA224 CC210:CJ224 CL210:CS224 AN210:AQ224">
    <cfRule type="containsBlanks" dxfId="466" priority="202">
      <formula>LEN(TRIM(M210))=0</formula>
    </cfRule>
  </conditionalFormatting>
  <conditionalFormatting sqref="T210:U224 AU210:AV224 BD210:BE224 BM210:BN224 BV210:BW224 CE210:CF224 CN210:CO224">
    <cfRule type="cellIs" dxfId="465" priority="199" operator="equal">
      <formula>"ERROR"</formula>
    </cfRule>
    <cfRule type="cellIs" dxfId="464" priority="200" operator="equal">
      <formula>"NA"</formula>
    </cfRule>
    <cfRule type="cellIs" dxfId="463" priority="201" operator="equal">
      <formula>"YES"</formula>
    </cfRule>
  </conditionalFormatting>
  <conditionalFormatting sqref="M229:P229 AE229:AH229 AN229:AQ229 AW229:AZ229 BF229:BI229 BO229:BR229 BX229:CA229 CG229:CJ229 CP229:CS229 V229:Y229">
    <cfRule type="expression" dxfId="462" priority="194">
      <formula>AND(#REF!&lt;&gt;"",#REF!="")</formula>
    </cfRule>
  </conditionalFormatting>
  <conditionalFormatting sqref="AE229:AH229 T229:Y229 M229:P229 AJ229:AK229 AS229:AZ229 BB229:BI229 BK229:BR229 BT229:CA229 CC229:CJ229 CL229:CS229 AN229:AQ229">
    <cfRule type="containsBlanks" dxfId="461" priority="193">
      <formula>LEN(TRIM(M229))=0</formula>
    </cfRule>
  </conditionalFormatting>
  <conditionalFormatting sqref="T229:U229 AU229:AV229 BD229:BE229 BM229:BN229 BV229:BW229 CE229:CF229 CN229:CO229">
    <cfRule type="cellIs" dxfId="460" priority="190" operator="equal">
      <formula>"ERROR"</formula>
    </cfRule>
    <cfRule type="cellIs" dxfId="459" priority="191" operator="equal">
      <formula>"NA"</formula>
    </cfRule>
    <cfRule type="cellIs" dxfId="458" priority="192" operator="equal">
      <formula>"YES"</formula>
    </cfRule>
  </conditionalFormatting>
  <conditionalFormatting sqref="M228:P228 AE228:AH228 AN228:AQ228 AW228:AZ228 BF228:BI228 BO228:BR228 BX228:CA228 CG228:CJ228 CP228:CS228 V228:Y228">
    <cfRule type="expression" dxfId="457" priority="185">
      <formula>AND(#REF!&lt;&gt;"",#REF!="")</formula>
    </cfRule>
  </conditionalFormatting>
  <conditionalFormatting sqref="AE228:AH228 T228:Y228 M228:P228 AJ228:AK228 AS228:AZ228 BB228:BI228 BK228:BR228 BT228:CA228 CC228:CJ228 CL228:CS228 AN228:AQ228">
    <cfRule type="containsBlanks" dxfId="456" priority="184">
      <formula>LEN(TRIM(M228))=0</formula>
    </cfRule>
  </conditionalFormatting>
  <conditionalFormatting sqref="T228:U228 AU228:AV228 BD228:BE228 BM228:BN228 BV228:BW228 CE228:CF228 CN228:CO228">
    <cfRule type="cellIs" dxfId="455" priority="181" operator="equal">
      <formula>"ERROR"</formula>
    </cfRule>
    <cfRule type="cellIs" dxfId="454" priority="182" operator="equal">
      <formula>"NA"</formula>
    </cfRule>
    <cfRule type="cellIs" dxfId="453" priority="183" operator="equal">
      <formula>"YES"</formula>
    </cfRule>
  </conditionalFormatting>
  <conditionalFormatting sqref="M227:P227 AE227:AH227 AN227:AQ227 AW227:AZ227 BF227:BI227 BO227:BR227 BX227:CA227 CG227:CJ227 CP227:CS227 V227:Y227">
    <cfRule type="expression" dxfId="452" priority="176">
      <formula>AND(#REF!&lt;&gt;"",#REF!="")</formula>
    </cfRule>
  </conditionalFormatting>
  <conditionalFormatting sqref="AE227:AH227 T227:Y227 M227:P227 AJ227:AK227 AS227:AZ227 BB227:BI227 BK227:BR227 BT227:CA227 CC227:CJ227 CL227:CS227 AN227:AQ227">
    <cfRule type="containsBlanks" dxfId="451" priority="175">
      <formula>LEN(TRIM(M227))=0</formula>
    </cfRule>
  </conditionalFormatting>
  <conditionalFormatting sqref="T227:U227 AU227:AV227 BD227:BE227 BM227:BN227 BV227:BW227 CE227:CF227 CN227:CO227">
    <cfRule type="cellIs" dxfId="450" priority="172" operator="equal">
      <formula>"ERROR"</formula>
    </cfRule>
    <cfRule type="cellIs" dxfId="449" priority="173" operator="equal">
      <formula>"NA"</formula>
    </cfRule>
    <cfRule type="cellIs" dxfId="448" priority="174" operator="equal">
      <formula>"YES"</formula>
    </cfRule>
  </conditionalFormatting>
  <conditionalFormatting sqref="M226:P226 AE226:AH226 AN226:AQ226 AW226:AZ226 BF226:BI226 BO226:BR226 BX226:CA226 CG226:CJ226 CP226:CS226 V226:Y226">
    <cfRule type="expression" dxfId="447" priority="167">
      <formula>AND(#REF!&lt;&gt;"",#REF!="")</formula>
    </cfRule>
  </conditionalFormatting>
  <conditionalFormatting sqref="AE226:AH226 T226:Y226 M226:P226 AJ226:AK226 AS226:AZ226 BB226:BI226 BK226:BR226 BT226:CA226 CC226:CJ226 CL226:CS226 AN226:AQ226">
    <cfRule type="containsBlanks" dxfId="446" priority="166">
      <formula>LEN(TRIM(M226))=0</formula>
    </cfRule>
  </conditionalFormatting>
  <conditionalFormatting sqref="T226:U226 AU226:AV226 BD226:BE226 BM226:BN226 BV226:BW226 CE226:CF226 CN226:CO226">
    <cfRule type="cellIs" dxfId="445" priority="163" operator="equal">
      <formula>"ERROR"</formula>
    </cfRule>
    <cfRule type="cellIs" dxfId="444" priority="164" operator="equal">
      <formula>"NA"</formula>
    </cfRule>
    <cfRule type="cellIs" dxfId="443" priority="165" operator="equal">
      <formula>"YES"</formula>
    </cfRule>
  </conditionalFormatting>
  <conditionalFormatting sqref="M225:P225 AE225:AH225 AN225:AQ225 AW225:AZ225 BF225:BI225 BO225:BR225 BX225:CA225 CG225:CJ225 CP225:CS225 V225:Y225">
    <cfRule type="expression" dxfId="442" priority="158">
      <formula>AND(#REF!&lt;&gt;"",#REF!="")</formula>
    </cfRule>
  </conditionalFormatting>
  <conditionalFormatting sqref="AE225:AH225 T225:Y225 M225:P225 AJ225:AK225 AS225:AZ225 BB225:BI225 BK225:BR225 BT225:CA225 CC225:CJ225 CL225:CS225 AN225:AQ225">
    <cfRule type="containsBlanks" dxfId="441" priority="157">
      <formula>LEN(TRIM(M225))=0</formula>
    </cfRule>
  </conditionalFormatting>
  <conditionalFormatting sqref="T225:U225 AU225:AV225 BD225:BE225 BM225:BN225 BV225:BW225 CE225:CF225 CN225:CO225">
    <cfRule type="cellIs" dxfId="440" priority="154" operator="equal">
      <formula>"ERROR"</formula>
    </cfRule>
    <cfRule type="cellIs" dxfId="439" priority="155" operator="equal">
      <formula>"NA"</formula>
    </cfRule>
    <cfRule type="cellIs" dxfId="438" priority="156" operator="equal">
      <formula>"YES"</formula>
    </cfRule>
  </conditionalFormatting>
  <conditionalFormatting sqref="F209:F229">
    <cfRule type="containsBlanks" dxfId="437" priority="148">
      <formula>LEN(TRIM(F209))=0</formula>
    </cfRule>
  </conditionalFormatting>
  <conditionalFormatting sqref="I209:I229">
    <cfRule type="containsBlanks" dxfId="436" priority="147">
      <formula>LEN(TRIM(I209))=0</formula>
    </cfRule>
  </conditionalFormatting>
  <conditionalFormatting sqref="F239:F240">
    <cfRule type="containsBlanks" dxfId="435" priority="146">
      <formula>LEN(TRIM(F239))=0</formula>
    </cfRule>
  </conditionalFormatting>
  <conditionalFormatting sqref="I239:I240">
    <cfRule type="containsBlanks" dxfId="434" priority="144">
      <formula>LEN(TRIM(I239))=0</formula>
    </cfRule>
  </conditionalFormatting>
  <conditionalFormatting sqref="F243:F245">
    <cfRule type="containsBlanks" dxfId="433" priority="143">
      <formula>LEN(TRIM(F243))=0</formula>
    </cfRule>
  </conditionalFormatting>
  <conditionalFormatting sqref="I243:I245">
    <cfRule type="containsBlanks" dxfId="432" priority="142">
      <formula>LEN(TRIM(I243))=0</formula>
    </cfRule>
  </conditionalFormatting>
  <conditionalFormatting sqref="F247">
    <cfRule type="containsBlanks" dxfId="431" priority="140">
      <formula>LEN(TRIM(F247))=0</formula>
    </cfRule>
  </conditionalFormatting>
  <conditionalFormatting sqref="I247">
    <cfRule type="containsBlanks" dxfId="430" priority="139">
      <formula>LEN(TRIM(I247))=0</formula>
    </cfRule>
  </conditionalFormatting>
  <conditionalFormatting sqref="F264">
    <cfRule type="containsBlanks" dxfId="429" priority="120">
      <formula>LEN(TRIM(F264))=0</formula>
    </cfRule>
  </conditionalFormatting>
  <conditionalFormatting sqref="F272:F273">
    <cfRule type="containsBlanks" dxfId="428" priority="118">
      <formula>LEN(TRIM(F272))=0</formula>
    </cfRule>
  </conditionalFormatting>
  <conditionalFormatting sqref="I272:I273">
    <cfRule type="containsBlanks" dxfId="427" priority="116">
      <formula>LEN(TRIM(I272))=0</formula>
    </cfRule>
  </conditionalFormatting>
  <conditionalFormatting sqref="H243:H245">
    <cfRule type="containsBlanks" dxfId="426" priority="72">
      <formula>LEN(TRIM(H243))=0</formula>
    </cfRule>
  </conditionalFormatting>
  <conditionalFormatting sqref="F280:G280">
    <cfRule type="containsBlanks" dxfId="425" priority="71">
      <formula>LEN(TRIM(F280))=0</formula>
    </cfRule>
  </conditionalFormatting>
  <conditionalFormatting sqref="U290">
    <cfRule type="containsBlanks" dxfId="424" priority="70">
      <formula>LEN(TRIM(U290))=0</formula>
    </cfRule>
  </conditionalFormatting>
  <conditionalFormatting sqref="T290">
    <cfRule type="containsBlanks" dxfId="423" priority="69">
      <formula>LEN(TRIM(T290))=0</formula>
    </cfRule>
  </conditionalFormatting>
  <conditionalFormatting sqref="U289">
    <cfRule type="containsBlanks" dxfId="422" priority="68">
      <formula>LEN(TRIM(U289))=0</formula>
    </cfRule>
  </conditionalFormatting>
  <conditionalFormatting sqref="T289">
    <cfRule type="containsBlanks" dxfId="421" priority="67">
      <formula>LEN(TRIM(T289))=0</formula>
    </cfRule>
  </conditionalFormatting>
  <conditionalFormatting sqref="AL10:AM196 AL209:AM229 AL239:AM240 AL243:AM245 AL247:AM247 AL263:AM263 AL272:AM273 AL280:AM280">
    <cfRule type="containsBlanks" dxfId="420" priority="66">
      <formula>LEN(TRIM(AL10))=0</formula>
    </cfRule>
  </conditionalFormatting>
  <conditionalFormatting sqref="AL10:AM196 AL209:AM229 AL239:AM240 AL243:AM245 AL247:AM247 AL263:AM263 AL272:AM273 AL280:AM280">
    <cfRule type="cellIs" dxfId="419" priority="63" operator="equal">
      <formula>"ERROR"</formula>
    </cfRule>
    <cfRule type="cellIs" dxfId="418" priority="64" operator="equal">
      <formula>"NA"</formula>
    </cfRule>
    <cfRule type="cellIs" dxfId="417" priority="65" operator="equal">
      <formula>"YES"</formula>
    </cfRule>
  </conditionalFormatting>
  <conditionalFormatting sqref="AL10:AL196 AL209:AL229 AL239:AL240 AL243:AL245 AL247 AL263 AL272:AL273 AL280">
    <cfRule type="containsBlanks" dxfId="416" priority="62">
      <formula>LEN(TRIM(AL10))=0</formula>
    </cfRule>
  </conditionalFormatting>
  <conditionalFormatting sqref="AL10:AL196 AL209:AL229 AL239:AL240 AL243:AL245 AL247 AL263 AL272:AL273 AL280">
    <cfRule type="cellIs" dxfId="415" priority="59" operator="equal">
      <formula>"ERROR"</formula>
    </cfRule>
    <cfRule type="cellIs" dxfId="414" priority="60" operator="equal">
      <formula>"NA"</formula>
    </cfRule>
    <cfRule type="cellIs" dxfId="413" priority="61" operator="equal">
      <formula>"YES"</formula>
    </cfRule>
  </conditionalFormatting>
  <conditionalFormatting sqref="AL9:AM9">
    <cfRule type="containsBlanks" dxfId="412" priority="58">
      <formula>LEN(TRIM(AL9))=0</formula>
    </cfRule>
  </conditionalFormatting>
  <conditionalFormatting sqref="AL9:AM9">
    <cfRule type="cellIs" dxfId="411" priority="55" operator="equal">
      <formula>"ERROR"</formula>
    </cfRule>
    <cfRule type="cellIs" dxfId="410" priority="56" operator="equal">
      <formula>"NA"</formula>
    </cfRule>
    <cfRule type="cellIs" dxfId="409" priority="57" operator="equal">
      <formula>"YES"</formula>
    </cfRule>
  </conditionalFormatting>
  <conditionalFormatting sqref="AL9">
    <cfRule type="containsBlanks" dxfId="408" priority="54">
      <formula>LEN(TRIM(AL9))=0</formula>
    </cfRule>
  </conditionalFormatting>
  <conditionalFormatting sqref="AL9">
    <cfRule type="cellIs" dxfId="407" priority="51" operator="equal">
      <formula>"ERROR"</formula>
    </cfRule>
    <cfRule type="cellIs" dxfId="406" priority="52" operator="equal">
      <formula>"NA"</formula>
    </cfRule>
    <cfRule type="cellIs" dxfId="405" priority="53" operator="equal">
      <formula>"YES"</formula>
    </cfRule>
  </conditionalFormatting>
  <conditionalFormatting sqref="AK66">
    <cfRule type="containsBlanks" dxfId="404" priority="50">
      <formula>LEN(TRIM(AK66))=0</formula>
    </cfRule>
  </conditionalFormatting>
  <conditionalFormatting sqref="AK85">
    <cfRule type="containsBlanks" dxfId="403" priority="49">
      <formula>LEN(TRIM(AK85))=0</formula>
    </cfRule>
  </conditionalFormatting>
  <conditionalFormatting sqref="S9:S196">
    <cfRule type="containsBlanks" dxfId="402" priority="48">
      <formula>LEN(TRIM(S9))=0</formula>
    </cfRule>
  </conditionalFormatting>
  <conditionalFormatting sqref="R9:R196">
    <cfRule type="containsBlanks" dxfId="401" priority="47">
      <formula>LEN(TRIM(R9))=0</formula>
    </cfRule>
  </conditionalFormatting>
  <conditionalFormatting sqref="R12">
    <cfRule type="containsBlanks" dxfId="400" priority="46">
      <formula>LEN(TRIM(R12))=0</formula>
    </cfRule>
  </conditionalFormatting>
  <conditionalFormatting sqref="R269">
    <cfRule type="containsBlanks" dxfId="399" priority="26">
      <formula>LEN(TRIM(R269))=0</formula>
    </cfRule>
  </conditionalFormatting>
  <conditionalFormatting sqref="R208">
    <cfRule type="containsBlanks" dxfId="398" priority="27">
      <formula>LEN(TRIM(R208))=0</formula>
    </cfRule>
  </conditionalFormatting>
  <conditionalFormatting sqref="R278">
    <cfRule type="containsBlanks" dxfId="397" priority="28">
      <formula>LEN(TRIM(R278))=0</formula>
    </cfRule>
  </conditionalFormatting>
  <conditionalFormatting sqref="R23">
    <cfRule type="containsBlanks" dxfId="396" priority="45">
      <formula>LEN(TRIM(R23))=0</formula>
    </cfRule>
  </conditionalFormatting>
  <conditionalFormatting sqref="R54">
    <cfRule type="containsBlanks" dxfId="395" priority="44">
      <formula>LEN(TRIM(R54))=0</formula>
    </cfRule>
  </conditionalFormatting>
  <conditionalFormatting sqref="R55">
    <cfRule type="containsBlanks" dxfId="394" priority="43">
      <formula>LEN(TRIM(R55))=0</formula>
    </cfRule>
  </conditionalFormatting>
  <conditionalFormatting sqref="R60">
    <cfRule type="containsBlanks" dxfId="393" priority="42">
      <formula>LEN(TRIM(R60))=0</formula>
    </cfRule>
  </conditionalFormatting>
  <conditionalFormatting sqref="R62:R68">
    <cfRule type="containsBlanks" dxfId="392" priority="41">
      <formula>LEN(TRIM(R62))=0</formula>
    </cfRule>
  </conditionalFormatting>
  <conditionalFormatting sqref="R191">
    <cfRule type="containsBlanks" dxfId="391" priority="40">
      <formula>LEN(TRIM(R191))=0</formula>
    </cfRule>
  </conditionalFormatting>
  <conditionalFormatting sqref="R232">
    <cfRule type="containsBlanks" dxfId="390" priority="39">
      <formula>LEN(TRIM(R232))=0</formula>
    </cfRule>
  </conditionalFormatting>
  <conditionalFormatting sqref="R234">
    <cfRule type="containsBlanks" dxfId="389" priority="38">
      <formula>LEN(TRIM(R234))=0</formula>
    </cfRule>
  </conditionalFormatting>
  <conditionalFormatting sqref="R237">
    <cfRule type="containsBlanks" dxfId="388" priority="37">
      <formula>LEN(TRIM(R237))=0</formula>
    </cfRule>
  </conditionalFormatting>
  <conditionalFormatting sqref="R239:R241">
    <cfRule type="containsBlanks" dxfId="387" priority="36">
      <formula>LEN(TRIM(R239))=0</formula>
    </cfRule>
  </conditionalFormatting>
  <conditionalFormatting sqref="R249">
    <cfRule type="containsBlanks" dxfId="386" priority="35">
      <formula>LEN(TRIM(R249))=0</formula>
    </cfRule>
  </conditionalFormatting>
  <conditionalFormatting sqref="R258">
    <cfRule type="containsBlanks" dxfId="385" priority="34">
      <formula>LEN(TRIM(R258))=0</formula>
    </cfRule>
  </conditionalFormatting>
  <conditionalFormatting sqref="R259">
    <cfRule type="containsBlanks" dxfId="384" priority="33">
      <formula>LEN(TRIM(R259))=0</formula>
    </cfRule>
  </conditionalFormatting>
  <conditionalFormatting sqref="R265">
    <cfRule type="containsBlanks" dxfId="383" priority="32">
      <formula>LEN(TRIM(R265))=0</formula>
    </cfRule>
  </conditionalFormatting>
  <conditionalFormatting sqref="R266">
    <cfRule type="containsBlanks" dxfId="382" priority="31">
      <formula>LEN(TRIM(R266))=0</formula>
    </cfRule>
  </conditionalFormatting>
  <conditionalFormatting sqref="R283">
    <cfRule type="containsBlanks" dxfId="381" priority="30">
      <formula>LEN(TRIM(R283))=0</formula>
    </cfRule>
  </conditionalFormatting>
  <conditionalFormatting sqref="R286">
    <cfRule type="containsBlanks" dxfId="380" priority="29">
      <formula>LEN(TRIM(R286))=0</formula>
    </cfRule>
  </conditionalFormatting>
  <conditionalFormatting sqref="R262:R263">
    <cfRule type="containsBlanks" dxfId="379" priority="25">
      <formula>LEN(TRIM(R262))=0</formula>
    </cfRule>
  </conditionalFormatting>
  <conditionalFormatting sqref="L9:L196">
    <cfRule type="containsBlanks" dxfId="378" priority="24">
      <formula>LEN(TRIM(L9))=0</formula>
    </cfRule>
  </conditionalFormatting>
  <conditionalFormatting sqref="K9:K196">
    <cfRule type="containsBlanks" dxfId="377" priority="23">
      <formula>LEN(TRIM(K9))=0</formula>
    </cfRule>
  </conditionalFormatting>
  <conditionalFormatting sqref="K12">
    <cfRule type="containsBlanks" dxfId="376" priority="22">
      <formula>LEN(TRIM(K12))=0</formula>
    </cfRule>
  </conditionalFormatting>
  <conditionalFormatting sqref="K269">
    <cfRule type="containsBlanks" dxfId="375" priority="2">
      <formula>LEN(TRIM(K269))=0</formula>
    </cfRule>
  </conditionalFormatting>
  <conditionalFormatting sqref="K208">
    <cfRule type="containsBlanks" dxfId="374" priority="3">
      <formula>LEN(TRIM(K208))=0</formula>
    </cfRule>
  </conditionalFormatting>
  <conditionalFormatting sqref="K278">
    <cfRule type="containsBlanks" dxfId="373" priority="4">
      <formula>LEN(TRIM(K278))=0</formula>
    </cfRule>
  </conditionalFormatting>
  <conditionalFormatting sqref="K23">
    <cfRule type="containsBlanks" dxfId="372" priority="21">
      <formula>LEN(TRIM(K23))=0</formula>
    </cfRule>
  </conditionalFormatting>
  <conditionalFormatting sqref="K54">
    <cfRule type="containsBlanks" dxfId="371" priority="20">
      <formula>LEN(TRIM(K54))=0</formula>
    </cfRule>
  </conditionalFormatting>
  <conditionalFormatting sqref="K55">
    <cfRule type="containsBlanks" dxfId="370" priority="19">
      <formula>LEN(TRIM(K55))=0</formula>
    </cfRule>
  </conditionalFormatting>
  <conditionalFormatting sqref="K60">
    <cfRule type="containsBlanks" dxfId="369" priority="18">
      <formula>LEN(TRIM(K60))=0</formula>
    </cfRule>
  </conditionalFormatting>
  <conditionalFormatting sqref="K62:K68">
    <cfRule type="containsBlanks" dxfId="368" priority="17">
      <formula>LEN(TRIM(K62))=0</formula>
    </cfRule>
  </conditionalFormatting>
  <conditionalFormatting sqref="K191">
    <cfRule type="containsBlanks" dxfId="367" priority="16">
      <formula>LEN(TRIM(K191))=0</formula>
    </cfRule>
  </conditionalFormatting>
  <conditionalFormatting sqref="K232">
    <cfRule type="containsBlanks" dxfId="366" priority="15">
      <formula>LEN(TRIM(K232))=0</formula>
    </cfRule>
  </conditionalFormatting>
  <conditionalFormatting sqref="K234">
    <cfRule type="containsBlanks" dxfId="365" priority="14">
      <formula>LEN(TRIM(K234))=0</formula>
    </cfRule>
  </conditionalFormatting>
  <conditionalFormatting sqref="K237">
    <cfRule type="containsBlanks" dxfId="364" priority="13">
      <formula>LEN(TRIM(K237))=0</formula>
    </cfRule>
  </conditionalFormatting>
  <conditionalFormatting sqref="K239:K241">
    <cfRule type="containsBlanks" dxfId="363" priority="12">
      <formula>LEN(TRIM(K239))=0</formula>
    </cfRule>
  </conditionalFormatting>
  <conditionalFormatting sqref="K249">
    <cfRule type="containsBlanks" dxfId="362" priority="11">
      <formula>LEN(TRIM(K249))=0</formula>
    </cfRule>
  </conditionalFormatting>
  <conditionalFormatting sqref="K258">
    <cfRule type="containsBlanks" dxfId="361" priority="10">
      <formula>LEN(TRIM(K258))=0</formula>
    </cfRule>
  </conditionalFormatting>
  <conditionalFormatting sqref="K259">
    <cfRule type="containsBlanks" dxfId="360" priority="9">
      <formula>LEN(TRIM(K259))=0</formula>
    </cfRule>
  </conditionalFormatting>
  <conditionalFormatting sqref="K265">
    <cfRule type="containsBlanks" dxfId="359" priority="8">
      <formula>LEN(TRIM(K265))=0</formula>
    </cfRule>
  </conditionalFormatting>
  <conditionalFormatting sqref="K266">
    <cfRule type="containsBlanks" dxfId="358" priority="7">
      <formula>LEN(TRIM(K266))=0</formula>
    </cfRule>
  </conditionalFormatting>
  <conditionalFormatting sqref="K283">
    <cfRule type="containsBlanks" dxfId="357" priority="6">
      <formula>LEN(TRIM(K283))=0</formula>
    </cfRule>
  </conditionalFormatting>
  <conditionalFormatting sqref="K286">
    <cfRule type="containsBlanks" dxfId="356" priority="5">
      <formula>LEN(TRIM(K286))=0</formula>
    </cfRule>
  </conditionalFormatting>
  <conditionalFormatting sqref="K262:K263">
    <cfRule type="containsBlanks" dxfId="355" priority="1">
      <formula>LEN(TRIM(K262))=0</formula>
    </cfRule>
  </conditionalFormatting>
  <dataValidations count="2">
    <dataValidation type="list" allowBlank="1" showInputMessage="1" showErrorMessage="1" sqref="AN9:AN1048576 AE9:AE1048576 V9:V1048576 CG9:CG1048576 BX9:BX1048576 CP9:CP1048576 BO9:BO1048576 BF9:BF1048576 AW9:AW1048576 M9:M1048576">
      <formula1>"OK,NOK"</formula1>
    </dataValidation>
    <dataValidation type="list" allowBlank="1" showInputMessage="1" showErrorMessage="1" sqref="AP9:AP1048576 AG9:AG1048576 X9:X1048576 CI9:CI1048576 BZ9:BZ1048576 CR9:CR1048576 BQ9:BQ1048576 BH9:BH1048576 AY9:AY1048576 O9:O1048576">
      <formula1>"OK,NOK,DEVIATION,STANDBY"</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filterMode="1"/>
  <dimension ref="A1:DA182"/>
  <sheetViews>
    <sheetView showGridLines="0" topLeftCell="G1" zoomScale="115" zoomScaleNormal="115" workbookViewId="0">
      <pane xSplit="4" topLeftCell="K1" activePane="topRight" state="frozen"/>
      <selection pane="topRight" activeCell="O164" sqref="O164"/>
    </sheetView>
  </sheetViews>
  <sheetFormatPr defaultColWidth="11.54296875" defaultRowHeight="12.5" outlineLevelCol="2" x14ac:dyDescent="0.25"/>
  <cols>
    <col min="1" max="3" width="11.54296875" style="17" hidden="1" customWidth="1" outlineLevel="1"/>
    <col min="4" max="4" width="2.26953125" style="17" hidden="1" customWidth="1" outlineLevel="1"/>
    <col min="5" max="6" width="11.54296875" style="17" hidden="1" customWidth="1" outlineLevel="1"/>
    <col min="7" max="7" width="13.7265625" style="17" bestFit="1" customWidth="1" collapsed="1"/>
    <col min="8" max="8" width="16.81640625" style="17" customWidth="1" outlineLevel="2"/>
    <col min="9" max="9" width="28.7265625" style="17" customWidth="1"/>
    <col min="10" max="10" width="67.7265625" style="17" customWidth="1"/>
    <col min="11" max="11" width="2.81640625" style="17" customWidth="1"/>
    <col min="12" max="12" width="9.81640625" style="17" customWidth="1"/>
    <col min="13" max="13" width="13" style="17" customWidth="1"/>
    <col min="14" max="14" width="14.1796875" style="48" customWidth="1" outlineLevel="1"/>
    <col min="15" max="15" width="23.81640625" style="49" customWidth="1" outlineLevel="1"/>
    <col min="16" max="16" width="11.453125" style="48" customWidth="1" outlineLevel="1"/>
    <col min="17" max="17" width="23.453125" style="49" customWidth="1" outlineLevel="1"/>
    <col min="18" max="18" width="2.7265625" style="17" customWidth="1"/>
    <col min="19" max="19" width="10.54296875" style="17" customWidth="1"/>
    <col min="20" max="20" width="13.26953125" style="17" customWidth="1"/>
    <col min="21" max="22" width="13.453125" style="17" hidden="1" customWidth="1" outlineLevel="1"/>
    <col min="23" max="23" width="12" style="48" hidden="1" customWidth="1" outlineLevel="1"/>
    <col min="24" max="24" width="28.81640625" style="49" hidden="1" customWidth="1" outlineLevel="1"/>
    <col min="25" max="25" width="11.453125" style="48" hidden="1" customWidth="1" outlineLevel="1"/>
    <col min="26" max="26" width="28.81640625" style="49" hidden="1" customWidth="1" outlineLevel="1"/>
    <col min="27" max="27" width="3.54296875" style="17" bestFit="1" customWidth="1" collapsed="1"/>
    <col min="28" max="28" width="9.26953125" style="17" customWidth="1"/>
    <col min="29" max="29" width="13.453125" style="17" customWidth="1"/>
    <col min="30" max="30" width="15.453125" style="17" hidden="1" customWidth="1" outlineLevel="1"/>
    <col min="31" max="31" width="13.81640625" style="17" hidden="1" customWidth="1" outlineLevel="1"/>
    <col min="32" max="32" width="21" style="48" hidden="1" customWidth="1" outlineLevel="1"/>
    <col min="33" max="33" width="28.81640625" style="49" hidden="1" customWidth="1" outlineLevel="1"/>
    <col min="34" max="34" width="21" style="48" hidden="1" customWidth="1" outlineLevel="1"/>
    <col min="35" max="35" width="28.81640625" style="49" hidden="1" customWidth="1" outlineLevel="1"/>
    <col min="36" max="36" width="3.54296875" style="17" customWidth="1" collapsed="1"/>
    <col min="37" max="37" width="9.453125" style="17" customWidth="1"/>
    <col min="38" max="38" width="13.26953125" style="17" customWidth="1"/>
    <col min="39" max="40" width="13.26953125" style="17" hidden="1" customWidth="1" outlineLevel="1"/>
    <col min="41" max="41" width="11.81640625" style="48" hidden="1" customWidth="1" outlineLevel="1"/>
    <col min="42" max="42" width="22.26953125" style="49" hidden="1" customWidth="1" outlineLevel="1"/>
    <col min="43" max="43" width="12" style="48" hidden="1" customWidth="1" outlineLevel="1"/>
    <col min="44" max="44" width="22.26953125" style="49" hidden="1" customWidth="1" outlineLevel="1"/>
    <col min="45" max="45" width="3.26953125" style="17" customWidth="1" collapsed="1"/>
    <col min="46" max="46" width="13.7265625" style="17" bestFit="1" customWidth="1"/>
    <col min="47" max="47" width="16.81640625" style="17" bestFit="1" customWidth="1"/>
    <col min="48" max="48" width="24.54296875" style="17" hidden="1" customWidth="1" outlineLevel="1"/>
    <col min="49" max="49" width="29" style="17" hidden="1" customWidth="1" outlineLevel="1"/>
    <col min="50" max="50" width="21" style="48" hidden="1" customWidth="1" outlineLevel="1"/>
    <col min="51" max="51" width="28.81640625" style="49" hidden="1" customWidth="1" outlineLevel="1"/>
    <col min="52" max="52" width="21" style="48" hidden="1" customWidth="1" outlineLevel="1"/>
    <col min="53" max="53" width="28.81640625" style="49" hidden="1" customWidth="1" outlineLevel="1"/>
    <col min="54" max="54" width="3.26953125" style="17" customWidth="1" collapsed="1"/>
    <col min="55" max="55" width="13.7265625" style="17" bestFit="1" customWidth="1"/>
    <col min="56" max="56" width="16.81640625" style="17" bestFit="1" customWidth="1"/>
    <col min="57" max="57" width="24.54296875" style="17" hidden="1" customWidth="1" outlineLevel="1"/>
    <col min="58" max="58" width="29" style="17" hidden="1" customWidth="1" outlineLevel="1"/>
    <col min="59" max="59" width="21" style="48" hidden="1" customWidth="1" outlineLevel="1"/>
    <col min="60" max="60" width="28.81640625" style="49" hidden="1" customWidth="1" outlineLevel="1"/>
    <col min="61" max="61" width="21" style="48" hidden="1" customWidth="1" outlineLevel="1"/>
    <col min="62" max="62" width="28.81640625" style="49" hidden="1" customWidth="1" outlineLevel="1"/>
    <col min="63" max="63" width="3.26953125" style="17" customWidth="1" collapsed="1"/>
    <col min="64" max="64" width="13.7265625" style="17" bestFit="1" customWidth="1"/>
    <col min="65" max="65" width="16.81640625" style="17" bestFit="1" customWidth="1"/>
    <col min="66" max="66" width="24.54296875" style="17" hidden="1" customWidth="1" outlineLevel="1"/>
    <col min="67" max="67" width="29" style="17" hidden="1" customWidth="1" outlineLevel="1"/>
    <col min="68" max="68" width="21" style="48" hidden="1" customWidth="1" outlineLevel="1"/>
    <col min="69" max="69" width="28.81640625" style="49" hidden="1" customWidth="1" outlineLevel="1"/>
    <col min="70" max="70" width="21" style="48" hidden="1" customWidth="1" outlineLevel="1"/>
    <col min="71" max="71" width="28.81640625" style="49" hidden="1" customWidth="1" outlineLevel="1"/>
    <col min="72" max="72" width="3.26953125" style="17" customWidth="1" collapsed="1"/>
    <col min="73" max="73" width="13.7265625" style="17" bestFit="1" customWidth="1"/>
    <col min="74" max="74" width="16.81640625" style="17" bestFit="1" customWidth="1"/>
    <col min="75" max="75" width="24.54296875" style="17" hidden="1" customWidth="1" outlineLevel="1"/>
    <col min="76" max="76" width="29" style="17" hidden="1" customWidth="1" outlineLevel="1"/>
    <col min="77" max="77" width="21" style="48" hidden="1" customWidth="1" outlineLevel="1"/>
    <col min="78" max="78" width="28.81640625" style="49" hidden="1" customWidth="1" outlineLevel="1"/>
    <col min="79" max="79" width="21" style="48" hidden="1" customWidth="1" outlineLevel="1"/>
    <col min="80" max="80" width="28.81640625" style="49" hidden="1" customWidth="1" outlineLevel="1"/>
    <col min="81" max="81" width="3.26953125" style="17" customWidth="1" collapsed="1"/>
    <col min="82" max="82" width="13.7265625" style="17" bestFit="1" customWidth="1"/>
    <col min="83" max="83" width="16.81640625" style="17" bestFit="1" customWidth="1"/>
    <col min="84" max="84" width="24.54296875" style="17" hidden="1" customWidth="1" outlineLevel="1"/>
    <col min="85" max="85" width="29" style="17" hidden="1" customWidth="1" outlineLevel="1"/>
    <col min="86" max="86" width="21" style="48" hidden="1" customWidth="1" outlineLevel="1"/>
    <col min="87" max="87" width="28.81640625" style="49" hidden="1" customWidth="1" outlineLevel="1"/>
    <col min="88" max="88" width="21" style="48" hidden="1" customWidth="1" outlineLevel="1"/>
    <col min="89" max="89" width="28.81640625" style="49" hidden="1" customWidth="1" outlineLevel="1"/>
    <col min="90" max="90" width="3.26953125" style="17" customWidth="1" collapsed="1"/>
    <col min="91" max="91" width="13.7265625" style="17" bestFit="1" customWidth="1"/>
    <col min="92" max="92" width="16.81640625" style="17" bestFit="1" customWidth="1"/>
    <col min="93" max="93" width="24.54296875" style="17" hidden="1" customWidth="1" outlineLevel="1"/>
    <col min="94" max="94" width="29" style="17" hidden="1" customWidth="1" outlineLevel="1"/>
    <col min="95" max="95" width="21" style="48" hidden="1" customWidth="1" outlineLevel="1"/>
    <col min="96" max="96" width="28.81640625" style="49" hidden="1" customWidth="1" outlineLevel="1"/>
    <col min="97" max="97" width="21" style="48" hidden="1" customWidth="1" outlineLevel="1"/>
    <col min="98" max="98" width="28.81640625" style="49" hidden="1" customWidth="1" outlineLevel="1"/>
    <col min="99" max="99" width="3.26953125" style="17" customWidth="1" collapsed="1"/>
    <col min="100" max="100" width="11.54296875" style="17"/>
    <col min="101" max="101" width="82.81640625" style="17" hidden="1" customWidth="1" outlineLevel="1"/>
    <col min="102" max="104" width="0" style="17" hidden="1" customWidth="1" outlineLevel="1"/>
    <col min="105" max="105" width="11.54296875" style="17" collapsed="1"/>
    <col min="106" max="16384" width="11.54296875" style="17"/>
  </cols>
  <sheetData>
    <row r="1" spans="1:104" ht="27" customHeight="1" thickBot="1" x14ac:dyDescent="0.3">
      <c r="G1" s="422" t="str">
        <f>Documents!B6</f>
        <v>GMSL based LVDS Bi-directional I2C Communication Rules Technical Specification</v>
      </c>
      <c r="H1" s="423"/>
      <c r="I1" s="423"/>
      <c r="J1" s="458"/>
      <c r="K1" s="58"/>
      <c r="L1" s="455" t="s">
        <v>1776</v>
      </c>
      <c r="M1" s="456"/>
      <c r="N1" s="456"/>
      <c r="O1" s="456"/>
      <c r="P1" s="456"/>
      <c r="Q1" s="456"/>
      <c r="R1" s="58"/>
      <c r="S1" s="429" t="s">
        <v>1776</v>
      </c>
      <c r="T1" s="398"/>
      <c r="U1" s="398"/>
      <c r="V1" s="398"/>
      <c r="W1" s="398"/>
      <c r="X1" s="398"/>
      <c r="Y1" s="398"/>
      <c r="Z1" s="398"/>
      <c r="AA1" s="58"/>
      <c r="AB1" s="429" t="s">
        <v>1776</v>
      </c>
      <c r="AC1" s="398"/>
      <c r="AD1" s="398"/>
      <c r="AE1" s="398"/>
      <c r="AF1" s="398"/>
      <c r="AG1" s="398"/>
      <c r="AH1" s="398"/>
      <c r="AI1" s="398"/>
      <c r="AJ1" s="58"/>
      <c r="AK1" s="429" t="s">
        <v>1776</v>
      </c>
      <c r="AL1" s="398"/>
      <c r="AM1" s="398"/>
      <c r="AN1" s="398"/>
      <c r="AO1" s="398"/>
      <c r="AP1" s="398"/>
      <c r="AQ1" s="398"/>
      <c r="AR1" s="398"/>
      <c r="AS1" s="58"/>
      <c r="AT1" s="429" t="s">
        <v>1776</v>
      </c>
      <c r="AU1" s="398"/>
      <c r="AV1" s="398"/>
      <c r="AW1" s="398"/>
      <c r="AX1" s="398"/>
      <c r="AY1" s="398"/>
      <c r="AZ1" s="398"/>
      <c r="BA1" s="398"/>
      <c r="BB1" s="58"/>
      <c r="BC1" s="429" t="s">
        <v>1776</v>
      </c>
      <c r="BD1" s="398"/>
      <c r="BE1" s="398"/>
      <c r="BF1" s="398"/>
      <c r="BG1" s="398"/>
      <c r="BH1" s="398"/>
      <c r="BI1" s="398"/>
      <c r="BJ1" s="398"/>
      <c r="BK1" s="58"/>
      <c r="BL1" s="429" t="s">
        <v>1776</v>
      </c>
      <c r="BM1" s="398"/>
      <c r="BN1" s="398"/>
      <c r="BO1" s="398"/>
      <c r="BP1" s="398"/>
      <c r="BQ1" s="398"/>
      <c r="BR1" s="398"/>
      <c r="BS1" s="398"/>
      <c r="BT1" s="58"/>
      <c r="BU1" s="398" t="s">
        <v>1</v>
      </c>
      <c r="BV1" s="398"/>
      <c r="BW1" s="398"/>
      <c r="BX1" s="398"/>
      <c r="BY1" s="398"/>
      <c r="BZ1" s="398"/>
      <c r="CA1" s="398"/>
      <c r="CB1" s="398"/>
      <c r="CC1" s="58"/>
      <c r="CD1" s="398" t="s">
        <v>1</v>
      </c>
      <c r="CE1" s="398"/>
      <c r="CF1" s="398"/>
      <c r="CG1" s="398"/>
      <c r="CH1" s="398"/>
      <c r="CI1" s="398"/>
      <c r="CJ1" s="398"/>
      <c r="CK1" s="398"/>
      <c r="CL1" s="58"/>
      <c r="CM1" s="398" t="s">
        <v>1</v>
      </c>
      <c r="CN1" s="398"/>
      <c r="CO1" s="398"/>
      <c r="CP1" s="398"/>
      <c r="CQ1" s="398"/>
      <c r="CR1" s="398"/>
      <c r="CS1" s="398"/>
      <c r="CT1" s="398"/>
      <c r="CU1" s="58"/>
    </row>
    <row r="2" spans="1:104" ht="33" customHeight="1" thickBot="1" x14ac:dyDescent="0.35">
      <c r="G2" s="399" t="str">
        <f>'First Page'!K31</f>
        <v>DM17F is an LVDS bi-dir slave node which:
- comply to the Display use case of the LVDS Bi-Dir Technical specification
- has a GMSL3 deserializer
- has a dual connector H-MTD + 6 inputs
- supports a resolution of 2560x1440 pixels at a frequency of 60 frame per second
- has a 24 bits RGB pixel color depth
- has an external power supply and is woken up by a wired interface signal
- supports Daisy Chain
- implements HDCP 2.3
- transmits data over I2C bus at a bit rate of 400 Kbps
- implements reflash request through LVDS Network
- implements functional request through LVDS Network
- implements diagnostic request through LVDS Network
Therefore, the following requirements are applied:</v>
      </c>
      <c r="H2" s="400"/>
      <c r="I2" s="400"/>
      <c r="J2" s="401"/>
      <c r="K2" s="60"/>
      <c r="L2" s="405" t="s">
        <v>2</v>
      </c>
      <c r="M2" s="406"/>
      <c r="N2" s="411" t="s">
        <v>2406</v>
      </c>
      <c r="O2" s="412"/>
      <c r="P2" s="438"/>
      <c r="Q2" s="439"/>
      <c r="R2" s="19"/>
      <c r="S2" s="405" t="s">
        <v>4</v>
      </c>
      <c r="T2" s="406"/>
      <c r="U2" s="414" t="s">
        <v>1769</v>
      </c>
      <c r="V2" s="415"/>
      <c r="W2" s="411" t="s">
        <v>2424</v>
      </c>
      <c r="X2" s="412"/>
      <c r="Y2" s="412"/>
      <c r="Z2" s="413"/>
      <c r="AA2" s="19"/>
      <c r="AB2" s="405" t="s">
        <v>6</v>
      </c>
      <c r="AC2" s="406"/>
      <c r="AD2" s="414" t="s">
        <v>1769</v>
      </c>
      <c r="AE2" s="433"/>
      <c r="AF2" s="411" t="s">
        <v>2380</v>
      </c>
      <c r="AG2" s="412"/>
      <c r="AH2" s="438"/>
      <c r="AI2" s="439"/>
      <c r="AJ2" s="19"/>
      <c r="AK2" s="405" t="s">
        <v>7</v>
      </c>
      <c r="AL2" s="406"/>
      <c r="AM2" s="414" t="s">
        <v>1769</v>
      </c>
      <c r="AN2" s="433"/>
      <c r="AO2" s="411" t="s">
        <v>2380</v>
      </c>
      <c r="AP2" s="412"/>
      <c r="AQ2" s="438"/>
      <c r="AR2" s="439"/>
      <c r="AS2" s="19"/>
      <c r="AT2" s="407" t="s">
        <v>8</v>
      </c>
      <c r="AU2" s="408"/>
      <c r="AV2" s="454" t="s">
        <v>5</v>
      </c>
      <c r="AW2" s="433"/>
      <c r="AX2" s="411" t="s">
        <v>3</v>
      </c>
      <c r="AY2" s="412"/>
      <c r="AZ2" s="438"/>
      <c r="BA2" s="439"/>
      <c r="BB2" s="19"/>
      <c r="BC2" s="407" t="s">
        <v>9</v>
      </c>
      <c r="BD2" s="408"/>
      <c r="BE2" s="454" t="s">
        <v>5</v>
      </c>
      <c r="BF2" s="433"/>
      <c r="BG2" s="411" t="s">
        <v>3</v>
      </c>
      <c r="BH2" s="412"/>
      <c r="BI2" s="438"/>
      <c r="BJ2" s="439"/>
      <c r="BK2" s="19"/>
      <c r="BL2" s="407" t="s">
        <v>10</v>
      </c>
      <c r="BM2" s="408"/>
      <c r="BN2" s="454" t="s">
        <v>5</v>
      </c>
      <c r="BO2" s="433"/>
      <c r="BP2" s="411" t="s">
        <v>3</v>
      </c>
      <c r="BQ2" s="412"/>
      <c r="BR2" s="438"/>
      <c r="BS2" s="439"/>
      <c r="BT2" s="19"/>
      <c r="BU2" s="407" t="s">
        <v>11</v>
      </c>
      <c r="BV2" s="408"/>
      <c r="BW2" s="454" t="s">
        <v>5</v>
      </c>
      <c r="BX2" s="433"/>
      <c r="BY2" s="411" t="s">
        <v>3</v>
      </c>
      <c r="BZ2" s="412"/>
      <c r="CA2" s="438"/>
      <c r="CB2" s="439"/>
      <c r="CC2" s="19"/>
      <c r="CD2" s="407" t="s">
        <v>12</v>
      </c>
      <c r="CE2" s="408"/>
      <c r="CF2" s="454" t="s">
        <v>5</v>
      </c>
      <c r="CG2" s="433"/>
      <c r="CH2" s="411" t="s">
        <v>3</v>
      </c>
      <c r="CI2" s="412"/>
      <c r="CJ2" s="438"/>
      <c r="CK2" s="439"/>
      <c r="CL2" s="19"/>
      <c r="CM2" s="407" t="s">
        <v>13</v>
      </c>
      <c r="CN2" s="408"/>
      <c r="CO2" s="454" t="s">
        <v>5</v>
      </c>
      <c r="CP2" s="433"/>
      <c r="CQ2" s="411" t="s">
        <v>3</v>
      </c>
      <c r="CR2" s="412"/>
      <c r="CS2" s="438"/>
      <c r="CT2" s="439"/>
      <c r="CU2" s="52"/>
    </row>
    <row r="3" spans="1:104" ht="43.15" customHeight="1" x14ac:dyDescent="0.3">
      <c r="G3" s="399"/>
      <c r="H3" s="400"/>
      <c r="I3" s="400"/>
      <c r="J3" s="401"/>
      <c r="K3" s="60"/>
      <c r="L3" s="407"/>
      <c r="M3" s="408"/>
      <c r="N3" s="450" t="s">
        <v>14</v>
      </c>
      <c r="O3" s="451"/>
      <c r="P3" s="452" t="s">
        <v>1771</v>
      </c>
      <c r="Q3" s="453"/>
      <c r="R3" s="19"/>
      <c r="S3" s="407"/>
      <c r="T3" s="408"/>
      <c r="U3" s="416"/>
      <c r="V3" s="417"/>
      <c r="W3" s="444" t="s">
        <v>2420</v>
      </c>
      <c r="X3" s="445"/>
      <c r="Y3" s="446" t="s">
        <v>2421</v>
      </c>
      <c r="Z3" s="447"/>
      <c r="AA3" s="19"/>
      <c r="AB3" s="407"/>
      <c r="AC3" s="408"/>
      <c r="AD3" s="434"/>
      <c r="AE3" s="435"/>
      <c r="AF3" s="448" t="s">
        <v>14</v>
      </c>
      <c r="AG3" s="441"/>
      <c r="AH3" s="449" t="s">
        <v>1771</v>
      </c>
      <c r="AI3" s="443"/>
      <c r="AJ3" s="19"/>
      <c r="AK3" s="407"/>
      <c r="AL3" s="408"/>
      <c r="AM3" s="434"/>
      <c r="AN3" s="435"/>
      <c r="AO3" s="448" t="s">
        <v>14</v>
      </c>
      <c r="AP3" s="441"/>
      <c r="AQ3" s="449" t="s">
        <v>1771</v>
      </c>
      <c r="AR3" s="443"/>
      <c r="AS3" s="19"/>
      <c r="AT3" s="407"/>
      <c r="AU3" s="408"/>
      <c r="AV3" s="434"/>
      <c r="AW3" s="435"/>
      <c r="AX3" s="450" t="s">
        <v>14</v>
      </c>
      <c r="AY3" s="451"/>
      <c r="AZ3" s="452" t="s">
        <v>15</v>
      </c>
      <c r="BA3" s="453"/>
      <c r="BB3" s="19"/>
      <c r="BC3" s="407"/>
      <c r="BD3" s="408"/>
      <c r="BE3" s="434"/>
      <c r="BF3" s="435"/>
      <c r="BG3" s="450" t="s">
        <v>14</v>
      </c>
      <c r="BH3" s="451"/>
      <c r="BI3" s="452" t="s">
        <v>15</v>
      </c>
      <c r="BJ3" s="453"/>
      <c r="BK3" s="19"/>
      <c r="BL3" s="407"/>
      <c r="BM3" s="408"/>
      <c r="BN3" s="434"/>
      <c r="BO3" s="435"/>
      <c r="BP3" s="450" t="s">
        <v>14</v>
      </c>
      <c r="BQ3" s="451"/>
      <c r="BR3" s="452" t="s">
        <v>15</v>
      </c>
      <c r="BS3" s="453"/>
      <c r="BT3" s="19"/>
      <c r="BU3" s="407"/>
      <c r="BV3" s="408"/>
      <c r="BW3" s="434"/>
      <c r="BX3" s="435"/>
      <c r="BY3" s="450" t="s">
        <v>14</v>
      </c>
      <c r="BZ3" s="451"/>
      <c r="CA3" s="452" t="s">
        <v>15</v>
      </c>
      <c r="CB3" s="453"/>
      <c r="CC3" s="19"/>
      <c r="CD3" s="407"/>
      <c r="CE3" s="408"/>
      <c r="CF3" s="434"/>
      <c r="CG3" s="435"/>
      <c r="CH3" s="450" t="s">
        <v>14</v>
      </c>
      <c r="CI3" s="451"/>
      <c r="CJ3" s="452" t="s">
        <v>15</v>
      </c>
      <c r="CK3" s="453"/>
      <c r="CL3" s="19"/>
      <c r="CM3" s="407"/>
      <c r="CN3" s="408"/>
      <c r="CO3" s="434"/>
      <c r="CP3" s="435"/>
      <c r="CQ3" s="450" t="s">
        <v>14</v>
      </c>
      <c r="CR3" s="451"/>
      <c r="CS3" s="452" t="s">
        <v>15</v>
      </c>
      <c r="CT3" s="453"/>
      <c r="CU3" s="52"/>
    </row>
    <row r="4" spans="1:104" ht="30" customHeight="1" x14ac:dyDescent="0.25">
      <c r="G4" s="399"/>
      <c r="H4" s="400"/>
      <c r="I4" s="400"/>
      <c r="J4" s="401"/>
      <c r="K4" s="57"/>
      <c r="L4" s="407"/>
      <c r="M4" s="408"/>
      <c r="N4" s="21">
        <f>COUNTIF(N9:N1048576,"OK")</f>
        <v>69</v>
      </c>
      <c r="O4" s="276" t="s">
        <v>1772</v>
      </c>
      <c r="P4" s="105">
        <f>COUNTIF(P9:P1048576,"OK")</f>
        <v>0</v>
      </c>
      <c r="Q4" s="276" t="s">
        <v>1772</v>
      </c>
      <c r="R4" s="16"/>
      <c r="S4" s="407"/>
      <c r="T4" s="408"/>
      <c r="U4" s="416"/>
      <c r="V4" s="417"/>
      <c r="W4" s="21">
        <f>COUNTIF(W9:W1048576,"OK")</f>
        <v>0</v>
      </c>
      <c r="X4" s="276" t="s">
        <v>1772</v>
      </c>
      <c r="Y4" s="307">
        <f>COUNTIF(Y9:Y1048576,"OK")</f>
        <v>0</v>
      </c>
      <c r="Z4" s="276" t="s">
        <v>2422</v>
      </c>
      <c r="AA4" s="16"/>
      <c r="AB4" s="407"/>
      <c r="AC4" s="408"/>
      <c r="AD4" s="434"/>
      <c r="AE4" s="435"/>
      <c r="AF4" s="21">
        <f>COUNTIF(AF9:AF1048576,"OK")</f>
        <v>0</v>
      </c>
      <c r="AG4" s="276" t="s">
        <v>1772</v>
      </c>
      <c r="AH4" s="105">
        <f>COUNTIF(AH9:AH1048576,"OK")</f>
        <v>0</v>
      </c>
      <c r="AI4" s="276" t="s">
        <v>1772</v>
      </c>
      <c r="AJ4" s="16"/>
      <c r="AK4" s="407"/>
      <c r="AL4" s="408"/>
      <c r="AM4" s="434"/>
      <c r="AN4" s="435"/>
      <c r="AO4" s="21">
        <f>COUNTIF(AO9:AO1048576,"OK")</f>
        <v>0</v>
      </c>
      <c r="AP4" s="276" t="s">
        <v>1772</v>
      </c>
      <c r="AQ4" s="284">
        <f>COUNTIF(AQ9:AQ1048576,"OK")</f>
        <v>0</v>
      </c>
      <c r="AR4" s="276" t="s">
        <v>1772</v>
      </c>
      <c r="AS4" s="16"/>
      <c r="AT4" s="407"/>
      <c r="AU4" s="408"/>
      <c r="AV4" s="434"/>
      <c r="AW4" s="435"/>
      <c r="AX4" s="21">
        <f>COUNTIF(AX9:AX1048576,"OK")</f>
        <v>0</v>
      </c>
      <c r="AY4" s="22" t="s">
        <v>16</v>
      </c>
      <c r="AZ4" s="105">
        <f>COUNTIF(AZ9:AZ1048576,"OK")</f>
        <v>0</v>
      </c>
      <c r="BA4" s="22" t="s">
        <v>16</v>
      </c>
      <c r="BB4" s="16"/>
      <c r="BC4" s="407"/>
      <c r="BD4" s="408"/>
      <c r="BE4" s="434"/>
      <c r="BF4" s="435"/>
      <c r="BG4" s="21">
        <f>COUNTIF(BG9:BG1048576,"OK")</f>
        <v>0</v>
      </c>
      <c r="BH4" s="22" t="s">
        <v>16</v>
      </c>
      <c r="BI4" s="105">
        <f>COUNTIF(BI9:BI1048576,"OK")</f>
        <v>0</v>
      </c>
      <c r="BJ4" s="22" t="s">
        <v>16</v>
      </c>
      <c r="BK4" s="16"/>
      <c r="BL4" s="407"/>
      <c r="BM4" s="408"/>
      <c r="BN4" s="434"/>
      <c r="BO4" s="435"/>
      <c r="BP4" s="21">
        <f>COUNTIF(BP9:BP1048576,"OK")</f>
        <v>0</v>
      </c>
      <c r="BQ4" s="22" t="s">
        <v>16</v>
      </c>
      <c r="BR4" s="105">
        <f>COUNTIF(BR9:BR1048576,"OK")</f>
        <v>0</v>
      </c>
      <c r="BS4" s="22" t="s">
        <v>16</v>
      </c>
      <c r="BT4" s="16"/>
      <c r="BU4" s="407"/>
      <c r="BV4" s="408"/>
      <c r="BW4" s="434"/>
      <c r="BX4" s="435"/>
      <c r="BY4" s="21">
        <f>COUNTIF(BY9:BY1048576,"OK")</f>
        <v>0</v>
      </c>
      <c r="BZ4" s="22" t="s">
        <v>16</v>
      </c>
      <c r="CA4" s="105">
        <f>COUNTIF(CA9:CA1048576,"OK")</f>
        <v>0</v>
      </c>
      <c r="CB4" s="22" t="s">
        <v>16</v>
      </c>
      <c r="CC4" s="16"/>
      <c r="CD4" s="407"/>
      <c r="CE4" s="408"/>
      <c r="CF4" s="434"/>
      <c r="CG4" s="435"/>
      <c r="CH4" s="21">
        <f>COUNTIF(CH9:CH1048576,"OK")</f>
        <v>0</v>
      </c>
      <c r="CI4" s="22" t="s">
        <v>16</v>
      </c>
      <c r="CJ4" s="105">
        <f>COUNTIF(CJ9:CJ1048576,"OK")</f>
        <v>0</v>
      </c>
      <c r="CK4" s="22" t="s">
        <v>16</v>
      </c>
      <c r="CL4" s="16"/>
      <c r="CM4" s="407"/>
      <c r="CN4" s="408"/>
      <c r="CO4" s="434"/>
      <c r="CP4" s="435"/>
      <c r="CQ4" s="21">
        <f>COUNTIF(CQ9:CQ1048576,"OK")</f>
        <v>0</v>
      </c>
      <c r="CR4" s="22" t="s">
        <v>16</v>
      </c>
      <c r="CS4" s="105">
        <f>COUNTIF(CS9:CS1048576,"OK")</f>
        <v>0</v>
      </c>
      <c r="CT4" s="22" t="s">
        <v>16</v>
      </c>
      <c r="CU4" s="51"/>
    </row>
    <row r="5" spans="1:104" ht="35.5" customHeight="1" thickBot="1" x14ac:dyDescent="0.3">
      <c r="G5" s="399"/>
      <c r="H5" s="400"/>
      <c r="I5" s="400"/>
      <c r="J5" s="401"/>
      <c r="K5" s="61"/>
      <c r="L5" s="409"/>
      <c r="M5" s="410"/>
      <c r="N5" s="21">
        <f>COUNTIF(N9:N1048576,"NOK")</f>
        <v>7</v>
      </c>
      <c r="O5" s="276" t="s">
        <v>1773</v>
      </c>
      <c r="P5" s="105">
        <f>COUNTIF(P9:P1048576,"NOK")</f>
        <v>0</v>
      </c>
      <c r="Q5" s="276" t="s">
        <v>1773</v>
      </c>
      <c r="R5" s="23"/>
      <c r="S5" s="409"/>
      <c r="T5" s="410"/>
      <c r="U5" s="416"/>
      <c r="V5" s="417"/>
      <c r="W5" s="21">
        <f>COUNTIF(W9:W1048576,"NOK")</f>
        <v>0</v>
      </c>
      <c r="X5" s="276" t="s">
        <v>1773</v>
      </c>
      <c r="Y5" s="307">
        <f>COUNTIF(Y9:Y1048576,"NOK")</f>
        <v>0</v>
      </c>
      <c r="Z5" s="276" t="s">
        <v>1773</v>
      </c>
      <c r="AA5" s="23"/>
      <c r="AB5" s="407"/>
      <c r="AC5" s="408"/>
      <c r="AD5" s="434"/>
      <c r="AE5" s="435"/>
      <c r="AF5" s="21">
        <f>COUNTIF(AF9:AF1048576,"NOK")</f>
        <v>0</v>
      </c>
      <c r="AG5" s="276" t="s">
        <v>1773</v>
      </c>
      <c r="AH5" s="105">
        <f>COUNTIF(AH9:AH1048576,"NOK")</f>
        <v>0</v>
      </c>
      <c r="AI5" s="276" t="s">
        <v>1773</v>
      </c>
      <c r="AJ5" s="23"/>
      <c r="AK5" s="407"/>
      <c r="AL5" s="408"/>
      <c r="AM5" s="434"/>
      <c r="AN5" s="435"/>
      <c r="AO5" s="21">
        <f>COUNTIF(AO9:AO1048576,"NOK")</f>
        <v>0</v>
      </c>
      <c r="AP5" s="276" t="s">
        <v>1773</v>
      </c>
      <c r="AQ5" s="284">
        <f>COUNTIF(AQ9:AQ1048576,"NOK")</f>
        <v>0</v>
      </c>
      <c r="AR5" s="276" t="s">
        <v>1773</v>
      </c>
      <c r="AS5" s="23"/>
      <c r="AT5" s="407"/>
      <c r="AU5" s="408"/>
      <c r="AV5" s="434"/>
      <c r="AW5" s="435"/>
      <c r="AX5" s="21">
        <f>COUNTIF(AX9:AX1048576,"NOK")</f>
        <v>0</v>
      </c>
      <c r="AY5" s="22" t="s">
        <v>17</v>
      </c>
      <c r="AZ5" s="105">
        <f>COUNTIF(AZ9:AZ1048576,"NOK")</f>
        <v>0</v>
      </c>
      <c r="BA5" s="22" t="s">
        <v>17</v>
      </c>
      <c r="BB5" s="23"/>
      <c r="BC5" s="407"/>
      <c r="BD5" s="408"/>
      <c r="BE5" s="434"/>
      <c r="BF5" s="435"/>
      <c r="BG5" s="21">
        <f>COUNTIF(BG9:BG1048576,"NOK")</f>
        <v>0</v>
      </c>
      <c r="BH5" s="22" t="s">
        <v>17</v>
      </c>
      <c r="BI5" s="105">
        <f>COUNTIF(BI9:BI1048576,"NOK")</f>
        <v>0</v>
      </c>
      <c r="BJ5" s="22" t="s">
        <v>17</v>
      </c>
      <c r="BK5" s="23"/>
      <c r="BL5" s="407"/>
      <c r="BM5" s="408"/>
      <c r="BN5" s="434"/>
      <c r="BO5" s="435"/>
      <c r="BP5" s="21">
        <f>COUNTIF(BP9:BP1048576,"NOK")</f>
        <v>0</v>
      </c>
      <c r="BQ5" s="22" t="s">
        <v>17</v>
      </c>
      <c r="BR5" s="105">
        <f>COUNTIF(BR9:BR1048576,"NOK")</f>
        <v>0</v>
      </c>
      <c r="BS5" s="22" t="s">
        <v>17</v>
      </c>
      <c r="BT5" s="23"/>
      <c r="BU5" s="407"/>
      <c r="BV5" s="408"/>
      <c r="BW5" s="434"/>
      <c r="BX5" s="435"/>
      <c r="BY5" s="21">
        <f>COUNTIF(BY9:BY1048576,"NOK")</f>
        <v>0</v>
      </c>
      <c r="BZ5" s="22" t="s">
        <v>17</v>
      </c>
      <c r="CA5" s="105">
        <f>COUNTIF(CA9:CA1048576,"NOK")</f>
        <v>0</v>
      </c>
      <c r="CB5" s="22" t="s">
        <v>17</v>
      </c>
      <c r="CC5" s="23"/>
      <c r="CD5" s="407"/>
      <c r="CE5" s="408"/>
      <c r="CF5" s="434"/>
      <c r="CG5" s="435"/>
      <c r="CH5" s="21">
        <f>COUNTIF(CH9:CH1048576,"NOK")</f>
        <v>0</v>
      </c>
      <c r="CI5" s="22" t="s">
        <v>17</v>
      </c>
      <c r="CJ5" s="105">
        <f>COUNTIF(CJ9:CJ1048576,"NOK")</f>
        <v>0</v>
      </c>
      <c r="CK5" s="22" t="s">
        <v>17</v>
      </c>
      <c r="CL5" s="23"/>
      <c r="CM5" s="407"/>
      <c r="CN5" s="408"/>
      <c r="CO5" s="434"/>
      <c r="CP5" s="435"/>
      <c r="CQ5" s="21">
        <f>COUNTIF(CQ9:CQ1048576,"NOK")</f>
        <v>0</v>
      </c>
      <c r="CR5" s="22" t="s">
        <v>17</v>
      </c>
      <c r="CS5" s="105">
        <f>COUNTIF(CS9:CS1048576,"NOK")</f>
        <v>0</v>
      </c>
      <c r="CT5" s="22" t="s">
        <v>17</v>
      </c>
      <c r="CU5" s="53"/>
    </row>
    <row r="6" spans="1:104" ht="47.25" customHeight="1" x14ac:dyDescent="0.25">
      <c r="G6" s="399"/>
      <c r="H6" s="400"/>
      <c r="I6" s="400"/>
      <c r="J6" s="401"/>
      <c r="K6" s="61"/>
      <c r="L6" s="420" t="s">
        <v>1770</v>
      </c>
      <c r="M6" s="457"/>
      <c r="N6" s="24" t="s">
        <v>19</v>
      </c>
      <c r="O6" s="22" t="s">
        <v>19</v>
      </c>
      <c r="P6" s="105">
        <f>COUNTIF(P9:P1048576,"DEVIATION")</f>
        <v>0</v>
      </c>
      <c r="Q6" s="276" t="s">
        <v>1774</v>
      </c>
      <c r="R6" s="23"/>
      <c r="S6" s="420" t="s">
        <v>1770</v>
      </c>
      <c r="T6" s="421"/>
      <c r="U6" s="416"/>
      <c r="V6" s="417"/>
      <c r="W6" s="24" t="s">
        <v>19</v>
      </c>
      <c r="X6" s="22" t="s">
        <v>19</v>
      </c>
      <c r="Y6" s="307">
        <f>COUNTIF(Y9:Y1048576,"DEVIATION")</f>
        <v>0</v>
      </c>
      <c r="Z6" s="276" t="s">
        <v>1774</v>
      </c>
      <c r="AA6" s="23"/>
      <c r="AB6" s="420" t="s">
        <v>1770</v>
      </c>
      <c r="AC6" s="421"/>
      <c r="AD6" s="434"/>
      <c r="AE6" s="435"/>
      <c r="AF6" s="24" t="s">
        <v>19</v>
      </c>
      <c r="AG6" s="22" t="s">
        <v>19</v>
      </c>
      <c r="AH6" s="105">
        <f>COUNTIF(AH9:AH1048576,"DEVIATION")</f>
        <v>0</v>
      </c>
      <c r="AI6" s="276" t="s">
        <v>1774</v>
      </c>
      <c r="AJ6" s="23"/>
      <c r="AK6" s="420" t="s">
        <v>1770</v>
      </c>
      <c r="AL6" s="421"/>
      <c r="AM6" s="434"/>
      <c r="AN6" s="435"/>
      <c r="AO6" s="24" t="s">
        <v>19</v>
      </c>
      <c r="AP6" s="22" t="s">
        <v>19</v>
      </c>
      <c r="AQ6" s="284">
        <f>COUNTIF(AQ9:AQ1048576,"DEVIATION")</f>
        <v>0</v>
      </c>
      <c r="AR6" s="276" t="s">
        <v>1774</v>
      </c>
      <c r="AS6" s="23"/>
      <c r="AT6" s="432" t="s">
        <v>18</v>
      </c>
      <c r="AU6" s="457"/>
      <c r="AV6" s="434"/>
      <c r="AW6" s="435"/>
      <c r="AX6" s="24" t="s">
        <v>19</v>
      </c>
      <c r="AY6" s="22" t="s">
        <v>19</v>
      </c>
      <c r="AZ6" s="105">
        <f>COUNTIF(AZ9:AZ1048576,"DEVIATION")</f>
        <v>0</v>
      </c>
      <c r="BA6" s="22" t="s">
        <v>20</v>
      </c>
      <c r="BB6" s="23"/>
      <c r="BC6" s="432" t="s">
        <v>18</v>
      </c>
      <c r="BD6" s="457"/>
      <c r="BE6" s="434"/>
      <c r="BF6" s="435"/>
      <c r="BG6" s="24" t="s">
        <v>19</v>
      </c>
      <c r="BH6" s="22" t="s">
        <v>19</v>
      </c>
      <c r="BI6" s="105">
        <f>COUNTIF(BI9:BI1048576,"DEVIATION")</f>
        <v>0</v>
      </c>
      <c r="BJ6" s="22" t="s">
        <v>20</v>
      </c>
      <c r="BK6" s="23"/>
      <c r="BL6" s="432" t="s">
        <v>18</v>
      </c>
      <c r="BM6" s="457"/>
      <c r="BN6" s="434"/>
      <c r="BO6" s="435"/>
      <c r="BP6" s="24" t="s">
        <v>19</v>
      </c>
      <c r="BQ6" s="22" t="s">
        <v>19</v>
      </c>
      <c r="BR6" s="105">
        <f>COUNTIF(BR9:BR1048576,"DEVIATION")</f>
        <v>0</v>
      </c>
      <c r="BS6" s="22" t="s">
        <v>20</v>
      </c>
      <c r="BT6" s="23"/>
      <c r="BU6" s="432" t="s">
        <v>18</v>
      </c>
      <c r="BV6" s="457"/>
      <c r="BW6" s="434"/>
      <c r="BX6" s="435"/>
      <c r="BY6" s="24" t="s">
        <v>19</v>
      </c>
      <c r="BZ6" s="22" t="s">
        <v>19</v>
      </c>
      <c r="CA6" s="105">
        <f>COUNTIF(CA9:CA1048576,"DEVIATION")</f>
        <v>0</v>
      </c>
      <c r="CB6" s="22" t="s">
        <v>20</v>
      </c>
      <c r="CC6" s="23"/>
      <c r="CD6" s="432" t="s">
        <v>18</v>
      </c>
      <c r="CE6" s="457"/>
      <c r="CF6" s="434"/>
      <c r="CG6" s="435"/>
      <c r="CH6" s="24" t="s">
        <v>19</v>
      </c>
      <c r="CI6" s="22" t="s">
        <v>19</v>
      </c>
      <c r="CJ6" s="105">
        <f>COUNTIF(CJ9:CJ1048576,"DEVIATION")</f>
        <v>0</v>
      </c>
      <c r="CK6" s="22" t="s">
        <v>20</v>
      </c>
      <c r="CL6" s="23"/>
      <c r="CM6" s="432" t="s">
        <v>18</v>
      </c>
      <c r="CN6" s="457"/>
      <c r="CO6" s="434"/>
      <c r="CP6" s="435"/>
      <c r="CQ6" s="24" t="s">
        <v>19</v>
      </c>
      <c r="CR6" s="22" t="s">
        <v>19</v>
      </c>
      <c r="CS6" s="105">
        <f>COUNTIF(CS9:CS1048576,"DEVIATION")</f>
        <v>0</v>
      </c>
      <c r="CT6" s="22" t="s">
        <v>20</v>
      </c>
      <c r="CU6" s="53"/>
    </row>
    <row r="7" spans="1:104" ht="26.5" thickBot="1" x14ac:dyDescent="0.3">
      <c r="G7" s="402"/>
      <c r="H7" s="403"/>
      <c r="I7" s="403"/>
      <c r="J7" s="404"/>
      <c r="K7" s="57"/>
      <c r="L7" s="430" t="s">
        <v>32</v>
      </c>
      <c r="M7" s="431"/>
      <c r="N7" s="24" t="s">
        <v>19</v>
      </c>
      <c r="O7" s="22" t="s">
        <v>19</v>
      </c>
      <c r="P7" s="105">
        <f>COUNTIF(P9:P1048576,"STANDBY")</f>
        <v>0</v>
      </c>
      <c r="Q7" s="276" t="s">
        <v>1775</v>
      </c>
      <c r="R7" s="16"/>
      <c r="S7" s="430"/>
      <c r="T7" s="431"/>
      <c r="U7" s="418"/>
      <c r="V7" s="419"/>
      <c r="W7" s="24" t="s">
        <v>19</v>
      </c>
      <c r="X7" s="22" t="s">
        <v>19</v>
      </c>
      <c r="Y7" s="307">
        <f>COUNTIF(Y9:Y1048576,"STANDBY")</f>
        <v>0</v>
      </c>
      <c r="Z7" s="276" t="s">
        <v>1775</v>
      </c>
      <c r="AA7" s="16"/>
      <c r="AB7" s="430"/>
      <c r="AC7" s="431"/>
      <c r="AD7" s="436"/>
      <c r="AE7" s="437"/>
      <c r="AF7" s="24" t="s">
        <v>19</v>
      </c>
      <c r="AG7" s="22" t="s">
        <v>19</v>
      </c>
      <c r="AH7" s="105">
        <f>COUNTIF(AH9:AH1048576,"STANDBY")</f>
        <v>0</v>
      </c>
      <c r="AI7" s="276" t="s">
        <v>1775</v>
      </c>
      <c r="AJ7" s="16"/>
      <c r="AK7" s="430"/>
      <c r="AL7" s="431"/>
      <c r="AM7" s="436"/>
      <c r="AN7" s="437"/>
      <c r="AO7" s="24" t="s">
        <v>19</v>
      </c>
      <c r="AP7" s="22" t="s">
        <v>19</v>
      </c>
      <c r="AQ7" s="284">
        <f>COUNTIF(AQ9:AQ1048576,"STANDBY")</f>
        <v>0</v>
      </c>
      <c r="AR7" s="276" t="s">
        <v>1775</v>
      </c>
      <c r="AS7" s="16"/>
      <c r="AT7" s="430"/>
      <c r="AU7" s="431"/>
      <c r="AV7" s="436"/>
      <c r="AW7" s="437"/>
      <c r="AX7" s="24" t="s">
        <v>19</v>
      </c>
      <c r="AY7" s="22" t="s">
        <v>19</v>
      </c>
      <c r="AZ7" s="105">
        <f>COUNTIF(AZ9:AZ1048576,"STANDBY")</f>
        <v>0</v>
      </c>
      <c r="BA7" s="22" t="s">
        <v>21</v>
      </c>
      <c r="BB7" s="16"/>
      <c r="BC7" s="430"/>
      <c r="BD7" s="431"/>
      <c r="BE7" s="436"/>
      <c r="BF7" s="437"/>
      <c r="BG7" s="24" t="s">
        <v>19</v>
      </c>
      <c r="BH7" s="22" t="s">
        <v>19</v>
      </c>
      <c r="BI7" s="105">
        <f>COUNTIF(BI9:BI1048576,"STANDBY")</f>
        <v>0</v>
      </c>
      <c r="BJ7" s="22" t="s">
        <v>21</v>
      </c>
      <c r="BK7" s="16"/>
      <c r="BL7" s="430"/>
      <c r="BM7" s="431"/>
      <c r="BN7" s="436"/>
      <c r="BO7" s="437"/>
      <c r="BP7" s="24" t="s">
        <v>19</v>
      </c>
      <c r="BQ7" s="22" t="s">
        <v>19</v>
      </c>
      <c r="BR7" s="105">
        <f>COUNTIF(BR9:BR1048576,"STANDBY")</f>
        <v>0</v>
      </c>
      <c r="BS7" s="22" t="s">
        <v>21</v>
      </c>
      <c r="BT7" s="16"/>
      <c r="BU7" s="430"/>
      <c r="BV7" s="431"/>
      <c r="BW7" s="436"/>
      <c r="BX7" s="437"/>
      <c r="BY7" s="24" t="s">
        <v>19</v>
      </c>
      <c r="BZ7" s="22" t="s">
        <v>19</v>
      </c>
      <c r="CA7" s="105">
        <f>COUNTIF(CA9:CA1048576,"STANDBY")</f>
        <v>0</v>
      </c>
      <c r="CB7" s="22" t="s">
        <v>21</v>
      </c>
      <c r="CC7" s="16"/>
      <c r="CD7" s="430"/>
      <c r="CE7" s="431"/>
      <c r="CF7" s="436"/>
      <c r="CG7" s="437"/>
      <c r="CH7" s="24" t="s">
        <v>19</v>
      </c>
      <c r="CI7" s="22" t="s">
        <v>19</v>
      </c>
      <c r="CJ7" s="105">
        <f>COUNTIF(CJ9:CJ1048576,"STANDBY")</f>
        <v>0</v>
      </c>
      <c r="CK7" s="22" t="s">
        <v>21</v>
      </c>
      <c r="CL7" s="16"/>
      <c r="CM7" s="430"/>
      <c r="CN7" s="431"/>
      <c r="CO7" s="436"/>
      <c r="CP7" s="437"/>
      <c r="CQ7" s="24" t="s">
        <v>19</v>
      </c>
      <c r="CR7" s="22" t="s">
        <v>19</v>
      </c>
      <c r="CS7" s="105">
        <f>COUNTIF(CS9:CS1048576,"STANDBY")</f>
        <v>0</v>
      </c>
      <c r="CT7" s="22" t="s">
        <v>21</v>
      </c>
      <c r="CU7" s="51"/>
    </row>
    <row r="8" spans="1:104" ht="47" thickBot="1" x14ac:dyDescent="0.3">
      <c r="G8" s="156" t="s">
        <v>733</v>
      </c>
      <c r="H8" s="314" t="s">
        <v>1005</v>
      </c>
      <c r="I8" s="156" t="s">
        <v>734</v>
      </c>
      <c r="J8" s="156" t="s">
        <v>735</v>
      </c>
      <c r="K8" s="62"/>
      <c r="L8" s="157" t="s">
        <v>537</v>
      </c>
      <c r="M8" s="158" t="s">
        <v>1766</v>
      </c>
      <c r="N8" s="273" t="s">
        <v>1776</v>
      </c>
      <c r="O8" s="274" t="s">
        <v>1777</v>
      </c>
      <c r="P8" s="275" t="s">
        <v>1778</v>
      </c>
      <c r="Q8" s="274" t="s">
        <v>1777</v>
      </c>
      <c r="R8" s="26"/>
      <c r="S8" s="157" t="s">
        <v>537</v>
      </c>
      <c r="T8" s="158" t="s">
        <v>1766</v>
      </c>
      <c r="U8" s="157" t="s">
        <v>1767</v>
      </c>
      <c r="V8" s="157" t="s">
        <v>2423</v>
      </c>
      <c r="W8" s="273" t="s">
        <v>1776</v>
      </c>
      <c r="X8" s="274" t="s">
        <v>1777</v>
      </c>
      <c r="Y8" s="275" t="s">
        <v>1778</v>
      </c>
      <c r="Z8" s="274" t="s">
        <v>1777</v>
      </c>
      <c r="AA8" s="26"/>
      <c r="AB8" s="157" t="s">
        <v>537</v>
      </c>
      <c r="AC8" s="158" t="s">
        <v>1766</v>
      </c>
      <c r="AD8" s="157" t="s">
        <v>1767</v>
      </c>
      <c r="AE8" s="157" t="s">
        <v>1768</v>
      </c>
      <c r="AF8" s="273" t="s">
        <v>1776</v>
      </c>
      <c r="AG8" s="274" t="s">
        <v>1777</v>
      </c>
      <c r="AH8" s="275" t="s">
        <v>1778</v>
      </c>
      <c r="AI8" s="274" t="s">
        <v>1777</v>
      </c>
      <c r="AJ8" s="62"/>
      <c r="AK8" s="157" t="s">
        <v>537</v>
      </c>
      <c r="AL8" s="158" t="s">
        <v>1766</v>
      </c>
      <c r="AM8" s="157" t="s">
        <v>1767</v>
      </c>
      <c r="AN8" s="157" t="s">
        <v>1768</v>
      </c>
      <c r="AO8" s="273" t="s">
        <v>1776</v>
      </c>
      <c r="AP8" s="274" t="s">
        <v>1777</v>
      </c>
      <c r="AQ8" s="275" t="s">
        <v>1778</v>
      </c>
      <c r="AR8" s="274" t="s">
        <v>1777</v>
      </c>
      <c r="AS8" s="26"/>
      <c r="AT8" s="118" t="s">
        <v>535</v>
      </c>
      <c r="AU8" s="59" t="s">
        <v>22</v>
      </c>
      <c r="AV8" s="27" t="s">
        <v>26</v>
      </c>
      <c r="AW8" s="27" t="s">
        <v>27</v>
      </c>
      <c r="AX8" s="28" t="s">
        <v>23</v>
      </c>
      <c r="AY8" s="29" t="s">
        <v>24</v>
      </c>
      <c r="AZ8" s="30" t="s">
        <v>25</v>
      </c>
      <c r="BA8" s="29" t="s">
        <v>24</v>
      </c>
      <c r="BB8" s="26"/>
      <c r="BC8" s="118" t="s">
        <v>535</v>
      </c>
      <c r="BD8" s="59" t="s">
        <v>22</v>
      </c>
      <c r="BE8" s="27" t="s">
        <v>26</v>
      </c>
      <c r="BF8" s="27" t="s">
        <v>27</v>
      </c>
      <c r="BG8" s="28" t="s">
        <v>23</v>
      </c>
      <c r="BH8" s="29" t="s">
        <v>24</v>
      </c>
      <c r="BI8" s="30" t="s">
        <v>25</v>
      </c>
      <c r="BJ8" s="29" t="s">
        <v>24</v>
      </c>
      <c r="BK8" s="26"/>
      <c r="BL8" s="118" t="s">
        <v>535</v>
      </c>
      <c r="BM8" s="59" t="s">
        <v>22</v>
      </c>
      <c r="BN8" s="27" t="s">
        <v>26</v>
      </c>
      <c r="BO8" s="27" t="s">
        <v>27</v>
      </c>
      <c r="BP8" s="28" t="s">
        <v>23</v>
      </c>
      <c r="BQ8" s="29" t="s">
        <v>24</v>
      </c>
      <c r="BR8" s="30" t="s">
        <v>25</v>
      </c>
      <c r="BS8" s="29" t="s">
        <v>24</v>
      </c>
      <c r="BT8" s="26"/>
      <c r="BU8" s="118" t="s">
        <v>535</v>
      </c>
      <c r="BV8" s="59" t="s">
        <v>22</v>
      </c>
      <c r="BW8" s="27" t="s">
        <v>26</v>
      </c>
      <c r="BX8" s="27" t="s">
        <v>27</v>
      </c>
      <c r="BY8" s="28" t="s">
        <v>23</v>
      </c>
      <c r="BZ8" s="29" t="s">
        <v>24</v>
      </c>
      <c r="CA8" s="30" t="s">
        <v>25</v>
      </c>
      <c r="CB8" s="29" t="s">
        <v>24</v>
      </c>
      <c r="CC8" s="26"/>
      <c r="CD8" s="118" t="s">
        <v>535</v>
      </c>
      <c r="CE8" s="59" t="s">
        <v>22</v>
      </c>
      <c r="CF8" s="27" t="s">
        <v>26</v>
      </c>
      <c r="CG8" s="27" t="s">
        <v>27</v>
      </c>
      <c r="CH8" s="28" t="s">
        <v>23</v>
      </c>
      <c r="CI8" s="29" t="s">
        <v>24</v>
      </c>
      <c r="CJ8" s="30" t="s">
        <v>25</v>
      </c>
      <c r="CK8" s="29" t="s">
        <v>24</v>
      </c>
      <c r="CL8" s="26"/>
      <c r="CM8" s="118" t="s">
        <v>535</v>
      </c>
      <c r="CN8" s="59" t="s">
        <v>22</v>
      </c>
      <c r="CO8" s="27" t="s">
        <v>26</v>
      </c>
      <c r="CP8" s="27" t="s">
        <v>27</v>
      </c>
      <c r="CQ8" s="28" t="s">
        <v>23</v>
      </c>
      <c r="CR8" s="29" t="s">
        <v>24</v>
      </c>
      <c r="CS8" s="30" t="s">
        <v>25</v>
      </c>
      <c r="CT8" s="29" t="s">
        <v>24</v>
      </c>
      <c r="CU8" s="54"/>
      <c r="CW8" s="231" t="s">
        <v>1261</v>
      </c>
      <c r="CZ8" s="237" t="s">
        <v>1201</v>
      </c>
    </row>
    <row r="9" spans="1:104" ht="13" x14ac:dyDescent="0.25">
      <c r="A9" s="17" t="s">
        <v>781</v>
      </c>
      <c r="B9" s="17" t="s">
        <v>910</v>
      </c>
      <c r="C9" s="17" t="s">
        <v>1829</v>
      </c>
      <c r="D9" s="17" t="str">
        <f>RIGHT(H9,1)</f>
        <v>B</v>
      </c>
      <c r="E9" s="17" t="b">
        <f>D9=S9</f>
        <v>0</v>
      </c>
      <c r="F9" s="17" t="b">
        <f>C9=J9</f>
        <v>1</v>
      </c>
      <c r="G9" s="317" t="s">
        <v>1828</v>
      </c>
      <c r="H9" s="323" t="s">
        <v>2206</v>
      </c>
      <c r="I9" s="315" t="s">
        <v>910</v>
      </c>
      <c r="J9" s="147" t="s">
        <v>1829</v>
      </c>
      <c r="K9" s="31"/>
      <c r="L9" s="32" t="s">
        <v>354</v>
      </c>
      <c r="M9" s="90" t="s">
        <v>31</v>
      </c>
      <c r="N9" s="111" t="s">
        <v>2470</v>
      </c>
      <c r="O9" s="112"/>
      <c r="P9" s="113"/>
      <c r="Q9" s="112"/>
      <c r="R9" s="31"/>
      <c r="S9" s="32"/>
      <c r="T9" s="90"/>
      <c r="U9" s="88" t="str">
        <f t="shared" ref="U9:U40" si="0">IF(LEFT(T9,1)&lt;&gt;"x","NA",IF(RIGHT(S9,3)=RIGHT(L9,3),IF(RIGHT(S9,3)&lt;&gt;RIGHT(L9,3),IF(OR(AND(RIGHT(S9,3)=RIGHT(L9,3),T9=M9)),"NO","YES"),"NO"),IF(OR(RIGHT(S9,3)=RIGHT(L9,3)),"ERROR","YES")))</f>
        <v>NA</v>
      </c>
      <c r="V9" s="88" t="str">
        <f t="shared" ref="V9:V40" si="1">IF(LEFT(M9,1)&lt;&gt;LEFT(T9,1),"YES",IF(LEFT(T9,1)="x","NO","NA"))</f>
        <v>YES</v>
      </c>
      <c r="W9" s="111"/>
      <c r="X9" s="112"/>
      <c r="Y9" s="113"/>
      <c r="Z9" s="112"/>
      <c r="AA9" s="31"/>
      <c r="AB9" s="302"/>
      <c r="AC9" s="297"/>
      <c r="AD9" s="88" t="str">
        <f t="shared" ref="AD9" si="2">IF(LEFT(AC9,1)&lt;&gt;"x","NA",IF(RIGHT(AB9,3)=RIGHT(S9,3),IF(RIGHT(AB9,3)&lt;&gt;RIGHT(L9,3),IF(OR(AND(RIGHT(AB9,3)=RIGHT(S9,3),AC9=T9),AND(RIGHT(AB9,3)=RIGHT(L9,3),AC9=M9)),"NO","YES"),"NO"),IF(OR(RIGHT(AB9,3)=RIGHT(S9,3),RIGHT(AB9,3)=RIGHT(L9,3)),"ERROR","YES")))</f>
        <v>NA</v>
      </c>
      <c r="AE9" s="88" t="str">
        <f t="shared" ref="AE9" si="3">IF(LEFT(T9,1)&lt;&gt;LEFT(AC9,1),"YES",IF(LEFT(AC9,1)="x","NO","NA"))</f>
        <v>NA</v>
      </c>
      <c r="AF9" s="111"/>
      <c r="AG9" s="112"/>
      <c r="AH9" s="113"/>
      <c r="AI9" s="112"/>
      <c r="AJ9" s="31"/>
      <c r="AK9" s="294"/>
      <c r="AL9" s="89"/>
      <c r="AM9" s="88" t="str">
        <f t="shared" ref="AM9:AM71" si="4">IF(LEFT(AL9,1)&lt;&gt;"x","NA",IF(RIGHT(AK9,3)=RIGHT(AB9,3),IF(RIGHT(AK9,3)&lt;&gt;RIGHT(U9,3),IF(OR(AND(RIGHT(AK9,3)=RIGHT(AB9,3),AL9=AC9),AND(RIGHT(AK9,3)=RIGHT(U9,3),AL9=V9)),"NO","YES"),"NO"),IF(OR(RIGHT(AK9,3)=RIGHT(AB9,3),RIGHT(AK9,3)=RIGHT(U9,3)),"ERROR","YES")))</f>
        <v>NA</v>
      </c>
      <c r="AN9" s="88" t="str">
        <f t="shared" ref="AN9:AN71" si="5">IF(LEFT(AC9,1)&lt;&gt;LEFT(AL9,1),"YES",IF(LEFT(AL9,1)="x","NO","NA"))</f>
        <v>NA</v>
      </c>
      <c r="AO9" s="111"/>
      <c r="AP9" s="112"/>
      <c r="AQ9" s="113"/>
      <c r="AR9" s="112"/>
      <c r="AS9" s="31"/>
      <c r="AT9" s="32"/>
      <c r="AU9" s="90"/>
      <c r="AV9" s="88"/>
      <c r="AW9" s="88"/>
      <c r="AX9" s="111"/>
      <c r="AY9" s="112"/>
      <c r="AZ9" s="113"/>
      <c r="BA9" s="112"/>
      <c r="BB9" s="31"/>
      <c r="BC9" s="32"/>
      <c r="BD9" s="90"/>
      <c r="BE9" s="88"/>
      <c r="BF9" s="88"/>
      <c r="BG9" s="111"/>
      <c r="BH9" s="112"/>
      <c r="BI9" s="113"/>
      <c r="BJ9" s="112"/>
      <c r="BK9" s="31"/>
      <c r="BL9" s="32"/>
      <c r="BM9" s="90"/>
      <c r="BN9" s="88"/>
      <c r="BO9" s="88"/>
      <c r="BP9" s="111"/>
      <c r="BQ9" s="112"/>
      <c r="BR9" s="113"/>
      <c r="BS9" s="112"/>
      <c r="BT9" s="31"/>
      <c r="BU9" s="32"/>
      <c r="BV9" s="90"/>
      <c r="BW9" s="88"/>
      <c r="BX9" s="88"/>
      <c r="BY9" s="111"/>
      <c r="BZ9" s="112"/>
      <c r="CA9" s="113"/>
      <c r="CB9" s="112"/>
      <c r="CC9" s="31"/>
      <c r="CD9" s="32"/>
      <c r="CE9" s="90"/>
      <c r="CF9" s="88"/>
      <c r="CG9" s="88"/>
      <c r="CH9" s="111"/>
      <c r="CI9" s="112"/>
      <c r="CJ9" s="113"/>
      <c r="CK9" s="112"/>
      <c r="CL9" s="31"/>
      <c r="CM9" s="32"/>
      <c r="CN9" s="90"/>
      <c r="CO9" s="88"/>
      <c r="CP9" s="88"/>
      <c r="CQ9" s="111"/>
      <c r="CR9" s="112"/>
      <c r="CS9" s="113"/>
      <c r="CT9" s="112"/>
      <c r="CU9" s="55"/>
      <c r="CW9" s="230" t="s">
        <v>778</v>
      </c>
      <c r="CZ9" s="226" t="s">
        <v>541</v>
      </c>
    </row>
    <row r="10" spans="1:104" ht="26" x14ac:dyDescent="0.25">
      <c r="A10" s="17" t="s">
        <v>782</v>
      </c>
      <c r="B10" s="17" t="s">
        <v>911</v>
      </c>
      <c r="C10" s="17" t="s">
        <v>909</v>
      </c>
      <c r="D10" s="17" t="str">
        <f t="shared" ref="D10:D72" si="6">RIGHT(H10,1)</f>
        <v>A</v>
      </c>
      <c r="E10" s="17" t="b">
        <f t="shared" ref="E10:E72" si="7">D10=S10</f>
        <v>0</v>
      </c>
      <c r="F10" s="17" t="b">
        <f t="shared" ref="F10:F72" si="8">C10=J10</f>
        <v>1</v>
      </c>
      <c r="G10" s="317" t="s">
        <v>1830</v>
      </c>
      <c r="H10" s="324" t="s">
        <v>2207</v>
      </c>
      <c r="I10" s="315" t="s">
        <v>911</v>
      </c>
      <c r="J10" s="147" t="s">
        <v>909</v>
      </c>
      <c r="K10" s="31"/>
      <c r="L10" s="32" t="s">
        <v>354</v>
      </c>
      <c r="M10" s="90" t="s">
        <v>31</v>
      </c>
      <c r="N10" s="111" t="s">
        <v>2470</v>
      </c>
      <c r="O10" s="112"/>
      <c r="P10" s="113"/>
      <c r="Q10" s="112"/>
      <c r="R10" s="31"/>
      <c r="S10" s="32"/>
      <c r="T10" s="90"/>
      <c r="U10" s="88" t="str">
        <f t="shared" si="0"/>
        <v>NA</v>
      </c>
      <c r="V10" s="88" t="str">
        <f t="shared" si="1"/>
        <v>YES</v>
      </c>
      <c r="W10" s="111"/>
      <c r="X10" s="112"/>
      <c r="Y10" s="113"/>
      <c r="Z10" s="112"/>
      <c r="AA10" s="31"/>
      <c r="AB10" s="302"/>
      <c r="AC10" s="89"/>
      <c r="AD10" s="88" t="str">
        <f t="shared" ref="AD10:AD33" si="9">IF(LEFT(AC10,1)&lt;&gt;"x","NA",IF(RIGHT(AB10,3)=RIGHT(S10,3),IF(RIGHT(AB10,3)&lt;&gt;RIGHT(L10,3),IF(OR(AND(RIGHT(AB10,3)=RIGHT(S10,3),AC10=T10),AND(RIGHT(AB10,3)=RIGHT(L10,3),AC10=M10)),"NO","YES"),"NO"),IF(OR(RIGHT(AB10,3)=RIGHT(S10,3),RIGHT(AB10,3)=RIGHT(L10,3)),"ERROR","YES")))</f>
        <v>NA</v>
      </c>
      <c r="AE10" s="88" t="str">
        <f t="shared" ref="AE10:AE33" si="10">IF(LEFT(T10,1)&lt;&gt;LEFT(AC10,1),"YES",IF(LEFT(AC10,1)="x","NO","NA"))</f>
        <v>NA</v>
      </c>
      <c r="AF10" s="111"/>
      <c r="AG10" s="112"/>
      <c r="AH10" s="113"/>
      <c r="AI10" s="112"/>
      <c r="AJ10" s="31"/>
      <c r="AK10" s="294"/>
      <c r="AL10" s="89"/>
      <c r="AM10" s="88" t="str">
        <f t="shared" si="4"/>
        <v>NA</v>
      </c>
      <c r="AN10" s="88" t="str">
        <f t="shared" si="5"/>
        <v>NA</v>
      </c>
      <c r="AO10" s="111"/>
      <c r="AP10" s="112"/>
      <c r="AQ10" s="113"/>
      <c r="AR10" s="112"/>
      <c r="AS10" s="31"/>
      <c r="AT10" s="32"/>
      <c r="AU10" s="90"/>
      <c r="AV10" s="88"/>
      <c r="AW10" s="88"/>
      <c r="AX10" s="111"/>
      <c r="AY10" s="112"/>
      <c r="AZ10" s="113"/>
      <c r="BA10" s="112"/>
      <c r="BB10" s="31"/>
      <c r="BC10" s="32"/>
      <c r="BD10" s="90"/>
      <c r="BE10" s="88"/>
      <c r="BF10" s="88"/>
      <c r="BG10" s="111"/>
      <c r="BH10" s="112"/>
      <c r="BI10" s="113"/>
      <c r="BJ10" s="112"/>
      <c r="BK10" s="31"/>
      <c r="BL10" s="32"/>
      <c r="BM10" s="90"/>
      <c r="BN10" s="88"/>
      <c r="BO10" s="88"/>
      <c r="BP10" s="111"/>
      <c r="BQ10" s="112"/>
      <c r="BR10" s="113"/>
      <c r="BS10" s="112"/>
      <c r="BT10" s="31"/>
      <c r="BU10" s="32"/>
      <c r="BV10" s="90"/>
      <c r="BW10" s="88"/>
      <c r="BX10" s="88"/>
      <c r="BY10" s="111"/>
      <c r="BZ10" s="112"/>
      <c r="CA10" s="113"/>
      <c r="CB10" s="112"/>
      <c r="CC10" s="31"/>
      <c r="CD10" s="32"/>
      <c r="CE10" s="90"/>
      <c r="CF10" s="88"/>
      <c r="CG10" s="88"/>
      <c r="CH10" s="111"/>
      <c r="CI10" s="112"/>
      <c r="CJ10" s="113"/>
      <c r="CK10" s="112"/>
      <c r="CL10" s="31"/>
      <c r="CM10" s="32"/>
      <c r="CN10" s="90"/>
      <c r="CO10" s="88"/>
      <c r="CP10" s="88"/>
      <c r="CQ10" s="111"/>
      <c r="CR10" s="112"/>
      <c r="CS10" s="113"/>
      <c r="CT10" s="112"/>
      <c r="CU10" s="55"/>
      <c r="CW10" s="230" t="s">
        <v>909</v>
      </c>
      <c r="CZ10" s="226" t="s">
        <v>1589</v>
      </c>
    </row>
    <row r="11" spans="1:104" ht="26" hidden="1" x14ac:dyDescent="0.25">
      <c r="A11" s="17" t="s">
        <v>783</v>
      </c>
      <c r="B11" s="17" t="s">
        <v>912</v>
      </c>
      <c r="C11" s="17" t="s">
        <v>779</v>
      </c>
      <c r="D11" s="17" t="str">
        <f t="shared" si="6"/>
        <v>A</v>
      </c>
      <c r="E11" s="17" t="b">
        <f t="shared" si="7"/>
        <v>0</v>
      </c>
      <c r="F11" s="17" t="b">
        <f t="shared" si="8"/>
        <v>1</v>
      </c>
      <c r="G11" s="317" t="s">
        <v>1831</v>
      </c>
      <c r="H11" s="325" t="s">
        <v>2208</v>
      </c>
      <c r="I11" s="315" t="s">
        <v>912</v>
      </c>
      <c r="J11" s="147" t="s">
        <v>779</v>
      </c>
      <c r="K11" s="31"/>
      <c r="L11" s="32" t="s">
        <v>354</v>
      </c>
      <c r="M11" s="90"/>
      <c r="N11" s="111"/>
      <c r="O11" s="112"/>
      <c r="P11" s="113"/>
      <c r="Q11" s="112"/>
      <c r="R11" s="31"/>
      <c r="S11" s="32"/>
      <c r="T11" s="90"/>
      <c r="U11" s="88" t="str">
        <f t="shared" si="0"/>
        <v>NA</v>
      </c>
      <c r="V11" s="88" t="str">
        <f t="shared" si="1"/>
        <v>NA</v>
      </c>
      <c r="W11" s="111"/>
      <c r="X11" s="112"/>
      <c r="Y11" s="113"/>
      <c r="Z11" s="112"/>
      <c r="AA11" s="31"/>
      <c r="AB11" s="302"/>
      <c r="AC11" s="89"/>
      <c r="AD11" s="88" t="str">
        <f t="shared" si="9"/>
        <v>NA</v>
      </c>
      <c r="AE11" s="88" t="str">
        <f t="shared" si="10"/>
        <v>NA</v>
      </c>
      <c r="AF11" s="111"/>
      <c r="AG11" s="112"/>
      <c r="AH11" s="113"/>
      <c r="AI11" s="112"/>
      <c r="AJ11" s="31"/>
      <c r="AK11" s="294"/>
      <c r="AL11" s="89"/>
      <c r="AM11" s="88" t="str">
        <f t="shared" si="4"/>
        <v>NA</v>
      </c>
      <c r="AN11" s="88" t="str">
        <f t="shared" si="5"/>
        <v>NA</v>
      </c>
      <c r="AO11" s="111"/>
      <c r="AP11" s="112"/>
      <c r="AQ11" s="113"/>
      <c r="AR11" s="112"/>
      <c r="AS11" s="31"/>
      <c r="AT11" s="32"/>
      <c r="AU11" s="90"/>
      <c r="AV11" s="88"/>
      <c r="AW11" s="88"/>
      <c r="AX11" s="111"/>
      <c r="AY11" s="112"/>
      <c r="AZ11" s="113"/>
      <c r="BA11" s="112"/>
      <c r="BB11" s="31"/>
      <c r="BC11" s="32"/>
      <c r="BD11" s="90"/>
      <c r="BE11" s="88"/>
      <c r="BF11" s="88"/>
      <c r="BG11" s="111"/>
      <c r="BH11" s="112"/>
      <c r="BI11" s="113"/>
      <c r="BJ11" s="112"/>
      <c r="BK11" s="31"/>
      <c r="BL11" s="32"/>
      <c r="BM11" s="90"/>
      <c r="BN11" s="88"/>
      <c r="BO11" s="88"/>
      <c r="BP11" s="111"/>
      <c r="BQ11" s="112"/>
      <c r="BR11" s="113"/>
      <c r="BS11" s="112"/>
      <c r="BT11" s="31"/>
      <c r="BU11" s="32"/>
      <c r="BV11" s="90"/>
      <c r="BW11" s="88"/>
      <c r="BX11" s="88"/>
      <c r="BY11" s="111"/>
      <c r="BZ11" s="112"/>
      <c r="CA11" s="113"/>
      <c r="CB11" s="112"/>
      <c r="CC11" s="31"/>
      <c r="CD11" s="32"/>
      <c r="CE11" s="90"/>
      <c r="CF11" s="88"/>
      <c r="CG11" s="88"/>
      <c r="CH11" s="111"/>
      <c r="CI11" s="112"/>
      <c r="CJ11" s="113"/>
      <c r="CK11" s="112"/>
      <c r="CL11" s="31"/>
      <c r="CM11" s="32"/>
      <c r="CN11" s="90"/>
      <c r="CO11" s="88"/>
      <c r="CP11" s="88"/>
      <c r="CQ11" s="111"/>
      <c r="CR11" s="112"/>
      <c r="CS11" s="113"/>
      <c r="CT11" s="112"/>
      <c r="CU11" s="55"/>
      <c r="CW11" s="230" t="s">
        <v>779</v>
      </c>
      <c r="CZ11" s="226" t="s">
        <v>1590</v>
      </c>
    </row>
    <row r="12" spans="1:104" ht="13" x14ac:dyDescent="0.25">
      <c r="A12" s="17" t="s">
        <v>784</v>
      </c>
      <c r="B12" s="17" t="s">
        <v>1006</v>
      </c>
      <c r="C12" s="17" t="s">
        <v>780</v>
      </c>
      <c r="D12" s="17" t="str">
        <f t="shared" si="6"/>
        <v>A</v>
      </c>
      <c r="E12" s="17" t="b">
        <f t="shared" si="7"/>
        <v>0</v>
      </c>
      <c r="F12" s="17" t="b">
        <f t="shared" si="8"/>
        <v>1</v>
      </c>
      <c r="G12" s="317" t="s">
        <v>1832</v>
      </c>
      <c r="H12" s="325" t="s">
        <v>2209</v>
      </c>
      <c r="I12" s="315" t="s">
        <v>1006</v>
      </c>
      <c r="J12" s="147" t="s">
        <v>780</v>
      </c>
      <c r="K12" s="31"/>
      <c r="L12" s="32" t="s">
        <v>354</v>
      </c>
      <c r="M12" s="90" t="s">
        <v>31</v>
      </c>
      <c r="N12" s="111" t="s">
        <v>2470</v>
      </c>
      <c r="O12" s="112"/>
      <c r="P12" s="113"/>
      <c r="Q12" s="112"/>
      <c r="R12" s="31"/>
      <c r="S12" s="32"/>
      <c r="T12" s="90"/>
      <c r="U12" s="88" t="str">
        <f t="shared" si="0"/>
        <v>NA</v>
      </c>
      <c r="V12" s="88" t="str">
        <f t="shared" si="1"/>
        <v>YES</v>
      </c>
      <c r="W12" s="111"/>
      <c r="X12" s="112"/>
      <c r="Y12" s="113"/>
      <c r="Z12" s="112"/>
      <c r="AA12" s="31"/>
      <c r="AB12" s="302"/>
      <c r="AC12" s="89"/>
      <c r="AD12" s="88" t="str">
        <f t="shared" si="9"/>
        <v>NA</v>
      </c>
      <c r="AE12" s="88" t="str">
        <f t="shared" si="10"/>
        <v>NA</v>
      </c>
      <c r="AF12" s="111"/>
      <c r="AG12" s="112"/>
      <c r="AH12" s="113"/>
      <c r="AI12" s="112"/>
      <c r="AJ12" s="31"/>
      <c r="AK12" s="294"/>
      <c r="AL12" s="89"/>
      <c r="AM12" s="88" t="str">
        <f t="shared" si="4"/>
        <v>NA</v>
      </c>
      <c r="AN12" s="88" t="str">
        <f t="shared" si="5"/>
        <v>NA</v>
      </c>
      <c r="AO12" s="111"/>
      <c r="AP12" s="112"/>
      <c r="AQ12" s="113"/>
      <c r="AR12" s="112"/>
      <c r="AS12" s="31"/>
      <c r="AT12" s="32"/>
      <c r="AU12" s="90"/>
      <c r="AV12" s="88"/>
      <c r="AW12" s="88"/>
      <c r="AX12" s="111"/>
      <c r="AY12" s="112"/>
      <c r="AZ12" s="113"/>
      <c r="BA12" s="112"/>
      <c r="BB12" s="31"/>
      <c r="BC12" s="32"/>
      <c r="BD12" s="90"/>
      <c r="BE12" s="88"/>
      <c r="BF12" s="88"/>
      <c r="BG12" s="111"/>
      <c r="BH12" s="112"/>
      <c r="BI12" s="113"/>
      <c r="BJ12" s="112"/>
      <c r="BK12" s="31"/>
      <c r="BL12" s="32"/>
      <c r="BM12" s="90"/>
      <c r="BN12" s="88"/>
      <c r="BO12" s="88"/>
      <c r="BP12" s="111"/>
      <c r="BQ12" s="112"/>
      <c r="BR12" s="113"/>
      <c r="BS12" s="112"/>
      <c r="BT12" s="31"/>
      <c r="BU12" s="32"/>
      <c r="BV12" s="90"/>
      <c r="BW12" s="88"/>
      <c r="BX12" s="88"/>
      <c r="BY12" s="111"/>
      <c r="BZ12" s="112"/>
      <c r="CA12" s="113"/>
      <c r="CB12" s="112"/>
      <c r="CC12" s="31"/>
      <c r="CD12" s="32"/>
      <c r="CE12" s="90"/>
      <c r="CF12" s="88"/>
      <c r="CG12" s="88"/>
      <c r="CH12" s="111"/>
      <c r="CI12" s="112"/>
      <c r="CJ12" s="113"/>
      <c r="CK12" s="112"/>
      <c r="CL12" s="31"/>
      <c r="CM12" s="32"/>
      <c r="CN12" s="90"/>
      <c r="CO12" s="88"/>
      <c r="CP12" s="88"/>
      <c r="CQ12" s="111"/>
      <c r="CR12" s="112"/>
      <c r="CS12" s="113"/>
      <c r="CT12" s="112"/>
      <c r="CU12" s="55"/>
      <c r="CW12" s="230" t="s">
        <v>780</v>
      </c>
      <c r="CZ12" s="226" t="s">
        <v>541</v>
      </c>
    </row>
    <row r="13" spans="1:104" ht="26" x14ac:dyDescent="0.25">
      <c r="A13" s="17" t="s">
        <v>785</v>
      </c>
      <c r="B13" s="17" t="s">
        <v>1007</v>
      </c>
      <c r="C13" s="17" t="s">
        <v>786</v>
      </c>
      <c r="D13" s="17" t="str">
        <f t="shared" si="6"/>
        <v>A</v>
      </c>
      <c r="E13" s="17" t="b">
        <f t="shared" si="7"/>
        <v>0</v>
      </c>
      <c r="F13" s="17" t="b">
        <f t="shared" si="8"/>
        <v>1</v>
      </c>
      <c r="G13" s="317" t="s">
        <v>1833</v>
      </c>
      <c r="H13" s="325" t="s">
        <v>2210</v>
      </c>
      <c r="I13" s="315" t="s">
        <v>1007</v>
      </c>
      <c r="J13" s="147" t="s">
        <v>786</v>
      </c>
      <c r="K13" s="31"/>
      <c r="L13" s="32" t="s">
        <v>354</v>
      </c>
      <c r="M13" s="90" t="s">
        <v>31</v>
      </c>
      <c r="N13" s="111" t="s">
        <v>2470</v>
      </c>
      <c r="O13" s="112"/>
      <c r="P13" s="113"/>
      <c r="Q13" s="112"/>
      <c r="R13" s="31"/>
      <c r="S13" s="32"/>
      <c r="T13" s="90"/>
      <c r="U13" s="88" t="str">
        <f t="shared" si="0"/>
        <v>NA</v>
      </c>
      <c r="V13" s="88" t="str">
        <f t="shared" si="1"/>
        <v>YES</v>
      </c>
      <c r="W13" s="111"/>
      <c r="X13" s="112"/>
      <c r="Y13" s="113"/>
      <c r="Z13" s="112"/>
      <c r="AA13" s="31"/>
      <c r="AB13" s="302"/>
      <c r="AC13" s="89"/>
      <c r="AD13" s="88" t="str">
        <f t="shared" si="9"/>
        <v>NA</v>
      </c>
      <c r="AE13" s="88" t="str">
        <f t="shared" si="10"/>
        <v>NA</v>
      </c>
      <c r="AF13" s="111"/>
      <c r="AG13" s="112"/>
      <c r="AH13" s="113"/>
      <c r="AI13" s="112"/>
      <c r="AJ13" s="31"/>
      <c r="AK13" s="294"/>
      <c r="AL13" s="89"/>
      <c r="AM13" s="88" t="str">
        <f t="shared" si="4"/>
        <v>NA</v>
      </c>
      <c r="AN13" s="88" t="str">
        <f t="shared" si="5"/>
        <v>NA</v>
      </c>
      <c r="AO13" s="111"/>
      <c r="AP13" s="112"/>
      <c r="AQ13" s="113"/>
      <c r="AR13" s="112"/>
      <c r="AS13" s="31"/>
      <c r="AT13" s="32"/>
      <c r="AU13" s="90"/>
      <c r="AV13" s="88"/>
      <c r="AW13" s="88"/>
      <c r="AX13" s="111"/>
      <c r="AY13" s="112"/>
      <c r="AZ13" s="113"/>
      <c r="BA13" s="112"/>
      <c r="BB13" s="31"/>
      <c r="BC13" s="32"/>
      <c r="BD13" s="90"/>
      <c r="BE13" s="88"/>
      <c r="BF13" s="88"/>
      <c r="BG13" s="111"/>
      <c r="BH13" s="112"/>
      <c r="BI13" s="113"/>
      <c r="BJ13" s="112"/>
      <c r="BK13" s="31"/>
      <c r="BL13" s="32"/>
      <c r="BM13" s="90"/>
      <c r="BN13" s="88"/>
      <c r="BO13" s="88"/>
      <c r="BP13" s="111"/>
      <c r="BQ13" s="112"/>
      <c r="BR13" s="113"/>
      <c r="BS13" s="112"/>
      <c r="BT13" s="31"/>
      <c r="BU13" s="32"/>
      <c r="BV13" s="90"/>
      <c r="BW13" s="88"/>
      <c r="BX13" s="88"/>
      <c r="BY13" s="111"/>
      <c r="BZ13" s="112"/>
      <c r="CA13" s="113"/>
      <c r="CB13" s="112"/>
      <c r="CC13" s="31"/>
      <c r="CD13" s="32"/>
      <c r="CE13" s="90"/>
      <c r="CF13" s="88"/>
      <c r="CG13" s="88"/>
      <c r="CH13" s="111"/>
      <c r="CI13" s="112"/>
      <c r="CJ13" s="113"/>
      <c r="CK13" s="112"/>
      <c r="CL13" s="31"/>
      <c r="CM13" s="32"/>
      <c r="CN13" s="90"/>
      <c r="CO13" s="88"/>
      <c r="CP13" s="88"/>
      <c r="CQ13" s="111"/>
      <c r="CR13" s="112"/>
      <c r="CS13" s="113"/>
      <c r="CT13" s="112"/>
      <c r="CU13" s="55"/>
      <c r="CW13" s="230" t="s">
        <v>786</v>
      </c>
      <c r="CZ13" s="226" t="s">
        <v>541</v>
      </c>
    </row>
    <row r="14" spans="1:104" ht="26" x14ac:dyDescent="0.25">
      <c r="A14" s="17" t="s">
        <v>788</v>
      </c>
      <c r="B14" s="17" t="s">
        <v>913</v>
      </c>
      <c r="C14" s="17" t="s">
        <v>787</v>
      </c>
      <c r="D14" s="17" t="str">
        <f t="shared" si="6"/>
        <v>A</v>
      </c>
      <c r="E14" s="17" t="b">
        <f t="shared" si="7"/>
        <v>0</v>
      </c>
      <c r="F14" s="17" t="b">
        <f t="shared" si="8"/>
        <v>1</v>
      </c>
      <c r="G14" s="317" t="s">
        <v>1834</v>
      </c>
      <c r="H14" s="325" t="s">
        <v>2211</v>
      </c>
      <c r="I14" s="315" t="s">
        <v>913</v>
      </c>
      <c r="J14" s="147" t="s">
        <v>787</v>
      </c>
      <c r="K14" s="31"/>
      <c r="L14" s="32" t="s">
        <v>354</v>
      </c>
      <c r="M14" s="90" t="s">
        <v>31</v>
      </c>
      <c r="N14" s="111" t="s">
        <v>2470</v>
      </c>
      <c r="O14" s="112"/>
      <c r="P14" s="113"/>
      <c r="Q14" s="112"/>
      <c r="R14" s="31"/>
      <c r="S14" s="32"/>
      <c r="T14" s="90"/>
      <c r="U14" s="88" t="str">
        <f t="shared" si="0"/>
        <v>NA</v>
      </c>
      <c r="V14" s="88" t="str">
        <f t="shared" si="1"/>
        <v>YES</v>
      </c>
      <c r="W14" s="111"/>
      <c r="X14" s="112"/>
      <c r="Y14" s="113"/>
      <c r="Z14" s="112"/>
      <c r="AA14" s="31"/>
      <c r="AB14" s="302"/>
      <c r="AC14" s="89"/>
      <c r="AD14" s="88" t="str">
        <f t="shared" si="9"/>
        <v>NA</v>
      </c>
      <c r="AE14" s="88" t="str">
        <f t="shared" si="10"/>
        <v>NA</v>
      </c>
      <c r="AF14" s="111"/>
      <c r="AG14" s="112"/>
      <c r="AH14" s="113"/>
      <c r="AI14" s="112"/>
      <c r="AJ14" s="31"/>
      <c r="AK14" s="294"/>
      <c r="AL14" s="89"/>
      <c r="AM14" s="88" t="str">
        <f t="shared" si="4"/>
        <v>NA</v>
      </c>
      <c r="AN14" s="88" t="str">
        <f t="shared" si="5"/>
        <v>NA</v>
      </c>
      <c r="AO14" s="111"/>
      <c r="AP14" s="112"/>
      <c r="AQ14" s="113"/>
      <c r="AR14" s="112"/>
      <c r="AS14" s="31"/>
      <c r="AT14" s="32"/>
      <c r="AU14" s="90"/>
      <c r="AV14" s="88"/>
      <c r="AW14" s="88"/>
      <c r="AX14" s="111"/>
      <c r="AY14" s="112"/>
      <c r="AZ14" s="113"/>
      <c r="BA14" s="112"/>
      <c r="BB14" s="31"/>
      <c r="BC14" s="32"/>
      <c r="BD14" s="90"/>
      <c r="BE14" s="88"/>
      <c r="BF14" s="88"/>
      <c r="BG14" s="111"/>
      <c r="BH14" s="112"/>
      <c r="BI14" s="113"/>
      <c r="BJ14" s="112"/>
      <c r="BK14" s="31"/>
      <c r="BL14" s="32"/>
      <c r="BM14" s="90"/>
      <c r="BN14" s="88"/>
      <c r="BO14" s="88"/>
      <c r="BP14" s="111"/>
      <c r="BQ14" s="112"/>
      <c r="BR14" s="113"/>
      <c r="BS14" s="112"/>
      <c r="BT14" s="31"/>
      <c r="BU14" s="32"/>
      <c r="BV14" s="90"/>
      <c r="BW14" s="88"/>
      <c r="BX14" s="88"/>
      <c r="BY14" s="111"/>
      <c r="BZ14" s="112"/>
      <c r="CA14" s="113"/>
      <c r="CB14" s="112"/>
      <c r="CC14" s="31"/>
      <c r="CD14" s="32"/>
      <c r="CE14" s="90"/>
      <c r="CF14" s="88"/>
      <c r="CG14" s="88"/>
      <c r="CH14" s="111"/>
      <c r="CI14" s="112"/>
      <c r="CJ14" s="113"/>
      <c r="CK14" s="112"/>
      <c r="CL14" s="31"/>
      <c r="CM14" s="32"/>
      <c r="CN14" s="90"/>
      <c r="CO14" s="88"/>
      <c r="CP14" s="88"/>
      <c r="CQ14" s="111"/>
      <c r="CR14" s="112"/>
      <c r="CS14" s="113"/>
      <c r="CT14" s="112"/>
      <c r="CU14" s="55"/>
      <c r="CW14" s="230" t="s">
        <v>787</v>
      </c>
      <c r="CZ14" s="226" t="s">
        <v>541</v>
      </c>
    </row>
    <row r="15" spans="1:104" ht="208" x14ac:dyDescent="0.25">
      <c r="A15" s="17" t="s">
        <v>789</v>
      </c>
      <c r="B15" s="17" t="s">
        <v>914</v>
      </c>
      <c r="C15" s="17" t="s">
        <v>1671</v>
      </c>
      <c r="D15" s="17" t="str">
        <f t="shared" si="6"/>
        <v>B</v>
      </c>
      <c r="E15" s="17" t="b">
        <f t="shared" si="7"/>
        <v>0</v>
      </c>
      <c r="F15" s="17" t="b">
        <f t="shared" si="8"/>
        <v>0</v>
      </c>
      <c r="G15" s="317" t="s">
        <v>1835</v>
      </c>
      <c r="H15" s="325" t="s">
        <v>2212</v>
      </c>
      <c r="I15" s="315" t="s">
        <v>1836</v>
      </c>
      <c r="J15" s="147" t="s">
        <v>1837</v>
      </c>
      <c r="K15" s="31"/>
      <c r="L15" s="32" t="s">
        <v>354</v>
      </c>
      <c r="M15" s="90" t="s">
        <v>31</v>
      </c>
      <c r="N15" s="111" t="s">
        <v>2470</v>
      </c>
      <c r="O15" s="112"/>
      <c r="P15" s="113"/>
      <c r="Q15" s="112"/>
      <c r="R15" s="31"/>
      <c r="S15" s="32"/>
      <c r="T15" s="90"/>
      <c r="U15" s="88" t="str">
        <f t="shared" si="0"/>
        <v>NA</v>
      </c>
      <c r="V15" s="88" t="str">
        <f t="shared" si="1"/>
        <v>YES</v>
      </c>
      <c r="W15" s="111"/>
      <c r="X15" s="112"/>
      <c r="Y15" s="113"/>
      <c r="Z15" s="112"/>
      <c r="AA15" s="31"/>
      <c r="AB15" s="302"/>
      <c r="AC15" s="89"/>
      <c r="AD15" s="88" t="str">
        <f t="shared" si="9"/>
        <v>NA</v>
      </c>
      <c r="AE15" s="88" t="str">
        <f t="shared" si="10"/>
        <v>NA</v>
      </c>
      <c r="AF15" s="111"/>
      <c r="AG15" s="112"/>
      <c r="AH15" s="113"/>
      <c r="AI15" s="112"/>
      <c r="AJ15" s="31"/>
      <c r="AK15" s="294"/>
      <c r="AL15" s="89"/>
      <c r="AM15" s="88" t="str">
        <f t="shared" si="4"/>
        <v>NA</v>
      </c>
      <c r="AN15" s="88" t="str">
        <f t="shared" si="5"/>
        <v>NA</v>
      </c>
      <c r="AO15" s="111"/>
      <c r="AP15" s="112"/>
      <c r="AQ15" s="113"/>
      <c r="AR15" s="112"/>
      <c r="AS15" s="31"/>
      <c r="AT15" s="32"/>
      <c r="AU15" s="90"/>
      <c r="AV15" s="88"/>
      <c r="AW15" s="88"/>
      <c r="AX15" s="111"/>
      <c r="AY15" s="112"/>
      <c r="AZ15" s="113"/>
      <c r="BA15" s="112"/>
      <c r="BB15" s="31"/>
      <c r="BC15" s="32"/>
      <c r="BD15" s="90"/>
      <c r="BE15" s="88"/>
      <c r="BF15" s="88"/>
      <c r="BG15" s="111"/>
      <c r="BH15" s="112"/>
      <c r="BI15" s="113"/>
      <c r="BJ15" s="112"/>
      <c r="BK15" s="31"/>
      <c r="BL15" s="32"/>
      <c r="BM15" s="90"/>
      <c r="BN15" s="88"/>
      <c r="BO15" s="88"/>
      <c r="BP15" s="111"/>
      <c r="BQ15" s="112"/>
      <c r="BR15" s="113"/>
      <c r="BS15" s="112"/>
      <c r="BT15" s="31"/>
      <c r="BU15" s="32"/>
      <c r="BV15" s="90"/>
      <c r="BW15" s="88"/>
      <c r="BX15" s="88"/>
      <c r="BY15" s="111"/>
      <c r="BZ15" s="112"/>
      <c r="CA15" s="113"/>
      <c r="CB15" s="112"/>
      <c r="CC15" s="31"/>
      <c r="CD15" s="32"/>
      <c r="CE15" s="90"/>
      <c r="CF15" s="88"/>
      <c r="CG15" s="88"/>
      <c r="CH15" s="111"/>
      <c r="CI15" s="112"/>
      <c r="CJ15" s="113"/>
      <c r="CK15" s="112"/>
      <c r="CL15" s="31"/>
      <c r="CM15" s="32"/>
      <c r="CN15" s="90"/>
      <c r="CO15" s="88"/>
      <c r="CP15" s="88"/>
      <c r="CQ15" s="111"/>
      <c r="CR15" s="112"/>
      <c r="CS15" s="113"/>
      <c r="CT15" s="112"/>
      <c r="CU15" s="55"/>
      <c r="CW15" s="230" t="s">
        <v>790</v>
      </c>
      <c r="CZ15" s="226" t="s">
        <v>541</v>
      </c>
    </row>
    <row r="16" spans="1:104" ht="234" x14ac:dyDescent="0.25">
      <c r="A16" s="17" t="s">
        <v>791</v>
      </c>
      <c r="B16" s="17" t="s">
        <v>915</v>
      </c>
      <c r="C16" s="17" t="s">
        <v>1717</v>
      </c>
      <c r="D16" s="17" t="str">
        <f t="shared" si="6"/>
        <v>C</v>
      </c>
      <c r="E16" s="17" t="b">
        <f t="shared" si="7"/>
        <v>0</v>
      </c>
      <c r="F16" s="17" t="b">
        <f t="shared" si="8"/>
        <v>1</v>
      </c>
      <c r="G16" s="317" t="s">
        <v>1838</v>
      </c>
      <c r="H16" s="325" t="s">
        <v>2213</v>
      </c>
      <c r="I16" s="315" t="s">
        <v>1839</v>
      </c>
      <c r="J16" s="147" t="s">
        <v>1717</v>
      </c>
      <c r="K16" s="31"/>
      <c r="L16" s="32" t="s">
        <v>354</v>
      </c>
      <c r="M16" s="90" t="s">
        <v>31</v>
      </c>
      <c r="N16" s="111" t="s">
        <v>2470</v>
      </c>
      <c r="O16" s="112"/>
      <c r="P16" s="113"/>
      <c r="Q16" s="112"/>
      <c r="R16" s="31"/>
      <c r="S16" s="32"/>
      <c r="T16" s="90"/>
      <c r="U16" s="88" t="str">
        <f t="shared" si="0"/>
        <v>NA</v>
      </c>
      <c r="V16" s="88" t="str">
        <f t="shared" si="1"/>
        <v>YES</v>
      </c>
      <c r="W16" s="111"/>
      <c r="X16" s="112"/>
      <c r="Y16" s="113"/>
      <c r="Z16" s="112"/>
      <c r="AA16" s="31"/>
      <c r="AB16" s="302"/>
      <c r="AC16" s="89"/>
      <c r="AD16" s="88" t="str">
        <f t="shared" si="9"/>
        <v>NA</v>
      </c>
      <c r="AE16" s="88" t="str">
        <f t="shared" si="10"/>
        <v>NA</v>
      </c>
      <c r="AF16" s="111"/>
      <c r="AG16" s="112"/>
      <c r="AH16" s="113"/>
      <c r="AI16" s="112"/>
      <c r="AJ16" s="31"/>
      <c r="AK16" s="294"/>
      <c r="AL16" s="89"/>
      <c r="AM16" s="88" t="str">
        <f t="shared" si="4"/>
        <v>NA</v>
      </c>
      <c r="AN16" s="88" t="str">
        <f t="shared" si="5"/>
        <v>NA</v>
      </c>
      <c r="AO16" s="111"/>
      <c r="AP16" s="112"/>
      <c r="AQ16" s="113"/>
      <c r="AR16" s="112"/>
      <c r="AS16" s="31"/>
      <c r="AT16" s="32"/>
      <c r="AU16" s="90"/>
      <c r="AV16" s="88"/>
      <c r="AW16" s="88"/>
      <c r="AX16" s="111"/>
      <c r="AY16" s="112"/>
      <c r="AZ16" s="113"/>
      <c r="BA16" s="112"/>
      <c r="BB16" s="31"/>
      <c r="BC16" s="32"/>
      <c r="BD16" s="90"/>
      <c r="BE16" s="88"/>
      <c r="BF16" s="88"/>
      <c r="BG16" s="111"/>
      <c r="BH16" s="112"/>
      <c r="BI16" s="113"/>
      <c r="BJ16" s="112"/>
      <c r="BK16" s="31"/>
      <c r="BL16" s="32"/>
      <c r="BM16" s="90"/>
      <c r="BN16" s="88"/>
      <c r="BO16" s="88"/>
      <c r="BP16" s="111"/>
      <c r="BQ16" s="112"/>
      <c r="BR16" s="113"/>
      <c r="BS16" s="112"/>
      <c r="BT16" s="31"/>
      <c r="BU16" s="32"/>
      <c r="BV16" s="90"/>
      <c r="BW16" s="88"/>
      <c r="BX16" s="88"/>
      <c r="BY16" s="111"/>
      <c r="BZ16" s="112"/>
      <c r="CA16" s="113"/>
      <c r="CB16" s="112"/>
      <c r="CC16" s="31"/>
      <c r="CD16" s="32"/>
      <c r="CE16" s="90"/>
      <c r="CF16" s="88"/>
      <c r="CG16" s="88"/>
      <c r="CH16" s="111"/>
      <c r="CI16" s="112"/>
      <c r="CJ16" s="113"/>
      <c r="CK16" s="112"/>
      <c r="CL16" s="31"/>
      <c r="CM16" s="32"/>
      <c r="CN16" s="90"/>
      <c r="CO16" s="88"/>
      <c r="CP16" s="88"/>
      <c r="CQ16" s="111"/>
      <c r="CR16" s="112"/>
      <c r="CS16" s="113"/>
      <c r="CT16" s="112"/>
      <c r="CU16" s="55"/>
      <c r="CW16" s="230" t="s">
        <v>792</v>
      </c>
      <c r="CZ16" s="226" t="s">
        <v>541</v>
      </c>
    </row>
    <row r="17" spans="1:104" ht="13" x14ac:dyDescent="0.25">
      <c r="A17" s="17" t="s">
        <v>793</v>
      </c>
      <c r="B17" s="17" t="s">
        <v>916</v>
      </c>
      <c r="C17" s="17" t="s">
        <v>1672</v>
      </c>
      <c r="D17" s="17" t="str">
        <f t="shared" si="6"/>
        <v>B</v>
      </c>
      <c r="E17" s="17" t="b">
        <f t="shared" si="7"/>
        <v>0</v>
      </c>
      <c r="F17" s="17" t="b">
        <f t="shared" si="8"/>
        <v>0</v>
      </c>
      <c r="G17" s="317" t="s">
        <v>1840</v>
      </c>
      <c r="H17" s="325" t="s">
        <v>2214</v>
      </c>
      <c r="I17" s="315" t="s">
        <v>1841</v>
      </c>
      <c r="J17" s="147" t="s">
        <v>1842</v>
      </c>
      <c r="K17" s="31"/>
      <c r="L17" s="32" t="s">
        <v>354</v>
      </c>
      <c r="M17" s="90" t="s">
        <v>31</v>
      </c>
      <c r="N17" s="111" t="s">
        <v>2470</v>
      </c>
      <c r="O17" s="112"/>
      <c r="P17" s="113"/>
      <c r="Q17" s="112"/>
      <c r="R17" s="31"/>
      <c r="S17" s="32"/>
      <c r="T17" s="90"/>
      <c r="U17" s="88" t="str">
        <f t="shared" si="0"/>
        <v>NA</v>
      </c>
      <c r="V17" s="88" t="str">
        <f t="shared" si="1"/>
        <v>YES</v>
      </c>
      <c r="W17" s="111"/>
      <c r="X17" s="112"/>
      <c r="Y17" s="113"/>
      <c r="Z17" s="112"/>
      <c r="AA17" s="31"/>
      <c r="AB17" s="302"/>
      <c r="AC17" s="89"/>
      <c r="AD17" s="88" t="str">
        <f t="shared" si="9"/>
        <v>NA</v>
      </c>
      <c r="AE17" s="88" t="str">
        <f t="shared" si="10"/>
        <v>NA</v>
      </c>
      <c r="AF17" s="111"/>
      <c r="AG17" s="112"/>
      <c r="AH17" s="113"/>
      <c r="AI17" s="112"/>
      <c r="AJ17" s="31"/>
      <c r="AK17" s="294"/>
      <c r="AL17" s="89"/>
      <c r="AM17" s="88" t="str">
        <f t="shared" si="4"/>
        <v>NA</v>
      </c>
      <c r="AN17" s="88" t="str">
        <f t="shared" si="5"/>
        <v>NA</v>
      </c>
      <c r="AO17" s="111"/>
      <c r="AP17" s="112"/>
      <c r="AQ17" s="113"/>
      <c r="AR17" s="112"/>
      <c r="AS17" s="31"/>
      <c r="AT17" s="32"/>
      <c r="AU17" s="90"/>
      <c r="AV17" s="88"/>
      <c r="AW17" s="88"/>
      <c r="AX17" s="111"/>
      <c r="AY17" s="112"/>
      <c r="AZ17" s="113"/>
      <c r="BA17" s="112"/>
      <c r="BB17" s="31"/>
      <c r="BC17" s="32"/>
      <c r="BD17" s="90"/>
      <c r="BE17" s="88"/>
      <c r="BF17" s="88"/>
      <c r="BG17" s="111"/>
      <c r="BH17" s="112"/>
      <c r="BI17" s="113"/>
      <c r="BJ17" s="112"/>
      <c r="BK17" s="31"/>
      <c r="BL17" s="32"/>
      <c r="BM17" s="90"/>
      <c r="BN17" s="88"/>
      <c r="BO17" s="88"/>
      <c r="BP17" s="111"/>
      <c r="BQ17" s="112"/>
      <c r="BR17" s="113"/>
      <c r="BS17" s="112"/>
      <c r="BT17" s="31"/>
      <c r="BU17" s="32"/>
      <c r="BV17" s="90"/>
      <c r="BW17" s="88"/>
      <c r="BX17" s="88"/>
      <c r="BY17" s="111"/>
      <c r="BZ17" s="112"/>
      <c r="CA17" s="113"/>
      <c r="CB17" s="112"/>
      <c r="CC17" s="31"/>
      <c r="CD17" s="32"/>
      <c r="CE17" s="90"/>
      <c r="CF17" s="88"/>
      <c r="CG17" s="88"/>
      <c r="CH17" s="111"/>
      <c r="CI17" s="112"/>
      <c r="CJ17" s="113"/>
      <c r="CK17" s="112"/>
      <c r="CL17" s="31"/>
      <c r="CM17" s="32"/>
      <c r="CN17" s="90"/>
      <c r="CO17" s="88"/>
      <c r="CP17" s="88"/>
      <c r="CQ17" s="111"/>
      <c r="CR17" s="112"/>
      <c r="CS17" s="113"/>
      <c r="CT17" s="112"/>
      <c r="CU17" s="55"/>
      <c r="CW17" s="230" t="s">
        <v>794</v>
      </c>
      <c r="CZ17" s="226" t="s">
        <v>541</v>
      </c>
    </row>
    <row r="18" spans="1:104" ht="39" x14ac:dyDescent="0.25">
      <c r="A18" s="17" t="s">
        <v>920</v>
      </c>
      <c r="B18" s="17" t="s">
        <v>917</v>
      </c>
      <c r="C18" s="17" t="s">
        <v>1673</v>
      </c>
      <c r="D18" s="17" t="str">
        <f t="shared" si="6"/>
        <v>B</v>
      </c>
      <c r="E18" s="17" t="b">
        <f t="shared" si="7"/>
        <v>0</v>
      </c>
      <c r="F18" s="17" t="b">
        <f t="shared" si="8"/>
        <v>1</v>
      </c>
      <c r="G18" s="317" t="s">
        <v>1843</v>
      </c>
      <c r="H18" s="324" t="s">
        <v>2215</v>
      </c>
      <c r="I18" s="315" t="s">
        <v>1844</v>
      </c>
      <c r="J18" s="147" t="s">
        <v>1673</v>
      </c>
      <c r="K18" s="31"/>
      <c r="L18" s="32" t="s">
        <v>354</v>
      </c>
      <c r="M18" s="90" t="s">
        <v>31</v>
      </c>
      <c r="N18" s="111" t="s">
        <v>2470</v>
      </c>
      <c r="O18" s="112"/>
      <c r="P18" s="113"/>
      <c r="Q18" s="112"/>
      <c r="R18" s="31"/>
      <c r="S18" s="32"/>
      <c r="T18" s="90"/>
      <c r="U18" s="88" t="str">
        <f t="shared" si="0"/>
        <v>NA</v>
      </c>
      <c r="V18" s="88" t="str">
        <f t="shared" si="1"/>
        <v>YES</v>
      </c>
      <c r="W18" s="111"/>
      <c r="X18" s="112"/>
      <c r="Y18" s="113"/>
      <c r="Z18" s="112"/>
      <c r="AA18" s="31"/>
      <c r="AB18" s="302"/>
      <c r="AC18" s="89"/>
      <c r="AD18" s="88" t="str">
        <f t="shared" si="9"/>
        <v>NA</v>
      </c>
      <c r="AE18" s="88" t="str">
        <f t="shared" si="10"/>
        <v>NA</v>
      </c>
      <c r="AF18" s="111"/>
      <c r="AG18" s="112"/>
      <c r="AH18" s="113"/>
      <c r="AI18" s="112"/>
      <c r="AJ18" s="31"/>
      <c r="AK18" s="294"/>
      <c r="AL18" s="89"/>
      <c r="AM18" s="88" t="str">
        <f t="shared" si="4"/>
        <v>NA</v>
      </c>
      <c r="AN18" s="88" t="str">
        <f t="shared" si="5"/>
        <v>NA</v>
      </c>
      <c r="AO18" s="111"/>
      <c r="AP18" s="112"/>
      <c r="AQ18" s="113"/>
      <c r="AR18" s="112"/>
      <c r="AS18" s="31"/>
      <c r="AT18" s="32"/>
      <c r="AU18" s="90"/>
      <c r="AV18" s="88"/>
      <c r="AW18" s="88"/>
      <c r="AX18" s="111"/>
      <c r="AY18" s="112"/>
      <c r="AZ18" s="113"/>
      <c r="BA18" s="112"/>
      <c r="BB18" s="31"/>
      <c r="BC18" s="32"/>
      <c r="BD18" s="90"/>
      <c r="BE18" s="88"/>
      <c r="BF18" s="88"/>
      <c r="BG18" s="111"/>
      <c r="BH18" s="112"/>
      <c r="BI18" s="113"/>
      <c r="BJ18" s="112"/>
      <c r="BK18" s="31"/>
      <c r="BL18" s="32"/>
      <c r="BM18" s="90"/>
      <c r="BN18" s="88"/>
      <c r="BO18" s="88"/>
      <c r="BP18" s="111"/>
      <c r="BQ18" s="112"/>
      <c r="BR18" s="113"/>
      <c r="BS18" s="112"/>
      <c r="BT18" s="31"/>
      <c r="BU18" s="32"/>
      <c r="BV18" s="90"/>
      <c r="BW18" s="88"/>
      <c r="BX18" s="88"/>
      <c r="BY18" s="111"/>
      <c r="BZ18" s="112"/>
      <c r="CA18" s="113"/>
      <c r="CB18" s="112"/>
      <c r="CC18" s="31"/>
      <c r="CD18" s="32"/>
      <c r="CE18" s="90"/>
      <c r="CF18" s="88"/>
      <c r="CG18" s="88"/>
      <c r="CH18" s="111"/>
      <c r="CI18" s="112"/>
      <c r="CJ18" s="113"/>
      <c r="CK18" s="112"/>
      <c r="CL18" s="31"/>
      <c r="CM18" s="32"/>
      <c r="CN18" s="90"/>
      <c r="CO18" s="88"/>
      <c r="CP18" s="88"/>
      <c r="CQ18" s="111"/>
      <c r="CR18" s="112"/>
      <c r="CS18" s="113"/>
      <c r="CT18" s="112"/>
      <c r="CU18" s="55"/>
      <c r="CW18" s="230" t="s">
        <v>795</v>
      </c>
      <c r="CZ18" s="226" t="s">
        <v>541</v>
      </c>
    </row>
    <row r="19" spans="1:104" ht="39" x14ac:dyDescent="0.25">
      <c r="A19" s="17" t="s">
        <v>921</v>
      </c>
      <c r="B19" s="17" t="s">
        <v>918</v>
      </c>
      <c r="C19" s="17" t="s">
        <v>1718</v>
      </c>
      <c r="D19" s="17" t="str">
        <f t="shared" si="6"/>
        <v>C</v>
      </c>
      <c r="E19" s="17" t="b">
        <f t="shared" si="7"/>
        <v>0</v>
      </c>
      <c r="F19" s="17" t="b">
        <f t="shared" si="8"/>
        <v>0</v>
      </c>
      <c r="G19" s="317" t="s">
        <v>1845</v>
      </c>
      <c r="H19" s="324" t="s">
        <v>2216</v>
      </c>
      <c r="I19" s="315" t="s">
        <v>1846</v>
      </c>
      <c r="J19" s="147" t="s">
        <v>1847</v>
      </c>
      <c r="K19" s="31"/>
      <c r="L19" s="32" t="s">
        <v>354</v>
      </c>
      <c r="M19" s="90" t="s">
        <v>31</v>
      </c>
      <c r="N19" s="111" t="s">
        <v>2470</v>
      </c>
      <c r="O19" s="112"/>
      <c r="P19" s="113"/>
      <c r="Q19" s="112"/>
      <c r="R19" s="31"/>
      <c r="S19" s="32"/>
      <c r="T19" s="90"/>
      <c r="U19" s="88" t="str">
        <f t="shared" si="0"/>
        <v>NA</v>
      </c>
      <c r="V19" s="88" t="str">
        <f t="shared" si="1"/>
        <v>YES</v>
      </c>
      <c r="W19" s="111"/>
      <c r="X19" s="112"/>
      <c r="Y19" s="113"/>
      <c r="Z19" s="112"/>
      <c r="AA19" s="31"/>
      <c r="AB19" s="302"/>
      <c r="AC19" s="89"/>
      <c r="AD19" s="88" t="str">
        <f t="shared" si="9"/>
        <v>NA</v>
      </c>
      <c r="AE19" s="88" t="str">
        <f t="shared" si="10"/>
        <v>NA</v>
      </c>
      <c r="AF19" s="111"/>
      <c r="AG19" s="112"/>
      <c r="AH19" s="113"/>
      <c r="AI19" s="112"/>
      <c r="AJ19" s="31"/>
      <c r="AK19" s="294"/>
      <c r="AL19" s="89"/>
      <c r="AM19" s="88" t="str">
        <f t="shared" si="4"/>
        <v>NA</v>
      </c>
      <c r="AN19" s="88" t="str">
        <f t="shared" si="5"/>
        <v>NA</v>
      </c>
      <c r="AO19" s="111"/>
      <c r="AP19" s="112"/>
      <c r="AQ19" s="113"/>
      <c r="AR19" s="112"/>
      <c r="AS19" s="31"/>
      <c r="AT19" s="32"/>
      <c r="AU19" s="90"/>
      <c r="AV19" s="88"/>
      <c r="AW19" s="88"/>
      <c r="AX19" s="111"/>
      <c r="AY19" s="112"/>
      <c r="AZ19" s="113"/>
      <c r="BA19" s="112"/>
      <c r="BB19" s="31"/>
      <c r="BC19" s="32"/>
      <c r="BD19" s="90"/>
      <c r="BE19" s="88"/>
      <c r="BF19" s="88"/>
      <c r="BG19" s="111"/>
      <c r="BH19" s="112"/>
      <c r="BI19" s="113"/>
      <c r="BJ19" s="112"/>
      <c r="BK19" s="31"/>
      <c r="BL19" s="32"/>
      <c r="BM19" s="90"/>
      <c r="BN19" s="88"/>
      <c r="BO19" s="88"/>
      <c r="BP19" s="111"/>
      <c r="BQ19" s="112"/>
      <c r="BR19" s="113"/>
      <c r="BS19" s="112"/>
      <c r="BT19" s="31"/>
      <c r="BU19" s="32"/>
      <c r="BV19" s="90"/>
      <c r="BW19" s="88"/>
      <c r="BX19" s="88"/>
      <c r="BY19" s="111"/>
      <c r="BZ19" s="112"/>
      <c r="CA19" s="113"/>
      <c r="CB19" s="112"/>
      <c r="CC19" s="31"/>
      <c r="CD19" s="32"/>
      <c r="CE19" s="90"/>
      <c r="CF19" s="88"/>
      <c r="CG19" s="88"/>
      <c r="CH19" s="111"/>
      <c r="CI19" s="112"/>
      <c r="CJ19" s="113"/>
      <c r="CK19" s="112"/>
      <c r="CL19" s="31"/>
      <c r="CM19" s="32"/>
      <c r="CN19" s="90"/>
      <c r="CO19" s="88"/>
      <c r="CP19" s="88"/>
      <c r="CQ19" s="111"/>
      <c r="CR19" s="112"/>
      <c r="CS19" s="113"/>
      <c r="CT19" s="112"/>
      <c r="CU19" s="55"/>
      <c r="CW19" s="230" t="s">
        <v>796</v>
      </c>
      <c r="CZ19" s="226" t="s">
        <v>541</v>
      </c>
    </row>
    <row r="20" spans="1:104" ht="26" x14ac:dyDescent="0.25">
      <c r="A20" s="17" t="s">
        <v>798</v>
      </c>
      <c r="B20" s="17" t="s">
        <v>919</v>
      </c>
      <c r="C20" s="17" t="s">
        <v>1674</v>
      </c>
      <c r="D20" s="17" t="str">
        <f t="shared" si="6"/>
        <v>B</v>
      </c>
      <c r="E20" s="17" t="b">
        <f t="shared" si="7"/>
        <v>0</v>
      </c>
      <c r="F20" s="17" t="b">
        <f t="shared" si="8"/>
        <v>1</v>
      </c>
      <c r="G20" s="317" t="s">
        <v>1848</v>
      </c>
      <c r="H20" s="325" t="s">
        <v>2217</v>
      </c>
      <c r="I20" s="315" t="s">
        <v>919</v>
      </c>
      <c r="J20" s="147" t="s">
        <v>1674</v>
      </c>
      <c r="K20" s="31"/>
      <c r="L20" s="32" t="s">
        <v>354</v>
      </c>
      <c r="M20" s="90" t="s">
        <v>31</v>
      </c>
      <c r="N20" s="111" t="s">
        <v>2470</v>
      </c>
      <c r="O20" s="112"/>
      <c r="P20" s="113"/>
      <c r="Q20" s="112"/>
      <c r="R20" s="31"/>
      <c r="S20" s="32"/>
      <c r="T20" s="90"/>
      <c r="U20" s="88" t="str">
        <f t="shared" si="0"/>
        <v>NA</v>
      </c>
      <c r="V20" s="88" t="str">
        <f t="shared" si="1"/>
        <v>YES</v>
      </c>
      <c r="W20" s="111"/>
      <c r="X20" s="112"/>
      <c r="Y20" s="113"/>
      <c r="Z20" s="112"/>
      <c r="AA20" s="31"/>
      <c r="AB20" s="302"/>
      <c r="AC20" s="89"/>
      <c r="AD20" s="88" t="str">
        <f t="shared" si="9"/>
        <v>NA</v>
      </c>
      <c r="AE20" s="88" t="str">
        <f t="shared" si="10"/>
        <v>NA</v>
      </c>
      <c r="AF20" s="111"/>
      <c r="AG20" s="112"/>
      <c r="AH20" s="113"/>
      <c r="AI20" s="112"/>
      <c r="AJ20" s="31"/>
      <c r="AK20" s="294"/>
      <c r="AL20" s="89"/>
      <c r="AM20" s="88" t="str">
        <f t="shared" si="4"/>
        <v>NA</v>
      </c>
      <c r="AN20" s="88" t="str">
        <f t="shared" si="5"/>
        <v>NA</v>
      </c>
      <c r="AO20" s="111"/>
      <c r="AP20" s="112"/>
      <c r="AQ20" s="113"/>
      <c r="AR20" s="112"/>
      <c r="AS20" s="31"/>
      <c r="AT20" s="32"/>
      <c r="AU20" s="90"/>
      <c r="AV20" s="88"/>
      <c r="AW20" s="88"/>
      <c r="AX20" s="111"/>
      <c r="AY20" s="112"/>
      <c r="AZ20" s="113"/>
      <c r="BA20" s="112"/>
      <c r="BB20" s="31"/>
      <c r="BC20" s="32"/>
      <c r="BD20" s="90"/>
      <c r="BE20" s="88"/>
      <c r="BF20" s="88"/>
      <c r="BG20" s="111"/>
      <c r="BH20" s="112"/>
      <c r="BI20" s="113"/>
      <c r="BJ20" s="112"/>
      <c r="BK20" s="31"/>
      <c r="BL20" s="32"/>
      <c r="BM20" s="90"/>
      <c r="BN20" s="88"/>
      <c r="BO20" s="88"/>
      <c r="BP20" s="111"/>
      <c r="BQ20" s="112"/>
      <c r="BR20" s="113"/>
      <c r="BS20" s="112"/>
      <c r="BT20" s="31"/>
      <c r="BU20" s="32"/>
      <c r="BV20" s="90"/>
      <c r="BW20" s="88"/>
      <c r="BX20" s="88"/>
      <c r="BY20" s="111"/>
      <c r="BZ20" s="112"/>
      <c r="CA20" s="113"/>
      <c r="CB20" s="112"/>
      <c r="CC20" s="31"/>
      <c r="CD20" s="32"/>
      <c r="CE20" s="90"/>
      <c r="CF20" s="88"/>
      <c r="CG20" s="88"/>
      <c r="CH20" s="111"/>
      <c r="CI20" s="112"/>
      <c r="CJ20" s="113"/>
      <c r="CK20" s="112"/>
      <c r="CL20" s="31"/>
      <c r="CM20" s="32"/>
      <c r="CN20" s="90"/>
      <c r="CO20" s="88"/>
      <c r="CP20" s="88"/>
      <c r="CQ20" s="111"/>
      <c r="CR20" s="112"/>
      <c r="CS20" s="113"/>
      <c r="CT20" s="112"/>
      <c r="CU20" s="55"/>
      <c r="CW20" s="230" t="s">
        <v>797</v>
      </c>
      <c r="CZ20" s="226" t="s">
        <v>541</v>
      </c>
    </row>
    <row r="21" spans="1:104" ht="26" x14ac:dyDescent="0.25">
      <c r="A21" s="17" t="s">
        <v>799</v>
      </c>
      <c r="B21" s="17" t="s">
        <v>922</v>
      </c>
      <c r="C21" s="17" t="s">
        <v>800</v>
      </c>
      <c r="D21" s="17" t="str">
        <f t="shared" si="6"/>
        <v>A</v>
      </c>
      <c r="E21" s="17" t="b">
        <f t="shared" si="7"/>
        <v>0</v>
      </c>
      <c r="F21" s="17" t="b">
        <f t="shared" si="8"/>
        <v>1</v>
      </c>
      <c r="G21" s="317" t="s">
        <v>1849</v>
      </c>
      <c r="H21" s="325" t="s">
        <v>2218</v>
      </c>
      <c r="I21" s="315" t="s">
        <v>922</v>
      </c>
      <c r="J21" s="147" t="s">
        <v>800</v>
      </c>
      <c r="K21" s="31"/>
      <c r="L21" s="32" t="s">
        <v>354</v>
      </c>
      <c r="M21" s="90" t="s">
        <v>31</v>
      </c>
      <c r="N21" s="111" t="s">
        <v>2470</v>
      </c>
      <c r="O21" s="112"/>
      <c r="P21" s="113"/>
      <c r="Q21" s="112"/>
      <c r="R21" s="31"/>
      <c r="S21" s="32"/>
      <c r="T21" s="90"/>
      <c r="U21" s="88" t="str">
        <f t="shared" si="0"/>
        <v>NA</v>
      </c>
      <c r="V21" s="88" t="str">
        <f t="shared" si="1"/>
        <v>YES</v>
      </c>
      <c r="W21" s="111"/>
      <c r="X21" s="112"/>
      <c r="Y21" s="113"/>
      <c r="Z21" s="112"/>
      <c r="AA21" s="31"/>
      <c r="AB21" s="302"/>
      <c r="AC21" s="89"/>
      <c r="AD21" s="88" t="str">
        <f t="shared" si="9"/>
        <v>NA</v>
      </c>
      <c r="AE21" s="88" t="str">
        <f t="shared" si="10"/>
        <v>NA</v>
      </c>
      <c r="AF21" s="111"/>
      <c r="AG21" s="112"/>
      <c r="AH21" s="113"/>
      <c r="AI21" s="112"/>
      <c r="AJ21" s="31"/>
      <c r="AK21" s="294"/>
      <c r="AL21" s="89"/>
      <c r="AM21" s="88" t="str">
        <f t="shared" si="4"/>
        <v>NA</v>
      </c>
      <c r="AN21" s="88" t="str">
        <f t="shared" si="5"/>
        <v>NA</v>
      </c>
      <c r="AO21" s="111"/>
      <c r="AP21" s="112"/>
      <c r="AQ21" s="113"/>
      <c r="AR21" s="112"/>
      <c r="AS21" s="31"/>
      <c r="AT21" s="32"/>
      <c r="AU21" s="90"/>
      <c r="AV21" s="88"/>
      <c r="AW21" s="88"/>
      <c r="AX21" s="111"/>
      <c r="AY21" s="112"/>
      <c r="AZ21" s="113"/>
      <c r="BA21" s="112"/>
      <c r="BB21" s="31"/>
      <c r="BC21" s="32"/>
      <c r="BD21" s="90"/>
      <c r="BE21" s="88"/>
      <c r="BF21" s="88"/>
      <c r="BG21" s="111"/>
      <c r="BH21" s="112"/>
      <c r="BI21" s="113"/>
      <c r="BJ21" s="112"/>
      <c r="BK21" s="31"/>
      <c r="BL21" s="32"/>
      <c r="BM21" s="90"/>
      <c r="BN21" s="88"/>
      <c r="BO21" s="88"/>
      <c r="BP21" s="111"/>
      <c r="BQ21" s="112"/>
      <c r="BR21" s="113"/>
      <c r="BS21" s="112"/>
      <c r="BT21" s="31"/>
      <c r="BU21" s="32"/>
      <c r="BV21" s="90"/>
      <c r="BW21" s="88"/>
      <c r="BX21" s="88"/>
      <c r="BY21" s="111"/>
      <c r="BZ21" s="112"/>
      <c r="CA21" s="113"/>
      <c r="CB21" s="112"/>
      <c r="CC21" s="31"/>
      <c r="CD21" s="32"/>
      <c r="CE21" s="90"/>
      <c r="CF21" s="88"/>
      <c r="CG21" s="88"/>
      <c r="CH21" s="111"/>
      <c r="CI21" s="112"/>
      <c r="CJ21" s="113"/>
      <c r="CK21" s="112"/>
      <c r="CL21" s="31"/>
      <c r="CM21" s="32"/>
      <c r="CN21" s="90"/>
      <c r="CO21" s="88"/>
      <c r="CP21" s="88"/>
      <c r="CQ21" s="111"/>
      <c r="CR21" s="112"/>
      <c r="CS21" s="113"/>
      <c r="CT21" s="112"/>
      <c r="CU21" s="55"/>
      <c r="CW21" s="230" t="s">
        <v>800</v>
      </c>
      <c r="CZ21" s="226" t="s">
        <v>541</v>
      </c>
    </row>
    <row r="22" spans="1:104" ht="26" hidden="1" x14ac:dyDescent="0.25">
      <c r="A22" s="17" t="s">
        <v>801</v>
      </c>
      <c r="B22" s="17" t="s">
        <v>923</v>
      </c>
      <c r="C22" s="17" t="s">
        <v>1675</v>
      </c>
      <c r="D22" s="17" t="str">
        <f t="shared" si="6"/>
        <v>B</v>
      </c>
      <c r="E22" s="17" t="b">
        <f t="shared" si="7"/>
        <v>0</v>
      </c>
      <c r="F22" s="17" t="b">
        <f t="shared" si="8"/>
        <v>1</v>
      </c>
      <c r="G22" s="317" t="s">
        <v>1850</v>
      </c>
      <c r="H22" s="325" t="s">
        <v>2219</v>
      </c>
      <c r="I22" s="315" t="s">
        <v>923</v>
      </c>
      <c r="J22" s="147" t="s">
        <v>1675</v>
      </c>
      <c r="K22" s="31"/>
      <c r="L22" s="32" t="s">
        <v>354</v>
      </c>
      <c r="M22" s="90"/>
      <c r="N22" s="111"/>
      <c r="O22" s="112"/>
      <c r="P22" s="113"/>
      <c r="Q22" s="112"/>
      <c r="R22" s="31"/>
      <c r="S22" s="32"/>
      <c r="T22" s="90"/>
      <c r="U22" s="88" t="str">
        <f t="shared" si="0"/>
        <v>NA</v>
      </c>
      <c r="V22" s="88" t="str">
        <f t="shared" si="1"/>
        <v>NA</v>
      </c>
      <c r="W22" s="111"/>
      <c r="X22" s="112"/>
      <c r="Y22" s="113"/>
      <c r="Z22" s="112"/>
      <c r="AA22" s="31"/>
      <c r="AB22" s="302"/>
      <c r="AC22" s="89"/>
      <c r="AD22" s="88" t="str">
        <f t="shared" si="9"/>
        <v>NA</v>
      </c>
      <c r="AE22" s="88" t="str">
        <f t="shared" si="10"/>
        <v>NA</v>
      </c>
      <c r="AF22" s="111"/>
      <c r="AG22" s="112"/>
      <c r="AH22" s="113"/>
      <c r="AI22" s="112"/>
      <c r="AJ22" s="31"/>
      <c r="AK22" s="294"/>
      <c r="AL22" s="89"/>
      <c r="AM22" s="88" t="str">
        <f t="shared" si="4"/>
        <v>NA</v>
      </c>
      <c r="AN22" s="88" t="str">
        <f t="shared" si="5"/>
        <v>NA</v>
      </c>
      <c r="AO22" s="111"/>
      <c r="AP22" s="112"/>
      <c r="AQ22" s="113"/>
      <c r="AR22" s="112"/>
      <c r="AS22" s="31"/>
      <c r="AT22" s="32"/>
      <c r="AU22" s="90"/>
      <c r="AV22" s="88"/>
      <c r="AW22" s="88"/>
      <c r="AX22" s="111"/>
      <c r="AY22" s="112"/>
      <c r="AZ22" s="113"/>
      <c r="BA22" s="112"/>
      <c r="BB22" s="31"/>
      <c r="BC22" s="32"/>
      <c r="BD22" s="90"/>
      <c r="BE22" s="88"/>
      <c r="BF22" s="88"/>
      <c r="BG22" s="111"/>
      <c r="BH22" s="112"/>
      <c r="BI22" s="113"/>
      <c r="BJ22" s="112"/>
      <c r="BK22" s="31"/>
      <c r="BL22" s="32"/>
      <c r="BM22" s="90"/>
      <c r="BN22" s="88"/>
      <c r="BO22" s="88"/>
      <c r="BP22" s="111"/>
      <c r="BQ22" s="112"/>
      <c r="BR22" s="113"/>
      <c r="BS22" s="112"/>
      <c r="BT22" s="31"/>
      <c r="BU22" s="32"/>
      <c r="BV22" s="90"/>
      <c r="BW22" s="88"/>
      <c r="BX22" s="88"/>
      <c r="BY22" s="111"/>
      <c r="BZ22" s="112"/>
      <c r="CA22" s="113"/>
      <c r="CB22" s="112"/>
      <c r="CC22" s="31"/>
      <c r="CD22" s="32"/>
      <c r="CE22" s="90"/>
      <c r="CF22" s="88"/>
      <c r="CG22" s="88"/>
      <c r="CH22" s="111"/>
      <c r="CI22" s="112"/>
      <c r="CJ22" s="113"/>
      <c r="CK22" s="112"/>
      <c r="CL22" s="31"/>
      <c r="CM22" s="32"/>
      <c r="CN22" s="90"/>
      <c r="CO22" s="88"/>
      <c r="CP22" s="88"/>
      <c r="CQ22" s="111"/>
      <c r="CR22" s="112"/>
      <c r="CS22" s="113"/>
      <c r="CT22" s="112"/>
      <c r="CU22" s="55"/>
      <c r="CW22" s="230" t="s">
        <v>802</v>
      </c>
      <c r="CZ22" s="226" t="s">
        <v>1590</v>
      </c>
    </row>
    <row r="23" spans="1:104" ht="26" hidden="1" x14ac:dyDescent="0.25">
      <c r="A23" s="17" t="s">
        <v>927</v>
      </c>
      <c r="B23" s="17" t="s">
        <v>924</v>
      </c>
      <c r="C23" s="17" t="s">
        <v>1676</v>
      </c>
      <c r="D23" s="17" t="str">
        <f t="shared" si="6"/>
        <v>B</v>
      </c>
      <c r="E23" s="17" t="b">
        <f t="shared" si="7"/>
        <v>0</v>
      </c>
      <c r="F23" s="17" t="b">
        <f t="shared" si="8"/>
        <v>1</v>
      </c>
      <c r="G23" s="317" t="s">
        <v>1851</v>
      </c>
      <c r="H23" s="325" t="s">
        <v>2220</v>
      </c>
      <c r="I23" s="315" t="s">
        <v>924</v>
      </c>
      <c r="J23" s="147" t="s">
        <v>1676</v>
      </c>
      <c r="K23" s="31"/>
      <c r="L23" s="32" t="s">
        <v>354</v>
      </c>
      <c r="M23" s="90"/>
      <c r="N23" s="111"/>
      <c r="O23" s="112"/>
      <c r="P23" s="113"/>
      <c r="Q23" s="112"/>
      <c r="R23" s="31"/>
      <c r="S23" s="32"/>
      <c r="T23" s="90"/>
      <c r="U23" s="88" t="str">
        <f t="shared" si="0"/>
        <v>NA</v>
      </c>
      <c r="V23" s="88" t="str">
        <f t="shared" si="1"/>
        <v>NA</v>
      </c>
      <c r="W23" s="111"/>
      <c r="X23" s="112"/>
      <c r="Y23" s="113"/>
      <c r="Z23" s="112"/>
      <c r="AA23" s="31"/>
      <c r="AB23" s="302"/>
      <c r="AC23" s="89"/>
      <c r="AD23" s="88" t="str">
        <f t="shared" si="9"/>
        <v>NA</v>
      </c>
      <c r="AE23" s="88" t="str">
        <f t="shared" si="10"/>
        <v>NA</v>
      </c>
      <c r="AF23" s="111"/>
      <c r="AG23" s="112"/>
      <c r="AH23" s="113"/>
      <c r="AI23" s="112"/>
      <c r="AJ23" s="31"/>
      <c r="AK23" s="294"/>
      <c r="AL23" s="89"/>
      <c r="AM23" s="88" t="str">
        <f t="shared" si="4"/>
        <v>NA</v>
      </c>
      <c r="AN23" s="88" t="str">
        <f t="shared" si="5"/>
        <v>NA</v>
      </c>
      <c r="AO23" s="111"/>
      <c r="AP23" s="112"/>
      <c r="AQ23" s="113"/>
      <c r="AR23" s="112"/>
      <c r="AS23" s="31"/>
      <c r="AT23" s="32"/>
      <c r="AU23" s="90"/>
      <c r="AV23" s="88"/>
      <c r="AW23" s="88"/>
      <c r="AX23" s="111"/>
      <c r="AY23" s="112"/>
      <c r="AZ23" s="113"/>
      <c r="BA23" s="112"/>
      <c r="BB23" s="31"/>
      <c r="BC23" s="32"/>
      <c r="BD23" s="90"/>
      <c r="BE23" s="88"/>
      <c r="BF23" s="88"/>
      <c r="BG23" s="111"/>
      <c r="BH23" s="112"/>
      <c r="BI23" s="113"/>
      <c r="BJ23" s="112"/>
      <c r="BK23" s="31"/>
      <c r="BL23" s="32"/>
      <c r="BM23" s="90"/>
      <c r="BN23" s="88"/>
      <c r="BO23" s="88"/>
      <c r="BP23" s="111"/>
      <c r="BQ23" s="112"/>
      <c r="BR23" s="113"/>
      <c r="BS23" s="112"/>
      <c r="BT23" s="31"/>
      <c r="BU23" s="32"/>
      <c r="BV23" s="90"/>
      <c r="BW23" s="88"/>
      <c r="BX23" s="88"/>
      <c r="BY23" s="111"/>
      <c r="BZ23" s="112"/>
      <c r="CA23" s="113"/>
      <c r="CB23" s="112"/>
      <c r="CC23" s="31"/>
      <c r="CD23" s="32"/>
      <c r="CE23" s="90"/>
      <c r="CF23" s="88"/>
      <c r="CG23" s="88"/>
      <c r="CH23" s="111"/>
      <c r="CI23" s="112"/>
      <c r="CJ23" s="113"/>
      <c r="CK23" s="112"/>
      <c r="CL23" s="31"/>
      <c r="CM23" s="32"/>
      <c r="CN23" s="90"/>
      <c r="CO23" s="88"/>
      <c r="CP23" s="88"/>
      <c r="CQ23" s="111"/>
      <c r="CR23" s="112"/>
      <c r="CS23" s="113"/>
      <c r="CT23" s="112"/>
      <c r="CU23" s="55"/>
      <c r="CW23" s="230" t="s">
        <v>803</v>
      </c>
      <c r="CZ23" s="226" t="s">
        <v>1590</v>
      </c>
    </row>
    <row r="24" spans="1:104" ht="26" hidden="1" x14ac:dyDescent="0.25">
      <c r="A24" s="17" t="s">
        <v>928</v>
      </c>
      <c r="B24" s="17" t="s">
        <v>925</v>
      </c>
      <c r="C24" s="17" t="s">
        <v>1677</v>
      </c>
      <c r="D24" s="17" t="str">
        <f t="shared" si="6"/>
        <v>B</v>
      </c>
      <c r="E24" s="17" t="b">
        <f t="shared" si="7"/>
        <v>0</v>
      </c>
      <c r="F24" s="17" t="b">
        <f t="shared" si="8"/>
        <v>1</v>
      </c>
      <c r="G24" s="317" t="s">
        <v>1852</v>
      </c>
      <c r="H24" s="325" t="s">
        <v>2221</v>
      </c>
      <c r="I24" s="315" t="s">
        <v>925</v>
      </c>
      <c r="J24" s="147" t="s">
        <v>1677</v>
      </c>
      <c r="K24" s="31"/>
      <c r="L24" s="32" t="s">
        <v>354</v>
      </c>
      <c r="M24" s="90"/>
      <c r="N24" s="111"/>
      <c r="O24" s="112"/>
      <c r="P24" s="113"/>
      <c r="Q24" s="112"/>
      <c r="R24" s="31"/>
      <c r="S24" s="32"/>
      <c r="T24" s="90"/>
      <c r="U24" s="88" t="str">
        <f t="shared" si="0"/>
        <v>NA</v>
      </c>
      <c r="V24" s="88" t="str">
        <f t="shared" si="1"/>
        <v>NA</v>
      </c>
      <c r="W24" s="111"/>
      <c r="X24" s="112"/>
      <c r="Y24" s="113"/>
      <c r="Z24" s="112"/>
      <c r="AA24" s="31"/>
      <c r="AB24" s="302"/>
      <c r="AC24" s="89"/>
      <c r="AD24" s="88" t="str">
        <f t="shared" si="9"/>
        <v>NA</v>
      </c>
      <c r="AE24" s="88" t="str">
        <f t="shared" si="10"/>
        <v>NA</v>
      </c>
      <c r="AF24" s="111"/>
      <c r="AG24" s="112"/>
      <c r="AH24" s="113"/>
      <c r="AI24" s="112"/>
      <c r="AJ24" s="31"/>
      <c r="AK24" s="294"/>
      <c r="AL24" s="89"/>
      <c r="AM24" s="88" t="str">
        <f t="shared" si="4"/>
        <v>NA</v>
      </c>
      <c r="AN24" s="88" t="str">
        <f t="shared" si="5"/>
        <v>NA</v>
      </c>
      <c r="AO24" s="111"/>
      <c r="AP24" s="112"/>
      <c r="AQ24" s="113"/>
      <c r="AR24" s="112"/>
      <c r="AS24" s="31"/>
      <c r="AT24" s="32"/>
      <c r="AU24" s="90"/>
      <c r="AV24" s="88"/>
      <c r="AW24" s="88"/>
      <c r="AX24" s="111"/>
      <c r="AY24" s="112"/>
      <c r="AZ24" s="113"/>
      <c r="BA24" s="112"/>
      <c r="BB24" s="31"/>
      <c r="BC24" s="32"/>
      <c r="BD24" s="90"/>
      <c r="BE24" s="88"/>
      <c r="BF24" s="88"/>
      <c r="BG24" s="111"/>
      <c r="BH24" s="112"/>
      <c r="BI24" s="113"/>
      <c r="BJ24" s="112"/>
      <c r="BK24" s="31"/>
      <c r="BL24" s="32"/>
      <c r="BM24" s="90"/>
      <c r="BN24" s="88"/>
      <c r="BO24" s="88"/>
      <c r="BP24" s="111"/>
      <c r="BQ24" s="112"/>
      <c r="BR24" s="113"/>
      <c r="BS24" s="112"/>
      <c r="BT24" s="31"/>
      <c r="BU24" s="32"/>
      <c r="BV24" s="90"/>
      <c r="BW24" s="88"/>
      <c r="BX24" s="88"/>
      <c r="BY24" s="111"/>
      <c r="BZ24" s="112"/>
      <c r="CA24" s="113"/>
      <c r="CB24" s="112"/>
      <c r="CC24" s="31"/>
      <c r="CD24" s="32"/>
      <c r="CE24" s="90"/>
      <c r="CF24" s="88"/>
      <c r="CG24" s="88"/>
      <c r="CH24" s="111"/>
      <c r="CI24" s="112"/>
      <c r="CJ24" s="113"/>
      <c r="CK24" s="112"/>
      <c r="CL24" s="31"/>
      <c r="CM24" s="32"/>
      <c r="CN24" s="90"/>
      <c r="CO24" s="88"/>
      <c r="CP24" s="88"/>
      <c r="CQ24" s="111"/>
      <c r="CR24" s="112"/>
      <c r="CS24" s="113"/>
      <c r="CT24" s="112"/>
      <c r="CU24" s="55"/>
      <c r="CW24" s="230" t="s">
        <v>804</v>
      </c>
      <c r="CZ24" s="226" t="s">
        <v>1590</v>
      </c>
    </row>
    <row r="25" spans="1:104" ht="26" hidden="1" x14ac:dyDescent="0.25">
      <c r="A25" s="17" t="s">
        <v>929</v>
      </c>
      <c r="B25" s="17" t="s">
        <v>926</v>
      </c>
      <c r="C25" s="17" t="s">
        <v>1678</v>
      </c>
      <c r="D25" s="17" t="str">
        <f t="shared" si="6"/>
        <v>B</v>
      </c>
      <c r="E25" s="17" t="b">
        <f t="shared" si="7"/>
        <v>0</v>
      </c>
      <c r="F25" s="17" t="b">
        <f t="shared" si="8"/>
        <v>1</v>
      </c>
      <c r="G25" s="317" t="s">
        <v>1853</v>
      </c>
      <c r="H25" s="325" t="s">
        <v>2222</v>
      </c>
      <c r="I25" s="315" t="s">
        <v>926</v>
      </c>
      <c r="J25" s="147" t="s">
        <v>1678</v>
      </c>
      <c r="K25" s="31"/>
      <c r="L25" s="32" t="s">
        <v>354</v>
      </c>
      <c r="M25" s="90"/>
      <c r="N25" s="111"/>
      <c r="O25" s="112"/>
      <c r="P25" s="113"/>
      <c r="Q25" s="112"/>
      <c r="R25" s="31"/>
      <c r="S25" s="32"/>
      <c r="T25" s="90"/>
      <c r="U25" s="88" t="str">
        <f t="shared" si="0"/>
        <v>NA</v>
      </c>
      <c r="V25" s="88" t="str">
        <f t="shared" si="1"/>
        <v>NA</v>
      </c>
      <c r="W25" s="111"/>
      <c r="X25" s="112"/>
      <c r="Y25" s="113"/>
      <c r="Z25" s="112"/>
      <c r="AA25" s="31"/>
      <c r="AB25" s="302"/>
      <c r="AC25" s="89"/>
      <c r="AD25" s="88" t="str">
        <f t="shared" si="9"/>
        <v>NA</v>
      </c>
      <c r="AE25" s="88" t="str">
        <f t="shared" si="10"/>
        <v>NA</v>
      </c>
      <c r="AF25" s="111"/>
      <c r="AG25" s="112"/>
      <c r="AH25" s="113"/>
      <c r="AI25" s="112"/>
      <c r="AJ25" s="31"/>
      <c r="AK25" s="294"/>
      <c r="AL25" s="89"/>
      <c r="AM25" s="88" t="str">
        <f t="shared" si="4"/>
        <v>NA</v>
      </c>
      <c r="AN25" s="88" t="str">
        <f t="shared" si="5"/>
        <v>NA</v>
      </c>
      <c r="AO25" s="111"/>
      <c r="AP25" s="112"/>
      <c r="AQ25" s="113"/>
      <c r="AR25" s="112"/>
      <c r="AS25" s="31"/>
      <c r="AT25" s="32"/>
      <c r="AU25" s="90"/>
      <c r="AV25" s="88"/>
      <c r="AW25" s="88"/>
      <c r="AX25" s="111"/>
      <c r="AY25" s="112"/>
      <c r="AZ25" s="113"/>
      <c r="BA25" s="112"/>
      <c r="BB25" s="31"/>
      <c r="BC25" s="32"/>
      <c r="BD25" s="90"/>
      <c r="BE25" s="88"/>
      <c r="BF25" s="88"/>
      <c r="BG25" s="111"/>
      <c r="BH25" s="112"/>
      <c r="BI25" s="113"/>
      <c r="BJ25" s="112"/>
      <c r="BK25" s="31"/>
      <c r="BL25" s="32"/>
      <c r="BM25" s="90"/>
      <c r="BN25" s="88"/>
      <c r="BO25" s="88"/>
      <c r="BP25" s="111"/>
      <c r="BQ25" s="112"/>
      <c r="BR25" s="113"/>
      <c r="BS25" s="112"/>
      <c r="BT25" s="31"/>
      <c r="BU25" s="32"/>
      <c r="BV25" s="90"/>
      <c r="BW25" s="88"/>
      <c r="BX25" s="88"/>
      <c r="BY25" s="111"/>
      <c r="BZ25" s="112"/>
      <c r="CA25" s="113"/>
      <c r="CB25" s="112"/>
      <c r="CC25" s="31"/>
      <c r="CD25" s="32"/>
      <c r="CE25" s="90"/>
      <c r="CF25" s="88"/>
      <c r="CG25" s="88"/>
      <c r="CH25" s="111"/>
      <c r="CI25" s="112"/>
      <c r="CJ25" s="113"/>
      <c r="CK25" s="112"/>
      <c r="CL25" s="31"/>
      <c r="CM25" s="32"/>
      <c r="CN25" s="90"/>
      <c r="CO25" s="88"/>
      <c r="CP25" s="88"/>
      <c r="CQ25" s="111"/>
      <c r="CR25" s="112"/>
      <c r="CS25" s="113"/>
      <c r="CT25" s="112"/>
      <c r="CU25" s="55"/>
      <c r="CW25" s="230" t="s">
        <v>805</v>
      </c>
      <c r="CZ25" s="226" t="s">
        <v>1590</v>
      </c>
    </row>
    <row r="26" spans="1:104" ht="50" x14ac:dyDescent="0.25">
      <c r="A26" s="17" t="s">
        <v>806</v>
      </c>
      <c r="B26" s="17" t="s">
        <v>1008</v>
      </c>
      <c r="C26" s="17" t="s">
        <v>1679</v>
      </c>
      <c r="D26" s="17" t="str">
        <f t="shared" si="6"/>
        <v>B</v>
      </c>
      <c r="E26" s="17" t="b">
        <f t="shared" si="7"/>
        <v>0</v>
      </c>
      <c r="F26" s="17" t="b">
        <f t="shared" si="8"/>
        <v>1</v>
      </c>
      <c r="G26" s="317" t="s">
        <v>1854</v>
      </c>
      <c r="H26" s="325" t="s">
        <v>2223</v>
      </c>
      <c r="I26" s="315" t="s">
        <v>1855</v>
      </c>
      <c r="J26" s="147" t="s">
        <v>1679</v>
      </c>
      <c r="K26" s="31"/>
      <c r="L26" s="32" t="s">
        <v>354</v>
      </c>
      <c r="M26" s="145" t="s">
        <v>2414</v>
      </c>
      <c r="N26" s="111" t="s">
        <v>2470</v>
      </c>
      <c r="O26" s="112"/>
      <c r="P26" s="113"/>
      <c r="Q26" s="112"/>
      <c r="R26" s="31"/>
      <c r="S26" s="32"/>
      <c r="T26" s="145"/>
      <c r="U26" s="88" t="str">
        <f t="shared" si="0"/>
        <v>NA</v>
      </c>
      <c r="V26" s="88" t="str">
        <f t="shared" si="1"/>
        <v>YES</v>
      </c>
      <c r="W26" s="111"/>
      <c r="X26" s="112"/>
      <c r="Y26" s="113"/>
      <c r="Z26" s="112"/>
      <c r="AA26" s="31"/>
      <c r="AB26" s="302"/>
      <c r="AC26" s="89"/>
      <c r="AD26" s="88" t="str">
        <f t="shared" si="9"/>
        <v>NA</v>
      </c>
      <c r="AE26" s="88" t="str">
        <f t="shared" si="10"/>
        <v>NA</v>
      </c>
      <c r="AF26" s="111"/>
      <c r="AG26" s="112"/>
      <c r="AH26" s="113"/>
      <c r="AI26" s="112"/>
      <c r="AJ26" s="31"/>
      <c r="AK26" s="294"/>
      <c r="AL26" s="89"/>
      <c r="AM26" s="88" t="str">
        <f t="shared" si="4"/>
        <v>NA</v>
      </c>
      <c r="AN26" s="88" t="str">
        <f t="shared" si="5"/>
        <v>NA</v>
      </c>
      <c r="AO26" s="111"/>
      <c r="AP26" s="112"/>
      <c r="AQ26" s="113"/>
      <c r="AR26" s="112"/>
      <c r="AS26" s="31"/>
      <c r="AT26" s="32"/>
      <c r="AU26" s="90"/>
      <c r="AV26" s="88"/>
      <c r="AW26" s="88"/>
      <c r="AX26" s="111"/>
      <c r="AY26" s="112"/>
      <c r="AZ26" s="113"/>
      <c r="BA26" s="112"/>
      <c r="BB26" s="31"/>
      <c r="BC26" s="32"/>
      <c r="BD26" s="90"/>
      <c r="BE26" s="88"/>
      <c r="BF26" s="88"/>
      <c r="BG26" s="111"/>
      <c r="BH26" s="112"/>
      <c r="BI26" s="113"/>
      <c r="BJ26" s="112"/>
      <c r="BK26" s="31"/>
      <c r="BL26" s="32"/>
      <c r="BM26" s="90"/>
      <c r="BN26" s="88"/>
      <c r="BO26" s="88"/>
      <c r="BP26" s="111"/>
      <c r="BQ26" s="112"/>
      <c r="BR26" s="113"/>
      <c r="BS26" s="112"/>
      <c r="BT26" s="31"/>
      <c r="BU26" s="32"/>
      <c r="BV26" s="90"/>
      <c r="BW26" s="88"/>
      <c r="BX26" s="88"/>
      <c r="BY26" s="111"/>
      <c r="BZ26" s="112"/>
      <c r="CA26" s="113"/>
      <c r="CB26" s="112"/>
      <c r="CC26" s="31"/>
      <c r="CD26" s="32"/>
      <c r="CE26" s="90"/>
      <c r="CF26" s="88"/>
      <c r="CG26" s="88"/>
      <c r="CH26" s="111"/>
      <c r="CI26" s="112"/>
      <c r="CJ26" s="113"/>
      <c r="CK26" s="112"/>
      <c r="CL26" s="31"/>
      <c r="CM26" s="32"/>
      <c r="CN26" s="90"/>
      <c r="CO26" s="88"/>
      <c r="CP26" s="88"/>
      <c r="CQ26" s="111"/>
      <c r="CR26" s="112"/>
      <c r="CS26" s="113"/>
      <c r="CT26" s="112"/>
      <c r="CU26" s="55"/>
      <c r="CW26" s="230" t="s">
        <v>807</v>
      </c>
      <c r="CZ26" s="226" t="s">
        <v>1589</v>
      </c>
    </row>
    <row r="27" spans="1:104" ht="50" hidden="1" x14ac:dyDescent="0.25">
      <c r="A27" s="17" t="s">
        <v>808</v>
      </c>
      <c r="B27" s="17" t="s">
        <v>1009</v>
      </c>
      <c r="C27" s="17" t="s">
        <v>1680</v>
      </c>
      <c r="D27" s="17" t="str">
        <f t="shared" si="6"/>
        <v>B</v>
      </c>
      <c r="E27" s="17" t="b">
        <f t="shared" si="7"/>
        <v>0</v>
      </c>
      <c r="F27" s="17" t="b">
        <f t="shared" si="8"/>
        <v>1</v>
      </c>
      <c r="G27" s="317" t="s">
        <v>1856</v>
      </c>
      <c r="H27" s="325" t="s">
        <v>2224</v>
      </c>
      <c r="I27" s="315" t="s">
        <v>1857</v>
      </c>
      <c r="J27" s="147" t="s">
        <v>1680</v>
      </c>
      <c r="K27" s="31"/>
      <c r="L27" s="32" t="s">
        <v>354</v>
      </c>
      <c r="M27" s="90"/>
      <c r="N27" s="111"/>
      <c r="O27" s="112"/>
      <c r="P27" s="113"/>
      <c r="Q27" s="112"/>
      <c r="R27" s="31"/>
      <c r="S27" s="32"/>
      <c r="T27" s="90"/>
      <c r="U27" s="88" t="str">
        <f t="shared" si="0"/>
        <v>NA</v>
      </c>
      <c r="V27" s="88" t="str">
        <f t="shared" si="1"/>
        <v>NA</v>
      </c>
      <c r="W27" s="111"/>
      <c r="X27" s="112"/>
      <c r="Y27" s="113"/>
      <c r="Z27" s="112"/>
      <c r="AA27" s="31"/>
      <c r="AB27" s="302"/>
      <c r="AC27" s="89"/>
      <c r="AD27" s="88" t="str">
        <f t="shared" si="9"/>
        <v>NA</v>
      </c>
      <c r="AE27" s="88" t="str">
        <f t="shared" si="10"/>
        <v>NA</v>
      </c>
      <c r="AF27" s="111"/>
      <c r="AG27" s="112"/>
      <c r="AH27" s="113"/>
      <c r="AI27" s="112"/>
      <c r="AJ27" s="31"/>
      <c r="AK27" s="294"/>
      <c r="AL27" s="89"/>
      <c r="AM27" s="88" t="str">
        <f t="shared" si="4"/>
        <v>NA</v>
      </c>
      <c r="AN27" s="88" t="str">
        <f t="shared" si="5"/>
        <v>NA</v>
      </c>
      <c r="AO27" s="111"/>
      <c r="AP27" s="112"/>
      <c r="AQ27" s="113"/>
      <c r="AR27" s="112"/>
      <c r="AS27" s="31"/>
      <c r="AT27" s="32"/>
      <c r="AU27" s="90"/>
      <c r="AV27" s="88"/>
      <c r="AW27" s="88"/>
      <c r="AX27" s="111"/>
      <c r="AY27" s="112"/>
      <c r="AZ27" s="113"/>
      <c r="BA27" s="112"/>
      <c r="BB27" s="31"/>
      <c r="BC27" s="32"/>
      <c r="BD27" s="90"/>
      <c r="BE27" s="88"/>
      <c r="BF27" s="88"/>
      <c r="BG27" s="111"/>
      <c r="BH27" s="112"/>
      <c r="BI27" s="113"/>
      <c r="BJ27" s="112"/>
      <c r="BK27" s="31"/>
      <c r="BL27" s="32"/>
      <c r="BM27" s="90"/>
      <c r="BN27" s="88"/>
      <c r="BO27" s="88"/>
      <c r="BP27" s="111"/>
      <c r="BQ27" s="112"/>
      <c r="BR27" s="113"/>
      <c r="BS27" s="112"/>
      <c r="BT27" s="31"/>
      <c r="BU27" s="32"/>
      <c r="BV27" s="90"/>
      <c r="BW27" s="88"/>
      <c r="BX27" s="88"/>
      <c r="BY27" s="111"/>
      <c r="BZ27" s="112"/>
      <c r="CA27" s="113"/>
      <c r="CB27" s="112"/>
      <c r="CC27" s="31"/>
      <c r="CD27" s="32"/>
      <c r="CE27" s="90"/>
      <c r="CF27" s="88"/>
      <c r="CG27" s="88"/>
      <c r="CH27" s="111"/>
      <c r="CI27" s="112"/>
      <c r="CJ27" s="113"/>
      <c r="CK27" s="112"/>
      <c r="CL27" s="31"/>
      <c r="CM27" s="32"/>
      <c r="CN27" s="90"/>
      <c r="CO27" s="88"/>
      <c r="CP27" s="88"/>
      <c r="CQ27" s="111"/>
      <c r="CR27" s="112"/>
      <c r="CS27" s="113"/>
      <c r="CT27" s="112"/>
      <c r="CU27" s="55"/>
      <c r="CW27" s="230" t="s">
        <v>809</v>
      </c>
      <c r="CZ27" s="226" t="s">
        <v>1589</v>
      </c>
    </row>
    <row r="28" spans="1:104" ht="50" hidden="1" x14ac:dyDescent="0.25">
      <c r="A28" s="17" t="s">
        <v>810</v>
      </c>
      <c r="B28" s="17" t="s">
        <v>1010</v>
      </c>
      <c r="C28" s="17" t="s">
        <v>1681</v>
      </c>
      <c r="D28" s="17" t="str">
        <f t="shared" si="6"/>
        <v>B</v>
      </c>
      <c r="E28" s="17" t="b">
        <f t="shared" si="7"/>
        <v>0</v>
      </c>
      <c r="F28" s="17" t="b">
        <f t="shared" si="8"/>
        <v>1</v>
      </c>
      <c r="G28" s="317" t="s">
        <v>1858</v>
      </c>
      <c r="H28" s="325" t="s">
        <v>2225</v>
      </c>
      <c r="I28" s="315" t="s">
        <v>1859</v>
      </c>
      <c r="J28" s="147" t="s">
        <v>1681</v>
      </c>
      <c r="K28" s="31"/>
      <c r="L28" s="32" t="s">
        <v>354</v>
      </c>
      <c r="M28" s="90"/>
      <c r="N28" s="111"/>
      <c r="O28" s="112"/>
      <c r="P28" s="113"/>
      <c r="Q28" s="112"/>
      <c r="R28" s="31"/>
      <c r="S28" s="32"/>
      <c r="T28" s="90"/>
      <c r="U28" s="88" t="str">
        <f t="shared" si="0"/>
        <v>NA</v>
      </c>
      <c r="V28" s="88" t="str">
        <f t="shared" si="1"/>
        <v>NA</v>
      </c>
      <c r="W28" s="111"/>
      <c r="X28" s="112"/>
      <c r="Y28" s="113"/>
      <c r="Z28" s="112"/>
      <c r="AA28" s="31"/>
      <c r="AB28" s="302"/>
      <c r="AC28" s="89"/>
      <c r="AD28" s="88" t="str">
        <f t="shared" si="9"/>
        <v>NA</v>
      </c>
      <c r="AE28" s="88" t="str">
        <f t="shared" si="10"/>
        <v>NA</v>
      </c>
      <c r="AF28" s="111"/>
      <c r="AG28" s="112"/>
      <c r="AH28" s="113"/>
      <c r="AI28" s="112"/>
      <c r="AJ28" s="31"/>
      <c r="AK28" s="294"/>
      <c r="AL28" s="89"/>
      <c r="AM28" s="88" t="str">
        <f t="shared" si="4"/>
        <v>NA</v>
      </c>
      <c r="AN28" s="88" t="str">
        <f t="shared" si="5"/>
        <v>NA</v>
      </c>
      <c r="AO28" s="111"/>
      <c r="AP28" s="112"/>
      <c r="AQ28" s="113"/>
      <c r="AR28" s="112"/>
      <c r="AS28" s="31"/>
      <c r="AT28" s="32"/>
      <c r="AU28" s="90"/>
      <c r="AV28" s="88"/>
      <c r="AW28" s="88"/>
      <c r="AX28" s="111"/>
      <c r="AY28" s="112"/>
      <c r="AZ28" s="113"/>
      <c r="BA28" s="112"/>
      <c r="BB28" s="31"/>
      <c r="BC28" s="32"/>
      <c r="BD28" s="90"/>
      <c r="BE28" s="88"/>
      <c r="BF28" s="88"/>
      <c r="BG28" s="111"/>
      <c r="BH28" s="112"/>
      <c r="BI28" s="113"/>
      <c r="BJ28" s="112"/>
      <c r="BK28" s="31"/>
      <c r="BL28" s="32"/>
      <c r="BM28" s="90"/>
      <c r="BN28" s="88"/>
      <c r="BO28" s="88"/>
      <c r="BP28" s="111"/>
      <c r="BQ28" s="112"/>
      <c r="BR28" s="113"/>
      <c r="BS28" s="112"/>
      <c r="BT28" s="31"/>
      <c r="BU28" s="32"/>
      <c r="BV28" s="90"/>
      <c r="BW28" s="88"/>
      <c r="BX28" s="88"/>
      <c r="BY28" s="111"/>
      <c r="BZ28" s="112"/>
      <c r="CA28" s="113"/>
      <c r="CB28" s="112"/>
      <c r="CC28" s="31"/>
      <c r="CD28" s="32"/>
      <c r="CE28" s="90"/>
      <c r="CF28" s="88"/>
      <c r="CG28" s="88"/>
      <c r="CH28" s="111"/>
      <c r="CI28" s="112"/>
      <c r="CJ28" s="113"/>
      <c r="CK28" s="112"/>
      <c r="CL28" s="31"/>
      <c r="CM28" s="32"/>
      <c r="CN28" s="90"/>
      <c r="CO28" s="88"/>
      <c r="CP28" s="88"/>
      <c r="CQ28" s="111"/>
      <c r="CR28" s="112"/>
      <c r="CS28" s="113"/>
      <c r="CT28" s="112"/>
      <c r="CU28" s="55"/>
      <c r="CW28" s="230" t="s">
        <v>811</v>
      </c>
      <c r="CZ28" s="226" t="s">
        <v>1589</v>
      </c>
    </row>
    <row r="29" spans="1:104" ht="50" hidden="1" x14ac:dyDescent="0.25">
      <c r="A29" s="17" t="s">
        <v>812</v>
      </c>
      <c r="B29" s="17" t="s">
        <v>1011</v>
      </c>
      <c r="C29" s="17" t="s">
        <v>1682</v>
      </c>
      <c r="D29" s="17" t="str">
        <f t="shared" si="6"/>
        <v>B</v>
      </c>
      <c r="E29" s="17" t="b">
        <f t="shared" si="7"/>
        <v>0</v>
      </c>
      <c r="F29" s="17" t="b">
        <f t="shared" si="8"/>
        <v>1</v>
      </c>
      <c r="G29" s="317" t="s">
        <v>1860</v>
      </c>
      <c r="H29" s="325" t="s">
        <v>2226</v>
      </c>
      <c r="I29" s="315" t="s">
        <v>1861</v>
      </c>
      <c r="J29" s="147" t="s">
        <v>1682</v>
      </c>
      <c r="K29" s="31"/>
      <c r="L29" s="32" t="s">
        <v>354</v>
      </c>
      <c r="M29" s="90"/>
      <c r="N29" s="111"/>
      <c r="O29" s="112"/>
      <c r="P29" s="113"/>
      <c r="Q29" s="112"/>
      <c r="R29" s="31"/>
      <c r="S29" s="32"/>
      <c r="T29" s="90"/>
      <c r="U29" s="88" t="str">
        <f t="shared" si="0"/>
        <v>NA</v>
      </c>
      <c r="V29" s="88" t="str">
        <f t="shared" si="1"/>
        <v>NA</v>
      </c>
      <c r="W29" s="111"/>
      <c r="X29" s="112"/>
      <c r="Y29" s="113"/>
      <c r="Z29" s="112"/>
      <c r="AA29" s="31"/>
      <c r="AB29" s="302"/>
      <c r="AC29" s="89"/>
      <c r="AD29" s="88" t="str">
        <f t="shared" si="9"/>
        <v>NA</v>
      </c>
      <c r="AE29" s="88" t="str">
        <f t="shared" si="10"/>
        <v>NA</v>
      </c>
      <c r="AF29" s="111"/>
      <c r="AG29" s="112"/>
      <c r="AH29" s="113"/>
      <c r="AI29" s="112"/>
      <c r="AJ29" s="31"/>
      <c r="AK29" s="294"/>
      <c r="AL29" s="89"/>
      <c r="AM29" s="88" t="str">
        <f t="shared" si="4"/>
        <v>NA</v>
      </c>
      <c r="AN29" s="88" t="str">
        <f t="shared" si="5"/>
        <v>NA</v>
      </c>
      <c r="AO29" s="111"/>
      <c r="AP29" s="112"/>
      <c r="AQ29" s="113"/>
      <c r="AR29" s="112"/>
      <c r="AS29" s="31"/>
      <c r="AT29" s="32"/>
      <c r="AU29" s="90"/>
      <c r="AV29" s="88"/>
      <c r="AW29" s="88"/>
      <c r="AX29" s="111"/>
      <c r="AY29" s="112"/>
      <c r="AZ29" s="113"/>
      <c r="BA29" s="112"/>
      <c r="BB29" s="31"/>
      <c r="BC29" s="32"/>
      <c r="BD29" s="90"/>
      <c r="BE29" s="88"/>
      <c r="BF29" s="88"/>
      <c r="BG29" s="111"/>
      <c r="BH29" s="112"/>
      <c r="BI29" s="113"/>
      <c r="BJ29" s="112"/>
      <c r="BK29" s="31"/>
      <c r="BL29" s="32"/>
      <c r="BM29" s="90"/>
      <c r="BN29" s="88"/>
      <c r="BO29" s="88"/>
      <c r="BP29" s="111"/>
      <c r="BQ29" s="112"/>
      <c r="BR29" s="113"/>
      <c r="BS29" s="112"/>
      <c r="BT29" s="31"/>
      <c r="BU29" s="32"/>
      <c r="BV29" s="90"/>
      <c r="BW29" s="88"/>
      <c r="BX29" s="88"/>
      <c r="BY29" s="111"/>
      <c r="BZ29" s="112"/>
      <c r="CA29" s="113"/>
      <c r="CB29" s="112"/>
      <c r="CC29" s="31"/>
      <c r="CD29" s="32"/>
      <c r="CE29" s="90"/>
      <c r="CF29" s="88"/>
      <c r="CG29" s="88"/>
      <c r="CH29" s="111"/>
      <c r="CI29" s="112"/>
      <c r="CJ29" s="113"/>
      <c r="CK29" s="112"/>
      <c r="CL29" s="31"/>
      <c r="CM29" s="32"/>
      <c r="CN29" s="90"/>
      <c r="CO29" s="88"/>
      <c r="CP29" s="88"/>
      <c r="CQ29" s="111"/>
      <c r="CR29" s="112"/>
      <c r="CS29" s="113"/>
      <c r="CT29" s="112"/>
      <c r="CU29" s="55"/>
      <c r="CW29" s="230" t="s">
        <v>813</v>
      </c>
      <c r="CZ29" s="226" t="s">
        <v>1589</v>
      </c>
    </row>
    <row r="30" spans="1:104" ht="50" hidden="1" x14ac:dyDescent="0.25">
      <c r="A30" s="17" t="s">
        <v>814</v>
      </c>
      <c r="B30" s="17" t="s">
        <v>1012</v>
      </c>
      <c r="C30" s="17" t="s">
        <v>1683</v>
      </c>
      <c r="D30" s="17" t="str">
        <f t="shared" si="6"/>
        <v>B</v>
      </c>
      <c r="E30" s="17" t="b">
        <f t="shared" si="7"/>
        <v>0</v>
      </c>
      <c r="F30" s="17" t="b">
        <f t="shared" si="8"/>
        <v>1</v>
      </c>
      <c r="G30" s="317" t="s">
        <v>1862</v>
      </c>
      <c r="H30" s="325" t="s">
        <v>2227</v>
      </c>
      <c r="I30" s="315" t="s">
        <v>1863</v>
      </c>
      <c r="J30" s="147" t="s">
        <v>1683</v>
      </c>
      <c r="K30" s="31"/>
      <c r="L30" s="32" t="s">
        <v>354</v>
      </c>
      <c r="M30" s="90"/>
      <c r="N30" s="111"/>
      <c r="O30" s="112"/>
      <c r="P30" s="113"/>
      <c r="Q30" s="112"/>
      <c r="R30" s="31"/>
      <c r="S30" s="32"/>
      <c r="T30" s="90"/>
      <c r="U30" s="88" t="str">
        <f t="shared" si="0"/>
        <v>NA</v>
      </c>
      <c r="V30" s="88" t="str">
        <f t="shared" si="1"/>
        <v>NA</v>
      </c>
      <c r="W30" s="111"/>
      <c r="X30" s="112"/>
      <c r="Y30" s="113"/>
      <c r="Z30" s="112"/>
      <c r="AA30" s="31"/>
      <c r="AB30" s="302"/>
      <c r="AC30" s="89"/>
      <c r="AD30" s="88" t="str">
        <f t="shared" si="9"/>
        <v>NA</v>
      </c>
      <c r="AE30" s="88" t="str">
        <f t="shared" si="10"/>
        <v>NA</v>
      </c>
      <c r="AF30" s="111"/>
      <c r="AG30" s="112"/>
      <c r="AH30" s="113"/>
      <c r="AI30" s="112"/>
      <c r="AJ30" s="31"/>
      <c r="AK30" s="294"/>
      <c r="AL30" s="89"/>
      <c r="AM30" s="88" t="str">
        <f t="shared" si="4"/>
        <v>NA</v>
      </c>
      <c r="AN30" s="88" t="str">
        <f t="shared" si="5"/>
        <v>NA</v>
      </c>
      <c r="AO30" s="111"/>
      <c r="AP30" s="112"/>
      <c r="AQ30" s="113"/>
      <c r="AR30" s="112"/>
      <c r="AS30" s="31"/>
      <c r="AT30" s="32"/>
      <c r="AU30" s="90"/>
      <c r="AV30" s="88"/>
      <c r="AW30" s="88"/>
      <c r="AX30" s="111"/>
      <c r="AY30" s="112"/>
      <c r="AZ30" s="113"/>
      <c r="BA30" s="112"/>
      <c r="BB30" s="31"/>
      <c r="BC30" s="32"/>
      <c r="BD30" s="90"/>
      <c r="BE30" s="88"/>
      <c r="BF30" s="88"/>
      <c r="BG30" s="111"/>
      <c r="BH30" s="112"/>
      <c r="BI30" s="113"/>
      <c r="BJ30" s="112"/>
      <c r="BK30" s="31"/>
      <c r="BL30" s="32"/>
      <c r="BM30" s="90"/>
      <c r="BN30" s="88"/>
      <c r="BO30" s="88"/>
      <c r="BP30" s="111"/>
      <c r="BQ30" s="112"/>
      <c r="BR30" s="113"/>
      <c r="BS30" s="112"/>
      <c r="BT30" s="31"/>
      <c r="BU30" s="32"/>
      <c r="BV30" s="90"/>
      <c r="BW30" s="88"/>
      <c r="BX30" s="88"/>
      <c r="BY30" s="111"/>
      <c r="BZ30" s="112"/>
      <c r="CA30" s="113"/>
      <c r="CB30" s="112"/>
      <c r="CC30" s="31"/>
      <c r="CD30" s="32"/>
      <c r="CE30" s="90"/>
      <c r="CF30" s="88"/>
      <c r="CG30" s="88"/>
      <c r="CH30" s="111"/>
      <c r="CI30" s="112"/>
      <c r="CJ30" s="113"/>
      <c r="CK30" s="112"/>
      <c r="CL30" s="31"/>
      <c r="CM30" s="32"/>
      <c r="CN30" s="90"/>
      <c r="CO30" s="88"/>
      <c r="CP30" s="88"/>
      <c r="CQ30" s="111"/>
      <c r="CR30" s="112"/>
      <c r="CS30" s="113"/>
      <c r="CT30" s="112"/>
      <c r="CU30" s="55"/>
      <c r="CW30" s="230" t="s">
        <v>815</v>
      </c>
      <c r="CZ30" s="226" t="s">
        <v>1589</v>
      </c>
    </row>
    <row r="31" spans="1:104" ht="50" hidden="1" x14ac:dyDescent="0.25">
      <c r="A31" s="17" t="s">
        <v>816</v>
      </c>
      <c r="B31" s="17" t="s">
        <v>1013</v>
      </c>
      <c r="C31" s="17" t="s">
        <v>1684</v>
      </c>
      <c r="D31" s="17" t="str">
        <f t="shared" si="6"/>
        <v>B</v>
      </c>
      <c r="E31" s="17" t="b">
        <f t="shared" si="7"/>
        <v>0</v>
      </c>
      <c r="F31" s="17" t="b">
        <f t="shared" si="8"/>
        <v>0</v>
      </c>
      <c r="G31" s="317" t="s">
        <v>1864</v>
      </c>
      <c r="H31" s="325" t="s">
        <v>2228</v>
      </c>
      <c r="I31" s="315" t="s">
        <v>1865</v>
      </c>
      <c r="J31" s="147" t="s">
        <v>1683</v>
      </c>
      <c r="K31" s="31"/>
      <c r="L31" s="32" t="s">
        <v>354</v>
      </c>
      <c r="M31" s="90"/>
      <c r="N31" s="111"/>
      <c r="O31" s="112"/>
      <c r="P31" s="113"/>
      <c r="Q31" s="112"/>
      <c r="R31" s="31"/>
      <c r="S31" s="32"/>
      <c r="T31" s="90"/>
      <c r="U31" s="88" t="str">
        <f t="shared" si="0"/>
        <v>NA</v>
      </c>
      <c r="V31" s="88" t="str">
        <f t="shared" si="1"/>
        <v>NA</v>
      </c>
      <c r="W31" s="111"/>
      <c r="X31" s="112"/>
      <c r="Y31" s="113"/>
      <c r="Z31" s="112"/>
      <c r="AA31" s="31"/>
      <c r="AB31" s="302"/>
      <c r="AC31" s="89"/>
      <c r="AD31" s="88" t="str">
        <f t="shared" si="9"/>
        <v>NA</v>
      </c>
      <c r="AE31" s="88" t="str">
        <f t="shared" si="10"/>
        <v>NA</v>
      </c>
      <c r="AF31" s="111"/>
      <c r="AG31" s="112"/>
      <c r="AH31" s="113"/>
      <c r="AI31" s="112"/>
      <c r="AJ31" s="31"/>
      <c r="AK31" s="294"/>
      <c r="AL31" s="89"/>
      <c r="AM31" s="88" t="str">
        <f t="shared" si="4"/>
        <v>NA</v>
      </c>
      <c r="AN31" s="88" t="str">
        <f t="shared" si="5"/>
        <v>NA</v>
      </c>
      <c r="AO31" s="111"/>
      <c r="AP31" s="112"/>
      <c r="AQ31" s="113"/>
      <c r="AR31" s="112"/>
      <c r="AS31" s="31"/>
      <c r="AT31" s="32"/>
      <c r="AU31" s="90"/>
      <c r="AV31" s="88"/>
      <c r="AW31" s="88"/>
      <c r="AX31" s="111"/>
      <c r="AY31" s="112"/>
      <c r="AZ31" s="113"/>
      <c r="BA31" s="112"/>
      <c r="BB31" s="31"/>
      <c r="BC31" s="32"/>
      <c r="BD31" s="90"/>
      <c r="BE31" s="88"/>
      <c r="BF31" s="88"/>
      <c r="BG31" s="111"/>
      <c r="BH31" s="112"/>
      <c r="BI31" s="113"/>
      <c r="BJ31" s="112"/>
      <c r="BK31" s="31"/>
      <c r="BL31" s="32"/>
      <c r="BM31" s="90"/>
      <c r="BN31" s="88"/>
      <c r="BO31" s="88"/>
      <c r="BP31" s="111"/>
      <c r="BQ31" s="112"/>
      <c r="BR31" s="113"/>
      <c r="BS31" s="112"/>
      <c r="BT31" s="31"/>
      <c r="BU31" s="32"/>
      <c r="BV31" s="90"/>
      <c r="BW31" s="88"/>
      <c r="BX31" s="88"/>
      <c r="BY31" s="111"/>
      <c r="BZ31" s="112"/>
      <c r="CA31" s="113"/>
      <c r="CB31" s="112"/>
      <c r="CC31" s="31"/>
      <c r="CD31" s="32"/>
      <c r="CE31" s="90"/>
      <c r="CF31" s="88"/>
      <c r="CG31" s="88"/>
      <c r="CH31" s="111"/>
      <c r="CI31" s="112"/>
      <c r="CJ31" s="113"/>
      <c r="CK31" s="112"/>
      <c r="CL31" s="31"/>
      <c r="CM31" s="32"/>
      <c r="CN31" s="90"/>
      <c r="CO31" s="88"/>
      <c r="CP31" s="88"/>
      <c r="CQ31" s="111"/>
      <c r="CR31" s="112"/>
      <c r="CS31" s="113"/>
      <c r="CT31" s="112"/>
      <c r="CU31" s="55"/>
      <c r="CW31" s="230" t="s">
        <v>817</v>
      </c>
      <c r="CZ31" s="226" t="s">
        <v>1589</v>
      </c>
    </row>
    <row r="32" spans="1:104" ht="50" hidden="1" x14ac:dyDescent="0.25">
      <c r="A32" s="17" t="s">
        <v>818</v>
      </c>
      <c r="B32" s="17" t="s">
        <v>1014</v>
      </c>
      <c r="C32" s="17" t="s">
        <v>1685</v>
      </c>
      <c r="D32" s="17" t="str">
        <f t="shared" si="6"/>
        <v>B</v>
      </c>
      <c r="E32" s="17" t="b">
        <f t="shared" si="7"/>
        <v>0</v>
      </c>
      <c r="F32" s="17" t="b">
        <f t="shared" si="8"/>
        <v>1</v>
      </c>
      <c r="G32" s="317" t="s">
        <v>1866</v>
      </c>
      <c r="H32" s="325" t="s">
        <v>2229</v>
      </c>
      <c r="I32" s="315" t="s">
        <v>1867</v>
      </c>
      <c r="J32" s="147" t="s">
        <v>1685</v>
      </c>
      <c r="K32" s="31"/>
      <c r="L32" s="32" t="s">
        <v>354</v>
      </c>
      <c r="M32" s="90"/>
      <c r="N32" s="111"/>
      <c r="O32" s="112"/>
      <c r="P32" s="113"/>
      <c r="Q32" s="112"/>
      <c r="R32" s="31"/>
      <c r="S32" s="32"/>
      <c r="T32" s="90"/>
      <c r="U32" s="88" t="str">
        <f t="shared" si="0"/>
        <v>NA</v>
      </c>
      <c r="V32" s="88" t="str">
        <f t="shared" si="1"/>
        <v>NA</v>
      </c>
      <c r="W32" s="111"/>
      <c r="X32" s="112"/>
      <c r="Y32" s="113"/>
      <c r="Z32" s="112"/>
      <c r="AA32" s="31"/>
      <c r="AB32" s="302"/>
      <c r="AC32" s="89"/>
      <c r="AD32" s="88" t="str">
        <f t="shared" si="9"/>
        <v>NA</v>
      </c>
      <c r="AE32" s="88" t="str">
        <f t="shared" si="10"/>
        <v>NA</v>
      </c>
      <c r="AF32" s="111"/>
      <c r="AG32" s="112"/>
      <c r="AH32" s="113"/>
      <c r="AI32" s="112"/>
      <c r="AJ32" s="31"/>
      <c r="AK32" s="294"/>
      <c r="AL32" s="89"/>
      <c r="AM32" s="88" t="str">
        <f t="shared" si="4"/>
        <v>NA</v>
      </c>
      <c r="AN32" s="88" t="str">
        <f t="shared" si="5"/>
        <v>NA</v>
      </c>
      <c r="AO32" s="111"/>
      <c r="AP32" s="112"/>
      <c r="AQ32" s="113"/>
      <c r="AR32" s="112"/>
      <c r="AS32" s="31"/>
      <c r="AT32" s="32"/>
      <c r="AU32" s="90"/>
      <c r="AV32" s="88"/>
      <c r="AW32" s="88"/>
      <c r="AX32" s="111"/>
      <c r="AY32" s="112"/>
      <c r="AZ32" s="113"/>
      <c r="BA32" s="112"/>
      <c r="BB32" s="31"/>
      <c r="BC32" s="32"/>
      <c r="BD32" s="90"/>
      <c r="BE32" s="88"/>
      <c r="BF32" s="88"/>
      <c r="BG32" s="111"/>
      <c r="BH32" s="112"/>
      <c r="BI32" s="113"/>
      <c r="BJ32" s="112"/>
      <c r="BK32" s="31"/>
      <c r="BL32" s="32"/>
      <c r="BM32" s="90"/>
      <c r="BN32" s="88"/>
      <c r="BO32" s="88"/>
      <c r="BP32" s="111"/>
      <c r="BQ32" s="112"/>
      <c r="BR32" s="113"/>
      <c r="BS32" s="112"/>
      <c r="BT32" s="31"/>
      <c r="BU32" s="32"/>
      <c r="BV32" s="90"/>
      <c r="BW32" s="88"/>
      <c r="BX32" s="88"/>
      <c r="BY32" s="111"/>
      <c r="BZ32" s="112"/>
      <c r="CA32" s="113"/>
      <c r="CB32" s="112"/>
      <c r="CC32" s="31"/>
      <c r="CD32" s="32"/>
      <c r="CE32" s="90"/>
      <c r="CF32" s="88"/>
      <c r="CG32" s="88"/>
      <c r="CH32" s="111"/>
      <c r="CI32" s="112"/>
      <c r="CJ32" s="113"/>
      <c r="CK32" s="112"/>
      <c r="CL32" s="31"/>
      <c r="CM32" s="32"/>
      <c r="CN32" s="90"/>
      <c r="CO32" s="88"/>
      <c r="CP32" s="88"/>
      <c r="CQ32" s="111"/>
      <c r="CR32" s="112"/>
      <c r="CS32" s="113"/>
      <c r="CT32" s="112"/>
      <c r="CU32" s="55"/>
      <c r="CW32" s="230" t="s">
        <v>819</v>
      </c>
      <c r="CZ32" s="226" t="s">
        <v>1589</v>
      </c>
    </row>
    <row r="33" spans="1:104" ht="50" hidden="1" x14ac:dyDescent="0.25">
      <c r="A33" s="17" t="s">
        <v>820</v>
      </c>
      <c r="B33" s="17" t="s">
        <v>1015</v>
      </c>
      <c r="C33" s="17" t="s">
        <v>1686</v>
      </c>
      <c r="D33" s="17" t="str">
        <f t="shared" si="6"/>
        <v>B</v>
      </c>
      <c r="E33" s="17" t="b">
        <f t="shared" si="7"/>
        <v>0</v>
      </c>
      <c r="F33" s="17" t="b">
        <f t="shared" si="8"/>
        <v>1</v>
      </c>
      <c r="G33" s="317" t="s">
        <v>1868</v>
      </c>
      <c r="H33" s="325" t="s">
        <v>2230</v>
      </c>
      <c r="I33" s="315" t="s">
        <v>1869</v>
      </c>
      <c r="J33" s="147" t="s">
        <v>1686</v>
      </c>
      <c r="K33" s="31"/>
      <c r="L33" s="32" t="s">
        <v>354</v>
      </c>
      <c r="M33" s="90"/>
      <c r="N33" s="111"/>
      <c r="O33" s="112"/>
      <c r="P33" s="113"/>
      <c r="Q33" s="112"/>
      <c r="R33" s="31"/>
      <c r="S33" s="32"/>
      <c r="T33" s="90"/>
      <c r="U33" s="88" t="str">
        <f t="shared" si="0"/>
        <v>NA</v>
      </c>
      <c r="V33" s="88" t="str">
        <f t="shared" si="1"/>
        <v>NA</v>
      </c>
      <c r="W33" s="111"/>
      <c r="X33" s="112"/>
      <c r="Y33" s="113"/>
      <c r="Z33" s="112"/>
      <c r="AA33" s="31"/>
      <c r="AB33" s="302"/>
      <c r="AC33" s="89"/>
      <c r="AD33" s="88" t="str">
        <f t="shared" si="9"/>
        <v>NA</v>
      </c>
      <c r="AE33" s="88" t="str">
        <f t="shared" si="10"/>
        <v>NA</v>
      </c>
      <c r="AF33" s="111"/>
      <c r="AG33" s="112"/>
      <c r="AH33" s="113"/>
      <c r="AI33" s="112"/>
      <c r="AJ33" s="31"/>
      <c r="AK33" s="294"/>
      <c r="AL33" s="89"/>
      <c r="AM33" s="88" t="str">
        <f t="shared" si="4"/>
        <v>NA</v>
      </c>
      <c r="AN33" s="88" t="str">
        <f t="shared" si="5"/>
        <v>NA</v>
      </c>
      <c r="AO33" s="111"/>
      <c r="AP33" s="112"/>
      <c r="AQ33" s="113"/>
      <c r="AR33" s="112"/>
      <c r="AS33" s="31"/>
      <c r="AT33" s="32"/>
      <c r="AU33" s="90"/>
      <c r="AV33" s="88"/>
      <c r="AW33" s="88"/>
      <c r="AX33" s="111"/>
      <c r="AY33" s="112"/>
      <c r="AZ33" s="113"/>
      <c r="BA33" s="112"/>
      <c r="BB33" s="31"/>
      <c r="BC33" s="32"/>
      <c r="BD33" s="90"/>
      <c r="BE33" s="88"/>
      <c r="BF33" s="88"/>
      <c r="BG33" s="111"/>
      <c r="BH33" s="112"/>
      <c r="BI33" s="113"/>
      <c r="BJ33" s="112"/>
      <c r="BK33" s="31"/>
      <c r="BL33" s="32"/>
      <c r="BM33" s="90"/>
      <c r="BN33" s="88"/>
      <c r="BO33" s="88"/>
      <c r="BP33" s="111"/>
      <c r="BQ33" s="112"/>
      <c r="BR33" s="113"/>
      <c r="BS33" s="112"/>
      <c r="BT33" s="31"/>
      <c r="BU33" s="32"/>
      <c r="BV33" s="90"/>
      <c r="BW33" s="88"/>
      <c r="BX33" s="88"/>
      <c r="BY33" s="111"/>
      <c r="BZ33" s="112"/>
      <c r="CA33" s="113"/>
      <c r="CB33" s="112"/>
      <c r="CC33" s="31"/>
      <c r="CD33" s="32"/>
      <c r="CE33" s="90"/>
      <c r="CF33" s="88"/>
      <c r="CG33" s="88"/>
      <c r="CH33" s="111"/>
      <c r="CI33" s="112"/>
      <c r="CJ33" s="113"/>
      <c r="CK33" s="112"/>
      <c r="CL33" s="31"/>
      <c r="CM33" s="32"/>
      <c r="CN33" s="90"/>
      <c r="CO33" s="88"/>
      <c r="CP33" s="88"/>
      <c r="CQ33" s="111"/>
      <c r="CR33" s="112"/>
      <c r="CS33" s="113"/>
      <c r="CT33" s="112"/>
      <c r="CU33" s="55"/>
      <c r="CW33" s="230" t="s">
        <v>821</v>
      </c>
      <c r="CZ33" s="226" t="s">
        <v>1589</v>
      </c>
    </row>
    <row r="34" spans="1:104" ht="26" hidden="1" x14ac:dyDescent="0.25">
      <c r="A34" s="17" t="s">
        <v>1478</v>
      </c>
      <c r="B34" s="17" t="s">
        <v>1502</v>
      </c>
      <c r="C34" s="17" t="s">
        <v>1526</v>
      </c>
      <c r="D34" s="17" t="str">
        <f t="shared" si="6"/>
        <v>A</v>
      </c>
      <c r="E34" s="17" t="b">
        <f t="shared" si="7"/>
        <v>0</v>
      </c>
      <c r="F34" s="17" t="b">
        <f t="shared" si="8"/>
        <v>1</v>
      </c>
      <c r="G34" s="317" t="s">
        <v>1870</v>
      </c>
      <c r="H34" s="232" t="s">
        <v>2231</v>
      </c>
      <c r="I34" s="310" t="s">
        <v>1502</v>
      </c>
      <c r="J34" s="147" t="s">
        <v>1526</v>
      </c>
      <c r="K34" s="31"/>
      <c r="L34" s="32" t="s">
        <v>354</v>
      </c>
      <c r="M34" s="90"/>
      <c r="N34" s="111"/>
      <c r="O34" s="112"/>
      <c r="P34" s="113"/>
      <c r="Q34" s="112"/>
      <c r="R34" s="31"/>
      <c r="S34" s="32"/>
      <c r="T34" s="90"/>
      <c r="U34" s="88" t="str">
        <f t="shared" si="0"/>
        <v>NA</v>
      </c>
      <c r="V34" s="88" t="str">
        <f t="shared" si="1"/>
        <v>NA</v>
      </c>
      <c r="W34" s="111"/>
      <c r="X34" s="112"/>
      <c r="Y34" s="113"/>
      <c r="Z34" s="112"/>
      <c r="AA34" s="31"/>
      <c r="AB34" s="302"/>
      <c r="AC34" s="89"/>
      <c r="AD34" s="88" t="str">
        <f t="shared" ref="AD34:AD58" si="11">IF(LEFT(AC34,1)&lt;&gt;"x","NA",IF(RIGHT(AB34,3)=RIGHT(S34,3),IF(RIGHT(AB34,3)&lt;&gt;RIGHT(L34,3),IF(OR(AND(RIGHT(AB34,3)=RIGHT(S34,3),AC34=T34),AND(RIGHT(AB34,3)=RIGHT(L34,3),AC34=M34)),"NO","YES"),"NO"),IF(OR(RIGHT(AB34,3)=RIGHT(S34,3),RIGHT(AB34,3)=RIGHT(L34,3)),"ERROR","YES")))</f>
        <v>NA</v>
      </c>
      <c r="AE34" s="88" t="str">
        <f t="shared" ref="AE34:AE58" si="12">IF(LEFT(T34,1)&lt;&gt;LEFT(AC34,1),"YES",IF(LEFT(AC34,1)="x","NO","NA"))</f>
        <v>NA</v>
      </c>
      <c r="AF34" s="111"/>
      <c r="AG34" s="112"/>
      <c r="AH34" s="113"/>
      <c r="AI34" s="112"/>
      <c r="AJ34" s="31"/>
      <c r="AK34" s="294"/>
      <c r="AL34" s="89"/>
      <c r="AM34" s="88" t="str">
        <f t="shared" si="4"/>
        <v>NA</v>
      </c>
      <c r="AN34" s="88" t="str">
        <f t="shared" si="5"/>
        <v>NA</v>
      </c>
      <c r="AO34" s="111"/>
      <c r="AP34" s="112"/>
      <c r="AQ34" s="113"/>
      <c r="AR34" s="112"/>
      <c r="AS34" s="31"/>
      <c r="AT34" s="32"/>
      <c r="AU34" s="90"/>
      <c r="AV34" s="88"/>
      <c r="AW34" s="88"/>
      <c r="AX34" s="111"/>
      <c r="AY34" s="112"/>
      <c r="AZ34" s="113"/>
      <c r="BA34" s="112"/>
      <c r="BB34" s="31"/>
      <c r="BC34" s="32"/>
      <c r="BD34" s="90"/>
      <c r="BE34" s="88"/>
      <c r="BF34" s="88"/>
      <c r="BG34" s="111"/>
      <c r="BH34" s="112"/>
      <c r="BI34" s="113"/>
      <c r="BJ34" s="112"/>
      <c r="BK34" s="31"/>
      <c r="BL34" s="32"/>
      <c r="BM34" s="90"/>
      <c r="BN34" s="88"/>
      <c r="BO34" s="88"/>
      <c r="BP34" s="111"/>
      <c r="BQ34" s="112"/>
      <c r="BR34" s="113"/>
      <c r="BS34" s="112"/>
      <c r="BT34" s="31"/>
      <c r="BU34" s="32"/>
      <c r="BV34" s="90"/>
      <c r="BW34" s="88"/>
      <c r="BX34" s="88"/>
      <c r="BY34" s="111"/>
      <c r="BZ34" s="112"/>
      <c r="CA34" s="113"/>
      <c r="CB34" s="112"/>
      <c r="CC34" s="31"/>
      <c r="CD34" s="32"/>
      <c r="CE34" s="90"/>
      <c r="CF34" s="88"/>
      <c r="CG34" s="88"/>
      <c r="CH34" s="111"/>
      <c r="CI34" s="112"/>
      <c r="CJ34" s="113"/>
      <c r="CK34" s="112"/>
      <c r="CL34" s="31"/>
      <c r="CM34" s="32"/>
      <c r="CN34" s="90"/>
      <c r="CO34" s="88"/>
      <c r="CP34" s="88"/>
      <c r="CQ34" s="111"/>
      <c r="CR34" s="112"/>
      <c r="CS34" s="113"/>
      <c r="CT34" s="112"/>
      <c r="CU34" s="55"/>
      <c r="CW34" s="230"/>
      <c r="CZ34" s="226" t="s">
        <v>541</v>
      </c>
    </row>
    <row r="35" spans="1:104" ht="26" hidden="1" x14ac:dyDescent="0.25">
      <c r="A35" s="17" t="s">
        <v>1479</v>
      </c>
      <c r="B35" s="17" t="s">
        <v>1503</v>
      </c>
      <c r="C35" s="17" t="s">
        <v>1527</v>
      </c>
      <c r="D35" s="17" t="str">
        <f t="shared" si="6"/>
        <v>A</v>
      </c>
      <c r="E35" s="17" t="b">
        <f t="shared" si="7"/>
        <v>0</v>
      </c>
      <c r="F35" s="17" t="b">
        <f t="shared" si="8"/>
        <v>1</v>
      </c>
      <c r="G35" s="317" t="s">
        <v>1871</v>
      </c>
      <c r="H35" s="232" t="s">
        <v>2232</v>
      </c>
      <c r="I35" s="310" t="s">
        <v>1503</v>
      </c>
      <c r="J35" s="147" t="s">
        <v>1527</v>
      </c>
      <c r="K35" s="31"/>
      <c r="L35" s="32" t="s">
        <v>354</v>
      </c>
      <c r="M35" s="90"/>
      <c r="N35" s="111"/>
      <c r="O35" s="112"/>
      <c r="P35" s="113"/>
      <c r="Q35" s="112"/>
      <c r="R35" s="31"/>
      <c r="S35" s="32"/>
      <c r="T35" s="90"/>
      <c r="U35" s="88" t="str">
        <f t="shared" si="0"/>
        <v>NA</v>
      </c>
      <c r="V35" s="88" t="str">
        <f t="shared" si="1"/>
        <v>NA</v>
      </c>
      <c r="W35" s="111"/>
      <c r="X35" s="112"/>
      <c r="Y35" s="113"/>
      <c r="Z35" s="112"/>
      <c r="AA35" s="31"/>
      <c r="AB35" s="302"/>
      <c r="AC35" s="89"/>
      <c r="AD35" s="88" t="str">
        <f t="shared" si="11"/>
        <v>NA</v>
      </c>
      <c r="AE35" s="88" t="str">
        <f t="shared" si="12"/>
        <v>NA</v>
      </c>
      <c r="AF35" s="111"/>
      <c r="AG35" s="112"/>
      <c r="AH35" s="113"/>
      <c r="AI35" s="112"/>
      <c r="AJ35" s="31"/>
      <c r="AK35" s="294"/>
      <c r="AL35" s="89"/>
      <c r="AM35" s="88" t="str">
        <f t="shared" si="4"/>
        <v>NA</v>
      </c>
      <c r="AN35" s="88" t="str">
        <f t="shared" si="5"/>
        <v>NA</v>
      </c>
      <c r="AO35" s="111"/>
      <c r="AP35" s="112"/>
      <c r="AQ35" s="113"/>
      <c r="AR35" s="112"/>
      <c r="AS35" s="31"/>
      <c r="AT35" s="32"/>
      <c r="AU35" s="90"/>
      <c r="AV35" s="88"/>
      <c r="AW35" s="88"/>
      <c r="AX35" s="111"/>
      <c r="AY35" s="112"/>
      <c r="AZ35" s="113"/>
      <c r="BA35" s="112"/>
      <c r="BB35" s="31"/>
      <c r="BC35" s="32"/>
      <c r="BD35" s="90"/>
      <c r="BE35" s="88"/>
      <c r="BF35" s="88"/>
      <c r="BG35" s="111"/>
      <c r="BH35" s="112"/>
      <c r="BI35" s="113"/>
      <c r="BJ35" s="112"/>
      <c r="BK35" s="31"/>
      <c r="BL35" s="32"/>
      <c r="BM35" s="90"/>
      <c r="BN35" s="88"/>
      <c r="BO35" s="88"/>
      <c r="BP35" s="111"/>
      <c r="BQ35" s="112"/>
      <c r="BR35" s="113"/>
      <c r="BS35" s="112"/>
      <c r="BT35" s="31"/>
      <c r="BU35" s="32"/>
      <c r="BV35" s="90"/>
      <c r="BW35" s="88"/>
      <c r="BX35" s="88"/>
      <c r="BY35" s="111"/>
      <c r="BZ35" s="112"/>
      <c r="CA35" s="113"/>
      <c r="CB35" s="112"/>
      <c r="CC35" s="31"/>
      <c r="CD35" s="32"/>
      <c r="CE35" s="90"/>
      <c r="CF35" s="88"/>
      <c r="CG35" s="88"/>
      <c r="CH35" s="111"/>
      <c r="CI35" s="112"/>
      <c r="CJ35" s="113"/>
      <c r="CK35" s="112"/>
      <c r="CL35" s="31"/>
      <c r="CM35" s="32"/>
      <c r="CN35" s="90"/>
      <c r="CO35" s="88"/>
      <c r="CP35" s="88"/>
      <c r="CQ35" s="111"/>
      <c r="CR35" s="112"/>
      <c r="CS35" s="113"/>
      <c r="CT35" s="112"/>
      <c r="CU35" s="55"/>
      <c r="CW35" s="230"/>
      <c r="CZ35" s="226" t="s">
        <v>541</v>
      </c>
    </row>
    <row r="36" spans="1:104" ht="26" hidden="1" x14ac:dyDescent="0.25">
      <c r="A36" s="17" t="s">
        <v>1480</v>
      </c>
      <c r="B36" s="17" t="s">
        <v>1504</v>
      </c>
      <c r="C36" s="17" t="s">
        <v>1528</v>
      </c>
      <c r="D36" s="17" t="str">
        <f t="shared" si="6"/>
        <v>A</v>
      </c>
      <c r="E36" s="17" t="b">
        <f t="shared" si="7"/>
        <v>0</v>
      </c>
      <c r="F36" s="17" t="b">
        <f t="shared" si="8"/>
        <v>1</v>
      </c>
      <c r="G36" s="317" t="s">
        <v>1872</v>
      </c>
      <c r="H36" s="232" t="s">
        <v>2233</v>
      </c>
      <c r="I36" s="310" t="s">
        <v>1504</v>
      </c>
      <c r="J36" s="147" t="s">
        <v>1528</v>
      </c>
      <c r="K36" s="31"/>
      <c r="L36" s="32" t="s">
        <v>354</v>
      </c>
      <c r="M36" s="90"/>
      <c r="N36" s="111"/>
      <c r="O36" s="112"/>
      <c r="P36" s="113"/>
      <c r="Q36" s="112"/>
      <c r="R36" s="31"/>
      <c r="S36" s="32"/>
      <c r="T36" s="90"/>
      <c r="U36" s="88" t="str">
        <f t="shared" si="0"/>
        <v>NA</v>
      </c>
      <c r="V36" s="88" t="str">
        <f t="shared" si="1"/>
        <v>NA</v>
      </c>
      <c r="W36" s="111"/>
      <c r="X36" s="112"/>
      <c r="Y36" s="113"/>
      <c r="Z36" s="112"/>
      <c r="AA36" s="31"/>
      <c r="AB36" s="302"/>
      <c r="AC36" s="89"/>
      <c r="AD36" s="88" t="str">
        <f t="shared" si="11"/>
        <v>NA</v>
      </c>
      <c r="AE36" s="88" t="str">
        <f t="shared" si="12"/>
        <v>NA</v>
      </c>
      <c r="AF36" s="111"/>
      <c r="AG36" s="112"/>
      <c r="AH36" s="113"/>
      <c r="AI36" s="112"/>
      <c r="AJ36" s="31"/>
      <c r="AK36" s="294"/>
      <c r="AL36" s="89"/>
      <c r="AM36" s="88" t="str">
        <f t="shared" si="4"/>
        <v>NA</v>
      </c>
      <c r="AN36" s="88" t="str">
        <f t="shared" si="5"/>
        <v>NA</v>
      </c>
      <c r="AO36" s="111"/>
      <c r="AP36" s="112"/>
      <c r="AQ36" s="113"/>
      <c r="AR36" s="112"/>
      <c r="AS36" s="31"/>
      <c r="AT36" s="32"/>
      <c r="AU36" s="90"/>
      <c r="AV36" s="88"/>
      <c r="AW36" s="88"/>
      <c r="AX36" s="111"/>
      <c r="AY36" s="112"/>
      <c r="AZ36" s="113"/>
      <c r="BA36" s="112"/>
      <c r="BB36" s="31"/>
      <c r="BC36" s="32"/>
      <c r="BD36" s="90"/>
      <c r="BE36" s="88"/>
      <c r="BF36" s="88"/>
      <c r="BG36" s="111"/>
      <c r="BH36" s="112"/>
      <c r="BI36" s="113"/>
      <c r="BJ36" s="112"/>
      <c r="BK36" s="31"/>
      <c r="BL36" s="32"/>
      <c r="BM36" s="90"/>
      <c r="BN36" s="88"/>
      <c r="BO36" s="88"/>
      <c r="BP36" s="111"/>
      <c r="BQ36" s="112"/>
      <c r="BR36" s="113"/>
      <c r="BS36" s="112"/>
      <c r="BT36" s="31"/>
      <c r="BU36" s="32"/>
      <c r="BV36" s="90"/>
      <c r="BW36" s="88"/>
      <c r="BX36" s="88"/>
      <c r="BY36" s="111"/>
      <c r="BZ36" s="112"/>
      <c r="CA36" s="113"/>
      <c r="CB36" s="112"/>
      <c r="CC36" s="31"/>
      <c r="CD36" s="32"/>
      <c r="CE36" s="90"/>
      <c r="CF36" s="88"/>
      <c r="CG36" s="88"/>
      <c r="CH36" s="111"/>
      <c r="CI36" s="112"/>
      <c r="CJ36" s="113"/>
      <c r="CK36" s="112"/>
      <c r="CL36" s="31"/>
      <c r="CM36" s="32"/>
      <c r="CN36" s="90"/>
      <c r="CO36" s="88"/>
      <c r="CP36" s="88"/>
      <c r="CQ36" s="111"/>
      <c r="CR36" s="112"/>
      <c r="CS36" s="113"/>
      <c r="CT36" s="112"/>
      <c r="CU36" s="55"/>
      <c r="CW36" s="230"/>
      <c r="CZ36" s="226" t="s">
        <v>541</v>
      </c>
    </row>
    <row r="37" spans="1:104" ht="26" hidden="1" x14ac:dyDescent="0.25">
      <c r="A37" s="17" t="s">
        <v>1481</v>
      </c>
      <c r="B37" s="17" t="s">
        <v>1505</v>
      </c>
      <c r="C37" s="17" t="s">
        <v>1529</v>
      </c>
      <c r="D37" s="17" t="str">
        <f t="shared" si="6"/>
        <v>A</v>
      </c>
      <c r="E37" s="17" t="b">
        <f t="shared" si="7"/>
        <v>0</v>
      </c>
      <c r="F37" s="17" t="b">
        <f t="shared" si="8"/>
        <v>1</v>
      </c>
      <c r="G37" s="317" t="s">
        <v>1873</v>
      </c>
      <c r="H37" s="232" t="s">
        <v>2234</v>
      </c>
      <c r="I37" s="310" t="s">
        <v>1505</v>
      </c>
      <c r="J37" s="147" t="s">
        <v>1529</v>
      </c>
      <c r="K37" s="31"/>
      <c r="L37" s="32" t="s">
        <v>354</v>
      </c>
      <c r="M37" s="90"/>
      <c r="N37" s="111"/>
      <c r="O37" s="112"/>
      <c r="P37" s="113"/>
      <c r="Q37" s="112"/>
      <c r="R37" s="31"/>
      <c r="S37" s="32"/>
      <c r="T37" s="90"/>
      <c r="U37" s="88" t="str">
        <f t="shared" si="0"/>
        <v>NA</v>
      </c>
      <c r="V37" s="88" t="str">
        <f t="shared" si="1"/>
        <v>NA</v>
      </c>
      <c r="W37" s="111"/>
      <c r="X37" s="112"/>
      <c r="Y37" s="113"/>
      <c r="Z37" s="112"/>
      <c r="AA37" s="31"/>
      <c r="AB37" s="302"/>
      <c r="AC37" s="89"/>
      <c r="AD37" s="88" t="str">
        <f t="shared" si="11"/>
        <v>NA</v>
      </c>
      <c r="AE37" s="88" t="str">
        <f t="shared" si="12"/>
        <v>NA</v>
      </c>
      <c r="AF37" s="111"/>
      <c r="AG37" s="112"/>
      <c r="AH37" s="113"/>
      <c r="AI37" s="112"/>
      <c r="AJ37" s="31"/>
      <c r="AK37" s="294"/>
      <c r="AL37" s="89"/>
      <c r="AM37" s="88" t="str">
        <f t="shared" si="4"/>
        <v>NA</v>
      </c>
      <c r="AN37" s="88" t="str">
        <f t="shared" si="5"/>
        <v>NA</v>
      </c>
      <c r="AO37" s="111"/>
      <c r="AP37" s="112"/>
      <c r="AQ37" s="113"/>
      <c r="AR37" s="112"/>
      <c r="AS37" s="31"/>
      <c r="AT37" s="32"/>
      <c r="AU37" s="90"/>
      <c r="AV37" s="88"/>
      <c r="AW37" s="88"/>
      <c r="AX37" s="111"/>
      <c r="AY37" s="112"/>
      <c r="AZ37" s="113"/>
      <c r="BA37" s="112"/>
      <c r="BB37" s="31"/>
      <c r="BC37" s="32"/>
      <c r="BD37" s="90"/>
      <c r="BE37" s="88"/>
      <c r="BF37" s="88"/>
      <c r="BG37" s="111"/>
      <c r="BH37" s="112"/>
      <c r="BI37" s="113"/>
      <c r="BJ37" s="112"/>
      <c r="BK37" s="31"/>
      <c r="BL37" s="32"/>
      <c r="BM37" s="90"/>
      <c r="BN37" s="88"/>
      <c r="BO37" s="88"/>
      <c r="BP37" s="111"/>
      <c r="BQ37" s="112"/>
      <c r="BR37" s="113"/>
      <c r="BS37" s="112"/>
      <c r="BT37" s="31"/>
      <c r="BU37" s="32"/>
      <c r="BV37" s="90"/>
      <c r="BW37" s="88"/>
      <c r="BX37" s="88"/>
      <c r="BY37" s="111"/>
      <c r="BZ37" s="112"/>
      <c r="CA37" s="113"/>
      <c r="CB37" s="112"/>
      <c r="CC37" s="31"/>
      <c r="CD37" s="32"/>
      <c r="CE37" s="90"/>
      <c r="CF37" s="88"/>
      <c r="CG37" s="88"/>
      <c r="CH37" s="111"/>
      <c r="CI37" s="112"/>
      <c r="CJ37" s="113"/>
      <c r="CK37" s="112"/>
      <c r="CL37" s="31"/>
      <c r="CM37" s="32"/>
      <c r="CN37" s="90"/>
      <c r="CO37" s="88"/>
      <c r="CP37" s="88"/>
      <c r="CQ37" s="111"/>
      <c r="CR37" s="112"/>
      <c r="CS37" s="113"/>
      <c r="CT37" s="112"/>
      <c r="CU37" s="55"/>
      <c r="CW37" s="230"/>
      <c r="CZ37" s="226" t="s">
        <v>541</v>
      </c>
    </row>
    <row r="38" spans="1:104" ht="26" hidden="1" x14ac:dyDescent="0.25">
      <c r="A38" s="17" t="s">
        <v>1482</v>
      </c>
      <c r="B38" s="17" t="s">
        <v>1506</v>
      </c>
      <c r="C38" s="17" t="s">
        <v>1530</v>
      </c>
      <c r="D38" s="17" t="str">
        <f t="shared" si="6"/>
        <v>A</v>
      </c>
      <c r="E38" s="17" t="b">
        <f t="shared" si="7"/>
        <v>0</v>
      </c>
      <c r="F38" s="17" t="b">
        <f t="shared" si="8"/>
        <v>1</v>
      </c>
      <c r="G38" s="317" t="s">
        <v>1874</v>
      </c>
      <c r="H38" s="232" t="s">
        <v>2235</v>
      </c>
      <c r="I38" s="310" t="s">
        <v>1506</v>
      </c>
      <c r="J38" s="147" t="s">
        <v>1530</v>
      </c>
      <c r="K38" s="31"/>
      <c r="L38" s="32" t="s">
        <v>354</v>
      </c>
      <c r="M38" s="90"/>
      <c r="N38" s="111"/>
      <c r="O38" s="112"/>
      <c r="P38" s="113"/>
      <c r="Q38" s="112"/>
      <c r="R38" s="31"/>
      <c r="S38" s="32"/>
      <c r="T38" s="90"/>
      <c r="U38" s="88" t="str">
        <f t="shared" si="0"/>
        <v>NA</v>
      </c>
      <c r="V38" s="88" t="str">
        <f t="shared" si="1"/>
        <v>NA</v>
      </c>
      <c r="W38" s="111"/>
      <c r="X38" s="112"/>
      <c r="Y38" s="113"/>
      <c r="Z38" s="112"/>
      <c r="AA38" s="31"/>
      <c r="AB38" s="302"/>
      <c r="AC38" s="89"/>
      <c r="AD38" s="88" t="str">
        <f t="shared" si="11"/>
        <v>NA</v>
      </c>
      <c r="AE38" s="88" t="str">
        <f t="shared" si="12"/>
        <v>NA</v>
      </c>
      <c r="AF38" s="111"/>
      <c r="AG38" s="112"/>
      <c r="AH38" s="113"/>
      <c r="AI38" s="112"/>
      <c r="AJ38" s="31"/>
      <c r="AK38" s="294"/>
      <c r="AL38" s="89"/>
      <c r="AM38" s="88" t="str">
        <f t="shared" si="4"/>
        <v>NA</v>
      </c>
      <c r="AN38" s="88" t="str">
        <f t="shared" si="5"/>
        <v>NA</v>
      </c>
      <c r="AO38" s="111"/>
      <c r="AP38" s="112"/>
      <c r="AQ38" s="113"/>
      <c r="AR38" s="112"/>
      <c r="AS38" s="31"/>
      <c r="AT38" s="32"/>
      <c r="AU38" s="90"/>
      <c r="AV38" s="88"/>
      <c r="AW38" s="88"/>
      <c r="AX38" s="111"/>
      <c r="AY38" s="112"/>
      <c r="AZ38" s="113"/>
      <c r="BA38" s="112"/>
      <c r="BB38" s="31"/>
      <c r="BC38" s="32"/>
      <c r="BD38" s="90"/>
      <c r="BE38" s="88"/>
      <c r="BF38" s="88"/>
      <c r="BG38" s="111"/>
      <c r="BH38" s="112"/>
      <c r="BI38" s="113"/>
      <c r="BJ38" s="112"/>
      <c r="BK38" s="31"/>
      <c r="BL38" s="32"/>
      <c r="BM38" s="90"/>
      <c r="BN38" s="88"/>
      <c r="BO38" s="88"/>
      <c r="BP38" s="111"/>
      <c r="BQ38" s="112"/>
      <c r="BR38" s="113"/>
      <c r="BS38" s="112"/>
      <c r="BT38" s="31"/>
      <c r="BU38" s="32"/>
      <c r="BV38" s="90"/>
      <c r="BW38" s="88"/>
      <c r="BX38" s="88"/>
      <c r="BY38" s="111"/>
      <c r="BZ38" s="112"/>
      <c r="CA38" s="113"/>
      <c r="CB38" s="112"/>
      <c r="CC38" s="31"/>
      <c r="CD38" s="32"/>
      <c r="CE38" s="90"/>
      <c r="CF38" s="88"/>
      <c r="CG38" s="88"/>
      <c r="CH38" s="111"/>
      <c r="CI38" s="112"/>
      <c r="CJ38" s="113"/>
      <c r="CK38" s="112"/>
      <c r="CL38" s="31"/>
      <c r="CM38" s="32"/>
      <c r="CN38" s="90"/>
      <c r="CO38" s="88"/>
      <c r="CP38" s="88"/>
      <c r="CQ38" s="111"/>
      <c r="CR38" s="112"/>
      <c r="CS38" s="113"/>
      <c r="CT38" s="112"/>
      <c r="CU38" s="55"/>
      <c r="CW38" s="230"/>
      <c r="CZ38" s="226" t="s">
        <v>541</v>
      </c>
    </row>
    <row r="39" spans="1:104" ht="26" hidden="1" x14ac:dyDescent="0.25">
      <c r="A39" s="17" t="s">
        <v>1483</v>
      </c>
      <c r="B39" s="17" t="s">
        <v>1507</v>
      </c>
      <c r="C39" s="17" t="s">
        <v>1531</v>
      </c>
      <c r="D39" s="17" t="str">
        <f t="shared" si="6"/>
        <v>A</v>
      </c>
      <c r="E39" s="17" t="b">
        <f t="shared" si="7"/>
        <v>0</v>
      </c>
      <c r="F39" s="17" t="b">
        <f t="shared" si="8"/>
        <v>1</v>
      </c>
      <c r="G39" s="317" t="s">
        <v>1875</v>
      </c>
      <c r="H39" s="232" t="s">
        <v>2236</v>
      </c>
      <c r="I39" s="310" t="s">
        <v>1507</v>
      </c>
      <c r="J39" s="147" t="s">
        <v>1531</v>
      </c>
      <c r="K39" s="31"/>
      <c r="L39" s="32" t="s">
        <v>354</v>
      </c>
      <c r="M39" s="90"/>
      <c r="N39" s="111"/>
      <c r="O39" s="112"/>
      <c r="P39" s="113"/>
      <c r="Q39" s="112"/>
      <c r="R39" s="31"/>
      <c r="S39" s="32"/>
      <c r="T39" s="90"/>
      <c r="U39" s="88" t="str">
        <f t="shared" si="0"/>
        <v>NA</v>
      </c>
      <c r="V39" s="88" t="str">
        <f t="shared" si="1"/>
        <v>NA</v>
      </c>
      <c r="W39" s="111"/>
      <c r="X39" s="112"/>
      <c r="Y39" s="113"/>
      <c r="Z39" s="112"/>
      <c r="AA39" s="31"/>
      <c r="AB39" s="302"/>
      <c r="AC39" s="89"/>
      <c r="AD39" s="88" t="str">
        <f t="shared" si="11"/>
        <v>NA</v>
      </c>
      <c r="AE39" s="88" t="str">
        <f t="shared" si="12"/>
        <v>NA</v>
      </c>
      <c r="AF39" s="111"/>
      <c r="AG39" s="112"/>
      <c r="AH39" s="113"/>
      <c r="AI39" s="112"/>
      <c r="AJ39" s="31"/>
      <c r="AK39" s="294"/>
      <c r="AL39" s="89"/>
      <c r="AM39" s="88" t="str">
        <f t="shared" si="4"/>
        <v>NA</v>
      </c>
      <c r="AN39" s="88" t="str">
        <f t="shared" si="5"/>
        <v>NA</v>
      </c>
      <c r="AO39" s="111"/>
      <c r="AP39" s="112"/>
      <c r="AQ39" s="113"/>
      <c r="AR39" s="112"/>
      <c r="AS39" s="31"/>
      <c r="AT39" s="32"/>
      <c r="AU39" s="90"/>
      <c r="AV39" s="88"/>
      <c r="AW39" s="88"/>
      <c r="AX39" s="111"/>
      <c r="AY39" s="112"/>
      <c r="AZ39" s="113"/>
      <c r="BA39" s="112"/>
      <c r="BB39" s="31"/>
      <c r="BC39" s="32"/>
      <c r="BD39" s="90"/>
      <c r="BE39" s="88"/>
      <c r="BF39" s="88"/>
      <c r="BG39" s="111"/>
      <c r="BH39" s="112"/>
      <c r="BI39" s="113"/>
      <c r="BJ39" s="112"/>
      <c r="BK39" s="31"/>
      <c r="BL39" s="32"/>
      <c r="BM39" s="90"/>
      <c r="BN39" s="88"/>
      <c r="BO39" s="88"/>
      <c r="BP39" s="111"/>
      <c r="BQ39" s="112"/>
      <c r="BR39" s="113"/>
      <c r="BS39" s="112"/>
      <c r="BT39" s="31"/>
      <c r="BU39" s="32"/>
      <c r="BV39" s="90"/>
      <c r="BW39" s="88"/>
      <c r="BX39" s="88"/>
      <c r="BY39" s="111"/>
      <c r="BZ39" s="112"/>
      <c r="CA39" s="113"/>
      <c r="CB39" s="112"/>
      <c r="CC39" s="31"/>
      <c r="CD39" s="32"/>
      <c r="CE39" s="90"/>
      <c r="CF39" s="88"/>
      <c r="CG39" s="88"/>
      <c r="CH39" s="111"/>
      <c r="CI39" s="112"/>
      <c r="CJ39" s="113"/>
      <c r="CK39" s="112"/>
      <c r="CL39" s="31"/>
      <c r="CM39" s="32"/>
      <c r="CN39" s="90"/>
      <c r="CO39" s="88"/>
      <c r="CP39" s="88"/>
      <c r="CQ39" s="111"/>
      <c r="CR39" s="112"/>
      <c r="CS39" s="113"/>
      <c r="CT39" s="112"/>
      <c r="CU39" s="55"/>
      <c r="CW39" s="230"/>
      <c r="CZ39" s="226" t="s">
        <v>541</v>
      </c>
    </row>
    <row r="40" spans="1:104" ht="26" hidden="1" x14ac:dyDescent="0.25">
      <c r="A40" s="17" t="s">
        <v>1484</v>
      </c>
      <c r="B40" s="17" t="s">
        <v>1508</v>
      </c>
      <c r="C40" s="17" t="s">
        <v>1532</v>
      </c>
      <c r="D40" s="17" t="str">
        <f t="shared" si="6"/>
        <v>A</v>
      </c>
      <c r="E40" s="17" t="b">
        <f t="shared" si="7"/>
        <v>0</v>
      </c>
      <c r="F40" s="17" t="b">
        <f t="shared" si="8"/>
        <v>1</v>
      </c>
      <c r="G40" s="317" t="s">
        <v>1876</v>
      </c>
      <c r="H40" s="232" t="s">
        <v>2237</v>
      </c>
      <c r="I40" s="310" t="s">
        <v>1508</v>
      </c>
      <c r="J40" s="147" t="s">
        <v>1532</v>
      </c>
      <c r="K40" s="31"/>
      <c r="L40" s="32" t="s">
        <v>354</v>
      </c>
      <c r="M40" s="90"/>
      <c r="N40" s="111"/>
      <c r="O40" s="112"/>
      <c r="P40" s="113"/>
      <c r="Q40" s="112"/>
      <c r="R40" s="31"/>
      <c r="S40" s="32"/>
      <c r="T40" s="90"/>
      <c r="U40" s="88" t="str">
        <f t="shared" si="0"/>
        <v>NA</v>
      </c>
      <c r="V40" s="88" t="str">
        <f t="shared" si="1"/>
        <v>NA</v>
      </c>
      <c r="W40" s="111"/>
      <c r="X40" s="112"/>
      <c r="Y40" s="113"/>
      <c r="Z40" s="112"/>
      <c r="AA40" s="31"/>
      <c r="AB40" s="302"/>
      <c r="AC40" s="89"/>
      <c r="AD40" s="88" t="str">
        <f t="shared" si="11"/>
        <v>NA</v>
      </c>
      <c r="AE40" s="88" t="str">
        <f t="shared" si="12"/>
        <v>NA</v>
      </c>
      <c r="AF40" s="111"/>
      <c r="AG40" s="112"/>
      <c r="AH40" s="113"/>
      <c r="AI40" s="112"/>
      <c r="AJ40" s="31"/>
      <c r="AK40" s="294"/>
      <c r="AL40" s="89"/>
      <c r="AM40" s="88" t="str">
        <f t="shared" si="4"/>
        <v>NA</v>
      </c>
      <c r="AN40" s="88" t="str">
        <f t="shared" si="5"/>
        <v>NA</v>
      </c>
      <c r="AO40" s="111"/>
      <c r="AP40" s="112"/>
      <c r="AQ40" s="113"/>
      <c r="AR40" s="112"/>
      <c r="AS40" s="31"/>
      <c r="AT40" s="32"/>
      <c r="AU40" s="90"/>
      <c r="AV40" s="88"/>
      <c r="AW40" s="88"/>
      <c r="AX40" s="111"/>
      <c r="AY40" s="112"/>
      <c r="AZ40" s="113"/>
      <c r="BA40" s="112"/>
      <c r="BB40" s="31"/>
      <c r="BC40" s="32"/>
      <c r="BD40" s="90"/>
      <c r="BE40" s="88"/>
      <c r="BF40" s="88"/>
      <c r="BG40" s="111"/>
      <c r="BH40" s="112"/>
      <c r="BI40" s="113"/>
      <c r="BJ40" s="112"/>
      <c r="BK40" s="31"/>
      <c r="BL40" s="32"/>
      <c r="BM40" s="90"/>
      <c r="BN40" s="88"/>
      <c r="BO40" s="88"/>
      <c r="BP40" s="111"/>
      <c r="BQ40" s="112"/>
      <c r="BR40" s="113"/>
      <c r="BS40" s="112"/>
      <c r="BT40" s="31"/>
      <c r="BU40" s="32"/>
      <c r="BV40" s="90"/>
      <c r="BW40" s="88"/>
      <c r="BX40" s="88"/>
      <c r="BY40" s="111"/>
      <c r="BZ40" s="112"/>
      <c r="CA40" s="113"/>
      <c r="CB40" s="112"/>
      <c r="CC40" s="31"/>
      <c r="CD40" s="32"/>
      <c r="CE40" s="90"/>
      <c r="CF40" s="88"/>
      <c r="CG40" s="88"/>
      <c r="CH40" s="111"/>
      <c r="CI40" s="112"/>
      <c r="CJ40" s="113"/>
      <c r="CK40" s="112"/>
      <c r="CL40" s="31"/>
      <c r="CM40" s="32"/>
      <c r="CN40" s="90"/>
      <c r="CO40" s="88"/>
      <c r="CP40" s="88"/>
      <c r="CQ40" s="111"/>
      <c r="CR40" s="112"/>
      <c r="CS40" s="113"/>
      <c r="CT40" s="112"/>
      <c r="CU40" s="55"/>
      <c r="CW40" s="230"/>
      <c r="CZ40" s="226" t="s">
        <v>541</v>
      </c>
    </row>
    <row r="41" spans="1:104" ht="26" hidden="1" x14ac:dyDescent="0.25">
      <c r="A41" s="17" t="s">
        <v>1485</v>
      </c>
      <c r="B41" s="17" t="s">
        <v>1509</v>
      </c>
      <c r="C41" s="17" t="s">
        <v>1533</v>
      </c>
      <c r="D41" s="17" t="str">
        <f t="shared" si="6"/>
        <v>A</v>
      </c>
      <c r="E41" s="17" t="b">
        <f t="shared" si="7"/>
        <v>0</v>
      </c>
      <c r="F41" s="17" t="b">
        <f t="shared" si="8"/>
        <v>1</v>
      </c>
      <c r="G41" s="317" t="s">
        <v>1877</v>
      </c>
      <c r="H41" s="232" t="s">
        <v>2238</v>
      </c>
      <c r="I41" s="310" t="s">
        <v>1509</v>
      </c>
      <c r="J41" s="147" t="s">
        <v>1533</v>
      </c>
      <c r="K41" s="31"/>
      <c r="L41" s="32" t="s">
        <v>354</v>
      </c>
      <c r="M41" s="90"/>
      <c r="N41" s="111"/>
      <c r="O41" s="112"/>
      <c r="P41" s="113"/>
      <c r="Q41" s="112"/>
      <c r="R41" s="31"/>
      <c r="S41" s="32"/>
      <c r="T41" s="90"/>
      <c r="U41" s="88" t="str">
        <f t="shared" ref="U41:U71" si="13">IF(LEFT(T41,1)&lt;&gt;"x","NA",IF(RIGHT(S41,3)=RIGHT(L41,3),IF(RIGHT(S41,3)&lt;&gt;RIGHT(L41,3),IF(OR(AND(RIGHT(S41,3)=RIGHT(L41,3),T41=M41)),"NO","YES"),"NO"),IF(OR(RIGHT(S41,3)=RIGHT(L41,3)),"ERROR","YES")))</f>
        <v>NA</v>
      </c>
      <c r="V41" s="88" t="str">
        <f t="shared" ref="V41:V71" si="14">IF(LEFT(M41,1)&lt;&gt;LEFT(T41,1),"YES",IF(LEFT(T41,1)="x","NO","NA"))</f>
        <v>NA</v>
      </c>
      <c r="W41" s="111"/>
      <c r="X41" s="112"/>
      <c r="Y41" s="113"/>
      <c r="Z41" s="112"/>
      <c r="AA41" s="31"/>
      <c r="AB41" s="302"/>
      <c r="AC41" s="89"/>
      <c r="AD41" s="88" t="str">
        <f t="shared" si="11"/>
        <v>NA</v>
      </c>
      <c r="AE41" s="88" t="str">
        <f t="shared" si="12"/>
        <v>NA</v>
      </c>
      <c r="AF41" s="111"/>
      <c r="AG41" s="112"/>
      <c r="AH41" s="113"/>
      <c r="AI41" s="112"/>
      <c r="AJ41" s="31"/>
      <c r="AK41" s="294"/>
      <c r="AL41" s="89"/>
      <c r="AM41" s="88" t="str">
        <f t="shared" si="4"/>
        <v>NA</v>
      </c>
      <c r="AN41" s="88" t="str">
        <f t="shared" si="5"/>
        <v>NA</v>
      </c>
      <c r="AO41" s="111"/>
      <c r="AP41" s="112"/>
      <c r="AQ41" s="113"/>
      <c r="AR41" s="112"/>
      <c r="AS41" s="31"/>
      <c r="AT41" s="32"/>
      <c r="AU41" s="90"/>
      <c r="AV41" s="88"/>
      <c r="AW41" s="88"/>
      <c r="AX41" s="111"/>
      <c r="AY41" s="112"/>
      <c r="AZ41" s="113"/>
      <c r="BA41" s="112"/>
      <c r="BB41" s="31"/>
      <c r="BC41" s="32"/>
      <c r="BD41" s="90"/>
      <c r="BE41" s="88"/>
      <c r="BF41" s="88"/>
      <c r="BG41" s="111"/>
      <c r="BH41" s="112"/>
      <c r="BI41" s="113"/>
      <c r="BJ41" s="112"/>
      <c r="BK41" s="31"/>
      <c r="BL41" s="32"/>
      <c r="BM41" s="90"/>
      <c r="BN41" s="88"/>
      <c r="BO41" s="88"/>
      <c r="BP41" s="111"/>
      <c r="BQ41" s="112"/>
      <c r="BR41" s="113"/>
      <c r="BS41" s="112"/>
      <c r="BT41" s="31"/>
      <c r="BU41" s="32"/>
      <c r="BV41" s="90"/>
      <c r="BW41" s="88"/>
      <c r="BX41" s="88"/>
      <c r="BY41" s="111"/>
      <c r="BZ41" s="112"/>
      <c r="CA41" s="113"/>
      <c r="CB41" s="112"/>
      <c r="CC41" s="31"/>
      <c r="CD41" s="32"/>
      <c r="CE41" s="90"/>
      <c r="CF41" s="88"/>
      <c r="CG41" s="88"/>
      <c r="CH41" s="111"/>
      <c r="CI41" s="112"/>
      <c r="CJ41" s="113"/>
      <c r="CK41" s="112"/>
      <c r="CL41" s="31"/>
      <c r="CM41" s="32"/>
      <c r="CN41" s="90"/>
      <c r="CO41" s="88"/>
      <c r="CP41" s="88"/>
      <c r="CQ41" s="111"/>
      <c r="CR41" s="112"/>
      <c r="CS41" s="113"/>
      <c r="CT41" s="112"/>
      <c r="CU41" s="55"/>
      <c r="CW41" s="230"/>
      <c r="CZ41" s="226" t="s">
        <v>541</v>
      </c>
    </row>
    <row r="42" spans="1:104" ht="26" hidden="1" x14ac:dyDescent="0.25">
      <c r="A42" s="17" t="s">
        <v>1486</v>
      </c>
      <c r="B42" s="17" t="s">
        <v>1510</v>
      </c>
      <c r="C42" s="17" t="s">
        <v>1534</v>
      </c>
      <c r="D42" s="17" t="str">
        <f t="shared" si="6"/>
        <v>A</v>
      </c>
      <c r="E42" s="17" t="b">
        <f t="shared" si="7"/>
        <v>0</v>
      </c>
      <c r="F42" s="17" t="b">
        <f t="shared" si="8"/>
        <v>1</v>
      </c>
      <c r="G42" s="317" t="s">
        <v>1878</v>
      </c>
      <c r="H42" s="232" t="s">
        <v>2239</v>
      </c>
      <c r="I42" s="310" t="s">
        <v>1510</v>
      </c>
      <c r="J42" s="147" t="s">
        <v>1534</v>
      </c>
      <c r="K42" s="31"/>
      <c r="L42" s="32" t="s">
        <v>354</v>
      </c>
      <c r="M42" s="90"/>
      <c r="N42" s="111"/>
      <c r="O42" s="112"/>
      <c r="P42" s="113"/>
      <c r="Q42" s="112"/>
      <c r="R42" s="31"/>
      <c r="S42" s="32"/>
      <c r="T42" s="90"/>
      <c r="U42" s="88" t="str">
        <f t="shared" si="13"/>
        <v>NA</v>
      </c>
      <c r="V42" s="88" t="str">
        <f t="shared" si="14"/>
        <v>NA</v>
      </c>
      <c r="W42" s="111"/>
      <c r="X42" s="112"/>
      <c r="Y42" s="113"/>
      <c r="Z42" s="112"/>
      <c r="AA42" s="31"/>
      <c r="AB42" s="302"/>
      <c r="AC42" s="89"/>
      <c r="AD42" s="88" t="str">
        <f t="shared" si="11"/>
        <v>NA</v>
      </c>
      <c r="AE42" s="88" t="str">
        <f t="shared" si="12"/>
        <v>NA</v>
      </c>
      <c r="AF42" s="111"/>
      <c r="AG42" s="112"/>
      <c r="AH42" s="113"/>
      <c r="AI42" s="112"/>
      <c r="AJ42" s="31"/>
      <c r="AK42" s="294"/>
      <c r="AL42" s="89"/>
      <c r="AM42" s="88" t="str">
        <f t="shared" si="4"/>
        <v>NA</v>
      </c>
      <c r="AN42" s="88" t="str">
        <f t="shared" si="5"/>
        <v>NA</v>
      </c>
      <c r="AO42" s="111"/>
      <c r="AP42" s="112"/>
      <c r="AQ42" s="113"/>
      <c r="AR42" s="112"/>
      <c r="AS42" s="31"/>
      <c r="AT42" s="32"/>
      <c r="AU42" s="90"/>
      <c r="AV42" s="88"/>
      <c r="AW42" s="88"/>
      <c r="AX42" s="111"/>
      <c r="AY42" s="112"/>
      <c r="AZ42" s="113"/>
      <c r="BA42" s="112"/>
      <c r="BB42" s="31"/>
      <c r="BC42" s="32"/>
      <c r="BD42" s="90"/>
      <c r="BE42" s="88"/>
      <c r="BF42" s="88"/>
      <c r="BG42" s="111"/>
      <c r="BH42" s="112"/>
      <c r="BI42" s="113"/>
      <c r="BJ42" s="112"/>
      <c r="BK42" s="31"/>
      <c r="BL42" s="32"/>
      <c r="BM42" s="90"/>
      <c r="BN42" s="88"/>
      <c r="BO42" s="88"/>
      <c r="BP42" s="111"/>
      <c r="BQ42" s="112"/>
      <c r="BR42" s="113"/>
      <c r="BS42" s="112"/>
      <c r="BT42" s="31"/>
      <c r="BU42" s="32"/>
      <c r="BV42" s="90"/>
      <c r="BW42" s="88"/>
      <c r="BX42" s="88"/>
      <c r="BY42" s="111"/>
      <c r="BZ42" s="112"/>
      <c r="CA42" s="113"/>
      <c r="CB42" s="112"/>
      <c r="CC42" s="31"/>
      <c r="CD42" s="32"/>
      <c r="CE42" s="90"/>
      <c r="CF42" s="88"/>
      <c r="CG42" s="88"/>
      <c r="CH42" s="111"/>
      <c r="CI42" s="112"/>
      <c r="CJ42" s="113"/>
      <c r="CK42" s="112"/>
      <c r="CL42" s="31"/>
      <c r="CM42" s="32"/>
      <c r="CN42" s="90"/>
      <c r="CO42" s="88"/>
      <c r="CP42" s="88"/>
      <c r="CQ42" s="111"/>
      <c r="CR42" s="112"/>
      <c r="CS42" s="113"/>
      <c r="CT42" s="112"/>
      <c r="CU42" s="55"/>
      <c r="CW42" s="230"/>
      <c r="CZ42" s="226" t="s">
        <v>541</v>
      </c>
    </row>
    <row r="43" spans="1:104" ht="26" hidden="1" x14ac:dyDescent="0.25">
      <c r="A43" s="17" t="s">
        <v>1487</v>
      </c>
      <c r="B43" s="17" t="s">
        <v>1511</v>
      </c>
      <c r="C43" s="17" t="s">
        <v>1535</v>
      </c>
      <c r="D43" s="17" t="str">
        <f t="shared" si="6"/>
        <v>A</v>
      </c>
      <c r="E43" s="17" t="b">
        <f t="shared" si="7"/>
        <v>0</v>
      </c>
      <c r="F43" s="17" t="b">
        <f t="shared" si="8"/>
        <v>1</v>
      </c>
      <c r="G43" s="317" t="s">
        <v>1879</v>
      </c>
      <c r="H43" s="232" t="s">
        <v>2240</v>
      </c>
      <c r="I43" s="310" t="s">
        <v>1511</v>
      </c>
      <c r="J43" s="147" t="s">
        <v>1535</v>
      </c>
      <c r="K43" s="31"/>
      <c r="L43" s="32" t="s">
        <v>354</v>
      </c>
      <c r="M43" s="90"/>
      <c r="N43" s="111"/>
      <c r="O43" s="112"/>
      <c r="P43" s="113"/>
      <c r="Q43" s="112"/>
      <c r="R43" s="31"/>
      <c r="S43" s="32"/>
      <c r="T43" s="90"/>
      <c r="U43" s="88" t="str">
        <f t="shared" si="13"/>
        <v>NA</v>
      </c>
      <c r="V43" s="88" t="str">
        <f t="shared" si="14"/>
        <v>NA</v>
      </c>
      <c r="W43" s="111"/>
      <c r="X43" s="112"/>
      <c r="Y43" s="113"/>
      <c r="Z43" s="112"/>
      <c r="AA43" s="31"/>
      <c r="AB43" s="302"/>
      <c r="AC43" s="89"/>
      <c r="AD43" s="88" t="str">
        <f t="shared" si="11"/>
        <v>NA</v>
      </c>
      <c r="AE43" s="88" t="str">
        <f t="shared" si="12"/>
        <v>NA</v>
      </c>
      <c r="AF43" s="111"/>
      <c r="AG43" s="112"/>
      <c r="AH43" s="113"/>
      <c r="AI43" s="112"/>
      <c r="AJ43" s="31"/>
      <c r="AK43" s="294"/>
      <c r="AL43" s="89"/>
      <c r="AM43" s="88" t="str">
        <f t="shared" si="4"/>
        <v>NA</v>
      </c>
      <c r="AN43" s="88" t="str">
        <f t="shared" si="5"/>
        <v>NA</v>
      </c>
      <c r="AO43" s="111"/>
      <c r="AP43" s="112"/>
      <c r="AQ43" s="113"/>
      <c r="AR43" s="112"/>
      <c r="AS43" s="31"/>
      <c r="AT43" s="32"/>
      <c r="AU43" s="90"/>
      <c r="AV43" s="88"/>
      <c r="AW43" s="88"/>
      <c r="AX43" s="111"/>
      <c r="AY43" s="112"/>
      <c r="AZ43" s="113"/>
      <c r="BA43" s="112"/>
      <c r="BB43" s="31"/>
      <c r="BC43" s="32"/>
      <c r="BD43" s="90"/>
      <c r="BE43" s="88"/>
      <c r="BF43" s="88"/>
      <c r="BG43" s="111"/>
      <c r="BH43" s="112"/>
      <c r="BI43" s="113"/>
      <c r="BJ43" s="112"/>
      <c r="BK43" s="31"/>
      <c r="BL43" s="32"/>
      <c r="BM43" s="90"/>
      <c r="BN43" s="88"/>
      <c r="BO43" s="88"/>
      <c r="BP43" s="111"/>
      <c r="BQ43" s="112"/>
      <c r="BR43" s="113"/>
      <c r="BS43" s="112"/>
      <c r="BT43" s="31"/>
      <c r="BU43" s="32"/>
      <c r="BV43" s="90"/>
      <c r="BW43" s="88"/>
      <c r="BX43" s="88"/>
      <c r="BY43" s="111"/>
      <c r="BZ43" s="112"/>
      <c r="CA43" s="113"/>
      <c r="CB43" s="112"/>
      <c r="CC43" s="31"/>
      <c r="CD43" s="32"/>
      <c r="CE43" s="90"/>
      <c r="CF43" s="88"/>
      <c r="CG43" s="88"/>
      <c r="CH43" s="111"/>
      <c r="CI43" s="112"/>
      <c r="CJ43" s="113"/>
      <c r="CK43" s="112"/>
      <c r="CL43" s="31"/>
      <c r="CM43" s="32"/>
      <c r="CN43" s="90"/>
      <c r="CO43" s="88"/>
      <c r="CP43" s="88"/>
      <c r="CQ43" s="111"/>
      <c r="CR43" s="112"/>
      <c r="CS43" s="113"/>
      <c r="CT43" s="112"/>
      <c r="CU43" s="55"/>
      <c r="CW43" s="230"/>
      <c r="CZ43" s="226" t="s">
        <v>541</v>
      </c>
    </row>
    <row r="44" spans="1:104" ht="26" hidden="1" x14ac:dyDescent="0.25">
      <c r="A44" s="17" t="s">
        <v>1488</v>
      </c>
      <c r="B44" s="17" t="s">
        <v>1512</v>
      </c>
      <c r="C44" s="17" t="s">
        <v>1536</v>
      </c>
      <c r="D44" s="17" t="str">
        <f t="shared" si="6"/>
        <v>A</v>
      </c>
      <c r="E44" s="17" t="b">
        <f t="shared" si="7"/>
        <v>0</v>
      </c>
      <c r="F44" s="17" t="b">
        <f t="shared" si="8"/>
        <v>1</v>
      </c>
      <c r="G44" s="317" t="s">
        <v>1880</v>
      </c>
      <c r="H44" s="232" t="s">
        <v>2241</v>
      </c>
      <c r="I44" s="310" t="s">
        <v>1512</v>
      </c>
      <c r="J44" s="147" t="s">
        <v>1536</v>
      </c>
      <c r="K44" s="31"/>
      <c r="L44" s="32" t="s">
        <v>354</v>
      </c>
      <c r="M44" s="90"/>
      <c r="N44" s="111"/>
      <c r="O44" s="112"/>
      <c r="P44" s="113"/>
      <c r="Q44" s="112"/>
      <c r="R44" s="31"/>
      <c r="S44" s="32"/>
      <c r="T44" s="90"/>
      <c r="U44" s="88" t="str">
        <f t="shared" si="13"/>
        <v>NA</v>
      </c>
      <c r="V44" s="88" t="str">
        <f t="shared" si="14"/>
        <v>NA</v>
      </c>
      <c r="W44" s="111"/>
      <c r="X44" s="112"/>
      <c r="Y44" s="113"/>
      <c r="Z44" s="112"/>
      <c r="AA44" s="31"/>
      <c r="AB44" s="302"/>
      <c r="AC44" s="89"/>
      <c r="AD44" s="88" t="str">
        <f t="shared" si="11"/>
        <v>NA</v>
      </c>
      <c r="AE44" s="88" t="str">
        <f t="shared" si="12"/>
        <v>NA</v>
      </c>
      <c r="AF44" s="111"/>
      <c r="AG44" s="112"/>
      <c r="AH44" s="113"/>
      <c r="AI44" s="112"/>
      <c r="AJ44" s="31"/>
      <c r="AK44" s="294"/>
      <c r="AL44" s="89"/>
      <c r="AM44" s="88" t="str">
        <f t="shared" si="4"/>
        <v>NA</v>
      </c>
      <c r="AN44" s="88" t="str">
        <f t="shared" si="5"/>
        <v>NA</v>
      </c>
      <c r="AO44" s="111"/>
      <c r="AP44" s="112"/>
      <c r="AQ44" s="113"/>
      <c r="AR44" s="112"/>
      <c r="AS44" s="31"/>
      <c r="AT44" s="32"/>
      <c r="AU44" s="90"/>
      <c r="AV44" s="88"/>
      <c r="AW44" s="88"/>
      <c r="AX44" s="111"/>
      <c r="AY44" s="112"/>
      <c r="AZ44" s="113"/>
      <c r="BA44" s="112"/>
      <c r="BB44" s="31"/>
      <c r="BC44" s="32"/>
      <c r="BD44" s="90"/>
      <c r="BE44" s="88"/>
      <c r="BF44" s="88"/>
      <c r="BG44" s="111"/>
      <c r="BH44" s="112"/>
      <c r="BI44" s="113"/>
      <c r="BJ44" s="112"/>
      <c r="BK44" s="31"/>
      <c r="BL44" s="32"/>
      <c r="BM44" s="90"/>
      <c r="BN44" s="88"/>
      <c r="BO44" s="88"/>
      <c r="BP44" s="111"/>
      <c r="BQ44" s="112"/>
      <c r="BR44" s="113"/>
      <c r="BS44" s="112"/>
      <c r="BT44" s="31"/>
      <c r="BU44" s="32"/>
      <c r="BV44" s="90"/>
      <c r="BW44" s="88"/>
      <c r="BX44" s="88"/>
      <c r="BY44" s="111"/>
      <c r="BZ44" s="112"/>
      <c r="CA44" s="113"/>
      <c r="CB44" s="112"/>
      <c r="CC44" s="31"/>
      <c r="CD44" s="32"/>
      <c r="CE44" s="90"/>
      <c r="CF44" s="88"/>
      <c r="CG44" s="88"/>
      <c r="CH44" s="111"/>
      <c r="CI44" s="112"/>
      <c r="CJ44" s="113"/>
      <c r="CK44" s="112"/>
      <c r="CL44" s="31"/>
      <c r="CM44" s="32"/>
      <c r="CN44" s="90"/>
      <c r="CO44" s="88"/>
      <c r="CP44" s="88"/>
      <c r="CQ44" s="111"/>
      <c r="CR44" s="112"/>
      <c r="CS44" s="113"/>
      <c r="CT44" s="112"/>
      <c r="CU44" s="55"/>
      <c r="CW44" s="230"/>
      <c r="CZ44" s="226" t="s">
        <v>541</v>
      </c>
    </row>
    <row r="45" spans="1:104" ht="26" hidden="1" x14ac:dyDescent="0.25">
      <c r="A45" s="17" t="s">
        <v>1489</v>
      </c>
      <c r="B45" s="17" t="s">
        <v>1513</v>
      </c>
      <c r="C45" s="17" t="s">
        <v>1537</v>
      </c>
      <c r="D45" s="17" t="str">
        <f t="shared" si="6"/>
        <v>A</v>
      </c>
      <c r="E45" s="17" t="b">
        <f t="shared" si="7"/>
        <v>0</v>
      </c>
      <c r="F45" s="17" t="b">
        <f t="shared" si="8"/>
        <v>1</v>
      </c>
      <c r="G45" s="317" t="s">
        <v>1881</v>
      </c>
      <c r="H45" s="232" t="s">
        <v>2242</v>
      </c>
      <c r="I45" s="310" t="s">
        <v>1513</v>
      </c>
      <c r="J45" s="147" t="s">
        <v>1537</v>
      </c>
      <c r="K45" s="31"/>
      <c r="L45" s="32" t="s">
        <v>354</v>
      </c>
      <c r="M45" s="90"/>
      <c r="N45" s="111"/>
      <c r="O45" s="112"/>
      <c r="P45" s="113"/>
      <c r="Q45" s="112"/>
      <c r="R45" s="31"/>
      <c r="S45" s="32"/>
      <c r="T45" s="90"/>
      <c r="U45" s="88" t="str">
        <f t="shared" si="13"/>
        <v>NA</v>
      </c>
      <c r="V45" s="88" t="str">
        <f t="shared" si="14"/>
        <v>NA</v>
      </c>
      <c r="W45" s="111"/>
      <c r="X45" s="112"/>
      <c r="Y45" s="113"/>
      <c r="Z45" s="112"/>
      <c r="AA45" s="31"/>
      <c r="AB45" s="302"/>
      <c r="AC45" s="89"/>
      <c r="AD45" s="88" t="str">
        <f t="shared" si="11"/>
        <v>NA</v>
      </c>
      <c r="AE45" s="88" t="str">
        <f t="shared" si="12"/>
        <v>NA</v>
      </c>
      <c r="AF45" s="111"/>
      <c r="AG45" s="112"/>
      <c r="AH45" s="113"/>
      <c r="AI45" s="112"/>
      <c r="AJ45" s="31"/>
      <c r="AK45" s="294"/>
      <c r="AL45" s="89"/>
      <c r="AM45" s="88" t="str">
        <f t="shared" si="4"/>
        <v>NA</v>
      </c>
      <c r="AN45" s="88" t="str">
        <f t="shared" si="5"/>
        <v>NA</v>
      </c>
      <c r="AO45" s="111"/>
      <c r="AP45" s="112"/>
      <c r="AQ45" s="113"/>
      <c r="AR45" s="112"/>
      <c r="AS45" s="31"/>
      <c r="AT45" s="32"/>
      <c r="AU45" s="90"/>
      <c r="AV45" s="88"/>
      <c r="AW45" s="88"/>
      <c r="AX45" s="111"/>
      <c r="AY45" s="112"/>
      <c r="AZ45" s="113"/>
      <c r="BA45" s="112"/>
      <c r="BB45" s="31"/>
      <c r="BC45" s="32"/>
      <c r="BD45" s="90"/>
      <c r="BE45" s="88"/>
      <c r="BF45" s="88"/>
      <c r="BG45" s="111"/>
      <c r="BH45" s="112"/>
      <c r="BI45" s="113"/>
      <c r="BJ45" s="112"/>
      <c r="BK45" s="31"/>
      <c r="BL45" s="32"/>
      <c r="BM45" s="90"/>
      <c r="BN45" s="88"/>
      <c r="BO45" s="88"/>
      <c r="BP45" s="111"/>
      <c r="BQ45" s="112"/>
      <c r="BR45" s="113"/>
      <c r="BS45" s="112"/>
      <c r="BT45" s="31"/>
      <c r="BU45" s="32"/>
      <c r="BV45" s="90"/>
      <c r="BW45" s="88"/>
      <c r="BX45" s="88"/>
      <c r="BY45" s="111"/>
      <c r="BZ45" s="112"/>
      <c r="CA45" s="113"/>
      <c r="CB45" s="112"/>
      <c r="CC45" s="31"/>
      <c r="CD45" s="32"/>
      <c r="CE45" s="90"/>
      <c r="CF45" s="88"/>
      <c r="CG45" s="88"/>
      <c r="CH45" s="111"/>
      <c r="CI45" s="112"/>
      <c r="CJ45" s="113"/>
      <c r="CK45" s="112"/>
      <c r="CL45" s="31"/>
      <c r="CM45" s="32"/>
      <c r="CN45" s="90"/>
      <c r="CO45" s="88"/>
      <c r="CP45" s="88"/>
      <c r="CQ45" s="111"/>
      <c r="CR45" s="112"/>
      <c r="CS45" s="113"/>
      <c r="CT45" s="112"/>
      <c r="CU45" s="55"/>
      <c r="CW45" s="230"/>
      <c r="CZ45" s="226" t="s">
        <v>541</v>
      </c>
    </row>
    <row r="46" spans="1:104" ht="26" hidden="1" x14ac:dyDescent="0.25">
      <c r="A46" s="17" t="s">
        <v>1490</v>
      </c>
      <c r="B46" s="17" t="s">
        <v>1514</v>
      </c>
      <c r="C46" s="17" t="s">
        <v>1538</v>
      </c>
      <c r="D46" s="17" t="str">
        <f t="shared" si="6"/>
        <v>A</v>
      </c>
      <c r="E46" s="17" t="b">
        <f t="shared" si="7"/>
        <v>0</v>
      </c>
      <c r="F46" s="17" t="b">
        <f t="shared" si="8"/>
        <v>1</v>
      </c>
      <c r="G46" s="317" t="s">
        <v>1882</v>
      </c>
      <c r="H46" s="232" t="s">
        <v>2243</v>
      </c>
      <c r="I46" s="310" t="s">
        <v>1514</v>
      </c>
      <c r="J46" s="147" t="s">
        <v>1538</v>
      </c>
      <c r="K46" s="31"/>
      <c r="L46" s="32" t="s">
        <v>354</v>
      </c>
      <c r="M46" s="90"/>
      <c r="N46" s="111"/>
      <c r="O46" s="112"/>
      <c r="P46" s="113"/>
      <c r="Q46" s="112"/>
      <c r="R46" s="31"/>
      <c r="S46" s="32"/>
      <c r="T46" s="90"/>
      <c r="U46" s="88" t="str">
        <f t="shared" si="13"/>
        <v>NA</v>
      </c>
      <c r="V46" s="88" t="str">
        <f t="shared" si="14"/>
        <v>NA</v>
      </c>
      <c r="W46" s="111"/>
      <c r="X46" s="112"/>
      <c r="Y46" s="113"/>
      <c r="Z46" s="112"/>
      <c r="AA46" s="31"/>
      <c r="AB46" s="302"/>
      <c r="AC46" s="89"/>
      <c r="AD46" s="88" t="str">
        <f t="shared" si="11"/>
        <v>NA</v>
      </c>
      <c r="AE46" s="88" t="str">
        <f t="shared" si="12"/>
        <v>NA</v>
      </c>
      <c r="AF46" s="111"/>
      <c r="AG46" s="112"/>
      <c r="AH46" s="113"/>
      <c r="AI46" s="112"/>
      <c r="AJ46" s="31"/>
      <c r="AK46" s="294"/>
      <c r="AL46" s="89"/>
      <c r="AM46" s="88" t="str">
        <f t="shared" si="4"/>
        <v>NA</v>
      </c>
      <c r="AN46" s="88" t="str">
        <f t="shared" si="5"/>
        <v>NA</v>
      </c>
      <c r="AO46" s="111"/>
      <c r="AP46" s="112"/>
      <c r="AQ46" s="113"/>
      <c r="AR46" s="112"/>
      <c r="AS46" s="31"/>
      <c r="AT46" s="32"/>
      <c r="AU46" s="90"/>
      <c r="AV46" s="88"/>
      <c r="AW46" s="88"/>
      <c r="AX46" s="111"/>
      <c r="AY46" s="112"/>
      <c r="AZ46" s="113"/>
      <c r="BA46" s="112"/>
      <c r="BB46" s="31"/>
      <c r="BC46" s="32"/>
      <c r="BD46" s="90"/>
      <c r="BE46" s="88"/>
      <c r="BF46" s="88"/>
      <c r="BG46" s="111"/>
      <c r="BH46" s="112"/>
      <c r="BI46" s="113"/>
      <c r="BJ46" s="112"/>
      <c r="BK46" s="31"/>
      <c r="BL46" s="32"/>
      <c r="BM46" s="90"/>
      <c r="BN46" s="88"/>
      <c r="BO46" s="88"/>
      <c r="BP46" s="111"/>
      <c r="BQ46" s="112"/>
      <c r="BR46" s="113"/>
      <c r="BS46" s="112"/>
      <c r="BT46" s="31"/>
      <c r="BU46" s="32"/>
      <c r="BV46" s="90"/>
      <c r="BW46" s="88"/>
      <c r="BX46" s="88"/>
      <c r="BY46" s="111"/>
      <c r="BZ46" s="112"/>
      <c r="CA46" s="113"/>
      <c r="CB46" s="112"/>
      <c r="CC46" s="31"/>
      <c r="CD46" s="32"/>
      <c r="CE46" s="90"/>
      <c r="CF46" s="88"/>
      <c r="CG46" s="88"/>
      <c r="CH46" s="111"/>
      <c r="CI46" s="112"/>
      <c r="CJ46" s="113"/>
      <c r="CK46" s="112"/>
      <c r="CL46" s="31"/>
      <c r="CM46" s="32"/>
      <c r="CN46" s="90"/>
      <c r="CO46" s="88"/>
      <c r="CP46" s="88"/>
      <c r="CQ46" s="111"/>
      <c r="CR46" s="112"/>
      <c r="CS46" s="113"/>
      <c r="CT46" s="112"/>
      <c r="CU46" s="55"/>
      <c r="CW46" s="230"/>
      <c r="CZ46" s="226" t="s">
        <v>541</v>
      </c>
    </row>
    <row r="47" spans="1:104" ht="26" hidden="1" x14ac:dyDescent="0.25">
      <c r="A47" s="17" t="s">
        <v>1491</v>
      </c>
      <c r="B47" s="17" t="s">
        <v>1515</v>
      </c>
      <c r="C47" s="17" t="s">
        <v>1539</v>
      </c>
      <c r="D47" s="17" t="str">
        <f t="shared" si="6"/>
        <v>A</v>
      </c>
      <c r="E47" s="17" t="b">
        <f t="shared" si="7"/>
        <v>0</v>
      </c>
      <c r="F47" s="17" t="b">
        <f t="shared" si="8"/>
        <v>1</v>
      </c>
      <c r="G47" s="317" t="s">
        <v>1883</v>
      </c>
      <c r="H47" s="232" t="s">
        <v>2244</v>
      </c>
      <c r="I47" s="310" t="s">
        <v>1515</v>
      </c>
      <c r="J47" s="147" t="s">
        <v>1539</v>
      </c>
      <c r="K47" s="31"/>
      <c r="L47" s="32" t="s">
        <v>354</v>
      </c>
      <c r="M47" s="90"/>
      <c r="N47" s="111"/>
      <c r="O47" s="112"/>
      <c r="P47" s="113"/>
      <c r="Q47" s="112"/>
      <c r="R47" s="31"/>
      <c r="S47" s="32"/>
      <c r="T47" s="90"/>
      <c r="U47" s="88" t="str">
        <f t="shared" si="13"/>
        <v>NA</v>
      </c>
      <c r="V47" s="88" t="str">
        <f t="shared" si="14"/>
        <v>NA</v>
      </c>
      <c r="W47" s="111"/>
      <c r="X47" s="112"/>
      <c r="Y47" s="113"/>
      <c r="Z47" s="112"/>
      <c r="AA47" s="31"/>
      <c r="AB47" s="302"/>
      <c r="AC47" s="89"/>
      <c r="AD47" s="88" t="str">
        <f t="shared" si="11"/>
        <v>NA</v>
      </c>
      <c r="AE47" s="88" t="str">
        <f t="shared" si="12"/>
        <v>NA</v>
      </c>
      <c r="AF47" s="111"/>
      <c r="AG47" s="112"/>
      <c r="AH47" s="113"/>
      <c r="AI47" s="112"/>
      <c r="AJ47" s="31"/>
      <c r="AK47" s="294"/>
      <c r="AL47" s="89"/>
      <c r="AM47" s="88" t="str">
        <f t="shared" si="4"/>
        <v>NA</v>
      </c>
      <c r="AN47" s="88" t="str">
        <f t="shared" si="5"/>
        <v>NA</v>
      </c>
      <c r="AO47" s="111"/>
      <c r="AP47" s="112"/>
      <c r="AQ47" s="113"/>
      <c r="AR47" s="112"/>
      <c r="AS47" s="31"/>
      <c r="AT47" s="32"/>
      <c r="AU47" s="90"/>
      <c r="AV47" s="88"/>
      <c r="AW47" s="88"/>
      <c r="AX47" s="111"/>
      <c r="AY47" s="112"/>
      <c r="AZ47" s="113"/>
      <c r="BA47" s="112"/>
      <c r="BB47" s="31"/>
      <c r="BC47" s="32"/>
      <c r="BD47" s="90"/>
      <c r="BE47" s="88"/>
      <c r="BF47" s="88"/>
      <c r="BG47" s="111"/>
      <c r="BH47" s="112"/>
      <c r="BI47" s="113"/>
      <c r="BJ47" s="112"/>
      <c r="BK47" s="31"/>
      <c r="BL47" s="32"/>
      <c r="BM47" s="90"/>
      <c r="BN47" s="88"/>
      <c r="BO47" s="88"/>
      <c r="BP47" s="111"/>
      <c r="BQ47" s="112"/>
      <c r="BR47" s="113"/>
      <c r="BS47" s="112"/>
      <c r="BT47" s="31"/>
      <c r="BU47" s="32"/>
      <c r="BV47" s="90"/>
      <c r="BW47" s="88"/>
      <c r="BX47" s="88"/>
      <c r="BY47" s="111"/>
      <c r="BZ47" s="112"/>
      <c r="CA47" s="113"/>
      <c r="CB47" s="112"/>
      <c r="CC47" s="31"/>
      <c r="CD47" s="32"/>
      <c r="CE47" s="90"/>
      <c r="CF47" s="88"/>
      <c r="CG47" s="88"/>
      <c r="CH47" s="111"/>
      <c r="CI47" s="112"/>
      <c r="CJ47" s="113"/>
      <c r="CK47" s="112"/>
      <c r="CL47" s="31"/>
      <c r="CM47" s="32"/>
      <c r="CN47" s="90"/>
      <c r="CO47" s="88"/>
      <c r="CP47" s="88"/>
      <c r="CQ47" s="111"/>
      <c r="CR47" s="112"/>
      <c r="CS47" s="113"/>
      <c r="CT47" s="112"/>
      <c r="CU47" s="55"/>
      <c r="CW47" s="230"/>
      <c r="CZ47" s="226" t="s">
        <v>541</v>
      </c>
    </row>
    <row r="48" spans="1:104" ht="26" hidden="1" x14ac:dyDescent="0.25">
      <c r="A48" s="17" t="s">
        <v>1492</v>
      </c>
      <c r="B48" s="17" t="s">
        <v>1516</v>
      </c>
      <c r="C48" s="17" t="s">
        <v>1540</v>
      </c>
      <c r="D48" s="17" t="str">
        <f t="shared" si="6"/>
        <v>A</v>
      </c>
      <c r="E48" s="17" t="b">
        <f t="shared" si="7"/>
        <v>0</v>
      </c>
      <c r="F48" s="17" t="b">
        <f t="shared" si="8"/>
        <v>1</v>
      </c>
      <c r="G48" s="317" t="s">
        <v>1884</v>
      </c>
      <c r="H48" s="232" t="s">
        <v>2245</v>
      </c>
      <c r="I48" s="310" t="s">
        <v>1516</v>
      </c>
      <c r="J48" s="147" t="s">
        <v>1540</v>
      </c>
      <c r="K48" s="31"/>
      <c r="L48" s="32" t="s">
        <v>354</v>
      </c>
      <c r="M48" s="90"/>
      <c r="N48" s="111"/>
      <c r="O48" s="112"/>
      <c r="P48" s="113"/>
      <c r="Q48" s="112"/>
      <c r="R48" s="31"/>
      <c r="S48" s="32"/>
      <c r="T48" s="90"/>
      <c r="U48" s="88" t="str">
        <f t="shared" si="13"/>
        <v>NA</v>
      </c>
      <c r="V48" s="88" t="str">
        <f t="shared" si="14"/>
        <v>NA</v>
      </c>
      <c r="W48" s="111"/>
      <c r="X48" s="112"/>
      <c r="Y48" s="113"/>
      <c r="Z48" s="112"/>
      <c r="AA48" s="31"/>
      <c r="AB48" s="302"/>
      <c r="AC48" s="89"/>
      <c r="AD48" s="88" t="str">
        <f t="shared" si="11"/>
        <v>NA</v>
      </c>
      <c r="AE48" s="88" t="str">
        <f t="shared" si="12"/>
        <v>NA</v>
      </c>
      <c r="AF48" s="111"/>
      <c r="AG48" s="112"/>
      <c r="AH48" s="113"/>
      <c r="AI48" s="112"/>
      <c r="AJ48" s="31"/>
      <c r="AK48" s="294"/>
      <c r="AL48" s="89"/>
      <c r="AM48" s="88" t="str">
        <f t="shared" si="4"/>
        <v>NA</v>
      </c>
      <c r="AN48" s="88" t="str">
        <f t="shared" si="5"/>
        <v>NA</v>
      </c>
      <c r="AO48" s="111"/>
      <c r="AP48" s="112"/>
      <c r="AQ48" s="113"/>
      <c r="AR48" s="112"/>
      <c r="AS48" s="31"/>
      <c r="AT48" s="32"/>
      <c r="AU48" s="90"/>
      <c r="AV48" s="88"/>
      <c r="AW48" s="88"/>
      <c r="AX48" s="111"/>
      <c r="AY48" s="112"/>
      <c r="AZ48" s="113"/>
      <c r="BA48" s="112"/>
      <c r="BB48" s="31"/>
      <c r="BC48" s="32"/>
      <c r="BD48" s="90"/>
      <c r="BE48" s="88"/>
      <c r="BF48" s="88"/>
      <c r="BG48" s="111"/>
      <c r="BH48" s="112"/>
      <c r="BI48" s="113"/>
      <c r="BJ48" s="112"/>
      <c r="BK48" s="31"/>
      <c r="BL48" s="32"/>
      <c r="BM48" s="90"/>
      <c r="BN48" s="88"/>
      <c r="BO48" s="88"/>
      <c r="BP48" s="111"/>
      <c r="BQ48" s="112"/>
      <c r="BR48" s="113"/>
      <c r="BS48" s="112"/>
      <c r="BT48" s="31"/>
      <c r="BU48" s="32"/>
      <c r="BV48" s="90"/>
      <c r="BW48" s="88"/>
      <c r="BX48" s="88"/>
      <c r="BY48" s="111"/>
      <c r="BZ48" s="112"/>
      <c r="CA48" s="113"/>
      <c r="CB48" s="112"/>
      <c r="CC48" s="31"/>
      <c r="CD48" s="32"/>
      <c r="CE48" s="90"/>
      <c r="CF48" s="88"/>
      <c r="CG48" s="88"/>
      <c r="CH48" s="111"/>
      <c r="CI48" s="112"/>
      <c r="CJ48" s="113"/>
      <c r="CK48" s="112"/>
      <c r="CL48" s="31"/>
      <c r="CM48" s="32"/>
      <c r="CN48" s="90"/>
      <c r="CO48" s="88"/>
      <c r="CP48" s="88"/>
      <c r="CQ48" s="111"/>
      <c r="CR48" s="112"/>
      <c r="CS48" s="113"/>
      <c r="CT48" s="112"/>
      <c r="CU48" s="55"/>
      <c r="CW48" s="230"/>
      <c r="CZ48" s="226" t="s">
        <v>541</v>
      </c>
    </row>
    <row r="49" spans="1:104" ht="26" hidden="1" x14ac:dyDescent="0.25">
      <c r="A49" s="17" t="s">
        <v>1493</v>
      </c>
      <c r="B49" s="17" t="s">
        <v>1517</v>
      </c>
      <c r="C49" s="17" t="s">
        <v>1541</v>
      </c>
      <c r="D49" s="17" t="str">
        <f t="shared" si="6"/>
        <v>A</v>
      </c>
      <c r="E49" s="17" t="b">
        <f t="shared" si="7"/>
        <v>0</v>
      </c>
      <c r="F49" s="17" t="b">
        <f t="shared" si="8"/>
        <v>1</v>
      </c>
      <c r="G49" s="317" t="s">
        <v>1885</v>
      </c>
      <c r="H49" s="232" t="s">
        <v>2246</v>
      </c>
      <c r="I49" s="310" t="s">
        <v>1517</v>
      </c>
      <c r="J49" s="147" t="s">
        <v>1541</v>
      </c>
      <c r="K49" s="31"/>
      <c r="L49" s="32" t="s">
        <v>354</v>
      </c>
      <c r="M49" s="90"/>
      <c r="N49" s="111"/>
      <c r="O49" s="112"/>
      <c r="P49" s="113"/>
      <c r="Q49" s="112"/>
      <c r="R49" s="31"/>
      <c r="S49" s="32"/>
      <c r="T49" s="90"/>
      <c r="U49" s="88" t="str">
        <f t="shared" si="13"/>
        <v>NA</v>
      </c>
      <c r="V49" s="88" t="str">
        <f t="shared" si="14"/>
        <v>NA</v>
      </c>
      <c r="W49" s="111"/>
      <c r="X49" s="112"/>
      <c r="Y49" s="113"/>
      <c r="Z49" s="112"/>
      <c r="AA49" s="31"/>
      <c r="AB49" s="302"/>
      <c r="AC49" s="89"/>
      <c r="AD49" s="88" t="str">
        <f t="shared" si="11"/>
        <v>NA</v>
      </c>
      <c r="AE49" s="88" t="str">
        <f t="shared" si="12"/>
        <v>NA</v>
      </c>
      <c r="AF49" s="111"/>
      <c r="AG49" s="112"/>
      <c r="AH49" s="113"/>
      <c r="AI49" s="112"/>
      <c r="AJ49" s="31"/>
      <c r="AK49" s="294"/>
      <c r="AL49" s="89"/>
      <c r="AM49" s="88" t="str">
        <f t="shared" si="4"/>
        <v>NA</v>
      </c>
      <c r="AN49" s="88" t="str">
        <f t="shared" si="5"/>
        <v>NA</v>
      </c>
      <c r="AO49" s="111"/>
      <c r="AP49" s="112"/>
      <c r="AQ49" s="113"/>
      <c r="AR49" s="112"/>
      <c r="AS49" s="31"/>
      <c r="AT49" s="32"/>
      <c r="AU49" s="90"/>
      <c r="AV49" s="88"/>
      <c r="AW49" s="88"/>
      <c r="AX49" s="111"/>
      <c r="AY49" s="112"/>
      <c r="AZ49" s="113"/>
      <c r="BA49" s="112"/>
      <c r="BB49" s="31"/>
      <c r="BC49" s="32"/>
      <c r="BD49" s="90"/>
      <c r="BE49" s="88"/>
      <c r="BF49" s="88"/>
      <c r="BG49" s="111"/>
      <c r="BH49" s="112"/>
      <c r="BI49" s="113"/>
      <c r="BJ49" s="112"/>
      <c r="BK49" s="31"/>
      <c r="BL49" s="32"/>
      <c r="BM49" s="90"/>
      <c r="BN49" s="88"/>
      <c r="BO49" s="88"/>
      <c r="BP49" s="111"/>
      <c r="BQ49" s="112"/>
      <c r="BR49" s="113"/>
      <c r="BS49" s="112"/>
      <c r="BT49" s="31"/>
      <c r="BU49" s="32"/>
      <c r="BV49" s="90"/>
      <c r="BW49" s="88"/>
      <c r="BX49" s="88"/>
      <c r="BY49" s="111"/>
      <c r="BZ49" s="112"/>
      <c r="CA49" s="113"/>
      <c r="CB49" s="112"/>
      <c r="CC49" s="31"/>
      <c r="CD49" s="32"/>
      <c r="CE49" s="90"/>
      <c r="CF49" s="88"/>
      <c r="CG49" s="88"/>
      <c r="CH49" s="111"/>
      <c r="CI49" s="112"/>
      <c r="CJ49" s="113"/>
      <c r="CK49" s="112"/>
      <c r="CL49" s="31"/>
      <c r="CM49" s="32"/>
      <c r="CN49" s="90"/>
      <c r="CO49" s="88"/>
      <c r="CP49" s="88"/>
      <c r="CQ49" s="111"/>
      <c r="CR49" s="112"/>
      <c r="CS49" s="113"/>
      <c r="CT49" s="112"/>
      <c r="CU49" s="55"/>
      <c r="CW49" s="230"/>
      <c r="CZ49" s="226" t="s">
        <v>541</v>
      </c>
    </row>
    <row r="50" spans="1:104" ht="26" hidden="1" x14ac:dyDescent="0.25">
      <c r="A50" s="17" t="s">
        <v>1494</v>
      </c>
      <c r="B50" s="17" t="s">
        <v>1518</v>
      </c>
      <c r="C50" s="17" t="s">
        <v>1542</v>
      </c>
      <c r="D50" s="17" t="str">
        <f t="shared" si="6"/>
        <v>A</v>
      </c>
      <c r="E50" s="17" t="b">
        <f t="shared" si="7"/>
        <v>0</v>
      </c>
      <c r="F50" s="17" t="b">
        <f t="shared" si="8"/>
        <v>1</v>
      </c>
      <c r="G50" s="317" t="s">
        <v>1886</v>
      </c>
      <c r="H50" s="232" t="s">
        <v>2247</v>
      </c>
      <c r="I50" s="310" t="s">
        <v>1518</v>
      </c>
      <c r="J50" s="147" t="s">
        <v>1542</v>
      </c>
      <c r="K50" s="31"/>
      <c r="L50" s="32" t="s">
        <v>354</v>
      </c>
      <c r="M50" s="90"/>
      <c r="N50" s="111"/>
      <c r="O50" s="112"/>
      <c r="P50" s="113"/>
      <c r="Q50" s="112"/>
      <c r="R50" s="31"/>
      <c r="S50" s="32"/>
      <c r="T50" s="90"/>
      <c r="U50" s="88" t="str">
        <f t="shared" si="13"/>
        <v>NA</v>
      </c>
      <c r="V50" s="88" t="str">
        <f t="shared" si="14"/>
        <v>NA</v>
      </c>
      <c r="W50" s="111"/>
      <c r="X50" s="112"/>
      <c r="Y50" s="113"/>
      <c r="Z50" s="112"/>
      <c r="AA50" s="31"/>
      <c r="AB50" s="302"/>
      <c r="AC50" s="89"/>
      <c r="AD50" s="88" t="str">
        <f t="shared" si="11"/>
        <v>NA</v>
      </c>
      <c r="AE50" s="88" t="str">
        <f t="shared" si="12"/>
        <v>NA</v>
      </c>
      <c r="AF50" s="111"/>
      <c r="AG50" s="112"/>
      <c r="AH50" s="113"/>
      <c r="AI50" s="112"/>
      <c r="AJ50" s="31"/>
      <c r="AK50" s="294"/>
      <c r="AL50" s="89"/>
      <c r="AM50" s="88" t="str">
        <f t="shared" si="4"/>
        <v>NA</v>
      </c>
      <c r="AN50" s="88" t="str">
        <f t="shared" si="5"/>
        <v>NA</v>
      </c>
      <c r="AO50" s="111"/>
      <c r="AP50" s="112"/>
      <c r="AQ50" s="113"/>
      <c r="AR50" s="112"/>
      <c r="AS50" s="31"/>
      <c r="AT50" s="32"/>
      <c r="AU50" s="90"/>
      <c r="AV50" s="88"/>
      <c r="AW50" s="88"/>
      <c r="AX50" s="111"/>
      <c r="AY50" s="112"/>
      <c r="AZ50" s="113"/>
      <c r="BA50" s="112"/>
      <c r="BB50" s="31"/>
      <c r="BC50" s="32"/>
      <c r="BD50" s="90"/>
      <c r="BE50" s="88"/>
      <c r="BF50" s="88"/>
      <c r="BG50" s="111"/>
      <c r="BH50" s="112"/>
      <c r="BI50" s="113"/>
      <c r="BJ50" s="112"/>
      <c r="BK50" s="31"/>
      <c r="BL50" s="32"/>
      <c r="BM50" s="90"/>
      <c r="BN50" s="88"/>
      <c r="BO50" s="88"/>
      <c r="BP50" s="111"/>
      <c r="BQ50" s="112"/>
      <c r="BR50" s="113"/>
      <c r="BS50" s="112"/>
      <c r="BT50" s="31"/>
      <c r="BU50" s="32"/>
      <c r="BV50" s="90"/>
      <c r="BW50" s="88"/>
      <c r="BX50" s="88"/>
      <c r="BY50" s="111"/>
      <c r="BZ50" s="112"/>
      <c r="CA50" s="113"/>
      <c r="CB50" s="112"/>
      <c r="CC50" s="31"/>
      <c r="CD50" s="32"/>
      <c r="CE50" s="90"/>
      <c r="CF50" s="88"/>
      <c r="CG50" s="88"/>
      <c r="CH50" s="111"/>
      <c r="CI50" s="112"/>
      <c r="CJ50" s="113"/>
      <c r="CK50" s="112"/>
      <c r="CL50" s="31"/>
      <c r="CM50" s="32"/>
      <c r="CN50" s="90"/>
      <c r="CO50" s="88"/>
      <c r="CP50" s="88"/>
      <c r="CQ50" s="111"/>
      <c r="CR50" s="112"/>
      <c r="CS50" s="113"/>
      <c r="CT50" s="112"/>
      <c r="CU50" s="55"/>
      <c r="CW50" s="230"/>
      <c r="CZ50" s="226" t="s">
        <v>541</v>
      </c>
    </row>
    <row r="51" spans="1:104" ht="26" hidden="1" x14ac:dyDescent="0.25">
      <c r="A51" s="17" t="s">
        <v>1495</v>
      </c>
      <c r="B51" s="17" t="s">
        <v>1519</v>
      </c>
      <c r="C51" s="17" t="s">
        <v>1543</v>
      </c>
      <c r="D51" s="17" t="str">
        <f t="shared" si="6"/>
        <v>A</v>
      </c>
      <c r="E51" s="17" t="b">
        <f t="shared" si="7"/>
        <v>0</v>
      </c>
      <c r="F51" s="17" t="b">
        <f t="shared" si="8"/>
        <v>1</v>
      </c>
      <c r="G51" s="317" t="s">
        <v>1887</v>
      </c>
      <c r="H51" s="232" t="s">
        <v>2248</v>
      </c>
      <c r="I51" s="310" t="s">
        <v>1519</v>
      </c>
      <c r="J51" s="147" t="s">
        <v>1543</v>
      </c>
      <c r="K51" s="31"/>
      <c r="L51" s="32" t="s">
        <v>354</v>
      </c>
      <c r="M51" s="90"/>
      <c r="N51" s="111"/>
      <c r="O51" s="112"/>
      <c r="P51" s="113"/>
      <c r="Q51" s="112"/>
      <c r="R51" s="31"/>
      <c r="S51" s="32"/>
      <c r="T51" s="90"/>
      <c r="U51" s="88" t="str">
        <f t="shared" si="13"/>
        <v>NA</v>
      </c>
      <c r="V51" s="88" t="str">
        <f t="shared" si="14"/>
        <v>NA</v>
      </c>
      <c r="W51" s="111"/>
      <c r="X51" s="112"/>
      <c r="Y51" s="113"/>
      <c r="Z51" s="112"/>
      <c r="AA51" s="31"/>
      <c r="AB51" s="302"/>
      <c r="AC51" s="89"/>
      <c r="AD51" s="88" t="str">
        <f t="shared" si="11"/>
        <v>NA</v>
      </c>
      <c r="AE51" s="88" t="str">
        <f t="shared" si="12"/>
        <v>NA</v>
      </c>
      <c r="AF51" s="111"/>
      <c r="AG51" s="112"/>
      <c r="AH51" s="113"/>
      <c r="AI51" s="112"/>
      <c r="AJ51" s="31"/>
      <c r="AK51" s="294"/>
      <c r="AL51" s="89"/>
      <c r="AM51" s="88" t="str">
        <f t="shared" si="4"/>
        <v>NA</v>
      </c>
      <c r="AN51" s="88" t="str">
        <f t="shared" si="5"/>
        <v>NA</v>
      </c>
      <c r="AO51" s="111"/>
      <c r="AP51" s="112"/>
      <c r="AQ51" s="113"/>
      <c r="AR51" s="112"/>
      <c r="AS51" s="31"/>
      <c r="AT51" s="32"/>
      <c r="AU51" s="90"/>
      <c r="AV51" s="88"/>
      <c r="AW51" s="88"/>
      <c r="AX51" s="111"/>
      <c r="AY51" s="112"/>
      <c r="AZ51" s="113"/>
      <c r="BA51" s="112"/>
      <c r="BB51" s="31"/>
      <c r="BC51" s="32"/>
      <c r="BD51" s="90"/>
      <c r="BE51" s="88"/>
      <c r="BF51" s="88"/>
      <c r="BG51" s="111"/>
      <c r="BH51" s="112"/>
      <c r="BI51" s="113"/>
      <c r="BJ51" s="112"/>
      <c r="BK51" s="31"/>
      <c r="BL51" s="32"/>
      <c r="BM51" s="90"/>
      <c r="BN51" s="88"/>
      <c r="BO51" s="88"/>
      <c r="BP51" s="111"/>
      <c r="BQ51" s="112"/>
      <c r="BR51" s="113"/>
      <c r="BS51" s="112"/>
      <c r="BT51" s="31"/>
      <c r="BU51" s="32"/>
      <c r="BV51" s="90"/>
      <c r="BW51" s="88"/>
      <c r="BX51" s="88"/>
      <c r="BY51" s="111"/>
      <c r="BZ51" s="112"/>
      <c r="CA51" s="113"/>
      <c r="CB51" s="112"/>
      <c r="CC51" s="31"/>
      <c r="CD51" s="32"/>
      <c r="CE51" s="90"/>
      <c r="CF51" s="88"/>
      <c r="CG51" s="88"/>
      <c r="CH51" s="111"/>
      <c r="CI51" s="112"/>
      <c r="CJ51" s="113"/>
      <c r="CK51" s="112"/>
      <c r="CL51" s="31"/>
      <c r="CM51" s="32"/>
      <c r="CN51" s="90"/>
      <c r="CO51" s="88"/>
      <c r="CP51" s="88"/>
      <c r="CQ51" s="111"/>
      <c r="CR51" s="112"/>
      <c r="CS51" s="113"/>
      <c r="CT51" s="112"/>
      <c r="CU51" s="55"/>
      <c r="CW51" s="230"/>
      <c r="CZ51" s="226" t="s">
        <v>541</v>
      </c>
    </row>
    <row r="52" spans="1:104" ht="26" hidden="1" x14ac:dyDescent="0.25">
      <c r="A52" s="17" t="s">
        <v>1496</v>
      </c>
      <c r="B52" s="17" t="s">
        <v>1520</v>
      </c>
      <c r="C52" s="17" t="s">
        <v>1544</v>
      </c>
      <c r="D52" s="17" t="str">
        <f t="shared" si="6"/>
        <v>A</v>
      </c>
      <c r="E52" s="17" t="b">
        <f t="shared" si="7"/>
        <v>0</v>
      </c>
      <c r="F52" s="17" t="b">
        <f t="shared" si="8"/>
        <v>1</v>
      </c>
      <c r="G52" s="317" t="s">
        <v>1888</v>
      </c>
      <c r="H52" s="232" t="s">
        <v>2249</v>
      </c>
      <c r="I52" s="310" t="s">
        <v>1520</v>
      </c>
      <c r="J52" s="147" t="s">
        <v>1544</v>
      </c>
      <c r="K52" s="31"/>
      <c r="L52" s="32" t="s">
        <v>354</v>
      </c>
      <c r="M52" s="90"/>
      <c r="N52" s="111"/>
      <c r="O52" s="112"/>
      <c r="P52" s="113"/>
      <c r="Q52" s="112"/>
      <c r="R52" s="31"/>
      <c r="S52" s="32"/>
      <c r="T52" s="90"/>
      <c r="U52" s="88" t="str">
        <f t="shared" si="13"/>
        <v>NA</v>
      </c>
      <c r="V52" s="88" t="str">
        <f t="shared" si="14"/>
        <v>NA</v>
      </c>
      <c r="W52" s="111"/>
      <c r="X52" s="112"/>
      <c r="Y52" s="113"/>
      <c r="Z52" s="112"/>
      <c r="AA52" s="31"/>
      <c r="AB52" s="302"/>
      <c r="AC52" s="89"/>
      <c r="AD52" s="88" t="str">
        <f t="shared" si="11"/>
        <v>NA</v>
      </c>
      <c r="AE52" s="88" t="str">
        <f t="shared" si="12"/>
        <v>NA</v>
      </c>
      <c r="AF52" s="111"/>
      <c r="AG52" s="112"/>
      <c r="AH52" s="113"/>
      <c r="AI52" s="112"/>
      <c r="AJ52" s="31"/>
      <c r="AK52" s="294"/>
      <c r="AL52" s="89"/>
      <c r="AM52" s="88" t="str">
        <f t="shared" si="4"/>
        <v>NA</v>
      </c>
      <c r="AN52" s="88" t="str">
        <f t="shared" si="5"/>
        <v>NA</v>
      </c>
      <c r="AO52" s="111"/>
      <c r="AP52" s="112"/>
      <c r="AQ52" s="113"/>
      <c r="AR52" s="112"/>
      <c r="AS52" s="31"/>
      <c r="AT52" s="32"/>
      <c r="AU52" s="90"/>
      <c r="AV52" s="88"/>
      <c r="AW52" s="88"/>
      <c r="AX52" s="111"/>
      <c r="AY52" s="112"/>
      <c r="AZ52" s="113"/>
      <c r="BA52" s="112"/>
      <c r="BB52" s="31"/>
      <c r="BC52" s="32"/>
      <c r="BD52" s="90"/>
      <c r="BE52" s="88"/>
      <c r="BF52" s="88"/>
      <c r="BG52" s="111"/>
      <c r="BH52" s="112"/>
      <c r="BI52" s="113"/>
      <c r="BJ52" s="112"/>
      <c r="BK52" s="31"/>
      <c r="BL52" s="32"/>
      <c r="BM52" s="90"/>
      <c r="BN52" s="88"/>
      <c r="BO52" s="88"/>
      <c r="BP52" s="111"/>
      <c r="BQ52" s="112"/>
      <c r="BR52" s="113"/>
      <c r="BS52" s="112"/>
      <c r="BT52" s="31"/>
      <c r="BU52" s="32"/>
      <c r="BV52" s="90"/>
      <c r="BW52" s="88"/>
      <c r="BX52" s="88"/>
      <c r="BY52" s="111"/>
      <c r="BZ52" s="112"/>
      <c r="CA52" s="113"/>
      <c r="CB52" s="112"/>
      <c r="CC52" s="31"/>
      <c r="CD52" s="32"/>
      <c r="CE52" s="90"/>
      <c r="CF52" s="88"/>
      <c r="CG52" s="88"/>
      <c r="CH52" s="111"/>
      <c r="CI52" s="112"/>
      <c r="CJ52" s="113"/>
      <c r="CK52" s="112"/>
      <c r="CL52" s="31"/>
      <c r="CM52" s="32"/>
      <c r="CN52" s="90"/>
      <c r="CO52" s="88"/>
      <c r="CP52" s="88"/>
      <c r="CQ52" s="111"/>
      <c r="CR52" s="112"/>
      <c r="CS52" s="113"/>
      <c r="CT52" s="112"/>
      <c r="CU52" s="55"/>
      <c r="CW52" s="230"/>
      <c r="CZ52" s="226" t="s">
        <v>541</v>
      </c>
    </row>
    <row r="53" spans="1:104" ht="26" hidden="1" x14ac:dyDescent="0.25">
      <c r="A53" s="17" t="s">
        <v>1497</v>
      </c>
      <c r="B53" s="17" t="s">
        <v>1521</v>
      </c>
      <c r="C53" s="17" t="s">
        <v>1545</v>
      </c>
      <c r="D53" s="17" t="str">
        <f t="shared" si="6"/>
        <v>A</v>
      </c>
      <c r="E53" s="17" t="b">
        <f t="shared" si="7"/>
        <v>0</v>
      </c>
      <c r="F53" s="17" t="b">
        <f t="shared" si="8"/>
        <v>1</v>
      </c>
      <c r="G53" s="317" t="s">
        <v>1889</v>
      </c>
      <c r="H53" s="232" t="s">
        <v>2250</v>
      </c>
      <c r="I53" s="310" t="s">
        <v>1521</v>
      </c>
      <c r="J53" s="147" t="s">
        <v>1545</v>
      </c>
      <c r="K53" s="31"/>
      <c r="L53" s="32" t="s">
        <v>354</v>
      </c>
      <c r="M53" s="90"/>
      <c r="N53" s="111"/>
      <c r="O53" s="112"/>
      <c r="P53" s="113"/>
      <c r="Q53" s="112"/>
      <c r="R53" s="31"/>
      <c r="S53" s="32"/>
      <c r="T53" s="90"/>
      <c r="U53" s="88" t="str">
        <f t="shared" si="13"/>
        <v>NA</v>
      </c>
      <c r="V53" s="88" t="str">
        <f t="shared" si="14"/>
        <v>NA</v>
      </c>
      <c r="W53" s="111"/>
      <c r="X53" s="112"/>
      <c r="Y53" s="113"/>
      <c r="Z53" s="112"/>
      <c r="AA53" s="31"/>
      <c r="AB53" s="302"/>
      <c r="AC53" s="89"/>
      <c r="AD53" s="88" t="str">
        <f t="shared" si="11"/>
        <v>NA</v>
      </c>
      <c r="AE53" s="88" t="str">
        <f t="shared" si="12"/>
        <v>NA</v>
      </c>
      <c r="AF53" s="111"/>
      <c r="AG53" s="112"/>
      <c r="AH53" s="113"/>
      <c r="AI53" s="112"/>
      <c r="AJ53" s="31"/>
      <c r="AK53" s="294"/>
      <c r="AL53" s="89"/>
      <c r="AM53" s="88" t="str">
        <f t="shared" si="4"/>
        <v>NA</v>
      </c>
      <c r="AN53" s="88" t="str">
        <f t="shared" si="5"/>
        <v>NA</v>
      </c>
      <c r="AO53" s="111"/>
      <c r="AP53" s="112"/>
      <c r="AQ53" s="113"/>
      <c r="AR53" s="112"/>
      <c r="AS53" s="31"/>
      <c r="AT53" s="32"/>
      <c r="AU53" s="90"/>
      <c r="AV53" s="88"/>
      <c r="AW53" s="88"/>
      <c r="AX53" s="111"/>
      <c r="AY53" s="112"/>
      <c r="AZ53" s="113"/>
      <c r="BA53" s="112"/>
      <c r="BB53" s="31"/>
      <c r="BC53" s="32"/>
      <c r="BD53" s="90"/>
      <c r="BE53" s="88"/>
      <c r="BF53" s="88"/>
      <c r="BG53" s="111"/>
      <c r="BH53" s="112"/>
      <c r="BI53" s="113"/>
      <c r="BJ53" s="112"/>
      <c r="BK53" s="31"/>
      <c r="BL53" s="32"/>
      <c r="BM53" s="90"/>
      <c r="BN53" s="88"/>
      <c r="BO53" s="88"/>
      <c r="BP53" s="111"/>
      <c r="BQ53" s="112"/>
      <c r="BR53" s="113"/>
      <c r="BS53" s="112"/>
      <c r="BT53" s="31"/>
      <c r="BU53" s="32"/>
      <c r="BV53" s="90"/>
      <c r="BW53" s="88"/>
      <c r="BX53" s="88"/>
      <c r="BY53" s="111"/>
      <c r="BZ53" s="112"/>
      <c r="CA53" s="113"/>
      <c r="CB53" s="112"/>
      <c r="CC53" s="31"/>
      <c r="CD53" s="32"/>
      <c r="CE53" s="90"/>
      <c r="CF53" s="88"/>
      <c r="CG53" s="88"/>
      <c r="CH53" s="111"/>
      <c r="CI53" s="112"/>
      <c r="CJ53" s="113"/>
      <c r="CK53" s="112"/>
      <c r="CL53" s="31"/>
      <c r="CM53" s="32"/>
      <c r="CN53" s="90"/>
      <c r="CO53" s="88"/>
      <c r="CP53" s="88"/>
      <c r="CQ53" s="111"/>
      <c r="CR53" s="112"/>
      <c r="CS53" s="113"/>
      <c r="CT53" s="112"/>
      <c r="CU53" s="55"/>
      <c r="CW53" s="230"/>
      <c r="CZ53" s="226" t="s">
        <v>541</v>
      </c>
    </row>
    <row r="54" spans="1:104" ht="26" x14ac:dyDescent="0.25">
      <c r="A54" s="17" t="s">
        <v>1498</v>
      </c>
      <c r="B54" s="17" t="s">
        <v>1522</v>
      </c>
      <c r="C54" s="17" t="s">
        <v>1546</v>
      </c>
      <c r="D54" s="17" t="str">
        <f t="shared" si="6"/>
        <v>A</v>
      </c>
      <c r="E54" s="17" t="b">
        <f t="shared" si="7"/>
        <v>0</v>
      </c>
      <c r="F54" s="17" t="b">
        <f t="shared" si="8"/>
        <v>1</v>
      </c>
      <c r="G54" s="317" t="s">
        <v>1890</v>
      </c>
      <c r="H54" s="232" t="s">
        <v>2251</v>
      </c>
      <c r="I54" s="310" t="s">
        <v>1522</v>
      </c>
      <c r="J54" s="147" t="s">
        <v>1546</v>
      </c>
      <c r="K54" s="31"/>
      <c r="L54" s="32" t="s">
        <v>354</v>
      </c>
      <c r="M54" s="90" t="s">
        <v>31</v>
      </c>
      <c r="N54" s="111" t="s">
        <v>2470</v>
      </c>
      <c r="O54" s="112"/>
      <c r="P54" s="113"/>
      <c r="Q54" s="112"/>
      <c r="R54" s="31"/>
      <c r="S54" s="32"/>
      <c r="T54" s="90"/>
      <c r="U54" s="88" t="str">
        <f t="shared" si="13"/>
        <v>NA</v>
      </c>
      <c r="V54" s="88" t="str">
        <f t="shared" si="14"/>
        <v>YES</v>
      </c>
      <c r="W54" s="111"/>
      <c r="X54" s="112"/>
      <c r="Y54" s="113"/>
      <c r="Z54" s="112"/>
      <c r="AA54" s="31"/>
      <c r="AB54" s="302"/>
      <c r="AC54" s="89"/>
      <c r="AD54" s="88" t="str">
        <f t="shared" si="11"/>
        <v>NA</v>
      </c>
      <c r="AE54" s="88" t="str">
        <f t="shared" si="12"/>
        <v>NA</v>
      </c>
      <c r="AF54" s="111"/>
      <c r="AG54" s="112"/>
      <c r="AH54" s="113"/>
      <c r="AI54" s="112"/>
      <c r="AJ54" s="31"/>
      <c r="AK54" s="294"/>
      <c r="AL54" s="89"/>
      <c r="AM54" s="88" t="str">
        <f t="shared" si="4"/>
        <v>NA</v>
      </c>
      <c r="AN54" s="88" t="str">
        <f t="shared" si="5"/>
        <v>NA</v>
      </c>
      <c r="AO54" s="111"/>
      <c r="AP54" s="112"/>
      <c r="AQ54" s="113"/>
      <c r="AR54" s="112"/>
      <c r="AS54" s="31"/>
      <c r="AT54" s="32"/>
      <c r="AU54" s="90"/>
      <c r="AV54" s="88"/>
      <c r="AW54" s="88"/>
      <c r="AX54" s="111"/>
      <c r="AY54" s="112"/>
      <c r="AZ54" s="113"/>
      <c r="BA54" s="112"/>
      <c r="BB54" s="31"/>
      <c r="BC54" s="32"/>
      <c r="BD54" s="90"/>
      <c r="BE54" s="88"/>
      <c r="BF54" s="88"/>
      <c r="BG54" s="111"/>
      <c r="BH54" s="112"/>
      <c r="BI54" s="113"/>
      <c r="BJ54" s="112"/>
      <c r="BK54" s="31"/>
      <c r="BL54" s="32"/>
      <c r="BM54" s="90"/>
      <c r="BN54" s="88"/>
      <c r="BO54" s="88"/>
      <c r="BP54" s="111"/>
      <c r="BQ54" s="112"/>
      <c r="BR54" s="113"/>
      <c r="BS54" s="112"/>
      <c r="BT54" s="31"/>
      <c r="BU54" s="32"/>
      <c r="BV54" s="90"/>
      <c r="BW54" s="88"/>
      <c r="BX54" s="88"/>
      <c r="BY54" s="111"/>
      <c r="BZ54" s="112"/>
      <c r="CA54" s="113"/>
      <c r="CB54" s="112"/>
      <c r="CC54" s="31"/>
      <c r="CD54" s="32"/>
      <c r="CE54" s="90"/>
      <c r="CF54" s="88"/>
      <c r="CG54" s="88"/>
      <c r="CH54" s="111"/>
      <c r="CI54" s="112"/>
      <c r="CJ54" s="113"/>
      <c r="CK54" s="112"/>
      <c r="CL54" s="31"/>
      <c r="CM54" s="32"/>
      <c r="CN54" s="90"/>
      <c r="CO54" s="88"/>
      <c r="CP54" s="88"/>
      <c r="CQ54" s="111"/>
      <c r="CR54" s="112"/>
      <c r="CS54" s="113"/>
      <c r="CT54" s="112"/>
      <c r="CU54" s="55"/>
      <c r="CW54" s="230"/>
      <c r="CZ54" s="226" t="s">
        <v>541</v>
      </c>
    </row>
    <row r="55" spans="1:104" ht="26" hidden="1" x14ac:dyDescent="0.25">
      <c r="A55" s="17" t="s">
        <v>1499</v>
      </c>
      <c r="B55" s="17" t="s">
        <v>1523</v>
      </c>
      <c r="C55" s="17" t="s">
        <v>1547</v>
      </c>
      <c r="D55" s="17" t="str">
        <f t="shared" si="6"/>
        <v>A</v>
      </c>
      <c r="E55" s="17" t="b">
        <f t="shared" si="7"/>
        <v>0</v>
      </c>
      <c r="F55" s="17" t="b">
        <f t="shared" si="8"/>
        <v>1</v>
      </c>
      <c r="G55" s="317" t="s">
        <v>1891</v>
      </c>
      <c r="H55" s="232" t="s">
        <v>2252</v>
      </c>
      <c r="I55" s="310" t="s">
        <v>1523</v>
      </c>
      <c r="J55" s="147" t="s">
        <v>1547</v>
      </c>
      <c r="K55" s="31"/>
      <c r="L55" s="32" t="s">
        <v>354</v>
      </c>
      <c r="M55" s="90"/>
      <c r="N55" s="111"/>
      <c r="O55" s="112"/>
      <c r="P55" s="113"/>
      <c r="Q55" s="112"/>
      <c r="R55" s="31"/>
      <c r="S55" s="32"/>
      <c r="T55" s="90"/>
      <c r="U55" s="88" t="str">
        <f t="shared" si="13"/>
        <v>NA</v>
      </c>
      <c r="V55" s="88" t="str">
        <f t="shared" si="14"/>
        <v>NA</v>
      </c>
      <c r="W55" s="111"/>
      <c r="X55" s="112"/>
      <c r="Y55" s="113"/>
      <c r="Z55" s="112"/>
      <c r="AA55" s="31"/>
      <c r="AB55" s="302"/>
      <c r="AC55" s="89"/>
      <c r="AD55" s="88" t="str">
        <f t="shared" si="11"/>
        <v>NA</v>
      </c>
      <c r="AE55" s="88" t="str">
        <f t="shared" si="12"/>
        <v>NA</v>
      </c>
      <c r="AF55" s="111"/>
      <c r="AG55" s="112"/>
      <c r="AH55" s="113"/>
      <c r="AI55" s="112"/>
      <c r="AJ55" s="31"/>
      <c r="AK55" s="294"/>
      <c r="AL55" s="89"/>
      <c r="AM55" s="88" t="str">
        <f t="shared" si="4"/>
        <v>NA</v>
      </c>
      <c r="AN55" s="88" t="str">
        <f t="shared" si="5"/>
        <v>NA</v>
      </c>
      <c r="AO55" s="111"/>
      <c r="AP55" s="112"/>
      <c r="AQ55" s="113"/>
      <c r="AR55" s="112"/>
      <c r="AS55" s="31"/>
      <c r="AT55" s="32"/>
      <c r="AU55" s="90"/>
      <c r="AV55" s="88"/>
      <c r="AW55" s="88"/>
      <c r="AX55" s="111"/>
      <c r="AY55" s="112"/>
      <c r="AZ55" s="113"/>
      <c r="BA55" s="112"/>
      <c r="BB55" s="31"/>
      <c r="BC55" s="32"/>
      <c r="BD55" s="90"/>
      <c r="BE55" s="88"/>
      <c r="BF55" s="88"/>
      <c r="BG55" s="111"/>
      <c r="BH55" s="112"/>
      <c r="BI55" s="113"/>
      <c r="BJ55" s="112"/>
      <c r="BK55" s="31"/>
      <c r="BL55" s="32"/>
      <c r="BM55" s="90"/>
      <c r="BN55" s="88"/>
      <c r="BO55" s="88"/>
      <c r="BP55" s="111"/>
      <c r="BQ55" s="112"/>
      <c r="BR55" s="113"/>
      <c r="BS55" s="112"/>
      <c r="BT55" s="31"/>
      <c r="BU55" s="32"/>
      <c r="BV55" s="90"/>
      <c r="BW55" s="88"/>
      <c r="BX55" s="88"/>
      <c r="BY55" s="111"/>
      <c r="BZ55" s="112"/>
      <c r="CA55" s="113"/>
      <c r="CB55" s="112"/>
      <c r="CC55" s="31"/>
      <c r="CD55" s="32"/>
      <c r="CE55" s="90"/>
      <c r="CF55" s="88"/>
      <c r="CG55" s="88"/>
      <c r="CH55" s="111"/>
      <c r="CI55" s="112"/>
      <c r="CJ55" s="113"/>
      <c r="CK55" s="112"/>
      <c r="CL55" s="31"/>
      <c r="CM55" s="32"/>
      <c r="CN55" s="90"/>
      <c r="CO55" s="88"/>
      <c r="CP55" s="88"/>
      <c r="CQ55" s="111"/>
      <c r="CR55" s="112"/>
      <c r="CS55" s="113"/>
      <c r="CT55" s="112"/>
      <c r="CU55" s="55"/>
      <c r="CW55" s="230"/>
      <c r="CZ55" s="226" t="s">
        <v>541</v>
      </c>
    </row>
    <row r="56" spans="1:104" ht="26" hidden="1" x14ac:dyDescent="0.25">
      <c r="A56" s="17" t="s">
        <v>1500</v>
      </c>
      <c r="B56" s="17" t="s">
        <v>1524</v>
      </c>
      <c r="C56" s="17" t="s">
        <v>1548</v>
      </c>
      <c r="D56" s="17" t="str">
        <f t="shared" si="6"/>
        <v>A</v>
      </c>
      <c r="E56" s="17" t="b">
        <f t="shared" si="7"/>
        <v>0</v>
      </c>
      <c r="F56" s="17" t="b">
        <f t="shared" si="8"/>
        <v>1</v>
      </c>
      <c r="G56" s="317" t="s">
        <v>1892</v>
      </c>
      <c r="H56" s="232" t="s">
        <v>2253</v>
      </c>
      <c r="I56" s="310" t="s">
        <v>1524</v>
      </c>
      <c r="J56" s="147" t="s">
        <v>1548</v>
      </c>
      <c r="K56" s="31"/>
      <c r="L56" s="32" t="s">
        <v>354</v>
      </c>
      <c r="M56" s="90"/>
      <c r="N56" s="111"/>
      <c r="O56" s="112"/>
      <c r="P56" s="113"/>
      <c r="Q56" s="112"/>
      <c r="R56" s="31"/>
      <c r="S56" s="32"/>
      <c r="T56" s="90"/>
      <c r="U56" s="88" t="str">
        <f t="shared" si="13"/>
        <v>NA</v>
      </c>
      <c r="V56" s="88" t="str">
        <f t="shared" si="14"/>
        <v>NA</v>
      </c>
      <c r="W56" s="111"/>
      <c r="X56" s="112"/>
      <c r="Y56" s="113"/>
      <c r="Z56" s="112"/>
      <c r="AA56" s="31"/>
      <c r="AB56" s="302"/>
      <c r="AC56" s="89"/>
      <c r="AD56" s="88" t="str">
        <f t="shared" si="11"/>
        <v>NA</v>
      </c>
      <c r="AE56" s="88" t="str">
        <f t="shared" si="12"/>
        <v>NA</v>
      </c>
      <c r="AF56" s="111"/>
      <c r="AG56" s="112"/>
      <c r="AH56" s="113"/>
      <c r="AI56" s="112"/>
      <c r="AJ56" s="31"/>
      <c r="AK56" s="294"/>
      <c r="AL56" s="89"/>
      <c r="AM56" s="88" t="str">
        <f t="shared" si="4"/>
        <v>NA</v>
      </c>
      <c r="AN56" s="88" t="str">
        <f t="shared" si="5"/>
        <v>NA</v>
      </c>
      <c r="AO56" s="111"/>
      <c r="AP56" s="112"/>
      <c r="AQ56" s="113"/>
      <c r="AR56" s="112"/>
      <c r="AS56" s="31"/>
      <c r="AT56" s="32"/>
      <c r="AU56" s="90"/>
      <c r="AV56" s="88"/>
      <c r="AW56" s="88"/>
      <c r="AX56" s="111"/>
      <c r="AY56" s="112"/>
      <c r="AZ56" s="113"/>
      <c r="BA56" s="112"/>
      <c r="BB56" s="31"/>
      <c r="BC56" s="32"/>
      <c r="BD56" s="90"/>
      <c r="BE56" s="88"/>
      <c r="BF56" s="88"/>
      <c r="BG56" s="111"/>
      <c r="BH56" s="112"/>
      <c r="BI56" s="113"/>
      <c r="BJ56" s="112"/>
      <c r="BK56" s="31"/>
      <c r="BL56" s="32"/>
      <c r="BM56" s="90"/>
      <c r="BN56" s="88"/>
      <c r="BO56" s="88"/>
      <c r="BP56" s="111"/>
      <c r="BQ56" s="112"/>
      <c r="BR56" s="113"/>
      <c r="BS56" s="112"/>
      <c r="BT56" s="31"/>
      <c r="BU56" s="32"/>
      <c r="BV56" s="90"/>
      <c r="BW56" s="88"/>
      <c r="BX56" s="88"/>
      <c r="BY56" s="111"/>
      <c r="BZ56" s="112"/>
      <c r="CA56" s="113"/>
      <c r="CB56" s="112"/>
      <c r="CC56" s="31"/>
      <c r="CD56" s="32"/>
      <c r="CE56" s="90"/>
      <c r="CF56" s="88"/>
      <c r="CG56" s="88"/>
      <c r="CH56" s="111"/>
      <c r="CI56" s="112"/>
      <c r="CJ56" s="113"/>
      <c r="CK56" s="112"/>
      <c r="CL56" s="31"/>
      <c r="CM56" s="32"/>
      <c r="CN56" s="90"/>
      <c r="CO56" s="88"/>
      <c r="CP56" s="88"/>
      <c r="CQ56" s="111"/>
      <c r="CR56" s="112"/>
      <c r="CS56" s="113"/>
      <c r="CT56" s="112"/>
      <c r="CU56" s="55"/>
      <c r="CW56" s="230"/>
      <c r="CZ56" s="226" t="s">
        <v>541</v>
      </c>
    </row>
    <row r="57" spans="1:104" ht="26" hidden="1" x14ac:dyDescent="0.25">
      <c r="A57" s="17" t="s">
        <v>1501</v>
      </c>
      <c r="B57" s="17" t="s">
        <v>1525</v>
      </c>
      <c r="C57" s="17" t="s">
        <v>1549</v>
      </c>
      <c r="D57" s="17" t="str">
        <f t="shared" si="6"/>
        <v>A</v>
      </c>
      <c r="E57" s="17" t="b">
        <f t="shared" si="7"/>
        <v>0</v>
      </c>
      <c r="F57" s="17" t="b">
        <f t="shared" si="8"/>
        <v>1</v>
      </c>
      <c r="G57" s="317" t="s">
        <v>1893</v>
      </c>
      <c r="H57" s="232" t="s">
        <v>2254</v>
      </c>
      <c r="I57" s="310" t="s">
        <v>1525</v>
      </c>
      <c r="J57" s="147" t="s">
        <v>1549</v>
      </c>
      <c r="K57" s="31"/>
      <c r="L57" s="32" t="s">
        <v>354</v>
      </c>
      <c r="M57" s="90"/>
      <c r="N57" s="111"/>
      <c r="O57" s="112"/>
      <c r="P57" s="113"/>
      <c r="Q57" s="112"/>
      <c r="R57" s="31"/>
      <c r="S57" s="32"/>
      <c r="T57" s="90"/>
      <c r="U57" s="88" t="str">
        <f t="shared" si="13"/>
        <v>NA</v>
      </c>
      <c r="V57" s="88" t="str">
        <f t="shared" si="14"/>
        <v>NA</v>
      </c>
      <c r="W57" s="111"/>
      <c r="X57" s="112"/>
      <c r="Y57" s="113"/>
      <c r="Z57" s="112"/>
      <c r="AA57" s="31"/>
      <c r="AB57" s="302"/>
      <c r="AC57" s="89"/>
      <c r="AD57" s="88" t="str">
        <f t="shared" si="11"/>
        <v>NA</v>
      </c>
      <c r="AE57" s="88" t="str">
        <f t="shared" si="12"/>
        <v>NA</v>
      </c>
      <c r="AF57" s="111"/>
      <c r="AG57" s="112"/>
      <c r="AH57" s="113"/>
      <c r="AI57" s="112"/>
      <c r="AJ57" s="31"/>
      <c r="AK57" s="294"/>
      <c r="AL57" s="89"/>
      <c r="AM57" s="88" t="str">
        <f t="shared" si="4"/>
        <v>NA</v>
      </c>
      <c r="AN57" s="88" t="str">
        <f t="shared" si="5"/>
        <v>NA</v>
      </c>
      <c r="AO57" s="111"/>
      <c r="AP57" s="112"/>
      <c r="AQ57" s="113"/>
      <c r="AR57" s="112"/>
      <c r="AS57" s="31"/>
      <c r="AT57" s="32"/>
      <c r="AU57" s="90"/>
      <c r="AV57" s="88"/>
      <c r="AW57" s="88"/>
      <c r="AX57" s="111"/>
      <c r="AY57" s="112"/>
      <c r="AZ57" s="113"/>
      <c r="BA57" s="112"/>
      <c r="BB57" s="31"/>
      <c r="BC57" s="32"/>
      <c r="BD57" s="90"/>
      <c r="BE57" s="88"/>
      <c r="BF57" s="88"/>
      <c r="BG57" s="111"/>
      <c r="BH57" s="112"/>
      <c r="BI57" s="113"/>
      <c r="BJ57" s="112"/>
      <c r="BK57" s="31"/>
      <c r="BL57" s="32"/>
      <c r="BM57" s="90"/>
      <c r="BN57" s="88"/>
      <c r="BO57" s="88"/>
      <c r="BP57" s="111"/>
      <c r="BQ57" s="112"/>
      <c r="BR57" s="113"/>
      <c r="BS57" s="112"/>
      <c r="BT57" s="31"/>
      <c r="BU57" s="32"/>
      <c r="BV57" s="90"/>
      <c r="BW57" s="88"/>
      <c r="BX57" s="88"/>
      <c r="BY57" s="111"/>
      <c r="BZ57" s="112"/>
      <c r="CA57" s="113"/>
      <c r="CB57" s="112"/>
      <c r="CC57" s="31"/>
      <c r="CD57" s="32"/>
      <c r="CE57" s="90"/>
      <c r="CF57" s="88"/>
      <c r="CG57" s="88"/>
      <c r="CH57" s="111"/>
      <c r="CI57" s="112"/>
      <c r="CJ57" s="113"/>
      <c r="CK57" s="112"/>
      <c r="CL57" s="31"/>
      <c r="CM57" s="32"/>
      <c r="CN57" s="90"/>
      <c r="CO57" s="88"/>
      <c r="CP57" s="88"/>
      <c r="CQ57" s="111"/>
      <c r="CR57" s="112"/>
      <c r="CS57" s="113"/>
      <c r="CT57" s="112"/>
      <c r="CU57" s="55"/>
      <c r="CW57" s="230"/>
      <c r="CZ57" s="226" t="s">
        <v>541</v>
      </c>
    </row>
    <row r="58" spans="1:104" ht="65" x14ac:dyDescent="0.25">
      <c r="A58" s="17" t="s">
        <v>929</v>
      </c>
      <c r="B58" s="17" t="s">
        <v>930</v>
      </c>
      <c r="C58" s="17" t="s">
        <v>822</v>
      </c>
      <c r="D58" s="17" t="str">
        <f t="shared" si="6"/>
        <v>A</v>
      </c>
      <c r="E58" s="17" t="b">
        <f t="shared" si="7"/>
        <v>0</v>
      </c>
      <c r="F58" s="17" t="b">
        <f t="shared" si="8"/>
        <v>0</v>
      </c>
      <c r="G58" s="317" t="s">
        <v>1894</v>
      </c>
      <c r="H58" s="324" t="s">
        <v>2255</v>
      </c>
      <c r="I58" s="315" t="s">
        <v>930</v>
      </c>
      <c r="J58" s="159" t="s">
        <v>2385</v>
      </c>
      <c r="K58" s="31"/>
      <c r="L58" s="32" t="s">
        <v>583</v>
      </c>
      <c r="M58" s="166" t="s">
        <v>31</v>
      </c>
      <c r="N58" s="111" t="s">
        <v>2470</v>
      </c>
      <c r="O58" s="112"/>
      <c r="P58" s="113"/>
      <c r="Q58" s="112"/>
      <c r="R58" s="31"/>
      <c r="S58" s="32"/>
      <c r="T58" s="166"/>
      <c r="U58" s="88" t="str">
        <f t="shared" si="13"/>
        <v>NA</v>
      </c>
      <c r="V58" s="88" t="str">
        <f t="shared" si="14"/>
        <v>YES</v>
      </c>
      <c r="W58" s="111"/>
      <c r="X58" s="112"/>
      <c r="Y58" s="113"/>
      <c r="Z58" s="112"/>
      <c r="AA58" s="31"/>
      <c r="AB58" s="302"/>
      <c r="AC58" s="89"/>
      <c r="AD58" s="88" t="str">
        <f t="shared" si="11"/>
        <v>NA</v>
      </c>
      <c r="AE58" s="88" t="str">
        <f t="shared" si="12"/>
        <v>NA</v>
      </c>
      <c r="AF58" s="111"/>
      <c r="AG58" s="112"/>
      <c r="AH58" s="113"/>
      <c r="AI58" s="112"/>
      <c r="AJ58" s="31"/>
      <c r="AK58" s="294"/>
      <c r="AL58" s="303"/>
      <c r="AM58" s="88" t="str">
        <f t="shared" si="4"/>
        <v>NA</v>
      </c>
      <c r="AN58" s="88" t="str">
        <f t="shared" si="5"/>
        <v>NA</v>
      </c>
      <c r="AO58" s="111"/>
      <c r="AP58" s="112"/>
      <c r="AQ58" s="113"/>
      <c r="AR58" s="112"/>
      <c r="AS58" s="31"/>
      <c r="AT58" s="32"/>
      <c r="AU58" s="90"/>
      <c r="AV58" s="88"/>
      <c r="AW58" s="88"/>
      <c r="AX58" s="111"/>
      <c r="AY58" s="112"/>
      <c r="AZ58" s="113"/>
      <c r="BA58" s="112"/>
      <c r="BB58" s="31"/>
      <c r="BC58" s="32"/>
      <c r="BD58" s="90"/>
      <c r="BE58" s="88"/>
      <c r="BF58" s="88"/>
      <c r="BG58" s="111"/>
      <c r="BH58" s="112"/>
      <c r="BI58" s="113"/>
      <c r="BJ58" s="112"/>
      <c r="BK58" s="31"/>
      <c r="BL58" s="32"/>
      <c r="BM58" s="90"/>
      <c r="BN58" s="88"/>
      <c r="BO58" s="88"/>
      <c r="BP58" s="111"/>
      <c r="BQ58" s="112"/>
      <c r="BR58" s="113"/>
      <c r="BS58" s="112"/>
      <c r="BT58" s="31"/>
      <c r="BU58" s="32"/>
      <c r="BV58" s="90"/>
      <c r="BW58" s="88"/>
      <c r="BX58" s="88"/>
      <c r="BY58" s="111"/>
      <c r="BZ58" s="112"/>
      <c r="CA58" s="113"/>
      <c r="CB58" s="112"/>
      <c r="CC58" s="31"/>
      <c r="CD58" s="32"/>
      <c r="CE58" s="90"/>
      <c r="CF58" s="88"/>
      <c r="CG58" s="88"/>
      <c r="CH58" s="111"/>
      <c r="CI58" s="112"/>
      <c r="CJ58" s="113"/>
      <c r="CK58" s="112"/>
      <c r="CL58" s="31"/>
      <c r="CM58" s="32"/>
      <c r="CN58" s="90"/>
      <c r="CO58" s="88"/>
      <c r="CP58" s="88"/>
      <c r="CQ58" s="111"/>
      <c r="CR58" s="112"/>
      <c r="CS58" s="113"/>
      <c r="CT58" s="112"/>
      <c r="CU58" s="55"/>
      <c r="CW58" s="230" t="s">
        <v>822</v>
      </c>
      <c r="CZ58" s="226" t="s">
        <v>541</v>
      </c>
    </row>
    <row r="59" spans="1:104" ht="50" x14ac:dyDescent="0.25">
      <c r="A59" s="17" t="s">
        <v>933</v>
      </c>
      <c r="B59" s="17" t="s">
        <v>1016</v>
      </c>
      <c r="C59" s="17" t="s">
        <v>1687</v>
      </c>
      <c r="D59" s="17" t="str">
        <f t="shared" si="6"/>
        <v>B</v>
      </c>
      <c r="E59" s="17" t="b">
        <f t="shared" si="7"/>
        <v>0</v>
      </c>
      <c r="F59" s="17" t="b">
        <f t="shared" si="8"/>
        <v>0</v>
      </c>
      <c r="G59" s="317" t="s">
        <v>1895</v>
      </c>
      <c r="H59" s="324" t="s">
        <v>2256</v>
      </c>
      <c r="I59" s="315" t="s">
        <v>1016</v>
      </c>
      <c r="J59" s="147" t="s">
        <v>1896</v>
      </c>
      <c r="K59" s="31"/>
      <c r="L59" s="32" t="s">
        <v>354</v>
      </c>
      <c r="M59" s="90" t="s">
        <v>31</v>
      </c>
      <c r="N59" s="111" t="s">
        <v>2470</v>
      </c>
      <c r="O59" s="112"/>
      <c r="P59" s="113"/>
      <c r="Q59" s="112"/>
      <c r="R59" s="31"/>
      <c r="S59" s="32"/>
      <c r="T59" s="90"/>
      <c r="U59" s="88" t="str">
        <f t="shared" si="13"/>
        <v>NA</v>
      </c>
      <c r="V59" s="88" t="str">
        <f t="shared" si="14"/>
        <v>YES</v>
      </c>
      <c r="W59" s="111"/>
      <c r="X59" s="112"/>
      <c r="Y59" s="113"/>
      <c r="Z59" s="112"/>
      <c r="AA59" s="31"/>
      <c r="AB59" s="302"/>
      <c r="AC59" s="89"/>
      <c r="AD59" s="88" t="str">
        <f t="shared" ref="AD59:AD73" si="15">IF(LEFT(AC59,1)&lt;&gt;"x","NA",IF(RIGHT(AB59,3)=RIGHT(S59,3),IF(RIGHT(AB59,3)&lt;&gt;RIGHT(L59,3),IF(OR(AND(RIGHT(AB59,3)=RIGHT(S59,3),AC59=T59),AND(RIGHT(AB59,3)=RIGHT(L59,3),AC59=M59)),"NO","YES"),"NO"),IF(OR(RIGHT(AB59,3)=RIGHT(S59,3),RIGHT(AB59,3)=RIGHT(L59,3)),"ERROR","YES")))</f>
        <v>NA</v>
      </c>
      <c r="AE59" s="88" t="str">
        <f t="shared" ref="AE59:AE73" si="16">IF(LEFT(T59,1)&lt;&gt;LEFT(AC59,1),"YES",IF(LEFT(AC59,1)="x","NO","NA"))</f>
        <v>NA</v>
      </c>
      <c r="AF59" s="111"/>
      <c r="AG59" s="112"/>
      <c r="AH59" s="113"/>
      <c r="AI59" s="112"/>
      <c r="AJ59" s="31"/>
      <c r="AK59" s="294"/>
      <c r="AL59" s="89"/>
      <c r="AM59" s="88" t="str">
        <f t="shared" si="4"/>
        <v>NA</v>
      </c>
      <c r="AN59" s="88" t="str">
        <f t="shared" si="5"/>
        <v>NA</v>
      </c>
      <c r="AO59" s="111"/>
      <c r="AP59" s="112"/>
      <c r="AQ59" s="113"/>
      <c r="AR59" s="112"/>
      <c r="AS59" s="31"/>
      <c r="AT59" s="32"/>
      <c r="AU59" s="90"/>
      <c r="AV59" s="88"/>
      <c r="AW59" s="88"/>
      <c r="AX59" s="111"/>
      <c r="AY59" s="112"/>
      <c r="AZ59" s="113"/>
      <c r="BA59" s="112"/>
      <c r="BB59" s="31"/>
      <c r="BC59" s="32"/>
      <c r="BD59" s="90"/>
      <c r="BE59" s="88"/>
      <c r="BF59" s="88"/>
      <c r="BG59" s="111"/>
      <c r="BH59" s="112"/>
      <c r="BI59" s="113"/>
      <c r="BJ59" s="112"/>
      <c r="BK59" s="31"/>
      <c r="BL59" s="32"/>
      <c r="BM59" s="90"/>
      <c r="BN59" s="88"/>
      <c r="BO59" s="88"/>
      <c r="BP59" s="111"/>
      <c r="BQ59" s="112"/>
      <c r="BR59" s="113"/>
      <c r="BS59" s="112"/>
      <c r="BT59" s="31"/>
      <c r="BU59" s="32"/>
      <c r="BV59" s="90"/>
      <c r="BW59" s="88"/>
      <c r="BX59" s="88"/>
      <c r="BY59" s="111"/>
      <c r="BZ59" s="112"/>
      <c r="CA59" s="113"/>
      <c r="CB59" s="112"/>
      <c r="CC59" s="31"/>
      <c r="CD59" s="32"/>
      <c r="CE59" s="90"/>
      <c r="CF59" s="88"/>
      <c r="CG59" s="88"/>
      <c r="CH59" s="111"/>
      <c r="CI59" s="112"/>
      <c r="CJ59" s="113"/>
      <c r="CK59" s="112"/>
      <c r="CL59" s="31"/>
      <c r="CM59" s="32"/>
      <c r="CN59" s="90"/>
      <c r="CO59" s="88"/>
      <c r="CP59" s="88"/>
      <c r="CQ59" s="111"/>
      <c r="CR59" s="112"/>
      <c r="CS59" s="113"/>
      <c r="CT59" s="112"/>
      <c r="CU59" s="55"/>
      <c r="CW59" s="230" t="s">
        <v>823</v>
      </c>
      <c r="CZ59" s="226" t="s">
        <v>541</v>
      </c>
    </row>
    <row r="60" spans="1:104" ht="26" x14ac:dyDescent="0.25">
      <c r="A60" s="17" t="s">
        <v>934</v>
      </c>
      <c r="B60" s="17" t="s">
        <v>931</v>
      </c>
      <c r="C60" s="17" t="s">
        <v>824</v>
      </c>
      <c r="D60" s="17" t="str">
        <f t="shared" si="6"/>
        <v>A</v>
      </c>
      <c r="E60" s="17" t="b">
        <f t="shared" si="7"/>
        <v>0</v>
      </c>
      <c r="F60" s="17" t="b">
        <f t="shared" si="8"/>
        <v>1</v>
      </c>
      <c r="G60" s="317" t="s">
        <v>1897</v>
      </c>
      <c r="H60" s="324" t="s">
        <v>2257</v>
      </c>
      <c r="I60" s="315" t="s">
        <v>931</v>
      </c>
      <c r="J60" s="147" t="s">
        <v>824</v>
      </c>
      <c r="K60" s="31"/>
      <c r="L60" s="32" t="s">
        <v>354</v>
      </c>
      <c r="M60" s="90" t="s">
        <v>31</v>
      </c>
      <c r="N60" s="111" t="s">
        <v>2470</v>
      </c>
      <c r="O60" s="112"/>
      <c r="P60" s="113"/>
      <c r="Q60" s="112"/>
      <c r="R60" s="31"/>
      <c r="S60" s="32"/>
      <c r="T60" s="90"/>
      <c r="U60" s="88" t="str">
        <f t="shared" si="13"/>
        <v>NA</v>
      </c>
      <c r="V60" s="88" t="str">
        <f t="shared" si="14"/>
        <v>YES</v>
      </c>
      <c r="W60" s="111"/>
      <c r="X60" s="112"/>
      <c r="Y60" s="113"/>
      <c r="Z60" s="112"/>
      <c r="AA60" s="31"/>
      <c r="AB60" s="302"/>
      <c r="AC60" s="89"/>
      <c r="AD60" s="88" t="str">
        <f t="shared" si="15"/>
        <v>NA</v>
      </c>
      <c r="AE60" s="88" t="str">
        <f t="shared" si="16"/>
        <v>NA</v>
      </c>
      <c r="AF60" s="111"/>
      <c r="AG60" s="112"/>
      <c r="AH60" s="113"/>
      <c r="AI60" s="112"/>
      <c r="AJ60" s="31"/>
      <c r="AK60" s="294"/>
      <c r="AL60" s="89"/>
      <c r="AM60" s="88" t="str">
        <f t="shared" si="4"/>
        <v>NA</v>
      </c>
      <c r="AN60" s="88" t="str">
        <f t="shared" si="5"/>
        <v>NA</v>
      </c>
      <c r="AO60" s="111"/>
      <c r="AP60" s="112"/>
      <c r="AQ60" s="113"/>
      <c r="AR60" s="112"/>
      <c r="AS60" s="31"/>
      <c r="AT60" s="32"/>
      <c r="AU60" s="90"/>
      <c r="AV60" s="88"/>
      <c r="AW60" s="88"/>
      <c r="AX60" s="111"/>
      <c r="AY60" s="112"/>
      <c r="AZ60" s="113"/>
      <c r="BA60" s="112"/>
      <c r="BB60" s="31"/>
      <c r="BC60" s="32"/>
      <c r="BD60" s="90"/>
      <c r="BE60" s="88"/>
      <c r="BF60" s="88"/>
      <c r="BG60" s="111"/>
      <c r="BH60" s="112"/>
      <c r="BI60" s="113"/>
      <c r="BJ60" s="112"/>
      <c r="BK60" s="31"/>
      <c r="BL60" s="32"/>
      <c r="BM60" s="90"/>
      <c r="BN60" s="88"/>
      <c r="BO60" s="88"/>
      <c r="BP60" s="111"/>
      <c r="BQ60" s="112"/>
      <c r="BR60" s="113"/>
      <c r="BS60" s="112"/>
      <c r="BT60" s="31"/>
      <c r="BU60" s="32"/>
      <c r="BV60" s="90"/>
      <c r="BW60" s="88"/>
      <c r="BX60" s="88"/>
      <c r="BY60" s="111"/>
      <c r="BZ60" s="112"/>
      <c r="CA60" s="113"/>
      <c r="CB60" s="112"/>
      <c r="CC60" s="31"/>
      <c r="CD60" s="32"/>
      <c r="CE60" s="90"/>
      <c r="CF60" s="88"/>
      <c r="CG60" s="88"/>
      <c r="CH60" s="111"/>
      <c r="CI60" s="112"/>
      <c r="CJ60" s="113"/>
      <c r="CK60" s="112"/>
      <c r="CL60" s="31"/>
      <c r="CM60" s="32"/>
      <c r="CN60" s="90"/>
      <c r="CO60" s="88"/>
      <c r="CP60" s="88"/>
      <c r="CQ60" s="111"/>
      <c r="CR60" s="112"/>
      <c r="CS60" s="113"/>
      <c r="CT60" s="112"/>
      <c r="CU60" s="55"/>
      <c r="CW60" s="230" t="s">
        <v>824</v>
      </c>
      <c r="CZ60" s="226" t="s">
        <v>541</v>
      </c>
    </row>
    <row r="61" spans="1:104" ht="87.5" x14ac:dyDescent="0.25">
      <c r="A61" s="17" t="s">
        <v>935</v>
      </c>
      <c r="B61" s="17" t="s">
        <v>932</v>
      </c>
      <c r="C61" s="17" t="s">
        <v>1688</v>
      </c>
      <c r="D61" s="17" t="str">
        <f t="shared" si="6"/>
        <v>B</v>
      </c>
      <c r="E61" s="17" t="b">
        <f t="shared" si="7"/>
        <v>0</v>
      </c>
      <c r="F61" s="17" t="b">
        <f t="shared" si="8"/>
        <v>0</v>
      </c>
      <c r="G61" s="317" t="s">
        <v>1898</v>
      </c>
      <c r="H61" s="324" t="s">
        <v>2258</v>
      </c>
      <c r="I61" s="315" t="s">
        <v>932</v>
      </c>
      <c r="J61" s="147" t="s">
        <v>1899</v>
      </c>
      <c r="K61" s="31"/>
      <c r="L61" s="32" t="s">
        <v>354</v>
      </c>
      <c r="M61" s="90" t="s">
        <v>31</v>
      </c>
      <c r="N61" s="111" t="s">
        <v>2470</v>
      </c>
      <c r="O61" s="112"/>
      <c r="P61" s="113"/>
      <c r="Q61" s="112"/>
      <c r="R61" s="31"/>
      <c r="S61" s="32"/>
      <c r="T61" s="90"/>
      <c r="U61" s="88" t="str">
        <f t="shared" si="13"/>
        <v>NA</v>
      </c>
      <c r="V61" s="88" t="str">
        <f t="shared" si="14"/>
        <v>YES</v>
      </c>
      <c r="W61" s="111"/>
      <c r="X61" s="112"/>
      <c r="Y61" s="113"/>
      <c r="Z61" s="112"/>
      <c r="AA61" s="31"/>
      <c r="AB61" s="302"/>
      <c r="AC61" s="89"/>
      <c r="AD61" s="88" t="str">
        <f t="shared" si="15"/>
        <v>NA</v>
      </c>
      <c r="AE61" s="88" t="str">
        <f t="shared" si="16"/>
        <v>NA</v>
      </c>
      <c r="AF61" s="111"/>
      <c r="AG61" s="112"/>
      <c r="AH61" s="113"/>
      <c r="AI61" s="112"/>
      <c r="AJ61" s="31"/>
      <c r="AK61" s="294"/>
      <c r="AL61" s="89"/>
      <c r="AM61" s="88" t="str">
        <f t="shared" si="4"/>
        <v>NA</v>
      </c>
      <c r="AN61" s="88" t="str">
        <f t="shared" si="5"/>
        <v>NA</v>
      </c>
      <c r="AO61" s="111"/>
      <c r="AP61" s="112"/>
      <c r="AQ61" s="113"/>
      <c r="AR61" s="112"/>
      <c r="AS61" s="31"/>
      <c r="AT61" s="32"/>
      <c r="AU61" s="90"/>
      <c r="AV61" s="88"/>
      <c r="AW61" s="88"/>
      <c r="AX61" s="111"/>
      <c r="AY61" s="112"/>
      <c r="AZ61" s="113"/>
      <c r="BA61" s="112"/>
      <c r="BB61" s="31"/>
      <c r="BC61" s="32"/>
      <c r="BD61" s="90"/>
      <c r="BE61" s="88"/>
      <c r="BF61" s="88"/>
      <c r="BG61" s="111"/>
      <c r="BH61" s="112"/>
      <c r="BI61" s="113"/>
      <c r="BJ61" s="112"/>
      <c r="BK61" s="31"/>
      <c r="BL61" s="32"/>
      <c r="BM61" s="90"/>
      <c r="BN61" s="88"/>
      <c r="BO61" s="88"/>
      <c r="BP61" s="111"/>
      <c r="BQ61" s="112"/>
      <c r="BR61" s="113"/>
      <c r="BS61" s="112"/>
      <c r="BT61" s="31"/>
      <c r="BU61" s="32"/>
      <c r="BV61" s="90"/>
      <c r="BW61" s="88"/>
      <c r="BX61" s="88"/>
      <c r="BY61" s="111"/>
      <c r="BZ61" s="112"/>
      <c r="CA61" s="113"/>
      <c r="CB61" s="112"/>
      <c r="CC61" s="31"/>
      <c r="CD61" s="32"/>
      <c r="CE61" s="90"/>
      <c r="CF61" s="88"/>
      <c r="CG61" s="88"/>
      <c r="CH61" s="111"/>
      <c r="CI61" s="112"/>
      <c r="CJ61" s="113"/>
      <c r="CK61" s="112"/>
      <c r="CL61" s="31"/>
      <c r="CM61" s="32"/>
      <c r="CN61" s="90"/>
      <c r="CO61" s="88"/>
      <c r="CP61" s="88"/>
      <c r="CQ61" s="111"/>
      <c r="CR61" s="112"/>
      <c r="CS61" s="113"/>
      <c r="CT61" s="112"/>
      <c r="CU61" s="55"/>
      <c r="CW61" s="230" t="s">
        <v>825</v>
      </c>
      <c r="CZ61" s="226" t="s">
        <v>541</v>
      </c>
    </row>
    <row r="62" spans="1:104" ht="26" x14ac:dyDescent="0.25">
      <c r="A62" s="17" t="s">
        <v>940</v>
      </c>
      <c r="B62" s="17" t="s">
        <v>936</v>
      </c>
      <c r="C62" s="17" t="s">
        <v>826</v>
      </c>
      <c r="D62" s="17" t="str">
        <f t="shared" si="6"/>
        <v>A</v>
      </c>
      <c r="E62" s="17" t="b">
        <f t="shared" si="7"/>
        <v>0</v>
      </c>
      <c r="F62" s="17" t="b">
        <f t="shared" si="8"/>
        <v>1</v>
      </c>
      <c r="G62" s="317" t="s">
        <v>1900</v>
      </c>
      <c r="H62" s="324" t="s">
        <v>2259</v>
      </c>
      <c r="I62" s="315" t="s">
        <v>936</v>
      </c>
      <c r="J62" s="147" t="s">
        <v>826</v>
      </c>
      <c r="K62" s="31"/>
      <c r="L62" s="32" t="s">
        <v>354</v>
      </c>
      <c r="M62" s="90" t="s">
        <v>31</v>
      </c>
      <c r="N62" s="111" t="s">
        <v>2470</v>
      </c>
      <c r="O62" s="112"/>
      <c r="P62" s="113"/>
      <c r="Q62" s="112"/>
      <c r="R62" s="31"/>
      <c r="S62" s="32"/>
      <c r="T62" s="90"/>
      <c r="U62" s="88" t="str">
        <f t="shared" si="13"/>
        <v>NA</v>
      </c>
      <c r="V62" s="88" t="str">
        <f t="shared" si="14"/>
        <v>YES</v>
      </c>
      <c r="W62" s="111"/>
      <c r="X62" s="112"/>
      <c r="Y62" s="113"/>
      <c r="Z62" s="112"/>
      <c r="AA62" s="31"/>
      <c r="AB62" s="302"/>
      <c r="AC62" s="89"/>
      <c r="AD62" s="88" t="str">
        <f t="shared" si="15"/>
        <v>NA</v>
      </c>
      <c r="AE62" s="88" t="str">
        <f t="shared" si="16"/>
        <v>NA</v>
      </c>
      <c r="AF62" s="111"/>
      <c r="AG62" s="112"/>
      <c r="AH62" s="113"/>
      <c r="AI62" s="112"/>
      <c r="AJ62" s="31"/>
      <c r="AK62" s="294"/>
      <c r="AL62" s="89"/>
      <c r="AM62" s="88" t="str">
        <f t="shared" si="4"/>
        <v>NA</v>
      </c>
      <c r="AN62" s="88" t="str">
        <f t="shared" si="5"/>
        <v>NA</v>
      </c>
      <c r="AO62" s="111"/>
      <c r="AP62" s="112"/>
      <c r="AQ62" s="113"/>
      <c r="AR62" s="112"/>
      <c r="AS62" s="31"/>
      <c r="AT62" s="32"/>
      <c r="AU62" s="90"/>
      <c r="AV62" s="88"/>
      <c r="AW62" s="88"/>
      <c r="AX62" s="111"/>
      <c r="AY62" s="112"/>
      <c r="AZ62" s="113"/>
      <c r="BA62" s="112"/>
      <c r="BB62" s="31"/>
      <c r="BC62" s="32"/>
      <c r="BD62" s="90"/>
      <c r="BE62" s="88"/>
      <c r="BF62" s="88"/>
      <c r="BG62" s="111"/>
      <c r="BH62" s="112"/>
      <c r="BI62" s="113"/>
      <c r="BJ62" s="112"/>
      <c r="BK62" s="31"/>
      <c r="BL62" s="32"/>
      <c r="BM62" s="90"/>
      <c r="BN62" s="88"/>
      <c r="BO62" s="88"/>
      <c r="BP62" s="111"/>
      <c r="BQ62" s="112"/>
      <c r="BR62" s="113"/>
      <c r="BS62" s="112"/>
      <c r="BT62" s="31"/>
      <c r="BU62" s="32"/>
      <c r="BV62" s="90"/>
      <c r="BW62" s="88"/>
      <c r="BX62" s="88"/>
      <c r="BY62" s="111"/>
      <c r="BZ62" s="112"/>
      <c r="CA62" s="113"/>
      <c r="CB62" s="112"/>
      <c r="CC62" s="31"/>
      <c r="CD62" s="32"/>
      <c r="CE62" s="90"/>
      <c r="CF62" s="88"/>
      <c r="CG62" s="88"/>
      <c r="CH62" s="111"/>
      <c r="CI62" s="112"/>
      <c r="CJ62" s="113"/>
      <c r="CK62" s="112"/>
      <c r="CL62" s="31"/>
      <c r="CM62" s="32"/>
      <c r="CN62" s="90"/>
      <c r="CO62" s="88"/>
      <c r="CP62" s="88"/>
      <c r="CQ62" s="111"/>
      <c r="CR62" s="112"/>
      <c r="CS62" s="113"/>
      <c r="CT62" s="112"/>
      <c r="CU62" s="55"/>
      <c r="CW62" s="230" t="s">
        <v>826</v>
      </c>
      <c r="CZ62" s="226" t="s">
        <v>541</v>
      </c>
    </row>
    <row r="63" spans="1:104" ht="13" x14ac:dyDescent="0.25">
      <c r="A63" s="17" t="s">
        <v>941</v>
      </c>
      <c r="B63" s="17" t="s">
        <v>937</v>
      </c>
      <c r="C63" s="17" t="s">
        <v>827</v>
      </c>
      <c r="D63" s="17" t="str">
        <f t="shared" si="6"/>
        <v>A</v>
      </c>
      <c r="E63" s="17" t="b">
        <f t="shared" si="7"/>
        <v>0</v>
      </c>
      <c r="F63" s="17" t="b">
        <f t="shared" si="8"/>
        <v>1</v>
      </c>
      <c r="G63" s="317" t="s">
        <v>1901</v>
      </c>
      <c r="H63" s="324" t="s">
        <v>2260</v>
      </c>
      <c r="I63" s="315" t="s">
        <v>937</v>
      </c>
      <c r="J63" s="147" t="s">
        <v>827</v>
      </c>
      <c r="K63" s="31"/>
      <c r="L63" s="32" t="s">
        <v>354</v>
      </c>
      <c r="M63" s="90" t="s">
        <v>31</v>
      </c>
      <c r="N63" s="111" t="s">
        <v>2470</v>
      </c>
      <c r="O63" s="112"/>
      <c r="P63" s="113"/>
      <c r="Q63" s="112"/>
      <c r="R63" s="31"/>
      <c r="S63" s="32"/>
      <c r="T63" s="90"/>
      <c r="U63" s="88" t="str">
        <f t="shared" si="13"/>
        <v>NA</v>
      </c>
      <c r="V63" s="88" t="str">
        <f t="shared" si="14"/>
        <v>YES</v>
      </c>
      <c r="W63" s="111"/>
      <c r="X63" s="112"/>
      <c r="Y63" s="113"/>
      <c r="Z63" s="112"/>
      <c r="AA63" s="31"/>
      <c r="AB63" s="302"/>
      <c r="AC63" s="89"/>
      <c r="AD63" s="88" t="str">
        <f t="shared" si="15"/>
        <v>NA</v>
      </c>
      <c r="AE63" s="88" t="str">
        <f t="shared" si="16"/>
        <v>NA</v>
      </c>
      <c r="AF63" s="111"/>
      <c r="AG63" s="112"/>
      <c r="AH63" s="113"/>
      <c r="AI63" s="112"/>
      <c r="AJ63" s="31"/>
      <c r="AK63" s="294"/>
      <c r="AL63" s="89"/>
      <c r="AM63" s="88" t="str">
        <f t="shared" si="4"/>
        <v>NA</v>
      </c>
      <c r="AN63" s="88" t="str">
        <f t="shared" si="5"/>
        <v>NA</v>
      </c>
      <c r="AO63" s="111"/>
      <c r="AP63" s="112"/>
      <c r="AQ63" s="113"/>
      <c r="AR63" s="112"/>
      <c r="AS63" s="31"/>
      <c r="AT63" s="32"/>
      <c r="AU63" s="90"/>
      <c r="AV63" s="88"/>
      <c r="AW63" s="88"/>
      <c r="AX63" s="111"/>
      <c r="AY63" s="112"/>
      <c r="AZ63" s="113"/>
      <c r="BA63" s="112"/>
      <c r="BB63" s="31"/>
      <c r="BC63" s="32"/>
      <c r="BD63" s="90"/>
      <c r="BE63" s="88"/>
      <c r="BF63" s="88"/>
      <c r="BG63" s="111"/>
      <c r="BH63" s="112"/>
      <c r="BI63" s="113"/>
      <c r="BJ63" s="112"/>
      <c r="BK63" s="31"/>
      <c r="BL63" s="32"/>
      <c r="BM63" s="90"/>
      <c r="BN63" s="88"/>
      <c r="BO63" s="88"/>
      <c r="BP63" s="111"/>
      <c r="BQ63" s="112"/>
      <c r="BR63" s="113"/>
      <c r="BS63" s="112"/>
      <c r="BT63" s="31"/>
      <c r="BU63" s="32"/>
      <c r="BV63" s="90"/>
      <c r="BW63" s="88"/>
      <c r="BX63" s="88"/>
      <c r="BY63" s="111"/>
      <c r="BZ63" s="112"/>
      <c r="CA63" s="113"/>
      <c r="CB63" s="112"/>
      <c r="CC63" s="31"/>
      <c r="CD63" s="32"/>
      <c r="CE63" s="90"/>
      <c r="CF63" s="88"/>
      <c r="CG63" s="88"/>
      <c r="CH63" s="111"/>
      <c r="CI63" s="112"/>
      <c r="CJ63" s="113"/>
      <c r="CK63" s="112"/>
      <c r="CL63" s="31"/>
      <c r="CM63" s="32"/>
      <c r="CN63" s="90"/>
      <c r="CO63" s="88"/>
      <c r="CP63" s="88"/>
      <c r="CQ63" s="111"/>
      <c r="CR63" s="112"/>
      <c r="CS63" s="113"/>
      <c r="CT63" s="112"/>
      <c r="CU63" s="55"/>
      <c r="CW63" s="230" t="s">
        <v>827</v>
      </c>
      <c r="CZ63" s="226" t="s">
        <v>541</v>
      </c>
    </row>
    <row r="64" spans="1:104" ht="39" hidden="1" x14ac:dyDescent="0.25">
      <c r="A64" s="17" t="s">
        <v>942</v>
      </c>
      <c r="B64" s="17" t="s">
        <v>938</v>
      </c>
      <c r="C64" s="17" t="s">
        <v>1550</v>
      </c>
      <c r="D64" s="17" t="str">
        <f t="shared" si="6"/>
        <v>B</v>
      </c>
      <c r="E64" s="17" t="b">
        <f t="shared" si="7"/>
        <v>0</v>
      </c>
      <c r="F64" s="17" t="b">
        <f t="shared" si="8"/>
        <v>1</v>
      </c>
      <c r="G64" s="317" t="s">
        <v>1902</v>
      </c>
      <c r="H64" s="324" t="s">
        <v>2261</v>
      </c>
      <c r="I64" s="315" t="s">
        <v>1903</v>
      </c>
      <c r="J64" s="147" t="s">
        <v>1550</v>
      </c>
      <c r="K64" s="31"/>
      <c r="L64" s="32" t="s">
        <v>354</v>
      </c>
      <c r="M64" s="90"/>
      <c r="N64" s="111"/>
      <c r="O64" s="112"/>
      <c r="P64" s="113"/>
      <c r="Q64" s="112"/>
      <c r="R64" s="31"/>
      <c r="S64" s="32"/>
      <c r="T64" s="90"/>
      <c r="U64" s="88" t="str">
        <f t="shared" si="13"/>
        <v>NA</v>
      </c>
      <c r="V64" s="88" t="str">
        <f t="shared" si="14"/>
        <v>NA</v>
      </c>
      <c r="W64" s="111"/>
      <c r="X64" s="112"/>
      <c r="Y64" s="113"/>
      <c r="Z64" s="112"/>
      <c r="AA64" s="31"/>
      <c r="AB64" s="302"/>
      <c r="AC64" s="89"/>
      <c r="AD64" s="88" t="str">
        <f t="shared" si="15"/>
        <v>NA</v>
      </c>
      <c r="AE64" s="88" t="str">
        <f t="shared" si="16"/>
        <v>NA</v>
      </c>
      <c r="AF64" s="111"/>
      <c r="AG64" s="112"/>
      <c r="AH64" s="113"/>
      <c r="AI64" s="112"/>
      <c r="AJ64" s="31"/>
      <c r="AK64" s="294"/>
      <c r="AL64" s="89"/>
      <c r="AM64" s="88" t="str">
        <f t="shared" si="4"/>
        <v>NA</v>
      </c>
      <c r="AN64" s="88" t="str">
        <f t="shared" si="5"/>
        <v>NA</v>
      </c>
      <c r="AO64" s="111"/>
      <c r="AP64" s="112"/>
      <c r="AQ64" s="113"/>
      <c r="AR64" s="112"/>
      <c r="AS64" s="31"/>
      <c r="AT64" s="32"/>
      <c r="AU64" s="90"/>
      <c r="AV64" s="88"/>
      <c r="AW64" s="88"/>
      <c r="AX64" s="111"/>
      <c r="AY64" s="112"/>
      <c r="AZ64" s="113"/>
      <c r="BA64" s="112"/>
      <c r="BB64" s="31"/>
      <c r="BC64" s="32"/>
      <c r="BD64" s="90"/>
      <c r="BE64" s="88"/>
      <c r="BF64" s="88"/>
      <c r="BG64" s="111"/>
      <c r="BH64" s="112"/>
      <c r="BI64" s="113"/>
      <c r="BJ64" s="112"/>
      <c r="BK64" s="31"/>
      <c r="BL64" s="32"/>
      <c r="BM64" s="90"/>
      <c r="BN64" s="88"/>
      <c r="BO64" s="88"/>
      <c r="BP64" s="111"/>
      <c r="BQ64" s="112"/>
      <c r="BR64" s="113"/>
      <c r="BS64" s="112"/>
      <c r="BT64" s="31"/>
      <c r="BU64" s="32"/>
      <c r="BV64" s="90"/>
      <c r="BW64" s="88"/>
      <c r="BX64" s="88"/>
      <c r="BY64" s="111"/>
      <c r="BZ64" s="112"/>
      <c r="CA64" s="113"/>
      <c r="CB64" s="112"/>
      <c r="CC64" s="31"/>
      <c r="CD64" s="32"/>
      <c r="CE64" s="90"/>
      <c r="CF64" s="88"/>
      <c r="CG64" s="88"/>
      <c r="CH64" s="111"/>
      <c r="CI64" s="112"/>
      <c r="CJ64" s="113"/>
      <c r="CK64" s="112"/>
      <c r="CL64" s="31"/>
      <c r="CM64" s="32"/>
      <c r="CN64" s="90"/>
      <c r="CO64" s="88"/>
      <c r="CP64" s="88"/>
      <c r="CQ64" s="111"/>
      <c r="CR64" s="112"/>
      <c r="CS64" s="113"/>
      <c r="CT64" s="112"/>
      <c r="CU64" s="55"/>
      <c r="CW64" s="230" t="s">
        <v>828</v>
      </c>
      <c r="CZ64" s="226" t="s">
        <v>1590</v>
      </c>
    </row>
    <row r="65" spans="1:104" ht="138" x14ac:dyDescent="0.25">
      <c r="A65" s="17" t="s">
        <v>943</v>
      </c>
      <c r="B65" s="17" t="s">
        <v>939</v>
      </c>
      <c r="C65" s="17" t="s">
        <v>1550</v>
      </c>
      <c r="D65" s="17" t="str">
        <f t="shared" si="6"/>
        <v>B</v>
      </c>
      <c r="E65" s="17" t="b">
        <f t="shared" si="7"/>
        <v>0</v>
      </c>
      <c r="F65" s="17" t="b">
        <f t="shared" si="8"/>
        <v>0</v>
      </c>
      <c r="G65" s="317" t="s">
        <v>1904</v>
      </c>
      <c r="H65" s="324" t="s">
        <v>2262</v>
      </c>
      <c r="I65" s="315" t="s">
        <v>1905</v>
      </c>
      <c r="J65" s="147" t="s">
        <v>1906</v>
      </c>
      <c r="K65" s="31"/>
      <c r="L65" s="32" t="s">
        <v>354</v>
      </c>
      <c r="M65" s="90" t="s">
        <v>31</v>
      </c>
      <c r="N65" s="111" t="s">
        <v>2471</v>
      </c>
      <c r="O65" s="330" t="s">
        <v>2472</v>
      </c>
      <c r="P65" s="113"/>
      <c r="Q65" s="112"/>
      <c r="R65" s="31"/>
      <c r="S65" s="32"/>
      <c r="T65" s="90"/>
      <c r="U65" s="88" t="str">
        <f t="shared" si="13"/>
        <v>NA</v>
      </c>
      <c r="V65" s="88" t="str">
        <f t="shared" si="14"/>
        <v>YES</v>
      </c>
      <c r="W65" s="111"/>
      <c r="X65" s="112"/>
      <c r="Y65" s="113"/>
      <c r="Z65" s="112"/>
      <c r="AA65" s="31"/>
      <c r="AB65" s="302"/>
      <c r="AC65" s="89"/>
      <c r="AD65" s="88" t="str">
        <f t="shared" si="15"/>
        <v>NA</v>
      </c>
      <c r="AE65" s="88" t="str">
        <f t="shared" si="16"/>
        <v>NA</v>
      </c>
      <c r="AF65" s="111"/>
      <c r="AG65" s="112"/>
      <c r="AH65" s="113"/>
      <c r="AI65" s="112"/>
      <c r="AJ65" s="31"/>
      <c r="AK65" s="294"/>
      <c r="AL65" s="89"/>
      <c r="AM65" s="88" t="str">
        <f t="shared" si="4"/>
        <v>NA</v>
      </c>
      <c r="AN65" s="88" t="str">
        <f t="shared" si="5"/>
        <v>NA</v>
      </c>
      <c r="AO65" s="111"/>
      <c r="AP65" s="112"/>
      <c r="AQ65" s="113"/>
      <c r="AR65" s="112"/>
      <c r="AS65" s="31"/>
      <c r="AT65" s="32"/>
      <c r="AU65" s="90"/>
      <c r="AV65" s="88"/>
      <c r="AW65" s="88"/>
      <c r="AX65" s="111"/>
      <c r="AY65" s="112"/>
      <c r="AZ65" s="113"/>
      <c r="BA65" s="112"/>
      <c r="BB65" s="31"/>
      <c r="BC65" s="32"/>
      <c r="BD65" s="90"/>
      <c r="BE65" s="88"/>
      <c r="BF65" s="88"/>
      <c r="BG65" s="111"/>
      <c r="BH65" s="112"/>
      <c r="BI65" s="113"/>
      <c r="BJ65" s="112"/>
      <c r="BK65" s="31"/>
      <c r="BL65" s="32"/>
      <c r="BM65" s="90"/>
      <c r="BN65" s="88"/>
      <c r="BO65" s="88"/>
      <c r="BP65" s="111"/>
      <c r="BQ65" s="112"/>
      <c r="BR65" s="113"/>
      <c r="BS65" s="112"/>
      <c r="BT65" s="31"/>
      <c r="BU65" s="32"/>
      <c r="BV65" s="90"/>
      <c r="BW65" s="88"/>
      <c r="BX65" s="88"/>
      <c r="BY65" s="111"/>
      <c r="BZ65" s="112"/>
      <c r="CA65" s="113"/>
      <c r="CB65" s="112"/>
      <c r="CC65" s="31"/>
      <c r="CD65" s="32"/>
      <c r="CE65" s="90"/>
      <c r="CF65" s="88"/>
      <c r="CG65" s="88"/>
      <c r="CH65" s="111"/>
      <c r="CI65" s="112"/>
      <c r="CJ65" s="113"/>
      <c r="CK65" s="112"/>
      <c r="CL65" s="31"/>
      <c r="CM65" s="32"/>
      <c r="CN65" s="90"/>
      <c r="CO65" s="88"/>
      <c r="CP65" s="88"/>
      <c r="CQ65" s="111"/>
      <c r="CR65" s="112"/>
      <c r="CS65" s="113"/>
      <c r="CT65" s="112"/>
      <c r="CU65" s="55"/>
      <c r="CW65" s="230" t="s">
        <v>829</v>
      </c>
      <c r="CZ65" s="226" t="s">
        <v>1589</v>
      </c>
    </row>
    <row r="66" spans="1:104" ht="26" hidden="1" x14ac:dyDescent="0.25">
      <c r="A66" s="17" t="s">
        <v>944</v>
      </c>
      <c r="B66" s="17" t="s">
        <v>948</v>
      </c>
      <c r="C66" s="17" t="s">
        <v>1551</v>
      </c>
      <c r="D66" s="17" t="str">
        <f t="shared" si="6"/>
        <v>B</v>
      </c>
      <c r="E66" s="17" t="b">
        <f t="shared" si="7"/>
        <v>0</v>
      </c>
      <c r="F66" s="17" t="b">
        <f t="shared" si="8"/>
        <v>0</v>
      </c>
      <c r="G66" s="317" t="s">
        <v>1907</v>
      </c>
      <c r="H66" s="324" t="s">
        <v>2263</v>
      </c>
      <c r="I66" s="315" t="s">
        <v>2426</v>
      </c>
      <c r="J66" s="313" t="s">
        <v>2425</v>
      </c>
      <c r="K66" s="31"/>
      <c r="L66" s="32" t="s">
        <v>583</v>
      </c>
      <c r="M66" s="90"/>
      <c r="N66" s="111"/>
      <c r="O66" s="112"/>
      <c r="P66" s="113"/>
      <c r="Q66" s="112"/>
      <c r="R66" s="31"/>
      <c r="S66" s="32"/>
      <c r="T66" s="90"/>
      <c r="U66" s="88" t="str">
        <f t="shared" si="13"/>
        <v>NA</v>
      </c>
      <c r="V66" s="88" t="str">
        <f t="shared" si="14"/>
        <v>NA</v>
      </c>
      <c r="W66" s="111"/>
      <c r="X66" s="112"/>
      <c r="Y66" s="113"/>
      <c r="Z66" s="112"/>
      <c r="AA66" s="31"/>
      <c r="AB66" s="302"/>
      <c r="AC66" s="89"/>
      <c r="AD66" s="88" t="str">
        <f t="shared" si="15"/>
        <v>NA</v>
      </c>
      <c r="AE66" s="88" t="str">
        <f t="shared" si="16"/>
        <v>NA</v>
      </c>
      <c r="AF66" s="111"/>
      <c r="AG66" s="112"/>
      <c r="AH66" s="113"/>
      <c r="AI66" s="112"/>
      <c r="AJ66" s="31"/>
      <c r="AK66" s="294"/>
      <c r="AL66" s="89"/>
      <c r="AM66" s="88" t="str">
        <f t="shared" si="4"/>
        <v>NA</v>
      </c>
      <c r="AN66" s="88" t="str">
        <f t="shared" si="5"/>
        <v>NA</v>
      </c>
      <c r="AO66" s="111"/>
      <c r="AP66" s="112"/>
      <c r="AQ66" s="113"/>
      <c r="AR66" s="112"/>
      <c r="AS66" s="31"/>
      <c r="AT66" s="32"/>
      <c r="AU66" s="90"/>
      <c r="AV66" s="88"/>
      <c r="AW66" s="88"/>
      <c r="AX66" s="111"/>
      <c r="AY66" s="112"/>
      <c r="AZ66" s="113"/>
      <c r="BA66" s="112"/>
      <c r="BB66" s="31"/>
      <c r="BC66" s="32"/>
      <c r="BD66" s="90"/>
      <c r="BE66" s="88"/>
      <c r="BF66" s="88"/>
      <c r="BG66" s="111"/>
      <c r="BH66" s="112"/>
      <c r="BI66" s="113"/>
      <c r="BJ66" s="112"/>
      <c r="BK66" s="31"/>
      <c r="BL66" s="32"/>
      <c r="BM66" s="90"/>
      <c r="BN66" s="88"/>
      <c r="BO66" s="88"/>
      <c r="BP66" s="111"/>
      <c r="BQ66" s="112"/>
      <c r="BR66" s="113"/>
      <c r="BS66" s="112"/>
      <c r="BT66" s="31"/>
      <c r="BU66" s="32"/>
      <c r="BV66" s="90"/>
      <c r="BW66" s="88"/>
      <c r="BX66" s="88"/>
      <c r="BY66" s="111"/>
      <c r="BZ66" s="112"/>
      <c r="CA66" s="113"/>
      <c r="CB66" s="112"/>
      <c r="CC66" s="31"/>
      <c r="CD66" s="32"/>
      <c r="CE66" s="90"/>
      <c r="CF66" s="88"/>
      <c r="CG66" s="88"/>
      <c r="CH66" s="111"/>
      <c r="CI66" s="112"/>
      <c r="CJ66" s="113"/>
      <c r="CK66" s="112"/>
      <c r="CL66" s="31"/>
      <c r="CM66" s="32"/>
      <c r="CN66" s="90"/>
      <c r="CO66" s="88"/>
      <c r="CP66" s="88"/>
      <c r="CQ66" s="111"/>
      <c r="CR66" s="112"/>
      <c r="CS66" s="113"/>
      <c r="CT66" s="112"/>
      <c r="CU66" s="55"/>
      <c r="CW66" s="230" t="s">
        <v>1017</v>
      </c>
      <c r="CZ66" s="226" t="s">
        <v>1590</v>
      </c>
    </row>
    <row r="67" spans="1:104" ht="26" x14ac:dyDescent="0.25">
      <c r="A67" s="17" t="s">
        <v>1552</v>
      </c>
      <c r="B67" s="17" t="s">
        <v>1553</v>
      </c>
      <c r="C67" s="17" t="s">
        <v>1554</v>
      </c>
      <c r="D67" s="17" t="str">
        <f t="shared" si="6"/>
        <v>A</v>
      </c>
      <c r="E67" s="17" t="b">
        <f t="shared" si="7"/>
        <v>0</v>
      </c>
      <c r="F67" s="17" t="b">
        <f t="shared" si="8"/>
        <v>0</v>
      </c>
      <c r="G67" s="317" t="s">
        <v>1908</v>
      </c>
      <c r="H67" s="232" t="s">
        <v>2264</v>
      </c>
      <c r="I67" s="310" t="s">
        <v>2428</v>
      </c>
      <c r="J67" s="159" t="s">
        <v>2427</v>
      </c>
      <c r="K67" s="31"/>
      <c r="L67" s="32" t="s">
        <v>583</v>
      </c>
      <c r="M67" s="166" t="s">
        <v>31</v>
      </c>
      <c r="N67" s="111" t="s">
        <v>2470</v>
      </c>
      <c r="O67" s="112"/>
      <c r="P67" s="113"/>
      <c r="Q67" s="112"/>
      <c r="R67" s="31"/>
      <c r="S67" s="32"/>
      <c r="T67" s="166"/>
      <c r="U67" s="88" t="str">
        <f t="shared" si="13"/>
        <v>NA</v>
      </c>
      <c r="V67" s="88" t="str">
        <f t="shared" si="14"/>
        <v>YES</v>
      </c>
      <c r="W67" s="111"/>
      <c r="X67" s="112"/>
      <c r="Y67" s="113"/>
      <c r="Z67" s="112"/>
      <c r="AA67" s="31"/>
      <c r="AB67" s="302"/>
      <c r="AC67" s="89"/>
      <c r="AD67" s="88" t="str">
        <f t="shared" si="15"/>
        <v>NA</v>
      </c>
      <c r="AE67" s="88" t="str">
        <f t="shared" si="16"/>
        <v>NA</v>
      </c>
      <c r="AF67" s="111"/>
      <c r="AG67" s="112"/>
      <c r="AH67" s="113"/>
      <c r="AI67" s="112"/>
      <c r="AJ67" s="31"/>
      <c r="AK67" s="294"/>
      <c r="AL67" s="303"/>
      <c r="AM67" s="88" t="str">
        <f t="shared" si="4"/>
        <v>NA</v>
      </c>
      <c r="AN67" s="88" t="str">
        <f t="shared" si="5"/>
        <v>NA</v>
      </c>
      <c r="AO67" s="111"/>
      <c r="AP67" s="112"/>
      <c r="AQ67" s="113"/>
      <c r="AR67" s="112"/>
      <c r="AS67" s="31"/>
      <c r="AT67" s="32"/>
      <c r="AU67" s="90"/>
      <c r="AV67" s="88"/>
      <c r="AW67" s="88"/>
      <c r="AX67" s="111"/>
      <c r="AY67" s="112"/>
      <c r="AZ67" s="113"/>
      <c r="BA67" s="112"/>
      <c r="BB67" s="31"/>
      <c r="BC67" s="32"/>
      <c r="BD67" s="90"/>
      <c r="BE67" s="88"/>
      <c r="BF67" s="88"/>
      <c r="BG67" s="111"/>
      <c r="BH67" s="112"/>
      <c r="BI67" s="113"/>
      <c r="BJ67" s="112"/>
      <c r="BK67" s="31"/>
      <c r="BL67" s="32"/>
      <c r="BM67" s="90"/>
      <c r="BN67" s="88"/>
      <c r="BO67" s="88"/>
      <c r="BP67" s="111"/>
      <c r="BQ67" s="112"/>
      <c r="BR67" s="113"/>
      <c r="BS67" s="112"/>
      <c r="BT67" s="31"/>
      <c r="BU67" s="32"/>
      <c r="BV67" s="90"/>
      <c r="BW67" s="88"/>
      <c r="BX67" s="88"/>
      <c r="BY67" s="111"/>
      <c r="BZ67" s="112"/>
      <c r="CA67" s="113"/>
      <c r="CB67" s="112"/>
      <c r="CC67" s="31"/>
      <c r="CD67" s="32"/>
      <c r="CE67" s="90"/>
      <c r="CF67" s="88"/>
      <c r="CG67" s="88"/>
      <c r="CH67" s="111"/>
      <c r="CI67" s="112"/>
      <c r="CJ67" s="113"/>
      <c r="CK67" s="112"/>
      <c r="CL67" s="31"/>
      <c r="CM67" s="32"/>
      <c r="CN67" s="90"/>
      <c r="CO67" s="88"/>
      <c r="CP67" s="88"/>
      <c r="CQ67" s="111"/>
      <c r="CR67" s="112"/>
      <c r="CS67" s="113"/>
      <c r="CT67" s="112"/>
      <c r="CU67" s="55"/>
      <c r="CW67" s="230"/>
      <c r="CZ67" s="226" t="s">
        <v>1589</v>
      </c>
    </row>
    <row r="68" spans="1:104" ht="163" x14ac:dyDescent="0.25">
      <c r="A68" s="17" t="s">
        <v>958</v>
      </c>
      <c r="B68" s="17" t="s">
        <v>945</v>
      </c>
      <c r="C68" s="17" t="s">
        <v>1689</v>
      </c>
      <c r="D68" s="17" t="str">
        <f t="shared" si="6"/>
        <v>B</v>
      </c>
      <c r="E68" s="17" t="b">
        <f t="shared" si="7"/>
        <v>0</v>
      </c>
      <c r="F68" s="17" t="b">
        <f t="shared" si="8"/>
        <v>0</v>
      </c>
      <c r="G68" s="317" t="s">
        <v>1909</v>
      </c>
      <c r="H68" s="324" t="s">
        <v>2265</v>
      </c>
      <c r="I68" s="315" t="s">
        <v>1910</v>
      </c>
      <c r="J68" s="147" t="s">
        <v>830</v>
      </c>
      <c r="K68" s="31"/>
      <c r="L68" s="32" t="s">
        <v>354</v>
      </c>
      <c r="M68" s="90" t="s">
        <v>31</v>
      </c>
      <c r="N68" s="111" t="s">
        <v>2471</v>
      </c>
      <c r="O68" s="330" t="s">
        <v>2473</v>
      </c>
      <c r="P68" s="113"/>
      <c r="Q68" s="112"/>
      <c r="R68" s="31"/>
      <c r="S68" s="32"/>
      <c r="T68" s="90"/>
      <c r="U68" s="88" t="str">
        <f t="shared" si="13"/>
        <v>NA</v>
      </c>
      <c r="V68" s="88" t="str">
        <f t="shared" si="14"/>
        <v>YES</v>
      </c>
      <c r="W68" s="111"/>
      <c r="X68" s="112"/>
      <c r="Y68" s="113"/>
      <c r="Z68" s="112"/>
      <c r="AA68" s="31"/>
      <c r="AB68" s="302"/>
      <c r="AC68" s="89"/>
      <c r="AD68" s="88" t="str">
        <f t="shared" si="15"/>
        <v>NA</v>
      </c>
      <c r="AE68" s="88" t="str">
        <f t="shared" si="16"/>
        <v>NA</v>
      </c>
      <c r="AF68" s="111"/>
      <c r="AG68" s="112"/>
      <c r="AH68" s="113"/>
      <c r="AI68" s="112"/>
      <c r="AJ68" s="31"/>
      <c r="AK68" s="294"/>
      <c r="AL68" s="89"/>
      <c r="AM68" s="88" t="str">
        <f t="shared" si="4"/>
        <v>NA</v>
      </c>
      <c r="AN68" s="88" t="str">
        <f t="shared" si="5"/>
        <v>NA</v>
      </c>
      <c r="AO68" s="111"/>
      <c r="AP68" s="112"/>
      <c r="AQ68" s="113"/>
      <c r="AR68" s="112"/>
      <c r="AS68" s="31"/>
      <c r="AT68" s="32"/>
      <c r="AU68" s="90"/>
      <c r="AV68" s="88"/>
      <c r="AW68" s="88"/>
      <c r="AX68" s="111"/>
      <c r="AY68" s="112"/>
      <c r="AZ68" s="113"/>
      <c r="BA68" s="112"/>
      <c r="BB68" s="31"/>
      <c r="BC68" s="32"/>
      <c r="BD68" s="90"/>
      <c r="BE68" s="88"/>
      <c r="BF68" s="88"/>
      <c r="BG68" s="111"/>
      <c r="BH68" s="112"/>
      <c r="BI68" s="113"/>
      <c r="BJ68" s="112"/>
      <c r="BK68" s="31"/>
      <c r="BL68" s="32"/>
      <c r="BM68" s="90"/>
      <c r="BN68" s="88"/>
      <c r="BO68" s="88"/>
      <c r="BP68" s="111"/>
      <c r="BQ68" s="112"/>
      <c r="BR68" s="113"/>
      <c r="BS68" s="112"/>
      <c r="BT68" s="31"/>
      <c r="BU68" s="32"/>
      <c r="BV68" s="90"/>
      <c r="BW68" s="88"/>
      <c r="BX68" s="88"/>
      <c r="BY68" s="111"/>
      <c r="BZ68" s="112"/>
      <c r="CA68" s="113"/>
      <c r="CB68" s="112"/>
      <c r="CC68" s="31"/>
      <c r="CD68" s="32"/>
      <c r="CE68" s="90"/>
      <c r="CF68" s="88"/>
      <c r="CG68" s="88"/>
      <c r="CH68" s="111"/>
      <c r="CI68" s="112"/>
      <c r="CJ68" s="113"/>
      <c r="CK68" s="112"/>
      <c r="CL68" s="31"/>
      <c r="CM68" s="32"/>
      <c r="CN68" s="90"/>
      <c r="CO68" s="88"/>
      <c r="CP68" s="88"/>
      <c r="CQ68" s="111"/>
      <c r="CR68" s="112"/>
      <c r="CS68" s="113"/>
      <c r="CT68" s="112"/>
      <c r="CU68" s="55"/>
      <c r="CW68" s="230" t="s">
        <v>830</v>
      </c>
      <c r="CZ68" s="226" t="s">
        <v>1589</v>
      </c>
    </row>
    <row r="69" spans="1:104" ht="39" x14ac:dyDescent="0.25">
      <c r="A69" s="17" t="s">
        <v>959</v>
      </c>
      <c r="B69" s="17" t="s">
        <v>946</v>
      </c>
      <c r="C69" s="17" t="s">
        <v>1690</v>
      </c>
      <c r="D69" s="17" t="str">
        <f t="shared" si="6"/>
        <v>B</v>
      </c>
      <c r="E69" s="17" t="b">
        <f t="shared" si="7"/>
        <v>0</v>
      </c>
      <c r="F69" s="17" t="b">
        <f t="shared" si="8"/>
        <v>1</v>
      </c>
      <c r="G69" s="317" t="s">
        <v>1911</v>
      </c>
      <c r="H69" s="324" t="s">
        <v>2266</v>
      </c>
      <c r="I69" s="315" t="s">
        <v>1912</v>
      </c>
      <c r="J69" s="147" t="s">
        <v>1690</v>
      </c>
      <c r="K69" s="31"/>
      <c r="L69" s="32" t="s">
        <v>354</v>
      </c>
      <c r="M69" s="90" t="s">
        <v>31</v>
      </c>
      <c r="N69" s="111" t="s">
        <v>2470</v>
      </c>
      <c r="O69" s="112"/>
      <c r="P69" s="113"/>
      <c r="Q69" s="112"/>
      <c r="R69" s="31"/>
      <c r="S69" s="32"/>
      <c r="T69" s="90"/>
      <c r="U69" s="88" t="str">
        <f t="shared" si="13"/>
        <v>NA</v>
      </c>
      <c r="V69" s="88" t="str">
        <f t="shared" si="14"/>
        <v>YES</v>
      </c>
      <c r="W69" s="111"/>
      <c r="X69" s="112"/>
      <c r="Y69" s="113"/>
      <c r="Z69" s="112"/>
      <c r="AA69" s="31"/>
      <c r="AB69" s="302"/>
      <c r="AC69" s="89"/>
      <c r="AD69" s="88" t="str">
        <f t="shared" si="15"/>
        <v>NA</v>
      </c>
      <c r="AE69" s="88" t="str">
        <f t="shared" si="16"/>
        <v>NA</v>
      </c>
      <c r="AF69" s="111"/>
      <c r="AG69" s="112"/>
      <c r="AH69" s="113"/>
      <c r="AI69" s="112"/>
      <c r="AJ69" s="31"/>
      <c r="AK69" s="294"/>
      <c r="AL69" s="89"/>
      <c r="AM69" s="88" t="str">
        <f t="shared" si="4"/>
        <v>NA</v>
      </c>
      <c r="AN69" s="88" t="str">
        <f t="shared" si="5"/>
        <v>NA</v>
      </c>
      <c r="AO69" s="111"/>
      <c r="AP69" s="112"/>
      <c r="AQ69" s="113"/>
      <c r="AR69" s="112"/>
      <c r="AS69" s="31"/>
      <c r="AT69" s="32"/>
      <c r="AU69" s="90"/>
      <c r="AV69" s="88"/>
      <c r="AW69" s="88"/>
      <c r="AX69" s="111"/>
      <c r="AY69" s="112"/>
      <c r="AZ69" s="113"/>
      <c r="BA69" s="112"/>
      <c r="BB69" s="31"/>
      <c r="BC69" s="32"/>
      <c r="BD69" s="90"/>
      <c r="BE69" s="88"/>
      <c r="BF69" s="88"/>
      <c r="BG69" s="111"/>
      <c r="BH69" s="112"/>
      <c r="BI69" s="113"/>
      <c r="BJ69" s="112"/>
      <c r="BK69" s="31"/>
      <c r="BL69" s="32"/>
      <c r="BM69" s="90"/>
      <c r="BN69" s="88"/>
      <c r="BO69" s="88"/>
      <c r="BP69" s="111"/>
      <c r="BQ69" s="112"/>
      <c r="BR69" s="113"/>
      <c r="BS69" s="112"/>
      <c r="BT69" s="31"/>
      <c r="BU69" s="32"/>
      <c r="BV69" s="90"/>
      <c r="BW69" s="88"/>
      <c r="BX69" s="88"/>
      <c r="BY69" s="111"/>
      <c r="BZ69" s="112"/>
      <c r="CA69" s="113"/>
      <c r="CB69" s="112"/>
      <c r="CC69" s="31"/>
      <c r="CD69" s="32"/>
      <c r="CE69" s="90"/>
      <c r="CF69" s="88"/>
      <c r="CG69" s="88"/>
      <c r="CH69" s="111"/>
      <c r="CI69" s="112"/>
      <c r="CJ69" s="113"/>
      <c r="CK69" s="112"/>
      <c r="CL69" s="31"/>
      <c r="CM69" s="32"/>
      <c r="CN69" s="90"/>
      <c r="CO69" s="88"/>
      <c r="CP69" s="88"/>
      <c r="CQ69" s="111"/>
      <c r="CR69" s="112"/>
      <c r="CS69" s="113"/>
      <c r="CT69" s="112"/>
      <c r="CU69" s="55"/>
      <c r="CW69" s="230" t="s">
        <v>831</v>
      </c>
      <c r="CZ69" s="226" t="s">
        <v>1589</v>
      </c>
    </row>
    <row r="70" spans="1:104" ht="26" hidden="1" x14ac:dyDescent="0.25">
      <c r="A70" s="17" t="s">
        <v>960</v>
      </c>
      <c r="B70" s="17" t="s">
        <v>1018</v>
      </c>
      <c r="C70" s="17" t="s">
        <v>1691</v>
      </c>
      <c r="D70" s="17" t="str">
        <f t="shared" si="6"/>
        <v>B</v>
      </c>
      <c r="E70" s="17" t="b">
        <f t="shared" si="7"/>
        <v>0</v>
      </c>
      <c r="F70" s="17" t="b">
        <f t="shared" si="8"/>
        <v>1</v>
      </c>
      <c r="G70" s="317" t="s">
        <v>1913</v>
      </c>
      <c r="H70" s="324" t="s">
        <v>2267</v>
      </c>
      <c r="I70" s="315" t="s">
        <v>1914</v>
      </c>
      <c r="J70" s="147" t="s">
        <v>1691</v>
      </c>
      <c r="K70" s="31"/>
      <c r="L70" s="32" t="s">
        <v>354</v>
      </c>
      <c r="M70" s="90"/>
      <c r="N70" s="111"/>
      <c r="O70" s="112"/>
      <c r="P70" s="113"/>
      <c r="Q70" s="112"/>
      <c r="R70" s="31"/>
      <c r="S70" s="32"/>
      <c r="T70" s="90"/>
      <c r="U70" s="88" t="str">
        <f t="shared" si="13"/>
        <v>NA</v>
      </c>
      <c r="V70" s="88" t="str">
        <f t="shared" si="14"/>
        <v>NA</v>
      </c>
      <c r="W70" s="111"/>
      <c r="X70" s="112"/>
      <c r="Y70" s="113"/>
      <c r="Z70" s="112"/>
      <c r="AA70" s="31"/>
      <c r="AB70" s="302"/>
      <c r="AC70" s="89"/>
      <c r="AD70" s="88" t="str">
        <f t="shared" si="15"/>
        <v>NA</v>
      </c>
      <c r="AE70" s="88" t="str">
        <f t="shared" si="16"/>
        <v>NA</v>
      </c>
      <c r="AF70" s="111"/>
      <c r="AG70" s="112"/>
      <c r="AH70" s="113"/>
      <c r="AI70" s="112"/>
      <c r="AJ70" s="31"/>
      <c r="AK70" s="294"/>
      <c r="AL70" s="89"/>
      <c r="AM70" s="88" t="str">
        <f t="shared" si="4"/>
        <v>NA</v>
      </c>
      <c r="AN70" s="88" t="str">
        <f t="shared" si="5"/>
        <v>NA</v>
      </c>
      <c r="AO70" s="111"/>
      <c r="AP70" s="112"/>
      <c r="AQ70" s="113"/>
      <c r="AR70" s="112"/>
      <c r="AS70" s="31"/>
      <c r="AT70" s="32"/>
      <c r="AU70" s="90"/>
      <c r="AV70" s="88"/>
      <c r="AW70" s="88"/>
      <c r="AX70" s="111"/>
      <c r="AY70" s="112"/>
      <c r="AZ70" s="113"/>
      <c r="BA70" s="112"/>
      <c r="BB70" s="31"/>
      <c r="BC70" s="32"/>
      <c r="BD70" s="90"/>
      <c r="BE70" s="88"/>
      <c r="BF70" s="88"/>
      <c r="BG70" s="111"/>
      <c r="BH70" s="112"/>
      <c r="BI70" s="113"/>
      <c r="BJ70" s="112"/>
      <c r="BK70" s="31"/>
      <c r="BL70" s="32"/>
      <c r="BM70" s="90"/>
      <c r="BN70" s="88"/>
      <c r="BO70" s="88"/>
      <c r="BP70" s="111"/>
      <c r="BQ70" s="112"/>
      <c r="BR70" s="113"/>
      <c r="BS70" s="112"/>
      <c r="BT70" s="31"/>
      <c r="BU70" s="32"/>
      <c r="BV70" s="90"/>
      <c r="BW70" s="88"/>
      <c r="BX70" s="88"/>
      <c r="BY70" s="111"/>
      <c r="BZ70" s="112"/>
      <c r="CA70" s="113"/>
      <c r="CB70" s="112"/>
      <c r="CC70" s="31"/>
      <c r="CD70" s="32"/>
      <c r="CE70" s="90"/>
      <c r="CF70" s="88"/>
      <c r="CG70" s="88"/>
      <c r="CH70" s="111"/>
      <c r="CI70" s="112"/>
      <c r="CJ70" s="113"/>
      <c r="CK70" s="112"/>
      <c r="CL70" s="31"/>
      <c r="CM70" s="32"/>
      <c r="CN70" s="90"/>
      <c r="CO70" s="88"/>
      <c r="CP70" s="88"/>
      <c r="CQ70" s="111"/>
      <c r="CR70" s="112"/>
      <c r="CS70" s="113"/>
      <c r="CT70" s="112"/>
      <c r="CU70" s="55"/>
      <c r="CW70" s="230" t="s">
        <v>832</v>
      </c>
      <c r="CZ70" s="226" t="s">
        <v>1590</v>
      </c>
    </row>
    <row r="71" spans="1:104" ht="39" hidden="1" x14ac:dyDescent="0.25">
      <c r="A71" s="17" t="s">
        <v>961</v>
      </c>
      <c r="B71" s="17" t="s">
        <v>947</v>
      </c>
      <c r="C71" s="17" t="s">
        <v>1692</v>
      </c>
      <c r="D71" s="17" t="str">
        <f t="shared" si="6"/>
        <v>B</v>
      </c>
      <c r="E71" s="17" t="b">
        <f t="shared" si="7"/>
        <v>0</v>
      </c>
      <c r="F71" s="17" t="b">
        <f t="shared" si="8"/>
        <v>1</v>
      </c>
      <c r="G71" s="317" t="s">
        <v>1915</v>
      </c>
      <c r="H71" s="324" t="s">
        <v>2268</v>
      </c>
      <c r="I71" s="315" t="s">
        <v>1916</v>
      </c>
      <c r="J71" s="147" t="s">
        <v>1692</v>
      </c>
      <c r="K71" s="31"/>
      <c r="L71" s="32" t="s">
        <v>354</v>
      </c>
      <c r="M71" s="90"/>
      <c r="N71" s="111"/>
      <c r="O71" s="112"/>
      <c r="P71" s="113"/>
      <c r="Q71" s="112"/>
      <c r="R71" s="31"/>
      <c r="S71" s="32"/>
      <c r="T71" s="90"/>
      <c r="U71" s="88" t="str">
        <f t="shared" si="13"/>
        <v>NA</v>
      </c>
      <c r="V71" s="88" t="str">
        <f t="shared" si="14"/>
        <v>NA</v>
      </c>
      <c r="W71" s="111"/>
      <c r="X71" s="112"/>
      <c r="Y71" s="113"/>
      <c r="Z71" s="112"/>
      <c r="AA71" s="31"/>
      <c r="AB71" s="302"/>
      <c r="AC71" s="89"/>
      <c r="AD71" s="88" t="str">
        <f t="shared" si="15"/>
        <v>NA</v>
      </c>
      <c r="AE71" s="88" t="str">
        <f t="shared" si="16"/>
        <v>NA</v>
      </c>
      <c r="AF71" s="111"/>
      <c r="AG71" s="112"/>
      <c r="AH71" s="113"/>
      <c r="AI71" s="112"/>
      <c r="AJ71" s="31"/>
      <c r="AK71" s="294"/>
      <c r="AL71" s="89"/>
      <c r="AM71" s="88" t="str">
        <f t="shared" si="4"/>
        <v>NA</v>
      </c>
      <c r="AN71" s="88" t="str">
        <f t="shared" si="5"/>
        <v>NA</v>
      </c>
      <c r="AO71" s="111"/>
      <c r="AP71" s="112"/>
      <c r="AQ71" s="113"/>
      <c r="AR71" s="112"/>
      <c r="AS71" s="31"/>
      <c r="AT71" s="32"/>
      <c r="AU71" s="90"/>
      <c r="AV71" s="88"/>
      <c r="AW71" s="88"/>
      <c r="AX71" s="111"/>
      <c r="AY71" s="112"/>
      <c r="AZ71" s="113"/>
      <c r="BA71" s="112"/>
      <c r="BB71" s="31"/>
      <c r="BC71" s="32"/>
      <c r="BD71" s="90"/>
      <c r="BE71" s="88"/>
      <c r="BF71" s="88"/>
      <c r="BG71" s="111"/>
      <c r="BH71" s="112"/>
      <c r="BI71" s="113"/>
      <c r="BJ71" s="112"/>
      <c r="BK71" s="31"/>
      <c r="BL71" s="32"/>
      <c r="BM71" s="90"/>
      <c r="BN71" s="88"/>
      <c r="BO71" s="88"/>
      <c r="BP71" s="111"/>
      <c r="BQ71" s="112"/>
      <c r="BR71" s="113"/>
      <c r="BS71" s="112"/>
      <c r="BT71" s="31"/>
      <c r="BU71" s="32"/>
      <c r="BV71" s="90"/>
      <c r="BW71" s="88"/>
      <c r="BX71" s="88"/>
      <c r="BY71" s="111"/>
      <c r="BZ71" s="112"/>
      <c r="CA71" s="113"/>
      <c r="CB71" s="112"/>
      <c r="CC71" s="31"/>
      <c r="CD71" s="32"/>
      <c r="CE71" s="90"/>
      <c r="CF71" s="88"/>
      <c r="CG71" s="88"/>
      <c r="CH71" s="111"/>
      <c r="CI71" s="112"/>
      <c r="CJ71" s="113"/>
      <c r="CK71" s="112"/>
      <c r="CL71" s="31"/>
      <c r="CM71" s="32"/>
      <c r="CN71" s="90"/>
      <c r="CO71" s="88"/>
      <c r="CP71" s="88"/>
      <c r="CQ71" s="111"/>
      <c r="CR71" s="112"/>
      <c r="CS71" s="113"/>
      <c r="CT71" s="112"/>
      <c r="CU71" s="55"/>
      <c r="CW71" s="230" t="s">
        <v>833</v>
      </c>
      <c r="CZ71" s="226" t="s">
        <v>1590</v>
      </c>
    </row>
    <row r="72" spans="1:104" ht="39" hidden="1" x14ac:dyDescent="0.25">
      <c r="A72" s="17" t="s">
        <v>1555</v>
      </c>
      <c r="B72" s="17" t="s">
        <v>1556</v>
      </c>
      <c r="C72" s="17" t="s">
        <v>1557</v>
      </c>
      <c r="D72" s="17" t="str">
        <f t="shared" si="6"/>
        <v>A</v>
      </c>
      <c r="E72" s="17" t="b">
        <f t="shared" si="7"/>
        <v>0</v>
      </c>
      <c r="F72" s="17" t="b">
        <f t="shared" si="8"/>
        <v>1</v>
      </c>
      <c r="G72" s="317" t="s">
        <v>1917</v>
      </c>
      <c r="H72" s="232" t="s">
        <v>2269</v>
      </c>
      <c r="I72" s="310" t="s">
        <v>1556</v>
      </c>
      <c r="J72" s="147" t="s">
        <v>1557</v>
      </c>
      <c r="K72" s="31"/>
      <c r="L72" s="32" t="s">
        <v>354</v>
      </c>
      <c r="M72" s="90"/>
      <c r="N72" s="111"/>
      <c r="O72" s="112"/>
      <c r="P72" s="113"/>
      <c r="Q72" s="112"/>
      <c r="R72" s="31"/>
      <c r="S72" s="32"/>
      <c r="T72" s="90"/>
      <c r="U72" s="88" t="str">
        <f t="shared" ref="U72:U101" si="17">IF(LEFT(T72,1)&lt;&gt;"x","NA",IF(RIGHT(S72,3)=RIGHT(L72,3),IF(RIGHT(S72,3)&lt;&gt;RIGHT(L72,3),IF(OR(AND(RIGHT(S72,3)=RIGHT(L72,3),T72=M72)),"NO","YES"),"NO"),IF(OR(RIGHT(S72,3)=RIGHT(L72,3)),"ERROR","YES")))</f>
        <v>NA</v>
      </c>
      <c r="V72" s="88" t="str">
        <f t="shared" ref="V72:V101" si="18">IF(LEFT(M72,1)&lt;&gt;LEFT(T72,1),"YES",IF(LEFT(T72,1)="x","NO","NA"))</f>
        <v>NA</v>
      </c>
      <c r="W72" s="111"/>
      <c r="X72" s="112"/>
      <c r="Y72" s="113"/>
      <c r="Z72" s="112"/>
      <c r="AA72" s="31"/>
      <c r="AB72" s="302"/>
      <c r="AC72" s="89"/>
      <c r="AD72" s="88" t="str">
        <f t="shared" si="15"/>
        <v>NA</v>
      </c>
      <c r="AE72" s="88" t="str">
        <f t="shared" si="16"/>
        <v>NA</v>
      </c>
      <c r="AF72" s="111"/>
      <c r="AG72" s="112"/>
      <c r="AH72" s="113"/>
      <c r="AI72" s="112"/>
      <c r="AJ72" s="31"/>
      <c r="AK72" s="294"/>
      <c r="AL72" s="89"/>
      <c r="AM72" s="88" t="str">
        <f t="shared" ref="AM72:AM119" si="19">IF(LEFT(AL72,1)&lt;&gt;"x","NA",IF(RIGHT(AK72,3)=RIGHT(AB72,3),IF(RIGHT(AK72,3)&lt;&gt;RIGHT(U72,3),IF(OR(AND(RIGHT(AK72,3)=RIGHT(AB72,3),AL72=AC72),AND(RIGHT(AK72,3)=RIGHT(U72,3),AL72=V72)),"NO","YES"),"NO"),IF(OR(RIGHT(AK72,3)=RIGHT(AB72,3),RIGHT(AK72,3)=RIGHT(U72,3)),"ERROR","YES")))</f>
        <v>NA</v>
      </c>
      <c r="AN72" s="88" t="str">
        <f t="shared" ref="AN72:AN119" si="20">IF(LEFT(AC72,1)&lt;&gt;LEFT(AL72,1),"YES",IF(LEFT(AL72,1)="x","NO","NA"))</f>
        <v>NA</v>
      </c>
      <c r="AO72" s="111"/>
      <c r="AP72" s="112"/>
      <c r="AQ72" s="113"/>
      <c r="AR72" s="112"/>
      <c r="AS72" s="31"/>
      <c r="AT72" s="32"/>
      <c r="AU72" s="90"/>
      <c r="AV72" s="88"/>
      <c r="AW72" s="88"/>
      <c r="AX72" s="111"/>
      <c r="AY72" s="112"/>
      <c r="AZ72" s="113"/>
      <c r="BA72" s="112"/>
      <c r="BB72" s="31"/>
      <c r="BC72" s="32"/>
      <c r="BD72" s="90"/>
      <c r="BE72" s="88"/>
      <c r="BF72" s="88"/>
      <c r="BG72" s="111"/>
      <c r="BH72" s="112"/>
      <c r="BI72" s="113"/>
      <c r="BJ72" s="112"/>
      <c r="BK72" s="31"/>
      <c r="BL72" s="32"/>
      <c r="BM72" s="90"/>
      <c r="BN72" s="88"/>
      <c r="BO72" s="88"/>
      <c r="BP72" s="111"/>
      <c r="BQ72" s="112"/>
      <c r="BR72" s="113"/>
      <c r="BS72" s="112"/>
      <c r="BT72" s="31"/>
      <c r="BU72" s="32"/>
      <c r="BV72" s="90"/>
      <c r="BW72" s="88"/>
      <c r="BX72" s="88"/>
      <c r="BY72" s="111"/>
      <c r="BZ72" s="112"/>
      <c r="CA72" s="113"/>
      <c r="CB72" s="112"/>
      <c r="CC72" s="31"/>
      <c r="CD72" s="32"/>
      <c r="CE72" s="90"/>
      <c r="CF72" s="88"/>
      <c r="CG72" s="88"/>
      <c r="CH72" s="111"/>
      <c r="CI72" s="112"/>
      <c r="CJ72" s="113"/>
      <c r="CK72" s="112"/>
      <c r="CL72" s="31"/>
      <c r="CM72" s="32"/>
      <c r="CN72" s="90"/>
      <c r="CO72" s="88"/>
      <c r="CP72" s="88"/>
      <c r="CQ72" s="111"/>
      <c r="CR72" s="112"/>
      <c r="CS72" s="113"/>
      <c r="CT72" s="112"/>
      <c r="CU72" s="55"/>
      <c r="CW72" s="230"/>
      <c r="CZ72" s="226" t="s">
        <v>1590</v>
      </c>
    </row>
    <row r="73" spans="1:104" ht="25" hidden="1" x14ac:dyDescent="0.25">
      <c r="A73" s="17" t="s">
        <v>962</v>
      </c>
      <c r="B73" s="17" t="s">
        <v>1019</v>
      </c>
      <c r="C73" s="17" t="s">
        <v>1719</v>
      </c>
      <c r="D73" s="17" t="str">
        <f t="shared" ref="D73:D120" si="21">RIGHT(H73,1)</f>
        <v>C</v>
      </c>
      <c r="E73" s="17" t="b">
        <f t="shared" ref="E73:E120" si="22">D73=S73</f>
        <v>0</v>
      </c>
      <c r="F73" s="17" t="b">
        <f t="shared" ref="F73:F120" si="23">C73=J73</f>
        <v>0</v>
      </c>
      <c r="G73" s="317" t="s">
        <v>1918</v>
      </c>
      <c r="H73" s="324" t="s">
        <v>2270</v>
      </c>
      <c r="I73" s="315" t="s">
        <v>2429</v>
      </c>
      <c r="J73" s="159" t="s">
        <v>2381</v>
      </c>
      <c r="K73" s="31"/>
      <c r="L73" s="32" t="s">
        <v>583</v>
      </c>
      <c r="M73" s="90"/>
      <c r="N73" s="111"/>
      <c r="O73" s="112"/>
      <c r="P73" s="113"/>
      <c r="Q73" s="112"/>
      <c r="R73" s="31"/>
      <c r="S73" s="32"/>
      <c r="T73" s="90"/>
      <c r="U73" s="88" t="str">
        <f t="shared" si="17"/>
        <v>NA</v>
      </c>
      <c r="V73" s="88" t="str">
        <f t="shared" si="18"/>
        <v>NA</v>
      </c>
      <c r="W73" s="111"/>
      <c r="X73" s="112"/>
      <c r="Y73" s="113"/>
      <c r="Z73" s="112"/>
      <c r="AA73" s="31"/>
      <c r="AB73" s="302"/>
      <c r="AC73" s="89"/>
      <c r="AD73" s="88" t="str">
        <f t="shared" si="15"/>
        <v>NA</v>
      </c>
      <c r="AE73" s="88" t="str">
        <f t="shared" si="16"/>
        <v>NA</v>
      </c>
      <c r="AF73" s="111"/>
      <c r="AG73" s="112"/>
      <c r="AH73" s="113"/>
      <c r="AI73" s="112"/>
      <c r="AJ73" s="31"/>
      <c r="AK73" s="294"/>
      <c r="AL73" s="89"/>
      <c r="AM73" s="88" t="str">
        <f t="shared" si="19"/>
        <v>NA</v>
      </c>
      <c r="AN73" s="88" t="str">
        <f t="shared" si="20"/>
        <v>NA</v>
      </c>
      <c r="AO73" s="111"/>
      <c r="AP73" s="112"/>
      <c r="AQ73" s="113"/>
      <c r="AR73" s="112"/>
      <c r="AS73" s="31"/>
      <c r="AT73" s="32"/>
      <c r="AU73" s="90"/>
      <c r="AV73" s="88"/>
      <c r="AW73" s="88"/>
      <c r="AX73" s="111"/>
      <c r="AY73" s="112"/>
      <c r="AZ73" s="113"/>
      <c r="BA73" s="112"/>
      <c r="BB73" s="31"/>
      <c r="BC73" s="32"/>
      <c r="BD73" s="90"/>
      <c r="BE73" s="88"/>
      <c r="BF73" s="88"/>
      <c r="BG73" s="111"/>
      <c r="BH73" s="112"/>
      <c r="BI73" s="113"/>
      <c r="BJ73" s="112"/>
      <c r="BK73" s="31"/>
      <c r="BL73" s="32"/>
      <c r="BM73" s="90"/>
      <c r="BN73" s="88"/>
      <c r="BO73" s="88"/>
      <c r="BP73" s="111"/>
      <c r="BQ73" s="112"/>
      <c r="BR73" s="113"/>
      <c r="BS73" s="112"/>
      <c r="BT73" s="31"/>
      <c r="BU73" s="32"/>
      <c r="BV73" s="90"/>
      <c r="BW73" s="88"/>
      <c r="BX73" s="88"/>
      <c r="BY73" s="111"/>
      <c r="BZ73" s="112"/>
      <c r="CA73" s="113"/>
      <c r="CB73" s="112"/>
      <c r="CC73" s="31"/>
      <c r="CD73" s="32"/>
      <c r="CE73" s="90"/>
      <c r="CF73" s="88"/>
      <c r="CG73" s="88"/>
      <c r="CH73" s="111"/>
      <c r="CI73" s="112"/>
      <c r="CJ73" s="113"/>
      <c r="CK73" s="112"/>
      <c r="CL73" s="31"/>
      <c r="CM73" s="32"/>
      <c r="CN73" s="90"/>
      <c r="CO73" s="88"/>
      <c r="CP73" s="88"/>
      <c r="CQ73" s="111"/>
      <c r="CR73" s="112"/>
      <c r="CS73" s="113"/>
      <c r="CT73" s="112"/>
      <c r="CU73" s="55"/>
      <c r="CW73" s="230" t="s">
        <v>1020</v>
      </c>
      <c r="CZ73" s="226" t="s">
        <v>1590</v>
      </c>
    </row>
    <row r="74" spans="1:104" ht="26" x14ac:dyDescent="0.25">
      <c r="A74" s="17" t="s">
        <v>963</v>
      </c>
      <c r="B74" s="17" t="s">
        <v>1021</v>
      </c>
      <c r="C74" s="17" t="s">
        <v>1720</v>
      </c>
      <c r="D74" s="17" t="str">
        <f t="shared" si="21"/>
        <v>C</v>
      </c>
      <c r="E74" s="17" t="b">
        <f t="shared" si="22"/>
        <v>0</v>
      </c>
      <c r="F74" s="17" t="b">
        <f t="shared" si="23"/>
        <v>0</v>
      </c>
      <c r="G74" s="317" t="s">
        <v>1919</v>
      </c>
      <c r="H74" s="324" t="s">
        <v>2271</v>
      </c>
      <c r="I74" s="315" t="s">
        <v>2430</v>
      </c>
      <c r="J74" s="159" t="s">
        <v>2382</v>
      </c>
      <c r="K74" s="31"/>
      <c r="L74" s="32" t="s">
        <v>583</v>
      </c>
      <c r="M74" s="166" t="s">
        <v>31</v>
      </c>
      <c r="N74" s="111" t="s">
        <v>2470</v>
      </c>
      <c r="O74" s="112"/>
      <c r="P74" s="113"/>
      <c r="Q74" s="112"/>
      <c r="R74" s="31"/>
      <c r="S74" s="32"/>
      <c r="T74" s="166"/>
      <c r="U74" s="88" t="str">
        <f t="shared" si="17"/>
        <v>NA</v>
      </c>
      <c r="V74" s="88" t="str">
        <f t="shared" si="18"/>
        <v>YES</v>
      </c>
      <c r="W74" s="111"/>
      <c r="X74" s="112"/>
      <c r="Y74" s="113"/>
      <c r="Z74" s="112"/>
      <c r="AA74" s="31"/>
      <c r="AB74" s="302"/>
      <c r="AC74" s="89"/>
      <c r="AD74" s="88" t="str">
        <f t="shared" ref="AD74:AD120" si="24">IF(LEFT(AC74,1)&lt;&gt;"x","NA",IF(RIGHT(AB74,3)=RIGHT(S74,3),IF(RIGHT(AB74,3)&lt;&gt;RIGHT(L74,3),IF(OR(AND(RIGHT(AB74,3)=RIGHT(S74,3),AC74=T74),AND(RIGHT(AB74,3)=RIGHT(L74,3),AC74=M74)),"NO","YES"),"NO"),IF(OR(RIGHT(AB74,3)=RIGHT(S74,3),RIGHT(AB74,3)=RIGHT(L74,3)),"ERROR","YES")))</f>
        <v>NA</v>
      </c>
      <c r="AE74" s="88" t="str">
        <f t="shared" ref="AE74:AE120" si="25">IF(LEFT(T74,1)&lt;&gt;LEFT(AC74,1),"YES",IF(LEFT(AC74,1)="x","NO","NA"))</f>
        <v>NA</v>
      </c>
      <c r="AF74" s="111"/>
      <c r="AG74" s="112"/>
      <c r="AH74" s="113"/>
      <c r="AI74" s="112"/>
      <c r="AJ74" s="31"/>
      <c r="AK74" s="294"/>
      <c r="AL74" s="303"/>
      <c r="AM74" s="88" t="str">
        <f t="shared" si="19"/>
        <v>NA</v>
      </c>
      <c r="AN74" s="88" t="str">
        <f t="shared" si="20"/>
        <v>NA</v>
      </c>
      <c r="AO74" s="111"/>
      <c r="AP74" s="112"/>
      <c r="AQ74" s="113"/>
      <c r="AR74" s="112"/>
      <c r="AS74" s="31"/>
      <c r="AT74" s="32"/>
      <c r="AU74" s="90"/>
      <c r="AV74" s="88"/>
      <c r="AW74" s="88"/>
      <c r="AX74" s="111"/>
      <c r="AY74" s="112"/>
      <c r="AZ74" s="113"/>
      <c r="BA74" s="112"/>
      <c r="BB74" s="31"/>
      <c r="BC74" s="32"/>
      <c r="BD74" s="90"/>
      <c r="BE74" s="88"/>
      <c r="BF74" s="88"/>
      <c r="BG74" s="111"/>
      <c r="BH74" s="112"/>
      <c r="BI74" s="113"/>
      <c r="BJ74" s="112"/>
      <c r="BK74" s="31"/>
      <c r="BL74" s="32"/>
      <c r="BM74" s="90"/>
      <c r="BN74" s="88"/>
      <c r="BO74" s="88"/>
      <c r="BP74" s="111"/>
      <c r="BQ74" s="112"/>
      <c r="BR74" s="113"/>
      <c r="BS74" s="112"/>
      <c r="BT74" s="31"/>
      <c r="BU74" s="32"/>
      <c r="BV74" s="90"/>
      <c r="BW74" s="88"/>
      <c r="BX74" s="88"/>
      <c r="BY74" s="111"/>
      <c r="BZ74" s="112"/>
      <c r="CA74" s="113"/>
      <c r="CB74" s="112"/>
      <c r="CC74" s="31"/>
      <c r="CD74" s="32"/>
      <c r="CE74" s="90"/>
      <c r="CF74" s="88"/>
      <c r="CG74" s="88"/>
      <c r="CH74" s="111"/>
      <c r="CI74" s="112"/>
      <c r="CJ74" s="113"/>
      <c r="CK74" s="112"/>
      <c r="CL74" s="31"/>
      <c r="CM74" s="32"/>
      <c r="CN74" s="90"/>
      <c r="CO74" s="88"/>
      <c r="CP74" s="88"/>
      <c r="CQ74" s="111"/>
      <c r="CR74" s="112"/>
      <c r="CS74" s="113"/>
      <c r="CT74" s="112"/>
      <c r="CU74" s="55"/>
      <c r="CW74" s="230" t="s">
        <v>1022</v>
      </c>
      <c r="CZ74" s="226" t="s">
        <v>1589</v>
      </c>
    </row>
    <row r="75" spans="1:104" ht="26" x14ac:dyDescent="0.25">
      <c r="A75" s="17" t="s">
        <v>964</v>
      </c>
      <c r="B75" s="17" t="s">
        <v>949</v>
      </c>
      <c r="C75" s="17" t="s">
        <v>834</v>
      </c>
      <c r="D75" s="17" t="str">
        <f t="shared" si="21"/>
        <v>A</v>
      </c>
      <c r="E75" s="17" t="b">
        <f t="shared" si="22"/>
        <v>0</v>
      </c>
      <c r="F75" s="17" t="b">
        <f t="shared" si="23"/>
        <v>1</v>
      </c>
      <c r="G75" s="317" t="s">
        <v>1920</v>
      </c>
      <c r="H75" s="324" t="s">
        <v>2272</v>
      </c>
      <c r="I75" s="315" t="s">
        <v>949</v>
      </c>
      <c r="J75" s="147" t="s">
        <v>834</v>
      </c>
      <c r="K75" s="31"/>
      <c r="L75" s="32" t="s">
        <v>354</v>
      </c>
      <c r="M75" s="90" t="s">
        <v>31</v>
      </c>
      <c r="N75" s="111" t="s">
        <v>2470</v>
      </c>
      <c r="O75" s="112"/>
      <c r="P75" s="113"/>
      <c r="Q75" s="112"/>
      <c r="R75" s="31"/>
      <c r="S75" s="32"/>
      <c r="T75" s="90"/>
      <c r="U75" s="88" t="str">
        <f t="shared" si="17"/>
        <v>NA</v>
      </c>
      <c r="V75" s="88" t="str">
        <f t="shared" si="18"/>
        <v>YES</v>
      </c>
      <c r="W75" s="111"/>
      <c r="X75" s="112"/>
      <c r="Y75" s="113"/>
      <c r="Z75" s="112"/>
      <c r="AA75" s="31"/>
      <c r="AB75" s="302"/>
      <c r="AC75" s="89"/>
      <c r="AD75" s="88" t="str">
        <f t="shared" si="24"/>
        <v>NA</v>
      </c>
      <c r="AE75" s="88" t="str">
        <f t="shared" si="25"/>
        <v>NA</v>
      </c>
      <c r="AF75" s="111"/>
      <c r="AG75" s="112"/>
      <c r="AH75" s="113"/>
      <c r="AI75" s="112"/>
      <c r="AJ75" s="31"/>
      <c r="AK75" s="294"/>
      <c r="AL75" s="89"/>
      <c r="AM75" s="88" t="str">
        <f t="shared" si="19"/>
        <v>NA</v>
      </c>
      <c r="AN75" s="88" t="str">
        <f t="shared" si="20"/>
        <v>NA</v>
      </c>
      <c r="AO75" s="111"/>
      <c r="AP75" s="112"/>
      <c r="AQ75" s="113"/>
      <c r="AR75" s="112"/>
      <c r="AS75" s="31"/>
      <c r="AT75" s="32"/>
      <c r="AU75" s="90"/>
      <c r="AV75" s="88"/>
      <c r="AW75" s="88"/>
      <c r="AX75" s="111"/>
      <c r="AY75" s="112"/>
      <c r="AZ75" s="113"/>
      <c r="BA75" s="112"/>
      <c r="BB75" s="31"/>
      <c r="BC75" s="32"/>
      <c r="BD75" s="90"/>
      <c r="BE75" s="88"/>
      <c r="BF75" s="88"/>
      <c r="BG75" s="111"/>
      <c r="BH75" s="112"/>
      <c r="BI75" s="113"/>
      <c r="BJ75" s="112"/>
      <c r="BK75" s="31"/>
      <c r="BL75" s="32"/>
      <c r="BM75" s="90"/>
      <c r="BN75" s="88"/>
      <c r="BO75" s="88"/>
      <c r="BP75" s="111"/>
      <c r="BQ75" s="112"/>
      <c r="BR75" s="113"/>
      <c r="BS75" s="112"/>
      <c r="BT75" s="31"/>
      <c r="BU75" s="32"/>
      <c r="BV75" s="90"/>
      <c r="BW75" s="88"/>
      <c r="BX75" s="88"/>
      <c r="BY75" s="111"/>
      <c r="BZ75" s="112"/>
      <c r="CA75" s="113"/>
      <c r="CB75" s="112"/>
      <c r="CC75" s="31"/>
      <c r="CD75" s="32"/>
      <c r="CE75" s="90"/>
      <c r="CF75" s="88"/>
      <c r="CG75" s="88"/>
      <c r="CH75" s="111"/>
      <c r="CI75" s="112"/>
      <c r="CJ75" s="113"/>
      <c r="CK75" s="112"/>
      <c r="CL75" s="31"/>
      <c r="CM75" s="32"/>
      <c r="CN75" s="90"/>
      <c r="CO75" s="88"/>
      <c r="CP75" s="88"/>
      <c r="CQ75" s="111"/>
      <c r="CR75" s="112"/>
      <c r="CS75" s="113"/>
      <c r="CT75" s="112"/>
      <c r="CU75" s="55"/>
      <c r="CW75" s="230" t="s">
        <v>834</v>
      </c>
      <c r="CZ75" s="226" t="s">
        <v>1589</v>
      </c>
    </row>
    <row r="76" spans="1:104" ht="13" x14ac:dyDescent="0.25">
      <c r="A76" s="17" t="s">
        <v>965</v>
      </c>
      <c r="B76" s="17" t="s">
        <v>950</v>
      </c>
      <c r="C76" s="17" t="s">
        <v>835</v>
      </c>
      <c r="D76" s="17" t="str">
        <f t="shared" si="21"/>
        <v>A</v>
      </c>
      <c r="E76" s="17" t="b">
        <f t="shared" si="22"/>
        <v>0</v>
      </c>
      <c r="F76" s="17" t="b">
        <f t="shared" si="23"/>
        <v>1</v>
      </c>
      <c r="G76" s="317" t="s">
        <v>1921</v>
      </c>
      <c r="H76" s="324" t="s">
        <v>2273</v>
      </c>
      <c r="I76" s="315" t="s">
        <v>950</v>
      </c>
      <c r="J76" s="147" t="s">
        <v>835</v>
      </c>
      <c r="K76" s="31"/>
      <c r="L76" s="32" t="s">
        <v>354</v>
      </c>
      <c r="M76" s="90" t="s">
        <v>31</v>
      </c>
      <c r="N76" s="111" t="s">
        <v>2470</v>
      </c>
      <c r="O76" s="112"/>
      <c r="P76" s="113"/>
      <c r="Q76" s="112"/>
      <c r="R76" s="31"/>
      <c r="S76" s="32"/>
      <c r="T76" s="90"/>
      <c r="U76" s="88" t="str">
        <f t="shared" si="17"/>
        <v>NA</v>
      </c>
      <c r="V76" s="88" t="str">
        <f t="shared" si="18"/>
        <v>YES</v>
      </c>
      <c r="W76" s="111"/>
      <c r="X76" s="112"/>
      <c r="Y76" s="113"/>
      <c r="Z76" s="112"/>
      <c r="AA76" s="31"/>
      <c r="AB76" s="302"/>
      <c r="AC76" s="89"/>
      <c r="AD76" s="88" t="str">
        <f t="shared" si="24"/>
        <v>NA</v>
      </c>
      <c r="AE76" s="88" t="str">
        <f t="shared" si="25"/>
        <v>NA</v>
      </c>
      <c r="AF76" s="111"/>
      <c r="AG76" s="112"/>
      <c r="AH76" s="113"/>
      <c r="AI76" s="112"/>
      <c r="AJ76" s="31"/>
      <c r="AK76" s="294"/>
      <c r="AL76" s="89"/>
      <c r="AM76" s="88" t="str">
        <f t="shared" si="19"/>
        <v>NA</v>
      </c>
      <c r="AN76" s="88" t="str">
        <f t="shared" si="20"/>
        <v>NA</v>
      </c>
      <c r="AO76" s="111"/>
      <c r="AP76" s="112"/>
      <c r="AQ76" s="113"/>
      <c r="AR76" s="112"/>
      <c r="AS76" s="31"/>
      <c r="AT76" s="32"/>
      <c r="AU76" s="90"/>
      <c r="AV76" s="88"/>
      <c r="AW76" s="88"/>
      <c r="AX76" s="111"/>
      <c r="AY76" s="112"/>
      <c r="AZ76" s="113"/>
      <c r="BA76" s="112"/>
      <c r="BB76" s="31"/>
      <c r="BC76" s="32"/>
      <c r="BD76" s="90"/>
      <c r="BE76" s="88"/>
      <c r="BF76" s="88"/>
      <c r="BG76" s="111"/>
      <c r="BH76" s="112"/>
      <c r="BI76" s="113"/>
      <c r="BJ76" s="112"/>
      <c r="BK76" s="31"/>
      <c r="BL76" s="32"/>
      <c r="BM76" s="90"/>
      <c r="BN76" s="88"/>
      <c r="BO76" s="88"/>
      <c r="BP76" s="111"/>
      <c r="BQ76" s="112"/>
      <c r="BR76" s="113"/>
      <c r="BS76" s="112"/>
      <c r="BT76" s="31"/>
      <c r="BU76" s="32"/>
      <c r="BV76" s="90"/>
      <c r="BW76" s="88"/>
      <c r="BX76" s="88"/>
      <c r="BY76" s="111"/>
      <c r="BZ76" s="112"/>
      <c r="CA76" s="113"/>
      <c r="CB76" s="112"/>
      <c r="CC76" s="31"/>
      <c r="CD76" s="32"/>
      <c r="CE76" s="90"/>
      <c r="CF76" s="88"/>
      <c r="CG76" s="88"/>
      <c r="CH76" s="111"/>
      <c r="CI76" s="112"/>
      <c r="CJ76" s="113"/>
      <c r="CK76" s="112"/>
      <c r="CL76" s="31"/>
      <c r="CM76" s="32"/>
      <c r="CN76" s="90"/>
      <c r="CO76" s="88"/>
      <c r="CP76" s="88"/>
      <c r="CQ76" s="111"/>
      <c r="CR76" s="112"/>
      <c r="CS76" s="113"/>
      <c r="CT76" s="112"/>
      <c r="CU76" s="55"/>
      <c r="CW76" s="230" t="s">
        <v>835</v>
      </c>
      <c r="CZ76" s="226" t="s">
        <v>1589</v>
      </c>
    </row>
    <row r="77" spans="1:104" ht="39" hidden="1" x14ac:dyDescent="0.25">
      <c r="A77" s="17" t="s">
        <v>966</v>
      </c>
      <c r="B77" s="17" t="s">
        <v>1023</v>
      </c>
      <c r="C77" s="17" t="s">
        <v>836</v>
      </c>
      <c r="D77" s="17" t="str">
        <f t="shared" si="21"/>
        <v>A</v>
      </c>
      <c r="E77" s="17" t="b">
        <f t="shared" si="22"/>
        <v>0</v>
      </c>
      <c r="F77" s="17" t="b">
        <f t="shared" si="23"/>
        <v>1</v>
      </c>
      <c r="G77" s="317" t="s">
        <v>1922</v>
      </c>
      <c r="H77" s="324" t="s">
        <v>2274</v>
      </c>
      <c r="I77" s="315" t="s">
        <v>1023</v>
      </c>
      <c r="J77" s="147" t="s">
        <v>836</v>
      </c>
      <c r="K77" s="31"/>
      <c r="L77" s="32" t="s">
        <v>354</v>
      </c>
      <c r="M77" s="90"/>
      <c r="N77" s="111"/>
      <c r="O77" s="112"/>
      <c r="P77" s="113"/>
      <c r="Q77" s="112"/>
      <c r="R77" s="31"/>
      <c r="S77" s="32"/>
      <c r="T77" s="90"/>
      <c r="U77" s="88" t="str">
        <f t="shared" si="17"/>
        <v>NA</v>
      </c>
      <c r="V77" s="88" t="str">
        <f t="shared" si="18"/>
        <v>NA</v>
      </c>
      <c r="W77" s="111"/>
      <c r="X77" s="112"/>
      <c r="Y77" s="113"/>
      <c r="Z77" s="112"/>
      <c r="AA77" s="31"/>
      <c r="AB77" s="302"/>
      <c r="AC77" s="89"/>
      <c r="AD77" s="88" t="str">
        <f t="shared" si="24"/>
        <v>NA</v>
      </c>
      <c r="AE77" s="88" t="str">
        <f t="shared" si="25"/>
        <v>NA</v>
      </c>
      <c r="AF77" s="111"/>
      <c r="AG77" s="112"/>
      <c r="AH77" s="113"/>
      <c r="AI77" s="112"/>
      <c r="AJ77" s="31"/>
      <c r="AK77" s="294"/>
      <c r="AL77" s="89"/>
      <c r="AM77" s="88" t="str">
        <f t="shared" si="19"/>
        <v>NA</v>
      </c>
      <c r="AN77" s="88" t="str">
        <f t="shared" si="20"/>
        <v>NA</v>
      </c>
      <c r="AO77" s="111"/>
      <c r="AP77" s="112"/>
      <c r="AQ77" s="113"/>
      <c r="AR77" s="112"/>
      <c r="AS77" s="31"/>
      <c r="AT77" s="32"/>
      <c r="AU77" s="90"/>
      <c r="AV77" s="88"/>
      <c r="AW77" s="88"/>
      <c r="AX77" s="111"/>
      <c r="AY77" s="112"/>
      <c r="AZ77" s="113"/>
      <c r="BA77" s="112"/>
      <c r="BB77" s="31"/>
      <c r="BC77" s="32"/>
      <c r="BD77" s="90"/>
      <c r="BE77" s="88"/>
      <c r="BF77" s="88"/>
      <c r="BG77" s="111"/>
      <c r="BH77" s="112"/>
      <c r="BI77" s="113"/>
      <c r="BJ77" s="112"/>
      <c r="BK77" s="31"/>
      <c r="BL77" s="32"/>
      <c r="BM77" s="90"/>
      <c r="BN77" s="88"/>
      <c r="BO77" s="88"/>
      <c r="BP77" s="111"/>
      <c r="BQ77" s="112"/>
      <c r="BR77" s="113"/>
      <c r="BS77" s="112"/>
      <c r="BT77" s="31"/>
      <c r="BU77" s="32"/>
      <c r="BV77" s="90"/>
      <c r="BW77" s="88"/>
      <c r="BX77" s="88"/>
      <c r="BY77" s="111"/>
      <c r="BZ77" s="112"/>
      <c r="CA77" s="113"/>
      <c r="CB77" s="112"/>
      <c r="CC77" s="31"/>
      <c r="CD77" s="32"/>
      <c r="CE77" s="90"/>
      <c r="CF77" s="88"/>
      <c r="CG77" s="88"/>
      <c r="CH77" s="111"/>
      <c r="CI77" s="112"/>
      <c r="CJ77" s="113"/>
      <c r="CK77" s="112"/>
      <c r="CL77" s="31"/>
      <c r="CM77" s="32"/>
      <c r="CN77" s="90"/>
      <c r="CO77" s="88"/>
      <c r="CP77" s="88"/>
      <c r="CQ77" s="111"/>
      <c r="CR77" s="112"/>
      <c r="CS77" s="113"/>
      <c r="CT77" s="112"/>
      <c r="CU77" s="55"/>
      <c r="CW77" s="230" t="s">
        <v>836</v>
      </c>
      <c r="CZ77" s="226" t="s">
        <v>1590</v>
      </c>
    </row>
    <row r="78" spans="1:104" ht="26" hidden="1" x14ac:dyDescent="0.25">
      <c r="A78" s="17" t="s">
        <v>967</v>
      </c>
      <c r="B78" s="17" t="s">
        <v>1024</v>
      </c>
      <c r="C78" s="17" t="s">
        <v>837</v>
      </c>
      <c r="D78" s="17" t="str">
        <f t="shared" si="21"/>
        <v>A</v>
      </c>
      <c r="E78" s="17" t="b">
        <f t="shared" si="22"/>
        <v>0</v>
      </c>
      <c r="F78" s="17" t="b">
        <f t="shared" si="23"/>
        <v>1</v>
      </c>
      <c r="G78" s="317" t="s">
        <v>1923</v>
      </c>
      <c r="H78" s="324" t="s">
        <v>2275</v>
      </c>
      <c r="I78" s="315" t="s">
        <v>1024</v>
      </c>
      <c r="J78" s="147" t="s">
        <v>837</v>
      </c>
      <c r="K78" s="31"/>
      <c r="L78" s="32" t="s">
        <v>354</v>
      </c>
      <c r="M78" s="90"/>
      <c r="N78" s="111"/>
      <c r="O78" s="112"/>
      <c r="P78" s="113"/>
      <c r="Q78" s="112"/>
      <c r="R78" s="31"/>
      <c r="S78" s="32"/>
      <c r="T78" s="90"/>
      <c r="U78" s="88" t="str">
        <f t="shared" si="17"/>
        <v>NA</v>
      </c>
      <c r="V78" s="88" t="str">
        <f t="shared" si="18"/>
        <v>NA</v>
      </c>
      <c r="W78" s="111"/>
      <c r="X78" s="112"/>
      <c r="Y78" s="113"/>
      <c r="Z78" s="112"/>
      <c r="AA78" s="31"/>
      <c r="AB78" s="302"/>
      <c r="AC78" s="89"/>
      <c r="AD78" s="88" t="str">
        <f t="shared" si="24"/>
        <v>NA</v>
      </c>
      <c r="AE78" s="88" t="str">
        <f t="shared" si="25"/>
        <v>NA</v>
      </c>
      <c r="AF78" s="111"/>
      <c r="AG78" s="112"/>
      <c r="AH78" s="113"/>
      <c r="AI78" s="112"/>
      <c r="AJ78" s="31"/>
      <c r="AK78" s="294"/>
      <c r="AL78" s="89"/>
      <c r="AM78" s="88" t="str">
        <f t="shared" si="19"/>
        <v>NA</v>
      </c>
      <c r="AN78" s="88" t="str">
        <f t="shared" si="20"/>
        <v>NA</v>
      </c>
      <c r="AO78" s="111"/>
      <c r="AP78" s="112"/>
      <c r="AQ78" s="113"/>
      <c r="AR78" s="112"/>
      <c r="AS78" s="31"/>
      <c r="AT78" s="32"/>
      <c r="AU78" s="90"/>
      <c r="AV78" s="88"/>
      <c r="AW78" s="88"/>
      <c r="AX78" s="111"/>
      <c r="AY78" s="112"/>
      <c r="AZ78" s="113"/>
      <c r="BA78" s="112"/>
      <c r="BB78" s="31"/>
      <c r="BC78" s="32"/>
      <c r="BD78" s="90"/>
      <c r="BE78" s="88"/>
      <c r="BF78" s="88"/>
      <c r="BG78" s="111"/>
      <c r="BH78" s="112"/>
      <c r="BI78" s="113"/>
      <c r="BJ78" s="112"/>
      <c r="BK78" s="31"/>
      <c r="BL78" s="32"/>
      <c r="BM78" s="90"/>
      <c r="BN78" s="88"/>
      <c r="BO78" s="88"/>
      <c r="BP78" s="111"/>
      <c r="BQ78" s="112"/>
      <c r="BR78" s="113"/>
      <c r="BS78" s="112"/>
      <c r="BT78" s="31"/>
      <c r="BU78" s="32"/>
      <c r="BV78" s="90"/>
      <c r="BW78" s="88"/>
      <c r="BX78" s="88"/>
      <c r="BY78" s="111"/>
      <c r="BZ78" s="112"/>
      <c r="CA78" s="113"/>
      <c r="CB78" s="112"/>
      <c r="CC78" s="31"/>
      <c r="CD78" s="32"/>
      <c r="CE78" s="90"/>
      <c r="CF78" s="88"/>
      <c r="CG78" s="88"/>
      <c r="CH78" s="111"/>
      <c r="CI78" s="112"/>
      <c r="CJ78" s="113"/>
      <c r="CK78" s="112"/>
      <c r="CL78" s="31"/>
      <c r="CM78" s="32"/>
      <c r="CN78" s="90"/>
      <c r="CO78" s="88"/>
      <c r="CP78" s="88"/>
      <c r="CQ78" s="111"/>
      <c r="CR78" s="112"/>
      <c r="CS78" s="113"/>
      <c r="CT78" s="112"/>
      <c r="CU78" s="55"/>
      <c r="CW78" s="230" t="s">
        <v>837</v>
      </c>
      <c r="CZ78" s="226" t="s">
        <v>1590</v>
      </c>
    </row>
    <row r="79" spans="1:104" ht="26" hidden="1" x14ac:dyDescent="0.25">
      <c r="A79" s="17" t="s">
        <v>968</v>
      </c>
      <c r="B79" s="17" t="s">
        <v>951</v>
      </c>
      <c r="C79" s="17" t="s">
        <v>838</v>
      </c>
      <c r="D79" s="17" t="str">
        <f t="shared" si="21"/>
        <v>A</v>
      </c>
      <c r="E79" s="17" t="b">
        <f t="shared" si="22"/>
        <v>0</v>
      </c>
      <c r="F79" s="17" t="b">
        <f t="shared" si="23"/>
        <v>1</v>
      </c>
      <c r="G79" s="317" t="s">
        <v>1924</v>
      </c>
      <c r="H79" s="324" t="s">
        <v>2276</v>
      </c>
      <c r="I79" s="315" t="s">
        <v>951</v>
      </c>
      <c r="J79" s="147" t="s">
        <v>838</v>
      </c>
      <c r="K79" s="31"/>
      <c r="L79" s="32" t="s">
        <v>354</v>
      </c>
      <c r="M79" s="90"/>
      <c r="N79" s="111"/>
      <c r="O79" s="112"/>
      <c r="P79" s="113"/>
      <c r="Q79" s="112"/>
      <c r="R79" s="31"/>
      <c r="S79" s="32"/>
      <c r="T79" s="90"/>
      <c r="U79" s="88" t="str">
        <f t="shared" si="17"/>
        <v>NA</v>
      </c>
      <c r="V79" s="88" t="str">
        <f t="shared" si="18"/>
        <v>NA</v>
      </c>
      <c r="W79" s="111"/>
      <c r="X79" s="112"/>
      <c r="Y79" s="113"/>
      <c r="Z79" s="112"/>
      <c r="AA79" s="31"/>
      <c r="AB79" s="302"/>
      <c r="AC79" s="89"/>
      <c r="AD79" s="88" t="str">
        <f t="shared" si="24"/>
        <v>NA</v>
      </c>
      <c r="AE79" s="88" t="str">
        <f t="shared" si="25"/>
        <v>NA</v>
      </c>
      <c r="AF79" s="111"/>
      <c r="AG79" s="112"/>
      <c r="AH79" s="113"/>
      <c r="AI79" s="112"/>
      <c r="AJ79" s="31"/>
      <c r="AK79" s="294"/>
      <c r="AL79" s="89"/>
      <c r="AM79" s="88" t="str">
        <f t="shared" si="19"/>
        <v>NA</v>
      </c>
      <c r="AN79" s="88" t="str">
        <f t="shared" si="20"/>
        <v>NA</v>
      </c>
      <c r="AO79" s="111"/>
      <c r="AP79" s="112"/>
      <c r="AQ79" s="113"/>
      <c r="AR79" s="112"/>
      <c r="AS79" s="31"/>
      <c r="AT79" s="32"/>
      <c r="AU79" s="90"/>
      <c r="AV79" s="88"/>
      <c r="AW79" s="88"/>
      <c r="AX79" s="111"/>
      <c r="AY79" s="112"/>
      <c r="AZ79" s="113"/>
      <c r="BA79" s="112"/>
      <c r="BB79" s="31"/>
      <c r="BC79" s="32"/>
      <c r="BD79" s="90"/>
      <c r="BE79" s="88"/>
      <c r="BF79" s="88"/>
      <c r="BG79" s="111"/>
      <c r="BH79" s="112"/>
      <c r="BI79" s="113"/>
      <c r="BJ79" s="112"/>
      <c r="BK79" s="31"/>
      <c r="BL79" s="32"/>
      <c r="BM79" s="90"/>
      <c r="BN79" s="88"/>
      <c r="BO79" s="88"/>
      <c r="BP79" s="111"/>
      <c r="BQ79" s="112"/>
      <c r="BR79" s="113"/>
      <c r="BS79" s="112"/>
      <c r="BT79" s="31"/>
      <c r="BU79" s="32"/>
      <c r="BV79" s="90"/>
      <c r="BW79" s="88"/>
      <c r="BX79" s="88"/>
      <c r="BY79" s="111"/>
      <c r="BZ79" s="112"/>
      <c r="CA79" s="113"/>
      <c r="CB79" s="112"/>
      <c r="CC79" s="31"/>
      <c r="CD79" s="32"/>
      <c r="CE79" s="90"/>
      <c r="CF79" s="88"/>
      <c r="CG79" s="88"/>
      <c r="CH79" s="111"/>
      <c r="CI79" s="112"/>
      <c r="CJ79" s="113"/>
      <c r="CK79" s="112"/>
      <c r="CL79" s="31"/>
      <c r="CM79" s="32"/>
      <c r="CN79" s="90"/>
      <c r="CO79" s="88"/>
      <c r="CP79" s="88"/>
      <c r="CQ79" s="111"/>
      <c r="CR79" s="112"/>
      <c r="CS79" s="113"/>
      <c r="CT79" s="112"/>
      <c r="CU79" s="55"/>
      <c r="CW79" s="230" t="s">
        <v>838</v>
      </c>
      <c r="CZ79" s="226" t="s">
        <v>1590</v>
      </c>
    </row>
    <row r="80" spans="1:104" ht="26" hidden="1" x14ac:dyDescent="0.25">
      <c r="A80" s="17" t="s">
        <v>969</v>
      </c>
      <c r="B80" s="17" t="s">
        <v>953</v>
      </c>
      <c r="C80" s="17" t="s">
        <v>952</v>
      </c>
      <c r="D80" s="17" t="str">
        <f t="shared" si="21"/>
        <v>A</v>
      </c>
      <c r="E80" s="17" t="b">
        <f t="shared" si="22"/>
        <v>0</v>
      </c>
      <c r="F80" s="17" t="b">
        <f t="shared" si="23"/>
        <v>1</v>
      </c>
      <c r="G80" s="317" t="s">
        <v>1925</v>
      </c>
      <c r="H80" s="324" t="s">
        <v>2277</v>
      </c>
      <c r="I80" s="315" t="s">
        <v>953</v>
      </c>
      <c r="J80" s="147" t="s">
        <v>952</v>
      </c>
      <c r="K80" s="31"/>
      <c r="L80" s="32" t="s">
        <v>354</v>
      </c>
      <c r="M80" s="90"/>
      <c r="N80" s="111"/>
      <c r="O80" s="112"/>
      <c r="P80" s="113"/>
      <c r="Q80" s="112"/>
      <c r="R80" s="31"/>
      <c r="S80" s="32"/>
      <c r="T80" s="90"/>
      <c r="U80" s="88" t="str">
        <f t="shared" si="17"/>
        <v>NA</v>
      </c>
      <c r="V80" s="88" t="str">
        <f t="shared" si="18"/>
        <v>NA</v>
      </c>
      <c r="W80" s="111"/>
      <c r="X80" s="112"/>
      <c r="Y80" s="113"/>
      <c r="Z80" s="112"/>
      <c r="AA80" s="31"/>
      <c r="AB80" s="302"/>
      <c r="AC80" s="89"/>
      <c r="AD80" s="88" t="str">
        <f t="shared" si="24"/>
        <v>NA</v>
      </c>
      <c r="AE80" s="88" t="str">
        <f t="shared" si="25"/>
        <v>NA</v>
      </c>
      <c r="AF80" s="111"/>
      <c r="AG80" s="112"/>
      <c r="AH80" s="113"/>
      <c r="AI80" s="112"/>
      <c r="AJ80" s="31"/>
      <c r="AK80" s="294"/>
      <c r="AL80" s="89"/>
      <c r="AM80" s="88" t="str">
        <f t="shared" si="19"/>
        <v>NA</v>
      </c>
      <c r="AN80" s="88" t="str">
        <f t="shared" si="20"/>
        <v>NA</v>
      </c>
      <c r="AO80" s="111"/>
      <c r="AP80" s="112"/>
      <c r="AQ80" s="113"/>
      <c r="AR80" s="112"/>
      <c r="AS80" s="31"/>
      <c r="AT80" s="32"/>
      <c r="AU80" s="90"/>
      <c r="AV80" s="88"/>
      <c r="AW80" s="88"/>
      <c r="AX80" s="111"/>
      <c r="AY80" s="112"/>
      <c r="AZ80" s="113"/>
      <c r="BA80" s="112"/>
      <c r="BB80" s="31"/>
      <c r="BC80" s="32"/>
      <c r="BD80" s="90"/>
      <c r="BE80" s="88"/>
      <c r="BF80" s="88"/>
      <c r="BG80" s="111"/>
      <c r="BH80" s="112"/>
      <c r="BI80" s="113"/>
      <c r="BJ80" s="112"/>
      <c r="BK80" s="31"/>
      <c r="BL80" s="32"/>
      <c r="BM80" s="90"/>
      <c r="BN80" s="88"/>
      <c r="BO80" s="88"/>
      <c r="BP80" s="111"/>
      <c r="BQ80" s="112"/>
      <c r="BR80" s="113"/>
      <c r="BS80" s="112"/>
      <c r="BT80" s="31"/>
      <c r="BU80" s="32"/>
      <c r="BV80" s="90"/>
      <c r="BW80" s="88"/>
      <c r="BX80" s="88"/>
      <c r="BY80" s="111"/>
      <c r="BZ80" s="112"/>
      <c r="CA80" s="113"/>
      <c r="CB80" s="112"/>
      <c r="CC80" s="31"/>
      <c r="CD80" s="32"/>
      <c r="CE80" s="90"/>
      <c r="CF80" s="88"/>
      <c r="CG80" s="88"/>
      <c r="CH80" s="111"/>
      <c r="CI80" s="112"/>
      <c r="CJ80" s="113"/>
      <c r="CK80" s="112"/>
      <c r="CL80" s="31"/>
      <c r="CM80" s="32"/>
      <c r="CN80" s="90"/>
      <c r="CO80" s="88"/>
      <c r="CP80" s="88"/>
      <c r="CQ80" s="111"/>
      <c r="CR80" s="112"/>
      <c r="CS80" s="113"/>
      <c r="CT80" s="112"/>
      <c r="CU80" s="55"/>
      <c r="CW80" s="230" t="s">
        <v>952</v>
      </c>
      <c r="CZ80" s="226" t="s">
        <v>1590</v>
      </c>
    </row>
    <row r="81" spans="1:104" ht="26" x14ac:dyDescent="0.25">
      <c r="A81" s="17" t="s">
        <v>970</v>
      </c>
      <c r="B81" s="17" t="s">
        <v>954</v>
      </c>
      <c r="C81" s="17" t="s">
        <v>1693</v>
      </c>
      <c r="D81" s="17" t="str">
        <f t="shared" si="21"/>
        <v>B</v>
      </c>
      <c r="E81" s="17" t="b">
        <f t="shared" si="22"/>
        <v>0</v>
      </c>
      <c r="F81" s="17" t="b">
        <f t="shared" si="23"/>
        <v>0</v>
      </c>
      <c r="G81" s="317" t="s">
        <v>1926</v>
      </c>
      <c r="H81" s="324" t="s">
        <v>2278</v>
      </c>
      <c r="I81" s="315" t="s">
        <v>1927</v>
      </c>
      <c r="J81" s="147" t="s">
        <v>1928</v>
      </c>
      <c r="K81" s="31"/>
      <c r="L81" s="32" t="s">
        <v>354</v>
      </c>
      <c r="M81" s="90" t="s">
        <v>31</v>
      </c>
      <c r="N81" s="111" t="s">
        <v>2470</v>
      </c>
      <c r="O81" s="112"/>
      <c r="P81" s="113"/>
      <c r="Q81" s="112"/>
      <c r="R81" s="31"/>
      <c r="S81" s="32"/>
      <c r="T81" s="90"/>
      <c r="U81" s="88" t="str">
        <f t="shared" si="17"/>
        <v>NA</v>
      </c>
      <c r="V81" s="88" t="str">
        <f t="shared" si="18"/>
        <v>YES</v>
      </c>
      <c r="W81" s="111"/>
      <c r="X81" s="112"/>
      <c r="Y81" s="113"/>
      <c r="Z81" s="112"/>
      <c r="AA81" s="31"/>
      <c r="AB81" s="302"/>
      <c r="AC81" s="89"/>
      <c r="AD81" s="88" t="str">
        <f t="shared" si="24"/>
        <v>NA</v>
      </c>
      <c r="AE81" s="88" t="str">
        <f t="shared" si="25"/>
        <v>NA</v>
      </c>
      <c r="AF81" s="111"/>
      <c r="AG81" s="112"/>
      <c r="AH81" s="113"/>
      <c r="AI81" s="112"/>
      <c r="AJ81" s="31"/>
      <c r="AK81" s="294"/>
      <c r="AL81" s="89"/>
      <c r="AM81" s="88" t="str">
        <f t="shared" si="19"/>
        <v>NA</v>
      </c>
      <c r="AN81" s="88" t="str">
        <f t="shared" si="20"/>
        <v>NA</v>
      </c>
      <c r="AO81" s="111"/>
      <c r="AP81" s="112"/>
      <c r="AQ81" s="113"/>
      <c r="AR81" s="112"/>
      <c r="AS81" s="31"/>
      <c r="AT81" s="32"/>
      <c r="AU81" s="90"/>
      <c r="AV81" s="88"/>
      <c r="AW81" s="88"/>
      <c r="AX81" s="111"/>
      <c r="AY81" s="112"/>
      <c r="AZ81" s="113"/>
      <c r="BA81" s="112"/>
      <c r="BB81" s="31"/>
      <c r="BC81" s="32"/>
      <c r="BD81" s="90"/>
      <c r="BE81" s="88"/>
      <c r="BF81" s="88"/>
      <c r="BG81" s="111"/>
      <c r="BH81" s="112"/>
      <c r="BI81" s="113"/>
      <c r="BJ81" s="112"/>
      <c r="BK81" s="31"/>
      <c r="BL81" s="32"/>
      <c r="BM81" s="90"/>
      <c r="BN81" s="88"/>
      <c r="BO81" s="88"/>
      <c r="BP81" s="111"/>
      <c r="BQ81" s="112"/>
      <c r="BR81" s="113"/>
      <c r="BS81" s="112"/>
      <c r="BT81" s="31"/>
      <c r="BU81" s="32"/>
      <c r="BV81" s="90"/>
      <c r="BW81" s="88"/>
      <c r="BX81" s="88"/>
      <c r="BY81" s="111"/>
      <c r="BZ81" s="112"/>
      <c r="CA81" s="113"/>
      <c r="CB81" s="112"/>
      <c r="CC81" s="31"/>
      <c r="CD81" s="32"/>
      <c r="CE81" s="90"/>
      <c r="CF81" s="88"/>
      <c r="CG81" s="88"/>
      <c r="CH81" s="111"/>
      <c r="CI81" s="112"/>
      <c r="CJ81" s="113"/>
      <c r="CK81" s="112"/>
      <c r="CL81" s="31"/>
      <c r="CM81" s="32"/>
      <c r="CN81" s="90"/>
      <c r="CO81" s="88"/>
      <c r="CP81" s="88"/>
      <c r="CQ81" s="111"/>
      <c r="CR81" s="112"/>
      <c r="CS81" s="113"/>
      <c r="CT81" s="112"/>
      <c r="CU81" s="55"/>
      <c r="CW81" s="230" t="s">
        <v>839</v>
      </c>
      <c r="CZ81" s="226" t="s">
        <v>541</v>
      </c>
    </row>
    <row r="82" spans="1:104" ht="26" hidden="1" x14ac:dyDescent="0.25">
      <c r="A82" s="17" t="s">
        <v>971</v>
      </c>
      <c r="B82" s="17" t="s">
        <v>955</v>
      </c>
      <c r="C82" s="17" t="s">
        <v>1721</v>
      </c>
      <c r="D82" s="17" t="str">
        <f t="shared" si="21"/>
        <v>C</v>
      </c>
      <c r="E82" s="17" t="b">
        <f t="shared" si="22"/>
        <v>0</v>
      </c>
      <c r="F82" s="17" t="b">
        <f t="shared" si="23"/>
        <v>1</v>
      </c>
      <c r="G82" s="317" t="s">
        <v>1929</v>
      </c>
      <c r="H82" s="324" t="s">
        <v>2279</v>
      </c>
      <c r="I82" s="315" t="s">
        <v>1930</v>
      </c>
      <c r="J82" s="147" t="s">
        <v>1721</v>
      </c>
      <c r="K82" s="31"/>
      <c r="L82" s="32" t="s">
        <v>354</v>
      </c>
      <c r="M82" s="90"/>
      <c r="N82" s="111"/>
      <c r="O82" s="112"/>
      <c r="P82" s="113"/>
      <c r="Q82" s="112"/>
      <c r="R82" s="31"/>
      <c r="S82" s="32"/>
      <c r="T82" s="90"/>
      <c r="U82" s="88" t="str">
        <f t="shared" si="17"/>
        <v>NA</v>
      </c>
      <c r="V82" s="88" t="str">
        <f t="shared" si="18"/>
        <v>NA</v>
      </c>
      <c r="W82" s="111"/>
      <c r="X82" s="112"/>
      <c r="Y82" s="113"/>
      <c r="Z82" s="112"/>
      <c r="AA82" s="31"/>
      <c r="AB82" s="302"/>
      <c r="AC82" s="89"/>
      <c r="AD82" s="88" t="str">
        <f t="shared" si="24"/>
        <v>NA</v>
      </c>
      <c r="AE82" s="88" t="str">
        <f t="shared" si="25"/>
        <v>NA</v>
      </c>
      <c r="AF82" s="111"/>
      <c r="AG82" s="112"/>
      <c r="AH82" s="113"/>
      <c r="AI82" s="112"/>
      <c r="AJ82" s="31"/>
      <c r="AK82" s="294"/>
      <c r="AL82" s="89"/>
      <c r="AM82" s="88" t="str">
        <f t="shared" si="19"/>
        <v>NA</v>
      </c>
      <c r="AN82" s="88" t="str">
        <f t="shared" si="20"/>
        <v>NA</v>
      </c>
      <c r="AO82" s="111"/>
      <c r="AP82" s="112"/>
      <c r="AQ82" s="113"/>
      <c r="AR82" s="112"/>
      <c r="AS82" s="31"/>
      <c r="AT82" s="32"/>
      <c r="AU82" s="90"/>
      <c r="AV82" s="88"/>
      <c r="AW82" s="88"/>
      <c r="AX82" s="111"/>
      <c r="AY82" s="112"/>
      <c r="AZ82" s="113"/>
      <c r="BA82" s="112"/>
      <c r="BB82" s="31"/>
      <c r="BC82" s="32"/>
      <c r="BD82" s="90"/>
      <c r="BE82" s="88"/>
      <c r="BF82" s="88"/>
      <c r="BG82" s="111"/>
      <c r="BH82" s="112"/>
      <c r="BI82" s="113"/>
      <c r="BJ82" s="112"/>
      <c r="BK82" s="31"/>
      <c r="BL82" s="32"/>
      <c r="BM82" s="90"/>
      <c r="BN82" s="88"/>
      <c r="BO82" s="88"/>
      <c r="BP82" s="111"/>
      <c r="BQ82" s="112"/>
      <c r="BR82" s="113"/>
      <c r="BS82" s="112"/>
      <c r="BT82" s="31"/>
      <c r="BU82" s="32"/>
      <c r="BV82" s="90"/>
      <c r="BW82" s="88"/>
      <c r="BX82" s="88"/>
      <c r="BY82" s="111"/>
      <c r="BZ82" s="112"/>
      <c r="CA82" s="113"/>
      <c r="CB82" s="112"/>
      <c r="CC82" s="31"/>
      <c r="CD82" s="32"/>
      <c r="CE82" s="90"/>
      <c r="CF82" s="88"/>
      <c r="CG82" s="88"/>
      <c r="CH82" s="111"/>
      <c r="CI82" s="112"/>
      <c r="CJ82" s="113"/>
      <c r="CK82" s="112"/>
      <c r="CL82" s="31"/>
      <c r="CM82" s="32"/>
      <c r="CN82" s="90"/>
      <c r="CO82" s="88"/>
      <c r="CP82" s="88"/>
      <c r="CQ82" s="111"/>
      <c r="CR82" s="112"/>
      <c r="CS82" s="113"/>
      <c r="CT82" s="112"/>
      <c r="CU82" s="55"/>
      <c r="CW82" s="230" t="s">
        <v>840</v>
      </c>
      <c r="CZ82" s="226" t="s">
        <v>1590</v>
      </c>
    </row>
    <row r="83" spans="1:104" ht="169" hidden="1" x14ac:dyDescent="0.25">
      <c r="A83" s="17" t="s">
        <v>972</v>
      </c>
      <c r="B83" s="17" t="s">
        <v>956</v>
      </c>
      <c r="C83" s="17" t="s">
        <v>1694</v>
      </c>
      <c r="D83" s="17" t="str">
        <f t="shared" si="21"/>
        <v>B</v>
      </c>
      <c r="E83" s="17" t="b">
        <f t="shared" si="22"/>
        <v>0</v>
      </c>
      <c r="F83" s="17" t="b">
        <f t="shared" si="23"/>
        <v>1</v>
      </c>
      <c r="G83" s="317" t="s">
        <v>1931</v>
      </c>
      <c r="H83" s="324" t="s">
        <v>2280</v>
      </c>
      <c r="I83" s="315" t="s">
        <v>1932</v>
      </c>
      <c r="J83" s="147" t="s">
        <v>1694</v>
      </c>
      <c r="K83" s="31"/>
      <c r="L83" s="32" t="s">
        <v>354</v>
      </c>
      <c r="M83" s="90"/>
      <c r="N83" s="111"/>
      <c r="O83" s="112"/>
      <c r="P83" s="113"/>
      <c r="Q83" s="112"/>
      <c r="R83" s="31"/>
      <c r="S83" s="32"/>
      <c r="T83" s="90"/>
      <c r="U83" s="88" t="str">
        <f t="shared" si="17"/>
        <v>NA</v>
      </c>
      <c r="V83" s="88" t="str">
        <f t="shared" si="18"/>
        <v>NA</v>
      </c>
      <c r="W83" s="111"/>
      <c r="X83" s="112"/>
      <c r="Y83" s="113"/>
      <c r="Z83" s="112"/>
      <c r="AA83" s="31"/>
      <c r="AB83" s="302"/>
      <c r="AC83" s="89"/>
      <c r="AD83" s="88" t="str">
        <f t="shared" si="24"/>
        <v>NA</v>
      </c>
      <c r="AE83" s="88" t="str">
        <f t="shared" si="25"/>
        <v>NA</v>
      </c>
      <c r="AF83" s="111"/>
      <c r="AG83" s="112"/>
      <c r="AH83" s="113"/>
      <c r="AI83" s="112"/>
      <c r="AJ83" s="31"/>
      <c r="AK83" s="294"/>
      <c r="AL83" s="89"/>
      <c r="AM83" s="88" t="str">
        <f t="shared" si="19"/>
        <v>NA</v>
      </c>
      <c r="AN83" s="88" t="str">
        <f t="shared" si="20"/>
        <v>NA</v>
      </c>
      <c r="AO83" s="111"/>
      <c r="AP83" s="112"/>
      <c r="AQ83" s="113"/>
      <c r="AR83" s="112"/>
      <c r="AS83" s="31"/>
      <c r="AT83" s="32"/>
      <c r="AU83" s="90"/>
      <c r="AV83" s="88"/>
      <c r="AW83" s="88"/>
      <c r="AX83" s="111"/>
      <c r="AY83" s="112"/>
      <c r="AZ83" s="113"/>
      <c r="BA83" s="112"/>
      <c r="BB83" s="31"/>
      <c r="BC83" s="32"/>
      <c r="BD83" s="90"/>
      <c r="BE83" s="88"/>
      <c r="BF83" s="88"/>
      <c r="BG83" s="111"/>
      <c r="BH83" s="112"/>
      <c r="BI83" s="113"/>
      <c r="BJ83" s="112"/>
      <c r="BK83" s="31"/>
      <c r="BL83" s="32"/>
      <c r="BM83" s="90"/>
      <c r="BN83" s="88"/>
      <c r="BO83" s="88"/>
      <c r="BP83" s="111"/>
      <c r="BQ83" s="112"/>
      <c r="BR83" s="113"/>
      <c r="BS83" s="112"/>
      <c r="BT83" s="31"/>
      <c r="BU83" s="32"/>
      <c r="BV83" s="90"/>
      <c r="BW83" s="88"/>
      <c r="BX83" s="88"/>
      <c r="BY83" s="111"/>
      <c r="BZ83" s="112"/>
      <c r="CA83" s="113"/>
      <c r="CB83" s="112"/>
      <c r="CC83" s="31"/>
      <c r="CD83" s="32"/>
      <c r="CE83" s="90"/>
      <c r="CF83" s="88"/>
      <c r="CG83" s="88"/>
      <c r="CH83" s="111"/>
      <c r="CI83" s="112"/>
      <c r="CJ83" s="113"/>
      <c r="CK83" s="112"/>
      <c r="CL83" s="31"/>
      <c r="CM83" s="32"/>
      <c r="CN83" s="90"/>
      <c r="CO83" s="88"/>
      <c r="CP83" s="88"/>
      <c r="CQ83" s="111"/>
      <c r="CR83" s="112"/>
      <c r="CS83" s="113"/>
      <c r="CT83" s="112"/>
      <c r="CU83" s="55"/>
      <c r="CW83" s="230" t="s">
        <v>841</v>
      </c>
      <c r="CZ83" s="226" t="s">
        <v>1590</v>
      </c>
    </row>
    <row r="84" spans="1:104" ht="143" hidden="1" x14ac:dyDescent="0.25">
      <c r="A84" s="17" t="s">
        <v>973</v>
      </c>
      <c r="B84" s="17" t="s">
        <v>957</v>
      </c>
      <c r="C84" s="17" t="s">
        <v>1722</v>
      </c>
      <c r="D84" s="17" t="str">
        <f t="shared" si="21"/>
        <v>C</v>
      </c>
      <c r="E84" s="17" t="b">
        <f t="shared" si="22"/>
        <v>0</v>
      </c>
      <c r="F84" s="17" t="b">
        <f t="shared" si="23"/>
        <v>1</v>
      </c>
      <c r="G84" s="317" t="s">
        <v>1933</v>
      </c>
      <c r="H84" s="324" t="s">
        <v>2281</v>
      </c>
      <c r="I84" s="315" t="s">
        <v>1934</v>
      </c>
      <c r="J84" s="147" t="s">
        <v>1722</v>
      </c>
      <c r="K84" s="31"/>
      <c r="L84" s="32" t="s">
        <v>354</v>
      </c>
      <c r="M84" s="90"/>
      <c r="N84" s="111"/>
      <c r="O84" s="112"/>
      <c r="P84" s="113"/>
      <c r="Q84" s="112"/>
      <c r="R84" s="31"/>
      <c r="S84" s="32"/>
      <c r="T84" s="90"/>
      <c r="U84" s="88" t="str">
        <f t="shared" si="17"/>
        <v>NA</v>
      </c>
      <c r="V84" s="88" t="str">
        <f t="shared" si="18"/>
        <v>NA</v>
      </c>
      <c r="W84" s="111"/>
      <c r="X84" s="112"/>
      <c r="Y84" s="113"/>
      <c r="Z84" s="112"/>
      <c r="AA84" s="31"/>
      <c r="AB84" s="302"/>
      <c r="AC84" s="89"/>
      <c r="AD84" s="88" t="str">
        <f t="shared" si="24"/>
        <v>NA</v>
      </c>
      <c r="AE84" s="88" t="str">
        <f t="shared" si="25"/>
        <v>NA</v>
      </c>
      <c r="AF84" s="111"/>
      <c r="AG84" s="112"/>
      <c r="AH84" s="113"/>
      <c r="AI84" s="112"/>
      <c r="AJ84" s="31"/>
      <c r="AK84" s="294"/>
      <c r="AL84" s="89"/>
      <c r="AM84" s="88" t="str">
        <f t="shared" si="19"/>
        <v>NA</v>
      </c>
      <c r="AN84" s="88" t="str">
        <f t="shared" si="20"/>
        <v>NA</v>
      </c>
      <c r="AO84" s="111"/>
      <c r="AP84" s="112"/>
      <c r="AQ84" s="113"/>
      <c r="AR84" s="112"/>
      <c r="AS84" s="31"/>
      <c r="AT84" s="32"/>
      <c r="AU84" s="90"/>
      <c r="AV84" s="88"/>
      <c r="AW84" s="88"/>
      <c r="AX84" s="111"/>
      <c r="AY84" s="112"/>
      <c r="AZ84" s="113"/>
      <c r="BA84" s="112"/>
      <c r="BB84" s="31"/>
      <c r="BC84" s="32"/>
      <c r="BD84" s="90"/>
      <c r="BE84" s="88"/>
      <c r="BF84" s="88"/>
      <c r="BG84" s="111"/>
      <c r="BH84" s="112"/>
      <c r="BI84" s="113"/>
      <c r="BJ84" s="112"/>
      <c r="BK84" s="31"/>
      <c r="BL84" s="32"/>
      <c r="BM84" s="90"/>
      <c r="BN84" s="88"/>
      <c r="BO84" s="88"/>
      <c r="BP84" s="111"/>
      <c r="BQ84" s="112"/>
      <c r="BR84" s="113"/>
      <c r="BS84" s="112"/>
      <c r="BT84" s="31"/>
      <c r="BU84" s="32"/>
      <c r="BV84" s="90"/>
      <c r="BW84" s="88"/>
      <c r="BX84" s="88"/>
      <c r="BY84" s="111"/>
      <c r="BZ84" s="112"/>
      <c r="CA84" s="113"/>
      <c r="CB84" s="112"/>
      <c r="CC84" s="31"/>
      <c r="CD84" s="32"/>
      <c r="CE84" s="90"/>
      <c r="CF84" s="88"/>
      <c r="CG84" s="88"/>
      <c r="CH84" s="111"/>
      <c r="CI84" s="112"/>
      <c r="CJ84" s="113"/>
      <c r="CK84" s="112"/>
      <c r="CL84" s="31"/>
      <c r="CM84" s="32"/>
      <c r="CN84" s="90"/>
      <c r="CO84" s="88"/>
      <c r="CP84" s="88"/>
      <c r="CQ84" s="111"/>
      <c r="CR84" s="112"/>
      <c r="CS84" s="113"/>
      <c r="CT84" s="112"/>
      <c r="CU84" s="55"/>
      <c r="CW84" s="230" t="s">
        <v>1025</v>
      </c>
      <c r="CZ84" s="226" t="s">
        <v>1589</v>
      </c>
    </row>
    <row r="85" spans="1:104" ht="26" hidden="1" x14ac:dyDescent="0.25">
      <c r="A85" s="17" t="s">
        <v>974</v>
      </c>
      <c r="B85" s="17" t="s">
        <v>978</v>
      </c>
      <c r="C85" s="17" t="s">
        <v>1695</v>
      </c>
      <c r="D85" s="17" t="str">
        <f t="shared" si="21"/>
        <v>B</v>
      </c>
      <c r="E85" s="17" t="b">
        <f t="shared" si="22"/>
        <v>0</v>
      </c>
      <c r="F85" s="17" t="b">
        <f t="shared" si="23"/>
        <v>0</v>
      </c>
      <c r="G85" s="317" t="s">
        <v>1935</v>
      </c>
      <c r="H85" s="324" t="s">
        <v>2282</v>
      </c>
      <c r="I85" s="315" t="s">
        <v>2431</v>
      </c>
      <c r="J85" s="159" t="s">
        <v>2432</v>
      </c>
      <c r="K85" s="31"/>
      <c r="L85" s="32" t="s">
        <v>583</v>
      </c>
      <c r="M85" s="309"/>
      <c r="N85" s="111"/>
      <c r="O85" s="112"/>
      <c r="P85" s="113"/>
      <c r="Q85" s="112"/>
      <c r="R85" s="31"/>
      <c r="S85" s="32"/>
      <c r="T85" s="309"/>
      <c r="U85" s="88" t="str">
        <f t="shared" si="17"/>
        <v>NA</v>
      </c>
      <c r="V85" s="88" t="str">
        <f t="shared" si="18"/>
        <v>NA</v>
      </c>
      <c r="W85" s="111"/>
      <c r="X85" s="112"/>
      <c r="Y85" s="113"/>
      <c r="Z85" s="112"/>
      <c r="AA85" s="31"/>
      <c r="AB85" s="302"/>
      <c r="AC85" s="89"/>
      <c r="AD85" s="88" t="str">
        <f t="shared" si="24"/>
        <v>NA</v>
      </c>
      <c r="AE85" s="88" t="str">
        <f t="shared" si="25"/>
        <v>NA</v>
      </c>
      <c r="AF85" s="111"/>
      <c r="AG85" s="112"/>
      <c r="AH85" s="113"/>
      <c r="AI85" s="112"/>
      <c r="AJ85" s="31"/>
      <c r="AK85" s="294"/>
      <c r="AL85" s="89"/>
      <c r="AM85" s="88" t="str">
        <f t="shared" si="19"/>
        <v>NA</v>
      </c>
      <c r="AN85" s="88" t="str">
        <f t="shared" si="20"/>
        <v>NA</v>
      </c>
      <c r="AO85" s="111"/>
      <c r="AP85" s="112"/>
      <c r="AQ85" s="113"/>
      <c r="AR85" s="112"/>
      <c r="AS85" s="31"/>
      <c r="AT85" s="32"/>
      <c r="AU85" s="90"/>
      <c r="AV85" s="88"/>
      <c r="AW85" s="88"/>
      <c r="AX85" s="111"/>
      <c r="AY85" s="112"/>
      <c r="AZ85" s="113"/>
      <c r="BA85" s="112"/>
      <c r="BB85" s="31"/>
      <c r="BC85" s="32"/>
      <c r="BD85" s="90"/>
      <c r="BE85" s="88"/>
      <c r="BF85" s="88"/>
      <c r="BG85" s="111"/>
      <c r="BH85" s="112"/>
      <c r="BI85" s="113"/>
      <c r="BJ85" s="112"/>
      <c r="BK85" s="31"/>
      <c r="BL85" s="32"/>
      <c r="BM85" s="90"/>
      <c r="BN85" s="88"/>
      <c r="BO85" s="88"/>
      <c r="BP85" s="111"/>
      <c r="BQ85" s="112"/>
      <c r="BR85" s="113"/>
      <c r="BS85" s="112"/>
      <c r="BT85" s="31"/>
      <c r="BU85" s="32"/>
      <c r="BV85" s="90"/>
      <c r="BW85" s="88"/>
      <c r="BX85" s="88"/>
      <c r="BY85" s="111"/>
      <c r="BZ85" s="112"/>
      <c r="CA85" s="113"/>
      <c r="CB85" s="112"/>
      <c r="CC85" s="31"/>
      <c r="CD85" s="32"/>
      <c r="CE85" s="90"/>
      <c r="CF85" s="88"/>
      <c r="CG85" s="88"/>
      <c r="CH85" s="111"/>
      <c r="CI85" s="112"/>
      <c r="CJ85" s="113"/>
      <c r="CK85" s="112"/>
      <c r="CL85" s="31"/>
      <c r="CM85" s="32"/>
      <c r="CN85" s="90"/>
      <c r="CO85" s="88"/>
      <c r="CP85" s="88"/>
      <c r="CQ85" s="111"/>
      <c r="CR85" s="112"/>
      <c r="CS85" s="113"/>
      <c r="CT85" s="112"/>
      <c r="CU85" s="55"/>
      <c r="CW85" s="230" t="s">
        <v>1026</v>
      </c>
      <c r="CZ85" s="226" t="s">
        <v>1590</v>
      </c>
    </row>
    <row r="86" spans="1:104" ht="26" hidden="1" x14ac:dyDescent="0.25">
      <c r="A86" s="17" t="s">
        <v>975</v>
      </c>
      <c r="B86" s="17" t="s">
        <v>979</v>
      </c>
      <c r="C86" s="17" t="s">
        <v>1723</v>
      </c>
      <c r="D86" s="17" t="str">
        <f t="shared" si="21"/>
        <v>C</v>
      </c>
      <c r="E86" s="17" t="b">
        <f t="shared" si="22"/>
        <v>0</v>
      </c>
      <c r="F86" s="17" t="b">
        <f t="shared" si="23"/>
        <v>0</v>
      </c>
      <c r="G86" s="317" t="s">
        <v>1936</v>
      </c>
      <c r="H86" s="324" t="s">
        <v>2283</v>
      </c>
      <c r="I86" s="315" t="s">
        <v>2383</v>
      </c>
      <c r="J86" s="147" t="s">
        <v>2384</v>
      </c>
      <c r="K86" s="31"/>
      <c r="L86" s="32" t="s">
        <v>354</v>
      </c>
      <c r="M86" s="90"/>
      <c r="N86" s="111"/>
      <c r="O86" s="112"/>
      <c r="P86" s="113"/>
      <c r="Q86" s="112"/>
      <c r="R86" s="31"/>
      <c r="S86" s="32"/>
      <c r="T86" s="90"/>
      <c r="U86" s="88" t="str">
        <f t="shared" si="17"/>
        <v>NA</v>
      </c>
      <c r="V86" s="88" t="str">
        <f t="shared" si="18"/>
        <v>NA</v>
      </c>
      <c r="W86" s="111"/>
      <c r="X86" s="112"/>
      <c r="Y86" s="113"/>
      <c r="Z86" s="112"/>
      <c r="AA86" s="31"/>
      <c r="AB86" s="302"/>
      <c r="AC86" s="89"/>
      <c r="AD86" s="88" t="str">
        <f t="shared" si="24"/>
        <v>NA</v>
      </c>
      <c r="AE86" s="88" t="str">
        <f t="shared" si="25"/>
        <v>NA</v>
      </c>
      <c r="AF86" s="111"/>
      <c r="AG86" s="112"/>
      <c r="AH86" s="113"/>
      <c r="AI86" s="112"/>
      <c r="AJ86" s="31"/>
      <c r="AK86" s="294"/>
      <c r="AL86" s="89"/>
      <c r="AM86" s="88" t="str">
        <f t="shared" si="19"/>
        <v>NA</v>
      </c>
      <c r="AN86" s="88" t="str">
        <f t="shared" si="20"/>
        <v>NA</v>
      </c>
      <c r="AO86" s="111"/>
      <c r="AP86" s="112"/>
      <c r="AQ86" s="113"/>
      <c r="AR86" s="112"/>
      <c r="AS86" s="31"/>
      <c r="AT86" s="32"/>
      <c r="AU86" s="90"/>
      <c r="AV86" s="88"/>
      <c r="AW86" s="88"/>
      <c r="AX86" s="111"/>
      <c r="AY86" s="112"/>
      <c r="AZ86" s="113"/>
      <c r="BA86" s="112"/>
      <c r="BB86" s="31"/>
      <c r="BC86" s="32"/>
      <c r="BD86" s="90"/>
      <c r="BE86" s="88"/>
      <c r="BF86" s="88"/>
      <c r="BG86" s="111"/>
      <c r="BH86" s="112"/>
      <c r="BI86" s="113"/>
      <c r="BJ86" s="112"/>
      <c r="BK86" s="31"/>
      <c r="BL86" s="32"/>
      <c r="BM86" s="90"/>
      <c r="BN86" s="88"/>
      <c r="BO86" s="88"/>
      <c r="BP86" s="111"/>
      <c r="BQ86" s="112"/>
      <c r="BR86" s="113"/>
      <c r="BS86" s="112"/>
      <c r="BT86" s="31"/>
      <c r="BU86" s="32"/>
      <c r="BV86" s="90"/>
      <c r="BW86" s="88"/>
      <c r="BX86" s="88"/>
      <c r="BY86" s="111"/>
      <c r="BZ86" s="112"/>
      <c r="CA86" s="113"/>
      <c r="CB86" s="112"/>
      <c r="CC86" s="31"/>
      <c r="CD86" s="32"/>
      <c r="CE86" s="90"/>
      <c r="CF86" s="88"/>
      <c r="CG86" s="88"/>
      <c r="CH86" s="111"/>
      <c r="CI86" s="112"/>
      <c r="CJ86" s="113"/>
      <c r="CK86" s="112"/>
      <c r="CL86" s="31"/>
      <c r="CM86" s="32"/>
      <c r="CN86" s="90"/>
      <c r="CO86" s="88"/>
      <c r="CP86" s="88"/>
      <c r="CQ86" s="111"/>
      <c r="CR86" s="112"/>
      <c r="CS86" s="113"/>
      <c r="CT86" s="112"/>
      <c r="CU86" s="55"/>
      <c r="CW86" s="230" t="s">
        <v>1027</v>
      </c>
      <c r="CZ86" s="226" t="s">
        <v>1590</v>
      </c>
    </row>
    <row r="87" spans="1:104" ht="39" hidden="1" x14ac:dyDescent="0.25">
      <c r="A87" s="17" t="s">
        <v>976</v>
      </c>
      <c r="B87" s="17" t="s">
        <v>1028</v>
      </c>
      <c r="C87" s="17" t="s">
        <v>1696</v>
      </c>
      <c r="D87" s="17" t="str">
        <f t="shared" si="21"/>
        <v>B</v>
      </c>
      <c r="E87" s="17" t="b">
        <f t="shared" si="22"/>
        <v>0</v>
      </c>
      <c r="F87" s="17" t="b">
        <f t="shared" si="23"/>
        <v>1</v>
      </c>
      <c r="G87" s="317" t="s">
        <v>1937</v>
      </c>
      <c r="H87" s="324" t="s">
        <v>2284</v>
      </c>
      <c r="I87" s="315" t="s">
        <v>1938</v>
      </c>
      <c r="J87" s="147" t="s">
        <v>1696</v>
      </c>
      <c r="K87" s="31"/>
      <c r="L87" s="32" t="s">
        <v>354</v>
      </c>
      <c r="M87" s="90"/>
      <c r="N87" s="111"/>
      <c r="O87" s="112"/>
      <c r="P87" s="113"/>
      <c r="Q87" s="112"/>
      <c r="R87" s="31"/>
      <c r="S87" s="32"/>
      <c r="T87" s="90"/>
      <c r="U87" s="88" t="str">
        <f t="shared" si="17"/>
        <v>NA</v>
      </c>
      <c r="V87" s="88" t="str">
        <f t="shared" si="18"/>
        <v>NA</v>
      </c>
      <c r="W87" s="111"/>
      <c r="X87" s="112"/>
      <c r="Y87" s="113"/>
      <c r="Z87" s="112"/>
      <c r="AA87" s="31"/>
      <c r="AB87" s="302"/>
      <c r="AC87" s="89"/>
      <c r="AD87" s="88" t="str">
        <f t="shared" si="24"/>
        <v>NA</v>
      </c>
      <c r="AE87" s="88" t="str">
        <f t="shared" si="25"/>
        <v>NA</v>
      </c>
      <c r="AF87" s="111"/>
      <c r="AG87" s="112"/>
      <c r="AH87" s="113"/>
      <c r="AI87" s="112"/>
      <c r="AJ87" s="31"/>
      <c r="AK87" s="294"/>
      <c r="AL87" s="89"/>
      <c r="AM87" s="88" t="str">
        <f t="shared" si="19"/>
        <v>NA</v>
      </c>
      <c r="AN87" s="88" t="str">
        <f t="shared" si="20"/>
        <v>NA</v>
      </c>
      <c r="AO87" s="111"/>
      <c r="AP87" s="112"/>
      <c r="AQ87" s="113"/>
      <c r="AR87" s="112"/>
      <c r="AS87" s="31"/>
      <c r="AT87" s="32"/>
      <c r="AU87" s="90"/>
      <c r="AV87" s="88"/>
      <c r="AW87" s="88"/>
      <c r="AX87" s="111"/>
      <c r="AY87" s="112"/>
      <c r="AZ87" s="113"/>
      <c r="BA87" s="112"/>
      <c r="BB87" s="31"/>
      <c r="BC87" s="32"/>
      <c r="BD87" s="90"/>
      <c r="BE87" s="88"/>
      <c r="BF87" s="88"/>
      <c r="BG87" s="111"/>
      <c r="BH87" s="112"/>
      <c r="BI87" s="113"/>
      <c r="BJ87" s="112"/>
      <c r="BK87" s="31"/>
      <c r="BL87" s="32"/>
      <c r="BM87" s="90"/>
      <c r="BN87" s="88"/>
      <c r="BO87" s="88"/>
      <c r="BP87" s="111"/>
      <c r="BQ87" s="112"/>
      <c r="BR87" s="113"/>
      <c r="BS87" s="112"/>
      <c r="BT87" s="31"/>
      <c r="BU87" s="32"/>
      <c r="BV87" s="90"/>
      <c r="BW87" s="88"/>
      <c r="BX87" s="88"/>
      <c r="BY87" s="111"/>
      <c r="BZ87" s="112"/>
      <c r="CA87" s="113"/>
      <c r="CB87" s="112"/>
      <c r="CC87" s="31"/>
      <c r="CD87" s="32"/>
      <c r="CE87" s="90"/>
      <c r="CF87" s="88"/>
      <c r="CG87" s="88"/>
      <c r="CH87" s="111"/>
      <c r="CI87" s="112"/>
      <c r="CJ87" s="113"/>
      <c r="CK87" s="112"/>
      <c r="CL87" s="31"/>
      <c r="CM87" s="32"/>
      <c r="CN87" s="90"/>
      <c r="CO87" s="88"/>
      <c r="CP87" s="88"/>
      <c r="CQ87" s="111"/>
      <c r="CR87" s="112"/>
      <c r="CS87" s="113"/>
      <c r="CT87" s="112"/>
      <c r="CU87" s="55"/>
      <c r="CW87" s="230" t="s">
        <v>1029</v>
      </c>
      <c r="CZ87" s="226" t="s">
        <v>1590</v>
      </c>
    </row>
    <row r="88" spans="1:104" ht="26" x14ac:dyDescent="0.25">
      <c r="A88" s="17" t="s">
        <v>977</v>
      </c>
      <c r="B88" s="17" t="s">
        <v>1030</v>
      </c>
      <c r="C88" s="17" t="s">
        <v>1031</v>
      </c>
      <c r="D88" s="17" t="str">
        <f t="shared" si="21"/>
        <v>A</v>
      </c>
      <c r="E88" s="17" t="b">
        <f t="shared" si="22"/>
        <v>0</v>
      </c>
      <c r="F88" s="17" t="b">
        <f t="shared" si="23"/>
        <v>1</v>
      </c>
      <c r="G88" s="317" t="s">
        <v>1939</v>
      </c>
      <c r="H88" s="324" t="s">
        <v>2285</v>
      </c>
      <c r="I88" s="315" t="s">
        <v>1030</v>
      </c>
      <c r="J88" s="147" t="s">
        <v>1031</v>
      </c>
      <c r="K88" s="31"/>
      <c r="L88" s="32" t="s">
        <v>354</v>
      </c>
      <c r="M88" s="90" t="s">
        <v>31</v>
      </c>
      <c r="N88" s="111" t="s">
        <v>2470</v>
      </c>
      <c r="O88" s="112"/>
      <c r="P88" s="113"/>
      <c r="Q88" s="112"/>
      <c r="R88" s="31"/>
      <c r="S88" s="32"/>
      <c r="T88" s="90"/>
      <c r="U88" s="88" t="str">
        <f t="shared" si="17"/>
        <v>NA</v>
      </c>
      <c r="V88" s="88" t="str">
        <f t="shared" si="18"/>
        <v>YES</v>
      </c>
      <c r="W88" s="111"/>
      <c r="X88" s="112"/>
      <c r="Y88" s="113"/>
      <c r="Z88" s="112"/>
      <c r="AA88" s="31"/>
      <c r="AB88" s="302"/>
      <c r="AC88" s="89"/>
      <c r="AD88" s="88" t="str">
        <f t="shared" si="24"/>
        <v>NA</v>
      </c>
      <c r="AE88" s="88" t="str">
        <f t="shared" si="25"/>
        <v>NA</v>
      </c>
      <c r="AF88" s="111"/>
      <c r="AG88" s="112"/>
      <c r="AH88" s="113"/>
      <c r="AI88" s="112"/>
      <c r="AJ88" s="31"/>
      <c r="AK88" s="294"/>
      <c r="AL88" s="89"/>
      <c r="AM88" s="88" t="str">
        <f t="shared" si="19"/>
        <v>NA</v>
      </c>
      <c r="AN88" s="88" t="str">
        <f t="shared" si="20"/>
        <v>NA</v>
      </c>
      <c r="AO88" s="111"/>
      <c r="AP88" s="112"/>
      <c r="AQ88" s="113"/>
      <c r="AR88" s="112"/>
      <c r="AS88" s="31"/>
      <c r="AT88" s="32"/>
      <c r="AU88" s="90"/>
      <c r="AV88" s="88"/>
      <c r="AW88" s="88"/>
      <c r="AX88" s="111"/>
      <c r="AY88" s="112"/>
      <c r="AZ88" s="113"/>
      <c r="BA88" s="112"/>
      <c r="BB88" s="31"/>
      <c r="BC88" s="32"/>
      <c r="BD88" s="90"/>
      <c r="BE88" s="88"/>
      <c r="BF88" s="88"/>
      <c r="BG88" s="111"/>
      <c r="BH88" s="112"/>
      <c r="BI88" s="113"/>
      <c r="BJ88" s="112"/>
      <c r="BK88" s="31"/>
      <c r="BL88" s="32"/>
      <c r="BM88" s="90"/>
      <c r="BN88" s="88"/>
      <c r="BO88" s="88"/>
      <c r="BP88" s="111"/>
      <c r="BQ88" s="112"/>
      <c r="BR88" s="113"/>
      <c r="BS88" s="112"/>
      <c r="BT88" s="31"/>
      <c r="BU88" s="32"/>
      <c r="BV88" s="90"/>
      <c r="BW88" s="88"/>
      <c r="BX88" s="88"/>
      <c r="BY88" s="111"/>
      <c r="BZ88" s="112"/>
      <c r="CA88" s="113"/>
      <c r="CB88" s="112"/>
      <c r="CC88" s="31"/>
      <c r="CD88" s="32"/>
      <c r="CE88" s="90"/>
      <c r="CF88" s="88"/>
      <c r="CG88" s="88"/>
      <c r="CH88" s="111"/>
      <c r="CI88" s="112"/>
      <c r="CJ88" s="113"/>
      <c r="CK88" s="112"/>
      <c r="CL88" s="31"/>
      <c r="CM88" s="32"/>
      <c r="CN88" s="90"/>
      <c r="CO88" s="88"/>
      <c r="CP88" s="88"/>
      <c r="CQ88" s="111"/>
      <c r="CR88" s="112"/>
      <c r="CS88" s="113"/>
      <c r="CT88" s="112"/>
      <c r="CU88" s="55"/>
      <c r="CW88" s="230" t="s">
        <v>1031</v>
      </c>
      <c r="CZ88" s="226" t="s">
        <v>541</v>
      </c>
    </row>
    <row r="89" spans="1:104" ht="25" hidden="1" x14ac:dyDescent="0.25">
      <c r="A89" s="17" t="s">
        <v>1032</v>
      </c>
      <c r="B89" s="17" t="s">
        <v>1033</v>
      </c>
      <c r="C89" s="17" t="s">
        <v>1697</v>
      </c>
      <c r="D89" s="17" t="str">
        <f t="shared" si="21"/>
        <v>B</v>
      </c>
      <c r="E89" s="17" t="b">
        <f t="shared" si="22"/>
        <v>0</v>
      </c>
      <c r="F89" s="17" t="b">
        <f t="shared" si="23"/>
        <v>1</v>
      </c>
      <c r="G89" s="317" t="s">
        <v>1940</v>
      </c>
      <c r="H89" s="324" t="s">
        <v>2286</v>
      </c>
      <c r="I89" s="315" t="s">
        <v>1941</v>
      </c>
      <c r="J89" s="147" t="s">
        <v>1697</v>
      </c>
      <c r="K89" s="31"/>
      <c r="L89" s="32" t="s">
        <v>354</v>
      </c>
      <c r="M89" s="90"/>
      <c r="N89" s="111"/>
      <c r="O89" s="112"/>
      <c r="P89" s="113"/>
      <c r="Q89" s="112"/>
      <c r="R89" s="31"/>
      <c r="S89" s="32"/>
      <c r="T89" s="90"/>
      <c r="U89" s="88" t="str">
        <f t="shared" si="17"/>
        <v>NA</v>
      </c>
      <c r="V89" s="88" t="str">
        <f t="shared" si="18"/>
        <v>NA</v>
      </c>
      <c r="W89" s="111"/>
      <c r="X89" s="112"/>
      <c r="Y89" s="113"/>
      <c r="Z89" s="112"/>
      <c r="AA89" s="31"/>
      <c r="AB89" s="302"/>
      <c r="AC89" s="89"/>
      <c r="AD89" s="88" t="str">
        <f t="shared" si="24"/>
        <v>NA</v>
      </c>
      <c r="AE89" s="88" t="str">
        <f t="shared" si="25"/>
        <v>NA</v>
      </c>
      <c r="AF89" s="111"/>
      <c r="AG89" s="112"/>
      <c r="AH89" s="113"/>
      <c r="AI89" s="112"/>
      <c r="AJ89" s="31"/>
      <c r="AK89" s="294"/>
      <c r="AL89" s="89"/>
      <c r="AM89" s="88" t="str">
        <f t="shared" si="19"/>
        <v>NA</v>
      </c>
      <c r="AN89" s="88" t="str">
        <f t="shared" si="20"/>
        <v>NA</v>
      </c>
      <c r="AO89" s="111"/>
      <c r="AP89" s="112"/>
      <c r="AQ89" s="113"/>
      <c r="AR89" s="112"/>
      <c r="AS89" s="31"/>
      <c r="AT89" s="32"/>
      <c r="AU89" s="90"/>
      <c r="AV89" s="88"/>
      <c r="AW89" s="88"/>
      <c r="AX89" s="111"/>
      <c r="AY89" s="112"/>
      <c r="AZ89" s="113"/>
      <c r="BA89" s="112"/>
      <c r="BB89" s="31"/>
      <c r="BC89" s="32"/>
      <c r="BD89" s="90"/>
      <c r="BE89" s="88"/>
      <c r="BF89" s="88"/>
      <c r="BG89" s="111"/>
      <c r="BH89" s="112"/>
      <c r="BI89" s="113"/>
      <c r="BJ89" s="112"/>
      <c r="BK89" s="31"/>
      <c r="BL89" s="32"/>
      <c r="BM89" s="90"/>
      <c r="BN89" s="88"/>
      <c r="BO89" s="88"/>
      <c r="BP89" s="111"/>
      <c r="BQ89" s="112"/>
      <c r="BR89" s="113"/>
      <c r="BS89" s="112"/>
      <c r="BT89" s="31"/>
      <c r="BU89" s="32"/>
      <c r="BV89" s="90"/>
      <c r="BW89" s="88"/>
      <c r="BX89" s="88"/>
      <c r="BY89" s="111"/>
      <c r="BZ89" s="112"/>
      <c r="CA89" s="113"/>
      <c r="CB89" s="112"/>
      <c r="CC89" s="31"/>
      <c r="CD89" s="32"/>
      <c r="CE89" s="90"/>
      <c r="CF89" s="88"/>
      <c r="CG89" s="88"/>
      <c r="CH89" s="111"/>
      <c r="CI89" s="112"/>
      <c r="CJ89" s="113"/>
      <c r="CK89" s="112"/>
      <c r="CL89" s="31"/>
      <c r="CM89" s="32"/>
      <c r="CN89" s="90"/>
      <c r="CO89" s="88"/>
      <c r="CP89" s="88"/>
      <c r="CQ89" s="111"/>
      <c r="CR89" s="112"/>
      <c r="CS89" s="113"/>
      <c r="CT89" s="112"/>
      <c r="CU89" s="55"/>
      <c r="CW89" s="230" t="s">
        <v>1034</v>
      </c>
      <c r="CZ89" s="226" t="s">
        <v>541</v>
      </c>
    </row>
    <row r="90" spans="1:104" ht="26" hidden="1" x14ac:dyDescent="0.25">
      <c r="D90" s="17" t="str">
        <f t="shared" si="21"/>
        <v>A</v>
      </c>
      <c r="E90" s="17" t="b">
        <f t="shared" si="22"/>
        <v>0</v>
      </c>
      <c r="G90" s="317" t="s">
        <v>2434</v>
      </c>
      <c r="H90" s="324" t="s">
        <v>1558</v>
      </c>
      <c r="I90" s="315" t="s">
        <v>1035</v>
      </c>
      <c r="J90" s="159" t="s">
        <v>2386</v>
      </c>
      <c r="K90" s="31"/>
      <c r="L90" s="32" t="s">
        <v>354</v>
      </c>
      <c r="M90" s="90"/>
      <c r="N90" s="111"/>
      <c r="O90" s="112"/>
      <c r="P90" s="113"/>
      <c r="Q90" s="112"/>
      <c r="R90" s="31"/>
      <c r="S90" s="32"/>
      <c r="T90" s="90"/>
      <c r="U90" s="88" t="str">
        <f t="shared" ref="U90" si="26">IF(LEFT(T90,1)&lt;&gt;"x","NA",IF(RIGHT(S90,3)=RIGHT(L90,3),IF(RIGHT(S90,3)&lt;&gt;RIGHT(L90,3),IF(OR(AND(RIGHT(S90,3)=RIGHT(L90,3),T90=M90)),"NO","YES"),"NO"),IF(OR(RIGHT(S90,3)=RIGHT(L90,3)),"ERROR","YES")))</f>
        <v>NA</v>
      </c>
      <c r="V90" s="88" t="str">
        <f t="shared" ref="V90" si="27">IF(LEFT(M90,1)&lt;&gt;LEFT(T90,1),"YES",IF(LEFT(T90,1)="x","NO","NA"))</f>
        <v>NA</v>
      </c>
      <c r="W90" s="111"/>
      <c r="X90" s="112"/>
      <c r="Y90" s="113"/>
      <c r="Z90" s="112"/>
      <c r="AA90" s="31"/>
      <c r="AB90" s="302"/>
      <c r="AC90" s="89"/>
      <c r="AD90" s="88"/>
      <c r="AE90" s="88"/>
      <c r="AF90" s="111"/>
      <c r="AG90" s="112"/>
      <c r="AH90" s="113"/>
      <c r="AI90" s="112"/>
      <c r="AJ90" s="31"/>
      <c r="AK90" s="294"/>
      <c r="AL90" s="89"/>
      <c r="AM90" s="88"/>
      <c r="AN90" s="88"/>
      <c r="AO90" s="111"/>
      <c r="AP90" s="112"/>
      <c r="AQ90" s="113"/>
      <c r="AR90" s="112"/>
      <c r="AS90" s="31"/>
      <c r="AT90" s="32"/>
      <c r="AU90" s="90"/>
      <c r="AV90" s="88"/>
      <c r="AW90" s="88"/>
      <c r="AX90" s="111"/>
      <c r="AY90" s="112"/>
      <c r="AZ90" s="113"/>
      <c r="BA90" s="112"/>
      <c r="BB90" s="31"/>
      <c r="BC90" s="32"/>
      <c r="BD90" s="90"/>
      <c r="BE90" s="88"/>
      <c r="BF90" s="88"/>
      <c r="BG90" s="111"/>
      <c r="BH90" s="112"/>
      <c r="BI90" s="113"/>
      <c r="BJ90" s="112"/>
      <c r="BK90" s="31"/>
      <c r="BL90" s="32"/>
      <c r="BM90" s="90"/>
      <c r="BN90" s="88"/>
      <c r="BO90" s="88"/>
      <c r="BP90" s="111"/>
      <c r="BQ90" s="112"/>
      <c r="BR90" s="113"/>
      <c r="BS90" s="112"/>
      <c r="BT90" s="31"/>
      <c r="BU90" s="32"/>
      <c r="BV90" s="90"/>
      <c r="BW90" s="88"/>
      <c r="BX90" s="88"/>
      <c r="BY90" s="111"/>
      <c r="BZ90" s="112"/>
      <c r="CA90" s="113"/>
      <c r="CB90" s="112"/>
      <c r="CC90" s="31"/>
      <c r="CD90" s="32"/>
      <c r="CE90" s="90"/>
      <c r="CF90" s="88"/>
      <c r="CG90" s="88"/>
      <c r="CH90" s="111"/>
      <c r="CI90" s="112"/>
      <c r="CJ90" s="113"/>
      <c r="CK90" s="112"/>
      <c r="CL90" s="31"/>
      <c r="CM90" s="32"/>
      <c r="CN90" s="90"/>
      <c r="CO90" s="88"/>
      <c r="CP90" s="88"/>
      <c r="CQ90" s="111"/>
      <c r="CR90" s="112"/>
      <c r="CS90" s="113"/>
      <c r="CT90" s="112"/>
      <c r="CU90" s="55"/>
      <c r="CW90" s="230"/>
      <c r="CZ90" s="226"/>
    </row>
    <row r="91" spans="1:104" ht="100.5" x14ac:dyDescent="0.25">
      <c r="A91" s="17" t="s">
        <v>1036</v>
      </c>
      <c r="B91" s="17" t="s">
        <v>1037</v>
      </c>
      <c r="C91" s="17" t="s">
        <v>842</v>
      </c>
      <c r="D91" s="17" t="str">
        <f t="shared" si="21"/>
        <v>A</v>
      </c>
      <c r="E91" s="17" t="b">
        <f t="shared" si="22"/>
        <v>0</v>
      </c>
      <c r="F91" s="17" t="b">
        <f t="shared" si="23"/>
        <v>1</v>
      </c>
      <c r="G91" s="317" t="s">
        <v>1942</v>
      </c>
      <c r="H91" s="324" t="s">
        <v>2287</v>
      </c>
      <c r="I91" s="315" t="s">
        <v>1037</v>
      </c>
      <c r="J91" s="147" t="s">
        <v>842</v>
      </c>
      <c r="K91" s="31"/>
      <c r="L91" s="32" t="s">
        <v>354</v>
      </c>
      <c r="M91" s="90" t="s">
        <v>31</v>
      </c>
      <c r="N91" s="111" t="s">
        <v>2471</v>
      </c>
      <c r="O91" s="330" t="s">
        <v>2474</v>
      </c>
      <c r="P91" s="113"/>
      <c r="Q91" s="112"/>
      <c r="R91" s="31"/>
      <c r="S91" s="32"/>
      <c r="T91" s="90"/>
      <c r="U91" s="88" t="str">
        <f t="shared" si="17"/>
        <v>NA</v>
      </c>
      <c r="V91" s="88" t="str">
        <f t="shared" si="18"/>
        <v>YES</v>
      </c>
      <c r="W91" s="111"/>
      <c r="X91" s="112"/>
      <c r="Y91" s="113"/>
      <c r="Z91" s="112"/>
      <c r="AA91" s="31"/>
      <c r="AB91" s="302"/>
      <c r="AC91" s="89"/>
      <c r="AD91" s="88" t="str">
        <f t="shared" si="24"/>
        <v>NA</v>
      </c>
      <c r="AE91" s="88" t="str">
        <f t="shared" si="25"/>
        <v>NA</v>
      </c>
      <c r="AF91" s="111"/>
      <c r="AG91" s="112"/>
      <c r="AH91" s="113"/>
      <c r="AI91" s="112"/>
      <c r="AJ91" s="31"/>
      <c r="AK91" s="294"/>
      <c r="AL91" s="89"/>
      <c r="AM91" s="88" t="str">
        <f t="shared" si="19"/>
        <v>NA</v>
      </c>
      <c r="AN91" s="88" t="str">
        <f t="shared" si="20"/>
        <v>NA</v>
      </c>
      <c r="AO91" s="111"/>
      <c r="AP91" s="112"/>
      <c r="AQ91" s="113"/>
      <c r="AR91" s="112"/>
      <c r="AS91" s="31"/>
      <c r="AT91" s="32"/>
      <c r="AU91" s="90"/>
      <c r="AV91" s="88"/>
      <c r="AW91" s="88"/>
      <c r="AX91" s="111"/>
      <c r="AY91" s="112"/>
      <c r="AZ91" s="113"/>
      <c r="BA91" s="112"/>
      <c r="BB91" s="31"/>
      <c r="BC91" s="32"/>
      <c r="BD91" s="90"/>
      <c r="BE91" s="88"/>
      <c r="BF91" s="88"/>
      <c r="BG91" s="111"/>
      <c r="BH91" s="112"/>
      <c r="BI91" s="113"/>
      <c r="BJ91" s="112"/>
      <c r="BK91" s="31"/>
      <c r="BL91" s="32"/>
      <c r="BM91" s="90"/>
      <c r="BN91" s="88"/>
      <c r="BO91" s="88"/>
      <c r="BP91" s="111"/>
      <c r="BQ91" s="112"/>
      <c r="BR91" s="113"/>
      <c r="BS91" s="112"/>
      <c r="BT91" s="31"/>
      <c r="BU91" s="32"/>
      <c r="BV91" s="90"/>
      <c r="BW91" s="88"/>
      <c r="BX91" s="88"/>
      <c r="BY91" s="111"/>
      <c r="BZ91" s="112"/>
      <c r="CA91" s="113"/>
      <c r="CB91" s="112"/>
      <c r="CC91" s="31"/>
      <c r="CD91" s="32"/>
      <c r="CE91" s="90"/>
      <c r="CF91" s="88"/>
      <c r="CG91" s="88"/>
      <c r="CH91" s="111"/>
      <c r="CI91" s="112"/>
      <c r="CJ91" s="113"/>
      <c r="CK91" s="112"/>
      <c r="CL91" s="31"/>
      <c r="CM91" s="32"/>
      <c r="CN91" s="90"/>
      <c r="CO91" s="88"/>
      <c r="CP91" s="88"/>
      <c r="CQ91" s="111"/>
      <c r="CR91" s="112"/>
      <c r="CS91" s="113"/>
      <c r="CT91" s="112"/>
      <c r="CU91" s="55"/>
      <c r="CW91" s="230" t="s">
        <v>842</v>
      </c>
      <c r="CZ91" s="226" t="s">
        <v>541</v>
      </c>
    </row>
    <row r="92" spans="1:104" ht="187.5" x14ac:dyDescent="0.25">
      <c r="A92" s="17" t="s">
        <v>2374</v>
      </c>
      <c r="B92" s="17" t="s">
        <v>1038</v>
      </c>
      <c r="C92" s="17" t="s">
        <v>980</v>
      </c>
      <c r="D92" s="17" t="str">
        <f t="shared" si="21"/>
        <v>C</v>
      </c>
      <c r="E92" s="17" t="b">
        <f t="shared" si="22"/>
        <v>0</v>
      </c>
      <c r="F92" s="17" t="b">
        <f t="shared" si="23"/>
        <v>0</v>
      </c>
      <c r="G92" s="317" t="s">
        <v>1943</v>
      </c>
      <c r="H92" s="324" t="s">
        <v>2288</v>
      </c>
      <c r="I92" s="315" t="s">
        <v>1038</v>
      </c>
      <c r="J92" s="312" t="s">
        <v>2433</v>
      </c>
      <c r="K92" s="31"/>
      <c r="L92" s="32" t="s">
        <v>583</v>
      </c>
      <c r="M92" s="166" t="s">
        <v>31</v>
      </c>
      <c r="N92" s="111" t="s">
        <v>2470</v>
      </c>
      <c r="O92" s="112"/>
      <c r="P92" s="113"/>
      <c r="Q92" s="112"/>
      <c r="R92" s="31"/>
      <c r="S92" s="32"/>
      <c r="T92" s="166"/>
      <c r="U92" s="88" t="str">
        <f t="shared" si="17"/>
        <v>NA</v>
      </c>
      <c r="V92" s="88" t="str">
        <f t="shared" si="18"/>
        <v>YES</v>
      </c>
      <c r="W92" s="111"/>
      <c r="X92" s="112"/>
      <c r="Y92" s="113"/>
      <c r="Z92" s="112"/>
      <c r="AA92" s="31"/>
      <c r="AB92" s="302"/>
      <c r="AC92" s="89"/>
      <c r="AD92" s="88" t="str">
        <f t="shared" si="24"/>
        <v>NA</v>
      </c>
      <c r="AE92" s="88" t="str">
        <f t="shared" si="25"/>
        <v>NA</v>
      </c>
      <c r="AF92" s="111"/>
      <c r="AG92" s="112"/>
      <c r="AH92" s="113"/>
      <c r="AI92" s="112"/>
      <c r="AJ92" s="31"/>
      <c r="AK92" s="294"/>
      <c r="AL92" s="303"/>
      <c r="AM92" s="88" t="str">
        <f t="shared" si="19"/>
        <v>NA</v>
      </c>
      <c r="AN92" s="88" t="str">
        <f t="shared" si="20"/>
        <v>NA</v>
      </c>
      <c r="AO92" s="111"/>
      <c r="AP92" s="112"/>
      <c r="AQ92" s="113"/>
      <c r="AR92" s="112"/>
      <c r="AS92" s="31"/>
      <c r="AT92" s="32"/>
      <c r="AU92" s="90"/>
      <c r="AV92" s="88"/>
      <c r="AW92" s="88"/>
      <c r="AX92" s="111"/>
      <c r="AY92" s="112"/>
      <c r="AZ92" s="113"/>
      <c r="BA92" s="112"/>
      <c r="BB92" s="31"/>
      <c r="BC92" s="32"/>
      <c r="BD92" s="90"/>
      <c r="BE92" s="88"/>
      <c r="BF92" s="88"/>
      <c r="BG92" s="111"/>
      <c r="BH92" s="112"/>
      <c r="BI92" s="113"/>
      <c r="BJ92" s="112"/>
      <c r="BK92" s="31"/>
      <c r="BL92" s="32"/>
      <c r="BM92" s="90"/>
      <c r="BN92" s="88"/>
      <c r="BO92" s="88"/>
      <c r="BP92" s="111"/>
      <c r="BQ92" s="112"/>
      <c r="BR92" s="113"/>
      <c r="BS92" s="112"/>
      <c r="BT92" s="31"/>
      <c r="BU92" s="32"/>
      <c r="BV92" s="90"/>
      <c r="BW92" s="88"/>
      <c r="BX92" s="88"/>
      <c r="BY92" s="111"/>
      <c r="BZ92" s="112"/>
      <c r="CA92" s="113"/>
      <c r="CB92" s="112"/>
      <c r="CC92" s="31"/>
      <c r="CD92" s="32"/>
      <c r="CE92" s="90"/>
      <c r="CF92" s="88"/>
      <c r="CG92" s="88"/>
      <c r="CH92" s="111"/>
      <c r="CI92" s="112"/>
      <c r="CJ92" s="113"/>
      <c r="CK92" s="112"/>
      <c r="CL92" s="31"/>
      <c r="CM92" s="32"/>
      <c r="CN92" s="90"/>
      <c r="CO92" s="88"/>
      <c r="CP92" s="88"/>
      <c r="CQ92" s="111"/>
      <c r="CR92" s="112"/>
      <c r="CS92" s="113"/>
      <c r="CT92" s="112"/>
      <c r="CU92" s="55"/>
      <c r="CW92" s="230" t="s">
        <v>980</v>
      </c>
      <c r="CZ92" s="226" t="s">
        <v>541</v>
      </c>
    </row>
    <row r="93" spans="1:104" ht="50" x14ac:dyDescent="0.25">
      <c r="A93" s="17" t="s">
        <v>1039</v>
      </c>
      <c r="B93" s="17" t="s">
        <v>1040</v>
      </c>
      <c r="C93" s="17" t="s">
        <v>1698</v>
      </c>
      <c r="D93" s="17" t="str">
        <f t="shared" si="21"/>
        <v>B</v>
      </c>
      <c r="E93" s="17" t="b">
        <f t="shared" si="22"/>
        <v>0</v>
      </c>
      <c r="F93" s="17" t="b">
        <f t="shared" si="23"/>
        <v>1</v>
      </c>
      <c r="G93" s="317" t="s">
        <v>1944</v>
      </c>
      <c r="H93" s="324" t="s">
        <v>2289</v>
      </c>
      <c r="I93" s="315" t="s">
        <v>1945</v>
      </c>
      <c r="J93" s="147" t="s">
        <v>1698</v>
      </c>
      <c r="K93" s="31"/>
      <c r="L93" s="32" t="s">
        <v>354</v>
      </c>
      <c r="M93" s="90" t="s">
        <v>31</v>
      </c>
      <c r="N93" s="111" t="s">
        <v>2470</v>
      </c>
      <c r="O93" s="112"/>
      <c r="P93" s="113"/>
      <c r="Q93" s="112"/>
      <c r="R93" s="31"/>
      <c r="S93" s="32"/>
      <c r="T93" s="90"/>
      <c r="U93" s="88" t="str">
        <f t="shared" si="17"/>
        <v>NA</v>
      </c>
      <c r="V93" s="88" t="str">
        <f t="shared" si="18"/>
        <v>YES</v>
      </c>
      <c r="W93" s="111"/>
      <c r="X93" s="112"/>
      <c r="Y93" s="113"/>
      <c r="Z93" s="112"/>
      <c r="AA93" s="31"/>
      <c r="AB93" s="302"/>
      <c r="AC93" s="89"/>
      <c r="AD93" s="88" t="str">
        <f t="shared" si="24"/>
        <v>NA</v>
      </c>
      <c r="AE93" s="88" t="str">
        <f t="shared" si="25"/>
        <v>NA</v>
      </c>
      <c r="AF93" s="111"/>
      <c r="AG93" s="112"/>
      <c r="AH93" s="113"/>
      <c r="AI93" s="112"/>
      <c r="AJ93" s="31"/>
      <c r="AK93" s="294"/>
      <c r="AL93" s="89"/>
      <c r="AM93" s="88" t="str">
        <f t="shared" si="19"/>
        <v>NA</v>
      </c>
      <c r="AN93" s="88" t="str">
        <f t="shared" si="20"/>
        <v>NA</v>
      </c>
      <c r="AO93" s="111"/>
      <c r="AP93" s="112"/>
      <c r="AQ93" s="113"/>
      <c r="AR93" s="112"/>
      <c r="AS93" s="31"/>
      <c r="AT93" s="32"/>
      <c r="AU93" s="90"/>
      <c r="AV93" s="88"/>
      <c r="AW93" s="88"/>
      <c r="AX93" s="111"/>
      <c r="AY93" s="112"/>
      <c r="AZ93" s="113"/>
      <c r="BA93" s="112"/>
      <c r="BB93" s="31"/>
      <c r="BC93" s="32"/>
      <c r="BD93" s="90"/>
      <c r="BE93" s="88"/>
      <c r="BF93" s="88"/>
      <c r="BG93" s="111"/>
      <c r="BH93" s="112"/>
      <c r="BI93" s="113"/>
      <c r="BJ93" s="112"/>
      <c r="BK93" s="31"/>
      <c r="BL93" s="32"/>
      <c r="BM93" s="90"/>
      <c r="BN93" s="88"/>
      <c r="BO93" s="88"/>
      <c r="BP93" s="111"/>
      <c r="BQ93" s="112"/>
      <c r="BR93" s="113"/>
      <c r="BS93" s="112"/>
      <c r="BT93" s="31"/>
      <c r="BU93" s="32"/>
      <c r="BV93" s="90"/>
      <c r="BW93" s="88"/>
      <c r="BX93" s="88"/>
      <c r="BY93" s="111"/>
      <c r="BZ93" s="112"/>
      <c r="CA93" s="113"/>
      <c r="CB93" s="112"/>
      <c r="CC93" s="31"/>
      <c r="CD93" s="32"/>
      <c r="CE93" s="90"/>
      <c r="CF93" s="88"/>
      <c r="CG93" s="88"/>
      <c r="CH93" s="111"/>
      <c r="CI93" s="112"/>
      <c r="CJ93" s="113"/>
      <c r="CK93" s="112"/>
      <c r="CL93" s="31"/>
      <c r="CM93" s="32"/>
      <c r="CN93" s="90"/>
      <c r="CO93" s="88"/>
      <c r="CP93" s="88"/>
      <c r="CQ93" s="111"/>
      <c r="CR93" s="112"/>
      <c r="CS93" s="113"/>
      <c r="CT93" s="112"/>
      <c r="CU93" s="55"/>
      <c r="CW93" s="230" t="s">
        <v>843</v>
      </c>
      <c r="CZ93" s="226" t="s">
        <v>1589</v>
      </c>
    </row>
    <row r="94" spans="1:104" ht="125.5" x14ac:dyDescent="0.25">
      <c r="A94" s="17" t="s">
        <v>1041</v>
      </c>
      <c r="B94" s="17" t="s">
        <v>1042</v>
      </c>
      <c r="C94" s="17" t="s">
        <v>1699</v>
      </c>
      <c r="D94" s="17" t="str">
        <f t="shared" si="21"/>
        <v>B</v>
      </c>
      <c r="E94" s="17" t="b">
        <f t="shared" si="22"/>
        <v>0</v>
      </c>
      <c r="F94" s="17" t="b">
        <f t="shared" si="23"/>
        <v>1</v>
      </c>
      <c r="G94" s="317" t="s">
        <v>1946</v>
      </c>
      <c r="H94" s="324" t="s">
        <v>2290</v>
      </c>
      <c r="I94" s="315" t="s">
        <v>1947</v>
      </c>
      <c r="J94" s="147" t="s">
        <v>1699</v>
      </c>
      <c r="K94" s="31"/>
      <c r="L94" s="32" t="s">
        <v>354</v>
      </c>
      <c r="M94" s="90" t="s">
        <v>31</v>
      </c>
      <c r="N94" s="111" t="s">
        <v>2471</v>
      </c>
      <c r="O94" s="330" t="s">
        <v>2475</v>
      </c>
      <c r="P94" s="113"/>
      <c r="Q94" s="112"/>
      <c r="R94" s="31"/>
      <c r="S94" s="32"/>
      <c r="T94" s="90"/>
      <c r="U94" s="88" t="str">
        <f t="shared" si="17"/>
        <v>NA</v>
      </c>
      <c r="V94" s="88" t="str">
        <f t="shared" si="18"/>
        <v>YES</v>
      </c>
      <c r="W94" s="111"/>
      <c r="X94" s="112"/>
      <c r="Y94" s="113"/>
      <c r="Z94" s="112"/>
      <c r="AA94" s="31"/>
      <c r="AB94" s="302"/>
      <c r="AC94" s="89"/>
      <c r="AD94" s="88" t="str">
        <f t="shared" si="24"/>
        <v>NA</v>
      </c>
      <c r="AE94" s="88" t="str">
        <f t="shared" si="25"/>
        <v>NA</v>
      </c>
      <c r="AF94" s="111"/>
      <c r="AG94" s="112"/>
      <c r="AH94" s="113"/>
      <c r="AI94" s="112"/>
      <c r="AJ94" s="31"/>
      <c r="AK94" s="294"/>
      <c r="AL94" s="89"/>
      <c r="AM94" s="88" t="str">
        <f t="shared" si="19"/>
        <v>NA</v>
      </c>
      <c r="AN94" s="88" t="str">
        <f t="shared" si="20"/>
        <v>NA</v>
      </c>
      <c r="AO94" s="111"/>
      <c r="AP94" s="112"/>
      <c r="AQ94" s="113"/>
      <c r="AR94" s="112"/>
      <c r="AS94" s="31"/>
      <c r="AT94" s="32"/>
      <c r="AU94" s="90"/>
      <c r="AV94" s="88"/>
      <c r="AW94" s="88"/>
      <c r="AX94" s="111"/>
      <c r="AY94" s="112"/>
      <c r="AZ94" s="113"/>
      <c r="BA94" s="112"/>
      <c r="BB94" s="31"/>
      <c r="BC94" s="32"/>
      <c r="BD94" s="90"/>
      <c r="BE94" s="88"/>
      <c r="BF94" s="88"/>
      <c r="BG94" s="111"/>
      <c r="BH94" s="112"/>
      <c r="BI94" s="113"/>
      <c r="BJ94" s="112"/>
      <c r="BK94" s="31"/>
      <c r="BL94" s="32"/>
      <c r="BM94" s="90"/>
      <c r="BN94" s="88"/>
      <c r="BO94" s="88"/>
      <c r="BP94" s="111"/>
      <c r="BQ94" s="112"/>
      <c r="BR94" s="113"/>
      <c r="BS94" s="112"/>
      <c r="BT94" s="31"/>
      <c r="BU94" s="32"/>
      <c r="BV94" s="90"/>
      <c r="BW94" s="88"/>
      <c r="BX94" s="88"/>
      <c r="BY94" s="111"/>
      <c r="BZ94" s="112"/>
      <c r="CA94" s="113"/>
      <c r="CB94" s="112"/>
      <c r="CC94" s="31"/>
      <c r="CD94" s="32"/>
      <c r="CE94" s="90"/>
      <c r="CF94" s="88"/>
      <c r="CG94" s="88"/>
      <c r="CH94" s="111"/>
      <c r="CI94" s="112"/>
      <c r="CJ94" s="113"/>
      <c r="CK94" s="112"/>
      <c r="CL94" s="31"/>
      <c r="CM94" s="32"/>
      <c r="CN94" s="90"/>
      <c r="CO94" s="88"/>
      <c r="CP94" s="88"/>
      <c r="CQ94" s="111"/>
      <c r="CR94" s="112"/>
      <c r="CS94" s="113"/>
      <c r="CT94" s="112"/>
      <c r="CU94" s="55"/>
      <c r="CW94" s="230" t="s">
        <v>844</v>
      </c>
      <c r="CZ94" s="226" t="s">
        <v>1589</v>
      </c>
    </row>
    <row r="95" spans="1:104" ht="62.5" x14ac:dyDescent="0.25">
      <c r="A95" s="17" t="s">
        <v>1043</v>
      </c>
      <c r="B95" s="17" t="s">
        <v>1044</v>
      </c>
      <c r="C95" s="17" t="s">
        <v>845</v>
      </c>
      <c r="D95" s="17" t="str">
        <f t="shared" si="21"/>
        <v>A</v>
      </c>
      <c r="E95" s="17" t="b">
        <f t="shared" si="22"/>
        <v>0</v>
      </c>
      <c r="F95" s="17" t="b">
        <f t="shared" si="23"/>
        <v>1</v>
      </c>
      <c r="G95" s="317" t="s">
        <v>1948</v>
      </c>
      <c r="H95" s="324" t="s">
        <v>2291</v>
      </c>
      <c r="I95" s="315" t="s">
        <v>1044</v>
      </c>
      <c r="J95" s="147" t="s">
        <v>845</v>
      </c>
      <c r="K95" s="31"/>
      <c r="L95" s="32" t="s">
        <v>354</v>
      </c>
      <c r="M95" s="90" t="s">
        <v>31</v>
      </c>
      <c r="N95" s="111" t="s">
        <v>2471</v>
      </c>
      <c r="O95" s="330" t="s">
        <v>2476</v>
      </c>
      <c r="P95" s="113"/>
      <c r="Q95" s="112"/>
      <c r="R95" s="31"/>
      <c r="S95" s="32"/>
      <c r="T95" s="90"/>
      <c r="U95" s="88" t="str">
        <f t="shared" si="17"/>
        <v>NA</v>
      </c>
      <c r="V95" s="88" t="str">
        <f t="shared" si="18"/>
        <v>YES</v>
      </c>
      <c r="W95" s="111"/>
      <c r="X95" s="112"/>
      <c r="Y95" s="113"/>
      <c r="Z95" s="112"/>
      <c r="AA95" s="31"/>
      <c r="AB95" s="302"/>
      <c r="AC95" s="89"/>
      <c r="AD95" s="88" t="str">
        <f t="shared" si="24"/>
        <v>NA</v>
      </c>
      <c r="AE95" s="88" t="str">
        <f t="shared" si="25"/>
        <v>NA</v>
      </c>
      <c r="AF95" s="111"/>
      <c r="AG95" s="112"/>
      <c r="AH95" s="113"/>
      <c r="AI95" s="112"/>
      <c r="AJ95" s="31"/>
      <c r="AK95" s="294"/>
      <c r="AL95" s="89"/>
      <c r="AM95" s="88" t="str">
        <f t="shared" si="19"/>
        <v>NA</v>
      </c>
      <c r="AN95" s="88" t="str">
        <f t="shared" si="20"/>
        <v>NA</v>
      </c>
      <c r="AO95" s="111"/>
      <c r="AP95" s="112"/>
      <c r="AQ95" s="113"/>
      <c r="AR95" s="112"/>
      <c r="AS95" s="31"/>
      <c r="AT95" s="32"/>
      <c r="AU95" s="90"/>
      <c r="AV95" s="88"/>
      <c r="AW95" s="88"/>
      <c r="AX95" s="111"/>
      <c r="AY95" s="112"/>
      <c r="AZ95" s="113"/>
      <c r="BA95" s="112"/>
      <c r="BB95" s="31"/>
      <c r="BC95" s="32"/>
      <c r="BD95" s="90"/>
      <c r="BE95" s="88"/>
      <c r="BF95" s="88"/>
      <c r="BG95" s="111"/>
      <c r="BH95" s="112"/>
      <c r="BI95" s="113"/>
      <c r="BJ95" s="112"/>
      <c r="BK95" s="31"/>
      <c r="BL95" s="32"/>
      <c r="BM95" s="90"/>
      <c r="BN95" s="88"/>
      <c r="BO95" s="88"/>
      <c r="BP95" s="111"/>
      <c r="BQ95" s="112"/>
      <c r="BR95" s="113"/>
      <c r="BS95" s="112"/>
      <c r="BT95" s="31"/>
      <c r="BU95" s="32"/>
      <c r="BV95" s="90"/>
      <c r="BW95" s="88"/>
      <c r="BX95" s="88"/>
      <c r="BY95" s="111"/>
      <c r="BZ95" s="112"/>
      <c r="CA95" s="113"/>
      <c r="CB95" s="112"/>
      <c r="CC95" s="31"/>
      <c r="CD95" s="32"/>
      <c r="CE95" s="90"/>
      <c r="CF95" s="88"/>
      <c r="CG95" s="88"/>
      <c r="CH95" s="111"/>
      <c r="CI95" s="112"/>
      <c r="CJ95" s="113"/>
      <c r="CK95" s="112"/>
      <c r="CL95" s="31"/>
      <c r="CM95" s="32"/>
      <c r="CN95" s="90"/>
      <c r="CO95" s="88"/>
      <c r="CP95" s="88"/>
      <c r="CQ95" s="111"/>
      <c r="CR95" s="112"/>
      <c r="CS95" s="113"/>
      <c r="CT95" s="112"/>
      <c r="CU95" s="55"/>
      <c r="CW95" s="230" t="s">
        <v>845</v>
      </c>
      <c r="CZ95" s="226" t="s">
        <v>1589</v>
      </c>
    </row>
    <row r="96" spans="1:104" ht="26" x14ac:dyDescent="0.25">
      <c r="A96" s="17" t="s">
        <v>1045</v>
      </c>
      <c r="B96" s="17" t="s">
        <v>1046</v>
      </c>
      <c r="C96" s="17" t="s">
        <v>846</v>
      </c>
      <c r="D96" s="17" t="str">
        <f t="shared" si="21"/>
        <v>A</v>
      </c>
      <c r="E96" s="17" t="b">
        <f t="shared" si="22"/>
        <v>0</v>
      </c>
      <c r="F96" s="17" t="b">
        <f t="shared" si="23"/>
        <v>1</v>
      </c>
      <c r="G96" s="317" t="s">
        <v>1949</v>
      </c>
      <c r="H96" s="324" t="s">
        <v>2292</v>
      </c>
      <c r="I96" s="315" t="s">
        <v>1046</v>
      </c>
      <c r="J96" s="147" t="s">
        <v>846</v>
      </c>
      <c r="K96" s="31"/>
      <c r="L96" s="32" t="s">
        <v>354</v>
      </c>
      <c r="M96" s="90" t="s">
        <v>31</v>
      </c>
      <c r="N96" s="111" t="s">
        <v>2470</v>
      </c>
      <c r="O96" s="112"/>
      <c r="P96" s="113"/>
      <c r="Q96" s="112"/>
      <c r="R96" s="31"/>
      <c r="S96" s="32"/>
      <c r="T96" s="90"/>
      <c r="U96" s="88" t="str">
        <f t="shared" si="17"/>
        <v>NA</v>
      </c>
      <c r="V96" s="88" t="str">
        <f t="shared" si="18"/>
        <v>YES</v>
      </c>
      <c r="W96" s="111"/>
      <c r="X96" s="112"/>
      <c r="Y96" s="113"/>
      <c r="Z96" s="112"/>
      <c r="AA96" s="31"/>
      <c r="AB96" s="302"/>
      <c r="AC96" s="89"/>
      <c r="AD96" s="88" t="str">
        <f t="shared" si="24"/>
        <v>NA</v>
      </c>
      <c r="AE96" s="88" t="str">
        <f t="shared" si="25"/>
        <v>NA</v>
      </c>
      <c r="AF96" s="111"/>
      <c r="AG96" s="112"/>
      <c r="AH96" s="113"/>
      <c r="AI96" s="112"/>
      <c r="AJ96" s="31"/>
      <c r="AK96" s="294"/>
      <c r="AL96" s="89"/>
      <c r="AM96" s="88" t="str">
        <f t="shared" si="19"/>
        <v>NA</v>
      </c>
      <c r="AN96" s="88" t="str">
        <f t="shared" si="20"/>
        <v>NA</v>
      </c>
      <c r="AO96" s="111"/>
      <c r="AP96" s="112"/>
      <c r="AQ96" s="113"/>
      <c r="AR96" s="112"/>
      <c r="AS96" s="31"/>
      <c r="AT96" s="32"/>
      <c r="AU96" s="90"/>
      <c r="AV96" s="88"/>
      <c r="AW96" s="88"/>
      <c r="AX96" s="111"/>
      <c r="AY96" s="112"/>
      <c r="AZ96" s="113"/>
      <c r="BA96" s="112"/>
      <c r="BB96" s="31"/>
      <c r="BC96" s="32"/>
      <c r="BD96" s="90"/>
      <c r="BE96" s="88"/>
      <c r="BF96" s="88"/>
      <c r="BG96" s="111"/>
      <c r="BH96" s="112"/>
      <c r="BI96" s="113"/>
      <c r="BJ96" s="112"/>
      <c r="BK96" s="31"/>
      <c r="BL96" s="32"/>
      <c r="BM96" s="90"/>
      <c r="BN96" s="88"/>
      <c r="BO96" s="88"/>
      <c r="BP96" s="111"/>
      <c r="BQ96" s="112"/>
      <c r="BR96" s="113"/>
      <c r="BS96" s="112"/>
      <c r="BT96" s="31"/>
      <c r="BU96" s="32"/>
      <c r="BV96" s="90"/>
      <c r="BW96" s="88"/>
      <c r="BX96" s="88"/>
      <c r="BY96" s="111"/>
      <c r="BZ96" s="112"/>
      <c r="CA96" s="113"/>
      <c r="CB96" s="112"/>
      <c r="CC96" s="31"/>
      <c r="CD96" s="32"/>
      <c r="CE96" s="90"/>
      <c r="CF96" s="88"/>
      <c r="CG96" s="88"/>
      <c r="CH96" s="111"/>
      <c r="CI96" s="112"/>
      <c r="CJ96" s="113"/>
      <c r="CK96" s="112"/>
      <c r="CL96" s="31"/>
      <c r="CM96" s="32"/>
      <c r="CN96" s="90"/>
      <c r="CO96" s="88"/>
      <c r="CP96" s="88"/>
      <c r="CQ96" s="111"/>
      <c r="CR96" s="112"/>
      <c r="CS96" s="113"/>
      <c r="CT96" s="112"/>
      <c r="CU96" s="55"/>
      <c r="CW96" s="230" t="s">
        <v>846</v>
      </c>
      <c r="CZ96" s="226" t="s">
        <v>1589</v>
      </c>
    </row>
    <row r="97" spans="1:104" ht="113" x14ac:dyDescent="0.25">
      <c r="A97" s="17" t="s">
        <v>1047</v>
      </c>
      <c r="B97" s="17" t="s">
        <v>1048</v>
      </c>
      <c r="C97" s="17" t="s">
        <v>847</v>
      </c>
      <c r="D97" s="17" t="str">
        <f t="shared" si="21"/>
        <v>A</v>
      </c>
      <c r="E97" s="17" t="b">
        <f t="shared" si="22"/>
        <v>0</v>
      </c>
      <c r="F97" s="17" t="b">
        <f t="shared" si="23"/>
        <v>1</v>
      </c>
      <c r="G97" s="317" t="s">
        <v>1950</v>
      </c>
      <c r="H97" s="324" t="s">
        <v>2293</v>
      </c>
      <c r="I97" s="315" t="s">
        <v>1048</v>
      </c>
      <c r="J97" s="147" t="s">
        <v>847</v>
      </c>
      <c r="K97" s="31"/>
      <c r="L97" s="32" t="s">
        <v>354</v>
      </c>
      <c r="M97" s="90" t="s">
        <v>31</v>
      </c>
      <c r="N97" s="111" t="s">
        <v>2471</v>
      </c>
      <c r="O97" s="330" t="s">
        <v>2477</v>
      </c>
      <c r="P97" s="113"/>
      <c r="Q97" s="112"/>
      <c r="R97" s="31"/>
      <c r="S97" s="32"/>
      <c r="T97" s="90"/>
      <c r="U97" s="88" t="str">
        <f t="shared" si="17"/>
        <v>NA</v>
      </c>
      <c r="V97" s="88" t="str">
        <f t="shared" si="18"/>
        <v>YES</v>
      </c>
      <c r="W97" s="111"/>
      <c r="X97" s="112"/>
      <c r="Y97" s="113"/>
      <c r="Z97" s="112"/>
      <c r="AA97" s="31"/>
      <c r="AB97" s="302"/>
      <c r="AC97" s="89"/>
      <c r="AD97" s="88" t="str">
        <f t="shared" si="24"/>
        <v>NA</v>
      </c>
      <c r="AE97" s="88" t="str">
        <f t="shared" si="25"/>
        <v>NA</v>
      </c>
      <c r="AF97" s="111"/>
      <c r="AG97" s="112"/>
      <c r="AH97" s="113"/>
      <c r="AI97" s="112"/>
      <c r="AJ97" s="31"/>
      <c r="AK97" s="294"/>
      <c r="AL97" s="89"/>
      <c r="AM97" s="88" t="str">
        <f t="shared" si="19"/>
        <v>NA</v>
      </c>
      <c r="AN97" s="88" t="str">
        <f t="shared" si="20"/>
        <v>NA</v>
      </c>
      <c r="AO97" s="111"/>
      <c r="AP97" s="112"/>
      <c r="AQ97" s="113"/>
      <c r="AR97" s="112"/>
      <c r="AS97" s="31"/>
      <c r="AT97" s="32"/>
      <c r="AU97" s="90"/>
      <c r="AV97" s="88"/>
      <c r="AW97" s="88"/>
      <c r="AX97" s="111"/>
      <c r="AY97" s="112"/>
      <c r="AZ97" s="113"/>
      <c r="BA97" s="112"/>
      <c r="BB97" s="31"/>
      <c r="BC97" s="32"/>
      <c r="BD97" s="90"/>
      <c r="BE97" s="88"/>
      <c r="BF97" s="88"/>
      <c r="BG97" s="111"/>
      <c r="BH97" s="112"/>
      <c r="BI97" s="113"/>
      <c r="BJ97" s="112"/>
      <c r="BK97" s="31"/>
      <c r="BL97" s="32"/>
      <c r="BM97" s="90"/>
      <c r="BN97" s="88"/>
      <c r="BO97" s="88"/>
      <c r="BP97" s="111"/>
      <c r="BQ97" s="112"/>
      <c r="BR97" s="113"/>
      <c r="BS97" s="112"/>
      <c r="BT97" s="31"/>
      <c r="BU97" s="32"/>
      <c r="BV97" s="90"/>
      <c r="BW97" s="88"/>
      <c r="BX97" s="88"/>
      <c r="BY97" s="111"/>
      <c r="BZ97" s="112"/>
      <c r="CA97" s="113"/>
      <c r="CB97" s="112"/>
      <c r="CC97" s="31"/>
      <c r="CD97" s="32"/>
      <c r="CE97" s="90"/>
      <c r="CF97" s="88"/>
      <c r="CG97" s="88"/>
      <c r="CH97" s="111"/>
      <c r="CI97" s="112"/>
      <c r="CJ97" s="113"/>
      <c r="CK97" s="112"/>
      <c r="CL97" s="31"/>
      <c r="CM97" s="32"/>
      <c r="CN97" s="90"/>
      <c r="CO97" s="88"/>
      <c r="CP97" s="88"/>
      <c r="CQ97" s="111"/>
      <c r="CR97" s="112"/>
      <c r="CS97" s="113"/>
      <c r="CT97" s="112"/>
      <c r="CU97" s="55"/>
      <c r="CW97" s="230" t="s">
        <v>847</v>
      </c>
      <c r="CZ97" s="226" t="s">
        <v>1589</v>
      </c>
    </row>
    <row r="98" spans="1:104" ht="65" x14ac:dyDescent="0.25">
      <c r="A98" s="17" t="s">
        <v>1049</v>
      </c>
      <c r="B98" s="17" t="s">
        <v>1050</v>
      </c>
      <c r="C98" s="17" t="s">
        <v>1700</v>
      </c>
      <c r="D98" s="17" t="str">
        <f t="shared" si="21"/>
        <v>B</v>
      </c>
      <c r="E98" s="17" t="b">
        <f t="shared" si="22"/>
        <v>0</v>
      </c>
      <c r="F98" s="17" t="b">
        <f t="shared" si="23"/>
        <v>1</v>
      </c>
      <c r="G98" s="317" t="s">
        <v>1951</v>
      </c>
      <c r="H98" s="324" t="s">
        <v>2294</v>
      </c>
      <c r="I98" s="315" t="s">
        <v>1952</v>
      </c>
      <c r="J98" s="147" t="s">
        <v>1700</v>
      </c>
      <c r="K98" s="31"/>
      <c r="L98" s="32" t="s">
        <v>354</v>
      </c>
      <c r="M98" s="90" t="s">
        <v>31</v>
      </c>
      <c r="N98" s="111" t="s">
        <v>2470</v>
      </c>
      <c r="O98" s="112"/>
      <c r="P98" s="113"/>
      <c r="Q98" s="112"/>
      <c r="R98" s="31"/>
      <c r="S98" s="32"/>
      <c r="T98" s="90"/>
      <c r="U98" s="88" t="str">
        <f t="shared" si="17"/>
        <v>NA</v>
      </c>
      <c r="V98" s="88" t="str">
        <f t="shared" si="18"/>
        <v>YES</v>
      </c>
      <c r="W98" s="111"/>
      <c r="X98" s="112"/>
      <c r="Y98" s="113"/>
      <c r="Z98" s="112"/>
      <c r="AA98" s="31"/>
      <c r="AB98" s="302"/>
      <c r="AC98" s="89"/>
      <c r="AD98" s="88" t="str">
        <f t="shared" si="24"/>
        <v>NA</v>
      </c>
      <c r="AE98" s="88" t="str">
        <f t="shared" si="25"/>
        <v>NA</v>
      </c>
      <c r="AF98" s="111"/>
      <c r="AG98" s="112"/>
      <c r="AH98" s="113"/>
      <c r="AI98" s="112"/>
      <c r="AJ98" s="31"/>
      <c r="AK98" s="294"/>
      <c r="AL98" s="89"/>
      <c r="AM98" s="88" t="str">
        <f t="shared" si="19"/>
        <v>NA</v>
      </c>
      <c r="AN98" s="88" t="str">
        <f t="shared" si="20"/>
        <v>NA</v>
      </c>
      <c r="AO98" s="111"/>
      <c r="AP98" s="112"/>
      <c r="AQ98" s="113"/>
      <c r="AR98" s="112"/>
      <c r="AS98" s="31"/>
      <c r="AT98" s="32"/>
      <c r="AU98" s="90"/>
      <c r="AV98" s="88"/>
      <c r="AW98" s="88"/>
      <c r="AX98" s="111"/>
      <c r="AY98" s="112"/>
      <c r="AZ98" s="113"/>
      <c r="BA98" s="112"/>
      <c r="BB98" s="31"/>
      <c r="BC98" s="32"/>
      <c r="BD98" s="90"/>
      <c r="BE98" s="88"/>
      <c r="BF98" s="88"/>
      <c r="BG98" s="111"/>
      <c r="BH98" s="112"/>
      <c r="BI98" s="113"/>
      <c r="BJ98" s="112"/>
      <c r="BK98" s="31"/>
      <c r="BL98" s="32"/>
      <c r="BM98" s="90"/>
      <c r="BN98" s="88"/>
      <c r="BO98" s="88"/>
      <c r="BP98" s="111"/>
      <c r="BQ98" s="112"/>
      <c r="BR98" s="113"/>
      <c r="BS98" s="112"/>
      <c r="BT98" s="31"/>
      <c r="BU98" s="32"/>
      <c r="BV98" s="90"/>
      <c r="BW98" s="88"/>
      <c r="BX98" s="88"/>
      <c r="BY98" s="111"/>
      <c r="BZ98" s="112"/>
      <c r="CA98" s="113"/>
      <c r="CB98" s="112"/>
      <c r="CC98" s="31"/>
      <c r="CD98" s="32"/>
      <c r="CE98" s="90"/>
      <c r="CF98" s="88"/>
      <c r="CG98" s="88"/>
      <c r="CH98" s="111"/>
      <c r="CI98" s="112"/>
      <c r="CJ98" s="113"/>
      <c r="CK98" s="112"/>
      <c r="CL98" s="31"/>
      <c r="CM98" s="32"/>
      <c r="CN98" s="90"/>
      <c r="CO98" s="88"/>
      <c r="CP98" s="88"/>
      <c r="CQ98" s="111"/>
      <c r="CR98" s="112"/>
      <c r="CS98" s="113"/>
      <c r="CT98" s="112"/>
      <c r="CU98" s="55"/>
      <c r="CW98" s="230" t="s">
        <v>848</v>
      </c>
      <c r="CZ98" s="226" t="s">
        <v>1589</v>
      </c>
    </row>
    <row r="99" spans="1:104" ht="26" x14ac:dyDescent="0.25">
      <c r="A99" s="17" t="s">
        <v>1051</v>
      </c>
      <c r="B99" s="17" t="s">
        <v>1052</v>
      </c>
      <c r="C99" s="17" t="s">
        <v>849</v>
      </c>
      <c r="D99" s="17" t="str">
        <f t="shared" si="21"/>
        <v>A</v>
      </c>
      <c r="E99" s="17" t="b">
        <f t="shared" si="22"/>
        <v>0</v>
      </c>
      <c r="F99" s="17" t="b">
        <f t="shared" si="23"/>
        <v>1</v>
      </c>
      <c r="G99" s="317" t="s">
        <v>1953</v>
      </c>
      <c r="H99" s="324" t="s">
        <v>2295</v>
      </c>
      <c r="I99" s="315" t="s">
        <v>1052</v>
      </c>
      <c r="J99" s="147" t="s">
        <v>849</v>
      </c>
      <c r="K99" s="31"/>
      <c r="L99" s="32" t="s">
        <v>354</v>
      </c>
      <c r="M99" s="90" t="s">
        <v>31</v>
      </c>
      <c r="N99" s="111" t="s">
        <v>2470</v>
      </c>
      <c r="O99" s="112"/>
      <c r="P99" s="113"/>
      <c r="Q99" s="112"/>
      <c r="R99" s="31"/>
      <c r="S99" s="32"/>
      <c r="T99" s="90"/>
      <c r="U99" s="88" t="str">
        <f t="shared" si="17"/>
        <v>NA</v>
      </c>
      <c r="V99" s="88" t="str">
        <f t="shared" si="18"/>
        <v>YES</v>
      </c>
      <c r="W99" s="111"/>
      <c r="X99" s="112"/>
      <c r="Y99" s="113"/>
      <c r="Z99" s="112"/>
      <c r="AA99" s="31"/>
      <c r="AB99" s="302"/>
      <c r="AC99" s="89"/>
      <c r="AD99" s="88" t="str">
        <f t="shared" si="24"/>
        <v>NA</v>
      </c>
      <c r="AE99" s="88" t="str">
        <f t="shared" si="25"/>
        <v>NA</v>
      </c>
      <c r="AF99" s="111"/>
      <c r="AG99" s="112"/>
      <c r="AH99" s="113"/>
      <c r="AI99" s="112"/>
      <c r="AJ99" s="31"/>
      <c r="AK99" s="294"/>
      <c r="AL99" s="89"/>
      <c r="AM99" s="88" t="str">
        <f t="shared" si="19"/>
        <v>NA</v>
      </c>
      <c r="AN99" s="88" t="str">
        <f t="shared" si="20"/>
        <v>NA</v>
      </c>
      <c r="AO99" s="111"/>
      <c r="AP99" s="112"/>
      <c r="AQ99" s="113"/>
      <c r="AR99" s="112"/>
      <c r="AS99" s="31"/>
      <c r="AT99" s="32"/>
      <c r="AU99" s="90"/>
      <c r="AV99" s="88"/>
      <c r="AW99" s="88"/>
      <c r="AX99" s="111"/>
      <c r="AY99" s="112"/>
      <c r="AZ99" s="113"/>
      <c r="BA99" s="112"/>
      <c r="BB99" s="31"/>
      <c r="BC99" s="32"/>
      <c r="BD99" s="90"/>
      <c r="BE99" s="88"/>
      <c r="BF99" s="88"/>
      <c r="BG99" s="111"/>
      <c r="BH99" s="112"/>
      <c r="BI99" s="113"/>
      <c r="BJ99" s="112"/>
      <c r="BK99" s="31"/>
      <c r="BL99" s="32"/>
      <c r="BM99" s="90"/>
      <c r="BN99" s="88"/>
      <c r="BO99" s="88"/>
      <c r="BP99" s="111"/>
      <c r="BQ99" s="112"/>
      <c r="BR99" s="113"/>
      <c r="BS99" s="112"/>
      <c r="BT99" s="31"/>
      <c r="BU99" s="32"/>
      <c r="BV99" s="90"/>
      <c r="BW99" s="88"/>
      <c r="BX99" s="88"/>
      <c r="BY99" s="111"/>
      <c r="BZ99" s="112"/>
      <c r="CA99" s="113"/>
      <c r="CB99" s="112"/>
      <c r="CC99" s="31"/>
      <c r="CD99" s="32"/>
      <c r="CE99" s="90"/>
      <c r="CF99" s="88"/>
      <c r="CG99" s="88"/>
      <c r="CH99" s="111"/>
      <c r="CI99" s="112"/>
      <c r="CJ99" s="113"/>
      <c r="CK99" s="112"/>
      <c r="CL99" s="31"/>
      <c r="CM99" s="32"/>
      <c r="CN99" s="90"/>
      <c r="CO99" s="88"/>
      <c r="CP99" s="88"/>
      <c r="CQ99" s="111"/>
      <c r="CR99" s="112"/>
      <c r="CS99" s="113"/>
      <c r="CT99" s="112"/>
      <c r="CU99" s="55"/>
      <c r="CW99" s="230" t="s">
        <v>849</v>
      </c>
      <c r="CZ99" s="226" t="s">
        <v>1589</v>
      </c>
    </row>
    <row r="100" spans="1:104" ht="26" x14ac:dyDescent="0.25">
      <c r="A100" s="17" t="s">
        <v>1053</v>
      </c>
      <c r="B100" s="17" t="s">
        <v>1054</v>
      </c>
      <c r="C100" s="17" t="s">
        <v>850</v>
      </c>
      <c r="D100" s="17" t="str">
        <f t="shared" si="21"/>
        <v>A</v>
      </c>
      <c r="E100" s="17" t="b">
        <f t="shared" si="22"/>
        <v>0</v>
      </c>
      <c r="F100" s="17" t="b">
        <f t="shared" si="23"/>
        <v>1</v>
      </c>
      <c r="G100" s="317" t="s">
        <v>1954</v>
      </c>
      <c r="H100" s="324" t="s">
        <v>2296</v>
      </c>
      <c r="I100" s="315" t="s">
        <v>1054</v>
      </c>
      <c r="J100" s="147" t="s">
        <v>850</v>
      </c>
      <c r="K100" s="31"/>
      <c r="L100" s="32" t="s">
        <v>354</v>
      </c>
      <c r="M100" s="90" t="s">
        <v>31</v>
      </c>
      <c r="N100" s="111" t="s">
        <v>2470</v>
      </c>
      <c r="O100" s="112"/>
      <c r="P100" s="113"/>
      <c r="Q100" s="112"/>
      <c r="R100" s="31"/>
      <c r="S100" s="32"/>
      <c r="T100" s="90"/>
      <c r="U100" s="88" t="str">
        <f t="shared" si="17"/>
        <v>NA</v>
      </c>
      <c r="V100" s="88" t="str">
        <f t="shared" si="18"/>
        <v>YES</v>
      </c>
      <c r="W100" s="111"/>
      <c r="X100" s="112"/>
      <c r="Y100" s="113"/>
      <c r="Z100" s="112"/>
      <c r="AA100" s="31"/>
      <c r="AB100" s="302"/>
      <c r="AC100" s="89"/>
      <c r="AD100" s="88" t="str">
        <f t="shared" si="24"/>
        <v>NA</v>
      </c>
      <c r="AE100" s="88" t="str">
        <f t="shared" si="25"/>
        <v>NA</v>
      </c>
      <c r="AF100" s="111"/>
      <c r="AG100" s="112"/>
      <c r="AH100" s="113"/>
      <c r="AI100" s="112"/>
      <c r="AJ100" s="31"/>
      <c r="AK100" s="294"/>
      <c r="AL100" s="89"/>
      <c r="AM100" s="88" t="str">
        <f t="shared" si="19"/>
        <v>NA</v>
      </c>
      <c r="AN100" s="88" t="str">
        <f t="shared" si="20"/>
        <v>NA</v>
      </c>
      <c r="AO100" s="111"/>
      <c r="AP100" s="112"/>
      <c r="AQ100" s="113"/>
      <c r="AR100" s="112"/>
      <c r="AS100" s="31"/>
      <c r="AT100" s="32"/>
      <c r="AU100" s="90"/>
      <c r="AV100" s="88"/>
      <c r="AW100" s="88"/>
      <c r="AX100" s="111"/>
      <c r="AY100" s="112"/>
      <c r="AZ100" s="113"/>
      <c r="BA100" s="112"/>
      <c r="BB100" s="31"/>
      <c r="BC100" s="32"/>
      <c r="BD100" s="90"/>
      <c r="BE100" s="88"/>
      <c r="BF100" s="88"/>
      <c r="BG100" s="111"/>
      <c r="BH100" s="112"/>
      <c r="BI100" s="113"/>
      <c r="BJ100" s="112"/>
      <c r="BK100" s="31"/>
      <c r="BL100" s="32"/>
      <c r="BM100" s="90"/>
      <c r="BN100" s="88"/>
      <c r="BO100" s="88"/>
      <c r="BP100" s="111"/>
      <c r="BQ100" s="112"/>
      <c r="BR100" s="113"/>
      <c r="BS100" s="112"/>
      <c r="BT100" s="31"/>
      <c r="BU100" s="32"/>
      <c r="BV100" s="90"/>
      <c r="BW100" s="88"/>
      <c r="BX100" s="88"/>
      <c r="BY100" s="111"/>
      <c r="BZ100" s="112"/>
      <c r="CA100" s="113"/>
      <c r="CB100" s="112"/>
      <c r="CC100" s="31"/>
      <c r="CD100" s="32"/>
      <c r="CE100" s="90"/>
      <c r="CF100" s="88"/>
      <c r="CG100" s="88"/>
      <c r="CH100" s="111"/>
      <c r="CI100" s="112"/>
      <c r="CJ100" s="113"/>
      <c r="CK100" s="112"/>
      <c r="CL100" s="31"/>
      <c r="CM100" s="32"/>
      <c r="CN100" s="90"/>
      <c r="CO100" s="88"/>
      <c r="CP100" s="88"/>
      <c r="CQ100" s="111"/>
      <c r="CR100" s="112"/>
      <c r="CS100" s="113"/>
      <c r="CT100" s="112"/>
      <c r="CU100" s="55"/>
      <c r="CW100" s="230" t="s">
        <v>850</v>
      </c>
      <c r="CZ100" s="226" t="s">
        <v>541</v>
      </c>
    </row>
    <row r="101" spans="1:104" ht="32.25" customHeight="1" x14ac:dyDescent="0.25">
      <c r="A101" s="17" t="s">
        <v>1055</v>
      </c>
      <c r="B101" s="17" t="s">
        <v>1056</v>
      </c>
      <c r="C101" s="17" t="s">
        <v>1701</v>
      </c>
      <c r="D101" s="17" t="str">
        <f t="shared" si="21"/>
        <v>B</v>
      </c>
      <c r="E101" s="17" t="b">
        <f t="shared" si="22"/>
        <v>0</v>
      </c>
      <c r="F101" s="17" t="b">
        <f t="shared" si="23"/>
        <v>1</v>
      </c>
      <c r="G101" s="317" t="s">
        <v>1955</v>
      </c>
      <c r="H101" s="324" t="s">
        <v>2297</v>
      </c>
      <c r="I101" s="315" t="s">
        <v>1056</v>
      </c>
      <c r="J101" s="147" t="s">
        <v>1701</v>
      </c>
      <c r="K101" s="31"/>
      <c r="L101" s="32" t="s">
        <v>354</v>
      </c>
      <c r="M101" s="90" t="s">
        <v>31</v>
      </c>
      <c r="N101" s="111" t="s">
        <v>2470</v>
      </c>
      <c r="O101" s="112"/>
      <c r="P101" s="113"/>
      <c r="Q101" s="112"/>
      <c r="R101" s="31"/>
      <c r="S101" s="32"/>
      <c r="T101" s="90"/>
      <c r="U101" s="88" t="str">
        <f t="shared" si="17"/>
        <v>NA</v>
      </c>
      <c r="V101" s="88" t="str">
        <f t="shared" si="18"/>
        <v>YES</v>
      </c>
      <c r="W101" s="111"/>
      <c r="X101" s="112"/>
      <c r="Y101" s="113"/>
      <c r="Z101" s="112"/>
      <c r="AA101" s="31"/>
      <c r="AB101" s="302"/>
      <c r="AC101" s="89"/>
      <c r="AD101" s="88" t="str">
        <f t="shared" si="24"/>
        <v>NA</v>
      </c>
      <c r="AE101" s="88" t="str">
        <f t="shared" si="25"/>
        <v>NA</v>
      </c>
      <c r="AF101" s="111"/>
      <c r="AG101" s="112"/>
      <c r="AH101" s="113"/>
      <c r="AI101" s="112"/>
      <c r="AJ101" s="31"/>
      <c r="AK101" s="294"/>
      <c r="AL101" s="89"/>
      <c r="AM101" s="88" t="str">
        <f t="shared" si="19"/>
        <v>NA</v>
      </c>
      <c r="AN101" s="88" t="str">
        <f t="shared" si="20"/>
        <v>NA</v>
      </c>
      <c r="AO101" s="111"/>
      <c r="AP101" s="112"/>
      <c r="AQ101" s="113"/>
      <c r="AR101" s="112"/>
      <c r="AS101" s="31"/>
      <c r="AT101" s="32"/>
      <c r="AU101" s="90"/>
      <c r="AV101" s="88"/>
      <c r="AW101" s="88"/>
      <c r="AX101" s="111"/>
      <c r="AY101" s="112"/>
      <c r="AZ101" s="113"/>
      <c r="BA101" s="112"/>
      <c r="BB101" s="31"/>
      <c r="BC101" s="32"/>
      <c r="BD101" s="90"/>
      <c r="BE101" s="88"/>
      <c r="BF101" s="88"/>
      <c r="BG101" s="111"/>
      <c r="BH101" s="112"/>
      <c r="BI101" s="113"/>
      <c r="BJ101" s="112"/>
      <c r="BK101" s="31"/>
      <c r="BL101" s="32"/>
      <c r="BM101" s="90"/>
      <c r="BN101" s="88"/>
      <c r="BO101" s="88"/>
      <c r="BP101" s="111"/>
      <c r="BQ101" s="112"/>
      <c r="BR101" s="113"/>
      <c r="BS101" s="112"/>
      <c r="BT101" s="31"/>
      <c r="BU101" s="32"/>
      <c r="BV101" s="90"/>
      <c r="BW101" s="88"/>
      <c r="BX101" s="88"/>
      <c r="BY101" s="111"/>
      <c r="BZ101" s="112"/>
      <c r="CA101" s="113"/>
      <c r="CB101" s="112"/>
      <c r="CC101" s="31"/>
      <c r="CD101" s="32"/>
      <c r="CE101" s="90"/>
      <c r="CF101" s="88"/>
      <c r="CG101" s="88"/>
      <c r="CH101" s="111"/>
      <c r="CI101" s="112"/>
      <c r="CJ101" s="113"/>
      <c r="CK101" s="112"/>
      <c r="CL101" s="31"/>
      <c r="CM101" s="32"/>
      <c r="CN101" s="90"/>
      <c r="CO101" s="88"/>
      <c r="CP101" s="88"/>
      <c r="CQ101" s="111"/>
      <c r="CR101" s="112"/>
      <c r="CS101" s="113"/>
      <c r="CT101" s="112"/>
      <c r="CU101" s="55"/>
      <c r="CW101" s="230" t="s">
        <v>851</v>
      </c>
      <c r="CZ101" s="226" t="s">
        <v>541</v>
      </c>
    </row>
    <row r="102" spans="1:104" ht="26" x14ac:dyDescent="0.25">
      <c r="A102" s="17" t="s">
        <v>1057</v>
      </c>
      <c r="B102" s="17" t="s">
        <v>1058</v>
      </c>
      <c r="C102" s="17" t="s">
        <v>852</v>
      </c>
      <c r="D102" s="17" t="str">
        <f t="shared" si="21"/>
        <v>A</v>
      </c>
      <c r="E102" s="17" t="b">
        <f t="shared" si="22"/>
        <v>0</v>
      </c>
      <c r="F102" s="17" t="b">
        <f t="shared" si="23"/>
        <v>1</v>
      </c>
      <c r="G102" s="318" t="s">
        <v>1956</v>
      </c>
      <c r="H102" s="326" t="s">
        <v>2298</v>
      </c>
      <c r="I102" s="321" t="s">
        <v>1058</v>
      </c>
      <c r="J102" s="159" t="s">
        <v>852</v>
      </c>
      <c r="K102" s="31"/>
      <c r="L102" s="32" t="s">
        <v>354</v>
      </c>
      <c r="M102" s="90" t="s">
        <v>31</v>
      </c>
      <c r="N102" s="111" t="s">
        <v>2470</v>
      </c>
      <c r="O102" s="112"/>
      <c r="P102" s="113"/>
      <c r="Q102" s="112"/>
      <c r="R102" s="31"/>
      <c r="S102" s="32"/>
      <c r="T102" s="90"/>
      <c r="U102" s="88" t="str">
        <f t="shared" ref="U102:U119" si="28">IF(LEFT(T102,1)&lt;&gt;"x","NA",IF(RIGHT(S102,3)=RIGHT(L102,3),IF(RIGHT(S102,3)&lt;&gt;RIGHT(L102,3),IF(OR(AND(RIGHT(S102,3)=RIGHT(L102,3),T102=M102)),"NO","YES"),"NO"),IF(OR(RIGHT(S102,3)=RIGHT(L102,3)),"ERROR","YES")))</f>
        <v>NA</v>
      </c>
      <c r="V102" s="88" t="str">
        <f t="shared" ref="V102:V119" si="29">IF(LEFT(M102,1)&lt;&gt;LEFT(T102,1),"YES",IF(LEFT(T102,1)="x","NO","NA"))</f>
        <v>YES</v>
      </c>
      <c r="W102" s="111"/>
      <c r="X102" s="112"/>
      <c r="Y102" s="113"/>
      <c r="Z102" s="112"/>
      <c r="AA102" s="31"/>
      <c r="AB102" s="302"/>
      <c r="AC102" s="89"/>
      <c r="AD102" s="88" t="str">
        <f t="shared" si="24"/>
        <v>NA</v>
      </c>
      <c r="AE102" s="88" t="str">
        <f t="shared" si="25"/>
        <v>NA</v>
      </c>
      <c r="AF102" s="111"/>
      <c r="AG102" s="112"/>
      <c r="AH102" s="113"/>
      <c r="AI102" s="112"/>
      <c r="AJ102" s="31"/>
      <c r="AK102" s="294"/>
      <c r="AL102" s="89"/>
      <c r="AM102" s="88" t="str">
        <f t="shared" si="19"/>
        <v>NA</v>
      </c>
      <c r="AN102" s="88" t="str">
        <f t="shared" si="20"/>
        <v>NA</v>
      </c>
      <c r="AO102" s="111"/>
      <c r="AP102" s="112"/>
      <c r="AQ102" s="113"/>
      <c r="AR102" s="112"/>
      <c r="AS102" s="31"/>
      <c r="AT102" s="32"/>
      <c r="AU102" s="90"/>
      <c r="AV102" s="88"/>
      <c r="AW102" s="88"/>
      <c r="AX102" s="111"/>
      <c r="AY102" s="112"/>
      <c r="AZ102" s="113"/>
      <c r="BA102" s="112"/>
      <c r="BB102" s="31"/>
      <c r="BC102" s="32"/>
      <c r="BD102" s="90"/>
      <c r="BE102" s="88"/>
      <c r="BF102" s="88"/>
      <c r="BG102" s="111"/>
      <c r="BH102" s="112"/>
      <c r="BI102" s="113"/>
      <c r="BJ102" s="112"/>
      <c r="BK102" s="31"/>
      <c r="BL102" s="32"/>
      <c r="BM102" s="90"/>
      <c r="BN102" s="88"/>
      <c r="BO102" s="88"/>
      <c r="BP102" s="111"/>
      <c r="BQ102" s="112"/>
      <c r="BR102" s="113"/>
      <c r="BS102" s="112"/>
      <c r="BT102" s="31"/>
      <c r="BU102" s="32"/>
      <c r="BV102" s="90"/>
      <c r="BW102" s="88"/>
      <c r="BX102" s="88"/>
      <c r="BY102" s="111"/>
      <c r="BZ102" s="112"/>
      <c r="CA102" s="113"/>
      <c r="CB102" s="112"/>
      <c r="CC102" s="31"/>
      <c r="CD102" s="32"/>
      <c r="CE102" s="90"/>
      <c r="CF102" s="88"/>
      <c r="CG102" s="88"/>
      <c r="CH102" s="111"/>
      <c r="CI102" s="112"/>
      <c r="CJ102" s="113"/>
      <c r="CK102" s="112"/>
      <c r="CL102" s="31"/>
      <c r="CM102" s="32"/>
      <c r="CN102" s="90"/>
      <c r="CO102" s="88"/>
      <c r="CP102" s="88"/>
      <c r="CQ102" s="111"/>
      <c r="CR102" s="112"/>
      <c r="CS102" s="113"/>
      <c r="CT102" s="112"/>
      <c r="CU102" s="55"/>
      <c r="CW102" s="230" t="s">
        <v>852</v>
      </c>
      <c r="CZ102" s="226" t="s">
        <v>541</v>
      </c>
    </row>
    <row r="103" spans="1:104" ht="26" x14ac:dyDescent="0.25">
      <c r="A103" s="17" t="s">
        <v>1059</v>
      </c>
      <c r="B103" s="17" t="s">
        <v>1060</v>
      </c>
      <c r="C103" s="17" t="s">
        <v>853</v>
      </c>
      <c r="D103" s="17" t="str">
        <f t="shared" si="21"/>
        <v>A</v>
      </c>
      <c r="E103" s="17" t="b">
        <f t="shared" si="22"/>
        <v>0</v>
      </c>
      <c r="F103" s="17" t="b">
        <f t="shared" si="23"/>
        <v>1</v>
      </c>
      <c r="G103" s="318" t="s">
        <v>1957</v>
      </c>
      <c r="H103" s="326" t="s">
        <v>2299</v>
      </c>
      <c r="I103" s="321" t="s">
        <v>1060</v>
      </c>
      <c r="J103" s="159" t="s">
        <v>853</v>
      </c>
      <c r="K103" s="31"/>
      <c r="L103" s="32" t="s">
        <v>354</v>
      </c>
      <c r="M103" s="90" t="s">
        <v>31</v>
      </c>
      <c r="N103" s="111" t="s">
        <v>2470</v>
      </c>
      <c r="O103" s="112"/>
      <c r="P103" s="113"/>
      <c r="Q103" s="112"/>
      <c r="R103" s="31"/>
      <c r="S103" s="32"/>
      <c r="T103" s="90"/>
      <c r="U103" s="88" t="str">
        <f t="shared" si="28"/>
        <v>NA</v>
      </c>
      <c r="V103" s="88" t="str">
        <f t="shared" si="29"/>
        <v>YES</v>
      </c>
      <c r="W103" s="111"/>
      <c r="X103" s="112"/>
      <c r="Y103" s="113"/>
      <c r="Z103" s="112"/>
      <c r="AA103" s="31"/>
      <c r="AB103" s="302"/>
      <c r="AC103" s="89"/>
      <c r="AD103" s="88" t="str">
        <f t="shared" si="24"/>
        <v>NA</v>
      </c>
      <c r="AE103" s="88" t="str">
        <f t="shared" si="25"/>
        <v>NA</v>
      </c>
      <c r="AF103" s="111"/>
      <c r="AG103" s="112"/>
      <c r="AH103" s="113"/>
      <c r="AI103" s="112"/>
      <c r="AJ103" s="31"/>
      <c r="AK103" s="294"/>
      <c r="AL103" s="89"/>
      <c r="AM103" s="88" t="str">
        <f t="shared" si="19"/>
        <v>NA</v>
      </c>
      <c r="AN103" s="88" t="str">
        <f t="shared" si="20"/>
        <v>NA</v>
      </c>
      <c r="AO103" s="111"/>
      <c r="AP103" s="112"/>
      <c r="AQ103" s="113"/>
      <c r="AR103" s="112"/>
      <c r="AS103" s="31"/>
      <c r="AT103" s="32"/>
      <c r="AU103" s="90"/>
      <c r="AV103" s="88"/>
      <c r="AW103" s="88"/>
      <c r="AX103" s="111"/>
      <c r="AY103" s="112"/>
      <c r="AZ103" s="113"/>
      <c r="BA103" s="112"/>
      <c r="BB103" s="31"/>
      <c r="BC103" s="32"/>
      <c r="BD103" s="90"/>
      <c r="BE103" s="88"/>
      <c r="BF103" s="88"/>
      <c r="BG103" s="111"/>
      <c r="BH103" s="112"/>
      <c r="BI103" s="113"/>
      <c r="BJ103" s="112"/>
      <c r="BK103" s="31"/>
      <c r="BL103" s="32"/>
      <c r="BM103" s="90"/>
      <c r="BN103" s="88"/>
      <c r="BO103" s="88"/>
      <c r="BP103" s="111"/>
      <c r="BQ103" s="112"/>
      <c r="BR103" s="113"/>
      <c r="BS103" s="112"/>
      <c r="BT103" s="31"/>
      <c r="BU103" s="32"/>
      <c r="BV103" s="90"/>
      <c r="BW103" s="88"/>
      <c r="BX103" s="88"/>
      <c r="BY103" s="111"/>
      <c r="BZ103" s="112"/>
      <c r="CA103" s="113"/>
      <c r="CB103" s="112"/>
      <c r="CC103" s="31"/>
      <c r="CD103" s="32"/>
      <c r="CE103" s="90"/>
      <c r="CF103" s="88"/>
      <c r="CG103" s="88"/>
      <c r="CH103" s="111"/>
      <c r="CI103" s="112"/>
      <c r="CJ103" s="113"/>
      <c r="CK103" s="112"/>
      <c r="CL103" s="31"/>
      <c r="CM103" s="32"/>
      <c r="CN103" s="90"/>
      <c r="CO103" s="88"/>
      <c r="CP103" s="88"/>
      <c r="CQ103" s="111"/>
      <c r="CR103" s="112"/>
      <c r="CS103" s="113"/>
      <c r="CT103" s="112"/>
      <c r="CU103" s="55"/>
      <c r="CW103" s="230" t="s">
        <v>853</v>
      </c>
      <c r="CZ103" s="226" t="s">
        <v>541</v>
      </c>
    </row>
    <row r="104" spans="1:104" ht="26" x14ac:dyDescent="0.25">
      <c r="A104" s="17" t="s">
        <v>1061</v>
      </c>
      <c r="B104" s="17" t="s">
        <v>1062</v>
      </c>
      <c r="C104" s="17" t="s">
        <v>1063</v>
      </c>
      <c r="D104" s="17" t="str">
        <f t="shared" si="21"/>
        <v>A</v>
      </c>
      <c r="E104" s="17" t="b">
        <f t="shared" si="22"/>
        <v>0</v>
      </c>
      <c r="F104" s="17" t="b">
        <f t="shared" si="23"/>
        <v>1</v>
      </c>
      <c r="G104" s="317" t="s">
        <v>1958</v>
      </c>
      <c r="H104" s="324" t="s">
        <v>2300</v>
      </c>
      <c r="I104" s="315" t="s">
        <v>1062</v>
      </c>
      <c r="J104" s="165" t="s">
        <v>1063</v>
      </c>
      <c r="K104" s="31"/>
      <c r="L104" s="32" t="s">
        <v>354</v>
      </c>
      <c r="M104" s="90" t="s">
        <v>31</v>
      </c>
      <c r="N104" s="111" t="s">
        <v>2470</v>
      </c>
      <c r="O104" s="112"/>
      <c r="P104" s="113"/>
      <c r="Q104" s="112"/>
      <c r="R104" s="31"/>
      <c r="S104" s="32"/>
      <c r="T104" s="90"/>
      <c r="U104" s="88" t="str">
        <f t="shared" si="28"/>
        <v>NA</v>
      </c>
      <c r="V104" s="88" t="str">
        <f t="shared" si="29"/>
        <v>YES</v>
      </c>
      <c r="W104" s="111"/>
      <c r="X104" s="112"/>
      <c r="Y104" s="113"/>
      <c r="Z104" s="112"/>
      <c r="AA104" s="31"/>
      <c r="AB104" s="302"/>
      <c r="AC104" s="89"/>
      <c r="AD104" s="88" t="str">
        <f t="shared" si="24"/>
        <v>NA</v>
      </c>
      <c r="AE104" s="88" t="str">
        <f t="shared" si="25"/>
        <v>NA</v>
      </c>
      <c r="AF104" s="111"/>
      <c r="AG104" s="112"/>
      <c r="AH104" s="113"/>
      <c r="AI104" s="112"/>
      <c r="AJ104" s="31"/>
      <c r="AK104" s="294"/>
      <c r="AL104" s="89"/>
      <c r="AM104" s="88" t="str">
        <f t="shared" si="19"/>
        <v>NA</v>
      </c>
      <c r="AN104" s="88" t="str">
        <f t="shared" si="20"/>
        <v>NA</v>
      </c>
      <c r="AO104" s="111"/>
      <c r="AP104" s="112"/>
      <c r="AQ104" s="113"/>
      <c r="AR104" s="112"/>
      <c r="AS104" s="31"/>
      <c r="AT104" s="32"/>
      <c r="AU104" s="90"/>
      <c r="AV104" s="88"/>
      <c r="AW104" s="88"/>
      <c r="AX104" s="111"/>
      <c r="AY104" s="112"/>
      <c r="AZ104" s="113"/>
      <c r="BA104" s="112"/>
      <c r="BB104" s="31"/>
      <c r="BC104" s="32"/>
      <c r="BD104" s="90"/>
      <c r="BE104" s="88"/>
      <c r="BF104" s="88"/>
      <c r="BG104" s="111"/>
      <c r="BH104" s="112"/>
      <c r="BI104" s="113"/>
      <c r="BJ104" s="112"/>
      <c r="BK104" s="31"/>
      <c r="BL104" s="32"/>
      <c r="BM104" s="90"/>
      <c r="BN104" s="88"/>
      <c r="BO104" s="88"/>
      <c r="BP104" s="111"/>
      <c r="BQ104" s="112"/>
      <c r="BR104" s="113"/>
      <c r="BS104" s="112"/>
      <c r="BT104" s="31"/>
      <c r="BU104" s="32"/>
      <c r="BV104" s="90"/>
      <c r="BW104" s="88"/>
      <c r="BX104" s="88"/>
      <c r="BY104" s="111"/>
      <c r="BZ104" s="112"/>
      <c r="CA104" s="113"/>
      <c r="CB104" s="112"/>
      <c r="CC104" s="31"/>
      <c r="CD104" s="32"/>
      <c r="CE104" s="90"/>
      <c r="CF104" s="88"/>
      <c r="CG104" s="88"/>
      <c r="CH104" s="111"/>
      <c r="CI104" s="112"/>
      <c r="CJ104" s="113"/>
      <c r="CK104" s="112"/>
      <c r="CL104" s="31"/>
      <c r="CM104" s="32"/>
      <c r="CN104" s="90"/>
      <c r="CO104" s="88"/>
      <c r="CP104" s="88"/>
      <c r="CQ104" s="111"/>
      <c r="CR104" s="112"/>
      <c r="CS104" s="113"/>
      <c r="CT104" s="112"/>
      <c r="CU104" s="55"/>
      <c r="CW104" s="230" t="s">
        <v>1063</v>
      </c>
      <c r="CZ104" s="226" t="s">
        <v>541</v>
      </c>
    </row>
    <row r="105" spans="1:104" ht="26" x14ac:dyDescent="0.25">
      <c r="A105" s="17" t="s">
        <v>1559</v>
      </c>
      <c r="B105" s="17" t="s">
        <v>1561</v>
      </c>
      <c r="C105" s="17" t="s">
        <v>1563</v>
      </c>
      <c r="D105" s="17" t="str">
        <f t="shared" si="21"/>
        <v>C</v>
      </c>
      <c r="E105" s="17" t="b">
        <f t="shared" si="22"/>
        <v>0</v>
      </c>
      <c r="F105" s="17" t="b">
        <f t="shared" si="23"/>
        <v>0</v>
      </c>
      <c r="G105" s="317" t="s">
        <v>1959</v>
      </c>
      <c r="H105" s="232" t="s">
        <v>2301</v>
      </c>
      <c r="I105" s="322" t="s">
        <v>1561</v>
      </c>
      <c r="J105" s="159" t="s">
        <v>1960</v>
      </c>
      <c r="K105" s="31"/>
      <c r="L105" s="294" t="s">
        <v>354</v>
      </c>
      <c r="M105" s="90" t="s">
        <v>31</v>
      </c>
      <c r="N105" s="111" t="s">
        <v>2470</v>
      </c>
      <c r="O105" s="112"/>
      <c r="P105" s="113"/>
      <c r="Q105" s="112"/>
      <c r="R105" s="31"/>
      <c r="S105" s="294"/>
      <c r="T105" s="90"/>
      <c r="U105" s="88" t="str">
        <f t="shared" si="28"/>
        <v>NA</v>
      </c>
      <c r="V105" s="88" t="str">
        <f t="shared" si="29"/>
        <v>YES</v>
      </c>
      <c r="W105" s="111"/>
      <c r="X105" s="112"/>
      <c r="Y105" s="113"/>
      <c r="Z105" s="112"/>
      <c r="AA105" s="31"/>
      <c r="AB105" s="302"/>
      <c r="AC105" s="89"/>
      <c r="AD105" s="88" t="str">
        <f t="shared" si="24"/>
        <v>NA</v>
      </c>
      <c r="AE105" s="88" t="str">
        <f t="shared" si="25"/>
        <v>NA</v>
      </c>
      <c r="AF105" s="111"/>
      <c r="AG105" s="112"/>
      <c r="AH105" s="113"/>
      <c r="AI105" s="112"/>
      <c r="AJ105" s="31"/>
      <c r="AK105" s="294"/>
      <c r="AL105" s="89"/>
      <c r="AM105" s="88" t="str">
        <f t="shared" si="19"/>
        <v>NA</v>
      </c>
      <c r="AN105" s="88" t="str">
        <f t="shared" si="20"/>
        <v>NA</v>
      </c>
      <c r="AO105" s="111"/>
      <c r="AP105" s="112"/>
      <c r="AQ105" s="113"/>
      <c r="AR105" s="112"/>
      <c r="AS105" s="31"/>
      <c r="AT105" s="32"/>
      <c r="AU105" s="90"/>
      <c r="AV105" s="88"/>
      <c r="AW105" s="88"/>
      <c r="AX105" s="111"/>
      <c r="AY105" s="112"/>
      <c r="AZ105" s="113"/>
      <c r="BA105" s="112"/>
      <c r="BB105" s="31"/>
      <c r="BC105" s="32"/>
      <c r="BD105" s="90"/>
      <c r="BE105" s="88"/>
      <c r="BF105" s="88"/>
      <c r="BG105" s="111"/>
      <c r="BH105" s="112"/>
      <c r="BI105" s="113"/>
      <c r="BJ105" s="112"/>
      <c r="BK105" s="31"/>
      <c r="BL105" s="32"/>
      <c r="BM105" s="90"/>
      <c r="BN105" s="88"/>
      <c r="BO105" s="88"/>
      <c r="BP105" s="111"/>
      <c r="BQ105" s="112"/>
      <c r="BR105" s="113"/>
      <c r="BS105" s="112"/>
      <c r="BT105" s="31"/>
      <c r="BU105" s="32"/>
      <c r="BV105" s="90"/>
      <c r="BW105" s="88"/>
      <c r="BX105" s="88"/>
      <c r="BY105" s="111"/>
      <c r="BZ105" s="112"/>
      <c r="CA105" s="113"/>
      <c r="CB105" s="112"/>
      <c r="CC105" s="31"/>
      <c r="CD105" s="32"/>
      <c r="CE105" s="90"/>
      <c r="CF105" s="88"/>
      <c r="CG105" s="88"/>
      <c r="CH105" s="111"/>
      <c r="CI105" s="112"/>
      <c r="CJ105" s="113"/>
      <c r="CK105" s="112"/>
      <c r="CL105" s="31"/>
      <c r="CM105" s="32"/>
      <c r="CN105" s="90"/>
      <c r="CO105" s="88"/>
      <c r="CP105" s="88"/>
      <c r="CQ105" s="111"/>
      <c r="CR105" s="112"/>
      <c r="CS105" s="113"/>
      <c r="CT105" s="112"/>
      <c r="CU105" s="55"/>
      <c r="CW105" s="230"/>
      <c r="CZ105" s="226" t="s">
        <v>541</v>
      </c>
    </row>
    <row r="106" spans="1:104" ht="26" x14ac:dyDescent="0.25">
      <c r="A106" s="17" t="s">
        <v>1560</v>
      </c>
      <c r="B106" s="17" t="s">
        <v>1562</v>
      </c>
      <c r="C106" s="17" t="s">
        <v>1564</v>
      </c>
      <c r="D106" s="17" t="str">
        <f t="shared" si="21"/>
        <v>C</v>
      </c>
      <c r="E106" s="17" t="b">
        <f t="shared" si="22"/>
        <v>0</v>
      </c>
      <c r="F106" s="17" t="b">
        <f t="shared" si="23"/>
        <v>0</v>
      </c>
      <c r="G106" s="317" t="s">
        <v>1961</v>
      </c>
      <c r="H106" s="232" t="s">
        <v>2302</v>
      </c>
      <c r="I106" s="322" t="s">
        <v>1562</v>
      </c>
      <c r="J106" s="159" t="s">
        <v>1962</v>
      </c>
      <c r="K106" s="31"/>
      <c r="L106" s="294" t="s">
        <v>354</v>
      </c>
      <c r="M106" s="90" t="s">
        <v>31</v>
      </c>
      <c r="N106" s="111" t="s">
        <v>2470</v>
      </c>
      <c r="O106" s="112"/>
      <c r="P106" s="113"/>
      <c r="Q106" s="112"/>
      <c r="R106" s="31"/>
      <c r="S106" s="294"/>
      <c r="T106" s="90"/>
      <c r="U106" s="88" t="str">
        <f t="shared" si="28"/>
        <v>NA</v>
      </c>
      <c r="V106" s="88" t="str">
        <f t="shared" si="29"/>
        <v>YES</v>
      </c>
      <c r="W106" s="111"/>
      <c r="X106" s="112"/>
      <c r="Y106" s="113"/>
      <c r="Z106" s="112"/>
      <c r="AA106" s="31"/>
      <c r="AB106" s="302"/>
      <c r="AC106" s="89"/>
      <c r="AD106" s="88" t="str">
        <f t="shared" si="24"/>
        <v>NA</v>
      </c>
      <c r="AE106" s="88" t="str">
        <f t="shared" si="25"/>
        <v>NA</v>
      </c>
      <c r="AF106" s="111"/>
      <c r="AG106" s="112"/>
      <c r="AH106" s="113"/>
      <c r="AI106" s="112"/>
      <c r="AJ106" s="31"/>
      <c r="AK106" s="294"/>
      <c r="AL106" s="89"/>
      <c r="AM106" s="88" t="str">
        <f t="shared" si="19"/>
        <v>NA</v>
      </c>
      <c r="AN106" s="88" t="str">
        <f t="shared" si="20"/>
        <v>NA</v>
      </c>
      <c r="AO106" s="111"/>
      <c r="AP106" s="112"/>
      <c r="AQ106" s="113"/>
      <c r="AR106" s="112"/>
      <c r="AS106" s="31"/>
      <c r="AT106" s="32"/>
      <c r="AU106" s="90"/>
      <c r="AV106" s="88"/>
      <c r="AW106" s="88"/>
      <c r="AX106" s="111"/>
      <c r="AY106" s="112"/>
      <c r="AZ106" s="113"/>
      <c r="BA106" s="112"/>
      <c r="BB106" s="31"/>
      <c r="BC106" s="32"/>
      <c r="BD106" s="90"/>
      <c r="BE106" s="88"/>
      <c r="BF106" s="88"/>
      <c r="BG106" s="111"/>
      <c r="BH106" s="112"/>
      <c r="BI106" s="113"/>
      <c r="BJ106" s="112"/>
      <c r="BK106" s="31"/>
      <c r="BL106" s="32"/>
      <c r="BM106" s="90"/>
      <c r="BN106" s="88"/>
      <c r="BO106" s="88"/>
      <c r="BP106" s="111"/>
      <c r="BQ106" s="112"/>
      <c r="BR106" s="113"/>
      <c r="BS106" s="112"/>
      <c r="BT106" s="31"/>
      <c r="BU106" s="32"/>
      <c r="BV106" s="90"/>
      <c r="BW106" s="88"/>
      <c r="BX106" s="88"/>
      <c r="BY106" s="111"/>
      <c r="BZ106" s="112"/>
      <c r="CA106" s="113"/>
      <c r="CB106" s="112"/>
      <c r="CC106" s="31"/>
      <c r="CD106" s="32"/>
      <c r="CE106" s="90"/>
      <c r="CF106" s="88"/>
      <c r="CG106" s="88"/>
      <c r="CH106" s="111"/>
      <c r="CI106" s="112"/>
      <c r="CJ106" s="113"/>
      <c r="CK106" s="112"/>
      <c r="CL106" s="31"/>
      <c r="CM106" s="32"/>
      <c r="CN106" s="90"/>
      <c r="CO106" s="88"/>
      <c r="CP106" s="88"/>
      <c r="CQ106" s="111"/>
      <c r="CR106" s="112"/>
      <c r="CS106" s="113"/>
      <c r="CT106" s="112"/>
      <c r="CU106" s="55"/>
      <c r="CW106" s="230"/>
      <c r="CZ106" s="226" t="s">
        <v>541</v>
      </c>
    </row>
    <row r="107" spans="1:104" ht="143" x14ac:dyDescent="0.25">
      <c r="A107" s="17" t="s">
        <v>1064</v>
      </c>
      <c r="B107" s="17" t="s">
        <v>1065</v>
      </c>
      <c r="C107" s="17" t="s">
        <v>1066</v>
      </c>
      <c r="D107" s="17" t="str">
        <f t="shared" si="21"/>
        <v>C</v>
      </c>
      <c r="E107" s="17" t="b">
        <f t="shared" si="22"/>
        <v>0</v>
      </c>
      <c r="F107" s="17" t="b">
        <f t="shared" si="23"/>
        <v>0</v>
      </c>
      <c r="G107" s="317" t="s">
        <v>1963</v>
      </c>
      <c r="H107" s="324" t="s">
        <v>2303</v>
      </c>
      <c r="I107" s="315" t="s">
        <v>1964</v>
      </c>
      <c r="J107" s="147" t="s">
        <v>1965</v>
      </c>
      <c r="K107" s="31"/>
      <c r="L107" s="32" t="s">
        <v>354</v>
      </c>
      <c r="M107" s="90" t="s">
        <v>31</v>
      </c>
      <c r="N107" s="111" t="s">
        <v>2470</v>
      </c>
      <c r="O107" s="112"/>
      <c r="P107" s="113"/>
      <c r="Q107" s="112"/>
      <c r="R107" s="31"/>
      <c r="S107" s="32"/>
      <c r="T107" s="90"/>
      <c r="U107" s="88" t="str">
        <f t="shared" si="28"/>
        <v>NA</v>
      </c>
      <c r="V107" s="88" t="str">
        <f t="shared" si="29"/>
        <v>YES</v>
      </c>
      <c r="W107" s="111"/>
      <c r="X107" s="112"/>
      <c r="Y107" s="113"/>
      <c r="Z107" s="112"/>
      <c r="AA107" s="31"/>
      <c r="AB107" s="302"/>
      <c r="AC107" s="89"/>
      <c r="AD107" s="88" t="str">
        <f t="shared" si="24"/>
        <v>NA</v>
      </c>
      <c r="AE107" s="88" t="str">
        <f t="shared" si="25"/>
        <v>NA</v>
      </c>
      <c r="AF107" s="111"/>
      <c r="AG107" s="112"/>
      <c r="AH107" s="113"/>
      <c r="AI107" s="112"/>
      <c r="AJ107" s="31"/>
      <c r="AK107" s="294"/>
      <c r="AL107" s="89"/>
      <c r="AM107" s="88" t="str">
        <f t="shared" si="19"/>
        <v>NA</v>
      </c>
      <c r="AN107" s="88" t="str">
        <f t="shared" si="20"/>
        <v>NA</v>
      </c>
      <c r="AO107" s="111"/>
      <c r="AP107" s="112"/>
      <c r="AQ107" s="113"/>
      <c r="AR107" s="112"/>
      <c r="AS107" s="31"/>
      <c r="AT107" s="32"/>
      <c r="AU107" s="90"/>
      <c r="AV107" s="88"/>
      <c r="AW107" s="88"/>
      <c r="AX107" s="111"/>
      <c r="AY107" s="112"/>
      <c r="AZ107" s="113"/>
      <c r="BA107" s="112"/>
      <c r="BB107" s="31"/>
      <c r="BC107" s="32"/>
      <c r="BD107" s="90"/>
      <c r="BE107" s="88"/>
      <c r="BF107" s="88"/>
      <c r="BG107" s="111"/>
      <c r="BH107" s="112"/>
      <c r="BI107" s="113"/>
      <c r="BJ107" s="112"/>
      <c r="BK107" s="31"/>
      <c r="BL107" s="32"/>
      <c r="BM107" s="90"/>
      <c r="BN107" s="88"/>
      <c r="BO107" s="88"/>
      <c r="BP107" s="111"/>
      <c r="BQ107" s="112"/>
      <c r="BR107" s="113"/>
      <c r="BS107" s="112"/>
      <c r="BT107" s="31"/>
      <c r="BU107" s="32"/>
      <c r="BV107" s="90"/>
      <c r="BW107" s="88"/>
      <c r="BX107" s="88"/>
      <c r="BY107" s="111"/>
      <c r="BZ107" s="112"/>
      <c r="CA107" s="113"/>
      <c r="CB107" s="112"/>
      <c r="CC107" s="31"/>
      <c r="CD107" s="32"/>
      <c r="CE107" s="90"/>
      <c r="CF107" s="88"/>
      <c r="CG107" s="88"/>
      <c r="CH107" s="111"/>
      <c r="CI107" s="112"/>
      <c r="CJ107" s="113"/>
      <c r="CK107" s="112"/>
      <c r="CL107" s="31"/>
      <c r="CM107" s="32"/>
      <c r="CN107" s="90"/>
      <c r="CO107" s="88"/>
      <c r="CP107" s="88"/>
      <c r="CQ107" s="111"/>
      <c r="CR107" s="112"/>
      <c r="CS107" s="113"/>
      <c r="CT107" s="112"/>
      <c r="CU107" s="55"/>
      <c r="CW107" s="230" t="s">
        <v>1066</v>
      </c>
      <c r="CZ107" s="226" t="s">
        <v>541</v>
      </c>
    </row>
    <row r="108" spans="1:104" ht="39" hidden="1" x14ac:dyDescent="0.25">
      <c r="A108" s="17" t="s">
        <v>1067</v>
      </c>
      <c r="B108" s="17" t="s">
        <v>1068</v>
      </c>
      <c r="C108" s="17" t="s">
        <v>854</v>
      </c>
      <c r="D108" s="17" t="str">
        <f t="shared" si="21"/>
        <v>C</v>
      </c>
      <c r="E108" s="17" t="b">
        <f t="shared" si="22"/>
        <v>0</v>
      </c>
      <c r="F108" s="17" t="b">
        <f t="shared" si="23"/>
        <v>0</v>
      </c>
      <c r="G108" s="317" t="s">
        <v>1966</v>
      </c>
      <c r="H108" s="324" t="s">
        <v>2304</v>
      </c>
      <c r="I108" s="315" t="s">
        <v>1967</v>
      </c>
      <c r="J108" s="147" t="s">
        <v>1968</v>
      </c>
      <c r="K108" s="31"/>
      <c r="L108" s="32" t="s">
        <v>354</v>
      </c>
      <c r="M108" s="90"/>
      <c r="N108" s="111"/>
      <c r="O108" s="112"/>
      <c r="P108" s="113"/>
      <c r="Q108" s="112"/>
      <c r="R108" s="31"/>
      <c r="S108" s="32"/>
      <c r="T108" s="90"/>
      <c r="U108" s="88" t="str">
        <f t="shared" si="28"/>
        <v>NA</v>
      </c>
      <c r="V108" s="88" t="str">
        <f t="shared" si="29"/>
        <v>NA</v>
      </c>
      <c r="W108" s="111"/>
      <c r="X108" s="112"/>
      <c r="Y108" s="113"/>
      <c r="Z108" s="112"/>
      <c r="AA108" s="31"/>
      <c r="AB108" s="302"/>
      <c r="AC108" s="89"/>
      <c r="AD108" s="88" t="str">
        <f t="shared" si="24"/>
        <v>NA</v>
      </c>
      <c r="AE108" s="88" t="str">
        <f t="shared" si="25"/>
        <v>NA</v>
      </c>
      <c r="AF108" s="111"/>
      <c r="AG108" s="112"/>
      <c r="AH108" s="113"/>
      <c r="AI108" s="112"/>
      <c r="AJ108" s="31"/>
      <c r="AK108" s="294"/>
      <c r="AL108" s="89"/>
      <c r="AM108" s="88" t="str">
        <f t="shared" si="19"/>
        <v>NA</v>
      </c>
      <c r="AN108" s="88" t="str">
        <f t="shared" si="20"/>
        <v>NA</v>
      </c>
      <c r="AO108" s="111"/>
      <c r="AP108" s="112"/>
      <c r="AQ108" s="113"/>
      <c r="AR108" s="112"/>
      <c r="AS108" s="31"/>
      <c r="AT108" s="32"/>
      <c r="AU108" s="90"/>
      <c r="AV108" s="88"/>
      <c r="AW108" s="88"/>
      <c r="AX108" s="111"/>
      <c r="AY108" s="112"/>
      <c r="AZ108" s="113"/>
      <c r="BA108" s="112"/>
      <c r="BB108" s="31"/>
      <c r="BC108" s="32"/>
      <c r="BD108" s="90"/>
      <c r="BE108" s="88"/>
      <c r="BF108" s="88"/>
      <c r="BG108" s="111"/>
      <c r="BH108" s="112"/>
      <c r="BI108" s="113"/>
      <c r="BJ108" s="112"/>
      <c r="BK108" s="31"/>
      <c r="BL108" s="32"/>
      <c r="BM108" s="90"/>
      <c r="BN108" s="88"/>
      <c r="BO108" s="88"/>
      <c r="BP108" s="111"/>
      <c r="BQ108" s="112"/>
      <c r="BR108" s="113"/>
      <c r="BS108" s="112"/>
      <c r="BT108" s="31"/>
      <c r="BU108" s="32"/>
      <c r="BV108" s="90"/>
      <c r="BW108" s="88"/>
      <c r="BX108" s="88"/>
      <c r="BY108" s="111"/>
      <c r="BZ108" s="112"/>
      <c r="CA108" s="113"/>
      <c r="CB108" s="112"/>
      <c r="CC108" s="31"/>
      <c r="CD108" s="32"/>
      <c r="CE108" s="90"/>
      <c r="CF108" s="88"/>
      <c r="CG108" s="88"/>
      <c r="CH108" s="111"/>
      <c r="CI108" s="112"/>
      <c r="CJ108" s="113"/>
      <c r="CK108" s="112"/>
      <c r="CL108" s="31"/>
      <c r="CM108" s="32"/>
      <c r="CN108" s="90"/>
      <c r="CO108" s="88"/>
      <c r="CP108" s="88"/>
      <c r="CQ108" s="111"/>
      <c r="CR108" s="112"/>
      <c r="CS108" s="113"/>
      <c r="CT108" s="112"/>
      <c r="CU108" s="55"/>
      <c r="CW108" s="230" t="s">
        <v>854</v>
      </c>
      <c r="CZ108" s="226" t="s">
        <v>1590</v>
      </c>
    </row>
    <row r="109" spans="1:104" ht="195" x14ac:dyDescent="0.25">
      <c r="A109" s="17" t="s">
        <v>1069</v>
      </c>
      <c r="B109" s="17" t="s">
        <v>1070</v>
      </c>
      <c r="C109" s="17" t="s">
        <v>1724</v>
      </c>
      <c r="D109" s="17" t="str">
        <f t="shared" si="21"/>
        <v>C</v>
      </c>
      <c r="E109" s="17" t="b">
        <f t="shared" si="22"/>
        <v>0</v>
      </c>
      <c r="F109" s="17" t="b">
        <f t="shared" si="23"/>
        <v>0</v>
      </c>
      <c r="G109" s="317" t="s">
        <v>1969</v>
      </c>
      <c r="H109" s="324" t="s">
        <v>2305</v>
      </c>
      <c r="I109" s="315" t="s">
        <v>1970</v>
      </c>
      <c r="J109" s="147" t="s">
        <v>1971</v>
      </c>
      <c r="K109" s="31"/>
      <c r="L109" s="32" t="s">
        <v>354</v>
      </c>
      <c r="M109" s="90" t="s">
        <v>31</v>
      </c>
      <c r="N109" s="111" t="s">
        <v>2470</v>
      </c>
      <c r="O109" s="112"/>
      <c r="P109" s="113"/>
      <c r="Q109" s="112"/>
      <c r="R109" s="31"/>
      <c r="S109" s="32"/>
      <c r="T109" s="90"/>
      <c r="U109" s="88" t="str">
        <f t="shared" si="28"/>
        <v>NA</v>
      </c>
      <c r="V109" s="88" t="str">
        <f t="shared" si="29"/>
        <v>YES</v>
      </c>
      <c r="W109" s="111"/>
      <c r="X109" s="112"/>
      <c r="Y109" s="113"/>
      <c r="Z109" s="112"/>
      <c r="AA109" s="31"/>
      <c r="AB109" s="302"/>
      <c r="AC109" s="89"/>
      <c r="AD109" s="88" t="str">
        <f t="shared" si="24"/>
        <v>NA</v>
      </c>
      <c r="AE109" s="88" t="str">
        <f t="shared" si="25"/>
        <v>NA</v>
      </c>
      <c r="AF109" s="111"/>
      <c r="AG109" s="112"/>
      <c r="AH109" s="113"/>
      <c r="AI109" s="112"/>
      <c r="AJ109" s="31"/>
      <c r="AK109" s="294"/>
      <c r="AL109" s="89"/>
      <c r="AM109" s="88" t="str">
        <f t="shared" si="19"/>
        <v>NA</v>
      </c>
      <c r="AN109" s="88" t="str">
        <f t="shared" si="20"/>
        <v>NA</v>
      </c>
      <c r="AO109" s="111"/>
      <c r="AP109" s="112"/>
      <c r="AQ109" s="113"/>
      <c r="AR109" s="112"/>
      <c r="AS109" s="31"/>
      <c r="AT109" s="32"/>
      <c r="AU109" s="90"/>
      <c r="AV109" s="88"/>
      <c r="AW109" s="88"/>
      <c r="AX109" s="111"/>
      <c r="AY109" s="112"/>
      <c r="AZ109" s="113"/>
      <c r="BA109" s="112"/>
      <c r="BB109" s="31"/>
      <c r="BC109" s="32"/>
      <c r="BD109" s="90"/>
      <c r="BE109" s="88"/>
      <c r="BF109" s="88"/>
      <c r="BG109" s="111"/>
      <c r="BH109" s="112"/>
      <c r="BI109" s="113"/>
      <c r="BJ109" s="112"/>
      <c r="BK109" s="31"/>
      <c r="BL109" s="32"/>
      <c r="BM109" s="90"/>
      <c r="BN109" s="88"/>
      <c r="BO109" s="88"/>
      <c r="BP109" s="111"/>
      <c r="BQ109" s="112"/>
      <c r="BR109" s="113"/>
      <c r="BS109" s="112"/>
      <c r="BT109" s="31"/>
      <c r="BU109" s="32"/>
      <c r="BV109" s="90"/>
      <c r="BW109" s="88"/>
      <c r="BX109" s="88"/>
      <c r="BY109" s="111"/>
      <c r="BZ109" s="112"/>
      <c r="CA109" s="113"/>
      <c r="CB109" s="112"/>
      <c r="CC109" s="31"/>
      <c r="CD109" s="32"/>
      <c r="CE109" s="90"/>
      <c r="CF109" s="88"/>
      <c r="CG109" s="88"/>
      <c r="CH109" s="111"/>
      <c r="CI109" s="112"/>
      <c r="CJ109" s="113"/>
      <c r="CK109" s="112"/>
      <c r="CL109" s="31"/>
      <c r="CM109" s="32"/>
      <c r="CN109" s="90"/>
      <c r="CO109" s="88"/>
      <c r="CP109" s="88"/>
      <c r="CQ109" s="111"/>
      <c r="CR109" s="112"/>
      <c r="CS109" s="113"/>
      <c r="CT109" s="112"/>
      <c r="CU109" s="55"/>
      <c r="CW109" s="230" t="s">
        <v>1071</v>
      </c>
      <c r="CZ109" s="226" t="s">
        <v>541</v>
      </c>
    </row>
    <row r="110" spans="1:104" ht="169" x14ac:dyDescent="0.25">
      <c r="A110" s="17" t="s">
        <v>1072</v>
      </c>
      <c r="B110" s="17" t="s">
        <v>1073</v>
      </c>
      <c r="C110" s="17" t="s">
        <v>1725</v>
      </c>
      <c r="D110" s="17" t="str">
        <f t="shared" si="21"/>
        <v>C</v>
      </c>
      <c r="E110" s="17" t="b">
        <f t="shared" si="22"/>
        <v>0</v>
      </c>
      <c r="F110" s="17" t="b">
        <f t="shared" si="23"/>
        <v>0</v>
      </c>
      <c r="G110" s="317" t="s">
        <v>1972</v>
      </c>
      <c r="H110" s="324" t="s">
        <v>2306</v>
      </c>
      <c r="I110" s="315" t="s">
        <v>1973</v>
      </c>
      <c r="J110" s="147" t="s">
        <v>1974</v>
      </c>
      <c r="K110" s="31"/>
      <c r="L110" s="32" t="s">
        <v>354</v>
      </c>
      <c r="M110" s="90" t="s">
        <v>31</v>
      </c>
      <c r="N110" s="111" t="s">
        <v>2470</v>
      </c>
      <c r="O110" s="112"/>
      <c r="P110" s="113"/>
      <c r="Q110" s="112"/>
      <c r="R110" s="31"/>
      <c r="S110" s="32"/>
      <c r="T110" s="90"/>
      <c r="U110" s="88" t="str">
        <f t="shared" si="28"/>
        <v>NA</v>
      </c>
      <c r="V110" s="88" t="str">
        <f t="shared" si="29"/>
        <v>YES</v>
      </c>
      <c r="W110" s="111"/>
      <c r="X110" s="112"/>
      <c r="Y110" s="113"/>
      <c r="Z110" s="112"/>
      <c r="AA110" s="31"/>
      <c r="AB110" s="302"/>
      <c r="AC110" s="89"/>
      <c r="AD110" s="88" t="str">
        <f t="shared" si="24"/>
        <v>NA</v>
      </c>
      <c r="AE110" s="88" t="str">
        <f t="shared" si="25"/>
        <v>NA</v>
      </c>
      <c r="AF110" s="111"/>
      <c r="AG110" s="112"/>
      <c r="AH110" s="113"/>
      <c r="AI110" s="112"/>
      <c r="AJ110" s="31"/>
      <c r="AK110" s="294"/>
      <c r="AL110" s="89"/>
      <c r="AM110" s="88" t="str">
        <f t="shared" si="19"/>
        <v>NA</v>
      </c>
      <c r="AN110" s="88" t="str">
        <f t="shared" si="20"/>
        <v>NA</v>
      </c>
      <c r="AO110" s="111"/>
      <c r="AP110" s="112"/>
      <c r="AQ110" s="113"/>
      <c r="AR110" s="112"/>
      <c r="AS110" s="31"/>
      <c r="AT110" s="32"/>
      <c r="AU110" s="90"/>
      <c r="AV110" s="88"/>
      <c r="AW110" s="88"/>
      <c r="AX110" s="111"/>
      <c r="AY110" s="112"/>
      <c r="AZ110" s="113"/>
      <c r="BA110" s="112"/>
      <c r="BB110" s="31"/>
      <c r="BC110" s="32"/>
      <c r="BD110" s="90"/>
      <c r="BE110" s="88"/>
      <c r="BF110" s="88"/>
      <c r="BG110" s="111"/>
      <c r="BH110" s="112"/>
      <c r="BI110" s="113"/>
      <c r="BJ110" s="112"/>
      <c r="BK110" s="31"/>
      <c r="BL110" s="32"/>
      <c r="BM110" s="90"/>
      <c r="BN110" s="88"/>
      <c r="BO110" s="88"/>
      <c r="BP110" s="111"/>
      <c r="BQ110" s="112"/>
      <c r="BR110" s="113"/>
      <c r="BS110" s="112"/>
      <c r="BT110" s="31"/>
      <c r="BU110" s="32"/>
      <c r="BV110" s="90"/>
      <c r="BW110" s="88"/>
      <c r="BX110" s="88"/>
      <c r="BY110" s="111"/>
      <c r="BZ110" s="112"/>
      <c r="CA110" s="113"/>
      <c r="CB110" s="112"/>
      <c r="CC110" s="31"/>
      <c r="CD110" s="32"/>
      <c r="CE110" s="90"/>
      <c r="CF110" s="88"/>
      <c r="CG110" s="88"/>
      <c r="CH110" s="111"/>
      <c r="CI110" s="112"/>
      <c r="CJ110" s="113"/>
      <c r="CK110" s="112"/>
      <c r="CL110" s="31"/>
      <c r="CM110" s="32"/>
      <c r="CN110" s="90"/>
      <c r="CO110" s="88"/>
      <c r="CP110" s="88"/>
      <c r="CQ110" s="111"/>
      <c r="CR110" s="112"/>
      <c r="CS110" s="113"/>
      <c r="CT110" s="112"/>
      <c r="CU110" s="55"/>
      <c r="CW110" s="230" t="s">
        <v>1074</v>
      </c>
      <c r="CZ110" s="226" t="s">
        <v>541</v>
      </c>
    </row>
    <row r="111" spans="1:104" ht="52" x14ac:dyDescent="0.25">
      <c r="A111" s="17" t="s">
        <v>1075</v>
      </c>
      <c r="B111" s="17" t="s">
        <v>1076</v>
      </c>
      <c r="C111" s="17" t="s">
        <v>855</v>
      </c>
      <c r="D111" s="17" t="str">
        <f t="shared" si="21"/>
        <v>A</v>
      </c>
      <c r="E111" s="17" t="b">
        <f t="shared" si="22"/>
        <v>0</v>
      </c>
      <c r="F111" s="17" t="b">
        <f t="shared" si="23"/>
        <v>1</v>
      </c>
      <c r="G111" s="317" t="s">
        <v>1975</v>
      </c>
      <c r="H111" s="324" t="s">
        <v>2307</v>
      </c>
      <c r="I111" s="315" t="s">
        <v>1076</v>
      </c>
      <c r="J111" s="147" t="s">
        <v>855</v>
      </c>
      <c r="K111" s="31"/>
      <c r="L111" s="32" t="s">
        <v>354</v>
      </c>
      <c r="M111" s="90" t="s">
        <v>31</v>
      </c>
      <c r="N111" s="111" t="s">
        <v>2470</v>
      </c>
      <c r="O111" s="112"/>
      <c r="P111" s="113"/>
      <c r="Q111" s="112"/>
      <c r="R111" s="31"/>
      <c r="S111" s="32"/>
      <c r="T111" s="90"/>
      <c r="U111" s="88" t="str">
        <f t="shared" si="28"/>
        <v>NA</v>
      </c>
      <c r="V111" s="88" t="str">
        <f t="shared" si="29"/>
        <v>YES</v>
      </c>
      <c r="W111" s="111"/>
      <c r="X111" s="112"/>
      <c r="Y111" s="113"/>
      <c r="Z111" s="112"/>
      <c r="AA111" s="31"/>
      <c r="AB111" s="302"/>
      <c r="AC111" s="89"/>
      <c r="AD111" s="88" t="str">
        <f t="shared" si="24"/>
        <v>NA</v>
      </c>
      <c r="AE111" s="88" t="str">
        <f t="shared" si="25"/>
        <v>NA</v>
      </c>
      <c r="AF111" s="111"/>
      <c r="AG111" s="112"/>
      <c r="AH111" s="113"/>
      <c r="AI111" s="112"/>
      <c r="AJ111" s="31"/>
      <c r="AK111" s="294"/>
      <c r="AL111" s="89"/>
      <c r="AM111" s="88" t="str">
        <f t="shared" si="19"/>
        <v>NA</v>
      </c>
      <c r="AN111" s="88" t="str">
        <f t="shared" si="20"/>
        <v>NA</v>
      </c>
      <c r="AO111" s="111"/>
      <c r="AP111" s="112"/>
      <c r="AQ111" s="113"/>
      <c r="AR111" s="112"/>
      <c r="AS111" s="31"/>
      <c r="AT111" s="32"/>
      <c r="AU111" s="90"/>
      <c r="AV111" s="88"/>
      <c r="AW111" s="88"/>
      <c r="AX111" s="111"/>
      <c r="AY111" s="112"/>
      <c r="AZ111" s="113"/>
      <c r="BA111" s="112"/>
      <c r="BB111" s="31"/>
      <c r="BC111" s="32"/>
      <c r="BD111" s="90"/>
      <c r="BE111" s="88"/>
      <c r="BF111" s="88"/>
      <c r="BG111" s="111"/>
      <c r="BH111" s="112"/>
      <c r="BI111" s="113"/>
      <c r="BJ111" s="112"/>
      <c r="BK111" s="31"/>
      <c r="BL111" s="32"/>
      <c r="BM111" s="90"/>
      <c r="BN111" s="88"/>
      <c r="BO111" s="88"/>
      <c r="BP111" s="111"/>
      <c r="BQ111" s="112"/>
      <c r="BR111" s="113"/>
      <c r="BS111" s="112"/>
      <c r="BT111" s="31"/>
      <c r="BU111" s="32"/>
      <c r="BV111" s="90"/>
      <c r="BW111" s="88"/>
      <c r="BX111" s="88"/>
      <c r="BY111" s="111"/>
      <c r="BZ111" s="112"/>
      <c r="CA111" s="113"/>
      <c r="CB111" s="112"/>
      <c r="CC111" s="31"/>
      <c r="CD111" s="32"/>
      <c r="CE111" s="90"/>
      <c r="CF111" s="88"/>
      <c r="CG111" s="88"/>
      <c r="CH111" s="111"/>
      <c r="CI111" s="112"/>
      <c r="CJ111" s="113"/>
      <c r="CK111" s="112"/>
      <c r="CL111" s="31"/>
      <c r="CM111" s="32"/>
      <c r="CN111" s="90"/>
      <c r="CO111" s="88"/>
      <c r="CP111" s="88"/>
      <c r="CQ111" s="111"/>
      <c r="CR111" s="112"/>
      <c r="CS111" s="113"/>
      <c r="CT111" s="112"/>
      <c r="CU111" s="55"/>
      <c r="CW111" s="230" t="s">
        <v>855</v>
      </c>
      <c r="CZ111" s="226" t="s">
        <v>541</v>
      </c>
    </row>
    <row r="112" spans="1:104" ht="37.5" x14ac:dyDescent="0.25">
      <c r="A112" s="17" t="s">
        <v>1077</v>
      </c>
      <c r="B112" s="17" t="s">
        <v>1078</v>
      </c>
      <c r="C112" s="17" t="s">
        <v>1702</v>
      </c>
      <c r="D112" s="17" t="str">
        <f t="shared" si="21"/>
        <v>B</v>
      </c>
      <c r="E112" s="17" t="b">
        <f t="shared" si="22"/>
        <v>0</v>
      </c>
      <c r="F112" s="17" t="b">
        <f t="shared" si="23"/>
        <v>1</v>
      </c>
      <c r="G112" s="317" t="s">
        <v>1976</v>
      </c>
      <c r="H112" s="324" t="s">
        <v>2308</v>
      </c>
      <c r="I112" s="315" t="s">
        <v>1977</v>
      </c>
      <c r="J112" s="165" t="s">
        <v>1702</v>
      </c>
      <c r="K112" s="31"/>
      <c r="L112" s="32" t="s">
        <v>354</v>
      </c>
      <c r="M112" s="90" t="s">
        <v>31</v>
      </c>
      <c r="N112" s="111" t="s">
        <v>2470</v>
      </c>
      <c r="O112" s="112"/>
      <c r="P112" s="113"/>
      <c r="Q112" s="112"/>
      <c r="R112" s="31"/>
      <c r="S112" s="32"/>
      <c r="T112" s="90"/>
      <c r="U112" s="88" t="str">
        <f t="shared" si="28"/>
        <v>NA</v>
      </c>
      <c r="V112" s="88" t="str">
        <f t="shared" si="29"/>
        <v>YES</v>
      </c>
      <c r="W112" s="111"/>
      <c r="X112" s="112"/>
      <c r="Y112" s="113"/>
      <c r="Z112" s="112"/>
      <c r="AA112" s="31"/>
      <c r="AB112" s="302"/>
      <c r="AC112" s="89"/>
      <c r="AD112" s="88" t="str">
        <f t="shared" si="24"/>
        <v>NA</v>
      </c>
      <c r="AE112" s="88" t="str">
        <f t="shared" si="25"/>
        <v>NA</v>
      </c>
      <c r="AF112" s="111"/>
      <c r="AG112" s="112"/>
      <c r="AH112" s="113"/>
      <c r="AI112" s="112"/>
      <c r="AJ112" s="31"/>
      <c r="AK112" s="294"/>
      <c r="AL112" s="89"/>
      <c r="AM112" s="88" t="str">
        <f t="shared" si="19"/>
        <v>NA</v>
      </c>
      <c r="AN112" s="88" t="str">
        <f t="shared" si="20"/>
        <v>NA</v>
      </c>
      <c r="AO112" s="111"/>
      <c r="AP112" s="112"/>
      <c r="AQ112" s="113"/>
      <c r="AR112" s="112"/>
      <c r="AS112" s="31"/>
      <c r="AT112" s="32"/>
      <c r="AU112" s="90"/>
      <c r="AV112" s="88"/>
      <c r="AW112" s="88"/>
      <c r="AX112" s="111"/>
      <c r="AY112" s="112"/>
      <c r="AZ112" s="113"/>
      <c r="BA112" s="112"/>
      <c r="BB112" s="31"/>
      <c r="BC112" s="32"/>
      <c r="BD112" s="90"/>
      <c r="BE112" s="88"/>
      <c r="BF112" s="88"/>
      <c r="BG112" s="111"/>
      <c r="BH112" s="112"/>
      <c r="BI112" s="113"/>
      <c r="BJ112" s="112"/>
      <c r="BK112" s="31"/>
      <c r="BL112" s="32"/>
      <c r="BM112" s="90"/>
      <c r="BN112" s="88"/>
      <c r="BO112" s="88"/>
      <c r="BP112" s="111"/>
      <c r="BQ112" s="112"/>
      <c r="BR112" s="113"/>
      <c r="BS112" s="112"/>
      <c r="BT112" s="31"/>
      <c r="BU112" s="32"/>
      <c r="BV112" s="90"/>
      <c r="BW112" s="88"/>
      <c r="BX112" s="88"/>
      <c r="BY112" s="111"/>
      <c r="BZ112" s="112"/>
      <c r="CA112" s="113"/>
      <c r="CB112" s="112"/>
      <c r="CC112" s="31"/>
      <c r="CD112" s="32"/>
      <c r="CE112" s="90"/>
      <c r="CF112" s="88"/>
      <c r="CG112" s="88"/>
      <c r="CH112" s="111"/>
      <c r="CI112" s="112"/>
      <c r="CJ112" s="113"/>
      <c r="CK112" s="112"/>
      <c r="CL112" s="31"/>
      <c r="CM112" s="32"/>
      <c r="CN112" s="90"/>
      <c r="CO112" s="88"/>
      <c r="CP112" s="88"/>
      <c r="CQ112" s="111"/>
      <c r="CR112" s="112"/>
      <c r="CS112" s="113"/>
      <c r="CT112" s="112"/>
      <c r="CU112" s="55"/>
      <c r="CW112" s="230" t="s">
        <v>856</v>
      </c>
      <c r="CZ112" s="226" t="s">
        <v>1589</v>
      </c>
    </row>
    <row r="113" spans="1:104" ht="39" x14ac:dyDescent="0.25">
      <c r="A113" s="17" t="s">
        <v>1079</v>
      </c>
      <c r="B113" s="17" t="s">
        <v>1080</v>
      </c>
      <c r="C113" s="17" t="s">
        <v>1081</v>
      </c>
      <c r="D113" s="17" t="str">
        <f t="shared" si="21"/>
        <v>A</v>
      </c>
      <c r="E113" s="17" t="b">
        <f t="shared" si="22"/>
        <v>0</v>
      </c>
      <c r="F113" s="17" t="b">
        <f t="shared" si="23"/>
        <v>1</v>
      </c>
      <c r="G113" s="317" t="s">
        <v>1978</v>
      </c>
      <c r="H113" s="324" t="s">
        <v>2309</v>
      </c>
      <c r="I113" s="315" t="s">
        <v>1080</v>
      </c>
      <c r="J113" s="147" t="s">
        <v>1081</v>
      </c>
      <c r="K113" s="31"/>
      <c r="L113" s="32" t="s">
        <v>354</v>
      </c>
      <c r="M113" s="90" t="s">
        <v>31</v>
      </c>
      <c r="N113" s="111" t="s">
        <v>2470</v>
      </c>
      <c r="O113" s="112"/>
      <c r="P113" s="113"/>
      <c r="Q113" s="112"/>
      <c r="R113" s="31"/>
      <c r="S113" s="32"/>
      <c r="T113" s="90"/>
      <c r="U113" s="88" t="str">
        <f t="shared" si="28"/>
        <v>NA</v>
      </c>
      <c r="V113" s="88" t="str">
        <f t="shared" si="29"/>
        <v>YES</v>
      </c>
      <c r="W113" s="111"/>
      <c r="X113" s="112"/>
      <c r="Y113" s="113"/>
      <c r="Z113" s="112"/>
      <c r="AA113" s="31"/>
      <c r="AB113" s="302"/>
      <c r="AC113" s="89"/>
      <c r="AD113" s="88" t="str">
        <f t="shared" si="24"/>
        <v>NA</v>
      </c>
      <c r="AE113" s="88" t="str">
        <f t="shared" si="25"/>
        <v>NA</v>
      </c>
      <c r="AF113" s="111"/>
      <c r="AG113" s="112"/>
      <c r="AH113" s="113"/>
      <c r="AI113" s="112"/>
      <c r="AJ113" s="31"/>
      <c r="AK113" s="294"/>
      <c r="AL113" s="89"/>
      <c r="AM113" s="88" t="str">
        <f t="shared" si="19"/>
        <v>NA</v>
      </c>
      <c r="AN113" s="88" t="str">
        <f t="shared" si="20"/>
        <v>NA</v>
      </c>
      <c r="AO113" s="111"/>
      <c r="AP113" s="112"/>
      <c r="AQ113" s="113"/>
      <c r="AR113" s="112"/>
      <c r="AS113" s="31"/>
      <c r="AT113" s="32"/>
      <c r="AU113" s="90"/>
      <c r="AV113" s="88"/>
      <c r="AW113" s="88"/>
      <c r="AX113" s="111"/>
      <c r="AY113" s="112"/>
      <c r="AZ113" s="113"/>
      <c r="BA113" s="112"/>
      <c r="BB113" s="31"/>
      <c r="BC113" s="32"/>
      <c r="BD113" s="90"/>
      <c r="BE113" s="88"/>
      <c r="BF113" s="88"/>
      <c r="BG113" s="111"/>
      <c r="BH113" s="112"/>
      <c r="BI113" s="113"/>
      <c r="BJ113" s="112"/>
      <c r="BK113" s="31"/>
      <c r="BL113" s="32"/>
      <c r="BM113" s="90"/>
      <c r="BN113" s="88"/>
      <c r="BO113" s="88"/>
      <c r="BP113" s="111"/>
      <c r="BQ113" s="112"/>
      <c r="BR113" s="113"/>
      <c r="BS113" s="112"/>
      <c r="BT113" s="31"/>
      <c r="BU113" s="32"/>
      <c r="BV113" s="90"/>
      <c r="BW113" s="88"/>
      <c r="BX113" s="88"/>
      <c r="BY113" s="111"/>
      <c r="BZ113" s="112"/>
      <c r="CA113" s="113"/>
      <c r="CB113" s="112"/>
      <c r="CC113" s="31"/>
      <c r="CD113" s="32"/>
      <c r="CE113" s="90"/>
      <c r="CF113" s="88"/>
      <c r="CG113" s="88"/>
      <c r="CH113" s="111"/>
      <c r="CI113" s="112"/>
      <c r="CJ113" s="113"/>
      <c r="CK113" s="112"/>
      <c r="CL113" s="31"/>
      <c r="CM113" s="32"/>
      <c r="CN113" s="90"/>
      <c r="CO113" s="88"/>
      <c r="CP113" s="88"/>
      <c r="CQ113" s="111"/>
      <c r="CR113" s="112"/>
      <c r="CS113" s="113"/>
      <c r="CT113" s="112"/>
      <c r="CU113" s="55"/>
      <c r="CW113" s="230" t="s">
        <v>1081</v>
      </c>
      <c r="CZ113" s="226" t="s">
        <v>541</v>
      </c>
    </row>
    <row r="114" spans="1:104" ht="26" x14ac:dyDescent="0.25">
      <c r="A114" s="17" t="s">
        <v>1082</v>
      </c>
      <c r="B114" s="17" t="s">
        <v>1083</v>
      </c>
      <c r="C114" s="17" t="s">
        <v>1084</v>
      </c>
      <c r="D114" s="17" t="str">
        <f t="shared" si="21"/>
        <v>A</v>
      </c>
      <c r="E114" s="17" t="b">
        <f t="shared" si="22"/>
        <v>0</v>
      </c>
      <c r="F114" s="17" t="b">
        <f t="shared" si="23"/>
        <v>1</v>
      </c>
      <c r="G114" s="317" t="s">
        <v>1979</v>
      </c>
      <c r="H114" s="324" t="s">
        <v>2310</v>
      </c>
      <c r="I114" s="315" t="s">
        <v>1083</v>
      </c>
      <c r="J114" s="147" t="s">
        <v>1084</v>
      </c>
      <c r="K114" s="31"/>
      <c r="L114" s="32" t="s">
        <v>354</v>
      </c>
      <c r="M114" s="90" t="s">
        <v>31</v>
      </c>
      <c r="N114" s="111" t="s">
        <v>2470</v>
      </c>
      <c r="O114" s="112"/>
      <c r="P114" s="113"/>
      <c r="Q114" s="112"/>
      <c r="R114" s="31"/>
      <c r="S114" s="32"/>
      <c r="T114" s="90"/>
      <c r="U114" s="88" t="str">
        <f t="shared" si="28"/>
        <v>NA</v>
      </c>
      <c r="V114" s="88" t="str">
        <f t="shared" si="29"/>
        <v>YES</v>
      </c>
      <c r="W114" s="111"/>
      <c r="X114" s="112"/>
      <c r="Y114" s="113"/>
      <c r="Z114" s="112"/>
      <c r="AA114" s="31"/>
      <c r="AB114" s="302"/>
      <c r="AC114" s="89"/>
      <c r="AD114" s="88" t="str">
        <f t="shared" si="24"/>
        <v>NA</v>
      </c>
      <c r="AE114" s="88" t="str">
        <f t="shared" si="25"/>
        <v>NA</v>
      </c>
      <c r="AF114" s="111"/>
      <c r="AG114" s="112"/>
      <c r="AH114" s="113"/>
      <c r="AI114" s="112"/>
      <c r="AJ114" s="31"/>
      <c r="AK114" s="294"/>
      <c r="AL114" s="89"/>
      <c r="AM114" s="88" t="str">
        <f t="shared" si="19"/>
        <v>NA</v>
      </c>
      <c r="AN114" s="88" t="str">
        <f t="shared" si="20"/>
        <v>NA</v>
      </c>
      <c r="AO114" s="111"/>
      <c r="AP114" s="112"/>
      <c r="AQ114" s="113"/>
      <c r="AR114" s="112"/>
      <c r="AS114" s="31"/>
      <c r="AT114" s="32"/>
      <c r="AU114" s="90"/>
      <c r="AV114" s="88"/>
      <c r="AW114" s="88"/>
      <c r="AX114" s="111"/>
      <c r="AY114" s="112"/>
      <c r="AZ114" s="113"/>
      <c r="BA114" s="112"/>
      <c r="BB114" s="31"/>
      <c r="BC114" s="32"/>
      <c r="BD114" s="90"/>
      <c r="BE114" s="88"/>
      <c r="BF114" s="88"/>
      <c r="BG114" s="111"/>
      <c r="BH114" s="112"/>
      <c r="BI114" s="113"/>
      <c r="BJ114" s="112"/>
      <c r="BK114" s="31"/>
      <c r="BL114" s="32"/>
      <c r="BM114" s="90"/>
      <c r="BN114" s="88"/>
      <c r="BO114" s="88"/>
      <c r="BP114" s="111"/>
      <c r="BQ114" s="112"/>
      <c r="BR114" s="113"/>
      <c r="BS114" s="112"/>
      <c r="BT114" s="31"/>
      <c r="BU114" s="32"/>
      <c r="BV114" s="90"/>
      <c r="BW114" s="88"/>
      <c r="BX114" s="88"/>
      <c r="BY114" s="111"/>
      <c r="BZ114" s="112"/>
      <c r="CA114" s="113"/>
      <c r="CB114" s="112"/>
      <c r="CC114" s="31"/>
      <c r="CD114" s="32"/>
      <c r="CE114" s="90"/>
      <c r="CF114" s="88"/>
      <c r="CG114" s="88"/>
      <c r="CH114" s="111"/>
      <c r="CI114" s="112"/>
      <c r="CJ114" s="113"/>
      <c r="CK114" s="112"/>
      <c r="CL114" s="31"/>
      <c r="CM114" s="32"/>
      <c r="CN114" s="90"/>
      <c r="CO114" s="88"/>
      <c r="CP114" s="88"/>
      <c r="CQ114" s="111"/>
      <c r="CR114" s="112"/>
      <c r="CS114" s="113"/>
      <c r="CT114" s="112"/>
      <c r="CU114" s="55"/>
      <c r="CW114" s="230" t="s">
        <v>1084</v>
      </c>
      <c r="CZ114" s="226" t="s">
        <v>541</v>
      </c>
    </row>
    <row r="115" spans="1:104" ht="26" x14ac:dyDescent="0.25">
      <c r="A115" s="17" t="s">
        <v>1085</v>
      </c>
      <c r="B115" s="17" t="s">
        <v>1086</v>
      </c>
      <c r="C115" s="17" t="s">
        <v>1726</v>
      </c>
      <c r="D115" s="17" t="str">
        <f t="shared" si="21"/>
        <v>D</v>
      </c>
      <c r="E115" s="17" t="b">
        <f t="shared" si="22"/>
        <v>0</v>
      </c>
      <c r="F115" s="17" t="b">
        <f t="shared" si="23"/>
        <v>0</v>
      </c>
      <c r="G115" s="317" t="s">
        <v>1980</v>
      </c>
      <c r="H115" s="324" t="s">
        <v>2311</v>
      </c>
      <c r="I115" s="315" t="s">
        <v>1981</v>
      </c>
      <c r="J115" s="147" t="s">
        <v>1982</v>
      </c>
      <c r="K115" s="31"/>
      <c r="L115" s="294" t="s">
        <v>354</v>
      </c>
      <c r="M115" s="90" t="s">
        <v>31</v>
      </c>
      <c r="N115" s="111" t="s">
        <v>2470</v>
      </c>
      <c r="O115" s="112"/>
      <c r="P115" s="113"/>
      <c r="Q115" s="112"/>
      <c r="R115" s="31"/>
      <c r="S115" s="294"/>
      <c r="T115" s="90"/>
      <c r="U115" s="88" t="str">
        <f t="shared" si="28"/>
        <v>NA</v>
      </c>
      <c r="V115" s="88" t="str">
        <f t="shared" si="29"/>
        <v>YES</v>
      </c>
      <c r="W115" s="111"/>
      <c r="X115" s="112"/>
      <c r="Y115" s="113"/>
      <c r="Z115" s="112"/>
      <c r="AA115" s="31"/>
      <c r="AB115" s="302"/>
      <c r="AC115" s="89"/>
      <c r="AD115" s="88" t="str">
        <f t="shared" si="24"/>
        <v>NA</v>
      </c>
      <c r="AE115" s="88" t="str">
        <f t="shared" si="25"/>
        <v>NA</v>
      </c>
      <c r="AF115" s="111"/>
      <c r="AG115" s="112"/>
      <c r="AH115" s="113"/>
      <c r="AI115" s="112"/>
      <c r="AJ115" s="31"/>
      <c r="AK115" s="294"/>
      <c r="AL115" s="89"/>
      <c r="AM115" s="88" t="str">
        <f t="shared" si="19"/>
        <v>NA</v>
      </c>
      <c r="AN115" s="88" t="str">
        <f t="shared" si="20"/>
        <v>NA</v>
      </c>
      <c r="AO115" s="111"/>
      <c r="AP115" s="112"/>
      <c r="AQ115" s="113"/>
      <c r="AR115" s="112"/>
      <c r="AS115" s="31"/>
      <c r="AT115" s="32"/>
      <c r="AU115" s="90"/>
      <c r="AV115" s="88"/>
      <c r="AW115" s="88"/>
      <c r="AX115" s="111"/>
      <c r="AY115" s="112"/>
      <c r="AZ115" s="113"/>
      <c r="BA115" s="112"/>
      <c r="BB115" s="31"/>
      <c r="BC115" s="32"/>
      <c r="BD115" s="90"/>
      <c r="BE115" s="88"/>
      <c r="BF115" s="88"/>
      <c r="BG115" s="111"/>
      <c r="BH115" s="112"/>
      <c r="BI115" s="113"/>
      <c r="BJ115" s="112"/>
      <c r="BK115" s="31"/>
      <c r="BL115" s="32"/>
      <c r="BM115" s="90"/>
      <c r="BN115" s="88"/>
      <c r="BO115" s="88"/>
      <c r="BP115" s="111"/>
      <c r="BQ115" s="112"/>
      <c r="BR115" s="113"/>
      <c r="BS115" s="112"/>
      <c r="BT115" s="31"/>
      <c r="BU115" s="32"/>
      <c r="BV115" s="90"/>
      <c r="BW115" s="88"/>
      <c r="BX115" s="88"/>
      <c r="BY115" s="111"/>
      <c r="BZ115" s="112"/>
      <c r="CA115" s="113"/>
      <c r="CB115" s="112"/>
      <c r="CC115" s="31"/>
      <c r="CD115" s="32"/>
      <c r="CE115" s="90"/>
      <c r="CF115" s="88"/>
      <c r="CG115" s="88"/>
      <c r="CH115" s="111"/>
      <c r="CI115" s="112"/>
      <c r="CJ115" s="113"/>
      <c r="CK115" s="112"/>
      <c r="CL115" s="31"/>
      <c r="CM115" s="32"/>
      <c r="CN115" s="90"/>
      <c r="CO115" s="88"/>
      <c r="CP115" s="88"/>
      <c r="CQ115" s="111"/>
      <c r="CR115" s="112"/>
      <c r="CS115" s="113"/>
      <c r="CT115" s="112"/>
      <c r="CU115" s="55"/>
      <c r="CW115" s="230" t="s">
        <v>857</v>
      </c>
      <c r="CZ115" s="226" t="s">
        <v>1589</v>
      </c>
    </row>
    <row r="116" spans="1:104" ht="26" x14ac:dyDescent="0.25">
      <c r="A116" s="17" t="s">
        <v>1087</v>
      </c>
      <c r="B116" s="17" t="s">
        <v>1088</v>
      </c>
      <c r="C116" s="17" t="s">
        <v>1727</v>
      </c>
      <c r="D116" s="17" t="str">
        <f t="shared" si="21"/>
        <v>D</v>
      </c>
      <c r="E116" s="17" t="b">
        <f t="shared" si="22"/>
        <v>0</v>
      </c>
      <c r="F116" s="17" t="b">
        <f t="shared" si="23"/>
        <v>0</v>
      </c>
      <c r="G116" s="317" t="s">
        <v>1983</v>
      </c>
      <c r="H116" s="324" t="s">
        <v>2312</v>
      </c>
      <c r="I116" s="315" t="s">
        <v>1984</v>
      </c>
      <c r="J116" s="147" t="s">
        <v>1985</v>
      </c>
      <c r="K116" s="31"/>
      <c r="L116" s="294" t="s">
        <v>354</v>
      </c>
      <c r="M116" s="90" t="s">
        <v>31</v>
      </c>
      <c r="N116" s="111" t="s">
        <v>2470</v>
      </c>
      <c r="O116" s="112"/>
      <c r="P116" s="113"/>
      <c r="Q116" s="112"/>
      <c r="R116" s="31"/>
      <c r="S116" s="294"/>
      <c r="T116" s="90"/>
      <c r="U116" s="88" t="str">
        <f t="shared" si="28"/>
        <v>NA</v>
      </c>
      <c r="V116" s="88" t="str">
        <f t="shared" si="29"/>
        <v>YES</v>
      </c>
      <c r="W116" s="111"/>
      <c r="X116" s="112"/>
      <c r="Y116" s="113"/>
      <c r="Z116" s="112"/>
      <c r="AA116" s="31"/>
      <c r="AB116" s="302"/>
      <c r="AC116" s="89"/>
      <c r="AD116" s="88" t="str">
        <f t="shared" si="24"/>
        <v>NA</v>
      </c>
      <c r="AE116" s="88" t="str">
        <f t="shared" si="25"/>
        <v>NA</v>
      </c>
      <c r="AF116" s="111"/>
      <c r="AG116" s="112"/>
      <c r="AH116" s="113"/>
      <c r="AI116" s="112"/>
      <c r="AJ116" s="31"/>
      <c r="AK116" s="294"/>
      <c r="AL116" s="89"/>
      <c r="AM116" s="88" t="str">
        <f t="shared" si="19"/>
        <v>NA</v>
      </c>
      <c r="AN116" s="88" t="str">
        <f t="shared" si="20"/>
        <v>NA</v>
      </c>
      <c r="AO116" s="111"/>
      <c r="AP116" s="112"/>
      <c r="AQ116" s="113"/>
      <c r="AR116" s="112"/>
      <c r="AS116" s="31"/>
      <c r="AT116" s="32"/>
      <c r="AU116" s="90"/>
      <c r="AV116" s="88"/>
      <c r="AW116" s="88"/>
      <c r="AX116" s="111"/>
      <c r="AY116" s="112"/>
      <c r="AZ116" s="113"/>
      <c r="BA116" s="112"/>
      <c r="BB116" s="31"/>
      <c r="BC116" s="32"/>
      <c r="BD116" s="90"/>
      <c r="BE116" s="88"/>
      <c r="BF116" s="88"/>
      <c r="BG116" s="111"/>
      <c r="BH116" s="112"/>
      <c r="BI116" s="113"/>
      <c r="BJ116" s="112"/>
      <c r="BK116" s="31"/>
      <c r="BL116" s="32"/>
      <c r="BM116" s="90"/>
      <c r="BN116" s="88"/>
      <c r="BO116" s="88"/>
      <c r="BP116" s="111"/>
      <c r="BQ116" s="112"/>
      <c r="BR116" s="113"/>
      <c r="BS116" s="112"/>
      <c r="BT116" s="31"/>
      <c r="BU116" s="32"/>
      <c r="BV116" s="90"/>
      <c r="BW116" s="88"/>
      <c r="BX116" s="88"/>
      <c r="BY116" s="111"/>
      <c r="BZ116" s="112"/>
      <c r="CA116" s="113"/>
      <c r="CB116" s="112"/>
      <c r="CC116" s="31"/>
      <c r="CD116" s="32"/>
      <c r="CE116" s="90"/>
      <c r="CF116" s="88"/>
      <c r="CG116" s="88"/>
      <c r="CH116" s="111"/>
      <c r="CI116" s="112"/>
      <c r="CJ116" s="113"/>
      <c r="CK116" s="112"/>
      <c r="CL116" s="31"/>
      <c r="CM116" s="32"/>
      <c r="CN116" s="90"/>
      <c r="CO116" s="88"/>
      <c r="CP116" s="88"/>
      <c r="CQ116" s="111"/>
      <c r="CR116" s="112"/>
      <c r="CS116" s="113"/>
      <c r="CT116" s="112"/>
      <c r="CU116" s="55"/>
      <c r="CW116" s="230" t="s">
        <v>858</v>
      </c>
      <c r="CZ116" s="226" t="s">
        <v>1589</v>
      </c>
    </row>
    <row r="117" spans="1:104" ht="26" hidden="1" x14ac:dyDescent="0.25">
      <c r="A117" s="17" t="s">
        <v>1565</v>
      </c>
      <c r="B117" s="17" t="s">
        <v>1568</v>
      </c>
      <c r="C117" s="17" t="s">
        <v>1571</v>
      </c>
      <c r="D117" s="17" t="str">
        <f t="shared" si="21"/>
        <v>B</v>
      </c>
      <c r="E117" s="17" t="b">
        <f t="shared" si="22"/>
        <v>0</v>
      </c>
      <c r="F117" s="17" t="b">
        <f t="shared" si="23"/>
        <v>1</v>
      </c>
      <c r="G117" s="317" t="s">
        <v>1986</v>
      </c>
      <c r="H117" s="232" t="s">
        <v>2313</v>
      </c>
      <c r="I117" s="310" t="s">
        <v>1568</v>
      </c>
      <c r="J117" s="159" t="s">
        <v>1571</v>
      </c>
      <c r="K117" s="31"/>
      <c r="L117" s="32" t="s">
        <v>354</v>
      </c>
      <c r="M117" s="90"/>
      <c r="N117" s="111"/>
      <c r="O117" s="112"/>
      <c r="P117" s="113"/>
      <c r="Q117" s="112"/>
      <c r="R117" s="31"/>
      <c r="S117" s="32"/>
      <c r="T117" s="90"/>
      <c r="U117" s="88" t="str">
        <f t="shared" si="28"/>
        <v>NA</v>
      </c>
      <c r="V117" s="88" t="str">
        <f t="shared" si="29"/>
        <v>NA</v>
      </c>
      <c r="W117" s="111"/>
      <c r="X117" s="112"/>
      <c r="Y117" s="113"/>
      <c r="Z117" s="112"/>
      <c r="AA117" s="31"/>
      <c r="AB117" s="302"/>
      <c r="AC117" s="89"/>
      <c r="AD117" s="88" t="str">
        <f t="shared" si="24"/>
        <v>NA</v>
      </c>
      <c r="AE117" s="88" t="str">
        <f t="shared" si="25"/>
        <v>NA</v>
      </c>
      <c r="AF117" s="111"/>
      <c r="AG117" s="112"/>
      <c r="AH117" s="113"/>
      <c r="AI117" s="112"/>
      <c r="AJ117" s="31"/>
      <c r="AK117" s="294"/>
      <c r="AL117" s="89"/>
      <c r="AM117" s="88" t="str">
        <f t="shared" si="19"/>
        <v>NA</v>
      </c>
      <c r="AN117" s="88" t="str">
        <f t="shared" si="20"/>
        <v>NA</v>
      </c>
      <c r="AO117" s="111"/>
      <c r="AP117" s="112"/>
      <c r="AQ117" s="113"/>
      <c r="AR117" s="112"/>
      <c r="AS117" s="31"/>
      <c r="AT117" s="32"/>
      <c r="AU117" s="90"/>
      <c r="AV117" s="88"/>
      <c r="AW117" s="88"/>
      <c r="AX117" s="111"/>
      <c r="AY117" s="112"/>
      <c r="AZ117" s="113"/>
      <c r="BA117" s="112"/>
      <c r="BB117" s="31"/>
      <c r="BC117" s="32"/>
      <c r="BD117" s="90"/>
      <c r="BE117" s="88"/>
      <c r="BF117" s="88"/>
      <c r="BG117" s="111"/>
      <c r="BH117" s="112"/>
      <c r="BI117" s="113"/>
      <c r="BJ117" s="112"/>
      <c r="BK117" s="31"/>
      <c r="BL117" s="32"/>
      <c r="BM117" s="90"/>
      <c r="BN117" s="88"/>
      <c r="BO117" s="88"/>
      <c r="BP117" s="111"/>
      <c r="BQ117" s="112"/>
      <c r="BR117" s="113"/>
      <c r="BS117" s="112"/>
      <c r="BT117" s="31"/>
      <c r="BU117" s="32"/>
      <c r="BV117" s="90"/>
      <c r="BW117" s="88"/>
      <c r="BX117" s="88"/>
      <c r="BY117" s="111"/>
      <c r="BZ117" s="112"/>
      <c r="CA117" s="113"/>
      <c r="CB117" s="112"/>
      <c r="CC117" s="31"/>
      <c r="CD117" s="32"/>
      <c r="CE117" s="90"/>
      <c r="CF117" s="88"/>
      <c r="CG117" s="88"/>
      <c r="CH117" s="111"/>
      <c r="CI117" s="112"/>
      <c r="CJ117" s="113"/>
      <c r="CK117" s="112"/>
      <c r="CL117" s="31"/>
      <c r="CM117" s="32"/>
      <c r="CN117" s="90"/>
      <c r="CO117" s="88"/>
      <c r="CP117" s="88"/>
      <c r="CQ117" s="111"/>
      <c r="CR117" s="112"/>
      <c r="CS117" s="113"/>
      <c r="CT117" s="112"/>
      <c r="CU117" s="55"/>
      <c r="CW117" s="230"/>
      <c r="CZ117" s="226" t="s">
        <v>1590</v>
      </c>
    </row>
    <row r="118" spans="1:104" ht="26" hidden="1" x14ac:dyDescent="0.25">
      <c r="A118" s="17" t="s">
        <v>1566</v>
      </c>
      <c r="B118" s="17" t="s">
        <v>1569</v>
      </c>
      <c r="C118" s="17" t="s">
        <v>1572</v>
      </c>
      <c r="D118" s="17" t="str">
        <f t="shared" si="21"/>
        <v>B</v>
      </c>
      <c r="E118" s="17" t="b">
        <f t="shared" si="22"/>
        <v>0</v>
      </c>
      <c r="F118" s="17" t="b">
        <f t="shared" si="23"/>
        <v>1</v>
      </c>
      <c r="G118" s="317" t="s">
        <v>1987</v>
      </c>
      <c r="H118" s="232" t="s">
        <v>2314</v>
      </c>
      <c r="I118" s="310" t="s">
        <v>1569</v>
      </c>
      <c r="J118" s="159" t="s">
        <v>1572</v>
      </c>
      <c r="K118" s="31"/>
      <c r="L118" s="32" t="s">
        <v>354</v>
      </c>
      <c r="M118" s="90"/>
      <c r="N118" s="111"/>
      <c r="O118" s="112"/>
      <c r="P118" s="113"/>
      <c r="Q118" s="112"/>
      <c r="R118" s="31"/>
      <c r="S118" s="32"/>
      <c r="T118" s="90"/>
      <c r="U118" s="88" t="str">
        <f t="shared" si="28"/>
        <v>NA</v>
      </c>
      <c r="V118" s="88" t="str">
        <f t="shared" si="29"/>
        <v>NA</v>
      </c>
      <c r="W118" s="111"/>
      <c r="X118" s="112"/>
      <c r="Y118" s="113"/>
      <c r="Z118" s="112"/>
      <c r="AA118" s="31"/>
      <c r="AB118" s="302"/>
      <c r="AC118" s="89"/>
      <c r="AD118" s="88" t="str">
        <f t="shared" si="24"/>
        <v>NA</v>
      </c>
      <c r="AE118" s="88" t="str">
        <f t="shared" si="25"/>
        <v>NA</v>
      </c>
      <c r="AF118" s="111"/>
      <c r="AG118" s="112"/>
      <c r="AH118" s="113"/>
      <c r="AI118" s="112"/>
      <c r="AJ118" s="31"/>
      <c r="AK118" s="294"/>
      <c r="AL118" s="89"/>
      <c r="AM118" s="88" t="str">
        <f t="shared" si="19"/>
        <v>NA</v>
      </c>
      <c r="AN118" s="88" t="str">
        <f t="shared" si="20"/>
        <v>NA</v>
      </c>
      <c r="AO118" s="111"/>
      <c r="AP118" s="112"/>
      <c r="AQ118" s="113"/>
      <c r="AR118" s="112"/>
      <c r="AS118" s="31"/>
      <c r="AT118" s="32"/>
      <c r="AU118" s="90"/>
      <c r="AV118" s="88"/>
      <c r="AW118" s="88"/>
      <c r="AX118" s="111"/>
      <c r="AY118" s="112"/>
      <c r="AZ118" s="113"/>
      <c r="BA118" s="112"/>
      <c r="BB118" s="31"/>
      <c r="BC118" s="32"/>
      <c r="BD118" s="90"/>
      <c r="BE118" s="88"/>
      <c r="BF118" s="88"/>
      <c r="BG118" s="111"/>
      <c r="BH118" s="112"/>
      <c r="BI118" s="113"/>
      <c r="BJ118" s="112"/>
      <c r="BK118" s="31"/>
      <c r="BL118" s="32"/>
      <c r="BM118" s="90"/>
      <c r="BN118" s="88"/>
      <c r="BO118" s="88"/>
      <c r="BP118" s="111"/>
      <c r="BQ118" s="112"/>
      <c r="BR118" s="113"/>
      <c r="BS118" s="112"/>
      <c r="BT118" s="31"/>
      <c r="BU118" s="32"/>
      <c r="BV118" s="90"/>
      <c r="BW118" s="88"/>
      <c r="BX118" s="88"/>
      <c r="BY118" s="111"/>
      <c r="BZ118" s="112"/>
      <c r="CA118" s="113"/>
      <c r="CB118" s="112"/>
      <c r="CC118" s="31"/>
      <c r="CD118" s="32"/>
      <c r="CE118" s="90"/>
      <c r="CF118" s="88"/>
      <c r="CG118" s="88"/>
      <c r="CH118" s="111"/>
      <c r="CI118" s="112"/>
      <c r="CJ118" s="113"/>
      <c r="CK118" s="112"/>
      <c r="CL118" s="31"/>
      <c r="CM118" s="32"/>
      <c r="CN118" s="90"/>
      <c r="CO118" s="88"/>
      <c r="CP118" s="88"/>
      <c r="CQ118" s="111"/>
      <c r="CR118" s="112"/>
      <c r="CS118" s="113"/>
      <c r="CT118" s="112"/>
      <c r="CU118" s="55"/>
      <c r="CW118" s="230"/>
      <c r="CZ118" s="226" t="s">
        <v>1590</v>
      </c>
    </row>
    <row r="119" spans="1:104" ht="13" x14ac:dyDescent="0.25">
      <c r="A119" s="17" t="s">
        <v>1567</v>
      </c>
      <c r="B119" s="17" t="s">
        <v>1570</v>
      </c>
      <c r="C119" s="17" t="s">
        <v>1573</v>
      </c>
      <c r="D119" s="17" t="str">
        <f t="shared" si="21"/>
        <v>A</v>
      </c>
      <c r="E119" s="17" t="b">
        <f t="shared" si="22"/>
        <v>0</v>
      </c>
      <c r="F119" s="17" t="b">
        <f t="shared" si="23"/>
        <v>1</v>
      </c>
      <c r="G119" s="317" t="s">
        <v>1988</v>
      </c>
      <c r="H119" s="232" t="s">
        <v>2315</v>
      </c>
      <c r="I119" s="310" t="s">
        <v>1570</v>
      </c>
      <c r="J119" s="147" t="s">
        <v>1573</v>
      </c>
      <c r="K119" s="31"/>
      <c r="L119" s="32" t="s">
        <v>354</v>
      </c>
      <c r="M119" s="90" t="s">
        <v>31</v>
      </c>
      <c r="N119" s="111" t="s">
        <v>2470</v>
      </c>
      <c r="O119" s="112"/>
      <c r="P119" s="113"/>
      <c r="Q119" s="112"/>
      <c r="R119" s="31"/>
      <c r="S119" s="32"/>
      <c r="T119" s="90"/>
      <c r="U119" s="88" t="str">
        <f t="shared" si="28"/>
        <v>NA</v>
      </c>
      <c r="V119" s="88" t="str">
        <f t="shared" si="29"/>
        <v>YES</v>
      </c>
      <c r="W119" s="111"/>
      <c r="X119" s="112"/>
      <c r="Y119" s="113"/>
      <c r="Z119" s="112"/>
      <c r="AA119" s="31"/>
      <c r="AB119" s="302"/>
      <c r="AC119" s="89"/>
      <c r="AD119" s="88" t="str">
        <f t="shared" si="24"/>
        <v>NA</v>
      </c>
      <c r="AE119" s="88" t="str">
        <f t="shared" si="25"/>
        <v>NA</v>
      </c>
      <c r="AF119" s="111"/>
      <c r="AG119" s="112"/>
      <c r="AH119" s="113"/>
      <c r="AI119" s="112"/>
      <c r="AJ119" s="31"/>
      <c r="AK119" s="294"/>
      <c r="AL119" s="89"/>
      <c r="AM119" s="88" t="str">
        <f t="shared" si="19"/>
        <v>NA</v>
      </c>
      <c r="AN119" s="88" t="str">
        <f t="shared" si="20"/>
        <v>NA</v>
      </c>
      <c r="AO119" s="111"/>
      <c r="AP119" s="112"/>
      <c r="AQ119" s="113"/>
      <c r="AR119" s="112"/>
      <c r="AS119" s="31"/>
      <c r="AT119" s="32"/>
      <c r="AU119" s="90"/>
      <c r="AV119" s="88"/>
      <c r="AW119" s="88"/>
      <c r="AX119" s="111"/>
      <c r="AY119" s="112"/>
      <c r="AZ119" s="113"/>
      <c r="BA119" s="112"/>
      <c r="BB119" s="31"/>
      <c r="BC119" s="32"/>
      <c r="BD119" s="90"/>
      <c r="BE119" s="88"/>
      <c r="BF119" s="88"/>
      <c r="BG119" s="111"/>
      <c r="BH119" s="112"/>
      <c r="BI119" s="113"/>
      <c r="BJ119" s="112"/>
      <c r="BK119" s="31"/>
      <c r="BL119" s="32"/>
      <c r="BM119" s="90"/>
      <c r="BN119" s="88"/>
      <c r="BO119" s="88"/>
      <c r="BP119" s="111"/>
      <c r="BQ119" s="112"/>
      <c r="BR119" s="113"/>
      <c r="BS119" s="112"/>
      <c r="BT119" s="31"/>
      <c r="BU119" s="32"/>
      <c r="BV119" s="90"/>
      <c r="BW119" s="88"/>
      <c r="BX119" s="88"/>
      <c r="BY119" s="111"/>
      <c r="BZ119" s="112"/>
      <c r="CA119" s="113"/>
      <c r="CB119" s="112"/>
      <c r="CC119" s="31"/>
      <c r="CD119" s="32"/>
      <c r="CE119" s="90"/>
      <c r="CF119" s="88"/>
      <c r="CG119" s="88"/>
      <c r="CH119" s="111"/>
      <c r="CI119" s="112"/>
      <c r="CJ119" s="113"/>
      <c r="CK119" s="112"/>
      <c r="CL119" s="31"/>
      <c r="CM119" s="32"/>
      <c r="CN119" s="90"/>
      <c r="CO119" s="88"/>
      <c r="CP119" s="88"/>
      <c r="CQ119" s="111"/>
      <c r="CR119" s="112"/>
      <c r="CS119" s="113"/>
      <c r="CT119" s="112"/>
      <c r="CU119" s="55"/>
      <c r="CW119" s="230"/>
      <c r="CZ119" s="226" t="s">
        <v>541</v>
      </c>
    </row>
    <row r="120" spans="1:104" ht="26" x14ac:dyDescent="0.25">
      <c r="A120" s="17" t="s">
        <v>1089</v>
      </c>
      <c r="B120" s="17" t="s">
        <v>1090</v>
      </c>
      <c r="C120" s="17" t="s">
        <v>1703</v>
      </c>
      <c r="D120" s="17" t="str">
        <f t="shared" si="21"/>
        <v>B</v>
      </c>
      <c r="E120" s="17" t="b">
        <f t="shared" si="22"/>
        <v>0</v>
      </c>
      <c r="F120" s="17" t="b">
        <f t="shared" si="23"/>
        <v>1</v>
      </c>
      <c r="G120" s="317" t="s">
        <v>1989</v>
      </c>
      <c r="H120" s="324" t="s">
        <v>2316</v>
      </c>
      <c r="I120" s="315" t="s">
        <v>1990</v>
      </c>
      <c r="J120" s="147" t="s">
        <v>1703</v>
      </c>
      <c r="K120" s="31"/>
      <c r="L120" s="32" t="s">
        <v>354</v>
      </c>
      <c r="M120" s="90" t="s">
        <v>31</v>
      </c>
      <c r="N120" s="111" t="s">
        <v>2470</v>
      </c>
      <c r="O120" s="112"/>
      <c r="P120" s="113"/>
      <c r="Q120" s="112"/>
      <c r="R120" s="31"/>
      <c r="S120" s="32"/>
      <c r="T120" s="90"/>
      <c r="U120" s="88" t="str">
        <f t="shared" ref="U120:U150" si="30">IF(LEFT(T120,1)&lt;&gt;"x","NA",IF(RIGHT(S120,3)=RIGHT(L120,3),IF(RIGHT(S120,3)&lt;&gt;RIGHT(L120,3),IF(OR(AND(RIGHT(S120,3)=RIGHT(L120,3),T120=M120)),"NO","YES"),"NO"),IF(OR(RIGHT(S120,3)=RIGHT(L120,3)),"ERROR","YES")))</f>
        <v>NA</v>
      </c>
      <c r="V120" s="88" t="str">
        <f t="shared" ref="V120:V150" si="31">IF(LEFT(M120,1)&lt;&gt;LEFT(T120,1),"YES",IF(LEFT(T120,1)="x","NO","NA"))</f>
        <v>YES</v>
      </c>
      <c r="W120" s="111"/>
      <c r="X120" s="112"/>
      <c r="Y120" s="113"/>
      <c r="Z120" s="112"/>
      <c r="AA120" s="31"/>
      <c r="AB120" s="302"/>
      <c r="AC120" s="89"/>
      <c r="AD120" s="88" t="str">
        <f t="shared" si="24"/>
        <v>NA</v>
      </c>
      <c r="AE120" s="88" t="str">
        <f t="shared" si="25"/>
        <v>NA</v>
      </c>
      <c r="AF120" s="111"/>
      <c r="AG120" s="112"/>
      <c r="AH120" s="113"/>
      <c r="AI120" s="112"/>
      <c r="AJ120" s="31"/>
      <c r="AK120" s="294"/>
      <c r="AL120" s="89"/>
      <c r="AM120" s="88" t="str">
        <f t="shared" ref="AM120:AM175" si="32">IF(LEFT(AL120,1)&lt;&gt;"x","NA",IF(RIGHT(AK120,3)=RIGHT(AB120,3),IF(RIGHT(AK120,3)&lt;&gt;RIGHT(U120,3),IF(OR(AND(RIGHT(AK120,3)=RIGHT(AB120,3),AL120=AC120),AND(RIGHT(AK120,3)=RIGHT(U120,3),AL120=V120)),"NO","YES"),"NO"),IF(OR(RIGHT(AK120,3)=RIGHT(AB120,3),RIGHT(AK120,3)=RIGHT(U120,3)),"ERROR","YES")))</f>
        <v>NA</v>
      </c>
      <c r="AN120" s="88" t="str">
        <f t="shared" ref="AN120:AN175" si="33">IF(LEFT(AC120,1)&lt;&gt;LEFT(AL120,1),"YES",IF(LEFT(AL120,1)="x","NO","NA"))</f>
        <v>NA</v>
      </c>
      <c r="AO120" s="111"/>
      <c r="AP120" s="112"/>
      <c r="AQ120" s="113"/>
      <c r="AR120" s="112"/>
      <c r="AS120" s="31"/>
      <c r="AT120" s="32"/>
      <c r="AU120" s="90"/>
      <c r="AV120" s="88"/>
      <c r="AW120" s="88"/>
      <c r="AX120" s="111"/>
      <c r="AY120" s="112"/>
      <c r="AZ120" s="113"/>
      <c r="BA120" s="112"/>
      <c r="BB120" s="31"/>
      <c r="BC120" s="32"/>
      <c r="BD120" s="90"/>
      <c r="BE120" s="88"/>
      <c r="BF120" s="88"/>
      <c r="BG120" s="111"/>
      <c r="BH120" s="112"/>
      <c r="BI120" s="113"/>
      <c r="BJ120" s="112"/>
      <c r="BK120" s="31"/>
      <c r="BL120" s="32"/>
      <c r="BM120" s="90"/>
      <c r="BN120" s="88"/>
      <c r="BO120" s="88"/>
      <c r="BP120" s="111"/>
      <c r="BQ120" s="112"/>
      <c r="BR120" s="113"/>
      <c r="BS120" s="112"/>
      <c r="BT120" s="31"/>
      <c r="BU120" s="32"/>
      <c r="BV120" s="90"/>
      <c r="BW120" s="88"/>
      <c r="BX120" s="88"/>
      <c r="BY120" s="111"/>
      <c r="BZ120" s="112"/>
      <c r="CA120" s="113"/>
      <c r="CB120" s="112"/>
      <c r="CC120" s="31"/>
      <c r="CD120" s="32"/>
      <c r="CE120" s="90"/>
      <c r="CF120" s="88"/>
      <c r="CG120" s="88"/>
      <c r="CH120" s="111"/>
      <c r="CI120" s="112"/>
      <c r="CJ120" s="113"/>
      <c r="CK120" s="112"/>
      <c r="CL120" s="31"/>
      <c r="CM120" s="32"/>
      <c r="CN120" s="90"/>
      <c r="CO120" s="88"/>
      <c r="CP120" s="88"/>
      <c r="CQ120" s="111"/>
      <c r="CR120" s="112"/>
      <c r="CS120" s="113"/>
      <c r="CT120" s="112"/>
      <c r="CU120" s="55"/>
      <c r="CW120" s="230" t="s">
        <v>859</v>
      </c>
      <c r="CZ120" s="226" t="s">
        <v>541</v>
      </c>
    </row>
    <row r="121" spans="1:104" ht="62.5" x14ac:dyDescent="0.25">
      <c r="A121" s="17" t="s">
        <v>1091</v>
      </c>
      <c r="B121" s="17" t="s">
        <v>1092</v>
      </c>
      <c r="C121" s="17" t="s">
        <v>1704</v>
      </c>
      <c r="D121" s="17" t="str">
        <f t="shared" ref="D121:D176" si="34">RIGHT(H121,1)</f>
        <v>B</v>
      </c>
      <c r="E121" s="17" t="b">
        <f t="shared" ref="E121:E176" si="35">D121=S121</f>
        <v>0</v>
      </c>
      <c r="F121" s="17" t="b">
        <f t="shared" ref="F121:F176" si="36">C121=J121</f>
        <v>1</v>
      </c>
      <c r="G121" s="317" t="s">
        <v>1991</v>
      </c>
      <c r="H121" s="324" t="s">
        <v>2317</v>
      </c>
      <c r="I121" s="315" t="s">
        <v>1092</v>
      </c>
      <c r="J121" s="165" t="s">
        <v>1704</v>
      </c>
      <c r="K121" s="31"/>
      <c r="L121" s="32" t="s">
        <v>354</v>
      </c>
      <c r="M121" s="90" t="s">
        <v>31</v>
      </c>
      <c r="N121" s="111" t="s">
        <v>2470</v>
      </c>
      <c r="O121" s="112"/>
      <c r="P121" s="113"/>
      <c r="Q121" s="112"/>
      <c r="R121" s="31"/>
      <c r="S121" s="32"/>
      <c r="T121" s="90"/>
      <c r="U121" s="88" t="str">
        <f t="shared" si="30"/>
        <v>NA</v>
      </c>
      <c r="V121" s="88" t="str">
        <f t="shared" si="31"/>
        <v>YES</v>
      </c>
      <c r="W121" s="111"/>
      <c r="X121" s="112"/>
      <c r="Y121" s="113"/>
      <c r="Z121" s="112"/>
      <c r="AA121" s="31"/>
      <c r="AB121" s="302"/>
      <c r="AC121" s="89"/>
      <c r="AD121" s="88" t="str">
        <f t="shared" ref="AD121:AD177" si="37">IF(LEFT(AC121,1)&lt;&gt;"x","NA",IF(RIGHT(AB121,3)=RIGHT(S121,3),IF(RIGHT(AB121,3)&lt;&gt;RIGHT(L121,3),IF(OR(AND(RIGHT(AB121,3)=RIGHT(S121,3),AC121=T121),AND(RIGHT(AB121,3)=RIGHT(L121,3),AC121=M121)),"NO","YES"),"NO"),IF(OR(RIGHT(AB121,3)=RIGHT(S121,3),RIGHT(AB121,3)=RIGHT(L121,3)),"ERROR","YES")))</f>
        <v>NA</v>
      </c>
      <c r="AE121" s="88" t="str">
        <f t="shared" ref="AE121:AE177" si="38">IF(LEFT(T121,1)&lt;&gt;LEFT(AC121,1),"YES",IF(LEFT(AC121,1)="x","NO","NA"))</f>
        <v>NA</v>
      </c>
      <c r="AF121" s="111"/>
      <c r="AG121" s="112"/>
      <c r="AH121" s="113"/>
      <c r="AI121" s="112"/>
      <c r="AJ121" s="31"/>
      <c r="AK121" s="294"/>
      <c r="AL121" s="89"/>
      <c r="AM121" s="88" t="str">
        <f t="shared" si="32"/>
        <v>NA</v>
      </c>
      <c r="AN121" s="88" t="str">
        <f t="shared" si="33"/>
        <v>NA</v>
      </c>
      <c r="AO121" s="111"/>
      <c r="AP121" s="112"/>
      <c r="AQ121" s="113"/>
      <c r="AR121" s="112"/>
      <c r="AS121" s="31"/>
      <c r="AT121" s="32"/>
      <c r="AU121" s="90"/>
      <c r="AV121" s="88"/>
      <c r="AW121" s="88"/>
      <c r="AX121" s="111"/>
      <c r="AY121" s="112"/>
      <c r="AZ121" s="113"/>
      <c r="BA121" s="112"/>
      <c r="BB121" s="31"/>
      <c r="BC121" s="32"/>
      <c r="BD121" s="90"/>
      <c r="BE121" s="88"/>
      <c r="BF121" s="88"/>
      <c r="BG121" s="111"/>
      <c r="BH121" s="112"/>
      <c r="BI121" s="113"/>
      <c r="BJ121" s="112"/>
      <c r="BK121" s="31"/>
      <c r="BL121" s="32"/>
      <c r="BM121" s="90"/>
      <c r="BN121" s="88"/>
      <c r="BO121" s="88"/>
      <c r="BP121" s="111"/>
      <c r="BQ121" s="112"/>
      <c r="BR121" s="113"/>
      <c r="BS121" s="112"/>
      <c r="BT121" s="31"/>
      <c r="BU121" s="32"/>
      <c r="BV121" s="90"/>
      <c r="BW121" s="88"/>
      <c r="BX121" s="88"/>
      <c r="BY121" s="111"/>
      <c r="BZ121" s="112"/>
      <c r="CA121" s="113"/>
      <c r="CB121" s="112"/>
      <c r="CC121" s="31"/>
      <c r="CD121" s="32"/>
      <c r="CE121" s="90"/>
      <c r="CF121" s="88"/>
      <c r="CG121" s="88"/>
      <c r="CH121" s="111"/>
      <c r="CI121" s="112"/>
      <c r="CJ121" s="113"/>
      <c r="CK121" s="112"/>
      <c r="CL121" s="31"/>
      <c r="CM121" s="32"/>
      <c r="CN121" s="90"/>
      <c r="CO121" s="88"/>
      <c r="CP121" s="88"/>
      <c r="CQ121" s="111"/>
      <c r="CR121" s="112"/>
      <c r="CS121" s="113"/>
      <c r="CT121" s="112"/>
      <c r="CU121" s="55"/>
      <c r="CW121" s="230" t="s">
        <v>860</v>
      </c>
      <c r="CZ121" s="226" t="s">
        <v>541</v>
      </c>
    </row>
    <row r="122" spans="1:104" ht="26" x14ac:dyDescent="0.25">
      <c r="A122" s="17" t="s">
        <v>1093</v>
      </c>
      <c r="B122" s="17" t="s">
        <v>1094</v>
      </c>
      <c r="C122" s="17" t="s">
        <v>861</v>
      </c>
      <c r="D122" s="17" t="str">
        <f t="shared" si="34"/>
        <v>A</v>
      </c>
      <c r="E122" s="17" t="b">
        <f t="shared" si="35"/>
        <v>0</v>
      </c>
      <c r="F122" s="17" t="b">
        <f t="shared" si="36"/>
        <v>1</v>
      </c>
      <c r="G122" s="317" t="s">
        <v>1992</v>
      </c>
      <c r="H122" s="324" t="s">
        <v>2318</v>
      </c>
      <c r="I122" s="315" t="s">
        <v>1094</v>
      </c>
      <c r="J122" s="147" t="s">
        <v>861</v>
      </c>
      <c r="K122" s="31"/>
      <c r="L122" s="32" t="s">
        <v>354</v>
      </c>
      <c r="M122" s="90" t="s">
        <v>31</v>
      </c>
      <c r="N122" s="111" t="s">
        <v>2470</v>
      </c>
      <c r="O122" s="112"/>
      <c r="P122" s="113"/>
      <c r="Q122" s="112"/>
      <c r="R122" s="31"/>
      <c r="S122" s="32"/>
      <c r="T122" s="90"/>
      <c r="U122" s="88" t="str">
        <f t="shared" si="30"/>
        <v>NA</v>
      </c>
      <c r="V122" s="88" t="str">
        <f t="shared" si="31"/>
        <v>YES</v>
      </c>
      <c r="W122" s="111"/>
      <c r="X122" s="112"/>
      <c r="Y122" s="113"/>
      <c r="Z122" s="112"/>
      <c r="AA122" s="31"/>
      <c r="AB122" s="302"/>
      <c r="AC122" s="89"/>
      <c r="AD122" s="88" t="str">
        <f t="shared" si="37"/>
        <v>NA</v>
      </c>
      <c r="AE122" s="88" t="str">
        <f t="shared" si="38"/>
        <v>NA</v>
      </c>
      <c r="AF122" s="111"/>
      <c r="AG122" s="112"/>
      <c r="AH122" s="113"/>
      <c r="AI122" s="112"/>
      <c r="AJ122" s="31"/>
      <c r="AK122" s="294"/>
      <c r="AL122" s="89"/>
      <c r="AM122" s="88" t="str">
        <f t="shared" si="32"/>
        <v>NA</v>
      </c>
      <c r="AN122" s="88" t="str">
        <f t="shared" si="33"/>
        <v>NA</v>
      </c>
      <c r="AO122" s="111"/>
      <c r="AP122" s="112"/>
      <c r="AQ122" s="113"/>
      <c r="AR122" s="112"/>
      <c r="AS122" s="31"/>
      <c r="AT122" s="32"/>
      <c r="AU122" s="90"/>
      <c r="AV122" s="88"/>
      <c r="AW122" s="88"/>
      <c r="AX122" s="111"/>
      <c r="AY122" s="112"/>
      <c r="AZ122" s="113"/>
      <c r="BA122" s="112"/>
      <c r="BB122" s="31"/>
      <c r="BC122" s="32"/>
      <c r="BD122" s="90"/>
      <c r="BE122" s="88"/>
      <c r="BF122" s="88"/>
      <c r="BG122" s="111"/>
      <c r="BH122" s="112"/>
      <c r="BI122" s="113"/>
      <c r="BJ122" s="112"/>
      <c r="BK122" s="31"/>
      <c r="BL122" s="32"/>
      <c r="BM122" s="90"/>
      <c r="BN122" s="88"/>
      <c r="BO122" s="88"/>
      <c r="BP122" s="111"/>
      <c r="BQ122" s="112"/>
      <c r="BR122" s="113"/>
      <c r="BS122" s="112"/>
      <c r="BT122" s="31"/>
      <c r="BU122" s="32"/>
      <c r="BV122" s="90"/>
      <c r="BW122" s="88"/>
      <c r="BX122" s="88"/>
      <c r="BY122" s="111"/>
      <c r="BZ122" s="112"/>
      <c r="CA122" s="113"/>
      <c r="CB122" s="112"/>
      <c r="CC122" s="31"/>
      <c r="CD122" s="32"/>
      <c r="CE122" s="90"/>
      <c r="CF122" s="88"/>
      <c r="CG122" s="88"/>
      <c r="CH122" s="111"/>
      <c r="CI122" s="112"/>
      <c r="CJ122" s="113"/>
      <c r="CK122" s="112"/>
      <c r="CL122" s="31"/>
      <c r="CM122" s="32"/>
      <c r="CN122" s="90"/>
      <c r="CO122" s="88"/>
      <c r="CP122" s="88"/>
      <c r="CQ122" s="111"/>
      <c r="CR122" s="112"/>
      <c r="CS122" s="113"/>
      <c r="CT122" s="112"/>
      <c r="CU122" s="55"/>
      <c r="CW122" s="230" t="s">
        <v>861</v>
      </c>
      <c r="CZ122" s="226" t="s">
        <v>541</v>
      </c>
    </row>
    <row r="123" spans="1:104" ht="26" x14ac:dyDescent="0.25">
      <c r="A123" s="17" t="s">
        <v>1095</v>
      </c>
      <c r="B123" s="17" t="s">
        <v>1096</v>
      </c>
      <c r="C123" s="17" t="s">
        <v>1097</v>
      </c>
      <c r="D123" s="17" t="str">
        <f t="shared" si="34"/>
        <v>A</v>
      </c>
      <c r="E123" s="17" t="b">
        <f t="shared" si="35"/>
        <v>0</v>
      </c>
      <c r="F123" s="17" t="b">
        <f t="shared" si="36"/>
        <v>1</v>
      </c>
      <c r="G123" s="317" t="s">
        <v>1993</v>
      </c>
      <c r="H123" s="324" t="s">
        <v>2319</v>
      </c>
      <c r="I123" s="315" t="s">
        <v>1096</v>
      </c>
      <c r="J123" s="147" t="s">
        <v>1097</v>
      </c>
      <c r="K123" s="31"/>
      <c r="L123" s="32" t="s">
        <v>354</v>
      </c>
      <c r="M123" s="90" t="s">
        <v>31</v>
      </c>
      <c r="N123" s="111" t="s">
        <v>2470</v>
      </c>
      <c r="O123" s="112"/>
      <c r="P123" s="113"/>
      <c r="Q123" s="112"/>
      <c r="R123" s="31"/>
      <c r="S123" s="32"/>
      <c r="T123" s="90"/>
      <c r="U123" s="88" t="str">
        <f t="shared" si="30"/>
        <v>NA</v>
      </c>
      <c r="V123" s="88" t="str">
        <f t="shared" si="31"/>
        <v>YES</v>
      </c>
      <c r="W123" s="111"/>
      <c r="X123" s="112"/>
      <c r="Y123" s="113"/>
      <c r="Z123" s="112"/>
      <c r="AA123" s="31"/>
      <c r="AB123" s="302"/>
      <c r="AC123" s="89"/>
      <c r="AD123" s="88" t="str">
        <f t="shared" si="37"/>
        <v>NA</v>
      </c>
      <c r="AE123" s="88" t="str">
        <f t="shared" si="38"/>
        <v>NA</v>
      </c>
      <c r="AF123" s="111"/>
      <c r="AG123" s="112"/>
      <c r="AH123" s="113"/>
      <c r="AI123" s="112"/>
      <c r="AJ123" s="31"/>
      <c r="AK123" s="294"/>
      <c r="AL123" s="89"/>
      <c r="AM123" s="88" t="str">
        <f t="shared" si="32"/>
        <v>NA</v>
      </c>
      <c r="AN123" s="88" t="str">
        <f t="shared" si="33"/>
        <v>NA</v>
      </c>
      <c r="AO123" s="111"/>
      <c r="AP123" s="112"/>
      <c r="AQ123" s="113"/>
      <c r="AR123" s="112"/>
      <c r="AS123" s="31"/>
      <c r="AT123" s="32"/>
      <c r="AU123" s="90"/>
      <c r="AV123" s="88"/>
      <c r="AW123" s="88"/>
      <c r="AX123" s="111"/>
      <c r="AY123" s="112"/>
      <c r="AZ123" s="113"/>
      <c r="BA123" s="112"/>
      <c r="BB123" s="31"/>
      <c r="BC123" s="32"/>
      <c r="BD123" s="90"/>
      <c r="BE123" s="88"/>
      <c r="BF123" s="88"/>
      <c r="BG123" s="111"/>
      <c r="BH123" s="112"/>
      <c r="BI123" s="113"/>
      <c r="BJ123" s="112"/>
      <c r="BK123" s="31"/>
      <c r="BL123" s="32"/>
      <c r="BM123" s="90"/>
      <c r="BN123" s="88"/>
      <c r="BO123" s="88"/>
      <c r="BP123" s="111"/>
      <c r="BQ123" s="112"/>
      <c r="BR123" s="113"/>
      <c r="BS123" s="112"/>
      <c r="BT123" s="31"/>
      <c r="BU123" s="32"/>
      <c r="BV123" s="90"/>
      <c r="BW123" s="88"/>
      <c r="BX123" s="88"/>
      <c r="BY123" s="111"/>
      <c r="BZ123" s="112"/>
      <c r="CA123" s="113"/>
      <c r="CB123" s="112"/>
      <c r="CC123" s="31"/>
      <c r="CD123" s="32"/>
      <c r="CE123" s="90"/>
      <c r="CF123" s="88"/>
      <c r="CG123" s="88"/>
      <c r="CH123" s="111"/>
      <c r="CI123" s="112"/>
      <c r="CJ123" s="113"/>
      <c r="CK123" s="112"/>
      <c r="CL123" s="31"/>
      <c r="CM123" s="32"/>
      <c r="CN123" s="90"/>
      <c r="CO123" s="88"/>
      <c r="CP123" s="88"/>
      <c r="CQ123" s="111"/>
      <c r="CR123" s="112"/>
      <c r="CS123" s="113"/>
      <c r="CT123" s="112"/>
      <c r="CU123" s="55"/>
      <c r="CW123" s="230" t="s">
        <v>1097</v>
      </c>
      <c r="CZ123" s="226" t="s">
        <v>541</v>
      </c>
    </row>
    <row r="124" spans="1:104" ht="26" x14ac:dyDescent="0.25">
      <c r="A124" s="17" t="s">
        <v>1098</v>
      </c>
      <c r="B124" s="17" t="s">
        <v>1099</v>
      </c>
      <c r="C124" s="17" t="s">
        <v>1705</v>
      </c>
      <c r="D124" s="17" t="str">
        <f t="shared" si="34"/>
        <v>B</v>
      </c>
      <c r="E124" s="17" t="b">
        <f t="shared" si="35"/>
        <v>0</v>
      </c>
      <c r="F124" s="17" t="b">
        <f t="shared" si="36"/>
        <v>0</v>
      </c>
      <c r="G124" s="317" t="s">
        <v>1994</v>
      </c>
      <c r="H124" s="324" t="s">
        <v>2320</v>
      </c>
      <c r="I124" s="315" t="s">
        <v>1995</v>
      </c>
      <c r="J124" s="210" t="s">
        <v>1996</v>
      </c>
      <c r="K124" s="31"/>
      <c r="L124" s="32" t="s">
        <v>354</v>
      </c>
      <c r="M124" s="90" t="s">
        <v>31</v>
      </c>
      <c r="N124" s="111" t="s">
        <v>2470</v>
      </c>
      <c r="O124" s="112"/>
      <c r="P124" s="113"/>
      <c r="Q124" s="112"/>
      <c r="R124" s="31"/>
      <c r="S124" s="32"/>
      <c r="T124" s="90"/>
      <c r="U124" s="88" t="str">
        <f t="shared" si="30"/>
        <v>NA</v>
      </c>
      <c r="V124" s="88" t="str">
        <f t="shared" si="31"/>
        <v>YES</v>
      </c>
      <c r="W124" s="111"/>
      <c r="X124" s="112"/>
      <c r="Y124" s="113"/>
      <c r="Z124" s="112"/>
      <c r="AA124" s="31"/>
      <c r="AB124" s="302"/>
      <c r="AC124" s="89"/>
      <c r="AD124" s="88" t="str">
        <f t="shared" si="37"/>
        <v>NA</v>
      </c>
      <c r="AE124" s="88" t="str">
        <f t="shared" si="38"/>
        <v>NA</v>
      </c>
      <c r="AF124" s="111"/>
      <c r="AG124" s="112"/>
      <c r="AH124" s="113"/>
      <c r="AI124" s="112"/>
      <c r="AJ124" s="31"/>
      <c r="AK124" s="294"/>
      <c r="AL124" s="89"/>
      <c r="AM124" s="88" t="str">
        <f t="shared" si="32"/>
        <v>NA</v>
      </c>
      <c r="AN124" s="88" t="str">
        <f t="shared" si="33"/>
        <v>NA</v>
      </c>
      <c r="AO124" s="111"/>
      <c r="AP124" s="112"/>
      <c r="AQ124" s="113"/>
      <c r="AR124" s="112"/>
      <c r="AS124" s="31"/>
      <c r="AT124" s="32"/>
      <c r="AU124" s="90"/>
      <c r="AV124" s="88"/>
      <c r="AW124" s="88"/>
      <c r="AX124" s="111"/>
      <c r="AY124" s="112"/>
      <c r="AZ124" s="113"/>
      <c r="BA124" s="112"/>
      <c r="BB124" s="31"/>
      <c r="BC124" s="32"/>
      <c r="BD124" s="90"/>
      <c r="BE124" s="88"/>
      <c r="BF124" s="88"/>
      <c r="BG124" s="111"/>
      <c r="BH124" s="112"/>
      <c r="BI124" s="113"/>
      <c r="BJ124" s="112"/>
      <c r="BK124" s="31"/>
      <c r="BL124" s="32"/>
      <c r="BM124" s="90"/>
      <c r="BN124" s="88"/>
      <c r="BO124" s="88"/>
      <c r="BP124" s="111"/>
      <c r="BQ124" s="112"/>
      <c r="BR124" s="113"/>
      <c r="BS124" s="112"/>
      <c r="BT124" s="31"/>
      <c r="BU124" s="32"/>
      <c r="BV124" s="90"/>
      <c r="BW124" s="88"/>
      <c r="BX124" s="88"/>
      <c r="BY124" s="111"/>
      <c r="BZ124" s="112"/>
      <c r="CA124" s="113"/>
      <c r="CB124" s="112"/>
      <c r="CC124" s="31"/>
      <c r="CD124" s="32"/>
      <c r="CE124" s="90"/>
      <c r="CF124" s="88"/>
      <c r="CG124" s="88"/>
      <c r="CH124" s="111"/>
      <c r="CI124" s="112"/>
      <c r="CJ124" s="113"/>
      <c r="CK124" s="112"/>
      <c r="CL124" s="31"/>
      <c r="CM124" s="32"/>
      <c r="CN124" s="90"/>
      <c r="CO124" s="88"/>
      <c r="CP124" s="88"/>
      <c r="CQ124" s="111"/>
      <c r="CR124" s="112"/>
      <c r="CS124" s="113"/>
      <c r="CT124" s="112"/>
      <c r="CU124" s="55"/>
      <c r="CW124" s="230" t="s">
        <v>862</v>
      </c>
      <c r="CZ124" s="226" t="s">
        <v>541</v>
      </c>
    </row>
    <row r="125" spans="1:104" ht="26" x14ac:dyDescent="0.25">
      <c r="A125" s="17" t="s">
        <v>1100</v>
      </c>
      <c r="B125" s="17" t="s">
        <v>1101</v>
      </c>
      <c r="C125" s="17" t="s">
        <v>1706</v>
      </c>
      <c r="D125" s="17" t="str">
        <f t="shared" si="34"/>
        <v>B</v>
      </c>
      <c r="E125" s="17" t="b">
        <f t="shared" si="35"/>
        <v>0</v>
      </c>
      <c r="F125" s="17" t="b">
        <f t="shared" si="36"/>
        <v>0</v>
      </c>
      <c r="G125" s="317" t="s">
        <v>1997</v>
      </c>
      <c r="H125" s="324" t="s">
        <v>2321</v>
      </c>
      <c r="I125" s="315" t="s">
        <v>1998</v>
      </c>
      <c r="J125" s="210" t="s">
        <v>1999</v>
      </c>
      <c r="K125" s="31"/>
      <c r="L125" s="32" t="s">
        <v>354</v>
      </c>
      <c r="M125" s="90" t="s">
        <v>31</v>
      </c>
      <c r="N125" s="111" t="s">
        <v>2470</v>
      </c>
      <c r="O125" s="112"/>
      <c r="P125" s="113"/>
      <c r="Q125" s="112"/>
      <c r="R125" s="31"/>
      <c r="S125" s="32"/>
      <c r="T125" s="90"/>
      <c r="U125" s="88" t="str">
        <f t="shared" si="30"/>
        <v>NA</v>
      </c>
      <c r="V125" s="88" t="str">
        <f t="shared" si="31"/>
        <v>YES</v>
      </c>
      <c r="W125" s="111"/>
      <c r="X125" s="112"/>
      <c r="Y125" s="113"/>
      <c r="Z125" s="112"/>
      <c r="AA125" s="31"/>
      <c r="AB125" s="302"/>
      <c r="AC125" s="89"/>
      <c r="AD125" s="88" t="str">
        <f t="shared" si="37"/>
        <v>NA</v>
      </c>
      <c r="AE125" s="88" t="str">
        <f t="shared" si="38"/>
        <v>NA</v>
      </c>
      <c r="AF125" s="111"/>
      <c r="AG125" s="112"/>
      <c r="AH125" s="113"/>
      <c r="AI125" s="112"/>
      <c r="AJ125" s="31"/>
      <c r="AK125" s="294"/>
      <c r="AL125" s="89"/>
      <c r="AM125" s="88" t="str">
        <f t="shared" si="32"/>
        <v>NA</v>
      </c>
      <c r="AN125" s="88" t="str">
        <f t="shared" si="33"/>
        <v>NA</v>
      </c>
      <c r="AO125" s="111"/>
      <c r="AP125" s="112"/>
      <c r="AQ125" s="113"/>
      <c r="AR125" s="112"/>
      <c r="AS125" s="31"/>
      <c r="AT125" s="32"/>
      <c r="AU125" s="90"/>
      <c r="AV125" s="88"/>
      <c r="AW125" s="88"/>
      <c r="AX125" s="111"/>
      <c r="AY125" s="112"/>
      <c r="AZ125" s="113"/>
      <c r="BA125" s="112"/>
      <c r="BB125" s="31"/>
      <c r="BC125" s="32"/>
      <c r="BD125" s="90"/>
      <c r="BE125" s="88"/>
      <c r="BF125" s="88"/>
      <c r="BG125" s="111"/>
      <c r="BH125" s="112"/>
      <c r="BI125" s="113"/>
      <c r="BJ125" s="112"/>
      <c r="BK125" s="31"/>
      <c r="BL125" s="32"/>
      <c r="BM125" s="90"/>
      <c r="BN125" s="88"/>
      <c r="BO125" s="88"/>
      <c r="BP125" s="111"/>
      <c r="BQ125" s="112"/>
      <c r="BR125" s="113"/>
      <c r="BS125" s="112"/>
      <c r="BT125" s="31"/>
      <c r="BU125" s="32"/>
      <c r="BV125" s="90"/>
      <c r="BW125" s="88"/>
      <c r="BX125" s="88"/>
      <c r="BY125" s="111"/>
      <c r="BZ125" s="112"/>
      <c r="CA125" s="113"/>
      <c r="CB125" s="112"/>
      <c r="CC125" s="31"/>
      <c r="CD125" s="32"/>
      <c r="CE125" s="90"/>
      <c r="CF125" s="88"/>
      <c r="CG125" s="88"/>
      <c r="CH125" s="111"/>
      <c r="CI125" s="112"/>
      <c r="CJ125" s="113"/>
      <c r="CK125" s="112"/>
      <c r="CL125" s="31"/>
      <c r="CM125" s="32"/>
      <c r="CN125" s="90"/>
      <c r="CO125" s="88"/>
      <c r="CP125" s="88"/>
      <c r="CQ125" s="111"/>
      <c r="CR125" s="112"/>
      <c r="CS125" s="113"/>
      <c r="CT125" s="112"/>
      <c r="CU125" s="55"/>
      <c r="CW125" s="230" t="s">
        <v>863</v>
      </c>
      <c r="CZ125" s="226" t="s">
        <v>541</v>
      </c>
    </row>
    <row r="126" spans="1:104" ht="26" x14ac:dyDescent="0.25">
      <c r="A126" s="17" t="s">
        <v>1102</v>
      </c>
      <c r="B126" s="17" t="s">
        <v>1103</v>
      </c>
      <c r="C126" s="17" t="s">
        <v>1707</v>
      </c>
      <c r="D126" s="17" t="str">
        <f t="shared" si="34"/>
        <v>B</v>
      </c>
      <c r="E126" s="17" t="b">
        <f t="shared" si="35"/>
        <v>0</v>
      </c>
      <c r="F126" s="17" t="b">
        <f t="shared" si="36"/>
        <v>0</v>
      </c>
      <c r="G126" s="317" t="s">
        <v>2000</v>
      </c>
      <c r="H126" s="324" t="s">
        <v>2322</v>
      </c>
      <c r="I126" s="315" t="s">
        <v>2001</v>
      </c>
      <c r="J126" s="210" t="s">
        <v>2002</v>
      </c>
      <c r="K126" s="31"/>
      <c r="L126" s="32" t="s">
        <v>354</v>
      </c>
      <c r="M126" s="90" t="s">
        <v>31</v>
      </c>
      <c r="N126" s="111" t="s">
        <v>2470</v>
      </c>
      <c r="O126" s="112"/>
      <c r="P126" s="113"/>
      <c r="Q126" s="112"/>
      <c r="R126" s="31"/>
      <c r="S126" s="32"/>
      <c r="T126" s="90"/>
      <c r="U126" s="88" t="str">
        <f t="shared" si="30"/>
        <v>NA</v>
      </c>
      <c r="V126" s="88" t="str">
        <f t="shared" si="31"/>
        <v>YES</v>
      </c>
      <c r="W126" s="111"/>
      <c r="X126" s="112"/>
      <c r="Y126" s="113"/>
      <c r="Z126" s="112"/>
      <c r="AA126" s="31"/>
      <c r="AB126" s="302"/>
      <c r="AC126" s="89"/>
      <c r="AD126" s="88" t="str">
        <f t="shared" si="37"/>
        <v>NA</v>
      </c>
      <c r="AE126" s="88" t="str">
        <f t="shared" si="38"/>
        <v>NA</v>
      </c>
      <c r="AF126" s="111"/>
      <c r="AG126" s="112"/>
      <c r="AH126" s="113"/>
      <c r="AI126" s="112"/>
      <c r="AJ126" s="31"/>
      <c r="AK126" s="294"/>
      <c r="AL126" s="89"/>
      <c r="AM126" s="88" t="str">
        <f t="shared" si="32"/>
        <v>NA</v>
      </c>
      <c r="AN126" s="88" t="str">
        <f t="shared" si="33"/>
        <v>NA</v>
      </c>
      <c r="AO126" s="111"/>
      <c r="AP126" s="112"/>
      <c r="AQ126" s="113"/>
      <c r="AR126" s="112"/>
      <c r="AS126" s="31"/>
      <c r="AT126" s="32"/>
      <c r="AU126" s="90"/>
      <c r="AV126" s="88"/>
      <c r="AW126" s="88"/>
      <c r="AX126" s="111"/>
      <c r="AY126" s="112"/>
      <c r="AZ126" s="113"/>
      <c r="BA126" s="112"/>
      <c r="BB126" s="31"/>
      <c r="BC126" s="32"/>
      <c r="BD126" s="90"/>
      <c r="BE126" s="88"/>
      <c r="BF126" s="88"/>
      <c r="BG126" s="111"/>
      <c r="BH126" s="112"/>
      <c r="BI126" s="113"/>
      <c r="BJ126" s="112"/>
      <c r="BK126" s="31"/>
      <c r="BL126" s="32"/>
      <c r="BM126" s="90"/>
      <c r="BN126" s="88"/>
      <c r="BO126" s="88"/>
      <c r="BP126" s="111"/>
      <c r="BQ126" s="112"/>
      <c r="BR126" s="113"/>
      <c r="BS126" s="112"/>
      <c r="BT126" s="31"/>
      <c r="BU126" s="32"/>
      <c r="BV126" s="90"/>
      <c r="BW126" s="88"/>
      <c r="BX126" s="88"/>
      <c r="BY126" s="111"/>
      <c r="BZ126" s="112"/>
      <c r="CA126" s="113"/>
      <c r="CB126" s="112"/>
      <c r="CC126" s="31"/>
      <c r="CD126" s="32"/>
      <c r="CE126" s="90"/>
      <c r="CF126" s="88"/>
      <c r="CG126" s="88"/>
      <c r="CH126" s="111"/>
      <c r="CI126" s="112"/>
      <c r="CJ126" s="113"/>
      <c r="CK126" s="112"/>
      <c r="CL126" s="31"/>
      <c r="CM126" s="32"/>
      <c r="CN126" s="90"/>
      <c r="CO126" s="88"/>
      <c r="CP126" s="88"/>
      <c r="CQ126" s="111"/>
      <c r="CR126" s="112"/>
      <c r="CS126" s="113"/>
      <c r="CT126" s="112"/>
      <c r="CU126" s="55"/>
      <c r="CW126" s="230" t="s">
        <v>864</v>
      </c>
      <c r="CZ126" s="226" t="s">
        <v>1589</v>
      </c>
    </row>
    <row r="127" spans="1:104" ht="26" x14ac:dyDescent="0.25">
      <c r="A127" s="17" t="s">
        <v>1104</v>
      </c>
      <c r="B127" s="17" t="s">
        <v>1105</v>
      </c>
      <c r="C127" s="17" t="s">
        <v>1708</v>
      </c>
      <c r="D127" s="17" t="str">
        <f t="shared" si="34"/>
        <v>B</v>
      </c>
      <c r="E127" s="17" t="b">
        <f t="shared" si="35"/>
        <v>0</v>
      </c>
      <c r="F127" s="17" t="b">
        <f t="shared" si="36"/>
        <v>0</v>
      </c>
      <c r="G127" s="317" t="s">
        <v>2003</v>
      </c>
      <c r="H127" s="324" t="s">
        <v>2323</v>
      </c>
      <c r="I127" s="315" t="s">
        <v>1105</v>
      </c>
      <c r="J127" s="210" t="s">
        <v>2004</v>
      </c>
      <c r="K127" s="31"/>
      <c r="L127" s="32" t="s">
        <v>354</v>
      </c>
      <c r="M127" s="90" t="s">
        <v>31</v>
      </c>
      <c r="N127" s="111" t="s">
        <v>2470</v>
      </c>
      <c r="O127" s="112"/>
      <c r="P127" s="113"/>
      <c r="Q127" s="112"/>
      <c r="R127" s="31"/>
      <c r="S127" s="32"/>
      <c r="T127" s="90"/>
      <c r="U127" s="88" t="str">
        <f t="shared" si="30"/>
        <v>NA</v>
      </c>
      <c r="V127" s="88" t="str">
        <f t="shared" si="31"/>
        <v>YES</v>
      </c>
      <c r="W127" s="111"/>
      <c r="X127" s="112"/>
      <c r="Y127" s="113"/>
      <c r="Z127" s="112"/>
      <c r="AA127" s="31"/>
      <c r="AB127" s="302"/>
      <c r="AC127" s="89"/>
      <c r="AD127" s="88" t="str">
        <f t="shared" si="37"/>
        <v>NA</v>
      </c>
      <c r="AE127" s="88" t="str">
        <f t="shared" si="38"/>
        <v>NA</v>
      </c>
      <c r="AF127" s="111"/>
      <c r="AG127" s="112"/>
      <c r="AH127" s="113"/>
      <c r="AI127" s="112"/>
      <c r="AJ127" s="31"/>
      <c r="AK127" s="294"/>
      <c r="AL127" s="89"/>
      <c r="AM127" s="88" t="str">
        <f t="shared" si="32"/>
        <v>NA</v>
      </c>
      <c r="AN127" s="88" t="str">
        <f t="shared" si="33"/>
        <v>NA</v>
      </c>
      <c r="AO127" s="111"/>
      <c r="AP127" s="112"/>
      <c r="AQ127" s="113"/>
      <c r="AR127" s="112"/>
      <c r="AS127" s="31"/>
      <c r="AT127" s="32"/>
      <c r="AU127" s="90"/>
      <c r="AV127" s="88"/>
      <c r="AW127" s="88"/>
      <c r="AX127" s="111"/>
      <c r="AY127" s="112"/>
      <c r="AZ127" s="113"/>
      <c r="BA127" s="112"/>
      <c r="BB127" s="31"/>
      <c r="BC127" s="32"/>
      <c r="BD127" s="90"/>
      <c r="BE127" s="88"/>
      <c r="BF127" s="88"/>
      <c r="BG127" s="111"/>
      <c r="BH127" s="112"/>
      <c r="BI127" s="113"/>
      <c r="BJ127" s="112"/>
      <c r="BK127" s="31"/>
      <c r="BL127" s="32"/>
      <c r="BM127" s="90"/>
      <c r="BN127" s="88"/>
      <c r="BO127" s="88"/>
      <c r="BP127" s="111"/>
      <c r="BQ127" s="112"/>
      <c r="BR127" s="113"/>
      <c r="BS127" s="112"/>
      <c r="BT127" s="31"/>
      <c r="BU127" s="32"/>
      <c r="BV127" s="90"/>
      <c r="BW127" s="88"/>
      <c r="BX127" s="88"/>
      <c r="BY127" s="111"/>
      <c r="BZ127" s="112"/>
      <c r="CA127" s="113"/>
      <c r="CB127" s="112"/>
      <c r="CC127" s="31"/>
      <c r="CD127" s="32"/>
      <c r="CE127" s="90"/>
      <c r="CF127" s="88"/>
      <c r="CG127" s="88"/>
      <c r="CH127" s="111"/>
      <c r="CI127" s="112"/>
      <c r="CJ127" s="113"/>
      <c r="CK127" s="112"/>
      <c r="CL127" s="31"/>
      <c r="CM127" s="32"/>
      <c r="CN127" s="90"/>
      <c r="CO127" s="88"/>
      <c r="CP127" s="88"/>
      <c r="CQ127" s="111"/>
      <c r="CR127" s="112"/>
      <c r="CS127" s="113"/>
      <c r="CT127" s="112"/>
      <c r="CU127" s="55"/>
      <c r="CW127" s="230" t="s">
        <v>865</v>
      </c>
      <c r="CZ127" s="226" t="s">
        <v>541</v>
      </c>
    </row>
    <row r="128" spans="1:104" ht="125.5" x14ac:dyDescent="0.25">
      <c r="A128" s="17" t="s">
        <v>1106</v>
      </c>
      <c r="B128" s="17" t="s">
        <v>1107</v>
      </c>
      <c r="C128" s="17" t="s">
        <v>1709</v>
      </c>
      <c r="D128" s="17" t="str">
        <f t="shared" si="34"/>
        <v>B</v>
      </c>
      <c r="E128" s="17" t="b">
        <f t="shared" si="35"/>
        <v>0</v>
      </c>
      <c r="F128" s="17" t="b">
        <f t="shared" si="36"/>
        <v>0</v>
      </c>
      <c r="G128" s="317" t="s">
        <v>2005</v>
      </c>
      <c r="H128" s="324" t="s">
        <v>2324</v>
      </c>
      <c r="I128" s="315" t="s">
        <v>2006</v>
      </c>
      <c r="J128" s="210" t="s">
        <v>2007</v>
      </c>
      <c r="K128" s="31"/>
      <c r="L128" s="32" t="s">
        <v>354</v>
      </c>
      <c r="M128" s="90" t="s">
        <v>31</v>
      </c>
      <c r="N128" s="111" t="s">
        <v>2471</v>
      </c>
      <c r="O128" s="330" t="s">
        <v>2478</v>
      </c>
      <c r="P128" s="113"/>
      <c r="Q128" s="112"/>
      <c r="R128" s="31"/>
      <c r="S128" s="32"/>
      <c r="T128" s="90"/>
      <c r="U128" s="88" t="str">
        <f t="shared" si="30"/>
        <v>NA</v>
      </c>
      <c r="V128" s="88" t="str">
        <f t="shared" si="31"/>
        <v>YES</v>
      </c>
      <c r="W128" s="111"/>
      <c r="X128" s="112"/>
      <c r="Y128" s="113"/>
      <c r="Z128" s="112"/>
      <c r="AA128" s="31"/>
      <c r="AB128" s="302"/>
      <c r="AC128" s="89"/>
      <c r="AD128" s="88" t="str">
        <f t="shared" si="37"/>
        <v>NA</v>
      </c>
      <c r="AE128" s="88" t="str">
        <f t="shared" si="38"/>
        <v>NA</v>
      </c>
      <c r="AF128" s="111"/>
      <c r="AG128" s="112"/>
      <c r="AH128" s="113"/>
      <c r="AI128" s="112"/>
      <c r="AJ128" s="31"/>
      <c r="AK128" s="294"/>
      <c r="AL128" s="89"/>
      <c r="AM128" s="88" t="str">
        <f t="shared" si="32"/>
        <v>NA</v>
      </c>
      <c r="AN128" s="88" t="str">
        <f t="shared" si="33"/>
        <v>NA</v>
      </c>
      <c r="AO128" s="111"/>
      <c r="AP128" s="112"/>
      <c r="AQ128" s="113"/>
      <c r="AR128" s="112"/>
      <c r="AS128" s="31"/>
      <c r="AT128" s="32"/>
      <c r="AU128" s="90"/>
      <c r="AV128" s="88"/>
      <c r="AW128" s="88"/>
      <c r="AX128" s="111"/>
      <c r="AY128" s="112"/>
      <c r="AZ128" s="113"/>
      <c r="BA128" s="112"/>
      <c r="BB128" s="31"/>
      <c r="BC128" s="32"/>
      <c r="BD128" s="90"/>
      <c r="BE128" s="88"/>
      <c r="BF128" s="88"/>
      <c r="BG128" s="111"/>
      <c r="BH128" s="112"/>
      <c r="BI128" s="113"/>
      <c r="BJ128" s="112"/>
      <c r="BK128" s="31"/>
      <c r="BL128" s="32"/>
      <c r="BM128" s="90"/>
      <c r="BN128" s="88"/>
      <c r="BO128" s="88"/>
      <c r="BP128" s="111"/>
      <c r="BQ128" s="112"/>
      <c r="BR128" s="113"/>
      <c r="BS128" s="112"/>
      <c r="BT128" s="31"/>
      <c r="BU128" s="32"/>
      <c r="BV128" s="90"/>
      <c r="BW128" s="88"/>
      <c r="BX128" s="88"/>
      <c r="BY128" s="111"/>
      <c r="BZ128" s="112"/>
      <c r="CA128" s="113"/>
      <c r="CB128" s="112"/>
      <c r="CC128" s="31"/>
      <c r="CD128" s="32"/>
      <c r="CE128" s="90"/>
      <c r="CF128" s="88"/>
      <c r="CG128" s="88"/>
      <c r="CH128" s="111"/>
      <c r="CI128" s="112"/>
      <c r="CJ128" s="113"/>
      <c r="CK128" s="112"/>
      <c r="CL128" s="31"/>
      <c r="CM128" s="32"/>
      <c r="CN128" s="90"/>
      <c r="CO128" s="88"/>
      <c r="CP128" s="88"/>
      <c r="CQ128" s="111"/>
      <c r="CR128" s="112"/>
      <c r="CS128" s="113"/>
      <c r="CT128" s="112"/>
      <c r="CU128" s="55"/>
      <c r="CW128" s="230" t="s">
        <v>866</v>
      </c>
      <c r="CZ128" s="226" t="s">
        <v>1589</v>
      </c>
    </row>
    <row r="129" spans="1:104" ht="39" hidden="1" x14ac:dyDescent="0.25">
      <c r="A129" s="17" t="s">
        <v>1108</v>
      </c>
      <c r="B129" s="17" t="s">
        <v>1109</v>
      </c>
      <c r="C129" s="17" t="s">
        <v>1110</v>
      </c>
      <c r="D129" s="17" t="str">
        <f t="shared" si="34"/>
        <v>A</v>
      </c>
      <c r="E129" s="17" t="b">
        <f t="shared" si="35"/>
        <v>0</v>
      </c>
      <c r="F129" s="17" t="b">
        <f t="shared" si="36"/>
        <v>1</v>
      </c>
      <c r="G129" s="317" t="s">
        <v>2008</v>
      </c>
      <c r="H129" s="324" t="s">
        <v>2325</v>
      </c>
      <c r="I129" s="315" t="s">
        <v>1109</v>
      </c>
      <c r="J129" s="147" t="s">
        <v>1110</v>
      </c>
      <c r="K129" s="31"/>
      <c r="L129" s="32" t="s">
        <v>354</v>
      </c>
      <c r="M129" s="90"/>
      <c r="N129" s="111"/>
      <c r="O129" s="112"/>
      <c r="P129" s="113"/>
      <c r="Q129" s="112"/>
      <c r="R129" s="31"/>
      <c r="S129" s="32"/>
      <c r="T129" s="90"/>
      <c r="U129" s="88" t="str">
        <f t="shared" si="30"/>
        <v>NA</v>
      </c>
      <c r="V129" s="88" t="str">
        <f t="shared" si="31"/>
        <v>NA</v>
      </c>
      <c r="W129" s="111"/>
      <c r="X129" s="112"/>
      <c r="Y129" s="113"/>
      <c r="Z129" s="112"/>
      <c r="AA129" s="31"/>
      <c r="AB129" s="302"/>
      <c r="AC129" s="89"/>
      <c r="AD129" s="88" t="str">
        <f t="shared" si="37"/>
        <v>NA</v>
      </c>
      <c r="AE129" s="88" t="str">
        <f t="shared" si="38"/>
        <v>NA</v>
      </c>
      <c r="AF129" s="111"/>
      <c r="AG129" s="112"/>
      <c r="AH129" s="113"/>
      <c r="AI129" s="112"/>
      <c r="AJ129" s="31"/>
      <c r="AK129" s="294"/>
      <c r="AL129" s="89"/>
      <c r="AM129" s="88" t="str">
        <f t="shared" si="32"/>
        <v>NA</v>
      </c>
      <c r="AN129" s="88" t="str">
        <f t="shared" si="33"/>
        <v>NA</v>
      </c>
      <c r="AO129" s="111"/>
      <c r="AP129" s="112"/>
      <c r="AQ129" s="113"/>
      <c r="AR129" s="112"/>
      <c r="AS129" s="31"/>
      <c r="AT129" s="32"/>
      <c r="AU129" s="90"/>
      <c r="AV129" s="88"/>
      <c r="AW129" s="88"/>
      <c r="AX129" s="111"/>
      <c r="AY129" s="112"/>
      <c r="AZ129" s="113"/>
      <c r="BA129" s="112"/>
      <c r="BB129" s="31"/>
      <c r="BC129" s="32"/>
      <c r="BD129" s="90"/>
      <c r="BE129" s="88"/>
      <c r="BF129" s="88"/>
      <c r="BG129" s="111"/>
      <c r="BH129" s="112"/>
      <c r="BI129" s="113"/>
      <c r="BJ129" s="112"/>
      <c r="BK129" s="31"/>
      <c r="BL129" s="32"/>
      <c r="BM129" s="90"/>
      <c r="BN129" s="88"/>
      <c r="BO129" s="88"/>
      <c r="BP129" s="111"/>
      <c r="BQ129" s="112"/>
      <c r="BR129" s="113"/>
      <c r="BS129" s="112"/>
      <c r="BT129" s="31"/>
      <c r="BU129" s="32"/>
      <c r="BV129" s="90"/>
      <c r="BW129" s="88"/>
      <c r="BX129" s="88"/>
      <c r="BY129" s="111"/>
      <c r="BZ129" s="112"/>
      <c r="CA129" s="113"/>
      <c r="CB129" s="112"/>
      <c r="CC129" s="31"/>
      <c r="CD129" s="32"/>
      <c r="CE129" s="90"/>
      <c r="CF129" s="88"/>
      <c r="CG129" s="88"/>
      <c r="CH129" s="111"/>
      <c r="CI129" s="112"/>
      <c r="CJ129" s="113"/>
      <c r="CK129" s="112"/>
      <c r="CL129" s="31"/>
      <c r="CM129" s="32"/>
      <c r="CN129" s="90"/>
      <c r="CO129" s="88"/>
      <c r="CP129" s="88"/>
      <c r="CQ129" s="111"/>
      <c r="CR129" s="112"/>
      <c r="CS129" s="113"/>
      <c r="CT129" s="112"/>
      <c r="CU129" s="55"/>
      <c r="CW129" s="230" t="s">
        <v>1110</v>
      </c>
      <c r="CZ129" s="226" t="s">
        <v>1590</v>
      </c>
    </row>
    <row r="130" spans="1:104" ht="26" hidden="1" x14ac:dyDescent="0.25">
      <c r="A130" s="17" t="s">
        <v>1111</v>
      </c>
      <c r="B130" s="17" t="s">
        <v>1112</v>
      </c>
      <c r="C130" s="17" t="s">
        <v>867</v>
      </c>
      <c r="D130" s="17" t="str">
        <f t="shared" si="34"/>
        <v>A</v>
      </c>
      <c r="E130" s="17" t="b">
        <f t="shared" si="35"/>
        <v>0</v>
      </c>
      <c r="F130" s="17" t="b">
        <f t="shared" si="36"/>
        <v>1</v>
      </c>
      <c r="G130" s="317" t="s">
        <v>2009</v>
      </c>
      <c r="H130" s="324" t="s">
        <v>2326</v>
      </c>
      <c r="I130" s="315" t="s">
        <v>1112</v>
      </c>
      <c r="J130" s="147" t="s">
        <v>867</v>
      </c>
      <c r="K130" s="31"/>
      <c r="L130" s="32" t="s">
        <v>354</v>
      </c>
      <c r="M130" s="90"/>
      <c r="N130" s="111"/>
      <c r="O130" s="112"/>
      <c r="P130" s="113"/>
      <c r="Q130" s="112"/>
      <c r="R130" s="31"/>
      <c r="S130" s="32"/>
      <c r="T130" s="90"/>
      <c r="U130" s="88" t="str">
        <f t="shared" si="30"/>
        <v>NA</v>
      </c>
      <c r="V130" s="88" t="str">
        <f t="shared" si="31"/>
        <v>NA</v>
      </c>
      <c r="W130" s="111"/>
      <c r="X130" s="112"/>
      <c r="Y130" s="113"/>
      <c r="Z130" s="112"/>
      <c r="AA130" s="31"/>
      <c r="AB130" s="302"/>
      <c r="AC130" s="89"/>
      <c r="AD130" s="88" t="str">
        <f t="shared" si="37"/>
        <v>NA</v>
      </c>
      <c r="AE130" s="88" t="str">
        <f t="shared" si="38"/>
        <v>NA</v>
      </c>
      <c r="AF130" s="111"/>
      <c r="AG130" s="112"/>
      <c r="AH130" s="113"/>
      <c r="AI130" s="112"/>
      <c r="AJ130" s="31"/>
      <c r="AK130" s="294"/>
      <c r="AL130" s="89"/>
      <c r="AM130" s="88" t="str">
        <f t="shared" si="32"/>
        <v>NA</v>
      </c>
      <c r="AN130" s="88" t="str">
        <f t="shared" si="33"/>
        <v>NA</v>
      </c>
      <c r="AO130" s="111"/>
      <c r="AP130" s="112"/>
      <c r="AQ130" s="113"/>
      <c r="AR130" s="112"/>
      <c r="AS130" s="31"/>
      <c r="AT130" s="32"/>
      <c r="AU130" s="90"/>
      <c r="AV130" s="88"/>
      <c r="AW130" s="88"/>
      <c r="AX130" s="111"/>
      <c r="AY130" s="112"/>
      <c r="AZ130" s="113"/>
      <c r="BA130" s="112"/>
      <c r="BB130" s="31"/>
      <c r="BC130" s="32"/>
      <c r="BD130" s="90"/>
      <c r="BE130" s="88"/>
      <c r="BF130" s="88"/>
      <c r="BG130" s="111"/>
      <c r="BH130" s="112"/>
      <c r="BI130" s="113"/>
      <c r="BJ130" s="112"/>
      <c r="BK130" s="31"/>
      <c r="BL130" s="32"/>
      <c r="BM130" s="90"/>
      <c r="BN130" s="88"/>
      <c r="BO130" s="88"/>
      <c r="BP130" s="111"/>
      <c r="BQ130" s="112"/>
      <c r="BR130" s="113"/>
      <c r="BS130" s="112"/>
      <c r="BT130" s="31"/>
      <c r="BU130" s="32"/>
      <c r="BV130" s="90"/>
      <c r="BW130" s="88"/>
      <c r="BX130" s="88"/>
      <c r="BY130" s="111"/>
      <c r="BZ130" s="112"/>
      <c r="CA130" s="113"/>
      <c r="CB130" s="112"/>
      <c r="CC130" s="31"/>
      <c r="CD130" s="32"/>
      <c r="CE130" s="90"/>
      <c r="CF130" s="88"/>
      <c r="CG130" s="88"/>
      <c r="CH130" s="111"/>
      <c r="CI130" s="112"/>
      <c r="CJ130" s="113"/>
      <c r="CK130" s="112"/>
      <c r="CL130" s="31"/>
      <c r="CM130" s="32"/>
      <c r="CN130" s="90"/>
      <c r="CO130" s="88"/>
      <c r="CP130" s="88"/>
      <c r="CQ130" s="111"/>
      <c r="CR130" s="112"/>
      <c r="CS130" s="113"/>
      <c r="CT130" s="112"/>
      <c r="CU130" s="55"/>
      <c r="CW130" s="230" t="s">
        <v>867</v>
      </c>
      <c r="CZ130" s="226" t="s">
        <v>1590</v>
      </c>
    </row>
    <row r="131" spans="1:104" ht="26" hidden="1" x14ac:dyDescent="0.25">
      <c r="A131" s="17" t="s">
        <v>1113</v>
      </c>
      <c r="B131" s="17" t="s">
        <v>1114</v>
      </c>
      <c r="C131" s="17" t="s">
        <v>868</v>
      </c>
      <c r="D131" s="17" t="str">
        <f t="shared" si="34"/>
        <v>A</v>
      </c>
      <c r="E131" s="17" t="b">
        <f t="shared" si="35"/>
        <v>0</v>
      </c>
      <c r="F131" s="17" t="b">
        <f t="shared" si="36"/>
        <v>1</v>
      </c>
      <c r="G131" s="317" t="s">
        <v>2010</v>
      </c>
      <c r="H131" s="324" t="s">
        <v>2327</v>
      </c>
      <c r="I131" s="315" t="s">
        <v>1114</v>
      </c>
      <c r="J131" s="147" t="s">
        <v>868</v>
      </c>
      <c r="K131" s="31"/>
      <c r="L131" s="32" t="s">
        <v>354</v>
      </c>
      <c r="M131" s="90"/>
      <c r="N131" s="111"/>
      <c r="O131" s="112"/>
      <c r="P131" s="113"/>
      <c r="Q131" s="112"/>
      <c r="R131" s="31"/>
      <c r="S131" s="32"/>
      <c r="T131" s="90"/>
      <c r="U131" s="88" t="str">
        <f t="shared" si="30"/>
        <v>NA</v>
      </c>
      <c r="V131" s="88" t="str">
        <f t="shared" si="31"/>
        <v>NA</v>
      </c>
      <c r="W131" s="111"/>
      <c r="X131" s="112"/>
      <c r="Y131" s="113"/>
      <c r="Z131" s="112"/>
      <c r="AA131" s="31"/>
      <c r="AB131" s="302"/>
      <c r="AC131" s="89"/>
      <c r="AD131" s="88" t="str">
        <f t="shared" si="37"/>
        <v>NA</v>
      </c>
      <c r="AE131" s="88" t="str">
        <f t="shared" si="38"/>
        <v>NA</v>
      </c>
      <c r="AF131" s="111"/>
      <c r="AG131" s="112"/>
      <c r="AH131" s="113"/>
      <c r="AI131" s="112"/>
      <c r="AJ131" s="31"/>
      <c r="AK131" s="294"/>
      <c r="AL131" s="89"/>
      <c r="AM131" s="88" t="str">
        <f t="shared" si="32"/>
        <v>NA</v>
      </c>
      <c r="AN131" s="88" t="str">
        <f t="shared" si="33"/>
        <v>NA</v>
      </c>
      <c r="AO131" s="111"/>
      <c r="AP131" s="112"/>
      <c r="AQ131" s="113"/>
      <c r="AR131" s="112"/>
      <c r="AS131" s="31"/>
      <c r="AT131" s="32"/>
      <c r="AU131" s="90"/>
      <c r="AV131" s="88"/>
      <c r="AW131" s="88"/>
      <c r="AX131" s="111"/>
      <c r="AY131" s="112"/>
      <c r="AZ131" s="113"/>
      <c r="BA131" s="112"/>
      <c r="BB131" s="31"/>
      <c r="BC131" s="32"/>
      <c r="BD131" s="90"/>
      <c r="BE131" s="88"/>
      <c r="BF131" s="88"/>
      <c r="BG131" s="111"/>
      <c r="BH131" s="112"/>
      <c r="BI131" s="113"/>
      <c r="BJ131" s="112"/>
      <c r="BK131" s="31"/>
      <c r="BL131" s="32"/>
      <c r="BM131" s="90"/>
      <c r="BN131" s="88"/>
      <c r="BO131" s="88"/>
      <c r="BP131" s="111"/>
      <c r="BQ131" s="112"/>
      <c r="BR131" s="113"/>
      <c r="BS131" s="112"/>
      <c r="BT131" s="31"/>
      <c r="BU131" s="32"/>
      <c r="BV131" s="90"/>
      <c r="BW131" s="88"/>
      <c r="BX131" s="88"/>
      <c r="BY131" s="111"/>
      <c r="BZ131" s="112"/>
      <c r="CA131" s="113"/>
      <c r="CB131" s="112"/>
      <c r="CC131" s="31"/>
      <c r="CD131" s="32"/>
      <c r="CE131" s="90"/>
      <c r="CF131" s="88"/>
      <c r="CG131" s="88"/>
      <c r="CH131" s="111"/>
      <c r="CI131" s="112"/>
      <c r="CJ131" s="113"/>
      <c r="CK131" s="112"/>
      <c r="CL131" s="31"/>
      <c r="CM131" s="32"/>
      <c r="CN131" s="90"/>
      <c r="CO131" s="88"/>
      <c r="CP131" s="88"/>
      <c r="CQ131" s="111"/>
      <c r="CR131" s="112"/>
      <c r="CS131" s="113"/>
      <c r="CT131" s="112"/>
      <c r="CU131" s="55"/>
      <c r="CW131" s="230" t="s">
        <v>868</v>
      </c>
      <c r="CZ131" s="226" t="s">
        <v>1590</v>
      </c>
    </row>
    <row r="132" spans="1:104" ht="26" hidden="1" x14ac:dyDescent="0.25">
      <c r="A132" s="17" t="s">
        <v>1115</v>
      </c>
      <c r="B132" s="17" t="s">
        <v>1116</v>
      </c>
      <c r="C132" s="17" t="s">
        <v>869</v>
      </c>
      <c r="D132" s="17" t="str">
        <f t="shared" si="34"/>
        <v>A</v>
      </c>
      <c r="E132" s="17" t="b">
        <f t="shared" si="35"/>
        <v>0</v>
      </c>
      <c r="F132" s="17" t="b">
        <f t="shared" si="36"/>
        <v>1</v>
      </c>
      <c r="G132" s="317" t="s">
        <v>2011</v>
      </c>
      <c r="H132" s="324" t="s">
        <v>2328</v>
      </c>
      <c r="I132" s="315" t="s">
        <v>1116</v>
      </c>
      <c r="J132" s="147" t="s">
        <v>869</v>
      </c>
      <c r="K132" s="31"/>
      <c r="L132" s="32" t="s">
        <v>354</v>
      </c>
      <c r="M132" s="90"/>
      <c r="N132" s="111"/>
      <c r="O132" s="112"/>
      <c r="P132" s="113"/>
      <c r="Q132" s="112"/>
      <c r="R132" s="31"/>
      <c r="S132" s="32"/>
      <c r="T132" s="90"/>
      <c r="U132" s="88" t="str">
        <f t="shared" si="30"/>
        <v>NA</v>
      </c>
      <c r="V132" s="88" t="str">
        <f t="shared" si="31"/>
        <v>NA</v>
      </c>
      <c r="W132" s="111"/>
      <c r="X132" s="112"/>
      <c r="Y132" s="113"/>
      <c r="Z132" s="112"/>
      <c r="AA132" s="31"/>
      <c r="AB132" s="302"/>
      <c r="AC132" s="89"/>
      <c r="AD132" s="88" t="str">
        <f t="shared" si="37"/>
        <v>NA</v>
      </c>
      <c r="AE132" s="88" t="str">
        <f t="shared" si="38"/>
        <v>NA</v>
      </c>
      <c r="AF132" s="111"/>
      <c r="AG132" s="112"/>
      <c r="AH132" s="113"/>
      <c r="AI132" s="112"/>
      <c r="AJ132" s="31"/>
      <c r="AK132" s="294"/>
      <c r="AL132" s="89"/>
      <c r="AM132" s="88" t="str">
        <f t="shared" si="32"/>
        <v>NA</v>
      </c>
      <c r="AN132" s="88" t="str">
        <f t="shared" si="33"/>
        <v>NA</v>
      </c>
      <c r="AO132" s="111"/>
      <c r="AP132" s="112"/>
      <c r="AQ132" s="113"/>
      <c r="AR132" s="112"/>
      <c r="AS132" s="31"/>
      <c r="AT132" s="32"/>
      <c r="AU132" s="90"/>
      <c r="AV132" s="88"/>
      <c r="AW132" s="88"/>
      <c r="AX132" s="111"/>
      <c r="AY132" s="112"/>
      <c r="AZ132" s="113"/>
      <c r="BA132" s="112"/>
      <c r="BB132" s="31"/>
      <c r="BC132" s="32"/>
      <c r="BD132" s="90"/>
      <c r="BE132" s="88"/>
      <c r="BF132" s="88"/>
      <c r="BG132" s="111"/>
      <c r="BH132" s="112"/>
      <c r="BI132" s="113"/>
      <c r="BJ132" s="112"/>
      <c r="BK132" s="31"/>
      <c r="BL132" s="32"/>
      <c r="BM132" s="90"/>
      <c r="BN132" s="88"/>
      <c r="BO132" s="88"/>
      <c r="BP132" s="111"/>
      <c r="BQ132" s="112"/>
      <c r="BR132" s="113"/>
      <c r="BS132" s="112"/>
      <c r="BT132" s="31"/>
      <c r="BU132" s="32"/>
      <c r="BV132" s="90"/>
      <c r="BW132" s="88"/>
      <c r="BX132" s="88"/>
      <c r="BY132" s="111"/>
      <c r="BZ132" s="112"/>
      <c r="CA132" s="113"/>
      <c r="CB132" s="112"/>
      <c r="CC132" s="31"/>
      <c r="CD132" s="32"/>
      <c r="CE132" s="90"/>
      <c r="CF132" s="88"/>
      <c r="CG132" s="88"/>
      <c r="CH132" s="111"/>
      <c r="CI132" s="112"/>
      <c r="CJ132" s="113"/>
      <c r="CK132" s="112"/>
      <c r="CL132" s="31"/>
      <c r="CM132" s="32"/>
      <c r="CN132" s="90"/>
      <c r="CO132" s="88"/>
      <c r="CP132" s="88"/>
      <c r="CQ132" s="111"/>
      <c r="CR132" s="112"/>
      <c r="CS132" s="113"/>
      <c r="CT132" s="112"/>
      <c r="CU132" s="55"/>
      <c r="CW132" s="230" t="s">
        <v>869</v>
      </c>
      <c r="CZ132" s="226" t="s">
        <v>1590</v>
      </c>
    </row>
    <row r="133" spans="1:104" ht="26" hidden="1" x14ac:dyDescent="0.25">
      <c r="A133" s="17" t="s">
        <v>1117</v>
      </c>
      <c r="B133" s="17" t="s">
        <v>1118</v>
      </c>
      <c r="C133" s="17" t="s">
        <v>870</v>
      </c>
      <c r="D133" s="17" t="str">
        <f t="shared" si="34"/>
        <v>A</v>
      </c>
      <c r="E133" s="17" t="b">
        <f t="shared" si="35"/>
        <v>0</v>
      </c>
      <c r="F133" s="17" t="b">
        <f t="shared" si="36"/>
        <v>1</v>
      </c>
      <c r="G133" s="317" t="s">
        <v>2012</v>
      </c>
      <c r="H133" s="324" t="s">
        <v>2329</v>
      </c>
      <c r="I133" s="315" t="s">
        <v>1118</v>
      </c>
      <c r="J133" s="147" t="s">
        <v>870</v>
      </c>
      <c r="K133" s="31"/>
      <c r="L133" s="32" t="s">
        <v>354</v>
      </c>
      <c r="M133" s="90"/>
      <c r="N133" s="111"/>
      <c r="O133" s="112"/>
      <c r="P133" s="113"/>
      <c r="Q133" s="112"/>
      <c r="R133" s="31"/>
      <c r="S133" s="32"/>
      <c r="T133" s="90"/>
      <c r="U133" s="88" t="str">
        <f t="shared" si="30"/>
        <v>NA</v>
      </c>
      <c r="V133" s="88" t="str">
        <f t="shared" si="31"/>
        <v>NA</v>
      </c>
      <c r="W133" s="111"/>
      <c r="X133" s="112"/>
      <c r="Y133" s="113"/>
      <c r="Z133" s="112"/>
      <c r="AA133" s="31"/>
      <c r="AB133" s="302"/>
      <c r="AC133" s="89"/>
      <c r="AD133" s="88" t="str">
        <f t="shared" si="37"/>
        <v>NA</v>
      </c>
      <c r="AE133" s="88" t="str">
        <f t="shared" si="38"/>
        <v>NA</v>
      </c>
      <c r="AF133" s="111"/>
      <c r="AG133" s="112"/>
      <c r="AH133" s="113"/>
      <c r="AI133" s="112"/>
      <c r="AJ133" s="31"/>
      <c r="AK133" s="294"/>
      <c r="AL133" s="89"/>
      <c r="AM133" s="88" t="str">
        <f t="shared" si="32"/>
        <v>NA</v>
      </c>
      <c r="AN133" s="88" t="str">
        <f t="shared" si="33"/>
        <v>NA</v>
      </c>
      <c r="AO133" s="111"/>
      <c r="AP133" s="112"/>
      <c r="AQ133" s="113"/>
      <c r="AR133" s="112"/>
      <c r="AS133" s="31"/>
      <c r="AT133" s="32"/>
      <c r="AU133" s="90"/>
      <c r="AV133" s="88"/>
      <c r="AW133" s="88"/>
      <c r="AX133" s="111"/>
      <c r="AY133" s="112"/>
      <c r="AZ133" s="113"/>
      <c r="BA133" s="112"/>
      <c r="BB133" s="31"/>
      <c r="BC133" s="32"/>
      <c r="BD133" s="90"/>
      <c r="BE133" s="88"/>
      <c r="BF133" s="88"/>
      <c r="BG133" s="111"/>
      <c r="BH133" s="112"/>
      <c r="BI133" s="113"/>
      <c r="BJ133" s="112"/>
      <c r="BK133" s="31"/>
      <c r="BL133" s="32"/>
      <c r="BM133" s="90"/>
      <c r="BN133" s="88"/>
      <c r="BO133" s="88"/>
      <c r="BP133" s="111"/>
      <c r="BQ133" s="112"/>
      <c r="BR133" s="113"/>
      <c r="BS133" s="112"/>
      <c r="BT133" s="31"/>
      <c r="BU133" s="32"/>
      <c r="BV133" s="90"/>
      <c r="BW133" s="88"/>
      <c r="BX133" s="88"/>
      <c r="BY133" s="111"/>
      <c r="BZ133" s="112"/>
      <c r="CA133" s="113"/>
      <c r="CB133" s="112"/>
      <c r="CC133" s="31"/>
      <c r="CD133" s="32"/>
      <c r="CE133" s="90"/>
      <c r="CF133" s="88"/>
      <c r="CG133" s="88"/>
      <c r="CH133" s="111"/>
      <c r="CI133" s="112"/>
      <c r="CJ133" s="113"/>
      <c r="CK133" s="112"/>
      <c r="CL133" s="31"/>
      <c r="CM133" s="32"/>
      <c r="CN133" s="90"/>
      <c r="CO133" s="88"/>
      <c r="CP133" s="88"/>
      <c r="CQ133" s="111"/>
      <c r="CR133" s="112"/>
      <c r="CS133" s="113"/>
      <c r="CT133" s="112"/>
      <c r="CU133" s="55"/>
      <c r="CW133" s="230" t="s">
        <v>870</v>
      </c>
      <c r="CZ133" s="226" t="s">
        <v>1590</v>
      </c>
    </row>
    <row r="134" spans="1:104" ht="26" hidden="1" x14ac:dyDescent="0.25">
      <c r="A134" s="17" t="s">
        <v>1119</v>
      </c>
      <c r="B134" s="17" t="s">
        <v>1120</v>
      </c>
      <c r="C134" s="17" t="s">
        <v>871</v>
      </c>
      <c r="D134" s="17" t="str">
        <f t="shared" si="34"/>
        <v>A</v>
      </c>
      <c r="E134" s="17" t="b">
        <f t="shared" si="35"/>
        <v>0</v>
      </c>
      <c r="F134" s="17" t="b">
        <f t="shared" si="36"/>
        <v>1</v>
      </c>
      <c r="G134" s="317" t="s">
        <v>2013</v>
      </c>
      <c r="H134" s="324" t="s">
        <v>2330</v>
      </c>
      <c r="I134" s="315" t="s">
        <v>1120</v>
      </c>
      <c r="J134" s="147" t="s">
        <v>871</v>
      </c>
      <c r="K134" s="31"/>
      <c r="L134" s="32" t="s">
        <v>354</v>
      </c>
      <c r="M134" s="90"/>
      <c r="N134" s="111"/>
      <c r="O134" s="112"/>
      <c r="P134" s="113"/>
      <c r="Q134" s="112"/>
      <c r="R134" s="31"/>
      <c r="S134" s="32"/>
      <c r="T134" s="90"/>
      <c r="U134" s="88" t="str">
        <f t="shared" si="30"/>
        <v>NA</v>
      </c>
      <c r="V134" s="88" t="str">
        <f t="shared" si="31"/>
        <v>NA</v>
      </c>
      <c r="W134" s="111"/>
      <c r="X134" s="112"/>
      <c r="Y134" s="113"/>
      <c r="Z134" s="112"/>
      <c r="AA134" s="31"/>
      <c r="AB134" s="302"/>
      <c r="AC134" s="89"/>
      <c r="AD134" s="88" t="str">
        <f t="shared" si="37"/>
        <v>NA</v>
      </c>
      <c r="AE134" s="88" t="str">
        <f t="shared" si="38"/>
        <v>NA</v>
      </c>
      <c r="AF134" s="111"/>
      <c r="AG134" s="112"/>
      <c r="AH134" s="113"/>
      <c r="AI134" s="112"/>
      <c r="AJ134" s="31"/>
      <c r="AK134" s="294"/>
      <c r="AL134" s="89"/>
      <c r="AM134" s="88" t="str">
        <f t="shared" si="32"/>
        <v>NA</v>
      </c>
      <c r="AN134" s="88" t="str">
        <f t="shared" si="33"/>
        <v>NA</v>
      </c>
      <c r="AO134" s="111"/>
      <c r="AP134" s="112"/>
      <c r="AQ134" s="113"/>
      <c r="AR134" s="112"/>
      <c r="AS134" s="31"/>
      <c r="AT134" s="32"/>
      <c r="AU134" s="90"/>
      <c r="AV134" s="88"/>
      <c r="AW134" s="88"/>
      <c r="AX134" s="111"/>
      <c r="AY134" s="112"/>
      <c r="AZ134" s="113"/>
      <c r="BA134" s="112"/>
      <c r="BB134" s="31"/>
      <c r="BC134" s="32"/>
      <c r="BD134" s="90"/>
      <c r="BE134" s="88"/>
      <c r="BF134" s="88"/>
      <c r="BG134" s="111"/>
      <c r="BH134" s="112"/>
      <c r="BI134" s="113"/>
      <c r="BJ134" s="112"/>
      <c r="BK134" s="31"/>
      <c r="BL134" s="32"/>
      <c r="BM134" s="90"/>
      <c r="BN134" s="88"/>
      <c r="BO134" s="88"/>
      <c r="BP134" s="111"/>
      <c r="BQ134" s="112"/>
      <c r="BR134" s="113"/>
      <c r="BS134" s="112"/>
      <c r="BT134" s="31"/>
      <c r="BU134" s="32"/>
      <c r="BV134" s="90"/>
      <c r="BW134" s="88"/>
      <c r="BX134" s="88"/>
      <c r="BY134" s="111"/>
      <c r="BZ134" s="112"/>
      <c r="CA134" s="113"/>
      <c r="CB134" s="112"/>
      <c r="CC134" s="31"/>
      <c r="CD134" s="32"/>
      <c r="CE134" s="90"/>
      <c r="CF134" s="88"/>
      <c r="CG134" s="88"/>
      <c r="CH134" s="111"/>
      <c r="CI134" s="112"/>
      <c r="CJ134" s="113"/>
      <c r="CK134" s="112"/>
      <c r="CL134" s="31"/>
      <c r="CM134" s="32"/>
      <c r="CN134" s="90"/>
      <c r="CO134" s="88"/>
      <c r="CP134" s="88"/>
      <c r="CQ134" s="111"/>
      <c r="CR134" s="112"/>
      <c r="CS134" s="113"/>
      <c r="CT134" s="112"/>
      <c r="CU134" s="55"/>
      <c r="CW134" s="230" t="s">
        <v>871</v>
      </c>
      <c r="CZ134" s="226" t="s">
        <v>1590</v>
      </c>
    </row>
    <row r="135" spans="1:104" ht="13" hidden="1" x14ac:dyDescent="0.25">
      <c r="A135" s="17" t="s">
        <v>1121</v>
      </c>
      <c r="B135" s="17" t="s">
        <v>1122</v>
      </c>
      <c r="C135" s="17" t="s">
        <v>1123</v>
      </c>
      <c r="D135" s="17" t="str">
        <f t="shared" si="34"/>
        <v>A</v>
      </c>
      <c r="E135" s="17" t="b">
        <f t="shared" si="35"/>
        <v>0</v>
      </c>
      <c r="F135" s="17" t="b">
        <f t="shared" si="36"/>
        <v>1</v>
      </c>
      <c r="G135" s="317" t="s">
        <v>2014</v>
      </c>
      <c r="H135" s="324" t="s">
        <v>2331</v>
      </c>
      <c r="I135" s="315" t="s">
        <v>1122</v>
      </c>
      <c r="J135" s="147" t="s">
        <v>1123</v>
      </c>
      <c r="K135" s="31"/>
      <c r="L135" s="32" t="s">
        <v>354</v>
      </c>
      <c r="M135" s="90"/>
      <c r="N135" s="111"/>
      <c r="O135" s="112"/>
      <c r="P135" s="113"/>
      <c r="Q135" s="112"/>
      <c r="R135" s="31"/>
      <c r="S135" s="32"/>
      <c r="T135" s="90"/>
      <c r="U135" s="88" t="str">
        <f t="shared" si="30"/>
        <v>NA</v>
      </c>
      <c r="V135" s="88" t="str">
        <f t="shared" si="31"/>
        <v>NA</v>
      </c>
      <c r="W135" s="111"/>
      <c r="X135" s="112"/>
      <c r="Y135" s="113"/>
      <c r="Z135" s="112"/>
      <c r="AA135" s="31"/>
      <c r="AB135" s="302"/>
      <c r="AC135" s="89"/>
      <c r="AD135" s="88" t="str">
        <f t="shared" si="37"/>
        <v>NA</v>
      </c>
      <c r="AE135" s="88" t="str">
        <f t="shared" si="38"/>
        <v>NA</v>
      </c>
      <c r="AF135" s="111"/>
      <c r="AG135" s="112"/>
      <c r="AH135" s="113"/>
      <c r="AI135" s="112"/>
      <c r="AJ135" s="31"/>
      <c r="AK135" s="294"/>
      <c r="AL135" s="89"/>
      <c r="AM135" s="88" t="str">
        <f t="shared" si="32"/>
        <v>NA</v>
      </c>
      <c r="AN135" s="88" t="str">
        <f t="shared" si="33"/>
        <v>NA</v>
      </c>
      <c r="AO135" s="111"/>
      <c r="AP135" s="112"/>
      <c r="AQ135" s="113"/>
      <c r="AR135" s="112"/>
      <c r="AS135" s="31"/>
      <c r="AT135" s="32"/>
      <c r="AU135" s="90"/>
      <c r="AV135" s="88"/>
      <c r="AW135" s="88"/>
      <c r="AX135" s="111"/>
      <c r="AY135" s="112"/>
      <c r="AZ135" s="113"/>
      <c r="BA135" s="112"/>
      <c r="BB135" s="31"/>
      <c r="BC135" s="32"/>
      <c r="BD135" s="90"/>
      <c r="BE135" s="88"/>
      <c r="BF135" s="88"/>
      <c r="BG135" s="111"/>
      <c r="BH135" s="112"/>
      <c r="BI135" s="113"/>
      <c r="BJ135" s="112"/>
      <c r="BK135" s="31"/>
      <c r="BL135" s="32"/>
      <c r="BM135" s="90"/>
      <c r="BN135" s="88"/>
      <c r="BO135" s="88"/>
      <c r="BP135" s="111"/>
      <c r="BQ135" s="112"/>
      <c r="BR135" s="113"/>
      <c r="BS135" s="112"/>
      <c r="BT135" s="31"/>
      <c r="BU135" s="32"/>
      <c r="BV135" s="90"/>
      <c r="BW135" s="88"/>
      <c r="BX135" s="88"/>
      <c r="BY135" s="111"/>
      <c r="BZ135" s="112"/>
      <c r="CA135" s="113"/>
      <c r="CB135" s="112"/>
      <c r="CC135" s="31"/>
      <c r="CD135" s="32"/>
      <c r="CE135" s="90"/>
      <c r="CF135" s="88"/>
      <c r="CG135" s="88"/>
      <c r="CH135" s="111"/>
      <c r="CI135" s="112"/>
      <c r="CJ135" s="113"/>
      <c r="CK135" s="112"/>
      <c r="CL135" s="31"/>
      <c r="CM135" s="32"/>
      <c r="CN135" s="90"/>
      <c r="CO135" s="88"/>
      <c r="CP135" s="88"/>
      <c r="CQ135" s="111"/>
      <c r="CR135" s="112"/>
      <c r="CS135" s="113"/>
      <c r="CT135" s="112"/>
      <c r="CU135" s="55"/>
      <c r="CW135" s="230" t="s">
        <v>1123</v>
      </c>
      <c r="CZ135" s="226" t="s">
        <v>1590</v>
      </c>
    </row>
    <row r="136" spans="1:104" ht="26" hidden="1" x14ac:dyDescent="0.25">
      <c r="A136" s="17" t="s">
        <v>1124</v>
      </c>
      <c r="B136" s="17" t="s">
        <v>1125</v>
      </c>
      <c r="C136" s="17" t="s">
        <v>872</v>
      </c>
      <c r="D136" s="17" t="str">
        <f t="shared" si="34"/>
        <v>A</v>
      </c>
      <c r="E136" s="17" t="b">
        <f t="shared" si="35"/>
        <v>0</v>
      </c>
      <c r="F136" s="17" t="b">
        <f t="shared" si="36"/>
        <v>1</v>
      </c>
      <c r="G136" s="317" t="s">
        <v>2015</v>
      </c>
      <c r="H136" s="324" t="s">
        <v>2332</v>
      </c>
      <c r="I136" s="315" t="s">
        <v>1125</v>
      </c>
      <c r="J136" s="147" t="s">
        <v>872</v>
      </c>
      <c r="K136" s="31"/>
      <c r="L136" s="32" t="s">
        <v>354</v>
      </c>
      <c r="M136" s="90"/>
      <c r="N136" s="111"/>
      <c r="O136" s="112"/>
      <c r="P136" s="113"/>
      <c r="Q136" s="112"/>
      <c r="R136" s="31"/>
      <c r="S136" s="32"/>
      <c r="T136" s="90"/>
      <c r="U136" s="88" t="str">
        <f t="shared" si="30"/>
        <v>NA</v>
      </c>
      <c r="V136" s="88" t="str">
        <f t="shared" si="31"/>
        <v>NA</v>
      </c>
      <c r="W136" s="111"/>
      <c r="X136" s="112"/>
      <c r="Y136" s="113"/>
      <c r="Z136" s="112"/>
      <c r="AA136" s="31"/>
      <c r="AB136" s="302"/>
      <c r="AC136" s="89"/>
      <c r="AD136" s="88" t="str">
        <f t="shared" si="37"/>
        <v>NA</v>
      </c>
      <c r="AE136" s="88" t="str">
        <f t="shared" si="38"/>
        <v>NA</v>
      </c>
      <c r="AF136" s="111"/>
      <c r="AG136" s="112"/>
      <c r="AH136" s="113"/>
      <c r="AI136" s="112"/>
      <c r="AJ136" s="31"/>
      <c r="AK136" s="294"/>
      <c r="AL136" s="89"/>
      <c r="AM136" s="88" t="str">
        <f t="shared" si="32"/>
        <v>NA</v>
      </c>
      <c r="AN136" s="88" t="str">
        <f t="shared" si="33"/>
        <v>NA</v>
      </c>
      <c r="AO136" s="111"/>
      <c r="AP136" s="112"/>
      <c r="AQ136" s="113"/>
      <c r="AR136" s="112"/>
      <c r="AS136" s="31"/>
      <c r="AT136" s="32"/>
      <c r="AU136" s="90"/>
      <c r="AV136" s="88"/>
      <c r="AW136" s="88"/>
      <c r="AX136" s="111"/>
      <c r="AY136" s="112"/>
      <c r="AZ136" s="113"/>
      <c r="BA136" s="112"/>
      <c r="BB136" s="31"/>
      <c r="BC136" s="32"/>
      <c r="BD136" s="90"/>
      <c r="BE136" s="88"/>
      <c r="BF136" s="88"/>
      <c r="BG136" s="111"/>
      <c r="BH136" s="112"/>
      <c r="BI136" s="113"/>
      <c r="BJ136" s="112"/>
      <c r="BK136" s="31"/>
      <c r="BL136" s="32"/>
      <c r="BM136" s="90"/>
      <c r="BN136" s="88"/>
      <c r="BO136" s="88"/>
      <c r="BP136" s="111"/>
      <c r="BQ136" s="112"/>
      <c r="BR136" s="113"/>
      <c r="BS136" s="112"/>
      <c r="BT136" s="31"/>
      <c r="BU136" s="32"/>
      <c r="BV136" s="90"/>
      <c r="BW136" s="88"/>
      <c r="BX136" s="88"/>
      <c r="BY136" s="111"/>
      <c r="BZ136" s="112"/>
      <c r="CA136" s="113"/>
      <c r="CB136" s="112"/>
      <c r="CC136" s="31"/>
      <c r="CD136" s="32"/>
      <c r="CE136" s="90"/>
      <c r="CF136" s="88"/>
      <c r="CG136" s="88"/>
      <c r="CH136" s="111"/>
      <c r="CI136" s="112"/>
      <c r="CJ136" s="113"/>
      <c r="CK136" s="112"/>
      <c r="CL136" s="31"/>
      <c r="CM136" s="32"/>
      <c r="CN136" s="90"/>
      <c r="CO136" s="88"/>
      <c r="CP136" s="88"/>
      <c r="CQ136" s="111"/>
      <c r="CR136" s="112"/>
      <c r="CS136" s="113"/>
      <c r="CT136" s="112"/>
      <c r="CU136" s="55"/>
      <c r="CW136" s="230" t="s">
        <v>872</v>
      </c>
      <c r="CZ136" s="226" t="s">
        <v>1590</v>
      </c>
    </row>
    <row r="137" spans="1:104" ht="26" hidden="1" x14ac:dyDescent="0.25">
      <c r="A137" s="17" t="s">
        <v>1126</v>
      </c>
      <c r="B137" s="17" t="s">
        <v>1127</v>
      </c>
      <c r="C137" s="17" t="s">
        <v>873</v>
      </c>
      <c r="D137" s="17" t="str">
        <f t="shared" si="34"/>
        <v>A</v>
      </c>
      <c r="E137" s="17" t="b">
        <f t="shared" si="35"/>
        <v>0</v>
      </c>
      <c r="F137" s="17" t="b">
        <f t="shared" si="36"/>
        <v>1</v>
      </c>
      <c r="G137" s="317" t="s">
        <v>2016</v>
      </c>
      <c r="H137" s="324" t="s">
        <v>2333</v>
      </c>
      <c r="I137" s="315" t="s">
        <v>1127</v>
      </c>
      <c r="J137" s="147" t="s">
        <v>873</v>
      </c>
      <c r="K137" s="31"/>
      <c r="L137" s="32" t="s">
        <v>354</v>
      </c>
      <c r="M137" s="90"/>
      <c r="N137" s="111"/>
      <c r="O137" s="112"/>
      <c r="P137" s="113"/>
      <c r="Q137" s="112"/>
      <c r="R137" s="31"/>
      <c r="S137" s="32"/>
      <c r="T137" s="90"/>
      <c r="U137" s="88" t="str">
        <f t="shared" si="30"/>
        <v>NA</v>
      </c>
      <c r="V137" s="88" t="str">
        <f t="shared" si="31"/>
        <v>NA</v>
      </c>
      <c r="W137" s="111"/>
      <c r="X137" s="112"/>
      <c r="Y137" s="113"/>
      <c r="Z137" s="112"/>
      <c r="AA137" s="31"/>
      <c r="AB137" s="302"/>
      <c r="AC137" s="89"/>
      <c r="AD137" s="88" t="str">
        <f t="shared" si="37"/>
        <v>NA</v>
      </c>
      <c r="AE137" s="88" t="str">
        <f t="shared" si="38"/>
        <v>NA</v>
      </c>
      <c r="AF137" s="111"/>
      <c r="AG137" s="112"/>
      <c r="AH137" s="113"/>
      <c r="AI137" s="112"/>
      <c r="AJ137" s="31"/>
      <c r="AK137" s="294"/>
      <c r="AL137" s="89"/>
      <c r="AM137" s="88" t="str">
        <f t="shared" si="32"/>
        <v>NA</v>
      </c>
      <c r="AN137" s="88" t="str">
        <f t="shared" si="33"/>
        <v>NA</v>
      </c>
      <c r="AO137" s="111"/>
      <c r="AP137" s="112"/>
      <c r="AQ137" s="113"/>
      <c r="AR137" s="112"/>
      <c r="AS137" s="31"/>
      <c r="AT137" s="32"/>
      <c r="AU137" s="90"/>
      <c r="AV137" s="88"/>
      <c r="AW137" s="88"/>
      <c r="AX137" s="111"/>
      <c r="AY137" s="112"/>
      <c r="AZ137" s="113"/>
      <c r="BA137" s="112"/>
      <c r="BB137" s="31"/>
      <c r="BC137" s="32"/>
      <c r="BD137" s="90"/>
      <c r="BE137" s="88"/>
      <c r="BF137" s="88"/>
      <c r="BG137" s="111"/>
      <c r="BH137" s="112"/>
      <c r="BI137" s="113"/>
      <c r="BJ137" s="112"/>
      <c r="BK137" s="31"/>
      <c r="BL137" s="32"/>
      <c r="BM137" s="90"/>
      <c r="BN137" s="88"/>
      <c r="BO137" s="88"/>
      <c r="BP137" s="111"/>
      <c r="BQ137" s="112"/>
      <c r="BR137" s="113"/>
      <c r="BS137" s="112"/>
      <c r="BT137" s="31"/>
      <c r="BU137" s="32"/>
      <c r="BV137" s="90"/>
      <c r="BW137" s="88"/>
      <c r="BX137" s="88"/>
      <c r="BY137" s="111"/>
      <c r="BZ137" s="112"/>
      <c r="CA137" s="113"/>
      <c r="CB137" s="112"/>
      <c r="CC137" s="31"/>
      <c r="CD137" s="32"/>
      <c r="CE137" s="90"/>
      <c r="CF137" s="88"/>
      <c r="CG137" s="88"/>
      <c r="CH137" s="111"/>
      <c r="CI137" s="112"/>
      <c r="CJ137" s="113"/>
      <c r="CK137" s="112"/>
      <c r="CL137" s="31"/>
      <c r="CM137" s="32"/>
      <c r="CN137" s="90"/>
      <c r="CO137" s="88"/>
      <c r="CP137" s="88"/>
      <c r="CQ137" s="111"/>
      <c r="CR137" s="112"/>
      <c r="CS137" s="113"/>
      <c r="CT137" s="112"/>
      <c r="CU137" s="55"/>
      <c r="CW137" s="230" t="s">
        <v>873</v>
      </c>
      <c r="CZ137" s="226" t="s">
        <v>1590</v>
      </c>
    </row>
    <row r="138" spans="1:104" ht="26" hidden="1" x14ac:dyDescent="0.25">
      <c r="A138" s="17" t="s">
        <v>1128</v>
      </c>
      <c r="B138" s="17" t="s">
        <v>1129</v>
      </c>
      <c r="C138" s="17" t="s">
        <v>874</v>
      </c>
      <c r="D138" s="17" t="str">
        <f t="shared" si="34"/>
        <v>A</v>
      </c>
      <c r="E138" s="17" t="b">
        <f t="shared" si="35"/>
        <v>0</v>
      </c>
      <c r="F138" s="17" t="b">
        <f t="shared" si="36"/>
        <v>1</v>
      </c>
      <c r="G138" s="317" t="s">
        <v>2017</v>
      </c>
      <c r="H138" s="324" t="s">
        <v>2334</v>
      </c>
      <c r="I138" s="315" t="s">
        <v>1129</v>
      </c>
      <c r="J138" s="147" t="s">
        <v>874</v>
      </c>
      <c r="K138" s="31"/>
      <c r="L138" s="32" t="s">
        <v>354</v>
      </c>
      <c r="M138" s="90"/>
      <c r="N138" s="111"/>
      <c r="O138" s="112"/>
      <c r="P138" s="113"/>
      <c r="Q138" s="112"/>
      <c r="R138" s="31"/>
      <c r="S138" s="32"/>
      <c r="T138" s="90"/>
      <c r="U138" s="88" t="str">
        <f t="shared" si="30"/>
        <v>NA</v>
      </c>
      <c r="V138" s="88" t="str">
        <f t="shared" si="31"/>
        <v>NA</v>
      </c>
      <c r="W138" s="111"/>
      <c r="X138" s="112"/>
      <c r="Y138" s="113"/>
      <c r="Z138" s="112"/>
      <c r="AA138" s="31"/>
      <c r="AB138" s="302"/>
      <c r="AC138" s="89"/>
      <c r="AD138" s="88" t="str">
        <f t="shared" si="37"/>
        <v>NA</v>
      </c>
      <c r="AE138" s="88" t="str">
        <f t="shared" si="38"/>
        <v>NA</v>
      </c>
      <c r="AF138" s="111"/>
      <c r="AG138" s="112"/>
      <c r="AH138" s="113"/>
      <c r="AI138" s="112"/>
      <c r="AJ138" s="31"/>
      <c r="AK138" s="294"/>
      <c r="AL138" s="89"/>
      <c r="AM138" s="88" t="str">
        <f t="shared" si="32"/>
        <v>NA</v>
      </c>
      <c r="AN138" s="88" t="str">
        <f t="shared" si="33"/>
        <v>NA</v>
      </c>
      <c r="AO138" s="111"/>
      <c r="AP138" s="112"/>
      <c r="AQ138" s="113"/>
      <c r="AR138" s="112"/>
      <c r="AS138" s="31"/>
      <c r="AT138" s="32"/>
      <c r="AU138" s="90"/>
      <c r="AV138" s="88"/>
      <c r="AW138" s="88"/>
      <c r="AX138" s="111"/>
      <c r="AY138" s="112"/>
      <c r="AZ138" s="113"/>
      <c r="BA138" s="112"/>
      <c r="BB138" s="31"/>
      <c r="BC138" s="32"/>
      <c r="BD138" s="90"/>
      <c r="BE138" s="88"/>
      <c r="BF138" s="88"/>
      <c r="BG138" s="111"/>
      <c r="BH138" s="112"/>
      <c r="BI138" s="113"/>
      <c r="BJ138" s="112"/>
      <c r="BK138" s="31"/>
      <c r="BL138" s="32"/>
      <c r="BM138" s="90"/>
      <c r="BN138" s="88"/>
      <c r="BO138" s="88"/>
      <c r="BP138" s="111"/>
      <c r="BQ138" s="112"/>
      <c r="BR138" s="113"/>
      <c r="BS138" s="112"/>
      <c r="BT138" s="31"/>
      <c r="BU138" s="32"/>
      <c r="BV138" s="90"/>
      <c r="BW138" s="88"/>
      <c r="BX138" s="88"/>
      <c r="BY138" s="111"/>
      <c r="BZ138" s="112"/>
      <c r="CA138" s="113"/>
      <c r="CB138" s="112"/>
      <c r="CC138" s="31"/>
      <c r="CD138" s="32"/>
      <c r="CE138" s="90"/>
      <c r="CF138" s="88"/>
      <c r="CG138" s="88"/>
      <c r="CH138" s="111"/>
      <c r="CI138" s="112"/>
      <c r="CJ138" s="113"/>
      <c r="CK138" s="112"/>
      <c r="CL138" s="31"/>
      <c r="CM138" s="32"/>
      <c r="CN138" s="90"/>
      <c r="CO138" s="88"/>
      <c r="CP138" s="88"/>
      <c r="CQ138" s="111"/>
      <c r="CR138" s="112"/>
      <c r="CS138" s="113"/>
      <c r="CT138" s="112"/>
      <c r="CU138" s="55"/>
      <c r="CW138" s="230" t="s">
        <v>874</v>
      </c>
      <c r="CZ138" s="226" t="s">
        <v>1590</v>
      </c>
    </row>
    <row r="139" spans="1:104" ht="26" hidden="1" x14ac:dyDescent="0.25">
      <c r="A139" s="17" t="s">
        <v>1130</v>
      </c>
      <c r="B139" s="17" t="s">
        <v>1131</v>
      </c>
      <c r="C139" s="17" t="s">
        <v>875</v>
      </c>
      <c r="D139" s="17" t="str">
        <f t="shared" si="34"/>
        <v>A</v>
      </c>
      <c r="E139" s="17" t="b">
        <f t="shared" si="35"/>
        <v>0</v>
      </c>
      <c r="F139" s="17" t="b">
        <f t="shared" si="36"/>
        <v>1</v>
      </c>
      <c r="G139" s="317" t="s">
        <v>2018</v>
      </c>
      <c r="H139" s="324" t="s">
        <v>2335</v>
      </c>
      <c r="I139" s="315" t="s">
        <v>1131</v>
      </c>
      <c r="J139" s="147" t="s">
        <v>875</v>
      </c>
      <c r="K139" s="31"/>
      <c r="L139" s="32" t="s">
        <v>354</v>
      </c>
      <c r="M139" s="90"/>
      <c r="N139" s="111"/>
      <c r="O139" s="112"/>
      <c r="P139" s="113"/>
      <c r="Q139" s="112"/>
      <c r="R139" s="31"/>
      <c r="S139" s="32"/>
      <c r="T139" s="90"/>
      <c r="U139" s="88" t="str">
        <f t="shared" si="30"/>
        <v>NA</v>
      </c>
      <c r="V139" s="88" t="str">
        <f t="shared" si="31"/>
        <v>NA</v>
      </c>
      <c r="W139" s="111"/>
      <c r="X139" s="112"/>
      <c r="Y139" s="113"/>
      <c r="Z139" s="112"/>
      <c r="AA139" s="31"/>
      <c r="AB139" s="302"/>
      <c r="AC139" s="89"/>
      <c r="AD139" s="88" t="str">
        <f t="shared" si="37"/>
        <v>NA</v>
      </c>
      <c r="AE139" s="88" t="str">
        <f t="shared" si="38"/>
        <v>NA</v>
      </c>
      <c r="AF139" s="111"/>
      <c r="AG139" s="112"/>
      <c r="AH139" s="113"/>
      <c r="AI139" s="112"/>
      <c r="AJ139" s="31"/>
      <c r="AK139" s="294"/>
      <c r="AL139" s="89"/>
      <c r="AM139" s="88" t="str">
        <f t="shared" si="32"/>
        <v>NA</v>
      </c>
      <c r="AN139" s="88" t="str">
        <f t="shared" si="33"/>
        <v>NA</v>
      </c>
      <c r="AO139" s="111"/>
      <c r="AP139" s="112"/>
      <c r="AQ139" s="113"/>
      <c r="AR139" s="112"/>
      <c r="AS139" s="31"/>
      <c r="AT139" s="32"/>
      <c r="AU139" s="90"/>
      <c r="AV139" s="88"/>
      <c r="AW139" s="88"/>
      <c r="AX139" s="111"/>
      <c r="AY139" s="112"/>
      <c r="AZ139" s="113"/>
      <c r="BA139" s="112"/>
      <c r="BB139" s="31"/>
      <c r="BC139" s="32"/>
      <c r="BD139" s="90"/>
      <c r="BE139" s="88"/>
      <c r="BF139" s="88"/>
      <c r="BG139" s="111"/>
      <c r="BH139" s="112"/>
      <c r="BI139" s="113"/>
      <c r="BJ139" s="112"/>
      <c r="BK139" s="31"/>
      <c r="BL139" s="32"/>
      <c r="BM139" s="90"/>
      <c r="BN139" s="88"/>
      <c r="BO139" s="88"/>
      <c r="BP139" s="111"/>
      <c r="BQ139" s="112"/>
      <c r="BR139" s="113"/>
      <c r="BS139" s="112"/>
      <c r="BT139" s="31"/>
      <c r="BU139" s="32"/>
      <c r="BV139" s="90"/>
      <c r="BW139" s="88"/>
      <c r="BX139" s="88"/>
      <c r="BY139" s="111"/>
      <c r="BZ139" s="112"/>
      <c r="CA139" s="113"/>
      <c r="CB139" s="112"/>
      <c r="CC139" s="31"/>
      <c r="CD139" s="32"/>
      <c r="CE139" s="90"/>
      <c r="CF139" s="88"/>
      <c r="CG139" s="88"/>
      <c r="CH139" s="111"/>
      <c r="CI139" s="112"/>
      <c r="CJ139" s="113"/>
      <c r="CK139" s="112"/>
      <c r="CL139" s="31"/>
      <c r="CM139" s="32"/>
      <c r="CN139" s="90"/>
      <c r="CO139" s="88"/>
      <c r="CP139" s="88"/>
      <c r="CQ139" s="111"/>
      <c r="CR139" s="112"/>
      <c r="CS139" s="113"/>
      <c r="CT139" s="112"/>
      <c r="CU139" s="55"/>
      <c r="CW139" s="230" t="s">
        <v>875</v>
      </c>
      <c r="CZ139" s="226" t="s">
        <v>1590</v>
      </c>
    </row>
    <row r="140" spans="1:104" ht="39" hidden="1" x14ac:dyDescent="0.25">
      <c r="A140" s="17" t="s">
        <v>1132</v>
      </c>
      <c r="B140" s="17" t="s">
        <v>1133</v>
      </c>
      <c r="C140" s="17" t="s">
        <v>876</v>
      </c>
      <c r="D140" s="17" t="str">
        <f t="shared" si="34"/>
        <v>A</v>
      </c>
      <c r="E140" s="17" t="b">
        <f t="shared" si="35"/>
        <v>0</v>
      </c>
      <c r="F140" s="17" t="b">
        <f t="shared" si="36"/>
        <v>1</v>
      </c>
      <c r="G140" s="317" t="s">
        <v>2019</v>
      </c>
      <c r="H140" s="324" t="s">
        <v>2336</v>
      </c>
      <c r="I140" s="315" t="s">
        <v>1133</v>
      </c>
      <c r="J140" s="147" t="s">
        <v>876</v>
      </c>
      <c r="K140" s="31"/>
      <c r="L140" s="32" t="s">
        <v>354</v>
      </c>
      <c r="M140" s="90"/>
      <c r="N140" s="111"/>
      <c r="O140" s="112"/>
      <c r="P140" s="113"/>
      <c r="Q140" s="112"/>
      <c r="R140" s="31"/>
      <c r="S140" s="32"/>
      <c r="T140" s="90"/>
      <c r="U140" s="88" t="str">
        <f t="shared" si="30"/>
        <v>NA</v>
      </c>
      <c r="V140" s="88" t="str">
        <f t="shared" si="31"/>
        <v>NA</v>
      </c>
      <c r="W140" s="111"/>
      <c r="X140" s="112"/>
      <c r="Y140" s="113"/>
      <c r="Z140" s="112"/>
      <c r="AA140" s="31"/>
      <c r="AB140" s="302"/>
      <c r="AC140" s="89"/>
      <c r="AD140" s="88" t="str">
        <f t="shared" si="37"/>
        <v>NA</v>
      </c>
      <c r="AE140" s="88" t="str">
        <f t="shared" si="38"/>
        <v>NA</v>
      </c>
      <c r="AF140" s="111"/>
      <c r="AG140" s="112"/>
      <c r="AH140" s="113"/>
      <c r="AI140" s="112"/>
      <c r="AJ140" s="31"/>
      <c r="AK140" s="294"/>
      <c r="AL140" s="89"/>
      <c r="AM140" s="88" t="str">
        <f t="shared" si="32"/>
        <v>NA</v>
      </c>
      <c r="AN140" s="88" t="str">
        <f t="shared" si="33"/>
        <v>NA</v>
      </c>
      <c r="AO140" s="111"/>
      <c r="AP140" s="112"/>
      <c r="AQ140" s="113"/>
      <c r="AR140" s="112"/>
      <c r="AS140" s="31"/>
      <c r="AT140" s="32"/>
      <c r="AU140" s="90"/>
      <c r="AV140" s="88"/>
      <c r="AW140" s="88"/>
      <c r="AX140" s="111"/>
      <c r="AY140" s="112"/>
      <c r="AZ140" s="113"/>
      <c r="BA140" s="112"/>
      <c r="BB140" s="31"/>
      <c r="BC140" s="32"/>
      <c r="BD140" s="90"/>
      <c r="BE140" s="88"/>
      <c r="BF140" s="88"/>
      <c r="BG140" s="111"/>
      <c r="BH140" s="112"/>
      <c r="BI140" s="113"/>
      <c r="BJ140" s="112"/>
      <c r="BK140" s="31"/>
      <c r="BL140" s="32"/>
      <c r="BM140" s="90"/>
      <c r="BN140" s="88"/>
      <c r="BO140" s="88"/>
      <c r="BP140" s="111"/>
      <c r="BQ140" s="112"/>
      <c r="BR140" s="113"/>
      <c r="BS140" s="112"/>
      <c r="BT140" s="31"/>
      <c r="BU140" s="32"/>
      <c r="BV140" s="90"/>
      <c r="BW140" s="88"/>
      <c r="BX140" s="88"/>
      <c r="BY140" s="111"/>
      <c r="BZ140" s="112"/>
      <c r="CA140" s="113"/>
      <c r="CB140" s="112"/>
      <c r="CC140" s="31"/>
      <c r="CD140" s="32"/>
      <c r="CE140" s="90"/>
      <c r="CF140" s="88"/>
      <c r="CG140" s="88"/>
      <c r="CH140" s="111"/>
      <c r="CI140" s="112"/>
      <c r="CJ140" s="113"/>
      <c r="CK140" s="112"/>
      <c r="CL140" s="31"/>
      <c r="CM140" s="32"/>
      <c r="CN140" s="90"/>
      <c r="CO140" s="88"/>
      <c r="CP140" s="88"/>
      <c r="CQ140" s="111"/>
      <c r="CR140" s="112"/>
      <c r="CS140" s="113"/>
      <c r="CT140" s="112"/>
      <c r="CU140" s="55"/>
      <c r="CW140" s="230" t="s">
        <v>876</v>
      </c>
      <c r="CZ140" s="226" t="s">
        <v>1590</v>
      </c>
    </row>
    <row r="141" spans="1:104" ht="39" hidden="1" x14ac:dyDescent="0.25">
      <c r="A141" s="17" t="s">
        <v>1134</v>
      </c>
      <c r="B141" s="17" t="s">
        <v>1135</v>
      </c>
      <c r="C141" s="17" t="s">
        <v>877</v>
      </c>
      <c r="D141" s="17" t="str">
        <f t="shared" si="34"/>
        <v>A</v>
      </c>
      <c r="E141" s="17" t="b">
        <f t="shared" si="35"/>
        <v>0</v>
      </c>
      <c r="F141" s="17" t="b">
        <f t="shared" si="36"/>
        <v>1</v>
      </c>
      <c r="G141" s="317" t="s">
        <v>2020</v>
      </c>
      <c r="H141" s="324" t="s">
        <v>2337</v>
      </c>
      <c r="I141" s="315" t="s">
        <v>1135</v>
      </c>
      <c r="J141" s="147" t="s">
        <v>877</v>
      </c>
      <c r="K141" s="31"/>
      <c r="L141" s="32" t="s">
        <v>354</v>
      </c>
      <c r="M141" s="90"/>
      <c r="N141" s="111"/>
      <c r="O141" s="112"/>
      <c r="P141" s="113"/>
      <c r="Q141" s="112"/>
      <c r="R141" s="31"/>
      <c r="S141" s="32"/>
      <c r="T141" s="90"/>
      <c r="U141" s="88" t="str">
        <f t="shared" si="30"/>
        <v>NA</v>
      </c>
      <c r="V141" s="88" t="str">
        <f t="shared" si="31"/>
        <v>NA</v>
      </c>
      <c r="W141" s="111"/>
      <c r="X141" s="112"/>
      <c r="Y141" s="113"/>
      <c r="Z141" s="112"/>
      <c r="AA141" s="31"/>
      <c r="AB141" s="302"/>
      <c r="AC141" s="89"/>
      <c r="AD141" s="88" t="str">
        <f t="shared" si="37"/>
        <v>NA</v>
      </c>
      <c r="AE141" s="88" t="str">
        <f t="shared" si="38"/>
        <v>NA</v>
      </c>
      <c r="AF141" s="111"/>
      <c r="AG141" s="112"/>
      <c r="AH141" s="113"/>
      <c r="AI141" s="112"/>
      <c r="AJ141" s="31"/>
      <c r="AK141" s="294"/>
      <c r="AL141" s="89"/>
      <c r="AM141" s="88" t="str">
        <f t="shared" si="32"/>
        <v>NA</v>
      </c>
      <c r="AN141" s="88" t="str">
        <f t="shared" si="33"/>
        <v>NA</v>
      </c>
      <c r="AO141" s="111"/>
      <c r="AP141" s="112"/>
      <c r="AQ141" s="113"/>
      <c r="AR141" s="112"/>
      <c r="AS141" s="31"/>
      <c r="AT141" s="32"/>
      <c r="AU141" s="90"/>
      <c r="AV141" s="88"/>
      <c r="AW141" s="88"/>
      <c r="AX141" s="111"/>
      <c r="AY141" s="112"/>
      <c r="AZ141" s="113"/>
      <c r="BA141" s="112"/>
      <c r="BB141" s="31"/>
      <c r="BC141" s="32"/>
      <c r="BD141" s="90"/>
      <c r="BE141" s="88"/>
      <c r="BF141" s="88"/>
      <c r="BG141" s="111"/>
      <c r="BH141" s="112"/>
      <c r="BI141" s="113"/>
      <c r="BJ141" s="112"/>
      <c r="BK141" s="31"/>
      <c r="BL141" s="32"/>
      <c r="BM141" s="90"/>
      <c r="BN141" s="88"/>
      <c r="BO141" s="88"/>
      <c r="BP141" s="111"/>
      <c r="BQ141" s="112"/>
      <c r="BR141" s="113"/>
      <c r="BS141" s="112"/>
      <c r="BT141" s="31"/>
      <c r="BU141" s="32"/>
      <c r="BV141" s="90"/>
      <c r="BW141" s="88"/>
      <c r="BX141" s="88"/>
      <c r="BY141" s="111"/>
      <c r="BZ141" s="112"/>
      <c r="CA141" s="113"/>
      <c r="CB141" s="112"/>
      <c r="CC141" s="31"/>
      <c r="CD141" s="32"/>
      <c r="CE141" s="90"/>
      <c r="CF141" s="88"/>
      <c r="CG141" s="88"/>
      <c r="CH141" s="111"/>
      <c r="CI141" s="112"/>
      <c r="CJ141" s="113"/>
      <c r="CK141" s="112"/>
      <c r="CL141" s="31"/>
      <c r="CM141" s="32"/>
      <c r="CN141" s="90"/>
      <c r="CO141" s="88"/>
      <c r="CP141" s="88"/>
      <c r="CQ141" s="111"/>
      <c r="CR141" s="112"/>
      <c r="CS141" s="113"/>
      <c r="CT141" s="112"/>
      <c r="CU141" s="55"/>
      <c r="CW141" s="230" t="s">
        <v>877</v>
      </c>
      <c r="CZ141" s="226" t="s">
        <v>1590</v>
      </c>
    </row>
    <row r="142" spans="1:104" ht="39" hidden="1" x14ac:dyDescent="0.25">
      <c r="A142" s="17" t="s">
        <v>1136</v>
      </c>
      <c r="B142" s="17" t="s">
        <v>1137</v>
      </c>
      <c r="C142" s="17" t="s">
        <v>878</v>
      </c>
      <c r="D142" s="17" t="str">
        <f t="shared" si="34"/>
        <v>A</v>
      </c>
      <c r="E142" s="17" t="b">
        <f t="shared" si="35"/>
        <v>0</v>
      </c>
      <c r="F142" s="17" t="b">
        <f t="shared" si="36"/>
        <v>1</v>
      </c>
      <c r="G142" s="317" t="s">
        <v>2021</v>
      </c>
      <c r="H142" s="324" t="s">
        <v>2338</v>
      </c>
      <c r="I142" s="315" t="s">
        <v>1137</v>
      </c>
      <c r="J142" s="147" t="s">
        <v>878</v>
      </c>
      <c r="K142" s="31"/>
      <c r="L142" s="32" t="s">
        <v>354</v>
      </c>
      <c r="M142" s="90"/>
      <c r="N142" s="111"/>
      <c r="O142" s="112"/>
      <c r="P142" s="113"/>
      <c r="Q142" s="112"/>
      <c r="R142" s="31"/>
      <c r="S142" s="32"/>
      <c r="T142" s="90"/>
      <c r="U142" s="88" t="str">
        <f t="shared" si="30"/>
        <v>NA</v>
      </c>
      <c r="V142" s="88" t="str">
        <f t="shared" si="31"/>
        <v>NA</v>
      </c>
      <c r="W142" s="111"/>
      <c r="X142" s="112"/>
      <c r="Y142" s="113"/>
      <c r="Z142" s="112"/>
      <c r="AA142" s="31"/>
      <c r="AB142" s="302"/>
      <c r="AC142" s="89"/>
      <c r="AD142" s="88" t="str">
        <f t="shared" si="37"/>
        <v>NA</v>
      </c>
      <c r="AE142" s="88" t="str">
        <f t="shared" si="38"/>
        <v>NA</v>
      </c>
      <c r="AF142" s="111"/>
      <c r="AG142" s="112"/>
      <c r="AH142" s="113"/>
      <c r="AI142" s="112"/>
      <c r="AJ142" s="31"/>
      <c r="AK142" s="294"/>
      <c r="AL142" s="89"/>
      <c r="AM142" s="88" t="str">
        <f t="shared" si="32"/>
        <v>NA</v>
      </c>
      <c r="AN142" s="88" t="str">
        <f t="shared" si="33"/>
        <v>NA</v>
      </c>
      <c r="AO142" s="111"/>
      <c r="AP142" s="112"/>
      <c r="AQ142" s="113"/>
      <c r="AR142" s="112"/>
      <c r="AS142" s="31"/>
      <c r="AT142" s="32"/>
      <c r="AU142" s="90"/>
      <c r="AV142" s="88"/>
      <c r="AW142" s="88"/>
      <c r="AX142" s="111"/>
      <c r="AY142" s="112"/>
      <c r="AZ142" s="113"/>
      <c r="BA142" s="112"/>
      <c r="BB142" s="31"/>
      <c r="BC142" s="32"/>
      <c r="BD142" s="90"/>
      <c r="BE142" s="88"/>
      <c r="BF142" s="88"/>
      <c r="BG142" s="111"/>
      <c r="BH142" s="112"/>
      <c r="BI142" s="113"/>
      <c r="BJ142" s="112"/>
      <c r="BK142" s="31"/>
      <c r="BL142" s="32"/>
      <c r="BM142" s="90"/>
      <c r="BN142" s="88"/>
      <c r="BO142" s="88"/>
      <c r="BP142" s="111"/>
      <c r="BQ142" s="112"/>
      <c r="BR142" s="113"/>
      <c r="BS142" s="112"/>
      <c r="BT142" s="31"/>
      <c r="BU142" s="32"/>
      <c r="BV142" s="90"/>
      <c r="BW142" s="88"/>
      <c r="BX142" s="88"/>
      <c r="BY142" s="111"/>
      <c r="BZ142" s="112"/>
      <c r="CA142" s="113"/>
      <c r="CB142" s="112"/>
      <c r="CC142" s="31"/>
      <c r="CD142" s="32"/>
      <c r="CE142" s="90"/>
      <c r="CF142" s="88"/>
      <c r="CG142" s="88"/>
      <c r="CH142" s="111"/>
      <c r="CI142" s="112"/>
      <c r="CJ142" s="113"/>
      <c r="CK142" s="112"/>
      <c r="CL142" s="31"/>
      <c r="CM142" s="32"/>
      <c r="CN142" s="90"/>
      <c r="CO142" s="88"/>
      <c r="CP142" s="88"/>
      <c r="CQ142" s="111"/>
      <c r="CR142" s="112"/>
      <c r="CS142" s="113"/>
      <c r="CT142" s="112"/>
      <c r="CU142" s="55"/>
      <c r="CW142" s="230" t="s">
        <v>878</v>
      </c>
      <c r="CZ142" s="226" t="s">
        <v>1590</v>
      </c>
    </row>
    <row r="143" spans="1:104" ht="39" hidden="1" x14ac:dyDescent="0.25">
      <c r="A143" s="17" t="s">
        <v>1138</v>
      </c>
      <c r="B143" s="17" t="s">
        <v>1139</v>
      </c>
      <c r="C143" s="17" t="s">
        <v>879</v>
      </c>
      <c r="D143" s="17" t="str">
        <f t="shared" si="34"/>
        <v>A</v>
      </c>
      <c r="E143" s="17" t="b">
        <f t="shared" si="35"/>
        <v>0</v>
      </c>
      <c r="F143" s="17" t="b">
        <f t="shared" si="36"/>
        <v>1</v>
      </c>
      <c r="G143" s="317" t="s">
        <v>2022</v>
      </c>
      <c r="H143" s="324" t="s">
        <v>2339</v>
      </c>
      <c r="I143" s="315" t="s">
        <v>1139</v>
      </c>
      <c r="J143" s="147" t="s">
        <v>879</v>
      </c>
      <c r="K143" s="31"/>
      <c r="L143" s="32" t="s">
        <v>354</v>
      </c>
      <c r="M143" s="90"/>
      <c r="N143" s="111"/>
      <c r="O143" s="112"/>
      <c r="P143" s="113"/>
      <c r="Q143" s="112"/>
      <c r="R143" s="31"/>
      <c r="S143" s="32"/>
      <c r="T143" s="90"/>
      <c r="U143" s="88" t="str">
        <f t="shared" si="30"/>
        <v>NA</v>
      </c>
      <c r="V143" s="88" t="str">
        <f t="shared" si="31"/>
        <v>NA</v>
      </c>
      <c r="W143" s="111"/>
      <c r="X143" s="112"/>
      <c r="Y143" s="113"/>
      <c r="Z143" s="112"/>
      <c r="AA143" s="31"/>
      <c r="AB143" s="302"/>
      <c r="AC143" s="89"/>
      <c r="AD143" s="88" t="str">
        <f t="shared" si="37"/>
        <v>NA</v>
      </c>
      <c r="AE143" s="88" t="str">
        <f t="shared" si="38"/>
        <v>NA</v>
      </c>
      <c r="AF143" s="111"/>
      <c r="AG143" s="112"/>
      <c r="AH143" s="113"/>
      <c r="AI143" s="112"/>
      <c r="AJ143" s="31"/>
      <c r="AK143" s="294"/>
      <c r="AL143" s="89"/>
      <c r="AM143" s="88" t="str">
        <f t="shared" si="32"/>
        <v>NA</v>
      </c>
      <c r="AN143" s="88" t="str">
        <f t="shared" si="33"/>
        <v>NA</v>
      </c>
      <c r="AO143" s="111"/>
      <c r="AP143" s="112"/>
      <c r="AQ143" s="113"/>
      <c r="AR143" s="112"/>
      <c r="AS143" s="31"/>
      <c r="AT143" s="32"/>
      <c r="AU143" s="90"/>
      <c r="AV143" s="88"/>
      <c r="AW143" s="88"/>
      <c r="AX143" s="111"/>
      <c r="AY143" s="112"/>
      <c r="AZ143" s="113"/>
      <c r="BA143" s="112"/>
      <c r="BB143" s="31"/>
      <c r="BC143" s="32"/>
      <c r="BD143" s="90"/>
      <c r="BE143" s="88"/>
      <c r="BF143" s="88"/>
      <c r="BG143" s="111"/>
      <c r="BH143" s="112"/>
      <c r="BI143" s="113"/>
      <c r="BJ143" s="112"/>
      <c r="BK143" s="31"/>
      <c r="BL143" s="32"/>
      <c r="BM143" s="90"/>
      <c r="BN143" s="88"/>
      <c r="BO143" s="88"/>
      <c r="BP143" s="111"/>
      <c r="BQ143" s="112"/>
      <c r="BR143" s="113"/>
      <c r="BS143" s="112"/>
      <c r="BT143" s="31"/>
      <c r="BU143" s="32"/>
      <c r="BV143" s="90"/>
      <c r="BW143" s="88"/>
      <c r="BX143" s="88"/>
      <c r="BY143" s="111"/>
      <c r="BZ143" s="112"/>
      <c r="CA143" s="113"/>
      <c r="CB143" s="112"/>
      <c r="CC143" s="31"/>
      <c r="CD143" s="32"/>
      <c r="CE143" s="90"/>
      <c r="CF143" s="88"/>
      <c r="CG143" s="88"/>
      <c r="CH143" s="111"/>
      <c r="CI143" s="112"/>
      <c r="CJ143" s="113"/>
      <c r="CK143" s="112"/>
      <c r="CL143" s="31"/>
      <c r="CM143" s="32"/>
      <c r="CN143" s="90"/>
      <c r="CO143" s="88"/>
      <c r="CP143" s="88"/>
      <c r="CQ143" s="111"/>
      <c r="CR143" s="112"/>
      <c r="CS143" s="113"/>
      <c r="CT143" s="112"/>
      <c r="CU143" s="55"/>
      <c r="CW143" s="230" t="s">
        <v>879</v>
      </c>
      <c r="CZ143" s="226" t="s">
        <v>1590</v>
      </c>
    </row>
    <row r="144" spans="1:104" ht="39" hidden="1" x14ac:dyDescent="0.25">
      <c r="A144" s="17" t="s">
        <v>1140</v>
      </c>
      <c r="B144" s="17" t="s">
        <v>1141</v>
      </c>
      <c r="C144" s="17" t="s">
        <v>880</v>
      </c>
      <c r="D144" s="17" t="str">
        <f t="shared" si="34"/>
        <v>A</v>
      </c>
      <c r="E144" s="17" t="b">
        <f t="shared" si="35"/>
        <v>0</v>
      </c>
      <c r="F144" s="17" t="b">
        <f t="shared" si="36"/>
        <v>1</v>
      </c>
      <c r="G144" s="317" t="s">
        <v>2023</v>
      </c>
      <c r="H144" s="324" t="s">
        <v>2340</v>
      </c>
      <c r="I144" s="315" t="s">
        <v>1141</v>
      </c>
      <c r="J144" s="147" t="s">
        <v>880</v>
      </c>
      <c r="K144" s="31"/>
      <c r="L144" s="32" t="s">
        <v>354</v>
      </c>
      <c r="M144" s="90"/>
      <c r="N144" s="111"/>
      <c r="O144" s="112"/>
      <c r="P144" s="113"/>
      <c r="Q144" s="112"/>
      <c r="R144" s="31"/>
      <c r="S144" s="32"/>
      <c r="T144" s="90"/>
      <c r="U144" s="88" t="str">
        <f t="shared" si="30"/>
        <v>NA</v>
      </c>
      <c r="V144" s="88" t="str">
        <f t="shared" si="31"/>
        <v>NA</v>
      </c>
      <c r="W144" s="111"/>
      <c r="X144" s="112"/>
      <c r="Y144" s="113"/>
      <c r="Z144" s="112"/>
      <c r="AA144" s="31"/>
      <c r="AB144" s="302"/>
      <c r="AC144" s="89"/>
      <c r="AD144" s="88" t="str">
        <f t="shared" si="37"/>
        <v>NA</v>
      </c>
      <c r="AE144" s="88" t="str">
        <f t="shared" si="38"/>
        <v>NA</v>
      </c>
      <c r="AF144" s="111"/>
      <c r="AG144" s="112"/>
      <c r="AH144" s="113"/>
      <c r="AI144" s="112"/>
      <c r="AJ144" s="31"/>
      <c r="AK144" s="294"/>
      <c r="AL144" s="89"/>
      <c r="AM144" s="88" t="str">
        <f t="shared" si="32"/>
        <v>NA</v>
      </c>
      <c r="AN144" s="88" t="str">
        <f t="shared" si="33"/>
        <v>NA</v>
      </c>
      <c r="AO144" s="111"/>
      <c r="AP144" s="112"/>
      <c r="AQ144" s="113"/>
      <c r="AR144" s="112"/>
      <c r="AS144" s="31"/>
      <c r="AT144" s="32"/>
      <c r="AU144" s="90"/>
      <c r="AV144" s="88"/>
      <c r="AW144" s="88"/>
      <c r="AX144" s="111"/>
      <c r="AY144" s="112"/>
      <c r="AZ144" s="113"/>
      <c r="BA144" s="112"/>
      <c r="BB144" s="31"/>
      <c r="BC144" s="32"/>
      <c r="BD144" s="90"/>
      <c r="BE144" s="88"/>
      <c r="BF144" s="88"/>
      <c r="BG144" s="111"/>
      <c r="BH144" s="112"/>
      <c r="BI144" s="113"/>
      <c r="BJ144" s="112"/>
      <c r="BK144" s="31"/>
      <c r="BL144" s="32"/>
      <c r="BM144" s="90"/>
      <c r="BN144" s="88"/>
      <c r="BO144" s="88"/>
      <c r="BP144" s="111"/>
      <c r="BQ144" s="112"/>
      <c r="BR144" s="113"/>
      <c r="BS144" s="112"/>
      <c r="BT144" s="31"/>
      <c r="BU144" s="32"/>
      <c r="BV144" s="90"/>
      <c r="BW144" s="88"/>
      <c r="BX144" s="88"/>
      <c r="BY144" s="111"/>
      <c r="BZ144" s="112"/>
      <c r="CA144" s="113"/>
      <c r="CB144" s="112"/>
      <c r="CC144" s="31"/>
      <c r="CD144" s="32"/>
      <c r="CE144" s="90"/>
      <c r="CF144" s="88"/>
      <c r="CG144" s="88"/>
      <c r="CH144" s="111"/>
      <c r="CI144" s="112"/>
      <c r="CJ144" s="113"/>
      <c r="CK144" s="112"/>
      <c r="CL144" s="31"/>
      <c r="CM144" s="32"/>
      <c r="CN144" s="90"/>
      <c r="CO144" s="88"/>
      <c r="CP144" s="88"/>
      <c r="CQ144" s="111"/>
      <c r="CR144" s="112"/>
      <c r="CS144" s="113"/>
      <c r="CT144" s="112"/>
      <c r="CU144" s="55"/>
      <c r="CW144" s="230" t="s">
        <v>880</v>
      </c>
      <c r="CZ144" s="226" t="s">
        <v>1590</v>
      </c>
    </row>
    <row r="145" spans="1:104" ht="39" hidden="1" x14ac:dyDescent="0.25">
      <c r="A145" s="17" t="s">
        <v>1142</v>
      </c>
      <c r="B145" s="17" t="s">
        <v>1143</v>
      </c>
      <c r="C145" s="17" t="s">
        <v>881</v>
      </c>
      <c r="D145" s="17" t="str">
        <f t="shared" si="34"/>
        <v>A</v>
      </c>
      <c r="E145" s="17" t="b">
        <f t="shared" si="35"/>
        <v>0</v>
      </c>
      <c r="F145" s="17" t="b">
        <f t="shared" si="36"/>
        <v>1</v>
      </c>
      <c r="G145" s="317" t="s">
        <v>2024</v>
      </c>
      <c r="H145" s="324" t="s">
        <v>2341</v>
      </c>
      <c r="I145" s="315" t="s">
        <v>1143</v>
      </c>
      <c r="J145" s="147" t="s">
        <v>881</v>
      </c>
      <c r="K145" s="31"/>
      <c r="L145" s="32" t="s">
        <v>354</v>
      </c>
      <c r="M145" s="90"/>
      <c r="N145" s="111"/>
      <c r="O145" s="112"/>
      <c r="P145" s="113"/>
      <c r="Q145" s="112"/>
      <c r="R145" s="31"/>
      <c r="S145" s="32"/>
      <c r="T145" s="90"/>
      <c r="U145" s="88" t="str">
        <f t="shared" si="30"/>
        <v>NA</v>
      </c>
      <c r="V145" s="88" t="str">
        <f t="shared" si="31"/>
        <v>NA</v>
      </c>
      <c r="W145" s="111"/>
      <c r="X145" s="112"/>
      <c r="Y145" s="113"/>
      <c r="Z145" s="112"/>
      <c r="AA145" s="31"/>
      <c r="AB145" s="302"/>
      <c r="AC145" s="89"/>
      <c r="AD145" s="88" t="str">
        <f t="shared" si="37"/>
        <v>NA</v>
      </c>
      <c r="AE145" s="88" t="str">
        <f t="shared" si="38"/>
        <v>NA</v>
      </c>
      <c r="AF145" s="111"/>
      <c r="AG145" s="112"/>
      <c r="AH145" s="113"/>
      <c r="AI145" s="112"/>
      <c r="AJ145" s="31"/>
      <c r="AK145" s="294"/>
      <c r="AL145" s="89"/>
      <c r="AM145" s="88" t="str">
        <f t="shared" si="32"/>
        <v>NA</v>
      </c>
      <c r="AN145" s="88" t="str">
        <f t="shared" si="33"/>
        <v>NA</v>
      </c>
      <c r="AO145" s="111"/>
      <c r="AP145" s="112"/>
      <c r="AQ145" s="113"/>
      <c r="AR145" s="112"/>
      <c r="AS145" s="31"/>
      <c r="AT145" s="32"/>
      <c r="AU145" s="90"/>
      <c r="AV145" s="88"/>
      <c r="AW145" s="88"/>
      <c r="AX145" s="111"/>
      <c r="AY145" s="112"/>
      <c r="AZ145" s="113"/>
      <c r="BA145" s="112"/>
      <c r="BB145" s="31"/>
      <c r="BC145" s="32"/>
      <c r="BD145" s="90"/>
      <c r="BE145" s="88"/>
      <c r="BF145" s="88"/>
      <c r="BG145" s="111"/>
      <c r="BH145" s="112"/>
      <c r="BI145" s="113"/>
      <c r="BJ145" s="112"/>
      <c r="BK145" s="31"/>
      <c r="BL145" s="32"/>
      <c r="BM145" s="90"/>
      <c r="BN145" s="88"/>
      <c r="BO145" s="88"/>
      <c r="BP145" s="111"/>
      <c r="BQ145" s="112"/>
      <c r="BR145" s="113"/>
      <c r="BS145" s="112"/>
      <c r="BT145" s="31"/>
      <c r="BU145" s="32"/>
      <c r="BV145" s="90"/>
      <c r="BW145" s="88"/>
      <c r="BX145" s="88"/>
      <c r="BY145" s="111"/>
      <c r="BZ145" s="112"/>
      <c r="CA145" s="113"/>
      <c r="CB145" s="112"/>
      <c r="CC145" s="31"/>
      <c r="CD145" s="32"/>
      <c r="CE145" s="90"/>
      <c r="CF145" s="88"/>
      <c r="CG145" s="88"/>
      <c r="CH145" s="111"/>
      <c r="CI145" s="112"/>
      <c r="CJ145" s="113"/>
      <c r="CK145" s="112"/>
      <c r="CL145" s="31"/>
      <c r="CM145" s="32"/>
      <c r="CN145" s="90"/>
      <c r="CO145" s="88"/>
      <c r="CP145" s="88"/>
      <c r="CQ145" s="111"/>
      <c r="CR145" s="112"/>
      <c r="CS145" s="113"/>
      <c r="CT145" s="112"/>
      <c r="CU145" s="55"/>
      <c r="CW145" s="230" t="s">
        <v>881</v>
      </c>
      <c r="CZ145" s="226" t="s">
        <v>1590</v>
      </c>
    </row>
    <row r="146" spans="1:104" ht="39" hidden="1" x14ac:dyDescent="0.25">
      <c r="A146" s="17" t="s">
        <v>1144</v>
      </c>
      <c r="B146" s="17" t="s">
        <v>1145</v>
      </c>
      <c r="C146" s="17" t="s">
        <v>882</v>
      </c>
      <c r="D146" s="17" t="str">
        <f t="shared" si="34"/>
        <v>A</v>
      </c>
      <c r="E146" s="17" t="b">
        <f t="shared" si="35"/>
        <v>0</v>
      </c>
      <c r="F146" s="17" t="b">
        <f t="shared" si="36"/>
        <v>1</v>
      </c>
      <c r="G146" s="317" t="s">
        <v>2025</v>
      </c>
      <c r="H146" s="324" t="s">
        <v>2342</v>
      </c>
      <c r="I146" s="315" t="s">
        <v>1145</v>
      </c>
      <c r="J146" s="147" t="s">
        <v>882</v>
      </c>
      <c r="K146" s="31"/>
      <c r="L146" s="32" t="s">
        <v>354</v>
      </c>
      <c r="M146" s="90"/>
      <c r="N146" s="111"/>
      <c r="O146" s="112"/>
      <c r="P146" s="113"/>
      <c r="Q146" s="112"/>
      <c r="R146" s="31"/>
      <c r="S146" s="32"/>
      <c r="T146" s="90"/>
      <c r="U146" s="88" t="str">
        <f t="shared" si="30"/>
        <v>NA</v>
      </c>
      <c r="V146" s="88" t="str">
        <f t="shared" si="31"/>
        <v>NA</v>
      </c>
      <c r="W146" s="111"/>
      <c r="X146" s="112"/>
      <c r="Y146" s="113"/>
      <c r="Z146" s="112"/>
      <c r="AA146" s="31"/>
      <c r="AB146" s="302"/>
      <c r="AC146" s="89"/>
      <c r="AD146" s="88" t="str">
        <f t="shared" si="37"/>
        <v>NA</v>
      </c>
      <c r="AE146" s="88" t="str">
        <f t="shared" si="38"/>
        <v>NA</v>
      </c>
      <c r="AF146" s="111"/>
      <c r="AG146" s="112"/>
      <c r="AH146" s="113"/>
      <c r="AI146" s="112"/>
      <c r="AJ146" s="31"/>
      <c r="AK146" s="294"/>
      <c r="AL146" s="89"/>
      <c r="AM146" s="88" t="str">
        <f t="shared" si="32"/>
        <v>NA</v>
      </c>
      <c r="AN146" s="88" t="str">
        <f t="shared" si="33"/>
        <v>NA</v>
      </c>
      <c r="AO146" s="111"/>
      <c r="AP146" s="112"/>
      <c r="AQ146" s="113"/>
      <c r="AR146" s="112"/>
      <c r="AS146" s="31"/>
      <c r="AT146" s="32"/>
      <c r="AU146" s="90"/>
      <c r="AV146" s="88"/>
      <c r="AW146" s="88"/>
      <c r="AX146" s="111"/>
      <c r="AY146" s="112"/>
      <c r="AZ146" s="113"/>
      <c r="BA146" s="112"/>
      <c r="BB146" s="31"/>
      <c r="BC146" s="32"/>
      <c r="BD146" s="90"/>
      <c r="BE146" s="88"/>
      <c r="BF146" s="88"/>
      <c r="BG146" s="111"/>
      <c r="BH146" s="112"/>
      <c r="BI146" s="113"/>
      <c r="BJ146" s="112"/>
      <c r="BK146" s="31"/>
      <c r="BL146" s="32"/>
      <c r="BM146" s="90"/>
      <c r="BN146" s="88"/>
      <c r="BO146" s="88"/>
      <c r="BP146" s="111"/>
      <c r="BQ146" s="112"/>
      <c r="BR146" s="113"/>
      <c r="BS146" s="112"/>
      <c r="BT146" s="31"/>
      <c r="BU146" s="32"/>
      <c r="BV146" s="90"/>
      <c r="BW146" s="88"/>
      <c r="BX146" s="88"/>
      <c r="BY146" s="111"/>
      <c r="BZ146" s="112"/>
      <c r="CA146" s="113"/>
      <c r="CB146" s="112"/>
      <c r="CC146" s="31"/>
      <c r="CD146" s="32"/>
      <c r="CE146" s="90"/>
      <c r="CF146" s="88"/>
      <c r="CG146" s="88"/>
      <c r="CH146" s="111"/>
      <c r="CI146" s="112"/>
      <c r="CJ146" s="113"/>
      <c r="CK146" s="112"/>
      <c r="CL146" s="31"/>
      <c r="CM146" s="32"/>
      <c r="CN146" s="90"/>
      <c r="CO146" s="88"/>
      <c r="CP146" s="88"/>
      <c r="CQ146" s="111"/>
      <c r="CR146" s="112"/>
      <c r="CS146" s="113"/>
      <c r="CT146" s="112"/>
      <c r="CU146" s="55"/>
      <c r="CW146" s="230" t="s">
        <v>882</v>
      </c>
      <c r="CZ146" s="226" t="s">
        <v>1590</v>
      </c>
    </row>
    <row r="147" spans="1:104" ht="39" hidden="1" x14ac:dyDescent="0.25">
      <c r="A147" s="17" t="s">
        <v>1146</v>
      </c>
      <c r="B147" s="17" t="s">
        <v>1147</v>
      </c>
      <c r="C147" s="17" t="s">
        <v>883</v>
      </c>
      <c r="D147" s="17" t="str">
        <f t="shared" si="34"/>
        <v>A</v>
      </c>
      <c r="E147" s="17" t="b">
        <f t="shared" si="35"/>
        <v>0</v>
      </c>
      <c r="F147" s="17" t="b">
        <f t="shared" si="36"/>
        <v>1</v>
      </c>
      <c r="G147" s="317" t="s">
        <v>2026</v>
      </c>
      <c r="H147" s="324" t="s">
        <v>2343</v>
      </c>
      <c r="I147" s="315" t="s">
        <v>1147</v>
      </c>
      <c r="J147" s="147" t="s">
        <v>883</v>
      </c>
      <c r="K147" s="31"/>
      <c r="L147" s="32" t="s">
        <v>354</v>
      </c>
      <c r="M147" s="90"/>
      <c r="N147" s="111"/>
      <c r="O147" s="112"/>
      <c r="P147" s="113"/>
      <c r="Q147" s="112"/>
      <c r="R147" s="31"/>
      <c r="S147" s="32"/>
      <c r="T147" s="90"/>
      <c r="U147" s="88" t="str">
        <f t="shared" si="30"/>
        <v>NA</v>
      </c>
      <c r="V147" s="88" t="str">
        <f t="shared" si="31"/>
        <v>NA</v>
      </c>
      <c r="W147" s="111"/>
      <c r="X147" s="112"/>
      <c r="Y147" s="113"/>
      <c r="Z147" s="112"/>
      <c r="AA147" s="31"/>
      <c r="AB147" s="302"/>
      <c r="AC147" s="89"/>
      <c r="AD147" s="88" t="str">
        <f t="shared" si="37"/>
        <v>NA</v>
      </c>
      <c r="AE147" s="88" t="str">
        <f t="shared" si="38"/>
        <v>NA</v>
      </c>
      <c r="AF147" s="111"/>
      <c r="AG147" s="112"/>
      <c r="AH147" s="113"/>
      <c r="AI147" s="112"/>
      <c r="AJ147" s="31"/>
      <c r="AK147" s="294"/>
      <c r="AL147" s="89"/>
      <c r="AM147" s="88" t="str">
        <f t="shared" si="32"/>
        <v>NA</v>
      </c>
      <c r="AN147" s="88" t="str">
        <f t="shared" si="33"/>
        <v>NA</v>
      </c>
      <c r="AO147" s="111"/>
      <c r="AP147" s="112"/>
      <c r="AQ147" s="113"/>
      <c r="AR147" s="112"/>
      <c r="AS147" s="31"/>
      <c r="AT147" s="32"/>
      <c r="AU147" s="90"/>
      <c r="AV147" s="88"/>
      <c r="AW147" s="88"/>
      <c r="AX147" s="111"/>
      <c r="AY147" s="112"/>
      <c r="AZ147" s="113"/>
      <c r="BA147" s="112"/>
      <c r="BB147" s="31"/>
      <c r="BC147" s="32"/>
      <c r="BD147" s="90"/>
      <c r="BE147" s="88"/>
      <c r="BF147" s="88"/>
      <c r="BG147" s="111"/>
      <c r="BH147" s="112"/>
      <c r="BI147" s="113"/>
      <c r="BJ147" s="112"/>
      <c r="BK147" s="31"/>
      <c r="BL147" s="32"/>
      <c r="BM147" s="90"/>
      <c r="BN147" s="88"/>
      <c r="BO147" s="88"/>
      <c r="BP147" s="111"/>
      <c r="BQ147" s="112"/>
      <c r="BR147" s="113"/>
      <c r="BS147" s="112"/>
      <c r="BT147" s="31"/>
      <c r="BU147" s="32"/>
      <c r="BV147" s="90"/>
      <c r="BW147" s="88"/>
      <c r="BX147" s="88"/>
      <c r="BY147" s="111"/>
      <c r="BZ147" s="112"/>
      <c r="CA147" s="113"/>
      <c r="CB147" s="112"/>
      <c r="CC147" s="31"/>
      <c r="CD147" s="32"/>
      <c r="CE147" s="90"/>
      <c r="CF147" s="88"/>
      <c r="CG147" s="88"/>
      <c r="CH147" s="111"/>
      <c r="CI147" s="112"/>
      <c r="CJ147" s="113"/>
      <c r="CK147" s="112"/>
      <c r="CL147" s="31"/>
      <c r="CM147" s="32"/>
      <c r="CN147" s="90"/>
      <c r="CO147" s="88"/>
      <c r="CP147" s="88"/>
      <c r="CQ147" s="111"/>
      <c r="CR147" s="112"/>
      <c r="CS147" s="113"/>
      <c r="CT147" s="112"/>
      <c r="CU147" s="55"/>
      <c r="CW147" s="230" t="s">
        <v>883</v>
      </c>
      <c r="CZ147" s="226" t="s">
        <v>1590</v>
      </c>
    </row>
    <row r="148" spans="1:104" ht="13" hidden="1" x14ac:dyDescent="0.25">
      <c r="A148" s="17" t="s">
        <v>1148</v>
      </c>
      <c r="B148" s="17" t="s">
        <v>1149</v>
      </c>
      <c r="C148" s="17" t="s">
        <v>884</v>
      </c>
      <c r="D148" s="17" t="str">
        <f t="shared" si="34"/>
        <v>A</v>
      </c>
      <c r="E148" s="17" t="b">
        <f t="shared" si="35"/>
        <v>0</v>
      </c>
      <c r="F148" s="17" t="b">
        <f t="shared" si="36"/>
        <v>1</v>
      </c>
      <c r="G148" s="317" t="s">
        <v>2027</v>
      </c>
      <c r="H148" s="324" t="s">
        <v>2344</v>
      </c>
      <c r="I148" s="315" t="s">
        <v>1149</v>
      </c>
      <c r="J148" s="147" t="s">
        <v>884</v>
      </c>
      <c r="K148" s="31"/>
      <c r="L148" s="32" t="s">
        <v>354</v>
      </c>
      <c r="M148" s="90"/>
      <c r="N148" s="111"/>
      <c r="O148" s="112"/>
      <c r="P148" s="113"/>
      <c r="Q148" s="112"/>
      <c r="R148" s="31"/>
      <c r="S148" s="32"/>
      <c r="T148" s="90"/>
      <c r="U148" s="88" t="str">
        <f t="shared" si="30"/>
        <v>NA</v>
      </c>
      <c r="V148" s="88" t="str">
        <f t="shared" si="31"/>
        <v>NA</v>
      </c>
      <c r="W148" s="111"/>
      <c r="X148" s="112"/>
      <c r="Y148" s="113"/>
      <c r="Z148" s="112"/>
      <c r="AA148" s="31"/>
      <c r="AB148" s="302"/>
      <c r="AC148" s="89"/>
      <c r="AD148" s="88" t="str">
        <f t="shared" si="37"/>
        <v>NA</v>
      </c>
      <c r="AE148" s="88" t="str">
        <f t="shared" si="38"/>
        <v>NA</v>
      </c>
      <c r="AF148" s="111"/>
      <c r="AG148" s="112"/>
      <c r="AH148" s="113"/>
      <c r="AI148" s="112"/>
      <c r="AJ148" s="31"/>
      <c r="AK148" s="294"/>
      <c r="AL148" s="89"/>
      <c r="AM148" s="88" t="str">
        <f t="shared" si="32"/>
        <v>NA</v>
      </c>
      <c r="AN148" s="88" t="str">
        <f t="shared" si="33"/>
        <v>NA</v>
      </c>
      <c r="AO148" s="111"/>
      <c r="AP148" s="112"/>
      <c r="AQ148" s="113"/>
      <c r="AR148" s="112"/>
      <c r="AS148" s="31"/>
      <c r="AT148" s="32"/>
      <c r="AU148" s="90"/>
      <c r="AV148" s="88"/>
      <c r="AW148" s="88"/>
      <c r="AX148" s="111"/>
      <c r="AY148" s="112"/>
      <c r="AZ148" s="113"/>
      <c r="BA148" s="112"/>
      <c r="BB148" s="31"/>
      <c r="BC148" s="32"/>
      <c r="BD148" s="90"/>
      <c r="BE148" s="88"/>
      <c r="BF148" s="88"/>
      <c r="BG148" s="111"/>
      <c r="BH148" s="112"/>
      <c r="BI148" s="113"/>
      <c r="BJ148" s="112"/>
      <c r="BK148" s="31"/>
      <c r="BL148" s="32"/>
      <c r="BM148" s="90"/>
      <c r="BN148" s="88"/>
      <c r="BO148" s="88"/>
      <c r="BP148" s="111"/>
      <c r="BQ148" s="112"/>
      <c r="BR148" s="113"/>
      <c r="BS148" s="112"/>
      <c r="BT148" s="31"/>
      <c r="BU148" s="32"/>
      <c r="BV148" s="90"/>
      <c r="BW148" s="88"/>
      <c r="BX148" s="88"/>
      <c r="BY148" s="111"/>
      <c r="BZ148" s="112"/>
      <c r="CA148" s="113"/>
      <c r="CB148" s="112"/>
      <c r="CC148" s="31"/>
      <c r="CD148" s="32"/>
      <c r="CE148" s="90"/>
      <c r="CF148" s="88"/>
      <c r="CG148" s="88"/>
      <c r="CH148" s="111"/>
      <c r="CI148" s="112"/>
      <c r="CJ148" s="113"/>
      <c r="CK148" s="112"/>
      <c r="CL148" s="31"/>
      <c r="CM148" s="32"/>
      <c r="CN148" s="90"/>
      <c r="CO148" s="88"/>
      <c r="CP148" s="88"/>
      <c r="CQ148" s="111"/>
      <c r="CR148" s="112"/>
      <c r="CS148" s="113"/>
      <c r="CT148" s="112"/>
      <c r="CU148" s="55"/>
      <c r="CW148" s="230" t="s">
        <v>884</v>
      </c>
      <c r="CZ148" s="226" t="s">
        <v>1590</v>
      </c>
    </row>
    <row r="149" spans="1:104" ht="13" hidden="1" x14ac:dyDescent="0.25">
      <c r="A149" s="17" t="s">
        <v>1150</v>
      </c>
      <c r="B149" s="17" t="s">
        <v>1151</v>
      </c>
      <c r="C149" s="17" t="s">
        <v>885</v>
      </c>
      <c r="D149" s="17" t="str">
        <f t="shared" si="34"/>
        <v>A</v>
      </c>
      <c r="E149" s="17" t="b">
        <f t="shared" si="35"/>
        <v>0</v>
      </c>
      <c r="F149" s="17" t="b">
        <f t="shared" si="36"/>
        <v>1</v>
      </c>
      <c r="G149" s="317" t="s">
        <v>2028</v>
      </c>
      <c r="H149" s="324" t="s">
        <v>2345</v>
      </c>
      <c r="I149" s="315" t="s">
        <v>1151</v>
      </c>
      <c r="J149" s="147" t="s">
        <v>885</v>
      </c>
      <c r="K149" s="31"/>
      <c r="L149" s="32" t="s">
        <v>354</v>
      </c>
      <c r="M149" s="90"/>
      <c r="N149" s="111"/>
      <c r="O149" s="112"/>
      <c r="P149" s="113"/>
      <c r="Q149" s="112"/>
      <c r="R149" s="31"/>
      <c r="S149" s="32"/>
      <c r="T149" s="90"/>
      <c r="U149" s="88" t="str">
        <f t="shared" si="30"/>
        <v>NA</v>
      </c>
      <c r="V149" s="88" t="str">
        <f t="shared" si="31"/>
        <v>NA</v>
      </c>
      <c r="W149" s="111"/>
      <c r="X149" s="112"/>
      <c r="Y149" s="113"/>
      <c r="Z149" s="112"/>
      <c r="AA149" s="31"/>
      <c r="AB149" s="302"/>
      <c r="AC149" s="89"/>
      <c r="AD149" s="88" t="str">
        <f t="shared" si="37"/>
        <v>NA</v>
      </c>
      <c r="AE149" s="88" t="str">
        <f t="shared" si="38"/>
        <v>NA</v>
      </c>
      <c r="AF149" s="111"/>
      <c r="AG149" s="112"/>
      <c r="AH149" s="113"/>
      <c r="AI149" s="112"/>
      <c r="AJ149" s="31"/>
      <c r="AK149" s="294"/>
      <c r="AL149" s="89"/>
      <c r="AM149" s="88" t="str">
        <f t="shared" si="32"/>
        <v>NA</v>
      </c>
      <c r="AN149" s="88" t="str">
        <f t="shared" si="33"/>
        <v>NA</v>
      </c>
      <c r="AO149" s="111"/>
      <c r="AP149" s="112"/>
      <c r="AQ149" s="113"/>
      <c r="AR149" s="112"/>
      <c r="AS149" s="31"/>
      <c r="AT149" s="32"/>
      <c r="AU149" s="90"/>
      <c r="AV149" s="88"/>
      <c r="AW149" s="88"/>
      <c r="AX149" s="111"/>
      <c r="AY149" s="112"/>
      <c r="AZ149" s="113"/>
      <c r="BA149" s="112"/>
      <c r="BB149" s="31"/>
      <c r="BC149" s="32"/>
      <c r="BD149" s="90"/>
      <c r="BE149" s="88"/>
      <c r="BF149" s="88"/>
      <c r="BG149" s="111"/>
      <c r="BH149" s="112"/>
      <c r="BI149" s="113"/>
      <c r="BJ149" s="112"/>
      <c r="BK149" s="31"/>
      <c r="BL149" s="32"/>
      <c r="BM149" s="90"/>
      <c r="BN149" s="88"/>
      <c r="BO149" s="88"/>
      <c r="BP149" s="111"/>
      <c r="BQ149" s="112"/>
      <c r="BR149" s="113"/>
      <c r="BS149" s="112"/>
      <c r="BT149" s="31"/>
      <c r="BU149" s="32"/>
      <c r="BV149" s="90"/>
      <c r="BW149" s="88"/>
      <c r="BX149" s="88"/>
      <c r="BY149" s="111"/>
      <c r="BZ149" s="112"/>
      <c r="CA149" s="113"/>
      <c r="CB149" s="112"/>
      <c r="CC149" s="31"/>
      <c r="CD149" s="32"/>
      <c r="CE149" s="90"/>
      <c r="CF149" s="88"/>
      <c r="CG149" s="88"/>
      <c r="CH149" s="111"/>
      <c r="CI149" s="112"/>
      <c r="CJ149" s="113"/>
      <c r="CK149" s="112"/>
      <c r="CL149" s="31"/>
      <c r="CM149" s="32"/>
      <c r="CN149" s="90"/>
      <c r="CO149" s="88"/>
      <c r="CP149" s="88"/>
      <c r="CQ149" s="111"/>
      <c r="CR149" s="112"/>
      <c r="CS149" s="113"/>
      <c r="CT149" s="112"/>
      <c r="CU149" s="55"/>
      <c r="CW149" s="230" t="s">
        <v>885</v>
      </c>
      <c r="CZ149" s="226" t="s">
        <v>1590</v>
      </c>
    </row>
    <row r="150" spans="1:104" ht="26" hidden="1" x14ac:dyDescent="0.25">
      <c r="A150" s="17" t="s">
        <v>1152</v>
      </c>
      <c r="B150" s="17" t="s">
        <v>1153</v>
      </c>
      <c r="C150" s="17" t="s">
        <v>886</v>
      </c>
      <c r="D150" s="17" t="str">
        <f t="shared" si="34"/>
        <v>A</v>
      </c>
      <c r="E150" s="17" t="b">
        <f t="shared" si="35"/>
        <v>0</v>
      </c>
      <c r="F150" s="17" t="b">
        <f t="shared" si="36"/>
        <v>1</v>
      </c>
      <c r="G150" s="317" t="s">
        <v>2029</v>
      </c>
      <c r="H150" s="324" t="s">
        <v>2346</v>
      </c>
      <c r="I150" s="315" t="s">
        <v>1153</v>
      </c>
      <c r="J150" s="147" t="s">
        <v>886</v>
      </c>
      <c r="K150" s="31"/>
      <c r="L150" s="32" t="s">
        <v>354</v>
      </c>
      <c r="M150" s="90"/>
      <c r="N150" s="111"/>
      <c r="O150" s="112"/>
      <c r="P150" s="113"/>
      <c r="Q150" s="112"/>
      <c r="R150" s="31"/>
      <c r="S150" s="32"/>
      <c r="T150" s="90"/>
      <c r="U150" s="88" t="str">
        <f t="shared" si="30"/>
        <v>NA</v>
      </c>
      <c r="V150" s="88" t="str">
        <f t="shared" si="31"/>
        <v>NA</v>
      </c>
      <c r="W150" s="111"/>
      <c r="X150" s="112"/>
      <c r="Y150" s="113"/>
      <c r="Z150" s="112"/>
      <c r="AA150" s="31"/>
      <c r="AB150" s="302"/>
      <c r="AC150" s="89"/>
      <c r="AD150" s="88" t="str">
        <f t="shared" si="37"/>
        <v>NA</v>
      </c>
      <c r="AE150" s="88" t="str">
        <f t="shared" si="38"/>
        <v>NA</v>
      </c>
      <c r="AF150" s="111"/>
      <c r="AG150" s="112"/>
      <c r="AH150" s="113"/>
      <c r="AI150" s="112"/>
      <c r="AJ150" s="31"/>
      <c r="AK150" s="294"/>
      <c r="AL150" s="89"/>
      <c r="AM150" s="88" t="str">
        <f t="shared" si="32"/>
        <v>NA</v>
      </c>
      <c r="AN150" s="88" t="str">
        <f t="shared" si="33"/>
        <v>NA</v>
      </c>
      <c r="AO150" s="111"/>
      <c r="AP150" s="112"/>
      <c r="AQ150" s="113"/>
      <c r="AR150" s="112"/>
      <c r="AS150" s="31"/>
      <c r="AT150" s="32"/>
      <c r="AU150" s="90"/>
      <c r="AV150" s="88"/>
      <c r="AW150" s="88"/>
      <c r="AX150" s="111"/>
      <c r="AY150" s="112"/>
      <c r="AZ150" s="113"/>
      <c r="BA150" s="112"/>
      <c r="BB150" s="31"/>
      <c r="BC150" s="32"/>
      <c r="BD150" s="90"/>
      <c r="BE150" s="88"/>
      <c r="BF150" s="88"/>
      <c r="BG150" s="111"/>
      <c r="BH150" s="112"/>
      <c r="BI150" s="113"/>
      <c r="BJ150" s="112"/>
      <c r="BK150" s="31"/>
      <c r="BL150" s="32"/>
      <c r="BM150" s="90"/>
      <c r="BN150" s="88"/>
      <c r="BO150" s="88"/>
      <c r="BP150" s="111"/>
      <c r="BQ150" s="112"/>
      <c r="BR150" s="113"/>
      <c r="BS150" s="112"/>
      <c r="BT150" s="31"/>
      <c r="BU150" s="32"/>
      <c r="BV150" s="90"/>
      <c r="BW150" s="88"/>
      <c r="BX150" s="88"/>
      <c r="BY150" s="111"/>
      <c r="BZ150" s="112"/>
      <c r="CA150" s="113"/>
      <c r="CB150" s="112"/>
      <c r="CC150" s="31"/>
      <c r="CD150" s="32"/>
      <c r="CE150" s="90"/>
      <c r="CF150" s="88"/>
      <c r="CG150" s="88"/>
      <c r="CH150" s="111"/>
      <c r="CI150" s="112"/>
      <c r="CJ150" s="113"/>
      <c r="CK150" s="112"/>
      <c r="CL150" s="31"/>
      <c r="CM150" s="32"/>
      <c r="CN150" s="90"/>
      <c r="CO150" s="88"/>
      <c r="CP150" s="88"/>
      <c r="CQ150" s="111"/>
      <c r="CR150" s="112"/>
      <c r="CS150" s="113"/>
      <c r="CT150" s="112"/>
      <c r="CU150" s="55"/>
      <c r="CW150" s="230" t="s">
        <v>886</v>
      </c>
      <c r="CZ150" s="226" t="s">
        <v>1590</v>
      </c>
    </row>
    <row r="151" spans="1:104" ht="39" hidden="1" x14ac:dyDescent="0.25">
      <c r="A151" s="17" t="s">
        <v>1154</v>
      </c>
      <c r="B151" s="17" t="s">
        <v>1155</v>
      </c>
      <c r="C151" s="17" t="s">
        <v>887</v>
      </c>
      <c r="D151" s="17" t="str">
        <f t="shared" si="34"/>
        <v>A</v>
      </c>
      <c r="E151" s="17" t="b">
        <f t="shared" si="35"/>
        <v>0</v>
      </c>
      <c r="F151" s="17" t="b">
        <f t="shared" si="36"/>
        <v>1</v>
      </c>
      <c r="G151" s="317" t="s">
        <v>2030</v>
      </c>
      <c r="H151" s="324" t="s">
        <v>2347</v>
      </c>
      <c r="I151" s="315" t="s">
        <v>1155</v>
      </c>
      <c r="J151" s="147" t="s">
        <v>887</v>
      </c>
      <c r="K151" s="31"/>
      <c r="L151" s="32" t="s">
        <v>354</v>
      </c>
      <c r="M151" s="90"/>
      <c r="N151" s="111"/>
      <c r="O151" s="112"/>
      <c r="P151" s="113"/>
      <c r="Q151" s="112"/>
      <c r="R151" s="31"/>
      <c r="S151" s="32"/>
      <c r="T151" s="90"/>
      <c r="U151" s="88" t="str">
        <f t="shared" ref="U151:U175" si="39">IF(LEFT(T151,1)&lt;&gt;"x","NA",IF(RIGHT(S151,3)=RIGHT(L151,3),IF(RIGHT(S151,3)&lt;&gt;RIGHT(L151,3),IF(OR(AND(RIGHT(S151,3)=RIGHT(L151,3),T151=M151)),"NO","YES"),"NO"),IF(OR(RIGHT(S151,3)=RIGHT(L151,3)),"ERROR","YES")))</f>
        <v>NA</v>
      </c>
      <c r="V151" s="88" t="str">
        <f t="shared" ref="V151:V177" si="40">IF(LEFT(M151,1)&lt;&gt;LEFT(T151,1),"YES",IF(LEFT(T151,1)="x","NO","NA"))</f>
        <v>NA</v>
      </c>
      <c r="W151" s="111"/>
      <c r="X151" s="112"/>
      <c r="Y151" s="113"/>
      <c r="Z151" s="112"/>
      <c r="AA151" s="31"/>
      <c r="AB151" s="302"/>
      <c r="AC151" s="89"/>
      <c r="AD151" s="88" t="str">
        <f t="shared" si="37"/>
        <v>NA</v>
      </c>
      <c r="AE151" s="88" t="str">
        <f t="shared" si="38"/>
        <v>NA</v>
      </c>
      <c r="AF151" s="111"/>
      <c r="AG151" s="112"/>
      <c r="AH151" s="113"/>
      <c r="AI151" s="112"/>
      <c r="AJ151" s="31"/>
      <c r="AK151" s="294"/>
      <c r="AL151" s="89"/>
      <c r="AM151" s="88" t="str">
        <f t="shared" si="32"/>
        <v>NA</v>
      </c>
      <c r="AN151" s="88" t="str">
        <f t="shared" si="33"/>
        <v>NA</v>
      </c>
      <c r="AO151" s="111"/>
      <c r="AP151" s="112"/>
      <c r="AQ151" s="113"/>
      <c r="AR151" s="112"/>
      <c r="AS151" s="31"/>
      <c r="AT151" s="32"/>
      <c r="AU151" s="90"/>
      <c r="AV151" s="88"/>
      <c r="AW151" s="88"/>
      <c r="AX151" s="111"/>
      <c r="AY151" s="112"/>
      <c r="AZ151" s="113"/>
      <c r="BA151" s="112"/>
      <c r="BB151" s="31"/>
      <c r="BC151" s="32"/>
      <c r="BD151" s="90"/>
      <c r="BE151" s="88"/>
      <c r="BF151" s="88"/>
      <c r="BG151" s="111"/>
      <c r="BH151" s="112"/>
      <c r="BI151" s="113"/>
      <c r="BJ151" s="112"/>
      <c r="BK151" s="31"/>
      <c r="BL151" s="32"/>
      <c r="BM151" s="90"/>
      <c r="BN151" s="88"/>
      <c r="BO151" s="88"/>
      <c r="BP151" s="111"/>
      <c r="BQ151" s="112"/>
      <c r="BR151" s="113"/>
      <c r="BS151" s="112"/>
      <c r="BT151" s="31"/>
      <c r="BU151" s="32"/>
      <c r="BV151" s="90"/>
      <c r="BW151" s="88"/>
      <c r="BX151" s="88"/>
      <c r="BY151" s="111"/>
      <c r="BZ151" s="112"/>
      <c r="CA151" s="113"/>
      <c r="CB151" s="112"/>
      <c r="CC151" s="31"/>
      <c r="CD151" s="32"/>
      <c r="CE151" s="90"/>
      <c r="CF151" s="88"/>
      <c r="CG151" s="88"/>
      <c r="CH151" s="111"/>
      <c r="CI151" s="112"/>
      <c r="CJ151" s="113"/>
      <c r="CK151" s="112"/>
      <c r="CL151" s="31"/>
      <c r="CM151" s="32"/>
      <c r="CN151" s="90"/>
      <c r="CO151" s="88"/>
      <c r="CP151" s="88"/>
      <c r="CQ151" s="111"/>
      <c r="CR151" s="112"/>
      <c r="CS151" s="113"/>
      <c r="CT151" s="112"/>
      <c r="CU151" s="55"/>
      <c r="CW151" s="230" t="s">
        <v>887</v>
      </c>
      <c r="CZ151" s="226" t="s">
        <v>1590</v>
      </c>
    </row>
    <row r="152" spans="1:104" ht="39" hidden="1" x14ac:dyDescent="0.25">
      <c r="A152" s="17" t="s">
        <v>1156</v>
      </c>
      <c r="B152" s="17" t="s">
        <v>1157</v>
      </c>
      <c r="C152" s="17" t="s">
        <v>1158</v>
      </c>
      <c r="D152" s="17" t="str">
        <f t="shared" si="34"/>
        <v>A</v>
      </c>
      <c r="E152" s="17" t="b">
        <f t="shared" si="35"/>
        <v>0</v>
      </c>
      <c r="F152" s="17" t="b">
        <f t="shared" si="36"/>
        <v>1</v>
      </c>
      <c r="G152" s="317" t="s">
        <v>2031</v>
      </c>
      <c r="H152" s="324" t="s">
        <v>2348</v>
      </c>
      <c r="I152" s="315" t="s">
        <v>1157</v>
      </c>
      <c r="J152" s="147" t="s">
        <v>1158</v>
      </c>
      <c r="K152" s="31"/>
      <c r="L152" s="32" t="s">
        <v>354</v>
      </c>
      <c r="M152" s="90"/>
      <c r="N152" s="111"/>
      <c r="O152" s="112"/>
      <c r="P152" s="113"/>
      <c r="Q152" s="112"/>
      <c r="R152" s="31"/>
      <c r="S152" s="32"/>
      <c r="T152" s="90"/>
      <c r="U152" s="88" t="str">
        <f t="shared" si="39"/>
        <v>NA</v>
      </c>
      <c r="V152" s="88" t="str">
        <f t="shared" si="40"/>
        <v>NA</v>
      </c>
      <c r="W152" s="111"/>
      <c r="X152" s="112"/>
      <c r="Y152" s="113"/>
      <c r="Z152" s="112"/>
      <c r="AA152" s="31"/>
      <c r="AB152" s="302"/>
      <c r="AC152" s="89"/>
      <c r="AD152" s="88" t="str">
        <f t="shared" si="37"/>
        <v>NA</v>
      </c>
      <c r="AE152" s="88" t="str">
        <f t="shared" si="38"/>
        <v>NA</v>
      </c>
      <c r="AF152" s="111"/>
      <c r="AG152" s="112"/>
      <c r="AH152" s="113"/>
      <c r="AI152" s="112"/>
      <c r="AJ152" s="31"/>
      <c r="AK152" s="294"/>
      <c r="AL152" s="89"/>
      <c r="AM152" s="88" t="str">
        <f t="shared" si="32"/>
        <v>NA</v>
      </c>
      <c r="AN152" s="88" t="str">
        <f t="shared" si="33"/>
        <v>NA</v>
      </c>
      <c r="AO152" s="111"/>
      <c r="AP152" s="112"/>
      <c r="AQ152" s="113"/>
      <c r="AR152" s="112"/>
      <c r="AS152" s="31"/>
      <c r="AT152" s="32"/>
      <c r="AU152" s="90"/>
      <c r="AV152" s="88"/>
      <c r="AW152" s="88"/>
      <c r="AX152" s="111"/>
      <c r="AY152" s="112"/>
      <c r="AZ152" s="113"/>
      <c r="BA152" s="112"/>
      <c r="BB152" s="31"/>
      <c r="BC152" s="32"/>
      <c r="BD152" s="90"/>
      <c r="BE152" s="88"/>
      <c r="BF152" s="88"/>
      <c r="BG152" s="111"/>
      <c r="BH152" s="112"/>
      <c r="BI152" s="113"/>
      <c r="BJ152" s="112"/>
      <c r="BK152" s="31"/>
      <c r="BL152" s="32"/>
      <c r="BM152" s="90"/>
      <c r="BN152" s="88"/>
      <c r="BO152" s="88"/>
      <c r="BP152" s="111"/>
      <c r="BQ152" s="112"/>
      <c r="BR152" s="113"/>
      <c r="BS152" s="112"/>
      <c r="BT152" s="31"/>
      <c r="BU152" s="32"/>
      <c r="BV152" s="90"/>
      <c r="BW152" s="88"/>
      <c r="BX152" s="88"/>
      <c r="BY152" s="111"/>
      <c r="BZ152" s="112"/>
      <c r="CA152" s="113"/>
      <c r="CB152" s="112"/>
      <c r="CC152" s="31"/>
      <c r="CD152" s="32"/>
      <c r="CE152" s="90"/>
      <c r="CF152" s="88"/>
      <c r="CG152" s="88"/>
      <c r="CH152" s="111"/>
      <c r="CI152" s="112"/>
      <c r="CJ152" s="113"/>
      <c r="CK152" s="112"/>
      <c r="CL152" s="31"/>
      <c r="CM152" s="32"/>
      <c r="CN152" s="90"/>
      <c r="CO152" s="88"/>
      <c r="CP152" s="88"/>
      <c r="CQ152" s="111"/>
      <c r="CR152" s="112"/>
      <c r="CS152" s="113"/>
      <c r="CT152" s="112"/>
      <c r="CU152" s="55"/>
      <c r="CW152" s="230" t="s">
        <v>1158</v>
      </c>
      <c r="CZ152" s="226" t="s">
        <v>1590</v>
      </c>
    </row>
    <row r="153" spans="1:104" ht="39" hidden="1" x14ac:dyDescent="0.25">
      <c r="A153" s="17" t="s">
        <v>1159</v>
      </c>
      <c r="B153" s="17" t="s">
        <v>1160</v>
      </c>
      <c r="C153" s="17" t="s">
        <v>888</v>
      </c>
      <c r="D153" s="17" t="str">
        <f t="shared" si="34"/>
        <v>A</v>
      </c>
      <c r="E153" s="17" t="b">
        <f t="shared" si="35"/>
        <v>0</v>
      </c>
      <c r="F153" s="17" t="b">
        <f t="shared" si="36"/>
        <v>1</v>
      </c>
      <c r="G153" s="317" t="s">
        <v>2032</v>
      </c>
      <c r="H153" s="324" t="s">
        <v>2349</v>
      </c>
      <c r="I153" s="315" t="s">
        <v>1160</v>
      </c>
      <c r="J153" s="147" t="s">
        <v>888</v>
      </c>
      <c r="K153" s="31"/>
      <c r="L153" s="32" t="s">
        <v>354</v>
      </c>
      <c r="M153" s="90"/>
      <c r="N153" s="111"/>
      <c r="O153" s="112"/>
      <c r="P153" s="113"/>
      <c r="Q153" s="112"/>
      <c r="R153" s="31"/>
      <c r="S153" s="32"/>
      <c r="T153" s="90"/>
      <c r="U153" s="88" t="str">
        <f t="shared" si="39"/>
        <v>NA</v>
      </c>
      <c r="V153" s="88" t="str">
        <f t="shared" si="40"/>
        <v>NA</v>
      </c>
      <c r="W153" s="111"/>
      <c r="X153" s="112"/>
      <c r="Y153" s="113"/>
      <c r="Z153" s="112"/>
      <c r="AA153" s="31"/>
      <c r="AB153" s="302"/>
      <c r="AC153" s="89"/>
      <c r="AD153" s="88" t="str">
        <f t="shared" si="37"/>
        <v>NA</v>
      </c>
      <c r="AE153" s="88" t="str">
        <f t="shared" si="38"/>
        <v>NA</v>
      </c>
      <c r="AF153" s="111"/>
      <c r="AG153" s="112"/>
      <c r="AH153" s="113"/>
      <c r="AI153" s="112"/>
      <c r="AJ153" s="31"/>
      <c r="AK153" s="294"/>
      <c r="AL153" s="89"/>
      <c r="AM153" s="88" t="str">
        <f t="shared" si="32"/>
        <v>NA</v>
      </c>
      <c r="AN153" s="88" t="str">
        <f t="shared" si="33"/>
        <v>NA</v>
      </c>
      <c r="AO153" s="111"/>
      <c r="AP153" s="112"/>
      <c r="AQ153" s="113"/>
      <c r="AR153" s="112"/>
      <c r="AS153" s="31"/>
      <c r="AT153" s="32"/>
      <c r="AU153" s="90"/>
      <c r="AV153" s="88"/>
      <c r="AW153" s="88"/>
      <c r="AX153" s="111"/>
      <c r="AY153" s="112"/>
      <c r="AZ153" s="113"/>
      <c r="BA153" s="112"/>
      <c r="BB153" s="31"/>
      <c r="BC153" s="32"/>
      <c r="BD153" s="90"/>
      <c r="BE153" s="88"/>
      <c r="BF153" s="88"/>
      <c r="BG153" s="111"/>
      <c r="BH153" s="112"/>
      <c r="BI153" s="113"/>
      <c r="BJ153" s="112"/>
      <c r="BK153" s="31"/>
      <c r="BL153" s="32"/>
      <c r="BM153" s="90"/>
      <c r="BN153" s="88"/>
      <c r="BO153" s="88"/>
      <c r="BP153" s="111"/>
      <c r="BQ153" s="112"/>
      <c r="BR153" s="113"/>
      <c r="BS153" s="112"/>
      <c r="BT153" s="31"/>
      <c r="BU153" s="32"/>
      <c r="BV153" s="90"/>
      <c r="BW153" s="88"/>
      <c r="BX153" s="88"/>
      <c r="BY153" s="111"/>
      <c r="BZ153" s="112"/>
      <c r="CA153" s="113"/>
      <c r="CB153" s="112"/>
      <c r="CC153" s="31"/>
      <c r="CD153" s="32"/>
      <c r="CE153" s="90"/>
      <c r="CF153" s="88"/>
      <c r="CG153" s="88"/>
      <c r="CH153" s="111"/>
      <c r="CI153" s="112"/>
      <c r="CJ153" s="113"/>
      <c r="CK153" s="112"/>
      <c r="CL153" s="31"/>
      <c r="CM153" s="32"/>
      <c r="CN153" s="90"/>
      <c r="CO153" s="88"/>
      <c r="CP153" s="88"/>
      <c r="CQ153" s="111"/>
      <c r="CR153" s="112"/>
      <c r="CS153" s="113"/>
      <c r="CT153" s="112"/>
      <c r="CU153" s="55"/>
      <c r="CW153" s="230" t="s">
        <v>888</v>
      </c>
      <c r="CZ153" s="226" t="s">
        <v>1590</v>
      </c>
    </row>
    <row r="154" spans="1:104" ht="39" hidden="1" x14ac:dyDescent="0.25">
      <c r="A154" s="17" t="s">
        <v>1161</v>
      </c>
      <c r="B154" s="17" t="s">
        <v>1162</v>
      </c>
      <c r="C154" s="17" t="s">
        <v>889</v>
      </c>
      <c r="D154" s="17" t="str">
        <f t="shared" si="34"/>
        <v>A</v>
      </c>
      <c r="E154" s="17" t="b">
        <f t="shared" si="35"/>
        <v>0</v>
      </c>
      <c r="F154" s="17" t="b">
        <f t="shared" si="36"/>
        <v>1</v>
      </c>
      <c r="G154" s="317" t="s">
        <v>2033</v>
      </c>
      <c r="H154" s="324" t="s">
        <v>2350</v>
      </c>
      <c r="I154" s="315" t="s">
        <v>1162</v>
      </c>
      <c r="J154" s="147" t="s">
        <v>889</v>
      </c>
      <c r="K154" s="31"/>
      <c r="L154" s="32" t="s">
        <v>354</v>
      </c>
      <c r="M154" s="90"/>
      <c r="N154" s="111"/>
      <c r="O154" s="112"/>
      <c r="P154" s="113"/>
      <c r="Q154" s="112"/>
      <c r="R154" s="31"/>
      <c r="S154" s="32"/>
      <c r="T154" s="90"/>
      <c r="U154" s="88" t="str">
        <f t="shared" si="39"/>
        <v>NA</v>
      </c>
      <c r="V154" s="88" t="str">
        <f t="shared" si="40"/>
        <v>NA</v>
      </c>
      <c r="W154" s="111"/>
      <c r="X154" s="112"/>
      <c r="Y154" s="113"/>
      <c r="Z154" s="112"/>
      <c r="AA154" s="31"/>
      <c r="AB154" s="302"/>
      <c r="AC154" s="89"/>
      <c r="AD154" s="88" t="str">
        <f t="shared" si="37"/>
        <v>NA</v>
      </c>
      <c r="AE154" s="88" t="str">
        <f t="shared" si="38"/>
        <v>NA</v>
      </c>
      <c r="AF154" s="111"/>
      <c r="AG154" s="112"/>
      <c r="AH154" s="113"/>
      <c r="AI154" s="112"/>
      <c r="AJ154" s="31"/>
      <c r="AK154" s="294"/>
      <c r="AL154" s="89"/>
      <c r="AM154" s="88" t="str">
        <f t="shared" si="32"/>
        <v>NA</v>
      </c>
      <c r="AN154" s="88" t="str">
        <f t="shared" si="33"/>
        <v>NA</v>
      </c>
      <c r="AO154" s="111"/>
      <c r="AP154" s="112"/>
      <c r="AQ154" s="113"/>
      <c r="AR154" s="112"/>
      <c r="AS154" s="31"/>
      <c r="AT154" s="32"/>
      <c r="AU154" s="90"/>
      <c r="AV154" s="88"/>
      <c r="AW154" s="88"/>
      <c r="AX154" s="111"/>
      <c r="AY154" s="112"/>
      <c r="AZ154" s="113"/>
      <c r="BA154" s="112"/>
      <c r="BB154" s="31"/>
      <c r="BC154" s="32"/>
      <c r="BD154" s="90"/>
      <c r="BE154" s="88"/>
      <c r="BF154" s="88"/>
      <c r="BG154" s="111"/>
      <c r="BH154" s="112"/>
      <c r="BI154" s="113"/>
      <c r="BJ154" s="112"/>
      <c r="BK154" s="31"/>
      <c r="BL154" s="32"/>
      <c r="BM154" s="90"/>
      <c r="BN154" s="88"/>
      <c r="BO154" s="88"/>
      <c r="BP154" s="111"/>
      <c r="BQ154" s="112"/>
      <c r="BR154" s="113"/>
      <c r="BS154" s="112"/>
      <c r="BT154" s="31"/>
      <c r="BU154" s="32"/>
      <c r="BV154" s="90"/>
      <c r="BW154" s="88"/>
      <c r="BX154" s="88"/>
      <c r="BY154" s="111"/>
      <c r="BZ154" s="112"/>
      <c r="CA154" s="113"/>
      <c r="CB154" s="112"/>
      <c r="CC154" s="31"/>
      <c r="CD154" s="32"/>
      <c r="CE154" s="90"/>
      <c r="CF154" s="88"/>
      <c r="CG154" s="88"/>
      <c r="CH154" s="111"/>
      <c r="CI154" s="112"/>
      <c r="CJ154" s="113"/>
      <c r="CK154" s="112"/>
      <c r="CL154" s="31"/>
      <c r="CM154" s="32"/>
      <c r="CN154" s="90"/>
      <c r="CO154" s="88"/>
      <c r="CP154" s="88"/>
      <c r="CQ154" s="111"/>
      <c r="CR154" s="112"/>
      <c r="CS154" s="113"/>
      <c r="CT154" s="112"/>
      <c r="CU154" s="55"/>
      <c r="CW154" s="230" t="s">
        <v>889</v>
      </c>
      <c r="CZ154" s="226" t="s">
        <v>1590</v>
      </c>
    </row>
    <row r="155" spans="1:104" ht="208" x14ac:dyDescent="0.25">
      <c r="A155" s="17" t="s">
        <v>1574</v>
      </c>
      <c r="B155" s="17" t="s">
        <v>1576</v>
      </c>
      <c r="C155" s="17" t="s">
        <v>1578</v>
      </c>
      <c r="D155" s="17" t="str">
        <f t="shared" si="34"/>
        <v>B</v>
      </c>
      <c r="E155" s="17" t="b">
        <f t="shared" si="35"/>
        <v>0</v>
      </c>
      <c r="F155" s="17" t="b">
        <f t="shared" si="36"/>
        <v>1</v>
      </c>
      <c r="G155" s="317" t="s">
        <v>2034</v>
      </c>
      <c r="H155" s="327" t="s">
        <v>2351</v>
      </c>
      <c r="I155" s="310" t="s">
        <v>1576</v>
      </c>
      <c r="J155" s="147" t="s">
        <v>1578</v>
      </c>
      <c r="K155" s="31"/>
      <c r="L155" s="32" t="s">
        <v>354</v>
      </c>
      <c r="M155" s="90" t="s">
        <v>31</v>
      </c>
      <c r="N155" s="111" t="s">
        <v>2470</v>
      </c>
      <c r="O155" s="112"/>
      <c r="P155" s="113"/>
      <c r="Q155" s="112"/>
      <c r="R155" s="31"/>
      <c r="S155" s="32"/>
      <c r="T155" s="90"/>
      <c r="U155" s="88" t="str">
        <f t="shared" si="39"/>
        <v>NA</v>
      </c>
      <c r="V155" s="88" t="str">
        <f t="shared" si="40"/>
        <v>YES</v>
      </c>
      <c r="W155" s="111"/>
      <c r="X155" s="112"/>
      <c r="Y155" s="113"/>
      <c r="Z155" s="112"/>
      <c r="AA155" s="31"/>
      <c r="AB155" s="302"/>
      <c r="AC155" s="89"/>
      <c r="AD155" s="88" t="str">
        <f t="shared" si="37"/>
        <v>NA</v>
      </c>
      <c r="AE155" s="88" t="str">
        <f t="shared" si="38"/>
        <v>NA</v>
      </c>
      <c r="AF155" s="111"/>
      <c r="AG155" s="112"/>
      <c r="AH155" s="113"/>
      <c r="AI155" s="112"/>
      <c r="AJ155" s="31"/>
      <c r="AK155" s="294"/>
      <c r="AL155" s="89"/>
      <c r="AM155" s="88" t="str">
        <f t="shared" si="32"/>
        <v>NA</v>
      </c>
      <c r="AN155" s="88" t="str">
        <f t="shared" si="33"/>
        <v>NA</v>
      </c>
      <c r="AO155" s="111"/>
      <c r="AP155" s="112"/>
      <c r="AQ155" s="113"/>
      <c r="AR155" s="112"/>
      <c r="AS155" s="31"/>
      <c r="AT155" s="32"/>
      <c r="AU155" s="90"/>
      <c r="AV155" s="88"/>
      <c r="AW155" s="88"/>
      <c r="AX155" s="111"/>
      <c r="AY155" s="112"/>
      <c r="AZ155" s="113"/>
      <c r="BA155" s="112"/>
      <c r="BB155" s="31"/>
      <c r="BC155" s="32"/>
      <c r="BD155" s="90"/>
      <c r="BE155" s="88"/>
      <c r="BF155" s="88"/>
      <c r="BG155" s="111"/>
      <c r="BH155" s="112"/>
      <c r="BI155" s="113"/>
      <c r="BJ155" s="112"/>
      <c r="BK155" s="31"/>
      <c r="BL155" s="32"/>
      <c r="BM155" s="90"/>
      <c r="BN155" s="88"/>
      <c r="BO155" s="88"/>
      <c r="BP155" s="111"/>
      <c r="BQ155" s="112"/>
      <c r="BR155" s="113"/>
      <c r="BS155" s="112"/>
      <c r="BT155" s="31"/>
      <c r="BU155" s="32"/>
      <c r="BV155" s="90"/>
      <c r="BW155" s="88"/>
      <c r="BX155" s="88"/>
      <c r="BY155" s="111"/>
      <c r="BZ155" s="112"/>
      <c r="CA155" s="113"/>
      <c r="CB155" s="112"/>
      <c r="CC155" s="31"/>
      <c r="CD155" s="32"/>
      <c r="CE155" s="90"/>
      <c r="CF155" s="88"/>
      <c r="CG155" s="88"/>
      <c r="CH155" s="111"/>
      <c r="CI155" s="112"/>
      <c r="CJ155" s="113"/>
      <c r="CK155" s="112"/>
      <c r="CL155" s="31"/>
      <c r="CM155" s="32"/>
      <c r="CN155" s="90"/>
      <c r="CO155" s="88"/>
      <c r="CP155" s="88"/>
      <c r="CQ155" s="111"/>
      <c r="CR155" s="112"/>
      <c r="CS155" s="113"/>
      <c r="CT155" s="112"/>
      <c r="CU155" s="55"/>
      <c r="CW155" s="230"/>
      <c r="CZ155" s="226" t="s">
        <v>1589</v>
      </c>
    </row>
    <row r="156" spans="1:104" ht="234" x14ac:dyDescent="0.25">
      <c r="A156" s="17" t="s">
        <v>1575</v>
      </c>
      <c r="B156" s="17" t="s">
        <v>1577</v>
      </c>
      <c r="C156" s="17" t="s">
        <v>1579</v>
      </c>
      <c r="D156" s="17" t="str">
        <f t="shared" si="34"/>
        <v>A</v>
      </c>
      <c r="E156" s="17" t="b">
        <f t="shared" si="35"/>
        <v>0</v>
      </c>
      <c r="F156" s="17" t="b">
        <f t="shared" si="36"/>
        <v>1</v>
      </c>
      <c r="G156" s="317" t="s">
        <v>2035</v>
      </c>
      <c r="H156" s="327" t="s">
        <v>2352</v>
      </c>
      <c r="I156" s="310" t="s">
        <v>1577</v>
      </c>
      <c r="J156" s="147" t="s">
        <v>1579</v>
      </c>
      <c r="K156" s="31"/>
      <c r="L156" s="32" t="s">
        <v>354</v>
      </c>
      <c r="M156" s="90" t="s">
        <v>31</v>
      </c>
      <c r="N156" s="111" t="s">
        <v>2470</v>
      </c>
      <c r="O156" s="112"/>
      <c r="P156" s="113"/>
      <c r="Q156" s="112"/>
      <c r="R156" s="31"/>
      <c r="S156" s="32"/>
      <c r="T156" s="90"/>
      <c r="U156" s="88" t="str">
        <f t="shared" si="39"/>
        <v>NA</v>
      </c>
      <c r="V156" s="88" t="str">
        <f t="shared" si="40"/>
        <v>YES</v>
      </c>
      <c r="W156" s="111"/>
      <c r="X156" s="112"/>
      <c r="Y156" s="113"/>
      <c r="Z156" s="112"/>
      <c r="AA156" s="31"/>
      <c r="AB156" s="302"/>
      <c r="AC156" s="89"/>
      <c r="AD156" s="88" t="str">
        <f t="shared" si="37"/>
        <v>NA</v>
      </c>
      <c r="AE156" s="88" t="str">
        <f t="shared" si="38"/>
        <v>NA</v>
      </c>
      <c r="AF156" s="111"/>
      <c r="AG156" s="112"/>
      <c r="AH156" s="113"/>
      <c r="AI156" s="112"/>
      <c r="AJ156" s="31"/>
      <c r="AK156" s="294"/>
      <c r="AL156" s="89"/>
      <c r="AM156" s="88" t="str">
        <f t="shared" si="32"/>
        <v>NA</v>
      </c>
      <c r="AN156" s="88" t="str">
        <f t="shared" si="33"/>
        <v>NA</v>
      </c>
      <c r="AO156" s="111"/>
      <c r="AP156" s="112"/>
      <c r="AQ156" s="113"/>
      <c r="AR156" s="112"/>
      <c r="AS156" s="31"/>
      <c r="AT156" s="32"/>
      <c r="AU156" s="90"/>
      <c r="AV156" s="88"/>
      <c r="AW156" s="88"/>
      <c r="AX156" s="111"/>
      <c r="AY156" s="112"/>
      <c r="AZ156" s="113"/>
      <c r="BA156" s="112"/>
      <c r="BB156" s="31"/>
      <c r="BC156" s="32"/>
      <c r="BD156" s="90"/>
      <c r="BE156" s="88"/>
      <c r="BF156" s="88"/>
      <c r="BG156" s="111"/>
      <c r="BH156" s="112"/>
      <c r="BI156" s="113"/>
      <c r="BJ156" s="112"/>
      <c r="BK156" s="31"/>
      <c r="BL156" s="32"/>
      <c r="BM156" s="90"/>
      <c r="BN156" s="88"/>
      <c r="BO156" s="88"/>
      <c r="BP156" s="111"/>
      <c r="BQ156" s="112"/>
      <c r="BR156" s="113"/>
      <c r="BS156" s="112"/>
      <c r="BT156" s="31"/>
      <c r="BU156" s="32"/>
      <c r="BV156" s="90"/>
      <c r="BW156" s="88"/>
      <c r="BX156" s="88"/>
      <c r="BY156" s="111"/>
      <c r="BZ156" s="112"/>
      <c r="CA156" s="113"/>
      <c r="CB156" s="112"/>
      <c r="CC156" s="31"/>
      <c r="CD156" s="32"/>
      <c r="CE156" s="90"/>
      <c r="CF156" s="88"/>
      <c r="CG156" s="88"/>
      <c r="CH156" s="111"/>
      <c r="CI156" s="112"/>
      <c r="CJ156" s="113"/>
      <c r="CK156" s="112"/>
      <c r="CL156" s="31"/>
      <c r="CM156" s="32"/>
      <c r="CN156" s="90"/>
      <c r="CO156" s="88"/>
      <c r="CP156" s="88"/>
      <c r="CQ156" s="111"/>
      <c r="CR156" s="112"/>
      <c r="CS156" s="113"/>
      <c r="CT156" s="112"/>
      <c r="CU156" s="55"/>
      <c r="CW156" s="230"/>
      <c r="CZ156" s="226" t="s">
        <v>1589</v>
      </c>
    </row>
    <row r="157" spans="1:104" ht="143" x14ac:dyDescent="0.25">
      <c r="A157" s="17" t="s">
        <v>1163</v>
      </c>
      <c r="B157" s="17" t="s">
        <v>1164</v>
      </c>
      <c r="C157" s="17" t="s">
        <v>890</v>
      </c>
      <c r="D157" s="17" t="str">
        <f t="shared" si="34"/>
        <v>B</v>
      </c>
      <c r="E157" s="17" t="b">
        <f t="shared" si="35"/>
        <v>0</v>
      </c>
      <c r="F157" s="17" t="b">
        <f t="shared" si="36"/>
        <v>0</v>
      </c>
      <c r="G157" s="317" t="s">
        <v>2036</v>
      </c>
      <c r="H157" s="324" t="s">
        <v>2353</v>
      </c>
      <c r="I157" s="315" t="s">
        <v>2037</v>
      </c>
      <c r="J157" s="147" t="s">
        <v>2038</v>
      </c>
      <c r="K157" s="31"/>
      <c r="L157" s="32" t="s">
        <v>354</v>
      </c>
      <c r="M157" s="90" t="s">
        <v>31</v>
      </c>
      <c r="N157" s="111" t="s">
        <v>2470</v>
      </c>
      <c r="O157" s="112"/>
      <c r="P157" s="113"/>
      <c r="Q157" s="112"/>
      <c r="R157" s="31"/>
      <c r="S157" s="32"/>
      <c r="T157" s="90"/>
      <c r="U157" s="88" t="str">
        <f t="shared" si="39"/>
        <v>NA</v>
      </c>
      <c r="V157" s="88" t="str">
        <f t="shared" si="40"/>
        <v>YES</v>
      </c>
      <c r="W157" s="111"/>
      <c r="X157" s="112"/>
      <c r="Y157" s="113"/>
      <c r="Z157" s="112"/>
      <c r="AA157" s="31"/>
      <c r="AB157" s="302"/>
      <c r="AC157" s="89"/>
      <c r="AD157" s="88" t="str">
        <f t="shared" si="37"/>
        <v>NA</v>
      </c>
      <c r="AE157" s="88" t="str">
        <f t="shared" si="38"/>
        <v>NA</v>
      </c>
      <c r="AF157" s="111"/>
      <c r="AG157" s="112"/>
      <c r="AH157" s="113"/>
      <c r="AI157" s="112"/>
      <c r="AJ157" s="31"/>
      <c r="AK157" s="294"/>
      <c r="AL157" s="89"/>
      <c r="AM157" s="88" t="str">
        <f t="shared" si="32"/>
        <v>NA</v>
      </c>
      <c r="AN157" s="88" t="str">
        <f t="shared" si="33"/>
        <v>NA</v>
      </c>
      <c r="AO157" s="111"/>
      <c r="AP157" s="112"/>
      <c r="AQ157" s="113"/>
      <c r="AR157" s="112"/>
      <c r="AS157" s="31"/>
      <c r="AT157" s="32"/>
      <c r="AU157" s="90"/>
      <c r="AV157" s="88"/>
      <c r="AW157" s="88"/>
      <c r="AX157" s="111"/>
      <c r="AY157" s="112"/>
      <c r="AZ157" s="113"/>
      <c r="BA157" s="112"/>
      <c r="BB157" s="31"/>
      <c r="BC157" s="32"/>
      <c r="BD157" s="90"/>
      <c r="BE157" s="88"/>
      <c r="BF157" s="88"/>
      <c r="BG157" s="111"/>
      <c r="BH157" s="112"/>
      <c r="BI157" s="113"/>
      <c r="BJ157" s="112"/>
      <c r="BK157" s="31"/>
      <c r="BL157" s="32"/>
      <c r="BM157" s="90"/>
      <c r="BN157" s="88"/>
      <c r="BO157" s="88"/>
      <c r="BP157" s="111"/>
      <c r="BQ157" s="112"/>
      <c r="BR157" s="113"/>
      <c r="BS157" s="112"/>
      <c r="BT157" s="31"/>
      <c r="BU157" s="32"/>
      <c r="BV157" s="90"/>
      <c r="BW157" s="88"/>
      <c r="BX157" s="88"/>
      <c r="BY157" s="111"/>
      <c r="BZ157" s="112"/>
      <c r="CA157" s="113"/>
      <c r="CB157" s="112"/>
      <c r="CC157" s="31"/>
      <c r="CD157" s="32"/>
      <c r="CE157" s="90"/>
      <c r="CF157" s="88"/>
      <c r="CG157" s="88"/>
      <c r="CH157" s="111"/>
      <c r="CI157" s="112"/>
      <c r="CJ157" s="113"/>
      <c r="CK157" s="112"/>
      <c r="CL157" s="31"/>
      <c r="CM157" s="32"/>
      <c r="CN157" s="90"/>
      <c r="CO157" s="88"/>
      <c r="CP157" s="88"/>
      <c r="CQ157" s="111"/>
      <c r="CR157" s="112"/>
      <c r="CS157" s="113"/>
      <c r="CT157" s="112"/>
      <c r="CU157" s="55"/>
      <c r="CW157" s="230" t="s">
        <v>890</v>
      </c>
      <c r="CZ157" s="226" t="s">
        <v>1589</v>
      </c>
    </row>
    <row r="158" spans="1:104" ht="221" x14ac:dyDescent="0.25">
      <c r="A158" s="17" t="s">
        <v>1580</v>
      </c>
      <c r="B158" s="17" t="s">
        <v>1581</v>
      </c>
      <c r="C158" s="17" t="s">
        <v>1582</v>
      </c>
      <c r="D158" s="17" t="str">
        <f t="shared" si="34"/>
        <v>A</v>
      </c>
      <c r="E158" s="17" t="b">
        <f t="shared" si="35"/>
        <v>0</v>
      </c>
      <c r="F158" s="17" t="b">
        <f t="shared" si="36"/>
        <v>1</v>
      </c>
      <c r="G158" s="317" t="s">
        <v>2039</v>
      </c>
      <c r="H158" s="327" t="s">
        <v>2354</v>
      </c>
      <c r="I158" s="310" t="s">
        <v>1581</v>
      </c>
      <c r="J158" s="147" t="s">
        <v>1582</v>
      </c>
      <c r="K158" s="31"/>
      <c r="L158" s="32" t="s">
        <v>354</v>
      </c>
      <c r="M158" s="90" t="s">
        <v>31</v>
      </c>
      <c r="N158" s="111" t="s">
        <v>2470</v>
      </c>
      <c r="O158" s="112"/>
      <c r="P158" s="113"/>
      <c r="Q158" s="112"/>
      <c r="R158" s="31"/>
      <c r="S158" s="32"/>
      <c r="T158" s="90"/>
      <c r="U158" s="88" t="str">
        <f t="shared" si="39"/>
        <v>NA</v>
      </c>
      <c r="V158" s="88" t="str">
        <f t="shared" si="40"/>
        <v>YES</v>
      </c>
      <c r="W158" s="111"/>
      <c r="X158" s="112"/>
      <c r="Y158" s="113"/>
      <c r="Z158" s="112"/>
      <c r="AA158" s="31"/>
      <c r="AB158" s="302"/>
      <c r="AC158" s="89"/>
      <c r="AD158" s="88" t="str">
        <f t="shared" si="37"/>
        <v>NA</v>
      </c>
      <c r="AE158" s="88" t="str">
        <f t="shared" si="38"/>
        <v>NA</v>
      </c>
      <c r="AF158" s="111"/>
      <c r="AG158" s="112"/>
      <c r="AH158" s="113"/>
      <c r="AI158" s="112"/>
      <c r="AJ158" s="31"/>
      <c r="AK158" s="294"/>
      <c r="AL158" s="89"/>
      <c r="AM158" s="88" t="str">
        <f t="shared" si="32"/>
        <v>NA</v>
      </c>
      <c r="AN158" s="88" t="str">
        <f t="shared" si="33"/>
        <v>NA</v>
      </c>
      <c r="AO158" s="111"/>
      <c r="AP158" s="112"/>
      <c r="AQ158" s="113"/>
      <c r="AR158" s="112"/>
      <c r="AS158" s="31"/>
      <c r="AT158" s="32"/>
      <c r="AU158" s="90"/>
      <c r="AV158" s="88"/>
      <c r="AW158" s="88"/>
      <c r="AX158" s="111"/>
      <c r="AY158" s="112"/>
      <c r="AZ158" s="113"/>
      <c r="BA158" s="112"/>
      <c r="BB158" s="31"/>
      <c r="BC158" s="32"/>
      <c r="BD158" s="90"/>
      <c r="BE158" s="88"/>
      <c r="BF158" s="88"/>
      <c r="BG158" s="111"/>
      <c r="BH158" s="112"/>
      <c r="BI158" s="113"/>
      <c r="BJ158" s="112"/>
      <c r="BK158" s="31"/>
      <c r="BL158" s="32"/>
      <c r="BM158" s="90"/>
      <c r="BN158" s="88"/>
      <c r="BO158" s="88"/>
      <c r="BP158" s="111"/>
      <c r="BQ158" s="112"/>
      <c r="BR158" s="113"/>
      <c r="BS158" s="112"/>
      <c r="BT158" s="31"/>
      <c r="BU158" s="32"/>
      <c r="BV158" s="90"/>
      <c r="BW158" s="88"/>
      <c r="BX158" s="88"/>
      <c r="BY158" s="111"/>
      <c r="BZ158" s="112"/>
      <c r="CA158" s="113"/>
      <c r="CB158" s="112"/>
      <c r="CC158" s="31"/>
      <c r="CD158" s="32"/>
      <c r="CE158" s="90"/>
      <c r="CF158" s="88"/>
      <c r="CG158" s="88"/>
      <c r="CH158" s="111"/>
      <c r="CI158" s="112"/>
      <c r="CJ158" s="113"/>
      <c r="CK158" s="112"/>
      <c r="CL158" s="31"/>
      <c r="CM158" s="32"/>
      <c r="CN158" s="90"/>
      <c r="CO158" s="88"/>
      <c r="CP158" s="88"/>
      <c r="CQ158" s="111"/>
      <c r="CR158" s="112"/>
      <c r="CS158" s="113"/>
      <c r="CT158" s="112"/>
      <c r="CU158" s="55"/>
      <c r="CW158" s="230"/>
      <c r="CZ158" s="226" t="s">
        <v>1589</v>
      </c>
    </row>
    <row r="159" spans="1:104" ht="39" x14ac:dyDescent="0.25">
      <c r="A159" s="17" t="s">
        <v>1165</v>
      </c>
      <c r="B159" s="17" t="s">
        <v>1166</v>
      </c>
      <c r="C159" s="17" t="s">
        <v>1710</v>
      </c>
      <c r="D159" s="17" t="str">
        <f t="shared" si="34"/>
        <v>B</v>
      </c>
      <c r="E159" s="17" t="b">
        <f t="shared" si="35"/>
        <v>0</v>
      </c>
      <c r="F159" s="17" t="b">
        <f t="shared" si="36"/>
        <v>1</v>
      </c>
      <c r="G159" s="317" t="s">
        <v>2040</v>
      </c>
      <c r="H159" s="324" t="s">
        <v>2355</v>
      </c>
      <c r="I159" s="315" t="s">
        <v>2041</v>
      </c>
      <c r="J159" s="147" t="s">
        <v>1710</v>
      </c>
      <c r="K159" s="31"/>
      <c r="L159" s="32" t="s">
        <v>354</v>
      </c>
      <c r="M159" s="90" t="s">
        <v>31</v>
      </c>
      <c r="N159" s="111" t="s">
        <v>2470</v>
      </c>
      <c r="O159" s="112"/>
      <c r="P159" s="113"/>
      <c r="Q159" s="112"/>
      <c r="R159" s="31"/>
      <c r="S159" s="32"/>
      <c r="T159" s="90"/>
      <c r="U159" s="88" t="str">
        <f t="shared" si="39"/>
        <v>NA</v>
      </c>
      <c r="V159" s="88" t="str">
        <f t="shared" si="40"/>
        <v>YES</v>
      </c>
      <c r="W159" s="111"/>
      <c r="X159" s="112"/>
      <c r="Y159" s="113"/>
      <c r="Z159" s="112"/>
      <c r="AA159" s="31"/>
      <c r="AB159" s="302"/>
      <c r="AC159" s="89"/>
      <c r="AD159" s="88" t="str">
        <f t="shared" si="37"/>
        <v>NA</v>
      </c>
      <c r="AE159" s="88" t="str">
        <f t="shared" si="38"/>
        <v>NA</v>
      </c>
      <c r="AF159" s="111"/>
      <c r="AG159" s="112"/>
      <c r="AH159" s="113"/>
      <c r="AI159" s="112"/>
      <c r="AJ159" s="31"/>
      <c r="AK159" s="294"/>
      <c r="AL159" s="89"/>
      <c r="AM159" s="88" t="str">
        <f t="shared" si="32"/>
        <v>NA</v>
      </c>
      <c r="AN159" s="88" t="str">
        <f t="shared" si="33"/>
        <v>NA</v>
      </c>
      <c r="AO159" s="111"/>
      <c r="AP159" s="112"/>
      <c r="AQ159" s="113"/>
      <c r="AR159" s="112"/>
      <c r="AS159" s="31"/>
      <c r="AT159" s="32"/>
      <c r="AU159" s="90"/>
      <c r="AV159" s="88"/>
      <c r="AW159" s="88"/>
      <c r="AX159" s="111"/>
      <c r="AY159" s="112"/>
      <c r="AZ159" s="113"/>
      <c r="BA159" s="112"/>
      <c r="BB159" s="31"/>
      <c r="BC159" s="32"/>
      <c r="BD159" s="90"/>
      <c r="BE159" s="88"/>
      <c r="BF159" s="88"/>
      <c r="BG159" s="111"/>
      <c r="BH159" s="112"/>
      <c r="BI159" s="113"/>
      <c r="BJ159" s="112"/>
      <c r="BK159" s="31"/>
      <c r="BL159" s="32"/>
      <c r="BM159" s="90"/>
      <c r="BN159" s="88"/>
      <c r="BO159" s="88"/>
      <c r="BP159" s="111"/>
      <c r="BQ159" s="112"/>
      <c r="BR159" s="113"/>
      <c r="BS159" s="112"/>
      <c r="BT159" s="31"/>
      <c r="BU159" s="32"/>
      <c r="BV159" s="90"/>
      <c r="BW159" s="88"/>
      <c r="BX159" s="88"/>
      <c r="BY159" s="111"/>
      <c r="BZ159" s="112"/>
      <c r="CA159" s="113"/>
      <c r="CB159" s="112"/>
      <c r="CC159" s="31"/>
      <c r="CD159" s="32"/>
      <c r="CE159" s="90"/>
      <c r="CF159" s="88"/>
      <c r="CG159" s="88"/>
      <c r="CH159" s="111"/>
      <c r="CI159" s="112"/>
      <c r="CJ159" s="113"/>
      <c r="CK159" s="112"/>
      <c r="CL159" s="31"/>
      <c r="CM159" s="32"/>
      <c r="CN159" s="90"/>
      <c r="CO159" s="88"/>
      <c r="CP159" s="88"/>
      <c r="CQ159" s="111"/>
      <c r="CR159" s="112"/>
      <c r="CS159" s="113"/>
      <c r="CT159" s="112"/>
      <c r="CU159" s="55"/>
      <c r="CW159" s="230" t="s">
        <v>891</v>
      </c>
      <c r="CZ159" s="226" t="s">
        <v>1589</v>
      </c>
    </row>
    <row r="160" spans="1:104" ht="78" x14ac:dyDescent="0.25">
      <c r="A160" s="17" t="s">
        <v>1167</v>
      </c>
      <c r="B160" s="17" t="s">
        <v>1168</v>
      </c>
      <c r="C160" s="17" t="s">
        <v>1711</v>
      </c>
      <c r="D160" s="17" t="str">
        <f t="shared" si="34"/>
        <v>B</v>
      </c>
      <c r="E160" s="17" t="b">
        <f t="shared" si="35"/>
        <v>0</v>
      </c>
      <c r="F160" s="17" t="b">
        <f t="shared" si="36"/>
        <v>0</v>
      </c>
      <c r="G160" s="317" t="s">
        <v>2042</v>
      </c>
      <c r="H160" s="324" t="s">
        <v>2356</v>
      </c>
      <c r="I160" s="315" t="s">
        <v>2043</v>
      </c>
      <c r="J160" s="147" t="s">
        <v>2044</v>
      </c>
      <c r="K160" s="31"/>
      <c r="L160" s="32" t="s">
        <v>354</v>
      </c>
      <c r="M160" s="90" t="s">
        <v>31</v>
      </c>
      <c r="N160" s="111" t="s">
        <v>2470</v>
      </c>
      <c r="O160" s="112"/>
      <c r="P160" s="113"/>
      <c r="Q160" s="112"/>
      <c r="R160" s="31"/>
      <c r="S160" s="32"/>
      <c r="T160" s="90"/>
      <c r="U160" s="88" t="str">
        <f t="shared" si="39"/>
        <v>NA</v>
      </c>
      <c r="V160" s="88" t="str">
        <f t="shared" si="40"/>
        <v>YES</v>
      </c>
      <c r="W160" s="111"/>
      <c r="X160" s="112"/>
      <c r="Y160" s="113"/>
      <c r="Z160" s="112"/>
      <c r="AA160" s="31"/>
      <c r="AB160" s="302"/>
      <c r="AC160" s="89"/>
      <c r="AD160" s="88" t="str">
        <f t="shared" si="37"/>
        <v>NA</v>
      </c>
      <c r="AE160" s="88" t="str">
        <f t="shared" si="38"/>
        <v>NA</v>
      </c>
      <c r="AF160" s="111"/>
      <c r="AG160" s="112"/>
      <c r="AH160" s="113"/>
      <c r="AI160" s="112"/>
      <c r="AJ160" s="31"/>
      <c r="AK160" s="294"/>
      <c r="AL160" s="89"/>
      <c r="AM160" s="88" t="str">
        <f t="shared" si="32"/>
        <v>NA</v>
      </c>
      <c r="AN160" s="88" t="str">
        <f t="shared" si="33"/>
        <v>NA</v>
      </c>
      <c r="AO160" s="111"/>
      <c r="AP160" s="112"/>
      <c r="AQ160" s="113"/>
      <c r="AR160" s="112"/>
      <c r="AS160" s="31"/>
      <c r="AT160" s="32"/>
      <c r="AU160" s="90"/>
      <c r="AV160" s="88"/>
      <c r="AW160" s="88"/>
      <c r="AX160" s="111"/>
      <c r="AY160" s="112"/>
      <c r="AZ160" s="113"/>
      <c r="BA160" s="112"/>
      <c r="BB160" s="31"/>
      <c r="BC160" s="32"/>
      <c r="BD160" s="90"/>
      <c r="BE160" s="88"/>
      <c r="BF160" s="88"/>
      <c r="BG160" s="111"/>
      <c r="BH160" s="112"/>
      <c r="BI160" s="113"/>
      <c r="BJ160" s="112"/>
      <c r="BK160" s="31"/>
      <c r="BL160" s="32"/>
      <c r="BM160" s="90"/>
      <c r="BN160" s="88"/>
      <c r="BO160" s="88"/>
      <c r="BP160" s="111"/>
      <c r="BQ160" s="112"/>
      <c r="BR160" s="113"/>
      <c r="BS160" s="112"/>
      <c r="BT160" s="31"/>
      <c r="BU160" s="32"/>
      <c r="BV160" s="90"/>
      <c r="BW160" s="88"/>
      <c r="BX160" s="88"/>
      <c r="BY160" s="111"/>
      <c r="BZ160" s="112"/>
      <c r="CA160" s="113"/>
      <c r="CB160" s="112"/>
      <c r="CC160" s="31"/>
      <c r="CD160" s="32"/>
      <c r="CE160" s="90"/>
      <c r="CF160" s="88"/>
      <c r="CG160" s="88"/>
      <c r="CH160" s="111"/>
      <c r="CI160" s="112"/>
      <c r="CJ160" s="113"/>
      <c r="CK160" s="112"/>
      <c r="CL160" s="31"/>
      <c r="CM160" s="32"/>
      <c r="CN160" s="90"/>
      <c r="CO160" s="88"/>
      <c r="CP160" s="88"/>
      <c r="CQ160" s="111"/>
      <c r="CR160" s="112"/>
      <c r="CS160" s="113"/>
      <c r="CT160" s="112"/>
      <c r="CU160" s="55"/>
      <c r="CW160" s="230" t="s">
        <v>892</v>
      </c>
      <c r="CZ160" s="226" t="s">
        <v>1589</v>
      </c>
    </row>
    <row r="161" spans="1:104" ht="260" x14ac:dyDescent="0.25">
      <c r="A161" s="17" t="s">
        <v>1169</v>
      </c>
      <c r="B161" s="17" t="s">
        <v>1170</v>
      </c>
      <c r="C161" s="17" t="s">
        <v>1712</v>
      </c>
      <c r="D161" s="17" t="str">
        <f t="shared" si="34"/>
        <v>B</v>
      </c>
      <c r="E161" s="17" t="b">
        <f t="shared" si="35"/>
        <v>0</v>
      </c>
      <c r="F161" s="17" t="b">
        <f t="shared" si="36"/>
        <v>1</v>
      </c>
      <c r="G161" s="317" t="s">
        <v>2045</v>
      </c>
      <c r="H161" s="324" t="s">
        <v>2357</v>
      </c>
      <c r="I161" s="315" t="s">
        <v>2046</v>
      </c>
      <c r="J161" s="147" t="s">
        <v>1712</v>
      </c>
      <c r="K161" s="31"/>
      <c r="L161" s="32" t="s">
        <v>354</v>
      </c>
      <c r="M161" s="90" t="s">
        <v>31</v>
      </c>
      <c r="N161" s="111" t="s">
        <v>2470</v>
      </c>
      <c r="O161" s="112"/>
      <c r="P161" s="113"/>
      <c r="Q161" s="112"/>
      <c r="R161" s="31"/>
      <c r="S161" s="32"/>
      <c r="T161" s="90"/>
      <c r="U161" s="88" t="str">
        <f t="shared" si="39"/>
        <v>NA</v>
      </c>
      <c r="V161" s="88" t="str">
        <f t="shared" si="40"/>
        <v>YES</v>
      </c>
      <c r="W161" s="111"/>
      <c r="X161" s="112"/>
      <c r="Y161" s="113"/>
      <c r="Z161" s="112"/>
      <c r="AA161" s="31"/>
      <c r="AB161" s="302"/>
      <c r="AC161" s="89"/>
      <c r="AD161" s="88" t="str">
        <f t="shared" si="37"/>
        <v>NA</v>
      </c>
      <c r="AE161" s="88" t="str">
        <f t="shared" si="38"/>
        <v>NA</v>
      </c>
      <c r="AF161" s="111"/>
      <c r="AG161" s="112"/>
      <c r="AH161" s="113"/>
      <c r="AI161" s="112"/>
      <c r="AJ161" s="31"/>
      <c r="AK161" s="294"/>
      <c r="AL161" s="89"/>
      <c r="AM161" s="88" t="str">
        <f t="shared" si="32"/>
        <v>NA</v>
      </c>
      <c r="AN161" s="88" t="str">
        <f t="shared" si="33"/>
        <v>NA</v>
      </c>
      <c r="AO161" s="111"/>
      <c r="AP161" s="112"/>
      <c r="AQ161" s="113"/>
      <c r="AR161" s="112"/>
      <c r="AS161" s="31"/>
      <c r="AT161" s="32"/>
      <c r="AU161" s="90"/>
      <c r="AV161" s="88"/>
      <c r="AW161" s="88"/>
      <c r="AX161" s="111"/>
      <c r="AY161" s="112"/>
      <c r="AZ161" s="113"/>
      <c r="BA161" s="112"/>
      <c r="BB161" s="31"/>
      <c r="BC161" s="32"/>
      <c r="BD161" s="90"/>
      <c r="BE161" s="88"/>
      <c r="BF161" s="88"/>
      <c r="BG161" s="111"/>
      <c r="BH161" s="112"/>
      <c r="BI161" s="113"/>
      <c r="BJ161" s="112"/>
      <c r="BK161" s="31"/>
      <c r="BL161" s="32"/>
      <c r="BM161" s="90"/>
      <c r="BN161" s="88"/>
      <c r="BO161" s="88"/>
      <c r="BP161" s="111"/>
      <c r="BQ161" s="112"/>
      <c r="BR161" s="113"/>
      <c r="BS161" s="112"/>
      <c r="BT161" s="31"/>
      <c r="BU161" s="32"/>
      <c r="BV161" s="90"/>
      <c r="BW161" s="88"/>
      <c r="BX161" s="88"/>
      <c r="BY161" s="111"/>
      <c r="BZ161" s="112"/>
      <c r="CA161" s="113"/>
      <c r="CB161" s="112"/>
      <c r="CC161" s="31"/>
      <c r="CD161" s="32"/>
      <c r="CE161" s="90"/>
      <c r="CF161" s="88"/>
      <c r="CG161" s="88"/>
      <c r="CH161" s="111"/>
      <c r="CI161" s="112"/>
      <c r="CJ161" s="113"/>
      <c r="CK161" s="112"/>
      <c r="CL161" s="31"/>
      <c r="CM161" s="32"/>
      <c r="CN161" s="90"/>
      <c r="CO161" s="88"/>
      <c r="CP161" s="88"/>
      <c r="CQ161" s="111"/>
      <c r="CR161" s="112"/>
      <c r="CS161" s="113"/>
      <c r="CT161" s="112"/>
      <c r="CU161" s="55"/>
      <c r="CW161" s="230" t="s">
        <v>893</v>
      </c>
      <c r="CZ161" s="226" t="s">
        <v>1589</v>
      </c>
    </row>
    <row r="162" spans="1:104" ht="37.5" x14ac:dyDescent="0.25">
      <c r="A162" s="17" t="s">
        <v>1171</v>
      </c>
      <c r="B162" s="17" t="s">
        <v>1172</v>
      </c>
      <c r="C162" s="17" t="s">
        <v>1713</v>
      </c>
      <c r="D162" s="17" t="str">
        <f t="shared" si="34"/>
        <v>B</v>
      </c>
      <c r="E162" s="17" t="b">
        <f t="shared" si="35"/>
        <v>0</v>
      </c>
      <c r="F162" s="17" t="b">
        <f t="shared" si="36"/>
        <v>1</v>
      </c>
      <c r="G162" s="317" t="s">
        <v>2047</v>
      </c>
      <c r="H162" s="324" t="s">
        <v>2358</v>
      </c>
      <c r="I162" s="315" t="s">
        <v>2048</v>
      </c>
      <c r="J162" s="147" t="s">
        <v>1713</v>
      </c>
      <c r="K162" s="31"/>
      <c r="L162" s="32" t="s">
        <v>354</v>
      </c>
      <c r="M162" s="90" t="s">
        <v>31</v>
      </c>
      <c r="N162" s="111" t="s">
        <v>2470</v>
      </c>
      <c r="O162" s="112"/>
      <c r="P162" s="113"/>
      <c r="Q162" s="112"/>
      <c r="R162" s="31"/>
      <c r="S162" s="32"/>
      <c r="T162" s="90"/>
      <c r="U162" s="88" t="str">
        <f t="shared" si="39"/>
        <v>NA</v>
      </c>
      <c r="V162" s="88" t="str">
        <f t="shared" si="40"/>
        <v>YES</v>
      </c>
      <c r="W162" s="111"/>
      <c r="X162" s="112"/>
      <c r="Y162" s="113"/>
      <c r="Z162" s="112"/>
      <c r="AA162" s="31"/>
      <c r="AB162" s="302"/>
      <c r="AC162" s="89"/>
      <c r="AD162" s="88" t="str">
        <f t="shared" si="37"/>
        <v>NA</v>
      </c>
      <c r="AE162" s="88" t="str">
        <f t="shared" si="38"/>
        <v>NA</v>
      </c>
      <c r="AF162" s="111"/>
      <c r="AG162" s="112"/>
      <c r="AH162" s="113"/>
      <c r="AI162" s="112"/>
      <c r="AJ162" s="31"/>
      <c r="AK162" s="294"/>
      <c r="AL162" s="89"/>
      <c r="AM162" s="88" t="str">
        <f t="shared" si="32"/>
        <v>NA</v>
      </c>
      <c r="AN162" s="88" t="str">
        <f t="shared" si="33"/>
        <v>NA</v>
      </c>
      <c r="AO162" s="111"/>
      <c r="AP162" s="112"/>
      <c r="AQ162" s="113"/>
      <c r="AR162" s="112"/>
      <c r="AS162" s="31"/>
      <c r="AT162" s="32"/>
      <c r="AU162" s="90"/>
      <c r="AV162" s="88"/>
      <c r="AW162" s="88"/>
      <c r="AX162" s="111"/>
      <c r="AY162" s="112"/>
      <c r="AZ162" s="113"/>
      <c r="BA162" s="112"/>
      <c r="BB162" s="31"/>
      <c r="BC162" s="32"/>
      <c r="BD162" s="90"/>
      <c r="BE162" s="88"/>
      <c r="BF162" s="88"/>
      <c r="BG162" s="111"/>
      <c r="BH162" s="112"/>
      <c r="BI162" s="113"/>
      <c r="BJ162" s="112"/>
      <c r="BK162" s="31"/>
      <c r="BL162" s="32"/>
      <c r="BM162" s="90"/>
      <c r="BN162" s="88"/>
      <c r="BO162" s="88"/>
      <c r="BP162" s="111"/>
      <c r="BQ162" s="112"/>
      <c r="BR162" s="113"/>
      <c r="BS162" s="112"/>
      <c r="BT162" s="31"/>
      <c r="BU162" s="32"/>
      <c r="BV162" s="90"/>
      <c r="BW162" s="88"/>
      <c r="BX162" s="88"/>
      <c r="BY162" s="111"/>
      <c r="BZ162" s="112"/>
      <c r="CA162" s="113"/>
      <c r="CB162" s="112"/>
      <c r="CC162" s="31"/>
      <c r="CD162" s="32"/>
      <c r="CE162" s="90"/>
      <c r="CF162" s="88"/>
      <c r="CG162" s="88"/>
      <c r="CH162" s="111"/>
      <c r="CI162" s="112"/>
      <c r="CJ162" s="113"/>
      <c r="CK162" s="112"/>
      <c r="CL162" s="31"/>
      <c r="CM162" s="32"/>
      <c r="CN162" s="90"/>
      <c r="CO162" s="88"/>
      <c r="CP162" s="88"/>
      <c r="CQ162" s="111"/>
      <c r="CR162" s="112"/>
      <c r="CS162" s="113"/>
      <c r="CT162" s="112"/>
      <c r="CU162" s="55"/>
      <c r="CW162" s="230" t="s">
        <v>894</v>
      </c>
      <c r="CZ162" s="226" t="s">
        <v>1589</v>
      </c>
    </row>
    <row r="163" spans="1:104" ht="39" x14ac:dyDescent="0.25">
      <c r="A163" s="17" t="s">
        <v>1173</v>
      </c>
      <c r="B163" s="17" t="s">
        <v>1174</v>
      </c>
      <c r="C163" s="17" t="s">
        <v>1714</v>
      </c>
      <c r="D163" s="17" t="str">
        <f t="shared" si="34"/>
        <v>B</v>
      </c>
      <c r="E163" s="17" t="b">
        <f t="shared" si="35"/>
        <v>0</v>
      </c>
      <c r="F163" s="17" t="b">
        <f t="shared" si="36"/>
        <v>1</v>
      </c>
      <c r="G163" s="317" t="s">
        <v>2049</v>
      </c>
      <c r="H163" s="324" t="s">
        <v>2359</v>
      </c>
      <c r="I163" s="315" t="s">
        <v>2050</v>
      </c>
      <c r="J163" s="147" t="s">
        <v>1714</v>
      </c>
      <c r="K163" s="31"/>
      <c r="L163" s="32" t="s">
        <v>354</v>
      </c>
      <c r="M163" s="90" t="s">
        <v>31</v>
      </c>
      <c r="N163" s="111" t="s">
        <v>2470</v>
      </c>
      <c r="O163" s="112"/>
      <c r="P163" s="113"/>
      <c r="Q163" s="112"/>
      <c r="R163" s="31"/>
      <c r="S163" s="32"/>
      <c r="T163" s="90"/>
      <c r="U163" s="88" t="str">
        <f t="shared" si="39"/>
        <v>NA</v>
      </c>
      <c r="V163" s="88" t="str">
        <f t="shared" si="40"/>
        <v>YES</v>
      </c>
      <c r="W163" s="111"/>
      <c r="X163" s="112"/>
      <c r="Y163" s="113"/>
      <c r="Z163" s="112"/>
      <c r="AA163" s="31"/>
      <c r="AB163" s="302"/>
      <c r="AC163" s="89"/>
      <c r="AD163" s="88" t="str">
        <f t="shared" si="37"/>
        <v>NA</v>
      </c>
      <c r="AE163" s="88" t="str">
        <f t="shared" si="38"/>
        <v>NA</v>
      </c>
      <c r="AF163" s="111"/>
      <c r="AG163" s="112"/>
      <c r="AH163" s="113"/>
      <c r="AI163" s="112"/>
      <c r="AJ163" s="31"/>
      <c r="AK163" s="294"/>
      <c r="AL163" s="89"/>
      <c r="AM163" s="88" t="str">
        <f t="shared" si="32"/>
        <v>NA</v>
      </c>
      <c r="AN163" s="88" t="str">
        <f t="shared" si="33"/>
        <v>NA</v>
      </c>
      <c r="AO163" s="111"/>
      <c r="AP163" s="112"/>
      <c r="AQ163" s="113"/>
      <c r="AR163" s="112"/>
      <c r="AS163" s="31"/>
      <c r="AT163" s="32"/>
      <c r="AU163" s="90"/>
      <c r="AV163" s="88"/>
      <c r="AW163" s="88"/>
      <c r="AX163" s="111"/>
      <c r="AY163" s="112"/>
      <c r="AZ163" s="113"/>
      <c r="BA163" s="112"/>
      <c r="BB163" s="31"/>
      <c r="BC163" s="32"/>
      <c r="BD163" s="90"/>
      <c r="BE163" s="88"/>
      <c r="BF163" s="88"/>
      <c r="BG163" s="111"/>
      <c r="BH163" s="112"/>
      <c r="BI163" s="113"/>
      <c r="BJ163" s="112"/>
      <c r="BK163" s="31"/>
      <c r="BL163" s="32"/>
      <c r="BM163" s="90"/>
      <c r="BN163" s="88"/>
      <c r="BO163" s="88"/>
      <c r="BP163" s="111"/>
      <c r="BQ163" s="112"/>
      <c r="BR163" s="113"/>
      <c r="BS163" s="112"/>
      <c r="BT163" s="31"/>
      <c r="BU163" s="32"/>
      <c r="BV163" s="90"/>
      <c r="BW163" s="88"/>
      <c r="BX163" s="88"/>
      <c r="BY163" s="111"/>
      <c r="BZ163" s="112"/>
      <c r="CA163" s="113"/>
      <c r="CB163" s="112"/>
      <c r="CC163" s="31"/>
      <c r="CD163" s="32"/>
      <c r="CE163" s="90"/>
      <c r="CF163" s="88"/>
      <c r="CG163" s="88"/>
      <c r="CH163" s="111"/>
      <c r="CI163" s="112"/>
      <c r="CJ163" s="113"/>
      <c r="CK163" s="112"/>
      <c r="CL163" s="31"/>
      <c r="CM163" s="32"/>
      <c r="CN163" s="90"/>
      <c r="CO163" s="88"/>
      <c r="CP163" s="88"/>
      <c r="CQ163" s="111"/>
      <c r="CR163" s="112"/>
      <c r="CS163" s="113"/>
      <c r="CT163" s="112"/>
      <c r="CU163" s="55"/>
      <c r="CW163" s="230" t="s">
        <v>895</v>
      </c>
      <c r="CZ163" s="226" t="s">
        <v>1589</v>
      </c>
    </row>
    <row r="164" spans="1:104" ht="37.5" x14ac:dyDescent="0.25">
      <c r="A164" s="17" t="s">
        <v>1175</v>
      </c>
      <c r="B164" s="17" t="s">
        <v>1176</v>
      </c>
      <c r="C164" s="17" t="s">
        <v>896</v>
      </c>
      <c r="D164" s="17" t="str">
        <f t="shared" si="34"/>
        <v>B</v>
      </c>
      <c r="E164" s="17" t="b">
        <f t="shared" si="35"/>
        <v>0</v>
      </c>
      <c r="F164" s="17" t="b">
        <f t="shared" si="36"/>
        <v>0</v>
      </c>
      <c r="G164" s="317" t="s">
        <v>2051</v>
      </c>
      <c r="H164" s="324" t="s">
        <v>2360</v>
      </c>
      <c r="I164" s="315" t="s">
        <v>1176</v>
      </c>
      <c r="J164" s="147" t="s">
        <v>2052</v>
      </c>
      <c r="K164" s="31"/>
      <c r="L164" s="32" t="s">
        <v>354</v>
      </c>
      <c r="M164" s="90" t="s">
        <v>31</v>
      </c>
      <c r="N164" s="111" t="s">
        <v>2470</v>
      </c>
      <c r="O164" s="112"/>
      <c r="P164" s="113"/>
      <c r="Q164" s="112"/>
      <c r="R164" s="31"/>
      <c r="S164" s="32"/>
      <c r="T164" s="90"/>
      <c r="U164" s="88" t="str">
        <f t="shared" si="39"/>
        <v>NA</v>
      </c>
      <c r="V164" s="88" t="str">
        <f t="shared" si="40"/>
        <v>YES</v>
      </c>
      <c r="W164" s="111"/>
      <c r="X164" s="112"/>
      <c r="Y164" s="113"/>
      <c r="Z164" s="112"/>
      <c r="AA164" s="31"/>
      <c r="AB164" s="302"/>
      <c r="AC164" s="89"/>
      <c r="AD164" s="88" t="str">
        <f t="shared" si="37"/>
        <v>NA</v>
      </c>
      <c r="AE164" s="88" t="str">
        <f t="shared" si="38"/>
        <v>NA</v>
      </c>
      <c r="AF164" s="111"/>
      <c r="AG164" s="112"/>
      <c r="AH164" s="113"/>
      <c r="AI164" s="112"/>
      <c r="AJ164" s="31"/>
      <c r="AK164" s="294"/>
      <c r="AL164" s="89"/>
      <c r="AM164" s="88" t="str">
        <f t="shared" si="32"/>
        <v>NA</v>
      </c>
      <c r="AN164" s="88" t="str">
        <f t="shared" si="33"/>
        <v>NA</v>
      </c>
      <c r="AO164" s="111"/>
      <c r="AP164" s="112"/>
      <c r="AQ164" s="113"/>
      <c r="AR164" s="112"/>
      <c r="AS164" s="31"/>
      <c r="AT164" s="32"/>
      <c r="AU164" s="90"/>
      <c r="AV164" s="88"/>
      <c r="AW164" s="88"/>
      <c r="AX164" s="111"/>
      <c r="AY164" s="112"/>
      <c r="AZ164" s="113"/>
      <c r="BA164" s="112"/>
      <c r="BB164" s="31"/>
      <c r="BC164" s="32"/>
      <c r="BD164" s="90"/>
      <c r="BE164" s="88"/>
      <c r="BF164" s="88"/>
      <c r="BG164" s="111"/>
      <c r="BH164" s="112"/>
      <c r="BI164" s="113"/>
      <c r="BJ164" s="112"/>
      <c r="BK164" s="31"/>
      <c r="BL164" s="32"/>
      <c r="BM164" s="90"/>
      <c r="BN164" s="88"/>
      <c r="BO164" s="88"/>
      <c r="BP164" s="111"/>
      <c r="BQ164" s="112"/>
      <c r="BR164" s="113"/>
      <c r="BS164" s="112"/>
      <c r="BT164" s="31"/>
      <c r="BU164" s="32"/>
      <c r="BV164" s="90"/>
      <c r="BW164" s="88"/>
      <c r="BX164" s="88"/>
      <c r="BY164" s="111"/>
      <c r="BZ164" s="112"/>
      <c r="CA164" s="113"/>
      <c r="CB164" s="112"/>
      <c r="CC164" s="31"/>
      <c r="CD164" s="32"/>
      <c r="CE164" s="90"/>
      <c r="CF164" s="88"/>
      <c r="CG164" s="88"/>
      <c r="CH164" s="111"/>
      <c r="CI164" s="112"/>
      <c r="CJ164" s="113"/>
      <c r="CK164" s="112"/>
      <c r="CL164" s="31"/>
      <c r="CM164" s="32"/>
      <c r="CN164" s="90"/>
      <c r="CO164" s="88"/>
      <c r="CP164" s="88"/>
      <c r="CQ164" s="111"/>
      <c r="CR164" s="112"/>
      <c r="CS164" s="113"/>
      <c r="CT164" s="112"/>
      <c r="CU164" s="55"/>
      <c r="CW164" s="230" t="s">
        <v>896</v>
      </c>
      <c r="CZ164" s="226" t="s">
        <v>1589</v>
      </c>
    </row>
    <row r="165" spans="1:104" ht="26" x14ac:dyDescent="0.25">
      <c r="A165" s="17" t="s">
        <v>1583</v>
      </c>
      <c r="B165" s="17" t="s">
        <v>1585</v>
      </c>
      <c r="C165" s="17" t="s">
        <v>1587</v>
      </c>
      <c r="D165" s="17" t="str">
        <f t="shared" si="34"/>
        <v>A</v>
      </c>
      <c r="E165" s="17" t="b">
        <f t="shared" si="35"/>
        <v>0</v>
      </c>
      <c r="F165" s="17" t="b">
        <f t="shared" si="36"/>
        <v>1</v>
      </c>
      <c r="G165" s="319" t="s">
        <v>2053</v>
      </c>
      <c r="H165" s="327" t="s">
        <v>2361</v>
      </c>
      <c r="I165" s="310" t="s">
        <v>1585</v>
      </c>
      <c r="J165" s="147" t="s">
        <v>1587</v>
      </c>
      <c r="K165" s="31"/>
      <c r="L165" s="32" t="s">
        <v>354</v>
      </c>
      <c r="M165" s="90" t="s">
        <v>31</v>
      </c>
      <c r="N165" s="111" t="s">
        <v>2470</v>
      </c>
      <c r="O165" s="112"/>
      <c r="P165" s="113"/>
      <c r="Q165" s="112"/>
      <c r="R165" s="31"/>
      <c r="S165" s="32"/>
      <c r="T165" s="90"/>
      <c r="U165" s="88" t="str">
        <f t="shared" si="39"/>
        <v>NA</v>
      </c>
      <c r="V165" s="88" t="str">
        <f t="shared" si="40"/>
        <v>YES</v>
      </c>
      <c r="W165" s="111"/>
      <c r="X165" s="112"/>
      <c r="Y165" s="113"/>
      <c r="Z165" s="112"/>
      <c r="AA165" s="31"/>
      <c r="AB165" s="302"/>
      <c r="AC165" s="89"/>
      <c r="AD165" s="88" t="str">
        <f t="shared" si="37"/>
        <v>NA</v>
      </c>
      <c r="AE165" s="88" t="str">
        <f t="shared" si="38"/>
        <v>NA</v>
      </c>
      <c r="AF165" s="111"/>
      <c r="AG165" s="112"/>
      <c r="AH165" s="113"/>
      <c r="AI165" s="112"/>
      <c r="AJ165" s="31"/>
      <c r="AK165" s="294"/>
      <c r="AL165" s="89"/>
      <c r="AM165" s="88" t="str">
        <f t="shared" si="32"/>
        <v>NA</v>
      </c>
      <c r="AN165" s="88" t="str">
        <f t="shared" si="33"/>
        <v>NA</v>
      </c>
      <c r="AO165" s="111"/>
      <c r="AP165" s="112"/>
      <c r="AQ165" s="113"/>
      <c r="AR165" s="112"/>
      <c r="AS165" s="31"/>
      <c r="AT165" s="32"/>
      <c r="AU165" s="90"/>
      <c r="AV165" s="88"/>
      <c r="AW165" s="88"/>
      <c r="AX165" s="111"/>
      <c r="AY165" s="112"/>
      <c r="AZ165" s="113"/>
      <c r="BA165" s="112"/>
      <c r="BB165" s="31"/>
      <c r="BC165" s="32"/>
      <c r="BD165" s="90"/>
      <c r="BE165" s="88"/>
      <c r="BF165" s="88"/>
      <c r="BG165" s="111"/>
      <c r="BH165" s="112"/>
      <c r="BI165" s="113"/>
      <c r="BJ165" s="112"/>
      <c r="BK165" s="31"/>
      <c r="BL165" s="32"/>
      <c r="BM165" s="90"/>
      <c r="BN165" s="88"/>
      <c r="BO165" s="88"/>
      <c r="BP165" s="111"/>
      <c r="BQ165" s="112"/>
      <c r="BR165" s="113"/>
      <c r="BS165" s="112"/>
      <c r="BT165" s="31"/>
      <c r="BU165" s="32"/>
      <c r="BV165" s="90"/>
      <c r="BW165" s="88"/>
      <c r="BX165" s="88"/>
      <c r="BY165" s="111"/>
      <c r="BZ165" s="112"/>
      <c r="CA165" s="113"/>
      <c r="CB165" s="112"/>
      <c r="CC165" s="31"/>
      <c r="CD165" s="32"/>
      <c r="CE165" s="90"/>
      <c r="CF165" s="88"/>
      <c r="CG165" s="88"/>
      <c r="CH165" s="111"/>
      <c r="CI165" s="112"/>
      <c r="CJ165" s="113"/>
      <c r="CK165" s="112"/>
      <c r="CL165" s="31"/>
      <c r="CM165" s="32"/>
      <c r="CN165" s="90"/>
      <c r="CO165" s="88"/>
      <c r="CP165" s="88"/>
      <c r="CQ165" s="111"/>
      <c r="CR165" s="112"/>
      <c r="CS165" s="113"/>
      <c r="CT165" s="112"/>
      <c r="CU165" s="55"/>
      <c r="CW165" s="230"/>
      <c r="CZ165" s="226" t="s">
        <v>1589</v>
      </c>
    </row>
    <row r="166" spans="1:104" ht="39" x14ac:dyDescent="0.25">
      <c r="A166" s="17" t="s">
        <v>1584</v>
      </c>
      <c r="B166" s="17" t="s">
        <v>1586</v>
      </c>
      <c r="C166" s="17" t="s">
        <v>1588</v>
      </c>
      <c r="D166" s="17" t="str">
        <f t="shared" si="34"/>
        <v>A</v>
      </c>
      <c r="E166" s="17" t="b">
        <f t="shared" si="35"/>
        <v>0</v>
      </c>
      <c r="F166" s="17" t="b">
        <f t="shared" si="36"/>
        <v>1</v>
      </c>
      <c r="G166" s="319" t="s">
        <v>2054</v>
      </c>
      <c r="H166" s="327" t="s">
        <v>2362</v>
      </c>
      <c r="I166" s="310" t="s">
        <v>1586</v>
      </c>
      <c r="J166" s="147" t="s">
        <v>1588</v>
      </c>
      <c r="K166" s="31"/>
      <c r="L166" s="32" t="s">
        <v>354</v>
      </c>
      <c r="M166" s="90" t="s">
        <v>31</v>
      </c>
      <c r="N166" s="111" t="s">
        <v>2470</v>
      </c>
      <c r="O166" s="112"/>
      <c r="P166" s="113"/>
      <c r="Q166" s="112"/>
      <c r="R166" s="31"/>
      <c r="S166" s="32"/>
      <c r="T166" s="90"/>
      <c r="U166" s="88" t="str">
        <f t="shared" si="39"/>
        <v>NA</v>
      </c>
      <c r="V166" s="88" t="str">
        <f t="shared" si="40"/>
        <v>YES</v>
      </c>
      <c r="W166" s="111"/>
      <c r="X166" s="112"/>
      <c r="Y166" s="113"/>
      <c r="Z166" s="112"/>
      <c r="AA166" s="31"/>
      <c r="AB166" s="302"/>
      <c r="AC166" s="89"/>
      <c r="AD166" s="88" t="str">
        <f t="shared" si="37"/>
        <v>NA</v>
      </c>
      <c r="AE166" s="88" t="str">
        <f t="shared" si="38"/>
        <v>NA</v>
      </c>
      <c r="AF166" s="111"/>
      <c r="AG166" s="112"/>
      <c r="AH166" s="113"/>
      <c r="AI166" s="112"/>
      <c r="AJ166" s="31"/>
      <c r="AK166" s="294"/>
      <c r="AL166" s="89"/>
      <c r="AM166" s="88" t="str">
        <f t="shared" si="32"/>
        <v>NA</v>
      </c>
      <c r="AN166" s="88" t="str">
        <f t="shared" si="33"/>
        <v>NA</v>
      </c>
      <c r="AO166" s="111"/>
      <c r="AP166" s="112"/>
      <c r="AQ166" s="113"/>
      <c r="AR166" s="112"/>
      <c r="AS166" s="31"/>
      <c r="AT166" s="32"/>
      <c r="AU166" s="90"/>
      <c r="AV166" s="88"/>
      <c r="AW166" s="88"/>
      <c r="AX166" s="111"/>
      <c r="AY166" s="112"/>
      <c r="AZ166" s="113"/>
      <c r="BA166" s="112"/>
      <c r="BB166" s="31"/>
      <c r="BC166" s="32"/>
      <c r="BD166" s="90"/>
      <c r="BE166" s="88"/>
      <c r="BF166" s="88"/>
      <c r="BG166" s="111"/>
      <c r="BH166" s="112"/>
      <c r="BI166" s="113"/>
      <c r="BJ166" s="112"/>
      <c r="BK166" s="31"/>
      <c r="BL166" s="32"/>
      <c r="BM166" s="90"/>
      <c r="BN166" s="88"/>
      <c r="BO166" s="88"/>
      <c r="BP166" s="111"/>
      <c r="BQ166" s="112"/>
      <c r="BR166" s="113"/>
      <c r="BS166" s="112"/>
      <c r="BT166" s="31"/>
      <c r="BU166" s="32"/>
      <c r="BV166" s="90"/>
      <c r="BW166" s="88"/>
      <c r="BX166" s="88"/>
      <c r="BY166" s="111"/>
      <c r="BZ166" s="112"/>
      <c r="CA166" s="113"/>
      <c r="CB166" s="112"/>
      <c r="CC166" s="31"/>
      <c r="CD166" s="32"/>
      <c r="CE166" s="90"/>
      <c r="CF166" s="88"/>
      <c r="CG166" s="88"/>
      <c r="CH166" s="111"/>
      <c r="CI166" s="112"/>
      <c r="CJ166" s="113"/>
      <c r="CK166" s="112"/>
      <c r="CL166" s="31"/>
      <c r="CM166" s="32"/>
      <c r="CN166" s="90"/>
      <c r="CO166" s="88"/>
      <c r="CP166" s="88"/>
      <c r="CQ166" s="111"/>
      <c r="CR166" s="112"/>
      <c r="CS166" s="113"/>
      <c r="CT166" s="112"/>
      <c r="CU166" s="55"/>
      <c r="CW166" s="230"/>
      <c r="CZ166" s="226" t="s">
        <v>1589</v>
      </c>
    </row>
    <row r="167" spans="1:104" ht="182" hidden="1" x14ac:dyDescent="0.25">
      <c r="A167" s="17" t="s">
        <v>1177</v>
      </c>
      <c r="B167" s="17" t="s">
        <v>1178</v>
      </c>
      <c r="C167" s="17" t="s">
        <v>897</v>
      </c>
      <c r="D167" s="17" t="str">
        <f t="shared" si="34"/>
        <v>D</v>
      </c>
      <c r="E167" s="17" t="b">
        <f t="shared" si="35"/>
        <v>0</v>
      </c>
      <c r="F167" s="17" t="b">
        <f t="shared" si="36"/>
        <v>0</v>
      </c>
      <c r="G167" s="317" t="s">
        <v>2055</v>
      </c>
      <c r="H167" s="324" t="s">
        <v>2363</v>
      </c>
      <c r="I167" s="315" t="s">
        <v>2056</v>
      </c>
      <c r="J167" s="147" t="s">
        <v>2057</v>
      </c>
      <c r="K167" s="31"/>
      <c r="L167" s="32" t="s">
        <v>354</v>
      </c>
      <c r="M167" s="90"/>
      <c r="N167" s="111"/>
      <c r="O167" s="112"/>
      <c r="P167" s="113"/>
      <c r="Q167" s="112"/>
      <c r="R167" s="31"/>
      <c r="S167" s="32"/>
      <c r="T167" s="90"/>
      <c r="U167" s="88" t="str">
        <f t="shared" si="39"/>
        <v>NA</v>
      </c>
      <c r="V167" s="88" t="str">
        <f t="shared" si="40"/>
        <v>NA</v>
      </c>
      <c r="W167" s="111"/>
      <c r="X167" s="112"/>
      <c r="Y167" s="113"/>
      <c r="Z167" s="112"/>
      <c r="AA167" s="31"/>
      <c r="AB167" s="302"/>
      <c r="AC167" s="89"/>
      <c r="AD167" s="88" t="str">
        <f t="shared" si="37"/>
        <v>NA</v>
      </c>
      <c r="AE167" s="88" t="str">
        <f t="shared" si="38"/>
        <v>NA</v>
      </c>
      <c r="AF167" s="111"/>
      <c r="AG167" s="112"/>
      <c r="AH167" s="113"/>
      <c r="AI167" s="112"/>
      <c r="AJ167" s="31"/>
      <c r="AK167" s="294"/>
      <c r="AL167" s="89"/>
      <c r="AM167" s="88" t="str">
        <f t="shared" si="32"/>
        <v>NA</v>
      </c>
      <c r="AN167" s="88" t="str">
        <f t="shared" si="33"/>
        <v>NA</v>
      </c>
      <c r="AO167" s="111"/>
      <c r="AP167" s="112"/>
      <c r="AQ167" s="113"/>
      <c r="AR167" s="112"/>
      <c r="AS167" s="31"/>
      <c r="AT167" s="32"/>
      <c r="AU167" s="90"/>
      <c r="AV167" s="88"/>
      <c r="AW167" s="88"/>
      <c r="AX167" s="111"/>
      <c r="AY167" s="112"/>
      <c r="AZ167" s="113"/>
      <c r="BA167" s="112"/>
      <c r="BB167" s="31"/>
      <c r="BC167" s="32"/>
      <c r="BD167" s="90"/>
      <c r="BE167" s="88"/>
      <c r="BF167" s="88"/>
      <c r="BG167" s="111"/>
      <c r="BH167" s="112"/>
      <c r="BI167" s="113"/>
      <c r="BJ167" s="112"/>
      <c r="BK167" s="31"/>
      <c r="BL167" s="32"/>
      <c r="BM167" s="90"/>
      <c r="BN167" s="88"/>
      <c r="BO167" s="88"/>
      <c r="BP167" s="111"/>
      <c r="BQ167" s="112"/>
      <c r="BR167" s="113"/>
      <c r="BS167" s="112"/>
      <c r="BT167" s="31"/>
      <c r="BU167" s="32"/>
      <c r="BV167" s="90"/>
      <c r="BW167" s="88"/>
      <c r="BX167" s="88"/>
      <c r="BY167" s="111"/>
      <c r="BZ167" s="112"/>
      <c r="CA167" s="113"/>
      <c r="CB167" s="112"/>
      <c r="CC167" s="31"/>
      <c r="CD167" s="32"/>
      <c r="CE167" s="90"/>
      <c r="CF167" s="88"/>
      <c r="CG167" s="88"/>
      <c r="CH167" s="111"/>
      <c r="CI167" s="112"/>
      <c r="CJ167" s="113"/>
      <c r="CK167" s="112"/>
      <c r="CL167" s="31"/>
      <c r="CM167" s="32"/>
      <c r="CN167" s="90"/>
      <c r="CO167" s="88"/>
      <c r="CP167" s="88"/>
      <c r="CQ167" s="111"/>
      <c r="CR167" s="112"/>
      <c r="CS167" s="113"/>
      <c r="CT167" s="112"/>
      <c r="CU167" s="55"/>
      <c r="CW167" s="230" t="s">
        <v>897</v>
      </c>
      <c r="CZ167" s="226" t="s">
        <v>1590</v>
      </c>
    </row>
    <row r="168" spans="1:104" ht="195" hidden="1" x14ac:dyDescent="0.25">
      <c r="A168" s="17" t="s">
        <v>1183</v>
      </c>
      <c r="B168" s="17" t="s">
        <v>1184</v>
      </c>
      <c r="C168" s="17" t="s">
        <v>1715</v>
      </c>
      <c r="D168" s="17" t="str">
        <f t="shared" si="34"/>
        <v>B</v>
      </c>
      <c r="E168" s="17" t="b">
        <f t="shared" si="35"/>
        <v>0</v>
      </c>
      <c r="F168" s="17" t="b">
        <f t="shared" si="36"/>
        <v>0</v>
      </c>
      <c r="G168" s="317" t="s">
        <v>2058</v>
      </c>
      <c r="H168" s="324" t="s">
        <v>2364</v>
      </c>
      <c r="I168" s="315" t="s">
        <v>2059</v>
      </c>
      <c r="J168" s="147" t="s">
        <v>2060</v>
      </c>
      <c r="K168" s="31"/>
      <c r="L168" s="32" t="s">
        <v>354</v>
      </c>
      <c r="M168" s="90"/>
      <c r="N168" s="111"/>
      <c r="O168" s="112"/>
      <c r="P168" s="113"/>
      <c r="Q168" s="112"/>
      <c r="R168" s="31"/>
      <c r="S168" s="32"/>
      <c r="T168" s="90"/>
      <c r="U168" s="88" t="str">
        <f t="shared" si="39"/>
        <v>NA</v>
      </c>
      <c r="V168" s="88" t="str">
        <f t="shared" si="40"/>
        <v>NA</v>
      </c>
      <c r="W168" s="111"/>
      <c r="X168" s="112"/>
      <c r="Y168" s="113"/>
      <c r="Z168" s="112"/>
      <c r="AA168" s="31"/>
      <c r="AB168" s="302"/>
      <c r="AC168" s="89"/>
      <c r="AD168" s="88" t="str">
        <f t="shared" si="37"/>
        <v>NA</v>
      </c>
      <c r="AE168" s="88" t="str">
        <f t="shared" si="38"/>
        <v>NA</v>
      </c>
      <c r="AF168" s="111"/>
      <c r="AG168" s="112"/>
      <c r="AH168" s="113"/>
      <c r="AI168" s="112"/>
      <c r="AJ168" s="31"/>
      <c r="AK168" s="294"/>
      <c r="AL168" s="89"/>
      <c r="AM168" s="88" t="str">
        <f t="shared" si="32"/>
        <v>NA</v>
      </c>
      <c r="AN168" s="88" t="str">
        <f t="shared" si="33"/>
        <v>NA</v>
      </c>
      <c r="AO168" s="111"/>
      <c r="AP168" s="112"/>
      <c r="AQ168" s="113"/>
      <c r="AR168" s="112"/>
      <c r="AS168" s="31"/>
      <c r="AT168" s="32"/>
      <c r="AU168" s="90"/>
      <c r="AV168" s="88"/>
      <c r="AW168" s="88"/>
      <c r="AX168" s="111"/>
      <c r="AY168" s="112"/>
      <c r="AZ168" s="113"/>
      <c r="BA168" s="112"/>
      <c r="BB168" s="31"/>
      <c r="BC168" s="32"/>
      <c r="BD168" s="90"/>
      <c r="BE168" s="88"/>
      <c r="BF168" s="88"/>
      <c r="BG168" s="111"/>
      <c r="BH168" s="112"/>
      <c r="BI168" s="113"/>
      <c r="BJ168" s="112"/>
      <c r="BK168" s="31"/>
      <c r="BL168" s="32"/>
      <c r="BM168" s="90"/>
      <c r="BN168" s="88"/>
      <c r="BO168" s="88"/>
      <c r="BP168" s="111"/>
      <c r="BQ168" s="112"/>
      <c r="BR168" s="113"/>
      <c r="BS168" s="112"/>
      <c r="BT168" s="31"/>
      <c r="BU168" s="32"/>
      <c r="BV168" s="90"/>
      <c r="BW168" s="88"/>
      <c r="BX168" s="88"/>
      <c r="BY168" s="111"/>
      <c r="BZ168" s="112"/>
      <c r="CA168" s="113"/>
      <c r="CB168" s="112"/>
      <c r="CC168" s="31"/>
      <c r="CD168" s="32"/>
      <c r="CE168" s="90"/>
      <c r="CF168" s="88"/>
      <c r="CG168" s="88"/>
      <c r="CH168" s="111"/>
      <c r="CI168" s="112"/>
      <c r="CJ168" s="113"/>
      <c r="CK168" s="112"/>
      <c r="CL168" s="31"/>
      <c r="CM168" s="32"/>
      <c r="CN168" s="90"/>
      <c r="CO168" s="88"/>
      <c r="CP168" s="88"/>
      <c r="CQ168" s="111"/>
      <c r="CR168" s="112"/>
      <c r="CS168" s="113"/>
      <c r="CT168" s="112"/>
      <c r="CU168" s="55"/>
      <c r="CW168" s="230" t="s">
        <v>900</v>
      </c>
      <c r="CZ168" s="226" t="s">
        <v>1590</v>
      </c>
    </row>
    <row r="169" spans="1:104" ht="26" hidden="1" x14ac:dyDescent="0.25">
      <c r="A169" s="17" t="s">
        <v>1179</v>
      </c>
      <c r="B169" s="17" t="s">
        <v>1180</v>
      </c>
      <c r="C169" s="17" t="s">
        <v>898</v>
      </c>
      <c r="D169" s="17" t="str">
        <f t="shared" si="34"/>
        <v>A</v>
      </c>
      <c r="E169" s="17" t="b">
        <f t="shared" si="35"/>
        <v>0</v>
      </c>
      <c r="F169" s="17" t="b">
        <f t="shared" si="36"/>
        <v>1</v>
      </c>
      <c r="G169" s="317" t="s">
        <v>2061</v>
      </c>
      <c r="H169" s="324" t="s">
        <v>2365</v>
      </c>
      <c r="I169" s="315" t="s">
        <v>1180</v>
      </c>
      <c r="J169" s="147" t="s">
        <v>898</v>
      </c>
      <c r="K169" s="31"/>
      <c r="L169" s="32" t="s">
        <v>354</v>
      </c>
      <c r="M169" s="90"/>
      <c r="N169" s="111"/>
      <c r="O169" s="112"/>
      <c r="P169" s="113"/>
      <c r="Q169" s="112"/>
      <c r="R169" s="31"/>
      <c r="S169" s="32"/>
      <c r="T169" s="90"/>
      <c r="U169" s="88" t="str">
        <f t="shared" si="39"/>
        <v>NA</v>
      </c>
      <c r="V169" s="88" t="str">
        <f t="shared" si="40"/>
        <v>NA</v>
      </c>
      <c r="W169" s="111"/>
      <c r="X169" s="112"/>
      <c r="Y169" s="113"/>
      <c r="Z169" s="112"/>
      <c r="AA169" s="31"/>
      <c r="AB169" s="302"/>
      <c r="AC169" s="89"/>
      <c r="AD169" s="88" t="str">
        <f t="shared" si="37"/>
        <v>NA</v>
      </c>
      <c r="AE169" s="88" t="str">
        <f t="shared" si="38"/>
        <v>NA</v>
      </c>
      <c r="AF169" s="111"/>
      <c r="AG169" s="112"/>
      <c r="AH169" s="113"/>
      <c r="AI169" s="112"/>
      <c r="AJ169" s="31"/>
      <c r="AK169" s="294"/>
      <c r="AL169" s="89"/>
      <c r="AM169" s="88" t="str">
        <f t="shared" si="32"/>
        <v>NA</v>
      </c>
      <c r="AN169" s="88" t="str">
        <f t="shared" si="33"/>
        <v>NA</v>
      </c>
      <c r="AO169" s="111"/>
      <c r="AP169" s="112"/>
      <c r="AQ169" s="113"/>
      <c r="AR169" s="112"/>
      <c r="AS169" s="31"/>
      <c r="AT169" s="32"/>
      <c r="AU169" s="90"/>
      <c r="AV169" s="88"/>
      <c r="AW169" s="88"/>
      <c r="AX169" s="111"/>
      <c r="AY169" s="112"/>
      <c r="AZ169" s="113"/>
      <c r="BA169" s="112"/>
      <c r="BB169" s="31"/>
      <c r="BC169" s="32"/>
      <c r="BD169" s="90"/>
      <c r="BE169" s="88"/>
      <c r="BF169" s="88"/>
      <c r="BG169" s="111"/>
      <c r="BH169" s="112"/>
      <c r="BI169" s="113"/>
      <c r="BJ169" s="112"/>
      <c r="BK169" s="31"/>
      <c r="BL169" s="32"/>
      <c r="BM169" s="90"/>
      <c r="BN169" s="88"/>
      <c r="BO169" s="88"/>
      <c r="BP169" s="111"/>
      <c r="BQ169" s="112"/>
      <c r="BR169" s="113"/>
      <c r="BS169" s="112"/>
      <c r="BT169" s="31"/>
      <c r="BU169" s="32"/>
      <c r="BV169" s="90"/>
      <c r="BW169" s="88"/>
      <c r="BX169" s="88"/>
      <c r="BY169" s="111"/>
      <c r="BZ169" s="112"/>
      <c r="CA169" s="113"/>
      <c r="CB169" s="112"/>
      <c r="CC169" s="31"/>
      <c r="CD169" s="32"/>
      <c r="CE169" s="90"/>
      <c r="CF169" s="88"/>
      <c r="CG169" s="88"/>
      <c r="CH169" s="111"/>
      <c r="CI169" s="112"/>
      <c r="CJ169" s="113"/>
      <c r="CK169" s="112"/>
      <c r="CL169" s="31"/>
      <c r="CM169" s="32"/>
      <c r="CN169" s="90"/>
      <c r="CO169" s="88"/>
      <c r="CP169" s="88"/>
      <c r="CQ169" s="111"/>
      <c r="CR169" s="112"/>
      <c r="CS169" s="113"/>
      <c r="CT169" s="112"/>
      <c r="CU169" s="55"/>
      <c r="CW169" s="230" t="s">
        <v>898</v>
      </c>
      <c r="CZ169" s="226" t="s">
        <v>1590</v>
      </c>
    </row>
    <row r="170" spans="1:104" ht="26" hidden="1" x14ac:dyDescent="0.25">
      <c r="A170" s="17" t="s">
        <v>1181</v>
      </c>
      <c r="B170" s="17" t="s">
        <v>1182</v>
      </c>
      <c r="C170" s="17" t="s">
        <v>899</v>
      </c>
      <c r="D170" s="17" t="str">
        <f t="shared" si="34"/>
        <v>A</v>
      </c>
      <c r="E170" s="17" t="b">
        <f t="shared" si="35"/>
        <v>0</v>
      </c>
      <c r="F170" s="17" t="b">
        <f t="shared" si="36"/>
        <v>1</v>
      </c>
      <c r="G170" s="317" t="s">
        <v>2062</v>
      </c>
      <c r="H170" s="324" t="s">
        <v>2366</v>
      </c>
      <c r="I170" s="315" t="s">
        <v>1182</v>
      </c>
      <c r="J170" s="147" t="s">
        <v>899</v>
      </c>
      <c r="K170" s="31"/>
      <c r="L170" s="32" t="s">
        <v>354</v>
      </c>
      <c r="M170" s="90"/>
      <c r="N170" s="111"/>
      <c r="O170" s="112"/>
      <c r="P170" s="113"/>
      <c r="Q170" s="112"/>
      <c r="R170" s="31"/>
      <c r="S170" s="32"/>
      <c r="T170" s="90"/>
      <c r="U170" s="88" t="str">
        <f t="shared" si="39"/>
        <v>NA</v>
      </c>
      <c r="V170" s="88" t="str">
        <f t="shared" si="40"/>
        <v>NA</v>
      </c>
      <c r="W170" s="111"/>
      <c r="X170" s="112"/>
      <c r="Y170" s="113"/>
      <c r="Z170" s="112"/>
      <c r="AA170" s="31"/>
      <c r="AB170" s="302"/>
      <c r="AC170" s="89"/>
      <c r="AD170" s="88" t="str">
        <f t="shared" si="37"/>
        <v>NA</v>
      </c>
      <c r="AE170" s="88" t="str">
        <f t="shared" si="38"/>
        <v>NA</v>
      </c>
      <c r="AF170" s="111"/>
      <c r="AG170" s="112"/>
      <c r="AH170" s="113"/>
      <c r="AI170" s="112"/>
      <c r="AJ170" s="31"/>
      <c r="AK170" s="294"/>
      <c r="AL170" s="89"/>
      <c r="AM170" s="88" t="str">
        <f t="shared" si="32"/>
        <v>NA</v>
      </c>
      <c r="AN170" s="88" t="str">
        <f t="shared" si="33"/>
        <v>NA</v>
      </c>
      <c r="AO170" s="111"/>
      <c r="AP170" s="112"/>
      <c r="AQ170" s="113"/>
      <c r="AR170" s="112"/>
      <c r="AS170" s="31"/>
      <c r="AT170" s="32"/>
      <c r="AU170" s="90"/>
      <c r="AV170" s="88"/>
      <c r="AW170" s="88"/>
      <c r="AX170" s="111"/>
      <c r="AY170" s="112"/>
      <c r="AZ170" s="113"/>
      <c r="BA170" s="112"/>
      <c r="BB170" s="31"/>
      <c r="BC170" s="32"/>
      <c r="BD170" s="90"/>
      <c r="BE170" s="88"/>
      <c r="BF170" s="88"/>
      <c r="BG170" s="111"/>
      <c r="BH170" s="112"/>
      <c r="BI170" s="113"/>
      <c r="BJ170" s="112"/>
      <c r="BK170" s="31"/>
      <c r="BL170" s="32"/>
      <c r="BM170" s="90"/>
      <c r="BN170" s="88"/>
      <c r="BO170" s="88"/>
      <c r="BP170" s="111"/>
      <c r="BQ170" s="112"/>
      <c r="BR170" s="113"/>
      <c r="BS170" s="112"/>
      <c r="BT170" s="31"/>
      <c r="BU170" s="32"/>
      <c r="BV170" s="90"/>
      <c r="BW170" s="88"/>
      <c r="BX170" s="88"/>
      <c r="BY170" s="111"/>
      <c r="BZ170" s="112"/>
      <c r="CA170" s="113"/>
      <c r="CB170" s="112"/>
      <c r="CC170" s="31"/>
      <c r="CD170" s="32"/>
      <c r="CE170" s="90"/>
      <c r="CF170" s="88"/>
      <c r="CG170" s="88"/>
      <c r="CH170" s="111"/>
      <c r="CI170" s="112"/>
      <c r="CJ170" s="113"/>
      <c r="CK170" s="112"/>
      <c r="CL170" s="31"/>
      <c r="CM170" s="32"/>
      <c r="CN170" s="90"/>
      <c r="CO170" s="88"/>
      <c r="CP170" s="88"/>
      <c r="CQ170" s="111"/>
      <c r="CR170" s="112"/>
      <c r="CS170" s="113"/>
      <c r="CT170" s="112"/>
      <c r="CU170" s="55"/>
      <c r="CW170" s="230" t="s">
        <v>899</v>
      </c>
      <c r="CZ170" s="226" t="s">
        <v>1590</v>
      </c>
    </row>
    <row r="171" spans="1:104" ht="39" hidden="1" x14ac:dyDescent="0.25">
      <c r="A171" s="17" t="s">
        <v>1185</v>
      </c>
      <c r="B171" s="17" t="s">
        <v>1186</v>
      </c>
      <c r="C171" s="17" t="s">
        <v>901</v>
      </c>
      <c r="D171" s="17" t="str">
        <f t="shared" si="34"/>
        <v>A</v>
      </c>
      <c r="E171" s="17" t="b">
        <f t="shared" si="35"/>
        <v>0</v>
      </c>
      <c r="F171" s="17" t="b">
        <f t="shared" si="36"/>
        <v>1</v>
      </c>
      <c r="G171" s="317" t="s">
        <v>2063</v>
      </c>
      <c r="H171" s="324" t="s">
        <v>2367</v>
      </c>
      <c r="I171" s="315" t="s">
        <v>1186</v>
      </c>
      <c r="J171" s="147" t="s">
        <v>901</v>
      </c>
      <c r="K171" s="31"/>
      <c r="L171" s="32" t="s">
        <v>354</v>
      </c>
      <c r="M171" s="90"/>
      <c r="N171" s="111"/>
      <c r="O171" s="112"/>
      <c r="P171" s="113"/>
      <c r="Q171" s="112"/>
      <c r="R171" s="31"/>
      <c r="S171" s="32"/>
      <c r="T171" s="90"/>
      <c r="U171" s="88" t="str">
        <f t="shared" si="39"/>
        <v>NA</v>
      </c>
      <c r="V171" s="88" t="str">
        <f t="shared" si="40"/>
        <v>NA</v>
      </c>
      <c r="W171" s="111"/>
      <c r="X171" s="112"/>
      <c r="Y171" s="113"/>
      <c r="Z171" s="112"/>
      <c r="AA171" s="31"/>
      <c r="AB171" s="302"/>
      <c r="AC171" s="89"/>
      <c r="AD171" s="88" t="str">
        <f t="shared" si="37"/>
        <v>NA</v>
      </c>
      <c r="AE171" s="88" t="str">
        <f t="shared" si="38"/>
        <v>NA</v>
      </c>
      <c r="AF171" s="111"/>
      <c r="AG171" s="112"/>
      <c r="AH171" s="113"/>
      <c r="AI171" s="112"/>
      <c r="AJ171" s="31"/>
      <c r="AK171" s="294"/>
      <c r="AL171" s="89"/>
      <c r="AM171" s="88" t="str">
        <f t="shared" si="32"/>
        <v>NA</v>
      </c>
      <c r="AN171" s="88" t="str">
        <f t="shared" si="33"/>
        <v>NA</v>
      </c>
      <c r="AO171" s="111"/>
      <c r="AP171" s="112"/>
      <c r="AQ171" s="113"/>
      <c r="AR171" s="112"/>
      <c r="AS171" s="31"/>
      <c r="AT171" s="32"/>
      <c r="AU171" s="90"/>
      <c r="AV171" s="88"/>
      <c r="AW171" s="88"/>
      <c r="AX171" s="111"/>
      <c r="AY171" s="112"/>
      <c r="AZ171" s="113"/>
      <c r="BA171" s="112"/>
      <c r="BB171" s="31"/>
      <c r="BC171" s="32"/>
      <c r="BD171" s="90"/>
      <c r="BE171" s="88"/>
      <c r="BF171" s="88"/>
      <c r="BG171" s="111"/>
      <c r="BH171" s="112"/>
      <c r="BI171" s="113"/>
      <c r="BJ171" s="112"/>
      <c r="BK171" s="31"/>
      <c r="BL171" s="32"/>
      <c r="BM171" s="90"/>
      <c r="BN171" s="88"/>
      <c r="BO171" s="88"/>
      <c r="BP171" s="111"/>
      <c r="BQ171" s="112"/>
      <c r="BR171" s="113"/>
      <c r="BS171" s="112"/>
      <c r="BT171" s="31"/>
      <c r="BU171" s="32"/>
      <c r="BV171" s="90"/>
      <c r="BW171" s="88"/>
      <c r="BX171" s="88"/>
      <c r="BY171" s="111"/>
      <c r="BZ171" s="112"/>
      <c r="CA171" s="113"/>
      <c r="CB171" s="112"/>
      <c r="CC171" s="31"/>
      <c r="CD171" s="32"/>
      <c r="CE171" s="90"/>
      <c r="CF171" s="88"/>
      <c r="CG171" s="88"/>
      <c r="CH171" s="111"/>
      <c r="CI171" s="112"/>
      <c r="CJ171" s="113"/>
      <c r="CK171" s="112"/>
      <c r="CL171" s="31"/>
      <c r="CM171" s="32"/>
      <c r="CN171" s="90"/>
      <c r="CO171" s="88"/>
      <c r="CP171" s="88"/>
      <c r="CQ171" s="111"/>
      <c r="CR171" s="112"/>
      <c r="CS171" s="113"/>
      <c r="CT171" s="112"/>
      <c r="CU171" s="55"/>
      <c r="CW171" s="230" t="s">
        <v>901</v>
      </c>
      <c r="CZ171" s="226" t="s">
        <v>1590</v>
      </c>
    </row>
    <row r="172" spans="1:104" ht="39" hidden="1" x14ac:dyDescent="0.25">
      <c r="A172" s="17" t="s">
        <v>1187</v>
      </c>
      <c r="B172" s="17" t="s">
        <v>1188</v>
      </c>
      <c r="C172" s="17" t="s">
        <v>902</v>
      </c>
      <c r="D172" s="17" t="str">
        <f t="shared" si="34"/>
        <v>A</v>
      </c>
      <c r="E172" s="17" t="b">
        <f t="shared" si="35"/>
        <v>0</v>
      </c>
      <c r="F172" s="17" t="b">
        <f t="shared" si="36"/>
        <v>1</v>
      </c>
      <c r="G172" s="317" t="s">
        <v>2064</v>
      </c>
      <c r="H172" s="324" t="s">
        <v>2368</v>
      </c>
      <c r="I172" s="315" t="s">
        <v>1188</v>
      </c>
      <c r="J172" s="147" t="s">
        <v>902</v>
      </c>
      <c r="K172" s="31"/>
      <c r="L172" s="32" t="s">
        <v>354</v>
      </c>
      <c r="M172" s="90"/>
      <c r="N172" s="111"/>
      <c r="O172" s="112"/>
      <c r="P172" s="113"/>
      <c r="Q172" s="112"/>
      <c r="R172" s="31"/>
      <c r="S172" s="32"/>
      <c r="T172" s="90"/>
      <c r="U172" s="88" t="str">
        <f t="shared" si="39"/>
        <v>NA</v>
      </c>
      <c r="V172" s="88" t="str">
        <f t="shared" si="40"/>
        <v>NA</v>
      </c>
      <c r="W172" s="111"/>
      <c r="X172" s="112"/>
      <c r="Y172" s="113"/>
      <c r="Z172" s="112"/>
      <c r="AA172" s="31"/>
      <c r="AB172" s="302"/>
      <c r="AC172" s="89"/>
      <c r="AD172" s="88" t="str">
        <f t="shared" si="37"/>
        <v>NA</v>
      </c>
      <c r="AE172" s="88" t="str">
        <f t="shared" si="38"/>
        <v>NA</v>
      </c>
      <c r="AF172" s="111"/>
      <c r="AG172" s="112"/>
      <c r="AH172" s="113"/>
      <c r="AI172" s="112"/>
      <c r="AJ172" s="31"/>
      <c r="AK172" s="294"/>
      <c r="AL172" s="89"/>
      <c r="AM172" s="88" t="str">
        <f t="shared" si="32"/>
        <v>NA</v>
      </c>
      <c r="AN172" s="88" t="str">
        <f t="shared" si="33"/>
        <v>NA</v>
      </c>
      <c r="AO172" s="111"/>
      <c r="AP172" s="112"/>
      <c r="AQ172" s="113"/>
      <c r="AR172" s="112"/>
      <c r="AS172" s="31"/>
      <c r="AT172" s="32"/>
      <c r="AU172" s="90"/>
      <c r="AV172" s="88"/>
      <c r="AW172" s="88"/>
      <c r="AX172" s="111"/>
      <c r="AY172" s="112"/>
      <c r="AZ172" s="113"/>
      <c r="BA172" s="112"/>
      <c r="BB172" s="31"/>
      <c r="BC172" s="32"/>
      <c r="BD172" s="90"/>
      <c r="BE172" s="88"/>
      <c r="BF172" s="88"/>
      <c r="BG172" s="111"/>
      <c r="BH172" s="112"/>
      <c r="BI172" s="113"/>
      <c r="BJ172" s="112"/>
      <c r="BK172" s="31"/>
      <c r="BL172" s="32"/>
      <c r="BM172" s="90"/>
      <c r="BN172" s="88"/>
      <c r="BO172" s="88"/>
      <c r="BP172" s="111"/>
      <c r="BQ172" s="112"/>
      <c r="BR172" s="113"/>
      <c r="BS172" s="112"/>
      <c r="BT172" s="31"/>
      <c r="BU172" s="32"/>
      <c r="BV172" s="90"/>
      <c r="BW172" s="88"/>
      <c r="BX172" s="88"/>
      <c r="BY172" s="111"/>
      <c r="BZ172" s="112"/>
      <c r="CA172" s="113"/>
      <c r="CB172" s="112"/>
      <c r="CC172" s="31"/>
      <c r="CD172" s="32"/>
      <c r="CE172" s="90"/>
      <c r="CF172" s="88"/>
      <c r="CG172" s="88"/>
      <c r="CH172" s="111"/>
      <c r="CI172" s="112"/>
      <c r="CJ172" s="113"/>
      <c r="CK172" s="112"/>
      <c r="CL172" s="31"/>
      <c r="CM172" s="32"/>
      <c r="CN172" s="90"/>
      <c r="CO172" s="88"/>
      <c r="CP172" s="88"/>
      <c r="CQ172" s="111"/>
      <c r="CR172" s="112"/>
      <c r="CS172" s="113"/>
      <c r="CT172" s="112"/>
      <c r="CU172" s="55"/>
      <c r="CW172" s="230" t="s">
        <v>902</v>
      </c>
      <c r="CZ172" s="226" t="s">
        <v>1590</v>
      </c>
    </row>
    <row r="173" spans="1:104" ht="26" hidden="1" x14ac:dyDescent="0.25">
      <c r="A173" s="17" t="s">
        <v>1189</v>
      </c>
      <c r="B173" s="17" t="s">
        <v>1190</v>
      </c>
      <c r="C173" s="17" t="s">
        <v>903</v>
      </c>
      <c r="D173" s="17" t="str">
        <f t="shared" si="34"/>
        <v>A</v>
      </c>
      <c r="E173" s="17" t="b">
        <f t="shared" si="35"/>
        <v>0</v>
      </c>
      <c r="F173" s="17" t="b">
        <f t="shared" si="36"/>
        <v>1</v>
      </c>
      <c r="G173" s="317" t="s">
        <v>2065</v>
      </c>
      <c r="H173" s="324" t="s">
        <v>2369</v>
      </c>
      <c r="I173" s="315" t="s">
        <v>1190</v>
      </c>
      <c r="J173" s="147" t="s">
        <v>903</v>
      </c>
      <c r="K173" s="31"/>
      <c r="L173" s="32" t="s">
        <v>354</v>
      </c>
      <c r="M173" s="90"/>
      <c r="N173" s="111"/>
      <c r="O173" s="112"/>
      <c r="P173" s="113"/>
      <c r="Q173" s="112"/>
      <c r="R173" s="31"/>
      <c r="S173" s="32"/>
      <c r="T173" s="90"/>
      <c r="U173" s="88" t="str">
        <f t="shared" si="39"/>
        <v>NA</v>
      </c>
      <c r="V173" s="88" t="str">
        <f t="shared" si="40"/>
        <v>NA</v>
      </c>
      <c r="W173" s="111"/>
      <c r="X173" s="112"/>
      <c r="Y173" s="113"/>
      <c r="Z173" s="112"/>
      <c r="AA173" s="31"/>
      <c r="AB173" s="302"/>
      <c r="AC173" s="89"/>
      <c r="AD173" s="88" t="str">
        <f t="shared" si="37"/>
        <v>NA</v>
      </c>
      <c r="AE173" s="88" t="str">
        <f t="shared" si="38"/>
        <v>NA</v>
      </c>
      <c r="AF173" s="111"/>
      <c r="AG173" s="112"/>
      <c r="AH173" s="113"/>
      <c r="AI173" s="112"/>
      <c r="AJ173" s="31"/>
      <c r="AK173" s="294"/>
      <c r="AL173" s="89"/>
      <c r="AM173" s="88" t="str">
        <f t="shared" si="32"/>
        <v>NA</v>
      </c>
      <c r="AN173" s="88" t="str">
        <f t="shared" si="33"/>
        <v>NA</v>
      </c>
      <c r="AO173" s="111"/>
      <c r="AP173" s="112"/>
      <c r="AQ173" s="113"/>
      <c r="AR173" s="112"/>
      <c r="AS173" s="31"/>
      <c r="AT173" s="32"/>
      <c r="AU173" s="90"/>
      <c r="AV173" s="88"/>
      <c r="AW173" s="88"/>
      <c r="AX173" s="111"/>
      <c r="AY173" s="112"/>
      <c r="AZ173" s="113"/>
      <c r="BA173" s="112"/>
      <c r="BB173" s="31"/>
      <c r="BC173" s="32"/>
      <c r="BD173" s="90"/>
      <c r="BE173" s="88"/>
      <c r="BF173" s="88"/>
      <c r="BG173" s="111"/>
      <c r="BH173" s="112"/>
      <c r="BI173" s="113"/>
      <c r="BJ173" s="112"/>
      <c r="BK173" s="31"/>
      <c r="BL173" s="32"/>
      <c r="BM173" s="90"/>
      <c r="BN173" s="88"/>
      <c r="BO173" s="88"/>
      <c r="BP173" s="111"/>
      <c r="BQ173" s="112"/>
      <c r="BR173" s="113"/>
      <c r="BS173" s="112"/>
      <c r="BT173" s="31"/>
      <c r="BU173" s="32"/>
      <c r="BV173" s="90"/>
      <c r="BW173" s="88"/>
      <c r="BX173" s="88"/>
      <c r="BY173" s="111"/>
      <c r="BZ173" s="112"/>
      <c r="CA173" s="113"/>
      <c r="CB173" s="112"/>
      <c r="CC173" s="31"/>
      <c r="CD173" s="32"/>
      <c r="CE173" s="90"/>
      <c r="CF173" s="88"/>
      <c r="CG173" s="88"/>
      <c r="CH173" s="111"/>
      <c r="CI173" s="112"/>
      <c r="CJ173" s="113"/>
      <c r="CK173" s="112"/>
      <c r="CL173" s="31"/>
      <c r="CM173" s="32"/>
      <c r="CN173" s="90"/>
      <c r="CO173" s="88"/>
      <c r="CP173" s="88"/>
      <c r="CQ173" s="111"/>
      <c r="CR173" s="112"/>
      <c r="CS173" s="113"/>
      <c r="CT173" s="112"/>
      <c r="CU173" s="55"/>
      <c r="CW173" s="230" t="s">
        <v>903</v>
      </c>
      <c r="CZ173" s="226" t="s">
        <v>1590</v>
      </c>
    </row>
    <row r="174" spans="1:104" ht="26" hidden="1" x14ac:dyDescent="0.25">
      <c r="A174" s="17" t="s">
        <v>1191</v>
      </c>
      <c r="B174" s="17" t="s">
        <v>1192</v>
      </c>
      <c r="C174" s="17" t="s">
        <v>904</v>
      </c>
      <c r="D174" s="17" t="str">
        <f t="shared" si="34"/>
        <v>A</v>
      </c>
      <c r="E174" s="17" t="b">
        <f t="shared" si="35"/>
        <v>0</v>
      </c>
      <c r="F174" s="17" t="b">
        <f t="shared" si="36"/>
        <v>1</v>
      </c>
      <c r="G174" s="317" t="s">
        <v>2066</v>
      </c>
      <c r="H174" s="324" t="s">
        <v>2370</v>
      </c>
      <c r="I174" s="315" t="s">
        <v>1192</v>
      </c>
      <c r="J174" s="147" t="s">
        <v>904</v>
      </c>
      <c r="K174" s="31"/>
      <c r="L174" s="32" t="s">
        <v>354</v>
      </c>
      <c r="M174" s="90"/>
      <c r="N174" s="111"/>
      <c r="O174" s="112"/>
      <c r="P174" s="113"/>
      <c r="Q174" s="112"/>
      <c r="R174" s="31"/>
      <c r="S174" s="32"/>
      <c r="T174" s="90"/>
      <c r="U174" s="88" t="str">
        <f t="shared" si="39"/>
        <v>NA</v>
      </c>
      <c r="V174" s="88" t="str">
        <f t="shared" si="40"/>
        <v>NA</v>
      </c>
      <c r="W174" s="111"/>
      <c r="X174" s="112"/>
      <c r="Y174" s="113"/>
      <c r="Z174" s="112"/>
      <c r="AA174" s="31"/>
      <c r="AB174" s="302"/>
      <c r="AC174" s="89"/>
      <c r="AD174" s="88" t="str">
        <f t="shared" si="37"/>
        <v>NA</v>
      </c>
      <c r="AE174" s="88" t="str">
        <f t="shared" si="38"/>
        <v>NA</v>
      </c>
      <c r="AF174" s="111"/>
      <c r="AG174" s="112"/>
      <c r="AH174" s="113"/>
      <c r="AI174" s="112"/>
      <c r="AJ174" s="31"/>
      <c r="AK174" s="294"/>
      <c r="AL174" s="89"/>
      <c r="AM174" s="88" t="str">
        <f t="shared" si="32"/>
        <v>NA</v>
      </c>
      <c r="AN174" s="88" t="str">
        <f t="shared" si="33"/>
        <v>NA</v>
      </c>
      <c r="AO174" s="111"/>
      <c r="AP174" s="112"/>
      <c r="AQ174" s="113"/>
      <c r="AR174" s="112"/>
      <c r="AS174" s="31"/>
      <c r="AT174" s="32"/>
      <c r="AU174" s="90"/>
      <c r="AV174" s="88"/>
      <c r="AW174" s="88"/>
      <c r="AX174" s="111"/>
      <c r="AY174" s="112"/>
      <c r="AZ174" s="113"/>
      <c r="BA174" s="112"/>
      <c r="BB174" s="31"/>
      <c r="BC174" s="32"/>
      <c r="BD174" s="90"/>
      <c r="BE174" s="88"/>
      <c r="BF174" s="88"/>
      <c r="BG174" s="111"/>
      <c r="BH174" s="112"/>
      <c r="BI174" s="113"/>
      <c r="BJ174" s="112"/>
      <c r="BK174" s="31"/>
      <c r="BL174" s="32"/>
      <c r="BM174" s="90"/>
      <c r="BN174" s="88"/>
      <c r="BO174" s="88"/>
      <c r="BP174" s="111"/>
      <c r="BQ174" s="112"/>
      <c r="BR174" s="113"/>
      <c r="BS174" s="112"/>
      <c r="BT174" s="31"/>
      <c r="BU174" s="32"/>
      <c r="BV174" s="90"/>
      <c r="BW174" s="88"/>
      <c r="BX174" s="88"/>
      <c r="BY174" s="111"/>
      <c r="BZ174" s="112"/>
      <c r="CA174" s="113"/>
      <c r="CB174" s="112"/>
      <c r="CC174" s="31"/>
      <c r="CD174" s="32"/>
      <c r="CE174" s="90"/>
      <c r="CF174" s="88"/>
      <c r="CG174" s="88"/>
      <c r="CH174" s="111"/>
      <c r="CI174" s="112"/>
      <c r="CJ174" s="113"/>
      <c r="CK174" s="112"/>
      <c r="CL174" s="31"/>
      <c r="CM174" s="32"/>
      <c r="CN174" s="90"/>
      <c r="CO174" s="88"/>
      <c r="CP174" s="88"/>
      <c r="CQ174" s="111"/>
      <c r="CR174" s="112"/>
      <c r="CS174" s="113"/>
      <c r="CT174" s="112"/>
      <c r="CU174" s="55"/>
      <c r="CW174" s="230" t="s">
        <v>904</v>
      </c>
      <c r="CZ174" s="226" t="s">
        <v>1590</v>
      </c>
    </row>
    <row r="175" spans="1:104" ht="91" hidden="1" x14ac:dyDescent="0.25">
      <c r="A175" s="17" t="s">
        <v>1193</v>
      </c>
      <c r="B175" s="17" t="s">
        <v>1194</v>
      </c>
      <c r="C175" s="17" t="s">
        <v>1716</v>
      </c>
      <c r="D175" s="17" t="str">
        <f t="shared" si="34"/>
        <v>B</v>
      </c>
      <c r="E175" s="17" t="b">
        <f t="shared" si="35"/>
        <v>0</v>
      </c>
      <c r="F175" s="17" t="b">
        <f t="shared" si="36"/>
        <v>0</v>
      </c>
      <c r="G175" s="317" t="s">
        <v>2067</v>
      </c>
      <c r="H175" s="324" t="s">
        <v>2371</v>
      </c>
      <c r="I175" s="315" t="s">
        <v>1194</v>
      </c>
      <c r="J175" s="147" t="s">
        <v>2068</v>
      </c>
      <c r="K175" s="31"/>
      <c r="L175" s="32" t="s">
        <v>354</v>
      </c>
      <c r="M175" s="90"/>
      <c r="N175" s="111"/>
      <c r="O175" s="112"/>
      <c r="P175" s="113"/>
      <c r="Q175" s="112"/>
      <c r="R175" s="31"/>
      <c r="S175" s="32"/>
      <c r="T175" s="90"/>
      <c r="U175" s="88" t="str">
        <f t="shared" si="39"/>
        <v>NA</v>
      </c>
      <c r="V175" s="88" t="str">
        <f t="shared" si="40"/>
        <v>NA</v>
      </c>
      <c r="W175" s="111"/>
      <c r="X175" s="112"/>
      <c r="Y175" s="113"/>
      <c r="Z175" s="112"/>
      <c r="AA175" s="31"/>
      <c r="AB175" s="302"/>
      <c r="AC175" s="89"/>
      <c r="AD175" s="88" t="str">
        <f t="shared" si="37"/>
        <v>NA</v>
      </c>
      <c r="AE175" s="88" t="str">
        <f t="shared" si="38"/>
        <v>NA</v>
      </c>
      <c r="AF175" s="111"/>
      <c r="AG175" s="112"/>
      <c r="AH175" s="113"/>
      <c r="AI175" s="112"/>
      <c r="AJ175" s="31"/>
      <c r="AK175" s="294"/>
      <c r="AL175" s="89"/>
      <c r="AM175" s="88" t="str">
        <f t="shared" si="32"/>
        <v>NA</v>
      </c>
      <c r="AN175" s="88" t="str">
        <f t="shared" si="33"/>
        <v>NA</v>
      </c>
      <c r="AO175" s="111"/>
      <c r="AP175" s="112"/>
      <c r="AQ175" s="113"/>
      <c r="AR175" s="112"/>
      <c r="AS175" s="31"/>
      <c r="AT175" s="32"/>
      <c r="AU175" s="90"/>
      <c r="AV175" s="88"/>
      <c r="AW175" s="88"/>
      <c r="AX175" s="111"/>
      <c r="AY175" s="112"/>
      <c r="AZ175" s="113"/>
      <c r="BA175" s="112"/>
      <c r="BB175" s="31"/>
      <c r="BC175" s="32"/>
      <c r="BD175" s="90"/>
      <c r="BE175" s="88"/>
      <c r="BF175" s="88"/>
      <c r="BG175" s="111"/>
      <c r="BH175" s="112"/>
      <c r="BI175" s="113"/>
      <c r="BJ175" s="112"/>
      <c r="BK175" s="31"/>
      <c r="BL175" s="32"/>
      <c r="BM175" s="90"/>
      <c r="BN175" s="88"/>
      <c r="BO175" s="88"/>
      <c r="BP175" s="111"/>
      <c r="BQ175" s="112"/>
      <c r="BR175" s="113"/>
      <c r="BS175" s="112"/>
      <c r="BT175" s="31"/>
      <c r="BU175" s="32"/>
      <c r="BV175" s="90"/>
      <c r="BW175" s="88"/>
      <c r="BX175" s="88"/>
      <c r="BY175" s="111"/>
      <c r="BZ175" s="112"/>
      <c r="CA175" s="113"/>
      <c r="CB175" s="112"/>
      <c r="CC175" s="31"/>
      <c r="CD175" s="32"/>
      <c r="CE175" s="90"/>
      <c r="CF175" s="88"/>
      <c r="CG175" s="88"/>
      <c r="CH175" s="111"/>
      <c r="CI175" s="112"/>
      <c r="CJ175" s="113"/>
      <c r="CK175" s="112"/>
      <c r="CL175" s="31"/>
      <c r="CM175" s="32"/>
      <c r="CN175" s="90"/>
      <c r="CO175" s="88"/>
      <c r="CP175" s="88"/>
      <c r="CQ175" s="111"/>
      <c r="CR175" s="112"/>
      <c r="CS175" s="113"/>
      <c r="CT175" s="112"/>
      <c r="CU175" s="55"/>
      <c r="CW175" s="230" t="s">
        <v>905</v>
      </c>
      <c r="CZ175" s="226" t="s">
        <v>1590</v>
      </c>
    </row>
    <row r="176" spans="1:104" ht="26" hidden="1" x14ac:dyDescent="0.25">
      <c r="A176" s="17" t="s">
        <v>1195</v>
      </c>
      <c r="B176" s="17" t="s">
        <v>1196</v>
      </c>
      <c r="C176" s="17" t="s">
        <v>906</v>
      </c>
      <c r="D176" s="17" t="str">
        <f t="shared" si="34"/>
        <v>A</v>
      </c>
      <c r="E176" s="17" t="b">
        <f t="shared" si="35"/>
        <v>0</v>
      </c>
      <c r="F176" s="17" t="b">
        <f t="shared" si="36"/>
        <v>1</v>
      </c>
      <c r="G176" s="317" t="s">
        <v>2069</v>
      </c>
      <c r="H176" s="324" t="s">
        <v>2372</v>
      </c>
      <c r="I176" s="315" t="s">
        <v>1196</v>
      </c>
      <c r="J176" s="147" t="s">
        <v>906</v>
      </c>
      <c r="K176" s="31"/>
      <c r="L176" s="32" t="s">
        <v>354</v>
      </c>
      <c r="M176" s="90"/>
      <c r="N176" s="111"/>
      <c r="O176" s="112"/>
      <c r="P176" s="113"/>
      <c r="Q176" s="112"/>
      <c r="R176" s="31"/>
      <c r="S176" s="32"/>
      <c r="T176" s="90"/>
      <c r="U176" s="88" t="str">
        <f t="shared" ref="U176:U177" si="41">IF(LEFT(T176,1)&lt;&gt;"x","NA",IF(RIGHT(S176,3)=RIGHT(L176,3),IF(RIGHT(S176,3)&lt;&gt;RIGHT(L176,3),IF(OR(AND(RIGHT(S176,3)=RIGHT(L176,3),T176=M176)),"NO","YES"),"NO"),IF(OR(RIGHT(S176,3)=RIGHT(L176,3)),"ERROR","YES")))</f>
        <v>NA</v>
      </c>
      <c r="V176" s="88" t="str">
        <f t="shared" si="40"/>
        <v>NA</v>
      </c>
      <c r="W176" s="111"/>
      <c r="X176" s="112"/>
      <c r="Y176" s="113"/>
      <c r="Z176" s="112"/>
      <c r="AA176" s="31"/>
      <c r="AB176" s="302"/>
      <c r="AC176" s="89"/>
      <c r="AD176" s="88" t="str">
        <f t="shared" si="37"/>
        <v>NA</v>
      </c>
      <c r="AE176" s="88" t="str">
        <f t="shared" si="38"/>
        <v>NA</v>
      </c>
      <c r="AF176" s="111"/>
      <c r="AG176" s="112"/>
      <c r="AH176" s="113"/>
      <c r="AI176" s="112"/>
      <c r="AJ176" s="31"/>
      <c r="AK176" s="294"/>
      <c r="AL176" s="89"/>
      <c r="AM176" s="88" t="str">
        <f t="shared" ref="AM176:AM177" si="42">IF(LEFT(AL176,1)&lt;&gt;"x","NA",IF(RIGHT(AK176,3)=RIGHT(AB176,3),IF(RIGHT(AK176,3)&lt;&gt;RIGHT(U176,3),IF(OR(AND(RIGHT(AK176,3)=RIGHT(AB176,3),AL176=AC176),AND(RIGHT(AK176,3)=RIGHT(U176,3),AL176=V176)),"NO","YES"),"NO"),IF(OR(RIGHT(AK176,3)=RIGHT(AB176,3),RIGHT(AK176,3)=RIGHT(U176,3)),"ERROR","YES")))</f>
        <v>NA</v>
      </c>
      <c r="AN176" s="88" t="str">
        <f t="shared" ref="AN176:AN177" si="43">IF(LEFT(AC176,1)&lt;&gt;LEFT(AL176,1),"YES",IF(LEFT(AL176,1)="x","NO","NA"))</f>
        <v>NA</v>
      </c>
      <c r="AO176" s="111"/>
      <c r="AP176" s="112"/>
      <c r="AQ176" s="113"/>
      <c r="AR176" s="112"/>
      <c r="AS176" s="31"/>
      <c r="AT176" s="32"/>
      <c r="AU176" s="90"/>
      <c r="AV176" s="88"/>
      <c r="AW176" s="88"/>
      <c r="AX176" s="111"/>
      <c r="AY176" s="112"/>
      <c r="AZ176" s="113"/>
      <c r="BA176" s="112"/>
      <c r="BB176" s="31"/>
      <c r="BC176" s="32"/>
      <c r="BD176" s="90"/>
      <c r="BE176" s="88"/>
      <c r="BF176" s="88"/>
      <c r="BG176" s="111"/>
      <c r="BH176" s="112"/>
      <c r="BI176" s="113"/>
      <c r="BJ176" s="112"/>
      <c r="BK176" s="31"/>
      <c r="BL176" s="32"/>
      <c r="BM176" s="90"/>
      <c r="BN176" s="88"/>
      <c r="BO176" s="88"/>
      <c r="BP176" s="111"/>
      <c r="BQ176" s="112"/>
      <c r="BR176" s="113"/>
      <c r="BS176" s="112"/>
      <c r="BT176" s="31"/>
      <c r="BU176" s="32"/>
      <c r="BV176" s="90"/>
      <c r="BW176" s="88"/>
      <c r="BX176" s="88"/>
      <c r="BY176" s="111"/>
      <c r="BZ176" s="112"/>
      <c r="CA176" s="113"/>
      <c r="CB176" s="112"/>
      <c r="CC176" s="31"/>
      <c r="CD176" s="32"/>
      <c r="CE176" s="90"/>
      <c r="CF176" s="88"/>
      <c r="CG176" s="88"/>
      <c r="CH176" s="111"/>
      <c r="CI176" s="112"/>
      <c r="CJ176" s="113"/>
      <c r="CK176" s="112"/>
      <c r="CL176" s="31"/>
      <c r="CM176" s="32"/>
      <c r="CN176" s="90"/>
      <c r="CO176" s="88"/>
      <c r="CP176" s="88"/>
      <c r="CQ176" s="111"/>
      <c r="CR176" s="112"/>
      <c r="CS176" s="113"/>
      <c r="CT176" s="112"/>
      <c r="CU176" s="55"/>
      <c r="CW176" s="230" t="s">
        <v>906</v>
      </c>
      <c r="CZ176" s="226" t="s">
        <v>1590</v>
      </c>
    </row>
    <row r="177" spans="1:104" ht="39" hidden="1" x14ac:dyDescent="0.25">
      <c r="A177" s="17" t="s">
        <v>1197</v>
      </c>
      <c r="B177" s="17" t="s">
        <v>1198</v>
      </c>
      <c r="C177" s="17" t="s">
        <v>907</v>
      </c>
      <c r="D177" s="17" t="str">
        <f t="shared" ref="D177" si="44">RIGHT(H177,1)</f>
        <v>A</v>
      </c>
      <c r="E177" s="17" t="b">
        <f t="shared" ref="E177" si="45">D177=S177</f>
        <v>0</v>
      </c>
      <c r="F177" s="17" t="b">
        <f t="shared" ref="F177" si="46">C177=J177</f>
        <v>1</v>
      </c>
      <c r="G177" s="317" t="s">
        <v>2070</v>
      </c>
      <c r="H177" s="324" t="s">
        <v>2373</v>
      </c>
      <c r="I177" s="315" t="s">
        <v>1198</v>
      </c>
      <c r="J177" s="147" t="s">
        <v>907</v>
      </c>
      <c r="K177" s="31"/>
      <c r="L177" s="32" t="s">
        <v>354</v>
      </c>
      <c r="M177" s="90"/>
      <c r="N177" s="111"/>
      <c r="O177" s="112"/>
      <c r="P177" s="113"/>
      <c r="Q177" s="112"/>
      <c r="R177" s="31"/>
      <c r="S177" s="32"/>
      <c r="T177" s="90"/>
      <c r="U177" s="88" t="str">
        <f t="shared" si="41"/>
        <v>NA</v>
      </c>
      <c r="V177" s="88" t="str">
        <f t="shared" si="40"/>
        <v>NA</v>
      </c>
      <c r="W177" s="111"/>
      <c r="X177" s="112"/>
      <c r="Y177" s="113"/>
      <c r="Z177" s="112"/>
      <c r="AA177" s="31"/>
      <c r="AB177" s="302"/>
      <c r="AC177" s="89"/>
      <c r="AD177" s="88" t="str">
        <f t="shared" si="37"/>
        <v>NA</v>
      </c>
      <c r="AE177" s="88" t="str">
        <f t="shared" si="38"/>
        <v>NA</v>
      </c>
      <c r="AF177" s="111"/>
      <c r="AG177" s="112"/>
      <c r="AH177" s="113"/>
      <c r="AI177" s="112"/>
      <c r="AJ177" s="31"/>
      <c r="AK177" s="294"/>
      <c r="AL177" s="89"/>
      <c r="AM177" s="88" t="str">
        <f t="shared" si="42"/>
        <v>NA</v>
      </c>
      <c r="AN177" s="88" t="str">
        <f t="shared" si="43"/>
        <v>NA</v>
      </c>
      <c r="AO177" s="111"/>
      <c r="AP177" s="112"/>
      <c r="AQ177" s="113"/>
      <c r="AR177" s="112"/>
      <c r="AS177" s="31"/>
      <c r="AT177" s="32"/>
      <c r="AU177" s="90"/>
      <c r="AV177" s="88"/>
      <c r="AW177" s="88"/>
      <c r="AX177" s="111"/>
      <c r="AY177" s="112"/>
      <c r="AZ177" s="113"/>
      <c r="BA177" s="112"/>
      <c r="BB177" s="31"/>
      <c r="BC177" s="32"/>
      <c r="BD177" s="90"/>
      <c r="BE177" s="88"/>
      <c r="BF177" s="88"/>
      <c r="BG177" s="111"/>
      <c r="BH177" s="112"/>
      <c r="BI177" s="113"/>
      <c r="BJ177" s="112"/>
      <c r="BK177" s="31"/>
      <c r="BL177" s="32"/>
      <c r="BM177" s="90"/>
      <c r="BN177" s="88"/>
      <c r="BO177" s="88"/>
      <c r="BP177" s="111"/>
      <c r="BQ177" s="112"/>
      <c r="BR177" s="113"/>
      <c r="BS177" s="112"/>
      <c r="BT177" s="31"/>
      <c r="BU177" s="32"/>
      <c r="BV177" s="90"/>
      <c r="BW177" s="88"/>
      <c r="BX177" s="88"/>
      <c r="BY177" s="111"/>
      <c r="BZ177" s="112"/>
      <c r="CA177" s="113"/>
      <c r="CB177" s="112"/>
      <c r="CC177" s="31"/>
      <c r="CD177" s="32"/>
      <c r="CE177" s="90"/>
      <c r="CF177" s="88"/>
      <c r="CG177" s="88"/>
      <c r="CH177" s="111"/>
      <c r="CI177" s="112"/>
      <c r="CJ177" s="113"/>
      <c r="CK177" s="112"/>
      <c r="CL177" s="31"/>
      <c r="CM177" s="32"/>
      <c r="CN177" s="90"/>
      <c r="CO177" s="88"/>
      <c r="CP177" s="88"/>
      <c r="CQ177" s="111"/>
      <c r="CR177" s="112"/>
      <c r="CS177" s="113"/>
      <c r="CT177" s="112"/>
      <c r="CU177" s="55"/>
      <c r="CW177" s="230" t="s">
        <v>907</v>
      </c>
      <c r="CZ177" s="226" t="s">
        <v>1590</v>
      </c>
    </row>
    <row r="178" spans="1:104" ht="13.5" thickBot="1" x14ac:dyDescent="0.3">
      <c r="G178" s="320"/>
      <c r="H178" s="320"/>
      <c r="I178" s="316"/>
      <c r="J178" s="104"/>
      <c r="K178" s="31"/>
      <c r="L178" s="86"/>
      <c r="M178" s="7"/>
      <c r="N178" s="114"/>
      <c r="O178" s="115"/>
      <c r="P178" s="8"/>
      <c r="Q178" s="115"/>
      <c r="R178" s="63"/>
      <c r="S178" s="103"/>
      <c r="T178" s="7"/>
      <c r="U178" s="103"/>
      <c r="V178" s="7"/>
      <c r="W178" s="114"/>
      <c r="X178" s="115"/>
      <c r="Y178" s="8"/>
      <c r="Z178" s="115"/>
      <c r="AA178" s="63"/>
      <c r="AB178" s="107"/>
      <c r="AC178" s="7"/>
      <c r="AD178" s="87"/>
      <c r="AE178" s="87"/>
      <c r="AF178" s="114"/>
      <c r="AG178" s="115"/>
      <c r="AH178" s="8"/>
      <c r="AI178" s="115"/>
      <c r="AJ178" s="63"/>
      <c r="AK178" s="86"/>
      <c r="AL178" s="7"/>
      <c r="AM178" s="87"/>
      <c r="AN178" s="87"/>
      <c r="AO178" s="114"/>
      <c r="AP178" s="115"/>
      <c r="AQ178" s="8"/>
      <c r="AR178" s="115"/>
      <c r="AS178" s="63"/>
      <c r="AT178" s="86"/>
      <c r="AU178" s="7"/>
      <c r="AV178" s="87"/>
      <c r="AW178" s="87"/>
      <c r="AX178" s="114"/>
      <c r="AY178" s="115"/>
      <c r="AZ178" s="8"/>
      <c r="BA178" s="115"/>
      <c r="BB178" s="63"/>
      <c r="BC178" s="86"/>
      <c r="BD178" s="7"/>
      <c r="BE178" s="87"/>
      <c r="BF178" s="87"/>
      <c r="BG178" s="114"/>
      <c r="BH178" s="115"/>
      <c r="BI178" s="8"/>
      <c r="BJ178" s="115"/>
      <c r="BK178" s="63"/>
      <c r="BL178" s="86"/>
      <c r="BM178" s="7"/>
      <c r="BN178" s="87"/>
      <c r="BO178" s="87"/>
      <c r="BP178" s="114"/>
      <c r="BQ178" s="115"/>
      <c r="BR178" s="8"/>
      <c r="BS178" s="115"/>
      <c r="BT178" s="63"/>
      <c r="BU178" s="86"/>
      <c r="BV178" s="7"/>
      <c r="BW178" s="87"/>
      <c r="BX178" s="87"/>
      <c r="BY178" s="114"/>
      <c r="BZ178" s="115"/>
      <c r="CA178" s="8"/>
      <c r="CB178" s="115"/>
      <c r="CC178" s="63"/>
      <c r="CD178" s="86"/>
      <c r="CE178" s="7"/>
      <c r="CF178" s="87"/>
      <c r="CG178" s="87"/>
      <c r="CH178" s="114"/>
      <c r="CI178" s="115"/>
      <c r="CJ178" s="8"/>
      <c r="CK178" s="115"/>
      <c r="CL178" s="63"/>
      <c r="CM178" s="86"/>
      <c r="CN178" s="7"/>
      <c r="CO178" s="87"/>
      <c r="CP178" s="87"/>
      <c r="CQ178" s="114"/>
      <c r="CR178" s="115"/>
      <c r="CS178" s="8"/>
      <c r="CT178" s="115"/>
      <c r="CU178" s="55"/>
    </row>
    <row r="179" spans="1:104" ht="13" x14ac:dyDescent="0.25">
      <c r="G179" s="68"/>
      <c r="H179" s="68"/>
      <c r="I179" s="68"/>
      <c r="J179" s="68"/>
      <c r="K179" s="31"/>
      <c r="L179" s="73"/>
      <c r="M179" s="74"/>
      <c r="N179" s="75"/>
      <c r="O179" s="76"/>
      <c r="P179" s="75"/>
      <c r="Q179" s="77"/>
      <c r="R179" s="63"/>
      <c r="S179" s="73"/>
      <c r="T179" s="74"/>
      <c r="U179" s="75"/>
      <c r="V179" s="76"/>
      <c r="W179" s="75"/>
      <c r="X179" s="76"/>
      <c r="Y179" s="75"/>
      <c r="Z179" s="77"/>
      <c r="AA179" s="63"/>
      <c r="AB179" s="109"/>
      <c r="AC179" s="74"/>
      <c r="AD179" s="75"/>
      <c r="AE179" s="76"/>
      <c r="AF179" s="75"/>
      <c r="AG179" s="76"/>
      <c r="AH179" s="75"/>
      <c r="AI179" s="77"/>
      <c r="AJ179" s="63"/>
      <c r="AK179" s="73"/>
      <c r="AL179" s="74"/>
      <c r="AM179" s="75"/>
      <c r="AN179" s="76"/>
      <c r="AO179" s="75"/>
      <c r="AP179" s="76"/>
      <c r="AQ179" s="75"/>
      <c r="AR179" s="77"/>
      <c r="AS179" s="63"/>
      <c r="AT179" s="73"/>
      <c r="AU179" s="74"/>
      <c r="AV179" s="75"/>
      <c r="AW179" s="76"/>
      <c r="AX179" s="75"/>
      <c r="AY179" s="76"/>
      <c r="AZ179" s="75"/>
      <c r="BA179" s="77"/>
      <c r="BB179" s="63"/>
      <c r="BC179" s="73"/>
      <c r="BD179" s="74"/>
      <c r="BE179" s="75"/>
      <c r="BF179" s="76"/>
      <c r="BG179" s="75"/>
      <c r="BH179" s="76"/>
      <c r="BI179" s="75"/>
      <c r="BJ179" s="77"/>
      <c r="BK179" s="63"/>
      <c r="BL179" s="73"/>
      <c r="BM179" s="74"/>
      <c r="BN179" s="75"/>
      <c r="BO179" s="76"/>
      <c r="BP179" s="75"/>
      <c r="BQ179" s="76"/>
      <c r="BR179" s="75"/>
      <c r="BS179" s="77"/>
      <c r="BT179" s="63"/>
      <c r="BU179" s="73"/>
      <c r="BV179" s="74"/>
      <c r="BW179" s="75"/>
      <c r="BX179" s="76"/>
      <c r="BY179" s="75"/>
      <c r="BZ179" s="76"/>
      <c r="CA179" s="75"/>
      <c r="CB179" s="77"/>
      <c r="CC179" s="63"/>
      <c r="CD179" s="73"/>
      <c r="CE179" s="74"/>
      <c r="CF179" s="75"/>
      <c r="CG179" s="76"/>
      <c r="CH179" s="75"/>
      <c r="CI179" s="76"/>
      <c r="CJ179" s="75"/>
      <c r="CK179" s="77"/>
      <c r="CL179" s="63"/>
      <c r="CM179" s="73"/>
      <c r="CN179" s="74"/>
      <c r="CO179" s="75"/>
      <c r="CP179" s="76"/>
      <c r="CQ179" s="75"/>
      <c r="CR179" s="76"/>
      <c r="CS179" s="75"/>
      <c r="CT179" s="77"/>
      <c r="CU179" s="63"/>
    </row>
    <row r="180" spans="1:104" ht="13" x14ac:dyDescent="0.25">
      <c r="G180" s="9"/>
      <c r="H180" s="9"/>
      <c r="I180" s="9"/>
      <c r="J180" s="9"/>
      <c r="K180" s="31"/>
      <c r="L180" s="69"/>
      <c r="M180" s="70"/>
      <c r="N180" s="71"/>
      <c r="O180" s="72"/>
      <c r="P180" s="71"/>
      <c r="Q180" s="78"/>
      <c r="R180" s="63"/>
      <c r="S180" s="69"/>
      <c r="T180" s="70"/>
      <c r="U180" s="71"/>
      <c r="V180" s="72"/>
      <c r="W180" s="71"/>
      <c r="X180" s="72"/>
      <c r="Y180" s="71"/>
      <c r="Z180" s="78"/>
      <c r="AA180" s="63"/>
      <c r="AB180" s="110"/>
      <c r="AC180" s="70"/>
      <c r="AD180" s="71"/>
      <c r="AE180" s="72"/>
      <c r="AF180" s="71"/>
      <c r="AG180" s="72"/>
      <c r="AH180" s="71"/>
      <c r="AI180" s="78"/>
      <c r="AJ180" s="63"/>
      <c r="AK180" s="69"/>
      <c r="AL180" s="70"/>
      <c r="AM180" s="71"/>
      <c r="AN180" s="72"/>
      <c r="AO180" s="71"/>
      <c r="AP180" s="72"/>
      <c r="AQ180" s="71"/>
      <c r="AR180" s="78"/>
      <c r="AS180" s="63"/>
      <c r="AT180" s="69"/>
      <c r="AU180" s="70"/>
      <c r="AV180" s="71"/>
      <c r="AW180" s="72"/>
      <c r="AX180" s="71"/>
      <c r="AY180" s="72"/>
      <c r="AZ180" s="71"/>
      <c r="BA180" s="78"/>
      <c r="BB180" s="63"/>
      <c r="BC180" s="69"/>
      <c r="BD180" s="70"/>
      <c r="BE180" s="71"/>
      <c r="BF180" s="72"/>
      <c r="BG180" s="71"/>
      <c r="BH180" s="72"/>
      <c r="BI180" s="71"/>
      <c r="BJ180" s="78"/>
      <c r="BK180" s="63"/>
      <c r="BL180" s="69"/>
      <c r="BM180" s="70"/>
      <c r="BN180" s="71"/>
      <c r="BO180" s="72"/>
      <c r="BP180" s="71"/>
      <c r="BQ180" s="72"/>
      <c r="BR180" s="71"/>
      <c r="BS180" s="78"/>
      <c r="BT180" s="63"/>
      <c r="BU180" s="69"/>
      <c r="BV180" s="70"/>
      <c r="BW180" s="71"/>
      <c r="BX180" s="72"/>
      <c r="BY180" s="71"/>
      <c r="BZ180" s="72"/>
      <c r="CA180" s="71"/>
      <c r="CB180" s="78"/>
      <c r="CC180" s="63"/>
      <c r="CD180" s="69"/>
      <c r="CE180" s="70"/>
      <c r="CF180" s="71"/>
      <c r="CG180" s="72"/>
      <c r="CH180" s="71"/>
      <c r="CI180" s="72"/>
      <c r="CJ180" s="71"/>
      <c r="CK180" s="78"/>
      <c r="CL180" s="63"/>
      <c r="CM180" s="69"/>
      <c r="CN180" s="70"/>
      <c r="CO180" s="71"/>
      <c r="CP180" s="72"/>
      <c r="CQ180" s="71"/>
      <c r="CR180" s="72"/>
      <c r="CS180" s="71"/>
      <c r="CT180" s="78"/>
      <c r="CU180" s="63"/>
    </row>
    <row r="181" spans="1:104" ht="13" x14ac:dyDescent="0.25">
      <c r="G181" s="9"/>
      <c r="H181" s="9"/>
      <c r="I181" s="9"/>
      <c r="J181" s="9"/>
      <c r="K181" s="31"/>
      <c r="L181" s="69"/>
      <c r="M181" s="70"/>
      <c r="N181" s="71"/>
      <c r="O181" s="72"/>
      <c r="P181" s="71"/>
      <c r="Q181" s="78"/>
      <c r="R181" s="63"/>
      <c r="S181" s="69"/>
      <c r="T181" s="70"/>
      <c r="U181" s="71"/>
      <c r="V181" s="72"/>
      <c r="W181" s="71"/>
      <c r="X181" s="72"/>
      <c r="Y181" s="71"/>
      <c r="Z181" s="78"/>
      <c r="AA181" s="63"/>
      <c r="AB181" s="110"/>
      <c r="AC181" s="70"/>
      <c r="AD181" s="71"/>
      <c r="AE181" s="72"/>
      <c r="AF181" s="71"/>
      <c r="AG181" s="72"/>
      <c r="AH181" s="71"/>
      <c r="AI181" s="78"/>
      <c r="AJ181" s="63"/>
      <c r="AK181" s="69"/>
      <c r="AL181" s="70"/>
      <c r="AM181" s="71"/>
      <c r="AN181" s="72"/>
      <c r="AO181" s="71"/>
      <c r="AP181" s="72"/>
      <c r="AQ181" s="71"/>
      <c r="AR181" s="78"/>
      <c r="AS181" s="63"/>
      <c r="AT181" s="69"/>
      <c r="AU181" s="70"/>
      <c r="AV181" s="71"/>
      <c r="AW181" s="72"/>
      <c r="AX181" s="71"/>
      <c r="AY181" s="72"/>
      <c r="AZ181" s="71"/>
      <c r="BA181" s="78"/>
      <c r="BB181" s="63"/>
      <c r="BC181" s="69"/>
      <c r="BD181" s="70"/>
      <c r="BE181" s="71"/>
      <c r="BF181" s="72"/>
      <c r="BG181" s="71"/>
      <c r="BH181" s="72"/>
      <c r="BI181" s="71"/>
      <c r="BJ181" s="78"/>
      <c r="BK181" s="63"/>
      <c r="BL181" s="69"/>
      <c r="BM181" s="70"/>
      <c r="BN181" s="71"/>
      <c r="BO181" s="72"/>
      <c r="BP181" s="71"/>
      <c r="BQ181" s="72"/>
      <c r="BR181" s="71"/>
      <c r="BS181" s="78"/>
      <c r="BT181" s="63"/>
      <c r="BU181" s="69"/>
      <c r="BV181" s="70"/>
      <c r="BW181" s="71"/>
      <c r="BX181" s="72"/>
      <c r="BY181" s="71"/>
      <c r="BZ181" s="72"/>
      <c r="CA181" s="71"/>
      <c r="CB181" s="78"/>
      <c r="CC181" s="63"/>
      <c r="CD181" s="69"/>
      <c r="CE181" s="70"/>
      <c r="CF181" s="71"/>
      <c r="CG181" s="72"/>
      <c r="CH181" s="71"/>
      <c r="CI181" s="72"/>
      <c r="CJ181" s="71"/>
      <c r="CK181" s="78"/>
      <c r="CL181" s="63"/>
      <c r="CM181" s="69"/>
      <c r="CN181" s="70"/>
      <c r="CO181" s="71"/>
      <c r="CP181" s="72"/>
      <c r="CQ181" s="71"/>
      <c r="CR181" s="72"/>
      <c r="CS181" s="71"/>
      <c r="CT181" s="78"/>
      <c r="CU181" s="63"/>
    </row>
    <row r="182" spans="1:104" ht="13" thickBot="1" x14ac:dyDescent="0.3">
      <c r="G182" s="10"/>
      <c r="H182" s="10"/>
      <c r="I182" s="10"/>
      <c r="J182" s="10"/>
      <c r="K182" s="50"/>
      <c r="L182" s="12"/>
      <c r="M182" s="11"/>
      <c r="N182" s="66"/>
      <c r="O182" s="67"/>
      <c r="P182" s="66"/>
      <c r="Q182" s="67"/>
      <c r="R182" s="50"/>
      <c r="S182" s="12"/>
      <c r="T182" s="11"/>
      <c r="U182" s="66"/>
      <c r="V182" s="67"/>
      <c r="W182" s="66"/>
      <c r="X182" s="67"/>
      <c r="Y182" s="44"/>
      <c r="Z182" s="45"/>
      <c r="AA182" s="50"/>
      <c r="AB182" s="11"/>
      <c r="AC182" s="11"/>
      <c r="AD182" s="66"/>
      <c r="AE182" s="67"/>
      <c r="AF182" s="66"/>
      <c r="AG182" s="67"/>
      <c r="AH182" s="44"/>
      <c r="AI182" s="45"/>
      <c r="AJ182" s="50"/>
      <c r="AK182" s="12"/>
      <c r="AL182" s="11"/>
      <c r="AM182" s="66"/>
      <c r="AN182" s="67"/>
      <c r="AO182" s="66"/>
      <c r="AP182" s="67"/>
      <c r="AQ182" s="44"/>
      <c r="AR182" s="45"/>
      <c r="AS182" s="50"/>
      <c r="AT182" s="12"/>
      <c r="AU182" s="11"/>
      <c r="AV182" s="66"/>
      <c r="AW182" s="67"/>
      <c r="AX182" s="66"/>
      <c r="AY182" s="67"/>
      <c r="AZ182" s="44"/>
      <c r="BA182" s="45"/>
      <c r="BB182" s="50"/>
      <c r="BC182" s="12"/>
      <c r="BD182" s="11"/>
      <c r="BE182" s="66"/>
      <c r="BF182" s="67"/>
      <c r="BG182" s="66"/>
      <c r="BH182" s="67"/>
      <c r="BI182" s="44"/>
      <c r="BJ182" s="45"/>
      <c r="BK182" s="50"/>
      <c r="BL182" s="12"/>
      <c r="BM182" s="11"/>
      <c r="BN182" s="66"/>
      <c r="BO182" s="67"/>
      <c r="BP182" s="66"/>
      <c r="BQ182" s="67"/>
      <c r="BR182" s="44"/>
      <c r="BS182" s="45"/>
      <c r="BT182" s="50"/>
      <c r="BU182" s="12"/>
      <c r="BV182" s="11"/>
      <c r="BW182" s="66"/>
      <c r="BX182" s="67"/>
      <c r="BY182" s="66"/>
      <c r="BZ182" s="67"/>
      <c r="CA182" s="44"/>
      <c r="CB182" s="45"/>
      <c r="CC182" s="50"/>
      <c r="CD182" s="12"/>
      <c r="CE182" s="11"/>
      <c r="CF182" s="66"/>
      <c r="CG182" s="67"/>
      <c r="CH182" s="66"/>
      <c r="CI182" s="67"/>
      <c r="CJ182" s="44"/>
      <c r="CK182" s="45"/>
      <c r="CL182" s="50"/>
      <c r="CM182" s="12"/>
      <c r="CN182" s="11"/>
      <c r="CO182" s="66"/>
      <c r="CP182" s="67"/>
      <c r="CQ182" s="66"/>
      <c r="CR182" s="67"/>
      <c r="CS182" s="44"/>
      <c r="CT182" s="45"/>
      <c r="CU182" s="50"/>
    </row>
  </sheetData>
  <sheetProtection password="CA6F" sheet="1" objects="1" scenarios="1"/>
  <autoFilter ref="A8:DA177">
    <filterColumn colId="12">
      <customFilters>
        <customFilter operator="notEqual" val=" "/>
      </customFilters>
    </filterColumn>
  </autoFilter>
  <mergeCells count="81">
    <mergeCell ref="G1:J1"/>
    <mergeCell ref="G2:J7"/>
    <mergeCell ref="BU7:BV7"/>
    <mergeCell ref="CD7:CE7"/>
    <mergeCell ref="CM7:CN7"/>
    <mergeCell ref="BL6:BM6"/>
    <mergeCell ref="BU6:BV6"/>
    <mergeCell ref="CD6:CE6"/>
    <mergeCell ref="CM6:CN6"/>
    <mergeCell ref="L7:M7"/>
    <mergeCell ref="S7:T7"/>
    <mergeCell ref="AB7:AC7"/>
    <mergeCell ref="AK7:AL7"/>
    <mergeCell ref="AT7:AU7"/>
    <mergeCell ref="CH3:CI3"/>
    <mergeCell ref="CJ3:CK3"/>
    <mergeCell ref="CQ3:CR3"/>
    <mergeCell ref="CS3:CT3"/>
    <mergeCell ref="BC6:BD6"/>
    <mergeCell ref="CF2:CG7"/>
    <mergeCell ref="CH2:CK2"/>
    <mergeCell ref="CM2:CN5"/>
    <mergeCell ref="CO2:CP7"/>
    <mergeCell ref="CQ2:CT2"/>
    <mergeCell ref="BN2:BO7"/>
    <mergeCell ref="BP2:BS2"/>
    <mergeCell ref="BU2:BV5"/>
    <mergeCell ref="BW2:BX7"/>
    <mergeCell ref="BY2:CB2"/>
    <mergeCell ref="BL7:BM7"/>
    <mergeCell ref="CD2:CE5"/>
    <mergeCell ref="BP3:BQ3"/>
    <mergeCell ref="AB6:AC6"/>
    <mergeCell ref="AK6:AL6"/>
    <mergeCell ref="AT6:AU6"/>
    <mergeCell ref="AD2:AE7"/>
    <mergeCell ref="AF2:AI2"/>
    <mergeCell ref="AK2:AL5"/>
    <mergeCell ref="AM2:AN7"/>
    <mergeCell ref="AO2:AR2"/>
    <mergeCell ref="AT2:AU5"/>
    <mergeCell ref="AF3:AG3"/>
    <mergeCell ref="AH3:AI3"/>
    <mergeCell ref="AO3:AP3"/>
    <mergeCell ref="AQ3:AR3"/>
    <mergeCell ref="N3:O3"/>
    <mergeCell ref="P3:Q3"/>
    <mergeCell ref="W3:X3"/>
    <mergeCell ref="Y3:Z3"/>
    <mergeCell ref="L6:M6"/>
    <mergeCell ref="S6:T6"/>
    <mergeCell ref="BR3:BS3"/>
    <mergeCell ref="BY3:BZ3"/>
    <mergeCell ref="CA3:CB3"/>
    <mergeCell ref="AV2:AW7"/>
    <mergeCell ref="AX2:BA2"/>
    <mergeCell ref="BC2:BD5"/>
    <mergeCell ref="BE2:BF7"/>
    <mergeCell ref="BG2:BJ2"/>
    <mergeCell ref="BC7:BD7"/>
    <mergeCell ref="BL2:BM5"/>
    <mergeCell ref="AX3:AY3"/>
    <mergeCell ref="AZ3:BA3"/>
    <mergeCell ref="BG3:BH3"/>
    <mergeCell ref="BI3:BJ3"/>
    <mergeCell ref="BL1:BS1"/>
    <mergeCell ref="BU1:CB1"/>
    <mergeCell ref="CD1:CK1"/>
    <mergeCell ref="CM1:CT1"/>
    <mergeCell ref="L2:M5"/>
    <mergeCell ref="N2:Q2"/>
    <mergeCell ref="S2:T5"/>
    <mergeCell ref="U2:V7"/>
    <mergeCell ref="W2:Z2"/>
    <mergeCell ref="AB2:AC5"/>
    <mergeCell ref="L1:Q1"/>
    <mergeCell ref="S1:Z1"/>
    <mergeCell ref="AB1:AI1"/>
    <mergeCell ref="AK1:AR1"/>
    <mergeCell ref="AT1:BA1"/>
    <mergeCell ref="BC1:BJ1"/>
  </mergeCells>
  <phoneticPr fontId="54" type="noConversion"/>
  <conditionalFormatting sqref="P182:P1048576 N182:N1048576 W183:W1048576 Y182:Y1048576 AF183:AF1048576 AH183:AH1048576 AO183:AO1048576 AQ183:AQ1048576 AX183:AX1048576 AZ183:AZ1048576 BG183:BG1048576 BI183:BI1048576 BP183:BP1048576 BR183:BR1048576 BY183:BY1048576 CA183:CA1048576 CH183:CH1048576 CJ183:CJ1048576 CQ183:CQ1048576 CS183:CS1048576 CS9:CS177 CQ9:CQ177 CJ9:CJ177 CH9:CH177 CA9:CA177 BY9:BY177 BR9:BR177 BP9:BP177 BI9:BI177 BG9:BG177 AZ9:AZ177 AX9:AX177 AQ9:AQ177 AO9:AO177 AH9:AH177 AF9:AF177 N9:N177 W9:W177 Y9:Y177 P9:P177">
    <cfRule type="cellIs" dxfId="354" priority="367" operator="equal">
      <formula>"NOK"</formula>
    </cfRule>
    <cfRule type="cellIs" dxfId="353" priority="368" operator="equal">
      <formula>"OK"</formula>
    </cfRule>
  </conditionalFormatting>
  <conditionalFormatting sqref="P182:P1048576 Y182:Y1048576 AH183:AH1048576 AQ183:AQ1048576 AZ183:AZ1048576 BI183:BI1048576 BR183:BR1048576 CA183:CA1048576 CJ183:CJ1048576 CS183:CS1048576 CS9:CS177 CJ9:CJ177 CA9:CA177 BR9:BR177 BI9:BI177 AZ9:AZ177 AQ9:AQ177 AH9:AH177 Y9:Y177 P9:P177">
    <cfRule type="cellIs" dxfId="352" priority="365" operator="equal">
      <formula>"STANDBY"</formula>
    </cfRule>
    <cfRule type="cellIs" dxfId="351" priority="366" operator="equal">
      <formula>"DEVIATION"</formula>
    </cfRule>
  </conditionalFormatting>
  <conditionalFormatting sqref="Y182:Z182 N182:Q1048576 W183:Z1048576 AF183:AI1048576 AO183:AR1048576 AX183:BA1048576 BG183:BJ1048576 BP183:BS1048576 BY183:CB1048576 CH183:CK1048576 CQ183:CT1048576 N167:O177 Q167:Q177 CQ159:CT177 CH159:CK177 BY159:CB177 BP159:BS177 BG159:BJ177 AX159:BA177 AO159:AR177 AF159:AI177 W159:Z177 Q86:Q157 N86:O90 P86:P177 N9:Q64 AF9:AI157 AO9:AR157 AX9:BA157 BG9:BJ157 BP9:BS157 BY9:CB157 CH9:CK157 CQ9:CT157 W9:Z157 N66:Q67 N65 P65:Q65 N69:Q85 N68 P68:Q68 N92:O93 N91 N96:O96 N94:N95 N98:O157 N97">
    <cfRule type="expression" dxfId="350" priority="369">
      <formula>AND(#REF!&lt;&gt;"",#REF!="")</formula>
    </cfRule>
  </conditionalFormatting>
  <conditionalFormatting sqref="W182 U182">
    <cfRule type="cellIs" dxfId="349" priority="362" operator="equal">
      <formula>"NOK"</formula>
    </cfRule>
    <cfRule type="cellIs" dxfId="348" priority="363" operator="equal">
      <formula>"OK"</formula>
    </cfRule>
  </conditionalFormatting>
  <conditionalFormatting sqref="W182">
    <cfRule type="cellIs" dxfId="347" priority="360" operator="equal">
      <formula>"STANDBY"</formula>
    </cfRule>
    <cfRule type="cellIs" dxfId="346" priority="361" operator="equal">
      <formula>"DEVIATION"</formula>
    </cfRule>
  </conditionalFormatting>
  <conditionalFormatting sqref="U182:X182">
    <cfRule type="expression" dxfId="345" priority="364">
      <formula>AND(#REF!&lt;&gt;"",#REF!="")</formula>
    </cfRule>
  </conditionalFormatting>
  <conditionalFormatting sqref="AH182">
    <cfRule type="cellIs" dxfId="344" priority="357" operator="equal">
      <formula>"NOK"</formula>
    </cfRule>
    <cfRule type="cellIs" dxfId="343" priority="358" operator="equal">
      <formula>"OK"</formula>
    </cfRule>
  </conditionalFormatting>
  <conditionalFormatting sqref="AH182">
    <cfRule type="cellIs" dxfId="342" priority="355" operator="equal">
      <formula>"STANDBY"</formula>
    </cfRule>
    <cfRule type="cellIs" dxfId="341" priority="356" operator="equal">
      <formula>"DEVIATION"</formula>
    </cfRule>
  </conditionalFormatting>
  <conditionalFormatting sqref="AH182:AI182">
    <cfRule type="expression" dxfId="340" priority="359">
      <formula>AND(#REF!&lt;&gt;"",#REF!="")</formula>
    </cfRule>
  </conditionalFormatting>
  <conditionalFormatting sqref="AF182 AD182">
    <cfRule type="cellIs" dxfId="339" priority="352" operator="equal">
      <formula>"NOK"</formula>
    </cfRule>
    <cfRule type="cellIs" dxfId="338" priority="353" operator="equal">
      <formula>"OK"</formula>
    </cfRule>
  </conditionalFormatting>
  <conditionalFormatting sqref="AF182">
    <cfRule type="cellIs" dxfId="337" priority="350" operator="equal">
      <formula>"STANDBY"</formula>
    </cfRule>
    <cfRule type="cellIs" dxfId="336" priority="351" operator="equal">
      <formula>"DEVIATION"</formula>
    </cfRule>
  </conditionalFormatting>
  <conditionalFormatting sqref="AD182:AG182">
    <cfRule type="expression" dxfId="335" priority="354">
      <formula>AND(#REF!&lt;&gt;"",#REF!="")</formula>
    </cfRule>
  </conditionalFormatting>
  <conditionalFormatting sqref="AQ182">
    <cfRule type="cellIs" dxfId="334" priority="347" operator="equal">
      <formula>"NOK"</formula>
    </cfRule>
    <cfRule type="cellIs" dxfId="333" priority="348" operator="equal">
      <formula>"OK"</formula>
    </cfRule>
  </conditionalFormatting>
  <conditionalFormatting sqref="AQ182">
    <cfRule type="cellIs" dxfId="332" priority="345" operator="equal">
      <formula>"STANDBY"</formula>
    </cfRule>
    <cfRule type="cellIs" dxfId="331" priority="346" operator="equal">
      <formula>"DEVIATION"</formula>
    </cfRule>
  </conditionalFormatting>
  <conditionalFormatting sqref="AQ182:AR182">
    <cfRule type="expression" dxfId="330" priority="349">
      <formula>AND(#REF!&lt;&gt;"",#REF!="")</formula>
    </cfRule>
  </conditionalFormatting>
  <conditionalFormatting sqref="AO182 AM182">
    <cfRule type="cellIs" dxfId="329" priority="342" operator="equal">
      <formula>"NOK"</formula>
    </cfRule>
    <cfRule type="cellIs" dxfId="328" priority="343" operator="equal">
      <formula>"OK"</formula>
    </cfRule>
  </conditionalFormatting>
  <conditionalFormatting sqref="AO182">
    <cfRule type="cellIs" dxfId="327" priority="340" operator="equal">
      <formula>"STANDBY"</formula>
    </cfRule>
    <cfRule type="cellIs" dxfId="326" priority="341" operator="equal">
      <formula>"DEVIATION"</formula>
    </cfRule>
  </conditionalFormatting>
  <conditionalFormatting sqref="AM182:AP182">
    <cfRule type="expression" dxfId="325" priority="344">
      <formula>AND(#REF!&lt;&gt;"",#REF!="")</formula>
    </cfRule>
  </conditionalFormatting>
  <conditionalFormatting sqref="AZ182">
    <cfRule type="cellIs" dxfId="324" priority="337" operator="equal">
      <formula>"NOK"</formula>
    </cfRule>
    <cfRule type="cellIs" dxfId="323" priority="338" operator="equal">
      <formula>"OK"</formula>
    </cfRule>
  </conditionalFormatting>
  <conditionalFormatting sqref="AZ182">
    <cfRule type="cellIs" dxfId="322" priority="335" operator="equal">
      <formula>"STANDBY"</formula>
    </cfRule>
    <cfRule type="cellIs" dxfId="321" priority="336" operator="equal">
      <formula>"DEVIATION"</formula>
    </cfRule>
  </conditionalFormatting>
  <conditionalFormatting sqref="AZ182:BA182">
    <cfRule type="expression" dxfId="320" priority="339">
      <formula>AND(#REF!&lt;&gt;"",#REF!="")</formula>
    </cfRule>
  </conditionalFormatting>
  <conditionalFormatting sqref="AX182 AV182">
    <cfRule type="cellIs" dxfId="319" priority="332" operator="equal">
      <formula>"NOK"</formula>
    </cfRule>
    <cfRule type="cellIs" dxfId="318" priority="333" operator="equal">
      <formula>"OK"</formula>
    </cfRule>
  </conditionalFormatting>
  <conditionalFormatting sqref="AX182">
    <cfRule type="cellIs" dxfId="317" priority="330" operator="equal">
      <formula>"STANDBY"</formula>
    </cfRule>
    <cfRule type="cellIs" dxfId="316" priority="331" operator="equal">
      <formula>"DEVIATION"</formula>
    </cfRule>
  </conditionalFormatting>
  <conditionalFormatting sqref="AV182:AY182">
    <cfRule type="expression" dxfId="315" priority="334">
      <formula>AND(#REF!&lt;&gt;"",#REF!="")</formula>
    </cfRule>
  </conditionalFormatting>
  <conditionalFormatting sqref="BI182">
    <cfRule type="cellIs" dxfId="314" priority="327" operator="equal">
      <formula>"NOK"</formula>
    </cfRule>
    <cfRule type="cellIs" dxfId="313" priority="328" operator="equal">
      <formula>"OK"</formula>
    </cfRule>
  </conditionalFormatting>
  <conditionalFormatting sqref="BI182">
    <cfRule type="cellIs" dxfId="312" priority="325" operator="equal">
      <formula>"STANDBY"</formula>
    </cfRule>
    <cfRule type="cellIs" dxfId="311" priority="326" operator="equal">
      <formula>"DEVIATION"</formula>
    </cfRule>
  </conditionalFormatting>
  <conditionalFormatting sqref="BI182:BJ182">
    <cfRule type="expression" dxfId="310" priority="329">
      <formula>AND(#REF!&lt;&gt;"",#REF!="")</formula>
    </cfRule>
  </conditionalFormatting>
  <conditionalFormatting sqref="BG182 BE182">
    <cfRule type="cellIs" dxfId="309" priority="322" operator="equal">
      <formula>"NOK"</formula>
    </cfRule>
    <cfRule type="cellIs" dxfId="308" priority="323" operator="equal">
      <formula>"OK"</formula>
    </cfRule>
  </conditionalFormatting>
  <conditionalFormatting sqref="BG182">
    <cfRule type="cellIs" dxfId="307" priority="320" operator="equal">
      <formula>"STANDBY"</formula>
    </cfRule>
    <cfRule type="cellIs" dxfId="306" priority="321" operator="equal">
      <formula>"DEVIATION"</formula>
    </cfRule>
  </conditionalFormatting>
  <conditionalFormatting sqref="BE182:BH182">
    <cfRule type="expression" dxfId="305" priority="324">
      <formula>AND(#REF!&lt;&gt;"",#REF!="")</formula>
    </cfRule>
  </conditionalFormatting>
  <conditionalFormatting sqref="BR182">
    <cfRule type="cellIs" dxfId="304" priority="317" operator="equal">
      <formula>"NOK"</formula>
    </cfRule>
    <cfRule type="cellIs" dxfId="303" priority="318" operator="equal">
      <formula>"OK"</formula>
    </cfRule>
  </conditionalFormatting>
  <conditionalFormatting sqref="BR182">
    <cfRule type="cellIs" dxfId="302" priority="315" operator="equal">
      <formula>"STANDBY"</formula>
    </cfRule>
    <cfRule type="cellIs" dxfId="301" priority="316" operator="equal">
      <formula>"DEVIATION"</formula>
    </cfRule>
  </conditionalFormatting>
  <conditionalFormatting sqref="BR182:BS182">
    <cfRule type="expression" dxfId="300" priority="319">
      <formula>AND(#REF!&lt;&gt;"",#REF!="")</formula>
    </cfRule>
  </conditionalFormatting>
  <conditionalFormatting sqref="BP182 BN182">
    <cfRule type="cellIs" dxfId="299" priority="312" operator="equal">
      <formula>"NOK"</formula>
    </cfRule>
    <cfRule type="cellIs" dxfId="298" priority="313" operator="equal">
      <formula>"OK"</formula>
    </cfRule>
  </conditionalFormatting>
  <conditionalFormatting sqref="BP182">
    <cfRule type="cellIs" dxfId="297" priority="310" operator="equal">
      <formula>"STANDBY"</formula>
    </cfRule>
    <cfRule type="cellIs" dxfId="296" priority="311" operator="equal">
      <formula>"DEVIATION"</formula>
    </cfRule>
  </conditionalFormatting>
  <conditionalFormatting sqref="BN182:BQ182">
    <cfRule type="expression" dxfId="295" priority="314">
      <formula>AND(#REF!&lt;&gt;"",#REF!="")</formula>
    </cfRule>
  </conditionalFormatting>
  <conditionalFormatting sqref="CA182">
    <cfRule type="cellIs" dxfId="294" priority="307" operator="equal">
      <formula>"NOK"</formula>
    </cfRule>
    <cfRule type="cellIs" dxfId="293" priority="308" operator="equal">
      <formula>"OK"</formula>
    </cfRule>
  </conditionalFormatting>
  <conditionalFormatting sqref="CA182">
    <cfRule type="cellIs" dxfId="292" priority="305" operator="equal">
      <formula>"STANDBY"</formula>
    </cfRule>
    <cfRule type="cellIs" dxfId="291" priority="306" operator="equal">
      <formula>"DEVIATION"</formula>
    </cfRule>
  </conditionalFormatting>
  <conditionalFormatting sqref="CA182:CB182">
    <cfRule type="expression" dxfId="290" priority="309">
      <formula>AND(#REF!&lt;&gt;"",#REF!="")</formula>
    </cfRule>
  </conditionalFormatting>
  <conditionalFormatting sqref="BY182 BW182">
    <cfRule type="cellIs" dxfId="289" priority="302" operator="equal">
      <formula>"NOK"</formula>
    </cfRule>
    <cfRule type="cellIs" dxfId="288" priority="303" operator="equal">
      <formula>"OK"</formula>
    </cfRule>
  </conditionalFormatting>
  <conditionalFormatting sqref="BY182">
    <cfRule type="cellIs" dxfId="287" priority="300" operator="equal">
      <formula>"STANDBY"</formula>
    </cfRule>
    <cfRule type="cellIs" dxfId="286" priority="301" operator="equal">
      <formula>"DEVIATION"</formula>
    </cfRule>
  </conditionalFormatting>
  <conditionalFormatting sqref="BW182:BZ182">
    <cfRule type="expression" dxfId="285" priority="304">
      <formula>AND(#REF!&lt;&gt;"",#REF!="")</formula>
    </cfRule>
  </conditionalFormatting>
  <conditionalFormatting sqref="CJ182">
    <cfRule type="cellIs" dxfId="284" priority="297" operator="equal">
      <formula>"NOK"</formula>
    </cfRule>
    <cfRule type="cellIs" dxfId="283" priority="298" operator="equal">
      <formula>"OK"</formula>
    </cfRule>
  </conditionalFormatting>
  <conditionalFormatting sqref="CJ182">
    <cfRule type="cellIs" dxfId="282" priority="295" operator="equal">
      <formula>"STANDBY"</formula>
    </cfRule>
    <cfRule type="cellIs" dxfId="281" priority="296" operator="equal">
      <formula>"DEVIATION"</formula>
    </cfRule>
  </conditionalFormatting>
  <conditionalFormatting sqref="CJ182:CK182">
    <cfRule type="expression" dxfId="280" priority="299">
      <formula>AND(#REF!&lt;&gt;"",#REF!="")</formula>
    </cfRule>
  </conditionalFormatting>
  <conditionalFormatting sqref="CH182 CF182">
    <cfRule type="cellIs" dxfId="279" priority="292" operator="equal">
      <formula>"NOK"</formula>
    </cfRule>
    <cfRule type="cellIs" dxfId="278" priority="293" operator="equal">
      <formula>"OK"</formula>
    </cfRule>
  </conditionalFormatting>
  <conditionalFormatting sqref="CH182">
    <cfRule type="cellIs" dxfId="277" priority="290" operator="equal">
      <formula>"STANDBY"</formula>
    </cfRule>
    <cfRule type="cellIs" dxfId="276" priority="291" operator="equal">
      <formula>"DEVIATION"</formula>
    </cfRule>
  </conditionalFormatting>
  <conditionalFormatting sqref="CF182:CI182">
    <cfRule type="expression" dxfId="275" priority="294">
      <formula>AND(#REF!&lt;&gt;"",#REF!="")</formula>
    </cfRule>
  </conditionalFormatting>
  <conditionalFormatting sqref="CS182">
    <cfRule type="cellIs" dxfId="274" priority="287" operator="equal">
      <formula>"NOK"</formula>
    </cfRule>
    <cfRule type="cellIs" dxfId="273" priority="288" operator="equal">
      <formula>"OK"</formula>
    </cfRule>
  </conditionalFormatting>
  <conditionalFormatting sqref="CS182">
    <cfRule type="cellIs" dxfId="272" priority="285" operator="equal">
      <formula>"STANDBY"</formula>
    </cfRule>
    <cfRule type="cellIs" dxfId="271" priority="286" operator="equal">
      <formula>"DEVIATION"</formula>
    </cfRule>
  </conditionalFormatting>
  <conditionalFormatting sqref="CS182:CT182">
    <cfRule type="expression" dxfId="270" priority="289">
      <formula>AND(#REF!&lt;&gt;"",#REF!="")</formula>
    </cfRule>
  </conditionalFormatting>
  <conditionalFormatting sqref="CQ182 CO182">
    <cfRule type="cellIs" dxfId="269" priority="282" operator="equal">
      <formula>"NOK"</formula>
    </cfRule>
    <cfRule type="cellIs" dxfId="268" priority="283" operator="equal">
      <formula>"OK"</formula>
    </cfRule>
  </conditionalFormatting>
  <conditionalFormatting sqref="CQ182">
    <cfRule type="cellIs" dxfId="267" priority="280" operator="equal">
      <formula>"STANDBY"</formula>
    </cfRule>
    <cfRule type="cellIs" dxfId="266" priority="281" operator="equal">
      <formula>"DEVIATION"</formula>
    </cfRule>
  </conditionalFormatting>
  <conditionalFormatting sqref="CO182:CR182">
    <cfRule type="expression" dxfId="265" priority="284">
      <formula>AND(#REF!&lt;&gt;"",#REF!="")</formula>
    </cfRule>
  </conditionalFormatting>
  <conditionalFormatting sqref="N178 P178 W178 Y178 AF178 AH178 AO178 AQ178 AX178 AZ178 BG178 BI178 BP178 BR178 BY178 CA178 CH178 CJ178 CQ178 CS178">
    <cfRule type="cellIs" dxfId="264" priority="277" operator="equal">
      <formula>"NOK"</formula>
    </cfRule>
    <cfRule type="cellIs" dxfId="263" priority="278" operator="equal">
      <formula>"OK"</formula>
    </cfRule>
  </conditionalFormatting>
  <conditionalFormatting sqref="P178 Y178 AH178 AQ178 AZ178 BI178 BR178 CA178 CJ178 CS178">
    <cfRule type="cellIs" dxfId="262" priority="275" operator="equal">
      <formula>"STANDBY"</formula>
    </cfRule>
    <cfRule type="cellIs" dxfId="261" priority="276" operator="equal">
      <formula>"DEVIATION"</formula>
    </cfRule>
  </conditionalFormatting>
  <conditionalFormatting sqref="N178:Q178 W178:Z178 AF178:AI178 AO178:AR178 AX178:BA178 BG178:BJ178 BP178:BS178 BY178:CB178 CH178:CK178 CQ178:CT178">
    <cfRule type="expression" dxfId="260" priority="279">
      <formula>AND(#REF!&lt;&gt;"",#REF!="")</formula>
    </cfRule>
  </conditionalFormatting>
  <conditionalFormatting sqref="M178:Q178 W17:Z17 AC9:AI9 AF18:AI33 AC10:AC16 AF10:AI16 AB9:AB16 AB18:AC33 H18:H33 H58:H66 H104 H107:H116 T178 V178:Z178 H120:H140 AD9:AE73 H68:J71 I86:J91 J120:J142 I120:I151 G167:J177 AK9:AR57 AK59:AR66 AK58 AM58:AR58 AK68:AR73 AK67 AM67:AR67 AK74 AM74:AR74 AK92 AM92:AR92 S9:T57 S59:T66 S58 S68:T73 S67 S74 S92 I93:J101 I92 AK93:AR178 S93:T177 H73:H101 AK75:AR91 S75:T91 AB34:AI178 CM9:CT178 CD9:CK178 BU9:CB178 BL9:BS178 BC9:BJ178 AT9:BA178 N9:Q64 G10:G164 U19:Z177 L9:M57 L59:M66 L58 L68:M73 L67 L74 L92 L93:M177 L75:M91 N66:Q67 N65 P65:Q65 N69:Q90 N68 P68:Q68 N92:Q93 N91 P91:Q91 N96:Q96 N94:N95 P94:Q95 N98:Q177 N97 P97:Q97">
    <cfRule type="containsBlanks" dxfId="259" priority="274">
      <formula>LEN(TRIM(G9))=0</formula>
    </cfRule>
  </conditionalFormatting>
  <conditionalFormatting sqref="CO159:CP178 CF159:CG178 BW159:BX178 BN159:BO178 BE159:BF178 AV159:AW178 U159:V177 AV9:AW157 BE9:BF157 BN9:BO157 BW9:BX157 CF9:CG157 CO9:CP157 AD9:AE178 AM9:AN178 U9:V157">
    <cfRule type="cellIs" dxfId="258" priority="271" operator="equal">
      <formula>"ERROR"</formula>
    </cfRule>
    <cfRule type="cellIs" dxfId="257" priority="272" operator="equal">
      <formula>"NA"</formula>
    </cfRule>
    <cfRule type="cellIs" dxfId="256" priority="273" operator="equal">
      <formula>"YES"</formula>
    </cfRule>
  </conditionalFormatting>
  <conditionalFormatting sqref="L178">
    <cfRule type="containsBlanks" dxfId="255" priority="270">
      <formula>LEN(TRIM(L178))=0</formula>
    </cfRule>
  </conditionalFormatting>
  <conditionalFormatting sqref="J178">
    <cfRule type="containsBlanks" dxfId="254" priority="269">
      <formula>LEN(TRIM(J178))=0</formula>
    </cfRule>
  </conditionalFormatting>
  <conditionalFormatting sqref="S178">
    <cfRule type="containsBlanks" dxfId="253" priority="257">
      <formula>LEN(TRIM(S178))=0</formula>
    </cfRule>
  </conditionalFormatting>
  <conditionalFormatting sqref="W18:Z18 W9:Z16 U9:V18 AB17:AC17 AF17:AI17">
    <cfRule type="containsBlanks" dxfId="252" priority="185">
      <formula>LEN(TRIM(U9))=0</formula>
    </cfRule>
  </conditionalFormatting>
  <conditionalFormatting sqref="N159:O166 Q159:Q166">
    <cfRule type="expression" dxfId="251" priority="180">
      <formula>AND(#REF!&lt;&gt;"",#REF!="")</formula>
    </cfRule>
  </conditionalFormatting>
  <conditionalFormatting sqref="G178">
    <cfRule type="containsBlanks" dxfId="250" priority="168">
      <formula>LEN(TRIM(G178))=0</formula>
    </cfRule>
  </conditionalFormatting>
  <conditionalFormatting sqref="I178">
    <cfRule type="containsBlanks" dxfId="249" priority="163">
      <formula>LEN(TRIM(I178))=0</formula>
    </cfRule>
  </conditionalFormatting>
  <conditionalFormatting sqref="H178">
    <cfRule type="containsBlanks" dxfId="248" priority="152">
      <formula>LEN(TRIM(H178))=0</formula>
    </cfRule>
  </conditionalFormatting>
  <conditionalFormatting sqref="J9:J10 J12:J14 J16:J33 I18:I33 I58:J66 I73:J85 I107:J116 I153:I154 I157 I159:I164 I102:J104">
    <cfRule type="containsBlanks" dxfId="247" priority="149">
      <formula>LEN(TRIM(I9))=0</formula>
    </cfRule>
  </conditionalFormatting>
  <conditionalFormatting sqref="J143:J151 J153:J154 J157 J159:J164">
    <cfRule type="containsBlanks" dxfId="246" priority="148">
      <formula>LEN(TRIM(J143))=0</formula>
    </cfRule>
  </conditionalFormatting>
  <conditionalFormatting sqref="G9">
    <cfRule type="containsBlanks" dxfId="245" priority="147">
      <formula>LEN(TRIM(G9))=0</formula>
    </cfRule>
  </conditionalFormatting>
  <conditionalFormatting sqref="I9 I11:I16">
    <cfRule type="containsBlanks" dxfId="244" priority="146">
      <formula>LEN(TRIM(I9))=0</formula>
    </cfRule>
  </conditionalFormatting>
  <conditionalFormatting sqref="J11">
    <cfRule type="containsBlanks" dxfId="243" priority="145">
      <formula>LEN(TRIM(J11))=0</formula>
    </cfRule>
  </conditionalFormatting>
  <conditionalFormatting sqref="J15">
    <cfRule type="containsBlanks" dxfId="242" priority="144">
      <formula>LEN(TRIM(J15))=0</formula>
    </cfRule>
  </conditionalFormatting>
  <conditionalFormatting sqref="I17">
    <cfRule type="containsBlanks" dxfId="241" priority="143">
      <formula>LEN(TRIM(I17))=0</formula>
    </cfRule>
  </conditionalFormatting>
  <conditionalFormatting sqref="J152">
    <cfRule type="containsBlanks" dxfId="240" priority="142">
      <formula>LEN(TRIM(J152))=0</formula>
    </cfRule>
  </conditionalFormatting>
  <conditionalFormatting sqref="I152">
    <cfRule type="containsBlanks" dxfId="239" priority="141">
      <formula>LEN(TRIM(I152))=0</formula>
    </cfRule>
  </conditionalFormatting>
  <conditionalFormatting sqref="H17">
    <cfRule type="containsBlanks" dxfId="238" priority="138">
      <formula>LEN(TRIM(H17))=0</formula>
    </cfRule>
  </conditionalFormatting>
  <conditionalFormatting sqref="H9 H11:H16">
    <cfRule type="containsBlanks" dxfId="237" priority="139">
      <formula>LEN(TRIM(H9))=0</formula>
    </cfRule>
  </conditionalFormatting>
  <conditionalFormatting sqref="H141:H154 H157 H159:H164">
    <cfRule type="containsBlanks" dxfId="236" priority="137">
      <formula>LEN(TRIM(H141))=0</formula>
    </cfRule>
  </conditionalFormatting>
  <conditionalFormatting sqref="I34:I43">
    <cfRule type="containsBlanks" dxfId="235" priority="127">
      <formula>LEN(TRIM(I34))=0</formula>
    </cfRule>
  </conditionalFormatting>
  <conditionalFormatting sqref="I44">
    <cfRule type="containsBlanks" dxfId="234" priority="126">
      <formula>LEN(TRIM(I44))=0</formula>
    </cfRule>
  </conditionalFormatting>
  <conditionalFormatting sqref="I45:I57">
    <cfRule type="containsBlanks" dxfId="233" priority="125">
      <formula>LEN(TRIM(I45))=0</formula>
    </cfRule>
  </conditionalFormatting>
  <conditionalFormatting sqref="J34">
    <cfRule type="containsBlanks" dxfId="232" priority="124">
      <formula>LEN(TRIM(J34))=0</formula>
    </cfRule>
  </conditionalFormatting>
  <conditionalFormatting sqref="J34">
    <cfRule type="containsBlanks" dxfId="231" priority="123">
      <formula>LEN(TRIM(J34))=0</formula>
    </cfRule>
  </conditionalFormatting>
  <conditionalFormatting sqref="J35:J57">
    <cfRule type="containsBlanks" dxfId="230" priority="122">
      <formula>LEN(TRIM(J35))=0</formula>
    </cfRule>
  </conditionalFormatting>
  <conditionalFormatting sqref="J35:J57">
    <cfRule type="containsBlanks" dxfId="229" priority="121">
      <formula>LEN(TRIM(J35))=0</formula>
    </cfRule>
  </conditionalFormatting>
  <conditionalFormatting sqref="I67">
    <cfRule type="containsBlanks" dxfId="228" priority="120">
      <formula>LEN(TRIM(I67))=0</formula>
    </cfRule>
  </conditionalFormatting>
  <conditionalFormatting sqref="I67">
    <cfRule type="containsBlanks" dxfId="227" priority="119">
      <formula>LEN(TRIM(I67))=0</formula>
    </cfRule>
  </conditionalFormatting>
  <conditionalFormatting sqref="J67">
    <cfRule type="containsBlanks" dxfId="226" priority="118">
      <formula>LEN(TRIM(J67))=0</formula>
    </cfRule>
  </conditionalFormatting>
  <conditionalFormatting sqref="J67">
    <cfRule type="containsBlanks" dxfId="225" priority="117">
      <formula>LEN(TRIM(J67))=0</formula>
    </cfRule>
  </conditionalFormatting>
  <conditionalFormatting sqref="J67">
    <cfRule type="containsBlanks" dxfId="224" priority="116">
      <formula>LEN(TRIM(J67))=0</formula>
    </cfRule>
  </conditionalFormatting>
  <conditionalFormatting sqref="I72">
    <cfRule type="containsBlanks" dxfId="223" priority="115">
      <formula>LEN(TRIM(I72))=0</formula>
    </cfRule>
  </conditionalFormatting>
  <conditionalFormatting sqref="I72">
    <cfRule type="containsBlanks" dxfId="222" priority="114">
      <formula>LEN(TRIM(I72))=0</formula>
    </cfRule>
  </conditionalFormatting>
  <conditionalFormatting sqref="J72">
    <cfRule type="containsBlanks" dxfId="221" priority="113">
      <formula>LEN(TRIM(J72))=0</formula>
    </cfRule>
  </conditionalFormatting>
  <conditionalFormatting sqref="J72">
    <cfRule type="containsBlanks" dxfId="220" priority="112">
      <formula>LEN(TRIM(J72))=0</formula>
    </cfRule>
  </conditionalFormatting>
  <conditionalFormatting sqref="J72">
    <cfRule type="containsBlanks" dxfId="219" priority="111">
      <formula>LEN(TRIM(J72))=0</formula>
    </cfRule>
  </conditionalFormatting>
  <conditionalFormatting sqref="I105">
    <cfRule type="containsBlanks" dxfId="218" priority="86">
      <formula>LEN(TRIM(I105))=0</formula>
    </cfRule>
  </conditionalFormatting>
  <conditionalFormatting sqref="I106">
    <cfRule type="containsBlanks" dxfId="217" priority="85">
      <formula>LEN(TRIM(I106))=0</formula>
    </cfRule>
  </conditionalFormatting>
  <conditionalFormatting sqref="J105">
    <cfRule type="containsBlanks" dxfId="216" priority="84">
      <formula>LEN(TRIM(J105))=0</formula>
    </cfRule>
  </conditionalFormatting>
  <conditionalFormatting sqref="J105">
    <cfRule type="containsBlanks" dxfId="215" priority="83">
      <formula>LEN(TRIM(J105))=0</formula>
    </cfRule>
  </conditionalFormatting>
  <conditionalFormatting sqref="J106">
    <cfRule type="containsBlanks" dxfId="214" priority="82">
      <formula>LEN(TRIM(J106))=0</formula>
    </cfRule>
  </conditionalFormatting>
  <conditionalFormatting sqref="J106">
    <cfRule type="containsBlanks" dxfId="213" priority="81">
      <formula>LEN(TRIM(J106))=0</formula>
    </cfRule>
  </conditionalFormatting>
  <conditionalFormatting sqref="I118:I119">
    <cfRule type="containsBlanks" dxfId="212" priority="77">
      <formula>LEN(TRIM(I118))=0</formula>
    </cfRule>
  </conditionalFormatting>
  <conditionalFormatting sqref="I118">
    <cfRule type="containsBlanks" dxfId="211" priority="76">
      <formula>LEN(TRIM(I118))=0</formula>
    </cfRule>
  </conditionalFormatting>
  <conditionalFormatting sqref="I119">
    <cfRule type="containsBlanks" dxfId="210" priority="75">
      <formula>LEN(TRIM(I119))=0</formula>
    </cfRule>
  </conditionalFormatting>
  <conditionalFormatting sqref="I117">
    <cfRule type="containsBlanks" dxfId="209" priority="74">
      <formula>LEN(TRIM(I117))=0</formula>
    </cfRule>
  </conditionalFormatting>
  <conditionalFormatting sqref="I117">
    <cfRule type="containsBlanks" dxfId="208" priority="73">
      <formula>LEN(TRIM(I117))=0</formula>
    </cfRule>
  </conditionalFormatting>
  <conditionalFormatting sqref="J118:J119">
    <cfRule type="containsBlanks" dxfId="207" priority="72">
      <formula>LEN(TRIM(J118))=0</formula>
    </cfRule>
  </conditionalFormatting>
  <conditionalFormatting sqref="J118:J119">
    <cfRule type="containsBlanks" dxfId="206" priority="71">
      <formula>LEN(TRIM(J118))=0</formula>
    </cfRule>
  </conditionalFormatting>
  <conditionalFormatting sqref="J118">
    <cfRule type="containsBlanks" dxfId="205" priority="70">
      <formula>LEN(TRIM(J118))=0</formula>
    </cfRule>
  </conditionalFormatting>
  <conditionalFormatting sqref="J118">
    <cfRule type="containsBlanks" dxfId="204" priority="69">
      <formula>LEN(TRIM(J118))=0</formula>
    </cfRule>
  </conditionalFormatting>
  <conditionalFormatting sqref="J119">
    <cfRule type="containsBlanks" dxfId="203" priority="68">
      <formula>LEN(TRIM(J119))=0</formula>
    </cfRule>
  </conditionalFormatting>
  <conditionalFormatting sqref="J119">
    <cfRule type="containsBlanks" dxfId="202" priority="67">
      <formula>LEN(TRIM(J119))=0</formula>
    </cfRule>
  </conditionalFormatting>
  <conditionalFormatting sqref="J117">
    <cfRule type="containsBlanks" dxfId="201" priority="66">
      <formula>LEN(TRIM(J117))=0</formula>
    </cfRule>
  </conditionalFormatting>
  <conditionalFormatting sqref="J117">
    <cfRule type="containsBlanks" dxfId="200" priority="65">
      <formula>LEN(TRIM(J117))=0</formula>
    </cfRule>
  </conditionalFormatting>
  <conditionalFormatting sqref="J117">
    <cfRule type="containsBlanks" dxfId="199" priority="64">
      <formula>LEN(TRIM(J117))=0</formula>
    </cfRule>
  </conditionalFormatting>
  <conditionalFormatting sqref="J117">
    <cfRule type="containsBlanks" dxfId="198" priority="63">
      <formula>LEN(TRIM(J117))=0</formula>
    </cfRule>
  </conditionalFormatting>
  <conditionalFormatting sqref="I155:I156">
    <cfRule type="containsBlanks" dxfId="197" priority="62">
      <formula>LEN(TRIM(I155))=0</formula>
    </cfRule>
  </conditionalFormatting>
  <conditionalFormatting sqref="I155:I156">
    <cfRule type="containsBlanks" dxfId="196" priority="61">
      <formula>LEN(TRIM(I155))=0</formula>
    </cfRule>
  </conditionalFormatting>
  <conditionalFormatting sqref="J155:J156">
    <cfRule type="containsBlanks" dxfId="195" priority="60">
      <formula>LEN(TRIM(J155))=0</formula>
    </cfRule>
  </conditionalFormatting>
  <conditionalFormatting sqref="J155:J156">
    <cfRule type="containsBlanks" dxfId="194" priority="59">
      <formula>LEN(TRIM(J155))=0</formula>
    </cfRule>
  </conditionalFormatting>
  <conditionalFormatting sqref="J155:J156">
    <cfRule type="containsBlanks" dxfId="193" priority="58">
      <formula>LEN(TRIM(J155))=0</formula>
    </cfRule>
  </conditionalFormatting>
  <conditionalFormatting sqref="CQ158:CT158 CH158:CK158 BY158:CB158 BP158:BS158 BG158:BJ158 AX158:BA158 AO158:AR158 AF158:AI158 N158:O158 W158:Z158 Q158">
    <cfRule type="expression" dxfId="192" priority="57">
      <formula>AND(#REF!&lt;&gt;"",#REF!="")</formula>
    </cfRule>
  </conditionalFormatting>
  <conditionalFormatting sqref="CO158:CP158 CF158:CG158 BW158:BX158 BN158:BO158 BE158:BF158 AV158:AW158 U158:V158">
    <cfRule type="cellIs" dxfId="191" priority="54" operator="equal">
      <formula>"ERROR"</formula>
    </cfRule>
    <cfRule type="cellIs" dxfId="190" priority="55" operator="equal">
      <formula>"NA"</formula>
    </cfRule>
    <cfRule type="cellIs" dxfId="189" priority="56" operator="equal">
      <formula>"YES"</formula>
    </cfRule>
  </conditionalFormatting>
  <conditionalFormatting sqref="I158">
    <cfRule type="containsBlanks" dxfId="188" priority="53">
      <formula>LEN(TRIM(I158))=0</formula>
    </cfRule>
  </conditionalFormatting>
  <conditionalFormatting sqref="I158">
    <cfRule type="containsBlanks" dxfId="187" priority="52">
      <formula>LEN(TRIM(I158))=0</formula>
    </cfRule>
  </conditionalFormatting>
  <conditionalFormatting sqref="J158">
    <cfRule type="containsBlanks" dxfId="186" priority="51">
      <formula>LEN(TRIM(J158))=0</formula>
    </cfRule>
  </conditionalFormatting>
  <conditionalFormatting sqref="J158">
    <cfRule type="containsBlanks" dxfId="185" priority="50">
      <formula>LEN(TRIM(J158))=0</formula>
    </cfRule>
  </conditionalFormatting>
  <conditionalFormatting sqref="J158">
    <cfRule type="containsBlanks" dxfId="184" priority="49">
      <formula>LEN(TRIM(J158))=0</formula>
    </cfRule>
  </conditionalFormatting>
  <conditionalFormatting sqref="I165:I166">
    <cfRule type="containsBlanks" dxfId="183" priority="48">
      <formula>LEN(TRIM(I165))=0</formula>
    </cfRule>
  </conditionalFormatting>
  <conditionalFormatting sqref="I165:I166">
    <cfRule type="containsBlanks" dxfId="182" priority="47">
      <formula>LEN(TRIM(I165))=0</formula>
    </cfRule>
  </conditionalFormatting>
  <conditionalFormatting sqref="J165:J166">
    <cfRule type="containsBlanks" dxfId="181" priority="46">
      <formula>LEN(TRIM(J165))=0</formula>
    </cfRule>
  </conditionalFormatting>
  <conditionalFormatting sqref="J165:J166">
    <cfRule type="containsBlanks" dxfId="180" priority="45">
      <formula>LEN(TRIM(J165))=0</formula>
    </cfRule>
  </conditionalFormatting>
  <conditionalFormatting sqref="J165:J166">
    <cfRule type="containsBlanks" dxfId="179" priority="44">
      <formula>LEN(TRIM(J165))=0</formula>
    </cfRule>
  </conditionalFormatting>
  <conditionalFormatting sqref="U178">
    <cfRule type="containsBlanks" dxfId="178" priority="40">
      <formula>LEN(TRIM(U178))=0</formula>
    </cfRule>
  </conditionalFormatting>
  <conditionalFormatting sqref="I10">
    <cfRule type="containsBlanks" dxfId="177" priority="38">
      <formula>LEN(TRIM(I10))=0</formula>
    </cfRule>
  </conditionalFormatting>
  <conditionalFormatting sqref="H10">
    <cfRule type="containsBlanks" dxfId="176" priority="37">
      <formula>LEN(TRIM(H10))=0</formula>
    </cfRule>
  </conditionalFormatting>
  <conditionalFormatting sqref="AL58">
    <cfRule type="containsBlanks" dxfId="175" priority="33">
      <formula>LEN(TRIM(AL58))=0</formula>
    </cfRule>
  </conditionalFormatting>
  <conditionalFormatting sqref="AL67">
    <cfRule type="containsBlanks" dxfId="174" priority="32">
      <formula>LEN(TRIM(AL67))=0</formula>
    </cfRule>
  </conditionalFormatting>
  <conditionalFormatting sqref="AL74">
    <cfRule type="containsBlanks" dxfId="173" priority="31">
      <formula>LEN(TRIM(AL74))=0</formula>
    </cfRule>
  </conditionalFormatting>
  <conditionalFormatting sqref="AL92">
    <cfRule type="containsBlanks" dxfId="172" priority="30">
      <formula>LEN(TRIM(AL92))=0</formula>
    </cfRule>
  </conditionalFormatting>
  <conditionalFormatting sqref="T58">
    <cfRule type="containsBlanks" dxfId="171" priority="25">
      <formula>LEN(TRIM(T58))=0</formula>
    </cfRule>
  </conditionalFormatting>
  <conditionalFormatting sqref="T67">
    <cfRule type="containsBlanks" dxfId="170" priority="24">
      <formula>LEN(TRIM(T67))=0</formula>
    </cfRule>
  </conditionalFormatting>
  <conditionalFormatting sqref="T74">
    <cfRule type="containsBlanks" dxfId="169" priority="23">
      <formula>LEN(TRIM(T74))=0</formula>
    </cfRule>
  </conditionalFormatting>
  <conditionalFormatting sqref="T92">
    <cfRule type="containsBlanks" dxfId="168" priority="22">
      <formula>LEN(TRIM(T92))=0</formula>
    </cfRule>
  </conditionalFormatting>
  <conditionalFormatting sqref="J92">
    <cfRule type="containsBlanks" dxfId="167" priority="21">
      <formula>LEN(TRIM(J92))=0</formula>
    </cfRule>
  </conditionalFormatting>
  <conditionalFormatting sqref="M58">
    <cfRule type="containsBlanks" dxfId="166" priority="16">
      <formula>LEN(TRIM(M58))=0</formula>
    </cfRule>
  </conditionalFormatting>
  <conditionalFormatting sqref="M67">
    <cfRule type="containsBlanks" dxfId="165" priority="15">
      <formula>LEN(TRIM(M67))=0</formula>
    </cfRule>
  </conditionalFormatting>
  <conditionalFormatting sqref="M74">
    <cfRule type="containsBlanks" dxfId="164" priority="14">
      <formula>LEN(TRIM(M74))=0</formula>
    </cfRule>
  </conditionalFormatting>
  <conditionalFormatting sqref="M92">
    <cfRule type="containsBlanks" dxfId="163" priority="13">
      <formula>LEN(TRIM(M92))=0</formula>
    </cfRule>
  </conditionalFormatting>
  <conditionalFormatting sqref="O65">
    <cfRule type="expression" dxfId="162" priority="12">
      <formula>AND(#REF!&lt;&gt;"",#REF!="")</formula>
    </cfRule>
  </conditionalFormatting>
  <conditionalFormatting sqref="O65">
    <cfRule type="containsBlanks" dxfId="161" priority="11">
      <formula>LEN(TRIM(O65))=0</formula>
    </cfRule>
  </conditionalFormatting>
  <conditionalFormatting sqref="O68">
    <cfRule type="expression" dxfId="160" priority="10">
      <formula>AND(#REF!&lt;&gt;"",#REF!="")</formula>
    </cfRule>
  </conditionalFormatting>
  <conditionalFormatting sqref="O68">
    <cfRule type="containsBlanks" dxfId="159" priority="9">
      <formula>LEN(TRIM(O68))=0</formula>
    </cfRule>
  </conditionalFormatting>
  <conditionalFormatting sqref="O91">
    <cfRule type="expression" dxfId="158" priority="8">
      <formula>AND(#REF!&lt;&gt;"",#REF!="")</formula>
    </cfRule>
  </conditionalFormatting>
  <conditionalFormatting sqref="O91">
    <cfRule type="containsBlanks" dxfId="157" priority="7">
      <formula>LEN(TRIM(O91))=0</formula>
    </cfRule>
  </conditionalFormatting>
  <conditionalFormatting sqref="O94">
    <cfRule type="expression" dxfId="156" priority="6">
      <formula>AND(#REF!&lt;&gt;"",#REF!="")</formula>
    </cfRule>
  </conditionalFormatting>
  <conditionalFormatting sqref="O94">
    <cfRule type="containsBlanks" dxfId="155" priority="5">
      <formula>LEN(TRIM(O94))=0</formula>
    </cfRule>
  </conditionalFormatting>
  <conditionalFormatting sqref="O95">
    <cfRule type="expression" dxfId="154" priority="4">
      <formula>AND(#REF!&lt;&gt;"",#REF!="")</formula>
    </cfRule>
  </conditionalFormatting>
  <conditionalFormatting sqref="O95">
    <cfRule type="containsBlanks" dxfId="153" priority="3">
      <formula>LEN(TRIM(O95))=0</formula>
    </cfRule>
  </conditionalFormatting>
  <conditionalFormatting sqref="O97">
    <cfRule type="expression" dxfId="152" priority="2">
      <formula>AND(#REF!&lt;&gt;"",#REF!="")</formula>
    </cfRule>
  </conditionalFormatting>
  <conditionalFormatting sqref="O97">
    <cfRule type="containsBlanks" dxfId="151" priority="1">
      <formula>LEN(TRIM(O97))=0</formula>
    </cfRule>
  </conditionalFormatting>
  <dataValidations count="2">
    <dataValidation type="list" allowBlank="1" showInputMessage="1" showErrorMessage="1" sqref="CF179:CF182 U179:U182 AM179:AM182 AV179:AV182 BE179:BE182 BN179:BN182 BW179:BW182 AD179:AD182 CO179:CO182 CQ183:CQ1048576 CH183:CH1048576 BY183:BY1048576 BP183:BP1048576 BG183:BG1048576 AX183:AX1048576 AO183:AO1048576 AF183:AF1048576 W183:W1048576 CH9:CH178 BY9:BY178 BP9:BP178 BG9:BG178 AX9:AX178 AO9:AO178 AF9:AF178 CQ9:CQ178 W9:W178 N9:N1048576">
      <formula1>"OK,NOK"</formula1>
    </dataValidation>
    <dataValidation type="list" allowBlank="1" showInputMessage="1" showErrorMessage="1" sqref="CQ179:CQ182 CH179:CH182 BP179:BP182 BG179:BG182 BY179:BY182 AX179:AX182 AF179:AF182 AO179:AO182 W179:W182 P9:P1048576 AQ9:AQ1048576 AZ9:AZ1048576 BI9:BI1048576 BR9:BR1048576 CA9:CA1048576 CJ9:CJ1048576 Y9:Y1048576 CS9:CS1048576 AH9:AH1048576">
      <formula1>"OK,NOK,DEVIATION,STANDBY"</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filterMode="1"/>
  <dimension ref="A1:CX67"/>
  <sheetViews>
    <sheetView showGridLines="0" topLeftCell="E1" zoomScaleNormal="100" workbookViewId="0">
      <pane xSplit="4" topLeftCell="I1" activePane="topRight" state="frozen"/>
      <selection pane="topRight" activeCell="O25" sqref="O25"/>
    </sheetView>
  </sheetViews>
  <sheetFormatPr defaultColWidth="11.54296875" defaultRowHeight="12.5" outlineLevelCol="2" x14ac:dyDescent="0.25"/>
  <cols>
    <col min="1" max="4" width="0" style="17" hidden="1" customWidth="1" outlineLevel="1"/>
    <col min="5" max="5" width="13.7265625" style="17" bestFit="1" customWidth="1" collapsed="1"/>
    <col min="6" max="6" width="14.7265625" style="17" hidden="1" customWidth="1" outlineLevel="2"/>
    <col min="7" max="7" width="33.54296875" style="17" customWidth="1" collapsed="1"/>
    <col min="8" max="8" width="67.7265625" style="17" customWidth="1"/>
    <col min="9" max="9" width="4.453125" style="17" customWidth="1"/>
    <col min="10" max="10" width="9.453125" style="17" customWidth="1"/>
    <col min="11" max="11" width="13.453125" style="17" customWidth="1"/>
    <col min="12" max="12" width="12" style="48" customWidth="1" outlineLevel="1"/>
    <col min="13" max="13" width="25" style="49" customWidth="1" outlineLevel="1"/>
    <col min="14" max="14" width="12.54296875" style="48" customWidth="1" outlineLevel="1"/>
    <col min="15" max="15" width="26" style="49" customWidth="1" outlineLevel="1"/>
    <col min="16" max="16" width="3.26953125" style="17" customWidth="1"/>
    <col min="17" max="17" width="10" style="17" customWidth="1"/>
    <col min="18" max="18" width="13.26953125" style="17" customWidth="1"/>
    <col min="19" max="19" width="15" style="17" hidden="1" customWidth="1" outlineLevel="1"/>
    <col min="20" max="20" width="13.81640625" style="17" hidden="1" customWidth="1" outlineLevel="1"/>
    <col min="21" max="21" width="12.1796875" style="48" hidden="1" customWidth="1" outlineLevel="1"/>
    <col min="22" max="22" width="28.81640625" style="49" hidden="1" customWidth="1" outlineLevel="1"/>
    <col min="23" max="23" width="10.7265625" style="48" hidden="1" customWidth="1" outlineLevel="1"/>
    <col min="24" max="24" width="28.81640625" style="49" hidden="1" customWidth="1" outlineLevel="1"/>
    <col min="25" max="25" width="3.54296875" style="17" customWidth="1" collapsed="1"/>
    <col min="26" max="26" width="9.453125" style="17" customWidth="1"/>
    <col min="27" max="27" width="13.54296875" style="17" customWidth="1"/>
    <col min="28" max="28" width="13.1796875" style="17" hidden="1" customWidth="1" outlineLevel="1"/>
    <col min="29" max="29" width="13.81640625" style="17" hidden="1" customWidth="1" outlineLevel="1"/>
    <col min="30" max="30" width="12.54296875" style="48" hidden="1" customWidth="1" outlineLevel="1"/>
    <col min="31" max="31" width="28.81640625" style="49" hidden="1" customWidth="1" outlineLevel="1"/>
    <col min="32" max="32" width="12.26953125" style="48" hidden="1" customWidth="1" outlineLevel="1"/>
    <col min="33" max="33" width="28.81640625" style="49" hidden="1" customWidth="1" outlineLevel="1"/>
    <col min="34" max="34" width="3.26953125" style="17" customWidth="1" collapsed="1"/>
    <col min="35" max="35" width="9.453125" style="17" customWidth="1"/>
    <col min="36" max="36" width="13.54296875" style="17" customWidth="1"/>
    <col min="37" max="38" width="13.54296875" style="17" hidden="1" customWidth="1" outlineLevel="1"/>
    <col min="39" max="39" width="12.7265625" style="48" hidden="1" customWidth="1" outlineLevel="1"/>
    <col min="40" max="40" width="28.81640625" style="49" hidden="1" customWidth="1" outlineLevel="1"/>
    <col min="41" max="41" width="11.453125" style="48" hidden="1" customWidth="1" outlineLevel="1"/>
    <col min="42" max="42" width="28.81640625" style="49" hidden="1" customWidth="1" outlineLevel="1"/>
    <col min="43" max="43" width="3.26953125" style="17" customWidth="1" collapsed="1"/>
    <col min="44" max="44" width="9.1796875" style="17" customWidth="1"/>
    <col min="45" max="45" width="14" style="17" customWidth="1"/>
    <col min="46" max="46" width="24.54296875" style="17" hidden="1" customWidth="1" outlineLevel="1"/>
    <col min="47" max="47" width="29" style="17" hidden="1" customWidth="1" outlineLevel="1"/>
    <col min="48" max="48" width="21" style="48" hidden="1" customWidth="1" outlineLevel="1"/>
    <col min="49" max="49" width="28.81640625" style="49" hidden="1" customWidth="1" outlineLevel="1"/>
    <col min="50" max="50" width="21" style="48" hidden="1" customWidth="1" outlineLevel="1"/>
    <col min="51" max="51" width="28.81640625" style="49" hidden="1" customWidth="1" outlineLevel="1"/>
    <col min="52" max="52" width="3.26953125" style="17" customWidth="1" collapsed="1"/>
    <col min="53" max="53" width="9.26953125" style="17" customWidth="1"/>
    <col min="54" max="54" width="13.81640625" style="17" customWidth="1"/>
    <col min="55" max="55" width="24.54296875" style="17" hidden="1" customWidth="1" outlineLevel="1"/>
    <col min="56" max="56" width="29" style="17" hidden="1" customWidth="1" outlineLevel="1"/>
    <col min="57" max="57" width="21" style="48" hidden="1" customWidth="1" outlineLevel="1"/>
    <col min="58" max="58" width="28.81640625" style="49" hidden="1" customWidth="1" outlineLevel="1"/>
    <col min="59" max="59" width="21" style="48" hidden="1" customWidth="1" outlineLevel="1"/>
    <col min="60" max="60" width="28.81640625" style="49" hidden="1" customWidth="1" outlineLevel="1"/>
    <col min="61" max="61" width="3.26953125" style="17" customWidth="1" collapsed="1"/>
    <col min="62" max="62" width="9.81640625" style="17" customWidth="1"/>
    <col min="63" max="63" width="14.453125" style="17" customWidth="1"/>
    <col min="64" max="64" width="24.54296875" style="17" hidden="1" customWidth="1" outlineLevel="1"/>
    <col min="65" max="65" width="29" style="17" hidden="1" customWidth="1" outlineLevel="1"/>
    <col min="66" max="66" width="21" style="48" hidden="1" customWidth="1" outlineLevel="1"/>
    <col min="67" max="67" width="28.81640625" style="49" hidden="1" customWidth="1" outlineLevel="1"/>
    <col min="68" max="68" width="21" style="48" hidden="1" customWidth="1" outlineLevel="1"/>
    <col min="69" max="69" width="28.81640625" style="49" hidden="1" customWidth="1" outlineLevel="1"/>
    <col min="70" max="70" width="3.26953125" style="17" customWidth="1" collapsed="1"/>
    <col min="71" max="71" width="13.7265625" style="17" bestFit="1" customWidth="1"/>
    <col min="72" max="72" width="16.81640625" style="17" bestFit="1" customWidth="1"/>
    <col min="73" max="73" width="24.54296875" style="17" hidden="1" customWidth="1" outlineLevel="1"/>
    <col min="74" max="74" width="29" style="17" hidden="1" customWidth="1" outlineLevel="1"/>
    <col min="75" max="75" width="21" style="48" hidden="1" customWidth="1" outlineLevel="1"/>
    <col min="76" max="76" width="28.81640625" style="49" hidden="1" customWidth="1" outlineLevel="1"/>
    <col min="77" max="77" width="21" style="48" hidden="1" customWidth="1" outlineLevel="1"/>
    <col min="78" max="78" width="28.81640625" style="49" hidden="1" customWidth="1" outlineLevel="1"/>
    <col min="79" max="79" width="3.26953125" style="17" customWidth="1" collapsed="1"/>
    <col min="80" max="80" width="13.7265625" style="17" bestFit="1" customWidth="1"/>
    <col min="81" max="81" width="16.81640625" style="17" bestFit="1" customWidth="1"/>
    <col min="82" max="82" width="24.54296875" style="17" hidden="1" customWidth="1" outlineLevel="1"/>
    <col min="83" max="83" width="29" style="17" hidden="1" customWidth="1" outlineLevel="1"/>
    <col min="84" max="84" width="21" style="48" hidden="1" customWidth="1" outlineLevel="1"/>
    <col min="85" max="85" width="28.81640625" style="49" hidden="1" customWidth="1" outlineLevel="1"/>
    <col min="86" max="86" width="21" style="48" hidden="1" customWidth="1" outlineLevel="1"/>
    <col min="87" max="87" width="28.81640625" style="49" hidden="1" customWidth="1" outlineLevel="1"/>
    <col min="88" max="88" width="3.26953125" style="17" customWidth="1" collapsed="1"/>
    <col min="89" max="89" width="13.7265625" style="17" bestFit="1" customWidth="1"/>
    <col min="90" max="90" width="16.81640625" style="17" bestFit="1" customWidth="1"/>
    <col min="91" max="91" width="24.54296875" style="17" hidden="1" customWidth="1" outlineLevel="1"/>
    <col min="92" max="92" width="29" style="17" hidden="1" customWidth="1" outlineLevel="1"/>
    <col min="93" max="93" width="21" style="48" hidden="1" customWidth="1" outlineLevel="1"/>
    <col min="94" max="94" width="28.81640625" style="49" hidden="1" customWidth="1" outlineLevel="1"/>
    <col min="95" max="95" width="21" style="48" hidden="1" customWidth="1" outlineLevel="1"/>
    <col min="96" max="96" width="28.81640625" style="49" hidden="1" customWidth="1" outlineLevel="1"/>
    <col min="97" max="97" width="3.26953125" style="17" customWidth="1" collapsed="1"/>
    <col min="98" max="99" width="11.54296875" style="17"/>
    <col min="100" max="101" width="0" style="17" hidden="1" customWidth="1" outlineLevel="1"/>
    <col min="102" max="102" width="11.54296875" style="17" collapsed="1"/>
    <col min="103" max="16384" width="11.54296875" style="17"/>
  </cols>
  <sheetData>
    <row r="1" spans="1:101" ht="27.75" customHeight="1" thickBot="1" x14ac:dyDescent="0.3">
      <c r="E1" s="459" t="str">
        <f>Documents!B7</f>
        <v>GMSL based LVDS Bi-directional Network Management Technical Specification</v>
      </c>
      <c r="F1" s="460"/>
      <c r="G1" s="461"/>
      <c r="H1" s="461"/>
      <c r="I1" s="15"/>
      <c r="J1" s="426" t="s">
        <v>1776</v>
      </c>
      <c r="K1" s="427"/>
      <c r="L1" s="427"/>
      <c r="M1" s="427"/>
      <c r="N1" s="427"/>
      <c r="O1" s="428"/>
      <c r="P1" s="58"/>
      <c r="Q1" s="426" t="s">
        <v>1776</v>
      </c>
      <c r="R1" s="427"/>
      <c r="S1" s="427"/>
      <c r="T1" s="427"/>
      <c r="U1" s="427"/>
      <c r="V1" s="427"/>
      <c r="W1" s="427"/>
      <c r="X1" s="428"/>
      <c r="Y1" s="58"/>
      <c r="Z1" s="429" t="s">
        <v>1776</v>
      </c>
      <c r="AA1" s="398"/>
      <c r="AB1" s="398"/>
      <c r="AC1" s="398"/>
      <c r="AD1" s="398"/>
      <c r="AE1" s="398"/>
      <c r="AF1" s="398"/>
      <c r="AG1" s="398"/>
      <c r="AH1" s="58"/>
      <c r="AI1" s="429" t="s">
        <v>1776</v>
      </c>
      <c r="AJ1" s="398"/>
      <c r="AK1" s="398"/>
      <c r="AL1" s="398"/>
      <c r="AM1" s="398"/>
      <c r="AN1" s="398"/>
      <c r="AO1" s="398"/>
      <c r="AP1" s="398"/>
      <c r="AQ1" s="58"/>
      <c r="AR1" s="429" t="s">
        <v>1776</v>
      </c>
      <c r="AS1" s="398"/>
      <c r="AT1" s="398"/>
      <c r="AU1" s="398"/>
      <c r="AV1" s="398"/>
      <c r="AW1" s="398"/>
      <c r="AX1" s="398"/>
      <c r="AY1" s="398"/>
      <c r="AZ1" s="58"/>
      <c r="BA1" s="429" t="s">
        <v>1776</v>
      </c>
      <c r="BB1" s="398"/>
      <c r="BC1" s="398"/>
      <c r="BD1" s="398"/>
      <c r="BE1" s="398"/>
      <c r="BF1" s="398"/>
      <c r="BG1" s="398"/>
      <c r="BH1" s="398"/>
      <c r="BI1" s="58"/>
      <c r="BJ1" s="429" t="s">
        <v>1776</v>
      </c>
      <c r="BK1" s="398"/>
      <c r="BL1" s="398"/>
      <c r="BM1" s="398"/>
      <c r="BN1" s="398"/>
      <c r="BO1" s="398"/>
      <c r="BP1" s="398"/>
      <c r="BQ1" s="398"/>
      <c r="BR1" s="58"/>
      <c r="BS1" s="429" t="s">
        <v>1776</v>
      </c>
      <c r="BT1" s="398"/>
      <c r="BU1" s="398"/>
      <c r="BV1" s="398"/>
      <c r="BW1" s="398"/>
      <c r="BX1" s="398"/>
      <c r="BY1" s="398"/>
      <c r="BZ1" s="398"/>
      <c r="CA1" s="58"/>
      <c r="CB1" s="398" t="s">
        <v>1</v>
      </c>
      <c r="CC1" s="398"/>
      <c r="CD1" s="398"/>
      <c r="CE1" s="398"/>
      <c r="CF1" s="398"/>
      <c r="CG1" s="398"/>
      <c r="CH1" s="398"/>
      <c r="CI1" s="398"/>
      <c r="CJ1" s="58"/>
      <c r="CK1" s="398" t="s">
        <v>1</v>
      </c>
      <c r="CL1" s="398"/>
      <c r="CM1" s="398"/>
      <c r="CN1" s="398"/>
      <c r="CO1" s="398"/>
      <c r="CP1" s="398"/>
      <c r="CQ1" s="398"/>
      <c r="CR1" s="398"/>
      <c r="CS1" s="58"/>
    </row>
    <row r="2" spans="1:101" ht="34.5" customHeight="1" thickBot="1" x14ac:dyDescent="0.35">
      <c r="E2" s="399" t="str">
        <f>'First Page'!K31</f>
        <v>DM17F is an LVDS bi-dir slave node which:
- comply to the Display use case of the LVDS Bi-Dir Technical specification
- has a GMSL3 deserializer
- has a dual connector H-MTD + 6 inputs
- supports a resolution of 2560x1440 pixels at a frequency of 60 frame per second
- has a 24 bits RGB pixel color depth
- has an external power supply and is woken up by a wired interface signal
- supports Daisy Chain
- implements HDCP 2.3
- transmits data over I2C bus at a bit rate of 400 Kbps
- implements reflash request through LVDS Network
- implements functional request through LVDS Network
- implements diagnostic request through LVDS Network
Therefore, the following requirements are applied:</v>
      </c>
      <c r="F2" s="400"/>
      <c r="G2" s="400"/>
      <c r="H2" s="400"/>
      <c r="I2" s="18"/>
      <c r="J2" s="405" t="s">
        <v>2</v>
      </c>
      <c r="K2" s="406"/>
      <c r="L2" s="411" t="s">
        <v>3</v>
      </c>
      <c r="M2" s="412"/>
      <c r="N2" s="412"/>
      <c r="O2" s="413"/>
      <c r="P2" s="19"/>
      <c r="Q2" s="405" t="s">
        <v>4</v>
      </c>
      <c r="R2" s="406"/>
      <c r="S2" s="414" t="s">
        <v>1769</v>
      </c>
      <c r="T2" s="415"/>
      <c r="U2" s="411" t="s">
        <v>2424</v>
      </c>
      <c r="V2" s="412"/>
      <c r="W2" s="412"/>
      <c r="X2" s="413"/>
      <c r="Y2" s="19"/>
      <c r="Z2" s="405" t="s">
        <v>6</v>
      </c>
      <c r="AA2" s="406"/>
      <c r="AB2" s="462" t="s">
        <v>1769</v>
      </c>
      <c r="AC2" s="463"/>
      <c r="AD2" s="411" t="s">
        <v>3</v>
      </c>
      <c r="AE2" s="412"/>
      <c r="AF2" s="438"/>
      <c r="AG2" s="439"/>
      <c r="AH2" s="19"/>
      <c r="AI2" s="405" t="s">
        <v>7</v>
      </c>
      <c r="AJ2" s="406"/>
      <c r="AK2" s="462" t="s">
        <v>1769</v>
      </c>
      <c r="AL2" s="463"/>
      <c r="AM2" s="411" t="s">
        <v>3</v>
      </c>
      <c r="AN2" s="412"/>
      <c r="AO2" s="438"/>
      <c r="AP2" s="439"/>
      <c r="AQ2" s="19"/>
      <c r="AR2" s="407" t="s">
        <v>8</v>
      </c>
      <c r="AS2" s="408"/>
      <c r="AT2" s="454" t="s">
        <v>5</v>
      </c>
      <c r="AU2" s="433"/>
      <c r="AV2" s="411" t="s">
        <v>3</v>
      </c>
      <c r="AW2" s="412"/>
      <c r="AX2" s="438"/>
      <c r="AY2" s="439"/>
      <c r="AZ2" s="19"/>
      <c r="BA2" s="407" t="s">
        <v>9</v>
      </c>
      <c r="BB2" s="408"/>
      <c r="BC2" s="454" t="s">
        <v>5</v>
      </c>
      <c r="BD2" s="433"/>
      <c r="BE2" s="411" t="s">
        <v>3</v>
      </c>
      <c r="BF2" s="412"/>
      <c r="BG2" s="438"/>
      <c r="BH2" s="439"/>
      <c r="BI2" s="19"/>
      <c r="BJ2" s="407" t="s">
        <v>10</v>
      </c>
      <c r="BK2" s="408"/>
      <c r="BL2" s="454" t="s">
        <v>5</v>
      </c>
      <c r="BM2" s="433"/>
      <c r="BN2" s="411" t="s">
        <v>3</v>
      </c>
      <c r="BO2" s="412"/>
      <c r="BP2" s="438"/>
      <c r="BQ2" s="439"/>
      <c r="BR2" s="19"/>
      <c r="BS2" s="407" t="s">
        <v>11</v>
      </c>
      <c r="BT2" s="408"/>
      <c r="BU2" s="454" t="s">
        <v>5</v>
      </c>
      <c r="BV2" s="433"/>
      <c r="BW2" s="411" t="s">
        <v>3</v>
      </c>
      <c r="BX2" s="412"/>
      <c r="BY2" s="438"/>
      <c r="BZ2" s="439"/>
      <c r="CA2" s="19"/>
      <c r="CB2" s="407" t="s">
        <v>12</v>
      </c>
      <c r="CC2" s="408"/>
      <c r="CD2" s="454" t="s">
        <v>5</v>
      </c>
      <c r="CE2" s="433"/>
      <c r="CF2" s="411" t="s">
        <v>3</v>
      </c>
      <c r="CG2" s="412"/>
      <c r="CH2" s="438"/>
      <c r="CI2" s="439"/>
      <c r="CJ2" s="19"/>
      <c r="CK2" s="407" t="s">
        <v>13</v>
      </c>
      <c r="CL2" s="408"/>
      <c r="CM2" s="454" t="s">
        <v>5</v>
      </c>
      <c r="CN2" s="433"/>
      <c r="CO2" s="411" t="s">
        <v>3</v>
      </c>
      <c r="CP2" s="412"/>
      <c r="CQ2" s="438"/>
      <c r="CR2" s="439"/>
      <c r="CS2" s="52"/>
    </row>
    <row r="3" spans="1:101" ht="42" customHeight="1" x14ac:dyDescent="0.3">
      <c r="E3" s="399"/>
      <c r="F3" s="400"/>
      <c r="G3" s="400"/>
      <c r="H3" s="400"/>
      <c r="I3" s="18"/>
      <c r="J3" s="407"/>
      <c r="K3" s="408"/>
      <c r="L3" s="448" t="s">
        <v>14</v>
      </c>
      <c r="M3" s="441"/>
      <c r="N3" s="449" t="s">
        <v>1771</v>
      </c>
      <c r="O3" s="443"/>
      <c r="P3" s="19"/>
      <c r="Q3" s="407"/>
      <c r="R3" s="408"/>
      <c r="S3" s="416"/>
      <c r="T3" s="417"/>
      <c r="U3" s="444" t="s">
        <v>2420</v>
      </c>
      <c r="V3" s="445"/>
      <c r="W3" s="446" t="s">
        <v>2421</v>
      </c>
      <c r="X3" s="447"/>
      <c r="Y3" s="19"/>
      <c r="Z3" s="407"/>
      <c r="AA3" s="408"/>
      <c r="AB3" s="464"/>
      <c r="AC3" s="465"/>
      <c r="AD3" s="448" t="s">
        <v>14</v>
      </c>
      <c r="AE3" s="441"/>
      <c r="AF3" s="449" t="s">
        <v>1771</v>
      </c>
      <c r="AG3" s="443"/>
      <c r="AH3" s="19"/>
      <c r="AI3" s="407"/>
      <c r="AJ3" s="408"/>
      <c r="AK3" s="464"/>
      <c r="AL3" s="465"/>
      <c r="AM3" s="448" t="s">
        <v>14</v>
      </c>
      <c r="AN3" s="441"/>
      <c r="AO3" s="449" t="s">
        <v>1771</v>
      </c>
      <c r="AP3" s="443"/>
      <c r="AQ3" s="19"/>
      <c r="AR3" s="407"/>
      <c r="AS3" s="408"/>
      <c r="AT3" s="434"/>
      <c r="AU3" s="435"/>
      <c r="AV3" s="450" t="s">
        <v>14</v>
      </c>
      <c r="AW3" s="451"/>
      <c r="AX3" s="452" t="s">
        <v>15</v>
      </c>
      <c r="AY3" s="453"/>
      <c r="AZ3" s="19"/>
      <c r="BA3" s="407"/>
      <c r="BB3" s="408"/>
      <c r="BC3" s="434"/>
      <c r="BD3" s="435"/>
      <c r="BE3" s="450" t="s">
        <v>14</v>
      </c>
      <c r="BF3" s="451"/>
      <c r="BG3" s="452" t="s">
        <v>15</v>
      </c>
      <c r="BH3" s="453"/>
      <c r="BI3" s="19"/>
      <c r="BJ3" s="407"/>
      <c r="BK3" s="408"/>
      <c r="BL3" s="434"/>
      <c r="BM3" s="435"/>
      <c r="BN3" s="450" t="s">
        <v>14</v>
      </c>
      <c r="BO3" s="451"/>
      <c r="BP3" s="452" t="s">
        <v>15</v>
      </c>
      <c r="BQ3" s="453"/>
      <c r="BR3" s="19"/>
      <c r="BS3" s="407"/>
      <c r="BT3" s="408"/>
      <c r="BU3" s="434"/>
      <c r="BV3" s="435"/>
      <c r="BW3" s="450" t="s">
        <v>14</v>
      </c>
      <c r="BX3" s="451"/>
      <c r="BY3" s="452" t="s">
        <v>15</v>
      </c>
      <c r="BZ3" s="453"/>
      <c r="CA3" s="19"/>
      <c r="CB3" s="407"/>
      <c r="CC3" s="408"/>
      <c r="CD3" s="434"/>
      <c r="CE3" s="435"/>
      <c r="CF3" s="450" t="s">
        <v>14</v>
      </c>
      <c r="CG3" s="451"/>
      <c r="CH3" s="452" t="s">
        <v>15</v>
      </c>
      <c r="CI3" s="453"/>
      <c r="CJ3" s="19"/>
      <c r="CK3" s="407"/>
      <c r="CL3" s="408"/>
      <c r="CM3" s="434"/>
      <c r="CN3" s="435"/>
      <c r="CO3" s="450" t="s">
        <v>14</v>
      </c>
      <c r="CP3" s="451"/>
      <c r="CQ3" s="452" t="s">
        <v>15</v>
      </c>
      <c r="CR3" s="453"/>
      <c r="CS3" s="52"/>
    </row>
    <row r="4" spans="1:101" ht="42" customHeight="1" x14ac:dyDescent="0.25">
      <c r="E4" s="399"/>
      <c r="F4" s="400"/>
      <c r="G4" s="400"/>
      <c r="H4" s="400"/>
      <c r="I4" s="20"/>
      <c r="J4" s="407"/>
      <c r="K4" s="408"/>
      <c r="L4" s="21">
        <f>COUNTIF(L11:L1048576,"OK")</f>
        <v>10</v>
      </c>
      <c r="M4" s="274" t="s">
        <v>1772</v>
      </c>
      <c r="N4" s="234">
        <f>COUNTIF(N11:N1048576,"OK")</f>
        <v>0</v>
      </c>
      <c r="O4" s="274" t="s">
        <v>1772</v>
      </c>
      <c r="P4" s="16"/>
      <c r="Q4" s="407"/>
      <c r="R4" s="408"/>
      <c r="S4" s="416"/>
      <c r="T4" s="417"/>
      <c r="U4" s="21">
        <f>COUNTIF(U11:U1048576,"OK")</f>
        <v>0</v>
      </c>
      <c r="V4" s="276" t="s">
        <v>1772</v>
      </c>
      <c r="W4" s="234">
        <f>COUNTIF(W11:W1048576,"OK")</f>
        <v>0</v>
      </c>
      <c r="X4" s="276" t="s">
        <v>2422</v>
      </c>
      <c r="Y4" s="16"/>
      <c r="Z4" s="407"/>
      <c r="AA4" s="408"/>
      <c r="AB4" s="464"/>
      <c r="AC4" s="465"/>
      <c r="AD4" s="21">
        <f>COUNTIF(AD11:AD1048576,"OK")</f>
        <v>0</v>
      </c>
      <c r="AE4" s="276" t="s">
        <v>1772</v>
      </c>
      <c r="AF4" s="234">
        <f>COUNTIF(AF11:AF1048576,"OK")</f>
        <v>0</v>
      </c>
      <c r="AG4" s="276" t="s">
        <v>1772</v>
      </c>
      <c r="AH4" s="16"/>
      <c r="AI4" s="407"/>
      <c r="AJ4" s="408"/>
      <c r="AK4" s="464"/>
      <c r="AL4" s="465"/>
      <c r="AM4" s="21">
        <f>COUNTIF(AM11:AM1048576,"OK")</f>
        <v>0</v>
      </c>
      <c r="AN4" s="276" t="s">
        <v>1772</v>
      </c>
      <c r="AO4" s="284">
        <f>COUNTIF(AO11:AO1048576,"OK")</f>
        <v>0</v>
      </c>
      <c r="AP4" s="276" t="s">
        <v>1772</v>
      </c>
      <c r="AQ4" s="16"/>
      <c r="AR4" s="407"/>
      <c r="AS4" s="408"/>
      <c r="AT4" s="434"/>
      <c r="AU4" s="435"/>
      <c r="AV4" s="21">
        <f>COUNTIF(AV11:AV1048576,"OK")</f>
        <v>0</v>
      </c>
      <c r="AW4" s="22" t="s">
        <v>16</v>
      </c>
      <c r="AX4" s="234">
        <f>COUNTIF(AX11:AX1048576,"OK")</f>
        <v>0</v>
      </c>
      <c r="AY4" s="22" t="s">
        <v>16</v>
      </c>
      <c r="AZ4" s="16"/>
      <c r="BA4" s="407"/>
      <c r="BB4" s="408"/>
      <c r="BC4" s="434"/>
      <c r="BD4" s="435"/>
      <c r="BE4" s="21">
        <f>COUNTIF(BE11:BE1048576,"OK")</f>
        <v>0</v>
      </c>
      <c r="BF4" s="22" t="s">
        <v>16</v>
      </c>
      <c r="BG4" s="234">
        <f>COUNTIF(BG11:BG1048576,"OK")</f>
        <v>0</v>
      </c>
      <c r="BH4" s="22" t="s">
        <v>16</v>
      </c>
      <c r="BI4" s="16"/>
      <c r="BJ4" s="407"/>
      <c r="BK4" s="408"/>
      <c r="BL4" s="434"/>
      <c r="BM4" s="435"/>
      <c r="BN4" s="21">
        <f>COUNTIF(BN11:BN1048576,"OK")</f>
        <v>0</v>
      </c>
      <c r="BO4" s="22" t="s">
        <v>16</v>
      </c>
      <c r="BP4" s="234">
        <f>COUNTIF(BP11:BP1048576,"OK")</f>
        <v>0</v>
      </c>
      <c r="BQ4" s="22" t="s">
        <v>16</v>
      </c>
      <c r="BR4" s="16"/>
      <c r="BS4" s="407"/>
      <c r="BT4" s="408"/>
      <c r="BU4" s="434"/>
      <c r="BV4" s="435"/>
      <c r="BW4" s="21">
        <f>COUNTIF(BW11:BW1048576,"OK")</f>
        <v>0</v>
      </c>
      <c r="BX4" s="22" t="s">
        <v>16</v>
      </c>
      <c r="BY4" s="234">
        <f>COUNTIF(BY11:BY1048576,"OK")</f>
        <v>0</v>
      </c>
      <c r="BZ4" s="22" t="s">
        <v>16</v>
      </c>
      <c r="CA4" s="16"/>
      <c r="CB4" s="407"/>
      <c r="CC4" s="408"/>
      <c r="CD4" s="434"/>
      <c r="CE4" s="435"/>
      <c r="CF4" s="21">
        <f>COUNTIF(CF11:CF1048576,"OK")</f>
        <v>0</v>
      </c>
      <c r="CG4" s="22" t="s">
        <v>16</v>
      </c>
      <c r="CH4" s="234">
        <f>COUNTIF(CH11:CH1048576,"OK")</f>
        <v>0</v>
      </c>
      <c r="CI4" s="22" t="s">
        <v>16</v>
      </c>
      <c r="CJ4" s="16"/>
      <c r="CK4" s="407"/>
      <c r="CL4" s="408"/>
      <c r="CM4" s="434"/>
      <c r="CN4" s="435"/>
      <c r="CO4" s="21">
        <f>COUNTIF(CO11:CO1048576,"OK")</f>
        <v>0</v>
      </c>
      <c r="CP4" s="22" t="s">
        <v>16</v>
      </c>
      <c r="CQ4" s="234">
        <f>COUNTIF(CQ11:CQ1048576,"OK")</f>
        <v>0</v>
      </c>
      <c r="CR4" s="22" t="s">
        <v>16</v>
      </c>
      <c r="CS4" s="51"/>
    </row>
    <row r="5" spans="1:101" ht="42" customHeight="1" thickBot="1" x14ac:dyDescent="0.3">
      <c r="E5" s="399"/>
      <c r="F5" s="400"/>
      <c r="G5" s="400"/>
      <c r="H5" s="400"/>
      <c r="I5" s="23"/>
      <c r="J5" s="409"/>
      <c r="K5" s="410"/>
      <c r="L5" s="21">
        <f>COUNTIF(L11:L1048576,"NOK")</f>
        <v>0</v>
      </c>
      <c r="M5" s="274" t="s">
        <v>1773</v>
      </c>
      <c r="N5" s="234">
        <f>COUNTIF(N11:N1048576,"NOK")</f>
        <v>0</v>
      </c>
      <c r="O5" s="274" t="s">
        <v>1773</v>
      </c>
      <c r="P5" s="23"/>
      <c r="Q5" s="409"/>
      <c r="R5" s="410"/>
      <c r="S5" s="416"/>
      <c r="T5" s="417"/>
      <c r="U5" s="21">
        <f>COUNTIF(U11:U1048576,"NOK")</f>
        <v>0</v>
      </c>
      <c r="V5" s="276" t="s">
        <v>1773</v>
      </c>
      <c r="W5" s="234">
        <f>COUNTIF(W11:W1048576,"NOK")</f>
        <v>0</v>
      </c>
      <c r="X5" s="276" t="s">
        <v>1773</v>
      </c>
      <c r="Y5" s="23"/>
      <c r="Z5" s="409"/>
      <c r="AA5" s="410"/>
      <c r="AB5" s="464"/>
      <c r="AC5" s="465"/>
      <c r="AD5" s="21">
        <f>COUNTIF(AD11:AD1048576,"NOK")</f>
        <v>0</v>
      </c>
      <c r="AE5" s="276" t="s">
        <v>1773</v>
      </c>
      <c r="AF5" s="234">
        <f>COUNTIF(AF11:AF1048576,"NOK")</f>
        <v>0</v>
      </c>
      <c r="AG5" s="276" t="s">
        <v>1773</v>
      </c>
      <c r="AH5" s="23"/>
      <c r="AI5" s="409"/>
      <c r="AJ5" s="410"/>
      <c r="AK5" s="464"/>
      <c r="AL5" s="465"/>
      <c r="AM5" s="21">
        <f>COUNTIF(AM11:AM1048576,"NOK")</f>
        <v>0</v>
      </c>
      <c r="AN5" s="276" t="s">
        <v>1773</v>
      </c>
      <c r="AO5" s="284">
        <f>COUNTIF(AO11:AO1048576,"NOK")</f>
        <v>0</v>
      </c>
      <c r="AP5" s="276" t="s">
        <v>1773</v>
      </c>
      <c r="AQ5" s="23"/>
      <c r="AR5" s="407"/>
      <c r="AS5" s="408"/>
      <c r="AT5" s="434"/>
      <c r="AU5" s="435"/>
      <c r="AV5" s="21">
        <f>COUNTIF(AV11:AV1048576,"NOK")</f>
        <v>0</v>
      </c>
      <c r="AW5" s="22" t="s">
        <v>17</v>
      </c>
      <c r="AX5" s="234">
        <f>COUNTIF(AX11:AX1048576,"NOK")</f>
        <v>0</v>
      </c>
      <c r="AY5" s="22" t="s">
        <v>17</v>
      </c>
      <c r="AZ5" s="23"/>
      <c r="BA5" s="407"/>
      <c r="BB5" s="408"/>
      <c r="BC5" s="434"/>
      <c r="BD5" s="435"/>
      <c r="BE5" s="21">
        <f>COUNTIF(BE11:BE1048576,"NOK")</f>
        <v>0</v>
      </c>
      <c r="BF5" s="22" t="s">
        <v>17</v>
      </c>
      <c r="BG5" s="234">
        <f>COUNTIF(BG11:BG1048576,"NOK")</f>
        <v>0</v>
      </c>
      <c r="BH5" s="22" t="s">
        <v>17</v>
      </c>
      <c r="BI5" s="23"/>
      <c r="BJ5" s="407"/>
      <c r="BK5" s="408"/>
      <c r="BL5" s="434"/>
      <c r="BM5" s="435"/>
      <c r="BN5" s="21">
        <f>COUNTIF(BN11:BN1048576,"NOK")</f>
        <v>0</v>
      </c>
      <c r="BO5" s="22" t="s">
        <v>17</v>
      </c>
      <c r="BP5" s="234">
        <f>COUNTIF(BP11:BP1048576,"NOK")</f>
        <v>0</v>
      </c>
      <c r="BQ5" s="22" t="s">
        <v>17</v>
      </c>
      <c r="BR5" s="23"/>
      <c r="BS5" s="407"/>
      <c r="BT5" s="408"/>
      <c r="BU5" s="434"/>
      <c r="BV5" s="435"/>
      <c r="BW5" s="21">
        <f>COUNTIF(BW11:BW1048576,"NOK")</f>
        <v>0</v>
      </c>
      <c r="BX5" s="22" t="s">
        <v>17</v>
      </c>
      <c r="BY5" s="234">
        <f>COUNTIF(BY11:BY1048576,"NOK")</f>
        <v>0</v>
      </c>
      <c r="BZ5" s="22" t="s">
        <v>17</v>
      </c>
      <c r="CA5" s="23"/>
      <c r="CB5" s="407"/>
      <c r="CC5" s="408"/>
      <c r="CD5" s="434"/>
      <c r="CE5" s="435"/>
      <c r="CF5" s="21">
        <f>COUNTIF(CF11:CF1048576,"NOK")</f>
        <v>0</v>
      </c>
      <c r="CG5" s="22" t="s">
        <v>17</v>
      </c>
      <c r="CH5" s="234">
        <f>COUNTIF(CH11:CH1048576,"NOK")</f>
        <v>0</v>
      </c>
      <c r="CI5" s="22" t="s">
        <v>17</v>
      </c>
      <c r="CJ5" s="23"/>
      <c r="CK5" s="407"/>
      <c r="CL5" s="408"/>
      <c r="CM5" s="434"/>
      <c r="CN5" s="435"/>
      <c r="CO5" s="21">
        <f>COUNTIF(CO11:CO1048576,"NOK")</f>
        <v>0</v>
      </c>
      <c r="CP5" s="22" t="s">
        <v>17</v>
      </c>
      <c r="CQ5" s="234">
        <f>COUNTIF(CQ11:CQ1048576,"NOK")</f>
        <v>0</v>
      </c>
      <c r="CR5" s="22" t="s">
        <v>17</v>
      </c>
      <c r="CS5" s="53"/>
    </row>
    <row r="6" spans="1:101" ht="42" customHeight="1" x14ac:dyDescent="0.25">
      <c r="E6" s="399"/>
      <c r="F6" s="400"/>
      <c r="G6" s="400"/>
      <c r="H6" s="400"/>
      <c r="I6" s="23"/>
      <c r="J6" s="420" t="s">
        <v>1770</v>
      </c>
      <c r="K6" s="421"/>
      <c r="L6" s="24" t="s">
        <v>19</v>
      </c>
      <c r="M6" s="22" t="s">
        <v>19</v>
      </c>
      <c r="N6" s="234">
        <f>COUNTIF(N11:N1048576,"DEVIATION")</f>
        <v>0</v>
      </c>
      <c r="O6" s="274" t="s">
        <v>1774</v>
      </c>
      <c r="P6" s="23"/>
      <c r="Q6" s="420" t="s">
        <v>1770</v>
      </c>
      <c r="R6" s="421"/>
      <c r="S6" s="416"/>
      <c r="T6" s="417"/>
      <c r="U6" s="24" t="s">
        <v>19</v>
      </c>
      <c r="V6" s="22" t="s">
        <v>19</v>
      </c>
      <c r="W6" s="234">
        <f>COUNTIF(W11:W1048576,"DEVIATION")</f>
        <v>0</v>
      </c>
      <c r="X6" s="276" t="s">
        <v>1774</v>
      </c>
      <c r="Y6" s="23"/>
      <c r="Z6" s="420" t="s">
        <v>1770</v>
      </c>
      <c r="AA6" s="421"/>
      <c r="AB6" s="464"/>
      <c r="AC6" s="465"/>
      <c r="AD6" s="24" t="s">
        <v>19</v>
      </c>
      <c r="AE6" s="22" t="s">
        <v>19</v>
      </c>
      <c r="AF6" s="234">
        <f>COUNTIF(AF11:AF1048576,"DEVIATION")</f>
        <v>0</v>
      </c>
      <c r="AG6" s="276" t="s">
        <v>1774</v>
      </c>
      <c r="AH6" s="23"/>
      <c r="AI6" s="420" t="s">
        <v>1770</v>
      </c>
      <c r="AJ6" s="421"/>
      <c r="AK6" s="464"/>
      <c r="AL6" s="465"/>
      <c r="AM6" s="24" t="s">
        <v>19</v>
      </c>
      <c r="AN6" s="22" t="s">
        <v>19</v>
      </c>
      <c r="AO6" s="284">
        <f>COUNTIF(AO11:AO1048576,"DEVIATION")</f>
        <v>0</v>
      </c>
      <c r="AP6" s="276" t="s">
        <v>1774</v>
      </c>
      <c r="AQ6" s="23"/>
      <c r="AR6" s="420" t="s">
        <v>1770</v>
      </c>
      <c r="AS6" s="421"/>
      <c r="AT6" s="434"/>
      <c r="AU6" s="435"/>
      <c r="AV6" s="24" t="s">
        <v>19</v>
      </c>
      <c r="AW6" s="22" t="s">
        <v>19</v>
      </c>
      <c r="AX6" s="234">
        <f>COUNTIF(AX11:AX1048576,"DEVIATION")</f>
        <v>0</v>
      </c>
      <c r="AY6" s="22" t="s">
        <v>20</v>
      </c>
      <c r="AZ6" s="23"/>
      <c r="BA6" s="420" t="s">
        <v>1770</v>
      </c>
      <c r="BB6" s="421"/>
      <c r="BC6" s="434"/>
      <c r="BD6" s="435"/>
      <c r="BE6" s="24" t="s">
        <v>19</v>
      </c>
      <c r="BF6" s="22" t="s">
        <v>19</v>
      </c>
      <c r="BG6" s="234">
        <f>COUNTIF(BG11:BG1048576,"DEVIATION")</f>
        <v>0</v>
      </c>
      <c r="BH6" s="22" t="s">
        <v>20</v>
      </c>
      <c r="BI6" s="23"/>
      <c r="BJ6" s="420" t="s">
        <v>1770</v>
      </c>
      <c r="BK6" s="421"/>
      <c r="BL6" s="434"/>
      <c r="BM6" s="435"/>
      <c r="BN6" s="24" t="s">
        <v>19</v>
      </c>
      <c r="BO6" s="22" t="s">
        <v>19</v>
      </c>
      <c r="BP6" s="234">
        <f>COUNTIF(BP11:BP1048576,"DEVIATION")</f>
        <v>0</v>
      </c>
      <c r="BQ6" s="22" t="s">
        <v>20</v>
      </c>
      <c r="BR6" s="23"/>
      <c r="BS6" s="432" t="s">
        <v>18</v>
      </c>
      <c r="BT6" s="457"/>
      <c r="BU6" s="434"/>
      <c r="BV6" s="435"/>
      <c r="BW6" s="24" t="s">
        <v>19</v>
      </c>
      <c r="BX6" s="22" t="s">
        <v>19</v>
      </c>
      <c r="BY6" s="234">
        <f>COUNTIF(BY11:BY1048576,"DEVIATION")</f>
        <v>0</v>
      </c>
      <c r="BZ6" s="22" t="s">
        <v>20</v>
      </c>
      <c r="CA6" s="23"/>
      <c r="CB6" s="432" t="s">
        <v>18</v>
      </c>
      <c r="CC6" s="457"/>
      <c r="CD6" s="434"/>
      <c r="CE6" s="435"/>
      <c r="CF6" s="24" t="s">
        <v>19</v>
      </c>
      <c r="CG6" s="22" t="s">
        <v>19</v>
      </c>
      <c r="CH6" s="234">
        <f>COUNTIF(CH11:CH1048576,"DEVIATION")</f>
        <v>0</v>
      </c>
      <c r="CI6" s="22" t="s">
        <v>20</v>
      </c>
      <c r="CJ6" s="23"/>
      <c r="CK6" s="432" t="s">
        <v>18</v>
      </c>
      <c r="CL6" s="457"/>
      <c r="CM6" s="434"/>
      <c r="CN6" s="435"/>
      <c r="CO6" s="24" t="s">
        <v>19</v>
      </c>
      <c r="CP6" s="22" t="s">
        <v>19</v>
      </c>
      <c r="CQ6" s="234">
        <f>COUNTIF(CQ11:CQ1048576,"DEVIATION")</f>
        <v>0</v>
      </c>
      <c r="CR6" s="22" t="s">
        <v>20</v>
      </c>
      <c r="CS6" s="53"/>
    </row>
    <row r="7" spans="1:101" ht="42" customHeight="1" thickBot="1" x14ac:dyDescent="0.3">
      <c r="E7" s="402"/>
      <c r="F7" s="403"/>
      <c r="G7" s="403"/>
      <c r="H7" s="403"/>
      <c r="I7" s="20"/>
      <c r="J7" s="430" t="s">
        <v>2415</v>
      </c>
      <c r="K7" s="431"/>
      <c r="L7" s="24" t="s">
        <v>19</v>
      </c>
      <c r="M7" s="22" t="s">
        <v>19</v>
      </c>
      <c r="N7" s="234">
        <f>COUNTIF(N11:N1048576,"STANDBY")</f>
        <v>0</v>
      </c>
      <c r="O7" s="274" t="s">
        <v>1775</v>
      </c>
      <c r="P7" s="16"/>
      <c r="Q7" s="430"/>
      <c r="R7" s="431"/>
      <c r="S7" s="418"/>
      <c r="T7" s="419"/>
      <c r="U7" s="24" t="s">
        <v>19</v>
      </c>
      <c r="V7" s="22" t="s">
        <v>19</v>
      </c>
      <c r="W7" s="234">
        <f>COUNTIF(W11:W1048576,"STANDBY")</f>
        <v>0</v>
      </c>
      <c r="X7" s="276" t="s">
        <v>1775</v>
      </c>
      <c r="Y7" s="16"/>
      <c r="Z7" s="430"/>
      <c r="AA7" s="431"/>
      <c r="AB7" s="466"/>
      <c r="AC7" s="467"/>
      <c r="AD7" s="24" t="s">
        <v>19</v>
      </c>
      <c r="AE7" s="22" t="s">
        <v>19</v>
      </c>
      <c r="AF7" s="234">
        <f>COUNTIF(AF11:AF1048576,"STANDBY")</f>
        <v>0</v>
      </c>
      <c r="AG7" s="276" t="s">
        <v>1775</v>
      </c>
      <c r="AH7" s="16"/>
      <c r="AI7" s="430"/>
      <c r="AJ7" s="431"/>
      <c r="AK7" s="466"/>
      <c r="AL7" s="467"/>
      <c r="AM7" s="24" t="s">
        <v>19</v>
      </c>
      <c r="AN7" s="22" t="s">
        <v>19</v>
      </c>
      <c r="AO7" s="284">
        <f>COUNTIF(AO11:AO1048576,"STANDBY")</f>
        <v>0</v>
      </c>
      <c r="AP7" s="276" t="s">
        <v>1775</v>
      </c>
      <c r="AQ7" s="16"/>
      <c r="AR7" s="430"/>
      <c r="AS7" s="431"/>
      <c r="AT7" s="436"/>
      <c r="AU7" s="437"/>
      <c r="AV7" s="24" t="s">
        <v>19</v>
      </c>
      <c r="AW7" s="22" t="s">
        <v>19</v>
      </c>
      <c r="AX7" s="234">
        <f>COUNTIF(AX11:AX1048576,"STANDBY")</f>
        <v>0</v>
      </c>
      <c r="AY7" s="22" t="s">
        <v>21</v>
      </c>
      <c r="AZ7" s="16"/>
      <c r="BA7" s="430"/>
      <c r="BB7" s="431"/>
      <c r="BC7" s="436"/>
      <c r="BD7" s="437"/>
      <c r="BE7" s="24" t="s">
        <v>19</v>
      </c>
      <c r="BF7" s="22" t="s">
        <v>19</v>
      </c>
      <c r="BG7" s="234">
        <f>COUNTIF(BG11:BG1048576,"STANDBY")</f>
        <v>0</v>
      </c>
      <c r="BH7" s="22" t="s">
        <v>21</v>
      </c>
      <c r="BI7" s="16"/>
      <c r="BJ7" s="430"/>
      <c r="BK7" s="431"/>
      <c r="BL7" s="436"/>
      <c r="BM7" s="437"/>
      <c r="BN7" s="24" t="s">
        <v>19</v>
      </c>
      <c r="BO7" s="22" t="s">
        <v>19</v>
      </c>
      <c r="BP7" s="234">
        <f>COUNTIF(BP11:BP1048576,"STANDBY")</f>
        <v>0</v>
      </c>
      <c r="BQ7" s="22" t="s">
        <v>21</v>
      </c>
      <c r="BR7" s="16"/>
      <c r="BS7" s="430"/>
      <c r="BT7" s="431"/>
      <c r="BU7" s="436"/>
      <c r="BV7" s="437"/>
      <c r="BW7" s="24" t="s">
        <v>19</v>
      </c>
      <c r="BX7" s="22" t="s">
        <v>19</v>
      </c>
      <c r="BY7" s="234">
        <f>COUNTIF(BY11:BY1048576,"STANDBY")</f>
        <v>0</v>
      </c>
      <c r="BZ7" s="22" t="s">
        <v>21</v>
      </c>
      <c r="CA7" s="16"/>
      <c r="CB7" s="430"/>
      <c r="CC7" s="431"/>
      <c r="CD7" s="436"/>
      <c r="CE7" s="437"/>
      <c r="CF7" s="24" t="s">
        <v>19</v>
      </c>
      <c r="CG7" s="22" t="s">
        <v>19</v>
      </c>
      <c r="CH7" s="234">
        <f>COUNTIF(CH11:CH1048576,"STANDBY")</f>
        <v>0</v>
      </c>
      <c r="CI7" s="22" t="s">
        <v>21</v>
      </c>
      <c r="CJ7" s="16"/>
      <c r="CK7" s="430"/>
      <c r="CL7" s="431"/>
      <c r="CM7" s="436"/>
      <c r="CN7" s="437"/>
      <c r="CO7" s="24" t="s">
        <v>19</v>
      </c>
      <c r="CP7" s="22" t="s">
        <v>19</v>
      </c>
      <c r="CQ7" s="234">
        <f>COUNTIF(CQ11:CQ1048576,"STANDBY")</f>
        <v>0</v>
      </c>
      <c r="CR7" s="22" t="s">
        <v>21</v>
      </c>
      <c r="CS7" s="51"/>
    </row>
    <row r="8" spans="1:101" ht="47" thickBot="1" x14ac:dyDescent="0.3">
      <c r="E8" s="164" t="s">
        <v>733</v>
      </c>
      <c r="F8" s="164" t="s">
        <v>1005</v>
      </c>
      <c r="G8" s="156" t="s">
        <v>734</v>
      </c>
      <c r="H8" s="156" t="s">
        <v>735</v>
      </c>
      <c r="I8" s="62"/>
      <c r="J8" s="157" t="s">
        <v>537</v>
      </c>
      <c r="K8" s="158" t="s">
        <v>1766</v>
      </c>
      <c r="L8" s="273" t="s">
        <v>1776</v>
      </c>
      <c r="M8" s="274" t="s">
        <v>1777</v>
      </c>
      <c r="N8" s="275" t="s">
        <v>1778</v>
      </c>
      <c r="O8" s="274" t="s">
        <v>1777</v>
      </c>
      <c r="P8" s="26"/>
      <c r="Q8" s="157" t="s">
        <v>537</v>
      </c>
      <c r="R8" s="158" t="s">
        <v>1766</v>
      </c>
      <c r="S8" s="157" t="s">
        <v>1767</v>
      </c>
      <c r="T8" s="157" t="s">
        <v>2423</v>
      </c>
      <c r="U8" s="273" t="s">
        <v>1776</v>
      </c>
      <c r="V8" s="274" t="s">
        <v>1777</v>
      </c>
      <c r="W8" s="275" t="s">
        <v>1778</v>
      </c>
      <c r="X8" s="274" t="s">
        <v>1777</v>
      </c>
      <c r="Y8" s="26"/>
      <c r="Z8" s="157" t="s">
        <v>537</v>
      </c>
      <c r="AA8" s="158" t="s">
        <v>1766</v>
      </c>
      <c r="AB8" s="157" t="s">
        <v>1767</v>
      </c>
      <c r="AC8" s="157" t="s">
        <v>1768</v>
      </c>
      <c r="AD8" s="273" t="s">
        <v>1776</v>
      </c>
      <c r="AE8" s="274" t="s">
        <v>1777</v>
      </c>
      <c r="AF8" s="275" t="s">
        <v>1778</v>
      </c>
      <c r="AG8" s="274" t="s">
        <v>1777</v>
      </c>
      <c r="AH8" s="62"/>
      <c r="AI8" s="157" t="s">
        <v>537</v>
      </c>
      <c r="AJ8" s="158" t="s">
        <v>1766</v>
      </c>
      <c r="AK8" s="157" t="s">
        <v>1767</v>
      </c>
      <c r="AL8" s="157" t="s">
        <v>1768</v>
      </c>
      <c r="AM8" s="273" t="s">
        <v>1776</v>
      </c>
      <c r="AN8" s="274" t="s">
        <v>1777</v>
      </c>
      <c r="AO8" s="275" t="s">
        <v>1778</v>
      </c>
      <c r="AP8" s="274" t="s">
        <v>1777</v>
      </c>
      <c r="AQ8" s="26"/>
      <c r="AR8" s="157" t="s">
        <v>537</v>
      </c>
      <c r="AS8" s="158" t="s">
        <v>1766</v>
      </c>
      <c r="AT8" s="27" t="s">
        <v>26</v>
      </c>
      <c r="AU8" s="27" t="s">
        <v>27</v>
      </c>
      <c r="AV8" s="28" t="s">
        <v>23</v>
      </c>
      <c r="AW8" s="29" t="s">
        <v>24</v>
      </c>
      <c r="AX8" s="30" t="s">
        <v>25</v>
      </c>
      <c r="AY8" s="29" t="s">
        <v>24</v>
      </c>
      <c r="AZ8" s="26"/>
      <c r="BA8" s="157" t="s">
        <v>537</v>
      </c>
      <c r="BB8" s="158" t="s">
        <v>1766</v>
      </c>
      <c r="BC8" s="27" t="s">
        <v>26</v>
      </c>
      <c r="BD8" s="27" t="s">
        <v>27</v>
      </c>
      <c r="BE8" s="28" t="s">
        <v>23</v>
      </c>
      <c r="BF8" s="29" t="s">
        <v>24</v>
      </c>
      <c r="BG8" s="30" t="s">
        <v>25</v>
      </c>
      <c r="BH8" s="29" t="s">
        <v>24</v>
      </c>
      <c r="BI8" s="26"/>
      <c r="BJ8" s="157" t="s">
        <v>537</v>
      </c>
      <c r="BK8" s="158" t="s">
        <v>1766</v>
      </c>
      <c r="BL8" s="27" t="s">
        <v>26</v>
      </c>
      <c r="BM8" s="27" t="s">
        <v>27</v>
      </c>
      <c r="BN8" s="28" t="s">
        <v>23</v>
      </c>
      <c r="BO8" s="29" t="s">
        <v>24</v>
      </c>
      <c r="BP8" s="30" t="s">
        <v>25</v>
      </c>
      <c r="BQ8" s="29" t="s">
        <v>24</v>
      </c>
      <c r="BR8" s="26"/>
      <c r="BS8" s="118" t="s">
        <v>535</v>
      </c>
      <c r="BT8" s="59" t="s">
        <v>22</v>
      </c>
      <c r="BU8" s="27" t="s">
        <v>26</v>
      </c>
      <c r="BV8" s="27" t="s">
        <v>27</v>
      </c>
      <c r="BW8" s="28" t="s">
        <v>23</v>
      </c>
      <c r="BX8" s="29" t="s">
        <v>24</v>
      </c>
      <c r="BY8" s="30" t="s">
        <v>25</v>
      </c>
      <c r="BZ8" s="29" t="s">
        <v>24</v>
      </c>
      <c r="CA8" s="26"/>
      <c r="CB8" s="118" t="s">
        <v>535</v>
      </c>
      <c r="CC8" s="59" t="s">
        <v>22</v>
      </c>
      <c r="CD8" s="27" t="s">
        <v>26</v>
      </c>
      <c r="CE8" s="27" t="s">
        <v>27</v>
      </c>
      <c r="CF8" s="28" t="s">
        <v>23</v>
      </c>
      <c r="CG8" s="29" t="s">
        <v>24</v>
      </c>
      <c r="CH8" s="30" t="s">
        <v>25</v>
      </c>
      <c r="CI8" s="29" t="s">
        <v>24</v>
      </c>
      <c r="CJ8" s="26"/>
      <c r="CK8" s="118" t="s">
        <v>535</v>
      </c>
      <c r="CL8" s="59" t="s">
        <v>22</v>
      </c>
      <c r="CM8" s="27" t="s">
        <v>26</v>
      </c>
      <c r="CN8" s="27" t="s">
        <v>27</v>
      </c>
      <c r="CO8" s="28" t="s">
        <v>23</v>
      </c>
      <c r="CP8" s="29" t="s">
        <v>24</v>
      </c>
      <c r="CQ8" s="30" t="s">
        <v>25</v>
      </c>
      <c r="CR8" s="29" t="s">
        <v>24</v>
      </c>
      <c r="CS8" s="54"/>
      <c r="CV8" s="243" t="s">
        <v>1201</v>
      </c>
      <c r="CW8" s="244" t="s">
        <v>1728</v>
      </c>
    </row>
    <row r="9" spans="1:101" ht="26" x14ac:dyDescent="0.25">
      <c r="A9" s="17" t="s">
        <v>1779</v>
      </c>
      <c r="B9" s="17" t="s">
        <v>1593</v>
      </c>
      <c r="C9" s="17" t="s">
        <v>1594</v>
      </c>
      <c r="D9" s="17" t="b">
        <f>B9=G9</f>
        <v>1</v>
      </c>
      <c r="E9" s="161" t="s">
        <v>1779</v>
      </c>
      <c r="F9" s="162" t="s">
        <v>1591</v>
      </c>
      <c r="G9" s="240" t="s">
        <v>1593</v>
      </c>
      <c r="H9" s="211" t="s">
        <v>1594</v>
      </c>
      <c r="I9" s="31"/>
      <c r="J9" s="32" t="s">
        <v>354</v>
      </c>
      <c r="K9" s="166" t="s">
        <v>31</v>
      </c>
      <c r="L9" s="111" t="s">
        <v>2470</v>
      </c>
      <c r="M9" s="112"/>
      <c r="N9" s="113"/>
      <c r="O9" s="112"/>
      <c r="P9" s="31"/>
      <c r="Q9" s="32"/>
      <c r="R9" s="166"/>
      <c r="S9" s="88" t="str">
        <f t="shared" ref="S9:S65" si="0">IF(LEFT(R9,1)&lt;&gt;"x","NA",IF(RIGHT(Q9,3)=RIGHT(J9,3),IF(RIGHT(Q9,3)&lt;&gt;RIGHT(J9,3),IF(OR(AND(RIGHT(Q9,3)=RIGHT(J9,3),R9=K9)),"NO","YES"),"NO"),IF(OR(RIGHT(Q9,3)=RIGHT(J9,3)),"ERROR","YES")))</f>
        <v>NA</v>
      </c>
      <c r="T9" s="88" t="str">
        <f t="shared" ref="T9:T65" si="1">IF(LEFT(K9,1)&lt;&gt;LEFT(R9,1),"YES",IF(LEFT(R9,1)="x","NO","NA"))</f>
        <v>YES</v>
      </c>
      <c r="U9" s="111"/>
      <c r="V9" s="112"/>
      <c r="W9" s="113"/>
      <c r="X9" s="112"/>
      <c r="Y9" s="31"/>
      <c r="Z9" s="32"/>
      <c r="AA9" s="90"/>
      <c r="AB9" s="124" t="str">
        <f t="shared" ref="AB9" si="2">IF(LEFT(AA9,1)&lt;&gt;"x","NA",IF(RIGHT(Z9,3)=RIGHT(Q9,3),IF(RIGHT(Z9,3)&lt;&gt;RIGHT(J9,3),IF(OR(AND(RIGHT(Z9,3)=RIGHT(Q9,3),AA9=R9),AND(RIGHT(Z9,3)=RIGHT(J9,3),AA9=K9)),"NO","YES"),"NO"),IF(OR(RIGHT(Z9,3)=RIGHT(Q9,3),RIGHT(Z9,3)=RIGHT(J9,3)),"ERROR","YES")))</f>
        <v>NA</v>
      </c>
      <c r="AC9" s="88" t="str">
        <f t="shared" ref="AC9" si="3">IF(LEFT(R9,1)&lt;&gt;LEFT(AA9,1),"YES",IF(LEFT(AA9,1)="x","NO","NA"))</f>
        <v>NA</v>
      </c>
      <c r="AD9" s="111"/>
      <c r="AE9" s="112"/>
      <c r="AF9" s="113"/>
      <c r="AG9" s="112"/>
      <c r="AH9" s="31"/>
      <c r="AI9" s="32"/>
      <c r="AJ9" s="166"/>
      <c r="AK9" s="124" t="str">
        <f t="shared" ref="AK9:AK65" si="4">IF(LEFT(AJ9,1)&lt;&gt;"x","NA",IF(RIGHT(AI9,3)=RIGHT(Z9,3),IF(RIGHT(AI9,3)&lt;&gt;RIGHT(S9,3),IF(OR(AND(RIGHT(AI9,3)=RIGHT(Z9,3),AJ9=AA9),AND(RIGHT(AI9,3)=RIGHT(S9,3),AJ9=T9)),"NO","YES"),"NO"),IF(OR(RIGHT(AI9,3)=RIGHT(Z9,3),RIGHT(AI9,3)=RIGHT(S9,3)),"ERROR","YES")))</f>
        <v>NA</v>
      </c>
      <c r="AL9" s="88" t="str">
        <f t="shared" ref="AL9:AL65" si="5">IF(LEFT(AA9,1)&lt;&gt;LEFT(AJ9,1),"YES",IF(LEFT(AJ9,1)="x","NO","NA"))</f>
        <v>NA</v>
      </c>
      <c r="AM9" s="111"/>
      <c r="AN9" s="112"/>
      <c r="AO9" s="113"/>
      <c r="AP9" s="112"/>
      <c r="AQ9" s="31"/>
      <c r="AR9" s="32"/>
      <c r="AS9" s="90"/>
      <c r="AT9" s="88"/>
      <c r="AU9" s="88"/>
      <c r="AV9" s="111"/>
      <c r="AW9" s="112"/>
      <c r="AX9" s="113"/>
      <c r="AY9" s="112"/>
      <c r="AZ9" s="31"/>
      <c r="BA9" s="32"/>
      <c r="BB9" s="90"/>
      <c r="BC9" s="88"/>
      <c r="BD9" s="88"/>
      <c r="BE9" s="111"/>
      <c r="BF9" s="112"/>
      <c r="BG9" s="113"/>
      <c r="BH9" s="112"/>
      <c r="BI9" s="31"/>
      <c r="BJ9" s="32"/>
      <c r="BK9" s="90"/>
      <c r="BL9" s="88"/>
      <c r="BM9" s="88"/>
      <c r="BN9" s="111"/>
      <c r="BO9" s="112"/>
      <c r="BP9" s="113"/>
      <c r="BQ9" s="112"/>
      <c r="BR9" s="31"/>
      <c r="BS9" s="32"/>
      <c r="BT9" s="90"/>
      <c r="BU9" s="88"/>
      <c r="BV9" s="88"/>
      <c r="BW9" s="111"/>
      <c r="BX9" s="112"/>
      <c r="BY9" s="113"/>
      <c r="BZ9" s="112"/>
      <c r="CA9" s="31"/>
      <c r="CB9" s="32"/>
      <c r="CC9" s="90"/>
      <c r="CD9" s="88"/>
      <c r="CE9" s="88"/>
      <c r="CF9" s="111"/>
      <c r="CG9" s="112"/>
      <c r="CH9" s="113"/>
      <c r="CI9" s="112"/>
      <c r="CJ9" s="31"/>
      <c r="CK9" s="32"/>
      <c r="CL9" s="90"/>
      <c r="CM9" s="88"/>
      <c r="CN9" s="88"/>
      <c r="CO9" s="111"/>
      <c r="CP9" s="112"/>
      <c r="CQ9" s="113"/>
      <c r="CR9" s="112"/>
      <c r="CS9" s="55"/>
      <c r="CV9" s="48" t="s">
        <v>1589</v>
      </c>
      <c r="CW9" s="48" t="s">
        <v>541</v>
      </c>
    </row>
    <row r="10" spans="1:101" ht="117" x14ac:dyDescent="0.25">
      <c r="A10" s="17" t="s">
        <v>1780</v>
      </c>
      <c r="B10" s="17" t="s">
        <v>1595</v>
      </c>
      <c r="C10" s="17" t="s">
        <v>1596</v>
      </c>
      <c r="D10" s="17" t="b">
        <f t="shared" ref="D10:D65" si="6">B10=G10</f>
        <v>1</v>
      </c>
      <c r="E10" s="161" t="s">
        <v>1780</v>
      </c>
      <c r="F10" s="162" t="s">
        <v>1592</v>
      </c>
      <c r="G10" s="240" t="s">
        <v>1595</v>
      </c>
      <c r="H10" s="241" t="s">
        <v>1596</v>
      </c>
      <c r="I10" s="31"/>
      <c r="J10" s="32" t="s">
        <v>354</v>
      </c>
      <c r="K10" s="166" t="s">
        <v>31</v>
      </c>
      <c r="L10" s="111" t="s">
        <v>2470</v>
      </c>
      <c r="M10" s="112"/>
      <c r="N10" s="113"/>
      <c r="O10" s="112"/>
      <c r="P10" s="31"/>
      <c r="Q10" s="32"/>
      <c r="R10" s="166"/>
      <c r="S10" s="88" t="str">
        <f t="shared" si="0"/>
        <v>NA</v>
      </c>
      <c r="T10" s="88" t="str">
        <f t="shared" si="1"/>
        <v>YES</v>
      </c>
      <c r="U10" s="111"/>
      <c r="V10" s="112"/>
      <c r="W10" s="113"/>
      <c r="X10" s="112"/>
      <c r="Y10" s="31"/>
      <c r="Z10" s="32"/>
      <c r="AA10" s="90"/>
      <c r="AB10" s="124" t="str">
        <f t="shared" ref="AB10:AB65" si="7">IF(LEFT(AA10,1)&lt;&gt;"x","NA",IF(RIGHT(Z10,3)=RIGHT(Q10,3),IF(RIGHT(Z10,3)&lt;&gt;RIGHT(J10,3),IF(OR(AND(RIGHT(Z10,3)=RIGHT(Q10,3),AA10=R10),AND(RIGHT(Z10,3)=RIGHT(J10,3),AA10=K10)),"NO","YES"),"NO"),IF(OR(RIGHT(Z10,3)=RIGHT(Q10,3),RIGHT(Z10,3)=RIGHT(J10,3)),"ERROR","YES")))</f>
        <v>NA</v>
      </c>
      <c r="AC10" s="88" t="str">
        <f t="shared" ref="AC10:AC65" si="8">IF(LEFT(R10,1)&lt;&gt;LEFT(AA10,1),"YES",IF(LEFT(AA10,1)="x","NO","NA"))</f>
        <v>NA</v>
      </c>
      <c r="AD10" s="111"/>
      <c r="AE10" s="112"/>
      <c r="AF10" s="113"/>
      <c r="AG10" s="112"/>
      <c r="AH10" s="31"/>
      <c r="AI10" s="32"/>
      <c r="AJ10" s="166"/>
      <c r="AK10" s="124" t="str">
        <f t="shared" si="4"/>
        <v>NA</v>
      </c>
      <c r="AL10" s="88" t="str">
        <f t="shared" si="5"/>
        <v>NA</v>
      </c>
      <c r="AM10" s="111"/>
      <c r="AN10" s="112"/>
      <c r="AO10" s="113"/>
      <c r="AP10" s="112"/>
      <c r="AQ10" s="31"/>
      <c r="AR10" s="32"/>
      <c r="AS10" s="90"/>
      <c r="AT10" s="88"/>
      <c r="AU10" s="88"/>
      <c r="AV10" s="111"/>
      <c r="AW10" s="112"/>
      <c r="AX10" s="113"/>
      <c r="AY10" s="112"/>
      <c r="AZ10" s="31"/>
      <c r="BA10" s="32"/>
      <c r="BB10" s="90"/>
      <c r="BC10" s="88"/>
      <c r="BD10" s="88"/>
      <c r="BE10" s="111"/>
      <c r="BF10" s="112"/>
      <c r="BG10" s="113"/>
      <c r="BH10" s="112"/>
      <c r="BI10" s="31"/>
      <c r="BJ10" s="32"/>
      <c r="BK10" s="90"/>
      <c r="BL10" s="88"/>
      <c r="BM10" s="88"/>
      <c r="BN10" s="111"/>
      <c r="BO10" s="112"/>
      <c r="BP10" s="113"/>
      <c r="BQ10" s="112"/>
      <c r="BR10" s="31"/>
      <c r="BS10" s="32"/>
      <c r="BT10" s="90"/>
      <c r="BU10" s="88"/>
      <c r="BV10" s="88"/>
      <c r="BW10" s="111"/>
      <c r="BX10" s="112"/>
      <c r="BY10" s="113"/>
      <c r="BZ10" s="112"/>
      <c r="CA10" s="31"/>
      <c r="CB10" s="32"/>
      <c r="CC10" s="90"/>
      <c r="CD10" s="88"/>
      <c r="CE10" s="88"/>
      <c r="CF10" s="111"/>
      <c r="CG10" s="112"/>
      <c r="CH10" s="113"/>
      <c r="CI10" s="112"/>
      <c r="CJ10" s="31"/>
      <c r="CK10" s="32"/>
      <c r="CL10" s="90"/>
      <c r="CM10" s="88"/>
      <c r="CN10" s="88"/>
      <c r="CO10" s="111"/>
      <c r="CP10" s="112"/>
      <c r="CQ10" s="113"/>
      <c r="CR10" s="112"/>
      <c r="CS10" s="55"/>
      <c r="CV10" s="48" t="s">
        <v>541</v>
      </c>
      <c r="CW10" s="48" t="s">
        <v>1233</v>
      </c>
    </row>
    <row r="11" spans="1:101" ht="182" hidden="1" x14ac:dyDescent="0.25">
      <c r="A11" s="17" t="s">
        <v>1781</v>
      </c>
      <c r="B11" s="17" t="s">
        <v>1750</v>
      </c>
      <c r="C11" s="17" t="s">
        <v>1627</v>
      </c>
      <c r="D11" s="17" t="b">
        <f t="shared" si="6"/>
        <v>1</v>
      </c>
      <c r="E11" s="163" t="s">
        <v>1781</v>
      </c>
      <c r="F11" s="163" t="s">
        <v>982</v>
      </c>
      <c r="G11" s="245" t="s">
        <v>1750</v>
      </c>
      <c r="H11" s="121" t="s">
        <v>1627</v>
      </c>
      <c r="I11" s="31"/>
      <c r="J11" s="32" t="s">
        <v>354</v>
      </c>
      <c r="K11" s="166"/>
      <c r="L11" s="111"/>
      <c r="M11" s="112"/>
      <c r="N11" s="113"/>
      <c r="O11" s="112"/>
      <c r="P11" s="31"/>
      <c r="Q11" s="32"/>
      <c r="R11" s="166"/>
      <c r="S11" s="88" t="str">
        <f t="shared" si="0"/>
        <v>NA</v>
      </c>
      <c r="T11" s="88" t="str">
        <f t="shared" si="1"/>
        <v>NA</v>
      </c>
      <c r="U11" s="111"/>
      <c r="V11" s="112"/>
      <c r="W11" s="113"/>
      <c r="X11" s="112"/>
      <c r="Y11" s="31"/>
      <c r="Z11" s="32"/>
      <c r="AA11" s="90"/>
      <c r="AB11" s="124" t="str">
        <f t="shared" si="7"/>
        <v>NA</v>
      </c>
      <c r="AC11" s="88" t="str">
        <f t="shared" si="8"/>
        <v>NA</v>
      </c>
      <c r="AD11" s="111"/>
      <c r="AE11" s="112"/>
      <c r="AF11" s="113"/>
      <c r="AG11" s="112"/>
      <c r="AH11" s="31"/>
      <c r="AI11" s="32"/>
      <c r="AJ11" s="166"/>
      <c r="AK11" s="124" t="str">
        <f t="shared" si="4"/>
        <v>NA</v>
      </c>
      <c r="AL11" s="88" t="str">
        <f t="shared" si="5"/>
        <v>NA</v>
      </c>
      <c r="AM11" s="111"/>
      <c r="AN11" s="112"/>
      <c r="AO11" s="113"/>
      <c r="AP11" s="112"/>
      <c r="AQ11" s="31"/>
      <c r="AR11" s="32"/>
      <c r="AS11" s="90"/>
      <c r="AT11" s="88"/>
      <c r="AU11" s="88"/>
      <c r="AV11" s="111"/>
      <c r="AW11" s="112"/>
      <c r="AX11" s="113"/>
      <c r="AY11" s="112"/>
      <c r="AZ11" s="31"/>
      <c r="BA11" s="32"/>
      <c r="BB11" s="90"/>
      <c r="BC11" s="88"/>
      <c r="BD11" s="88"/>
      <c r="BE11" s="111"/>
      <c r="BF11" s="112"/>
      <c r="BG11" s="113"/>
      <c r="BH11" s="112"/>
      <c r="BI11" s="31"/>
      <c r="BJ11" s="32"/>
      <c r="BK11" s="90"/>
      <c r="BL11" s="88"/>
      <c r="BM11" s="88"/>
      <c r="BN11" s="111"/>
      <c r="BO11" s="112"/>
      <c r="BP11" s="113"/>
      <c r="BQ11" s="112"/>
      <c r="BR11" s="31"/>
      <c r="BS11" s="32"/>
      <c r="BT11" s="90"/>
      <c r="BU11" s="88"/>
      <c r="BV11" s="88"/>
      <c r="BW11" s="111"/>
      <c r="BX11" s="112"/>
      <c r="BY11" s="113"/>
      <c r="BZ11" s="112"/>
      <c r="CA11" s="31"/>
      <c r="CB11" s="32"/>
      <c r="CC11" s="90"/>
      <c r="CD11" s="88"/>
      <c r="CE11" s="88"/>
      <c r="CF11" s="111"/>
      <c r="CG11" s="112"/>
      <c r="CH11" s="113"/>
      <c r="CI11" s="112"/>
      <c r="CJ11" s="31"/>
      <c r="CK11" s="32"/>
      <c r="CL11" s="90"/>
      <c r="CM11" s="88"/>
      <c r="CN11" s="88"/>
      <c r="CO11" s="111"/>
      <c r="CP11" s="112"/>
      <c r="CQ11" s="113"/>
      <c r="CR11" s="112"/>
      <c r="CS11" s="55"/>
      <c r="CV11" s="48" t="s">
        <v>1590</v>
      </c>
      <c r="CW11" s="48" t="s">
        <v>1233</v>
      </c>
    </row>
    <row r="12" spans="1:101" ht="234" hidden="1" x14ac:dyDescent="0.25">
      <c r="A12" s="17" t="s">
        <v>1782</v>
      </c>
      <c r="B12" s="17" t="s">
        <v>1751</v>
      </c>
      <c r="C12" s="17" t="s">
        <v>1756</v>
      </c>
      <c r="D12" s="17" t="b">
        <f t="shared" si="6"/>
        <v>1</v>
      </c>
      <c r="E12" s="163" t="s">
        <v>1782</v>
      </c>
      <c r="F12" s="162" t="s">
        <v>983</v>
      </c>
      <c r="G12" s="245" t="s">
        <v>1751</v>
      </c>
      <c r="H12" s="122" t="s">
        <v>1756</v>
      </c>
      <c r="I12" s="31"/>
      <c r="J12" s="32" t="s">
        <v>354</v>
      </c>
      <c r="K12" s="166"/>
      <c r="L12" s="111"/>
      <c r="M12" s="112"/>
      <c r="N12" s="113"/>
      <c r="O12" s="112"/>
      <c r="P12" s="31"/>
      <c r="Q12" s="32"/>
      <c r="R12" s="166"/>
      <c r="S12" s="88" t="str">
        <f t="shared" si="0"/>
        <v>NA</v>
      </c>
      <c r="T12" s="88" t="str">
        <f t="shared" si="1"/>
        <v>NA</v>
      </c>
      <c r="U12" s="111"/>
      <c r="V12" s="112"/>
      <c r="W12" s="113"/>
      <c r="X12" s="112"/>
      <c r="Y12" s="31"/>
      <c r="Z12" s="32"/>
      <c r="AA12" s="90"/>
      <c r="AB12" s="124" t="str">
        <f t="shared" si="7"/>
        <v>NA</v>
      </c>
      <c r="AC12" s="88" t="str">
        <f t="shared" si="8"/>
        <v>NA</v>
      </c>
      <c r="AD12" s="111"/>
      <c r="AE12" s="112"/>
      <c r="AF12" s="113"/>
      <c r="AG12" s="112"/>
      <c r="AH12" s="31"/>
      <c r="AI12" s="32"/>
      <c r="AJ12" s="166"/>
      <c r="AK12" s="124" t="str">
        <f t="shared" si="4"/>
        <v>NA</v>
      </c>
      <c r="AL12" s="88" t="str">
        <f t="shared" si="5"/>
        <v>NA</v>
      </c>
      <c r="AM12" s="111"/>
      <c r="AN12" s="112"/>
      <c r="AO12" s="113"/>
      <c r="AP12" s="112"/>
      <c r="AQ12" s="31"/>
      <c r="AR12" s="32"/>
      <c r="AS12" s="90"/>
      <c r="AT12" s="88"/>
      <c r="AU12" s="88"/>
      <c r="AV12" s="111"/>
      <c r="AW12" s="112"/>
      <c r="AX12" s="113"/>
      <c r="AY12" s="112"/>
      <c r="AZ12" s="31"/>
      <c r="BA12" s="32"/>
      <c r="BB12" s="90"/>
      <c r="BC12" s="88"/>
      <c r="BD12" s="88"/>
      <c r="BE12" s="111"/>
      <c r="BF12" s="112"/>
      <c r="BG12" s="113"/>
      <c r="BH12" s="112"/>
      <c r="BI12" s="31"/>
      <c r="BJ12" s="32"/>
      <c r="BK12" s="90"/>
      <c r="BL12" s="88"/>
      <c r="BM12" s="88"/>
      <c r="BN12" s="111"/>
      <c r="BO12" s="112"/>
      <c r="BP12" s="113"/>
      <c r="BQ12" s="112"/>
      <c r="BR12" s="31"/>
      <c r="BS12" s="32"/>
      <c r="BT12" s="90"/>
      <c r="BU12" s="88"/>
      <c r="BV12" s="88"/>
      <c r="BW12" s="111"/>
      <c r="BX12" s="112"/>
      <c r="BY12" s="113"/>
      <c r="BZ12" s="112"/>
      <c r="CA12" s="31"/>
      <c r="CB12" s="32"/>
      <c r="CC12" s="90"/>
      <c r="CD12" s="88"/>
      <c r="CE12" s="88"/>
      <c r="CF12" s="111"/>
      <c r="CG12" s="112"/>
      <c r="CH12" s="113"/>
      <c r="CI12" s="112"/>
      <c r="CJ12" s="31"/>
      <c r="CK12" s="32"/>
      <c r="CL12" s="90"/>
      <c r="CM12" s="88"/>
      <c r="CN12" s="88"/>
      <c r="CO12" s="111"/>
      <c r="CP12" s="112"/>
      <c r="CQ12" s="113"/>
      <c r="CR12" s="112"/>
      <c r="CS12" s="55"/>
      <c r="CV12" s="48" t="s">
        <v>1590</v>
      </c>
      <c r="CW12" s="48" t="s">
        <v>1233</v>
      </c>
    </row>
    <row r="13" spans="1:101" ht="182" hidden="1" x14ac:dyDescent="0.25">
      <c r="A13" s="17" t="s">
        <v>1783</v>
      </c>
      <c r="B13" s="17" t="s">
        <v>1752</v>
      </c>
      <c r="C13" s="17" t="s">
        <v>1757</v>
      </c>
      <c r="D13" s="17" t="b">
        <f t="shared" si="6"/>
        <v>1</v>
      </c>
      <c r="E13" s="163" t="s">
        <v>1783</v>
      </c>
      <c r="F13" s="162" t="s">
        <v>984</v>
      </c>
      <c r="G13" s="245" t="s">
        <v>1752</v>
      </c>
      <c r="H13" s="122" t="s">
        <v>1757</v>
      </c>
      <c r="I13" s="31"/>
      <c r="J13" s="32" t="s">
        <v>354</v>
      </c>
      <c r="K13" s="166"/>
      <c r="L13" s="111"/>
      <c r="M13" s="112"/>
      <c r="N13" s="113"/>
      <c r="O13" s="112"/>
      <c r="P13" s="31"/>
      <c r="Q13" s="32"/>
      <c r="R13" s="166"/>
      <c r="S13" s="88" t="str">
        <f t="shared" si="0"/>
        <v>NA</v>
      </c>
      <c r="T13" s="88" t="str">
        <f t="shared" si="1"/>
        <v>NA</v>
      </c>
      <c r="U13" s="111"/>
      <c r="V13" s="112"/>
      <c r="W13" s="113"/>
      <c r="X13" s="112"/>
      <c r="Y13" s="31"/>
      <c r="Z13" s="32"/>
      <c r="AA13" s="90"/>
      <c r="AB13" s="124" t="str">
        <f t="shared" si="7"/>
        <v>NA</v>
      </c>
      <c r="AC13" s="88" t="str">
        <f t="shared" si="8"/>
        <v>NA</v>
      </c>
      <c r="AD13" s="111"/>
      <c r="AE13" s="112"/>
      <c r="AF13" s="113"/>
      <c r="AG13" s="112"/>
      <c r="AH13" s="31"/>
      <c r="AI13" s="32"/>
      <c r="AJ13" s="166"/>
      <c r="AK13" s="124" t="str">
        <f t="shared" si="4"/>
        <v>NA</v>
      </c>
      <c r="AL13" s="88" t="str">
        <f t="shared" si="5"/>
        <v>NA</v>
      </c>
      <c r="AM13" s="111"/>
      <c r="AN13" s="112"/>
      <c r="AO13" s="113"/>
      <c r="AP13" s="112"/>
      <c r="AQ13" s="31"/>
      <c r="AR13" s="32"/>
      <c r="AS13" s="90"/>
      <c r="AT13" s="88"/>
      <c r="AU13" s="88"/>
      <c r="AV13" s="111"/>
      <c r="AW13" s="112"/>
      <c r="AX13" s="113"/>
      <c r="AY13" s="112"/>
      <c r="AZ13" s="31"/>
      <c r="BA13" s="32"/>
      <c r="BB13" s="90"/>
      <c r="BC13" s="88"/>
      <c r="BD13" s="88"/>
      <c r="BE13" s="111"/>
      <c r="BF13" s="112"/>
      <c r="BG13" s="113"/>
      <c r="BH13" s="112"/>
      <c r="BI13" s="31"/>
      <c r="BJ13" s="32"/>
      <c r="BK13" s="90"/>
      <c r="BL13" s="88"/>
      <c r="BM13" s="88"/>
      <c r="BN13" s="111"/>
      <c r="BO13" s="112"/>
      <c r="BP13" s="113"/>
      <c r="BQ13" s="112"/>
      <c r="BR13" s="31"/>
      <c r="BS13" s="32"/>
      <c r="BT13" s="90"/>
      <c r="BU13" s="88"/>
      <c r="BV13" s="88"/>
      <c r="BW13" s="111"/>
      <c r="BX13" s="112"/>
      <c r="BY13" s="113"/>
      <c r="BZ13" s="112"/>
      <c r="CA13" s="31"/>
      <c r="CB13" s="32"/>
      <c r="CC13" s="90"/>
      <c r="CD13" s="88"/>
      <c r="CE13" s="88"/>
      <c r="CF13" s="111"/>
      <c r="CG13" s="112"/>
      <c r="CH13" s="113"/>
      <c r="CI13" s="112"/>
      <c r="CJ13" s="31"/>
      <c r="CK13" s="32"/>
      <c r="CL13" s="90"/>
      <c r="CM13" s="88"/>
      <c r="CN13" s="88"/>
      <c r="CO13" s="111"/>
      <c r="CP13" s="112"/>
      <c r="CQ13" s="113"/>
      <c r="CR13" s="112"/>
      <c r="CS13" s="55"/>
      <c r="CV13" s="48" t="s">
        <v>1590</v>
      </c>
      <c r="CW13" s="48" t="s">
        <v>1233</v>
      </c>
    </row>
    <row r="14" spans="1:101" ht="182" hidden="1" x14ac:dyDescent="0.25">
      <c r="A14" s="17" t="s">
        <v>1784</v>
      </c>
      <c r="B14" s="17" t="s">
        <v>1753</v>
      </c>
      <c r="C14" s="17" t="s">
        <v>1758</v>
      </c>
      <c r="D14" s="17" t="b">
        <f t="shared" si="6"/>
        <v>1</v>
      </c>
      <c r="E14" s="163" t="s">
        <v>1784</v>
      </c>
      <c r="F14" s="162" t="s">
        <v>985</v>
      </c>
      <c r="G14" s="245" t="s">
        <v>1753</v>
      </c>
      <c r="H14" s="122" t="s">
        <v>1758</v>
      </c>
      <c r="I14" s="31"/>
      <c r="J14" s="32" t="s">
        <v>354</v>
      </c>
      <c r="K14" s="166"/>
      <c r="L14" s="111"/>
      <c r="M14" s="112"/>
      <c r="N14" s="113"/>
      <c r="O14" s="112"/>
      <c r="P14" s="31"/>
      <c r="Q14" s="32"/>
      <c r="R14" s="166"/>
      <c r="S14" s="88" t="str">
        <f t="shared" si="0"/>
        <v>NA</v>
      </c>
      <c r="T14" s="88" t="str">
        <f t="shared" si="1"/>
        <v>NA</v>
      </c>
      <c r="U14" s="111"/>
      <c r="V14" s="112"/>
      <c r="W14" s="113"/>
      <c r="X14" s="112"/>
      <c r="Y14" s="31"/>
      <c r="Z14" s="32"/>
      <c r="AA14" s="90"/>
      <c r="AB14" s="124" t="str">
        <f t="shared" si="7"/>
        <v>NA</v>
      </c>
      <c r="AC14" s="88" t="str">
        <f t="shared" si="8"/>
        <v>NA</v>
      </c>
      <c r="AD14" s="111"/>
      <c r="AE14" s="112"/>
      <c r="AF14" s="113"/>
      <c r="AG14" s="112"/>
      <c r="AH14" s="31"/>
      <c r="AI14" s="32"/>
      <c r="AJ14" s="166"/>
      <c r="AK14" s="124" t="str">
        <f t="shared" si="4"/>
        <v>NA</v>
      </c>
      <c r="AL14" s="88" t="str">
        <f t="shared" si="5"/>
        <v>NA</v>
      </c>
      <c r="AM14" s="111"/>
      <c r="AN14" s="112"/>
      <c r="AO14" s="113"/>
      <c r="AP14" s="112"/>
      <c r="AQ14" s="31"/>
      <c r="AR14" s="32"/>
      <c r="AS14" s="90"/>
      <c r="AT14" s="88"/>
      <c r="AU14" s="88"/>
      <c r="AV14" s="111"/>
      <c r="AW14" s="112"/>
      <c r="AX14" s="113"/>
      <c r="AY14" s="112"/>
      <c r="AZ14" s="31"/>
      <c r="BA14" s="32"/>
      <c r="BB14" s="90"/>
      <c r="BC14" s="88"/>
      <c r="BD14" s="88"/>
      <c r="BE14" s="111"/>
      <c r="BF14" s="112"/>
      <c r="BG14" s="113"/>
      <c r="BH14" s="112"/>
      <c r="BI14" s="31"/>
      <c r="BJ14" s="32"/>
      <c r="BK14" s="90"/>
      <c r="BL14" s="88"/>
      <c r="BM14" s="88"/>
      <c r="BN14" s="111"/>
      <c r="BO14" s="112"/>
      <c r="BP14" s="113"/>
      <c r="BQ14" s="112"/>
      <c r="BR14" s="31"/>
      <c r="BS14" s="32"/>
      <c r="BT14" s="90"/>
      <c r="BU14" s="88"/>
      <c r="BV14" s="88"/>
      <c r="BW14" s="111"/>
      <c r="BX14" s="112"/>
      <c r="BY14" s="113"/>
      <c r="BZ14" s="112"/>
      <c r="CA14" s="31"/>
      <c r="CB14" s="32"/>
      <c r="CC14" s="90"/>
      <c r="CD14" s="88"/>
      <c r="CE14" s="88"/>
      <c r="CF14" s="111"/>
      <c r="CG14" s="112"/>
      <c r="CH14" s="113"/>
      <c r="CI14" s="112"/>
      <c r="CJ14" s="31"/>
      <c r="CK14" s="32"/>
      <c r="CL14" s="90"/>
      <c r="CM14" s="88"/>
      <c r="CN14" s="88"/>
      <c r="CO14" s="111"/>
      <c r="CP14" s="112"/>
      <c r="CQ14" s="113"/>
      <c r="CR14" s="112"/>
      <c r="CS14" s="55"/>
      <c r="CV14" s="48" t="s">
        <v>1590</v>
      </c>
      <c r="CW14" s="48" t="s">
        <v>1233</v>
      </c>
    </row>
    <row r="15" spans="1:101" ht="182" hidden="1" x14ac:dyDescent="0.25">
      <c r="A15" s="17" t="s">
        <v>1785</v>
      </c>
      <c r="B15" s="17" t="s">
        <v>1754</v>
      </c>
      <c r="C15" s="17" t="s">
        <v>1635</v>
      </c>
      <c r="D15" s="17" t="b">
        <f t="shared" si="6"/>
        <v>1</v>
      </c>
      <c r="E15" s="163" t="s">
        <v>1785</v>
      </c>
      <c r="F15" s="162" t="s">
        <v>986</v>
      </c>
      <c r="G15" s="245" t="s">
        <v>1754</v>
      </c>
      <c r="H15" s="122" t="s">
        <v>1635</v>
      </c>
      <c r="I15" s="31"/>
      <c r="J15" s="32" t="s">
        <v>354</v>
      </c>
      <c r="K15" s="166"/>
      <c r="L15" s="111"/>
      <c r="M15" s="112"/>
      <c r="N15" s="113"/>
      <c r="O15" s="112"/>
      <c r="P15" s="31"/>
      <c r="Q15" s="32"/>
      <c r="R15" s="166"/>
      <c r="S15" s="88" t="str">
        <f t="shared" si="0"/>
        <v>NA</v>
      </c>
      <c r="T15" s="88" t="str">
        <f t="shared" si="1"/>
        <v>NA</v>
      </c>
      <c r="U15" s="111"/>
      <c r="V15" s="112"/>
      <c r="W15" s="113"/>
      <c r="X15" s="112"/>
      <c r="Y15" s="31"/>
      <c r="Z15" s="32"/>
      <c r="AA15" s="90"/>
      <c r="AB15" s="124" t="str">
        <f t="shared" si="7"/>
        <v>NA</v>
      </c>
      <c r="AC15" s="88" t="str">
        <f t="shared" si="8"/>
        <v>NA</v>
      </c>
      <c r="AD15" s="111"/>
      <c r="AE15" s="112"/>
      <c r="AF15" s="113"/>
      <c r="AG15" s="112"/>
      <c r="AH15" s="31"/>
      <c r="AI15" s="32"/>
      <c r="AJ15" s="166"/>
      <c r="AK15" s="124" t="str">
        <f t="shared" si="4"/>
        <v>NA</v>
      </c>
      <c r="AL15" s="88" t="str">
        <f t="shared" si="5"/>
        <v>NA</v>
      </c>
      <c r="AM15" s="111"/>
      <c r="AN15" s="112"/>
      <c r="AO15" s="113"/>
      <c r="AP15" s="112"/>
      <c r="AQ15" s="31"/>
      <c r="AR15" s="32"/>
      <c r="AS15" s="90"/>
      <c r="AT15" s="88"/>
      <c r="AU15" s="88"/>
      <c r="AV15" s="111"/>
      <c r="AW15" s="112"/>
      <c r="AX15" s="113"/>
      <c r="AY15" s="112"/>
      <c r="AZ15" s="31"/>
      <c r="BA15" s="32"/>
      <c r="BB15" s="90"/>
      <c r="BC15" s="88"/>
      <c r="BD15" s="88"/>
      <c r="BE15" s="111"/>
      <c r="BF15" s="112"/>
      <c r="BG15" s="113"/>
      <c r="BH15" s="112"/>
      <c r="BI15" s="31"/>
      <c r="BJ15" s="32"/>
      <c r="BK15" s="90"/>
      <c r="BL15" s="88"/>
      <c r="BM15" s="88"/>
      <c r="BN15" s="111"/>
      <c r="BO15" s="112"/>
      <c r="BP15" s="113"/>
      <c r="BQ15" s="112"/>
      <c r="BR15" s="31"/>
      <c r="BS15" s="32"/>
      <c r="BT15" s="90"/>
      <c r="BU15" s="88"/>
      <c r="BV15" s="88"/>
      <c r="BW15" s="111"/>
      <c r="BX15" s="112"/>
      <c r="BY15" s="113"/>
      <c r="BZ15" s="112"/>
      <c r="CA15" s="31"/>
      <c r="CB15" s="32"/>
      <c r="CC15" s="90"/>
      <c r="CD15" s="88"/>
      <c r="CE15" s="88"/>
      <c r="CF15" s="111"/>
      <c r="CG15" s="112"/>
      <c r="CH15" s="113"/>
      <c r="CI15" s="112"/>
      <c r="CJ15" s="31"/>
      <c r="CK15" s="32"/>
      <c r="CL15" s="90"/>
      <c r="CM15" s="88"/>
      <c r="CN15" s="88"/>
      <c r="CO15" s="111"/>
      <c r="CP15" s="112"/>
      <c r="CQ15" s="113"/>
      <c r="CR15" s="112"/>
      <c r="CS15" s="55"/>
      <c r="CV15" s="48" t="s">
        <v>1590</v>
      </c>
      <c r="CW15" s="48" t="s">
        <v>1233</v>
      </c>
    </row>
    <row r="16" spans="1:101" ht="182" hidden="1" x14ac:dyDescent="0.25">
      <c r="A16" s="17" t="s">
        <v>1786</v>
      </c>
      <c r="B16" s="17" t="s">
        <v>1755</v>
      </c>
      <c r="C16" s="17" t="s">
        <v>1759</v>
      </c>
      <c r="D16" s="17" t="b">
        <f t="shared" si="6"/>
        <v>1</v>
      </c>
      <c r="E16" s="163" t="s">
        <v>1786</v>
      </c>
      <c r="F16" s="162" t="s">
        <v>987</v>
      </c>
      <c r="G16" s="245" t="s">
        <v>1755</v>
      </c>
      <c r="H16" s="122" t="s">
        <v>1759</v>
      </c>
      <c r="I16" s="31"/>
      <c r="J16" s="32" t="s">
        <v>354</v>
      </c>
      <c r="K16" s="166"/>
      <c r="L16" s="111"/>
      <c r="M16" s="112"/>
      <c r="N16" s="113"/>
      <c r="O16" s="112"/>
      <c r="P16" s="31"/>
      <c r="Q16" s="32"/>
      <c r="R16" s="166"/>
      <c r="S16" s="88" t="str">
        <f t="shared" si="0"/>
        <v>NA</v>
      </c>
      <c r="T16" s="88" t="str">
        <f t="shared" si="1"/>
        <v>NA</v>
      </c>
      <c r="U16" s="111"/>
      <c r="V16" s="112"/>
      <c r="W16" s="113"/>
      <c r="X16" s="112"/>
      <c r="Y16" s="31"/>
      <c r="Z16" s="32"/>
      <c r="AA16" s="90"/>
      <c r="AB16" s="124" t="str">
        <f t="shared" si="7"/>
        <v>NA</v>
      </c>
      <c r="AC16" s="88" t="str">
        <f t="shared" si="8"/>
        <v>NA</v>
      </c>
      <c r="AD16" s="111"/>
      <c r="AE16" s="112"/>
      <c r="AF16" s="113"/>
      <c r="AG16" s="112"/>
      <c r="AH16" s="31"/>
      <c r="AI16" s="32"/>
      <c r="AJ16" s="166"/>
      <c r="AK16" s="124" t="str">
        <f t="shared" si="4"/>
        <v>NA</v>
      </c>
      <c r="AL16" s="88" t="str">
        <f t="shared" si="5"/>
        <v>NA</v>
      </c>
      <c r="AM16" s="111"/>
      <c r="AN16" s="112"/>
      <c r="AO16" s="113"/>
      <c r="AP16" s="112"/>
      <c r="AQ16" s="31"/>
      <c r="AR16" s="32"/>
      <c r="AS16" s="90"/>
      <c r="AT16" s="88"/>
      <c r="AU16" s="88"/>
      <c r="AV16" s="111"/>
      <c r="AW16" s="112"/>
      <c r="AX16" s="113"/>
      <c r="AY16" s="112"/>
      <c r="AZ16" s="31"/>
      <c r="BA16" s="32"/>
      <c r="BB16" s="90"/>
      <c r="BC16" s="88"/>
      <c r="BD16" s="88"/>
      <c r="BE16" s="111"/>
      <c r="BF16" s="112"/>
      <c r="BG16" s="113"/>
      <c r="BH16" s="112"/>
      <c r="BI16" s="31"/>
      <c r="BJ16" s="32"/>
      <c r="BK16" s="90"/>
      <c r="BL16" s="88"/>
      <c r="BM16" s="88"/>
      <c r="BN16" s="111"/>
      <c r="BO16" s="112"/>
      <c r="BP16" s="113"/>
      <c r="BQ16" s="112"/>
      <c r="BR16" s="31"/>
      <c r="BS16" s="32"/>
      <c r="BT16" s="90"/>
      <c r="BU16" s="88"/>
      <c r="BV16" s="88"/>
      <c r="BW16" s="111"/>
      <c r="BX16" s="112"/>
      <c r="BY16" s="113"/>
      <c r="BZ16" s="112"/>
      <c r="CA16" s="31"/>
      <c r="CB16" s="32"/>
      <c r="CC16" s="90"/>
      <c r="CD16" s="88"/>
      <c r="CE16" s="88"/>
      <c r="CF16" s="111"/>
      <c r="CG16" s="112"/>
      <c r="CH16" s="113"/>
      <c r="CI16" s="112"/>
      <c r="CJ16" s="31"/>
      <c r="CK16" s="32"/>
      <c r="CL16" s="90"/>
      <c r="CM16" s="88"/>
      <c r="CN16" s="88"/>
      <c r="CO16" s="111"/>
      <c r="CP16" s="112"/>
      <c r="CQ16" s="113"/>
      <c r="CR16" s="112"/>
      <c r="CS16" s="55"/>
      <c r="CV16" s="48" t="s">
        <v>1590</v>
      </c>
      <c r="CW16" s="48" t="s">
        <v>1233</v>
      </c>
    </row>
    <row r="17" spans="1:101" ht="169" hidden="1" x14ac:dyDescent="0.25">
      <c r="A17" s="17" t="s">
        <v>1787</v>
      </c>
      <c r="B17" s="17" t="s">
        <v>1599</v>
      </c>
      <c r="C17" s="17" t="s">
        <v>1600</v>
      </c>
      <c r="D17" s="17" t="b">
        <f t="shared" si="6"/>
        <v>1</v>
      </c>
      <c r="E17" s="161" t="s">
        <v>1787</v>
      </c>
      <c r="F17" s="162" t="s">
        <v>1597</v>
      </c>
      <c r="G17" s="240" t="s">
        <v>1599</v>
      </c>
      <c r="H17" s="211" t="s">
        <v>1600</v>
      </c>
      <c r="I17" s="31"/>
      <c r="J17" s="32" t="s">
        <v>354</v>
      </c>
      <c r="K17" s="166"/>
      <c r="L17" s="111"/>
      <c r="M17" s="112"/>
      <c r="N17" s="113"/>
      <c r="O17" s="112"/>
      <c r="P17" s="31"/>
      <c r="Q17" s="32"/>
      <c r="R17" s="166"/>
      <c r="S17" s="88" t="str">
        <f t="shared" si="0"/>
        <v>NA</v>
      </c>
      <c r="T17" s="88" t="str">
        <f t="shared" si="1"/>
        <v>NA</v>
      </c>
      <c r="U17" s="111"/>
      <c r="V17" s="112"/>
      <c r="W17" s="113"/>
      <c r="X17" s="112"/>
      <c r="Y17" s="31"/>
      <c r="Z17" s="32"/>
      <c r="AA17" s="90"/>
      <c r="AB17" s="124" t="str">
        <f t="shared" si="7"/>
        <v>NA</v>
      </c>
      <c r="AC17" s="88" t="str">
        <f t="shared" si="8"/>
        <v>NA</v>
      </c>
      <c r="AD17" s="111"/>
      <c r="AE17" s="112"/>
      <c r="AF17" s="113"/>
      <c r="AG17" s="112"/>
      <c r="AH17" s="31"/>
      <c r="AI17" s="32"/>
      <c r="AJ17" s="166"/>
      <c r="AK17" s="124" t="str">
        <f t="shared" si="4"/>
        <v>NA</v>
      </c>
      <c r="AL17" s="88" t="str">
        <f t="shared" si="5"/>
        <v>NA</v>
      </c>
      <c r="AM17" s="111"/>
      <c r="AN17" s="112"/>
      <c r="AO17" s="113"/>
      <c r="AP17" s="112"/>
      <c r="AQ17" s="31"/>
      <c r="AR17" s="32"/>
      <c r="AS17" s="90"/>
      <c r="AT17" s="88"/>
      <c r="AU17" s="88"/>
      <c r="AV17" s="111"/>
      <c r="AW17" s="112"/>
      <c r="AX17" s="113"/>
      <c r="AY17" s="112"/>
      <c r="AZ17" s="31"/>
      <c r="BA17" s="32"/>
      <c r="BB17" s="90"/>
      <c r="BC17" s="88"/>
      <c r="BD17" s="88"/>
      <c r="BE17" s="111"/>
      <c r="BF17" s="112"/>
      <c r="BG17" s="113"/>
      <c r="BH17" s="112"/>
      <c r="BI17" s="31"/>
      <c r="BJ17" s="32"/>
      <c r="BK17" s="90"/>
      <c r="BL17" s="88"/>
      <c r="BM17" s="88"/>
      <c r="BN17" s="111"/>
      <c r="BO17" s="112"/>
      <c r="BP17" s="113"/>
      <c r="BQ17" s="112"/>
      <c r="BR17" s="31"/>
      <c r="BS17" s="32"/>
      <c r="BT17" s="90"/>
      <c r="BU17" s="88"/>
      <c r="BV17" s="88"/>
      <c r="BW17" s="111"/>
      <c r="BX17" s="112"/>
      <c r="BY17" s="113"/>
      <c r="BZ17" s="112"/>
      <c r="CA17" s="31"/>
      <c r="CB17" s="32"/>
      <c r="CC17" s="90"/>
      <c r="CD17" s="88"/>
      <c r="CE17" s="88"/>
      <c r="CF17" s="111"/>
      <c r="CG17" s="112"/>
      <c r="CH17" s="113"/>
      <c r="CI17" s="112"/>
      <c r="CJ17" s="31"/>
      <c r="CK17" s="32"/>
      <c r="CL17" s="90"/>
      <c r="CM17" s="88"/>
      <c r="CN17" s="88"/>
      <c r="CO17" s="111"/>
      <c r="CP17" s="112"/>
      <c r="CQ17" s="113"/>
      <c r="CR17" s="112"/>
      <c r="CS17" s="55"/>
      <c r="CV17" s="48" t="s">
        <v>1590</v>
      </c>
      <c r="CW17" s="48" t="s">
        <v>1233</v>
      </c>
    </row>
    <row r="18" spans="1:101" ht="208" hidden="1" x14ac:dyDescent="0.25">
      <c r="A18" s="17" t="s">
        <v>1788</v>
      </c>
      <c r="B18" s="17" t="s">
        <v>1601</v>
      </c>
      <c r="C18" s="17" t="s">
        <v>1602</v>
      </c>
      <c r="D18" s="17" t="b">
        <f t="shared" si="6"/>
        <v>1</v>
      </c>
      <c r="E18" s="161" t="s">
        <v>1788</v>
      </c>
      <c r="F18" s="162" t="s">
        <v>1598</v>
      </c>
      <c r="G18" s="240" t="s">
        <v>1601</v>
      </c>
      <c r="H18" s="211" t="s">
        <v>1602</v>
      </c>
      <c r="I18" s="31"/>
      <c r="J18" s="32" t="s">
        <v>354</v>
      </c>
      <c r="K18" s="166"/>
      <c r="L18" s="111"/>
      <c r="M18" s="112"/>
      <c r="N18" s="113"/>
      <c r="O18" s="112"/>
      <c r="P18" s="31"/>
      <c r="Q18" s="32"/>
      <c r="R18" s="166"/>
      <c r="S18" s="88" t="str">
        <f t="shared" si="0"/>
        <v>NA</v>
      </c>
      <c r="T18" s="88" t="str">
        <f t="shared" si="1"/>
        <v>NA</v>
      </c>
      <c r="U18" s="111"/>
      <c r="V18" s="112"/>
      <c r="W18" s="113"/>
      <c r="X18" s="112"/>
      <c r="Y18" s="31"/>
      <c r="Z18" s="32"/>
      <c r="AA18" s="90"/>
      <c r="AB18" s="124" t="str">
        <f t="shared" si="7"/>
        <v>NA</v>
      </c>
      <c r="AC18" s="88" t="str">
        <f t="shared" si="8"/>
        <v>NA</v>
      </c>
      <c r="AD18" s="111"/>
      <c r="AE18" s="112"/>
      <c r="AF18" s="113"/>
      <c r="AG18" s="112"/>
      <c r="AH18" s="31"/>
      <c r="AI18" s="32"/>
      <c r="AJ18" s="166"/>
      <c r="AK18" s="124" t="str">
        <f t="shared" si="4"/>
        <v>NA</v>
      </c>
      <c r="AL18" s="88" t="str">
        <f t="shared" si="5"/>
        <v>NA</v>
      </c>
      <c r="AM18" s="111"/>
      <c r="AN18" s="112"/>
      <c r="AO18" s="113"/>
      <c r="AP18" s="112"/>
      <c r="AQ18" s="31"/>
      <c r="AR18" s="32"/>
      <c r="AS18" s="90"/>
      <c r="AT18" s="88"/>
      <c r="AU18" s="88"/>
      <c r="AV18" s="111"/>
      <c r="AW18" s="112"/>
      <c r="AX18" s="113"/>
      <c r="AY18" s="112"/>
      <c r="AZ18" s="31"/>
      <c r="BA18" s="32"/>
      <c r="BB18" s="90"/>
      <c r="BC18" s="88"/>
      <c r="BD18" s="88"/>
      <c r="BE18" s="111"/>
      <c r="BF18" s="112"/>
      <c r="BG18" s="113"/>
      <c r="BH18" s="112"/>
      <c r="BI18" s="31"/>
      <c r="BJ18" s="32"/>
      <c r="BK18" s="90"/>
      <c r="BL18" s="88"/>
      <c r="BM18" s="88"/>
      <c r="BN18" s="111"/>
      <c r="BO18" s="112"/>
      <c r="BP18" s="113"/>
      <c r="BQ18" s="112"/>
      <c r="BR18" s="31"/>
      <c r="BS18" s="32"/>
      <c r="BT18" s="90"/>
      <c r="BU18" s="88"/>
      <c r="BV18" s="88"/>
      <c r="BW18" s="111"/>
      <c r="BX18" s="112"/>
      <c r="BY18" s="113"/>
      <c r="BZ18" s="112"/>
      <c r="CA18" s="31"/>
      <c r="CB18" s="32"/>
      <c r="CC18" s="90"/>
      <c r="CD18" s="88"/>
      <c r="CE18" s="88"/>
      <c r="CF18" s="111"/>
      <c r="CG18" s="112"/>
      <c r="CH18" s="113"/>
      <c r="CI18" s="112"/>
      <c r="CJ18" s="31"/>
      <c r="CK18" s="32"/>
      <c r="CL18" s="90"/>
      <c r="CM18" s="88"/>
      <c r="CN18" s="88"/>
      <c r="CO18" s="111"/>
      <c r="CP18" s="112"/>
      <c r="CQ18" s="113"/>
      <c r="CR18" s="112"/>
      <c r="CS18" s="55"/>
      <c r="CV18" s="48" t="s">
        <v>1590</v>
      </c>
      <c r="CW18" s="48" t="s">
        <v>1233</v>
      </c>
    </row>
    <row r="19" spans="1:101" ht="130" hidden="1" x14ac:dyDescent="0.25">
      <c r="A19" s="17" t="s">
        <v>1789</v>
      </c>
      <c r="B19" s="17" t="s">
        <v>1729</v>
      </c>
      <c r="C19" s="17" t="s">
        <v>1642</v>
      </c>
      <c r="D19" s="17" t="b">
        <f t="shared" si="6"/>
        <v>1</v>
      </c>
      <c r="E19" s="163" t="s">
        <v>1789</v>
      </c>
      <c r="F19" s="162" t="s">
        <v>988</v>
      </c>
      <c r="G19" s="245" t="s">
        <v>1729</v>
      </c>
      <c r="H19" s="122" t="s">
        <v>1642</v>
      </c>
      <c r="I19" s="31"/>
      <c r="J19" s="32" t="s">
        <v>354</v>
      </c>
      <c r="K19" s="166"/>
      <c r="L19" s="111"/>
      <c r="M19" s="112"/>
      <c r="N19" s="113"/>
      <c r="O19" s="112"/>
      <c r="P19" s="31"/>
      <c r="Q19" s="32"/>
      <c r="R19" s="166"/>
      <c r="S19" s="88" t="str">
        <f t="shared" si="0"/>
        <v>NA</v>
      </c>
      <c r="T19" s="88" t="str">
        <f t="shared" si="1"/>
        <v>NA</v>
      </c>
      <c r="U19" s="111"/>
      <c r="V19" s="112"/>
      <c r="W19" s="113"/>
      <c r="X19" s="112"/>
      <c r="Y19" s="31"/>
      <c r="Z19" s="32"/>
      <c r="AA19" s="90"/>
      <c r="AB19" s="124" t="str">
        <f t="shared" si="7"/>
        <v>NA</v>
      </c>
      <c r="AC19" s="88" t="str">
        <f t="shared" si="8"/>
        <v>NA</v>
      </c>
      <c r="AD19" s="111"/>
      <c r="AE19" s="112"/>
      <c r="AF19" s="113"/>
      <c r="AG19" s="112"/>
      <c r="AH19" s="31"/>
      <c r="AI19" s="32"/>
      <c r="AJ19" s="166"/>
      <c r="AK19" s="124" t="str">
        <f t="shared" si="4"/>
        <v>NA</v>
      </c>
      <c r="AL19" s="88" t="str">
        <f t="shared" si="5"/>
        <v>NA</v>
      </c>
      <c r="AM19" s="111"/>
      <c r="AN19" s="112"/>
      <c r="AO19" s="113"/>
      <c r="AP19" s="112"/>
      <c r="AQ19" s="31"/>
      <c r="AR19" s="32"/>
      <c r="AS19" s="90"/>
      <c r="AT19" s="88"/>
      <c r="AU19" s="88"/>
      <c r="AV19" s="111"/>
      <c r="AW19" s="112"/>
      <c r="AX19" s="113"/>
      <c r="AY19" s="112"/>
      <c r="AZ19" s="31"/>
      <c r="BA19" s="32"/>
      <c r="BB19" s="90"/>
      <c r="BC19" s="88"/>
      <c r="BD19" s="88"/>
      <c r="BE19" s="111"/>
      <c r="BF19" s="112"/>
      <c r="BG19" s="113"/>
      <c r="BH19" s="112"/>
      <c r="BI19" s="31"/>
      <c r="BJ19" s="32"/>
      <c r="BK19" s="90"/>
      <c r="BL19" s="88"/>
      <c r="BM19" s="88"/>
      <c r="BN19" s="111"/>
      <c r="BO19" s="112"/>
      <c r="BP19" s="113"/>
      <c r="BQ19" s="112"/>
      <c r="BR19" s="31"/>
      <c r="BS19" s="32"/>
      <c r="BT19" s="90"/>
      <c r="BU19" s="88"/>
      <c r="BV19" s="88"/>
      <c r="BW19" s="111"/>
      <c r="BX19" s="112"/>
      <c r="BY19" s="113"/>
      <c r="BZ19" s="112"/>
      <c r="CA19" s="31"/>
      <c r="CB19" s="32"/>
      <c r="CC19" s="90"/>
      <c r="CD19" s="88"/>
      <c r="CE19" s="88"/>
      <c r="CF19" s="111"/>
      <c r="CG19" s="112"/>
      <c r="CH19" s="113"/>
      <c r="CI19" s="112"/>
      <c r="CJ19" s="31"/>
      <c r="CK19" s="32"/>
      <c r="CL19" s="90"/>
      <c r="CM19" s="88"/>
      <c r="CN19" s="88"/>
      <c r="CO19" s="111"/>
      <c r="CP19" s="112"/>
      <c r="CQ19" s="113"/>
      <c r="CR19" s="112"/>
      <c r="CS19" s="55"/>
      <c r="CV19" s="48" t="s">
        <v>1590</v>
      </c>
      <c r="CW19" s="48" t="s">
        <v>1233</v>
      </c>
    </row>
    <row r="20" spans="1:101" ht="195" hidden="1" x14ac:dyDescent="0.25">
      <c r="A20" s="17" t="s">
        <v>1790</v>
      </c>
      <c r="B20" s="17" t="s">
        <v>1730</v>
      </c>
      <c r="C20" s="17" t="s">
        <v>1644</v>
      </c>
      <c r="D20" s="17" t="b">
        <f t="shared" si="6"/>
        <v>1</v>
      </c>
      <c r="E20" s="163" t="s">
        <v>1790</v>
      </c>
      <c r="F20" s="162" t="s">
        <v>989</v>
      </c>
      <c r="G20" s="245" t="s">
        <v>1730</v>
      </c>
      <c r="H20" s="122" t="s">
        <v>1644</v>
      </c>
      <c r="I20" s="31"/>
      <c r="J20" s="32" t="s">
        <v>354</v>
      </c>
      <c r="K20" s="166"/>
      <c r="L20" s="111"/>
      <c r="M20" s="112"/>
      <c r="N20" s="113"/>
      <c r="O20" s="112"/>
      <c r="P20" s="31"/>
      <c r="Q20" s="32"/>
      <c r="R20" s="166"/>
      <c r="S20" s="88" t="str">
        <f t="shared" si="0"/>
        <v>NA</v>
      </c>
      <c r="T20" s="88" t="str">
        <f t="shared" si="1"/>
        <v>NA</v>
      </c>
      <c r="U20" s="111"/>
      <c r="V20" s="112"/>
      <c r="W20" s="113"/>
      <c r="X20" s="112"/>
      <c r="Y20" s="31"/>
      <c r="Z20" s="32"/>
      <c r="AA20" s="90"/>
      <c r="AB20" s="124" t="str">
        <f t="shared" si="7"/>
        <v>NA</v>
      </c>
      <c r="AC20" s="88" t="str">
        <f t="shared" si="8"/>
        <v>NA</v>
      </c>
      <c r="AD20" s="111"/>
      <c r="AE20" s="112"/>
      <c r="AF20" s="113"/>
      <c r="AG20" s="112"/>
      <c r="AH20" s="31"/>
      <c r="AI20" s="32"/>
      <c r="AJ20" s="166"/>
      <c r="AK20" s="124" t="str">
        <f t="shared" si="4"/>
        <v>NA</v>
      </c>
      <c r="AL20" s="88" t="str">
        <f t="shared" si="5"/>
        <v>NA</v>
      </c>
      <c r="AM20" s="111"/>
      <c r="AN20" s="112"/>
      <c r="AO20" s="113"/>
      <c r="AP20" s="112"/>
      <c r="AQ20" s="31"/>
      <c r="AR20" s="32"/>
      <c r="AS20" s="90"/>
      <c r="AT20" s="88"/>
      <c r="AU20" s="88"/>
      <c r="AV20" s="111"/>
      <c r="AW20" s="112"/>
      <c r="AX20" s="113"/>
      <c r="AY20" s="112"/>
      <c r="AZ20" s="31"/>
      <c r="BA20" s="32"/>
      <c r="BB20" s="90"/>
      <c r="BC20" s="88"/>
      <c r="BD20" s="88"/>
      <c r="BE20" s="111"/>
      <c r="BF20" s="112"/>
      <c r="BG20" s="113"/>
      <c r="BH20" s="112"/>
      <c r="BI20" s="31"/>
      <c r="BJ20" s="32"/>
      <c r="BK20" s="90"/>
      <c r="BL20" s="88"/>
      <c r="BM20" s="88"/>
      <c r="BN20" s="111"/>
      <c r="BO20" s="112"/>
      <c r="BP20" s="113"/>
      <c r="BQ20" s="112"/>
      <c r="BR20" s="31"/>
      <c r="BS20" s="32"/>
      <c r="BT20" s="90"/>
      <c r="BU20" s="88"/>
      <c r="BV20" s="88"/>
      <c r="BW20" s="111"/>
      <c r="BX20" s="112"/>
      <c r="BY20" s="113"/>
      <c r="BZ20" s="112"/>
      <c r="CA20" s="31"/>
      <c r="CB20" s="32"/>
      <c r="CC20" s="90"/>
      <c r="CD20" s="88"/>
      <c r="CE20" s="88"/>
      <c r="CF20" s="111"/>
      <c r="CG20" s="112"/>
      <c r="CH20" s="113"/>
      <c r="CI20" s="112"/>
      <c r="CJ20" s="31"/>
      <c r="CK20" s="32"/>
      <c r="CL20" s="90"/>
      <c r="CM20" s="88"/>
      <c r="CN20" s="88"/>
      <c r="CO20" s="111"/>
      <c r="CP20" s="112"/>
      <c r="CQ20" s="113"/>
      <c r="CR20" s="112"/>
      <c r="CS20" s="55"/>
      <c r="CV20" s="48" t="s">
        <v>1590</v>
      </c>
      <c r="CW20" s="48" t="s">
        <v>1233</v>
      </c>
    </row>
    <row r="21" spans="1:101" ht="169" hidden="1" x14ac:dyDescent="0.25">
      <c r="A21" s="17" t="s">
        <v>1791</v>
      </c>
      <c r="B21" s="17" t="s">
        <v>1731</v>
      </c>
      <c r="C21" s="17" t="s">
        <v>1732</v>
      </c>
      <c r="D21" s="17" t="b">
        <f t="shared" si="6"/>
        <v>1</v>
      </c>
      <c r="E21" s="163" t="s">
        <v>1791</v>
      </c>
      <c r="F21" s="162" t="s">
        <v>990</v>
      </c>
      <c r="G21" s="245" t="s">
        <v>1731</v>
      </c>
      <c r="H21" s="122" t="s">
        <v>1732</v>
      </c>
      <c r="I21" s="31"/>
      <c r="J21" s="32" t="s">
        <v>354</v>
      </c>
      <c r="K21" s="166"/>
      <c r="L21" s="111"/>
      <c r="M21" s="112"/>
      <c r="N21" s="113"/>
      <c r="O21" s="112"/>
      <c r="P21" s="31"/>
      <c r="Q21" s="32"/>
      <c r="R21" s="166"/>
      <c r="S21" s="88" t="str">
        <f t="shared" si="0"/>
        <v>NA</v>
      </c>
      <c r="T21" s="88" t="str">
        <f t="shared" si="1"/>
        <v>NA</v>
      </c>
      <c r="U21" s="111"/>
      <c r="V21" s="112"/>
      <c r="W21" s="113"/>
      <c r="X21" s="112"/>
      <c r="Y21" s="31"/>
      <c r="Z21" s="32"/>
      <c r="AA21" s="90"/>
      <c r="AB21" s="124" t="str">
        <f t="shared" si="7"/>
        <v>NA</v>
      </c>
      <c r="AC21" s="88" t="str">
        <f t="shared" si="8"/>
        <v>NA</v>
      </c>
      <c r="AD21" s="111"/>
      <c r="AE21" s="112"/>
      <c r="AF21" s="113"/>
      <c r="AG21" s="112"/>
      <c r="AH21" s="31"/>
      <c r="AI21" s="32"/>
      <c r="AJ21" s="166"/>
      <c r="AK21" s="124" t="str">
        <f t="shared" si="4"/>
        <v>NA</v>
      </c>
      <c r="AL21" s="88" t="str">
        <f t="shared" si="5"/>
        <v>NA</v>
      </c>
      <c r="AM21" s="111"/>
      <c r="AN21" s="112"/>
      <c r="AO21" s="113"/>
      <c r="AP21" s="112"/>
      <c r="AQ21" s="31"/>
      <c r="AR21" s="32"/>
      <c r="AS21" s="90"/>
      <c r="AT21" s="88"/>
      <c r="AU21" s="88"/>
      <c r="AV21" s="111"/>
      <c r="AW21" s="112"/>
      <c r="AX21" s="113"/>
      <c r="AY21" s="112"/>
      <c r="AZ21" s="31"/>
      <c r="BA21" s="32"/>
      <c r="BB21" s="90"/>
      <c r="BC21" s="88"/>
      <c r="BD21" s="88"/>
      <c r="BE21" s="111"/>
      <c r="BF21" s="112"/>
      <c r="BG21" s="113"/>
      <c r="BH21" s="112"/>
      <c r="BI21" s="31"/>
      <c r="BJ21" s="32"/>
      <c r="BK21" s="90"/>
      <c r="BL21" s="88"/>
      <c r="BM21" s="88"/>
      <c r="BN21" s="111"/>
      <c r="BO21" s="112"/>
      <c r="BP21" s="113"/>
      <c r="BQ21" s="112"/>
      <c r="BR21" s="31"/>
      <c r="BS21" s="32"/>
      <c r="BT21" s="90"/>
      <c r="BU21" s="88"/>
      <c r="BV21" s="88"/>
      <c r="BW21" s="111"/>
      <c r="BX21" s="112"/>
      <c r="BY21" s="113"/>
      <c r="BZ21" s="112"/>
      <c r="CA21" s="31"/>
      <c r="CB21" s="32"/>
      <c r="CC21" s="90"/>
      <c r="CD21" s="88"/>
      <c r="CE21" s="88"/>
      <c r="CF21" s="111"/>
      <c r="CG21" s="112"/>
      <c r="CH21" s="113"/>
      <c r="CI21" s="112"/>
      <c r="CJ21" s="31"/>
      <c r="CK21" s="32"/>
      <c r="CL21" s="90"/>
      <c r="CM21" s="88"/>
      <c r="CN21" s="88"/>
      <c r="CO21" s="111"/>
      <c r="CP21" s="112"/>
      <c r="CQ21" s="113"/>
      <c r="CR21" s="112"/>
      <c r="CS21" s="55"/>
      <c r="CV21" s="48" t="s">
        <v>1590</v>
      </c>
      <c r="CW21" s="48" t="s">
        <v>1233</v>
      </c>
    </row>
    <row r="22" spans="1:101" ht="169" hidden="1" x14ac:dyDescent="0.25">
      <c r="A22" s="17" t="s">
        <v>1792</v>
      </c>
      <c r="B22" s="17" t="s">
        <v>1733</v>
      </c>
      <c r="C22" s="17" t="s">
        <v>1734</v>
      </c>
      <c r="D22" s="17" t="b">
        <f t="shared" si="6"/>
        <v>1</v>
      </c>
      <c r="E22" s="163" t="s">
        <v>1792</v>
      </c>
      <c r="F22" s="162" t="s">
        <v>991</v>
      </c>
      <c r="G22" s="245" t="s">
        <v>1733</v>
      </c>
      <c r="H22" s="122" t="s">
        <v>1734</v>
      </c>
      <c r="I22" s="31"/>
      <c r="J22" s="32" t="s">
        <v>354</v>
      </c>
      <c r="K22" s="166"/>
      <c r="L22" s="111"/>
      <c r="M22" s="112"/>
      <c r="N22" s="113"/>
      <c r="O22" s="112"/>
      <c r="P22" s="31"/>
      <c r="Q22" s="32"/>
      <c r="R22" s="166"/>
      <c r="S22" s="88" t="str">
        <f t="shared" si="0"/>
        <v>NA</v>
      </c>
      <c r="T22" s="88" t="str">
        <f t="shared" si="1"/>
        <v>NA</v>
      </c>
      <c r="U22" s="111"/>
      <c r="V22" s="112"/>
      <c r="W22" s="113"/>
      <c r="X22" s="112"/>
      <c r="Y22" s="31"/>
      <c r="Z22" s="32"/>
      <c r="AA22" s="90"/>
      <c r="AB22" s="124" t="str">
        <f t="shared" si="7"/>
        <v>NA</v>
      </c>
      <c r="AC22" s="88" t="str">
        <f t="shared" si="8"/>
        <v>NA</v>
      </c>
      <c r="AD22" s="111"/>
      <c r="AE22" s="112"/>
      <c r="AF22" s="113"/>
      <c r="AG22" s="112"/>
      <c r="AH22" s="31"/>
      <c r="AI22" s="32"/>
      <c r="AJ22" s="166"/>
      <c r="AK22" s="124" t="str">
        <f t="shared" si="4"/>
        <v>NA</v>
      </c>
      <c r="AL22" s="88" t="str">
        <f t="shared" si="5"/>
        <v>NA</v>
      </c>
      <c r="AM22" s="111"/>
      <c r="AN22" s="112"/>
      <c r="AO22" s="113"/>
      <c r="AP22" s="112"/>
      <c r="AQ22" s="31"/>
      <c r="AR22" s="32"/>
      <c r="AS22" s="90"/>
      <c r="AT22" s="88"/>
      <c r="AU22" s="88"/>
      <c r="AV22" s="111"/>
      <c r="AW22" s="112"/>
      <c r="AX22" s="113"/>
      <c r="AY22" s="112"/>
      <c r="AZ22" s="31"/>
      <c r="BA22" s="32"/>
      <c r="BB22" s="90"/>
      <c r="BC22" s="88"/>
      <c r="BD22" s="88"/>
      <c r="BE22" s="111"/>
      <c r="BF22" s="112"/>
      <c r="BG22" s="113"/>
      <c r="BH22" s="112"/>
      <c r="BI22" s="31"/>
      <c r="BJ22" s="32"/>
      <c r="BK22" s="90"/>
      <c r="BL22" s="88"/>
      <c r="BM22" s="88"/>
      <c r="BN22" s="111"/>
      <c r="BO22" s="112"/>
      <c r="BP22" s="113"/>
      <c r="BQ22" s="112"/>
      <c r="BR22" s="31"/>
      <c r="BS22" s="32"/>
      <c r="BT22" s="90"/>
      <c r="BU22" s="88"/>
      <c r="BV22" s="88"/>
      <c r="BW22" s="111"/>
      <c r="BX22" s="112"/>
      <c r="BY22" s="113"/>
      <c r="BZ22" s="112"/>
      <c r="CA22" s="31"/>
      <c r="CB22" s="32"/>
      <c r="CC22" s="90"/>
      <c r="CD22" s="88"/>
      <c r="CE22" s="88"/>
      <c r="CF22" s="111"/>
      <c r="CG22" s="112"/>
      <c r="CH22" s="113"/>
      <c r="CI22" s="112"/>
      <c r="CJ22" s="31"/>
      <c r="CK22" s="32"/>
      <c r="CL22" s="90"/>
      <c r="CM22" s="88"/>
      <c r="CN22" s="88"/>
      <c r="CO22" s="111"/>
      <c r="CP22" s="112"/>
      <c r="CQ22" s="113"/>
      <c r="CR22" s="112"/>
      <c r="CS22" s="55"/>
      <c r="CV22" s="48" t="s">
        <v>1590</v>
      </c>
      <c r="CW22" s="48" t="s">
        <v>1233</v>
      </c>
    </row>
    <row r="23" spans="1:101" ht="247" hidden="1" x14ac:dyDescent="0.25">
      <c r="A23" s="17" t="s">
        <v>1793</v>
      </c>
      <c r="B23" s="17" t="s">
        <v>1735</v>
      </c>
      <c r="C23" s="17" t="s">
        <v>1736</v>
      </c>
      <c r="D23" s="17" t="b">
        <f t="shared" si="6"/>
        <v>1</v>
      </c>
      <c r="E23" s="163" t="s">
        <v>1793</v>
      </c>
      <c r="F23" s="162" t="s">
        <v>992</v>
      </c>
      <c r="G23" s="245" t="s">
        <v>1735</v>
      </c>
      <c r="H23" s="122" t="s">
        <v>1736</v>
      </c>
      <c r="I23" s="31"/>
      <c r="J23" s="32" t="s">
        <v>354</v>
      </c>
      <c r="K23" s="166"/>
      <c r="L23" s="111"/>
      <c r="M23" s="112"/>
      <c r="N23" s="113"/>
      <c r="O23" s="112"/>
      <c r="P23" s="31"/>
      <c r="Q23" s="32"/>
      <c r="R23" s="166"/>
      <c r="S23" s="88" t="str">
        <f t="shared" si="0"/>
        <v>NA</v>
      </c>
      <c r="T23" s="88" t="str">
        <f t="shared" si="1"/>
        <v>NA</v>
      </c>
      <c r="U23" s="111"/>
      <c r="V23" s="112"/>
      <c r="W23" s="113"/>
      <c r="X23" s="112"/>
      <c r="Y23" s="31"/>
      <c r="Z23" s="32"/>
      <c r="AA23" s="90"/>
      <c r="AB23" s="124" t="str">
        <f t="shared" si="7"/>
        <v>NA</v>
      </c>
      <c r="AC23" s="88" t="str">
        <f t="shared" si="8"/>
        <v>NA</v>
      </c>
      <c r="AD23" s="111"/>
      <c r="AE23" s="112"/>
      <c r="AF23" s="113"/>
      <c r="AG23" s="112"/>
      <c r="AH23" s="31"/>
      <c r="AI23" s="32"/>
      <c r="AJ23" s="166"/>
      <c r="AK23" s="124" t="str">
        <f t="shared" si="4"/>
        <v>NA</v>
      </c>
      <c r="AL23" s="88" t="str">
        <f t="shared" si="5"/>
        <v>NA</v>
      </c>
      <c r="AM23" s="111"/>
      <c r="AN23" s="112"/>
      <c r="AO23" s="113"/>
      <c r="AP23" s="112"/>
      <c r="AQ23" s="31"/>
      <c r="AR23" s="32"/>
      <c r="AS23" s="90"/>
      <c r="AT23" s="88"/>
      <c r="AU23" s="88"/>
      <c r="AV23" s="111"/>
      <c r="AW23" s="112"/>
      <c r="AX23" s="113"/>
      <c r="AY23" s="112"/>
      <c r="AZ23" s="31"/>
      <c r="BA23" s="32"/>
      <c r="BB23" s="90"/>
      <c r="BC23" s="88"/>
      <c r="BD23" s="88"/>
      <c r="BE23" s="111"/>
      <c r="BF23" s="112"/>
      <c r="BG23" s="113"/>
      <c r="BH23" s="112"/>
      <c r="BI23" s="31"/>
      <c r="BJ23" s="32"/>
      <c r="BK23" s="90"/>
      <c r="BL23" s="88"/>
      <c r="BM23" s="88"/>
      <c r="BN23" s="111"/>
      <c r="BO23" s="112"/>
      <c r="BP23" s="113"/>
      <c r="BQ23" s="112"/>
      <c r="BR23" s="31"/>
      <c r="BS23" s="32"/>
      <c r="BT23" s="90"/>
      <c r="BU23" s="88"/>
      <c r="BV23" s="88"/>
      <c r="BW23" s="111"/>
      <c r="BX23" s="112"/>
      <c r="BY23" s="113"/>
      <c r="BZ23" s="112"/>
      <c r="CA23" s="31"/>
      <c r="CB23" s="32"/>
      <c r="CC23" s="90"/>
      <c r="CD23" s="88"/>
      <c r="CE23" s="88"/>
      <c r="CF23" s="111"/>
      <c r="CG23" s="112"/>
      <c r="CH23" s="113"/>
      <c r="CI23" s="112"/>
      <c r="CJ23" s="31"/>
      <c r="CK23" s="32"/>
      <c r="CL23" s="90"/>
      <c r="CM23" s="88"/>
      <c r="CN23" s="88"/>
      <c r="CO23" s="111"/>
      <c r="CP23" s="112"/>
      <c r="CQ23" s="113"/>
      <c r="CR23" s="112"/>
      <c r="CS23" s="55"/>
      <c r="CV23" s="48" t="s">
        <v>1590</v>
      </c>
      <c r="CW23" s="48" t="s">
        <v>1233</v>
      </c>
    </row>
    <row r="24" spans="1:101" ht="169" hidden="1" x14ac:dyDescent="0.25">
      <c r="A24" s="17" t="s">
        <v>1794</v>
      </c>
      <c r="B24" s="17" t="s">
        <v>1737</v>
      </c>
      <c r="C24" s="17" t="s">
        <v>1738</v>
      </c>
      <c r="D24" s="17" t="b">
        <f t="shared" si="6"/>
        <v>1</v>
      </c>
      <c r="E24" s="163" t="s">
        <v>1794</v>
      </c>
      <c r="F24" s="162" t="s">
        <v>993</v>
      </c>
      <c r="G24" s="245" t="s">
        <v>1737</v>
      </c>
      <c r="H24" s="122" t="s">
        <v>1738</v>
      </c>
      <c r="I24" s="31"/>
      <c r="J24" s="32" t="s">
        <v>354</v>
      </c>
      <c r="K24" s="166"/>
      <c r="L24" s="111"/>
      <c r="M24" s="112"/>
      <c r="N24" s="113"/>
      <c r="O24" s="112"/>
      <c r="P24" s="31"/>
      <c r="Q24" s="32"/>
      <c r="R24" s="166"/>
      <c r="S24" s="88" t="str">
        <f t="shared" si="0"/>
        <v>NA</v>
      </c>
      <c r="T24" s="88" t="str">
        <f t="shared" si="1"/>
        <v>NA</v>
      </c>
      <c r="U24" s="111"/>
      <c r="V24" s="112"/>
      <c r="W24" s="113"/>
      <c r="X24" s="112"/>
      <c r="Y24" s="31"/>
      <c r="Z24" s="32"/>
      <c r="AA24" s="90"/>
      <c r="AB24" s="124" t="str">
        <f t="shared" si="7"/>
        <v>NA</v>
      </c>
      <c r="AC24" s="88" t="str">
        <f t="shared" si="8"/>
        <v>NA</v>
      </c>
      <c r="AD24" s="111"/>
      <c r="AE24" s="112"/>
      <c r="AF24" s="113"/>
      <c r="AG24" s="112"/>
      <c r="AH24" s="31"/>
      <c r="AI24" s="32"/>
      <c r="AJ24" s="166"/>
      <c r="AK24" s="124" t="str">
        <f t="shared" si="4"/>
        <v>NA</v>
      </c>
      <c r="AL24" s="88" t="str">
        <f t="shared" si="5"/>
        <v>NA</v>
      </c>
      <c r="AM24" s="111"/>
      <c r="AN24" s="112"/>
      <c r="AO24" s="113"/>
      <c r="AP24" s="112"/>
      <c r="AQ24" s="31"/>
      <c r="AR24" s="32"/>
      <c r="AS24" s="90"/>
      <c r="AT24" s="88"/>
      <c r="AU24" s="88"/>
      <c r="AV24" s="111"/>
      <c r="AW24" s="112"/>
      <c r="AX24" s="113"/>
      <c r="AY24" s="112"/>
      <c r="AZ24" s="31"/>
      <c r="BA24" s="32"/>
      <c r="BB24" s="90"/>
      <c r="BC24" s="88"/>
      <c r="BD24" s="88"/>
      <c r="BE24" s="111"/>
      <c r="BF24" s="112"/>
      <c r="BG24" s="113"/>
      <c r="BH24" s="112"/>
      <c r="BI24" s="31"/>
      <c r="BJ24" s="32"/>
      <c r="BK24" s="90"/>
      <c r="BL24" s="88"/>
      <c r="BM24" s="88"/>
      <c r="BN24" s="111"/>
      <c r="BO24" s="112"/>
      <c r="BP24" s="113"/>
      <c r="BQ24" s="112"/>
      <c r="BR24" s="31"/>
      <c r="BS24" s="32"/>
      <c r="BT24" s="90"/>
      <c r="BU24" s="88"/>
      <c r="BV24" s="88"/>
      <c r="BW24" s="111"/>
      <c r="BX24" s="112"/>
      <c r="BY24" s="113"/>
      <c r="BZ24" s="112"/>
      <c r="CA24" s="31"/>
      <c r="CB24" s="32"/>
      <c r="CC24" s="90"/>
      <c r="CD24" s="88"/>
      <c r="CE24" s="88"/>
      <c r="CF24" s="111"/>
      <c r="CG24" s="112"/>
      <c r="CH24" s="113"/>
      <c r="CI24" s="112"/>
      <c r="CJ24" s="31"/>
      <c r="CK24" s="32"/>
      <c r="CL24" s="90"/>
      <c r="CM24" s="88"/>
      <c r="CN24" s="88"/>
      <c r="CO24" s="111"/>
      <c r="CP24" s="112"/>
      <c r="CQ24" s="113"/>
      <c r="CR24" s="112"/>
      <c r="CS24" s="55"/>
      <c r="CV24" s="48" t="s">
        <v>1590</v>
      </c>
      <c r="CW24" s="48" t="s">
        <v>1233</v>
      </c>
    </row>
    <row r="25" spans="1:101" ht="169" x14ac:dyDescent="0.25">
      <c r="A25" s="17" t="s">
        <v>1795</v>
      </c>
      <c r="B25" s="17" t="s">
        <v>1739</v>
      </c>
      <c r="C25" s="17" t="s">
        <v>1654</v>
      </c>
      <c r="D25" s="17" t="b">
        <f t="shared" si="6"/>
        <v>1</v>
      </c>
      <c r="E25" s="163" t="s">
        <v>1795</v>
      </c>
      <c r="F25" s="162" t="s">
        <v>994</v>
      </c>
      <c r="G25" s="245" t="s">
        <v>1739</v>
      </c>
      <c r="H25" s="311" t="s">
        <v>2436</v>
      </c>
      <c r="I25" s="31"/>
      <c r="J25" s="32" t="s">
        <v>583</v>
      </c>
      <c r="K25" s="166" t="s">
        <v>31</v>
      </c>
      <c r="L25" s="111" t="s">
        <v>2470</v>
      </c>
      <c r="M25" s="112"/>
      <c r="N25" s="113"/>
      <c r="O25" s="112"/>
      <c r="P25" s="31"/>
      <c r="Q25" s="32"/>
      <c r="R25" s="166"/>
      <c r="S25" s="88" t="str">
        <f t="shared" si="0"/>
        <v>NA</v>
      </c>
      <c r="T25" s="88" t="str">
        <f t="shared" si="1"/>
        <v>YES</v>
      </c>
      <c r="U25" s="111"/>
      <c r="V25" s="112"/>
      <c r="W25" s="113"/>
      <c r="X25" s="112"/>
      <c r="Y25" s="31"/>
      <c r="Z25" s="32"/>
      <c r="AA25" s="90"/>
      <c r="AB25" s="124" t="str">
        <f t="shared" si="7"/>
        <v>NA</v>
      </c>
      <c r="AC25" s="88" t="str">
        <f t="shared" si="8"/>
        <v>NA</v>
      </c>
      <c r="AD25" s="111"/>
      <c r="AE25" s="112"/>
      <c r="AF25" s="113"/>
      <c r="AG25" s="112"/>
      <c r="AH25" s="31"/>
      <c r="AI25" s="32"/>
      <c r="AJ25" s="166"/>
      <c r="AK25" s="124" t="str">
        <f t="shared" si="4"/>
        <v>NA</v>
      </c>
      <c r="AL25" s="88" t="str">
        <f t="shared" si="5"/>
        <v>NA</v>
      </c>
      <c r="AM25" s="111"/>
      <c r="AN25" s="112"/>
      <c r="AO25" s="113"/>
      <c r="AP25" s="112"/>
      <c r="AQ25" s="31"/>
      <c r="AR25" s="32"/>
      <c r="AS25" s="90"/>
      <c r="AT25" s="88"/>
      <c r="AU25" s="88"/>
      <c r="AV25" s="111"/>
      <c r="AW25" s="112"/>
      <c r="AX25" s="113"/>
      <c r="AY25" s="112"/>
      <c r="AZ25" s="31"/>
      <c r="BA25" s="32"/>
      <c r="BB25" s="90"/>
      <c r="BC25" s="88"/>
      <c r="BD25" s="88"/>
      <c r="BE25" s="111"/>
      <c r="BF25" s="112"/>
      <c r="BG25" s="113"/>
      <c r="BH25" s="112"/>
      <c r="BI25" s="31"/>
      <c r="BJ25" s="32"/>
      <c r="BK25" s="90"/>
      <c r="BL25" s="88"/>
      <c r="BM25" s="88"/>
      <c r="BN25" s="111"/>
      <c r="BO25" s="112"/>
      <c r="BP25" s="113"/>
      <c r="BQ25" s="112"/>
      <c r="BR25" s="31"/>
      <c r="BS25" s="32"/>
      <c r="BT25" s="90"/>
      <c r="BU25" s="88"/>
      <c r="BV25" s="88"/>
      <c r="BW25" s="111"/>
      <c r="BX25" s="112"/>
      <c r="BY25" s="113"/>
      <c r="BZ25" s="112"/>
      <c r="CA25" s="31"/>
      <c r="CB25" s="32"/>
      <c r="CC25" s="90"/>
      <c r="CD25" s="88"/>
      <c r="CE25" s="88"/>
      <c r="CF25" s="111"/>
      <c r="CG25" s="112"/>
      <c r="CH25" s="113"/>
      <c r="CI25" s="112"/>
      <c r="CJ25" s="31"/>
      <c r="CK25" s="32"/>
      <c r="CL25" s="90"/>
      <c r="CM25" s="88"/>
      <c r="CN25" s="88"/>
      <c r="CO25" s="111"/>
      <c r="CP25" s="112"/>
      <c r="CQ25" s="113"/>
      <c r="CR25" s="112"/>
      <c r="CS25" s="55"/>
      <c r="CV25" s="48" t="s">
        <v>1589</v>
      </c>
      <c r="CW25" s="48" t="s">
        <v>1233</v>
      </c>
    </row>
    <row r="26" spans="1:101" ht="195" x14ac:dyDescent="0.25">
      <c r="A26" s="17" t="s">
        <v>1796</v>
      </c>
      <c r="B26" s="17" t="s">
        <v>1740</v>
      </c>
      <c r="C26" s="17" t="s">
        <v>1741</v>
      </c>
      <c r="D26" s="17" t="b">
        <f t="shared" si="6"/>
        <v>1</v>
      </c>
      <c r="E26" s="163" t="s">
        <v>1796</v>
      </c>
      <c r="F26" s="162" t="s">
        <v>995</v>
      </c>
      <c r="G26" s="245" t="s">
        <v>1740</v>
      </c>
      <c r="H26" s="311" t="s">
        <v>2437</v>
      </c>
      <c r="I26" s="31"/>
      <c r="J26" s="32" t="s">
        <v>583</v>
      </c>
      <c r="K26" s="166" t="s">
        <v>31</v>
      </c>
      <c r="L26" s="111" t="s">
        <v>2470</v>
      </c>
      <c r="M26" s="112"/>
      <c r="N26" s="113"/>
      <c r="O26" s="112"/>
      <c r="P26" s="31"/>
      <c r="Q26" s="32"/>
      <c r="R26" s="166"/>
      <c r="S26" s="88" t="str">
        <f t="shared" si="0"/>
        <v>NA</v>
      </c>
      <c r="T26" s="88" t="str">
        <f t="shared" si="1"/>
        <v>YES</v>
      </c>
      <c r="U26" s="111"/>
      <c r="V26" s="112"/>
      <c r="W26" s="113"/>
      <c r="X26" s="112"/>
      <c r="Y26" s="31"/>
      <c r="Z26" s="32"/>
      <c r="AA26" s="90"/>
      <c r="AB26" s="124" t="str">
        <f t="shared" si="7"/>
        <v>NA</v>
      </c>
      <c r="AC26" s="88" t="str">
        <f t="shared" si="8"/>
        <v>NA</v>
      </c>
      <c r="AD26" s="111"/>
      <c r="AE26" s="112"/>
      <c r="AF26" s="113"/>
      <c r="AG26" s="112"/>
      <c r="AH26" s="31"/>
      <c r="AI26" s="32"/>
      <c r="AJ26" s="166"/>
      <c r="AK26" s="124" t="str">
        <f t="shared" si="4"/>
        <v>NA</v>
      </c>
      <c r="AL26" s="88" t="str">
        <f t="shared" si="5"/>
        <v>NA</v>
      </c>
      <c r="AM26" s="111"/>
      <c r="AN26" s="112"/>
      <c r="AO26" s="113"/>
      <c r="AP26" s="112"/>
      <c r="AQ26" s="31"/>
      <c r="AR26" s="32"/>
      <c r="AS26" s="90"/>
      <c r="AT26" s="88"/>
      <c r="AU26" s="88"/>
      <c r="AV26" s="111"/>
      <c r="AW26" s="112"/>
      <c r="AX26" s="113"/>
      <c r="AY26" s="112"/>
      <c r="AZ26" s="31"/>
      <c r="BA26" s="32"/>
      <c r="BB26" s="90"/>
      <c r="BC26" s="88"/>
      <c r="BD26" s="88"/>
      <c r="BE26" s="111"/>
      <c r="BF26" s="112"/>
      <c r="BG26" s="113"/>
      <c r="BH26" s="112"/>
      <c r="BI26" s="31"/>
      <c r="BJ26" s="32"/>
      <c r="BK26" s="90"/>
      <c r="BL26" s="88"/>
      <c r="BM26" s="88"/>
      <c r="BN26" s="111"/>
      <c r="BO26" s="112"/>
      <c r="BP26" s="113"/>
      <c r="BQ26" s="112"/>
      <c r="BR26" s="31"/>
      <c r="BS26" s="32"/>
      <c r="BT26" s="90"/>
      <c r="BU26" s="88"/>
      <c r="BV26" s="88"/>
      <c r="BW26" s="111"/>
      <c r="BX26" s="112"/>
      <c r="BY26" s="113"/>
      <c r="BZ26" s="112"/>
      <c r="CA26" s="31"/>
      <c r="CB26" s="32"/>
      <c r="CC26" s="90"/>
      <c r="CD26" s="88"/>
      <c r="CE26" s="88"/>
      <c r="CF26" s="111"/>
      <c r="CG26" s="112"/>
      <c r="CH26" s="113"/>
      <c r="CI26" s="112"/>
      <c r="CJ26" s="31"/>
      <c r="CK26" s="32"/>
      <c r="CL26" s="90"/>
      <c r="CM26" s="88"/>
      <c r="CN26" s="88"/>
      <c r="CO26" s="111"/>
      <c r="CP26" s="112"/>
      <c r="CQ26" s="113"/>
      <c r="CR26" s="112"/>
      <c r="CS26" s="55"/>
      <c r="CV26" s="48" t="s">
        <v>1589</v>
      </c>
      <c r="CW26" s="48" t="s">
        <v>1233</v>
      </c>
    </row>
    <row r="27" spans="1:101" ht="195" x14ac:dyDescent="0.25">
      <c r="A27" s="17" t="s">
        <v>1797</v>
      </c>
      <c r="B27" s="17" t="s">
        <v>1742</v>
      </c>
      <c r="C27" s="17" t="s">
        <v>1743</v>
      </c>
      <c r="D27" s="17" t="b">
        <f t="shared" si="6"/>
        <v>1</v>
      </c>
      <c r="E27" s="163" t="s">
        <v>1797</v>
      </c>
      <c r="F27" s="162" t="s">
        <v>996</v>
      </c>
      <c r="G27" s="245" t="s">
        <v>1742</v>
      </c>
      <c r="H27" s="311" t="s">
        <v>2438</v>
      </c>
      <c r="I27" s="31"/>
      <c r="J27" s="32" t="s">
        <v>583</v>
      </c>
      <c r="K27" s="166" t="s">
        <v>31</v>
      </c>
      <c r="L27" s="111" t="s">
        <v>2470</v>
      </c>
      <c r="M27" s="112"/>
      <c r="N27" s="113"/>
      <c r="O27" s="112"/>
      <c r="P27" s="31"/>
      <c r="Q27" s="32"/>
      <c r="R27" s="166"/>
      <c r="S27" s="88" t="str">
        <f t="shared" si="0"/>
        <v>NA</v>
      </c>
      <c r="T27" s="88" t="str">
        <f t="shared" si="1"/>
        <v>YES</v>
      </c>
      <c r="U27" s="111"/>
      <c r="V27" s="112"/>
      <c r="W27" s="113"/>
      <c r="X27" s="112"/>
      <c r="Y27" s="31"/>
      <c r="Z27" s="32"/>
      <c r="AA27" s="90"/>
      <c r="AB27" s="124" t="str">
        <f t="shared" si="7"/>
        <v>NA</v>
      </c>
      <c r="AC27" s="88" t="str">
        <f t="shared" si="8"/>
        <v>NA</v>
      </c>
      <c r="AD27" s="111"/>
      <c r="AE27" s="112"/>
      <c r="AF27" s="113"/>
      <c r="AG27" s="112"/>
      <c r="AH27" s="31"/>
      <c r="AI27" s="32"/>
      <c r="AJ27" s="166"/>
      <c r="AK27" s="124" t="str">
        <f t="shared" si="4"/>
        <v>NA</v>
      </c>
      <c r="AL27" s="88" t="str">
        <f t="shared" si="5"/>
        <v>NA</v>
      </c>
      <c r="AM27" s="111"/>
      <c r="AN27" s="112"/>
      <c r="AO27" s="113"/>
      <c r="AP27" s="112"/>
      <c r="AQ27" s="31"/>
      <c r="AR27" s="32"/>
      <c r="AS27" s="90"/>
      <c r="AT27" s="88"/>
      <c r="AU27" s="88"/>
      <c r="AV27" s="111"/>
      <c r="AW27" s="112"/>
      <c r="AX27" s="113"/>
      <c r="AY27" s="112"/>
      <c r="AZ27" s="31"/>
      <c r="BA27" s="32"/>
      <c r="BB27" s="90"/>
      <c r="BC27" s="88"/>
      <c r="BD27" s="88"/>
      <c r="BE27" s="111"/>
      <c r="BF27" s="112"/>
      <c r="BG27" s="113"/>
      <c r="BH27" s="112"/>
      <c r="BI27" s="31"/>
      <c r="BJ27" s="32"/>
      <c r="BK27" s="90"/>
      <c r="BL27" s="88"/>
      <c r="BM27" s="88"/>
      <c r="BN27" s="111"/>
      <c r="BO27" s="112"/>
      <c r="BP27" s="113"/>
      <c r="BQ27" s="112"/>
      <c r="BR27" s="31"/>
      <c r="BS27" s="32"/>
      <c r="BT27" s="90"/>
      <c r="BU27" s="88"/>
      <c r="BV27" s="88"/>
      <c r="BW27" s="111"/>
      <c r="BX27" s="112"/>
      <c r="BY27" s="113"/>
      <c r="BZ27" s="112"/>
      <c r="CA27" s="31"/>
      <c r="CB27" s="32"/>
      <c r="CC27" s="90"/>
      <c r="CD27" s="88"/>
      <c r="CE27" s="88"/>
      <c r="CF27" s="111"/>
      <c r="CG27" s="112"/>
      <c r="CH27" s="113"/>
      <c r="CI27" s="112"/>
      <c r="CJ27" s="31"/>
      <c r="CK27" s="32"/>
      <c r="CL27" s="90"/>
      <c r="CM27" s="88"/>
      <c r="CN27" s="88"/>
      <c r="CO27" s="111"/>
      <c r="CP27" s="112"/>
      <c r="CQ27" s="113"/>
      <c r="CR27" s="112"/>
      <c r="CS27" s="55"/>
      <c r="CV27" s="48" t="s">
        <v>1589</v>
      </c>
      <c r="CW27" s="48" t="s">
        <v>1233</v>
      </c>
    </row>
    <row r="28" spans="1:101" ht="195" x14ac:dyDescent="0.25">
      <c r="A28" s="17" t="s">
        <v>1798</v>
      </c>
      <c r="B28" s="17" t="s">
        <v>1744</v>
      </c>
      <c r="C28" s="17" t="s">
        <v>1745</v>
      </c>
      <c r="D28" s="17" t="b">
        <f t="shared" si="6"/>
        <v>1</v>
      </c>
      <c r="E28" s="163" t="s">
        <v>1798</v>
      </c>
      <c r="F28" s="162" t="s">
        <v>997</v>
      </c>
      <c r="G28" s="245" t="s">
        <v>1744</v>
      </c>
      <c r="H28" s="311" t="s">
        <v>2439</v>
      </c>
      <c r="I28" s="31"/>
      <c r="J28" s="32" t="s">
        <v>583</v>
      </c>
      <c r="K28" s="166" t="s">
        <v>31</v>
      </c>
      <c r="L28" s="111" t="s">
        <v>2470</v>
      </c>
      <c r="M28" s="112"/>
      <c r="N28" s="113"/>
      <c r="O28" s="112"/>
      <c r="P28" s="31"/>
      <c r="Q28" s="32"/>
      <c r="R28" s="166"/>
      <c r="S28" s="88" t="str">
        <f t="shared" si="0"/>
        <v>NA</v>
      </c>
      <c r="T28" s="88" t="str">
        <f t="shared" si="1"/>
        <v>YES</v>
      </c>
      <c r="U28" s="111"/>
      <c r="V28" s="112"/>
      <c r="W28" s="113"/>
      <c r="X28" s="112"/>
      <c r="Y28" s="31"/>
      <c r="Z28" s="32"/>
      <c r="AA28" s="90"/>
      <c r="AB28" s="124" t="str">
        <f t="shared" si="7"/>
        <v>NA</v>
      </c>
      <c r="AC28" s="88" t="str">
        <f t="shared" si="8"/>
        <v>NA</v>
      </c>
      <c r="AD28" s="111"/>
      <c r="AE28" s="112"/>
      <c r="AF28" s="113"/>
      <c r="AG28" s="112"/>
      <c r="AH28" s="31"/>
      <c r="AI28" s="32"/>
      <c r="AJ28" s="166"/>
      <c r="AK28" s="124" t="str">
        <f t="shared" si="4"/>
        <v>NA</v>
      </c>
      <c r="AL28" s="88" t="str">
        <f t="shared" si="5"/>
        <v>NA</v>
      </c>
      <c r="AM28" s="111"/>
      <c r="AN28" s="112"/>
      <c r="AO28" s="113"/>
      <c r="AP28" s="112"/>
      <c r="AQ28" s="31"/>
      <c r="AR28" s="32"/>
      <c r="AS28" s="90"/>
      <c r="AT28" s="88"/>
      <c r="AU28" s="88"/>
      <c r="AV28" s="111"/>
      <c r="AW28" s="112"/>
      <c r="AX28" s="113"/>
      <c r="AY28" s="112"/>
      <c r="AZ28" s="31"/>
      <c r="BA28" s="32"/>
      <c r="BB28" s="90"/>
      <c r="BC28" s="88"/>
      <c r="BD28" s="88"/>
      <c r="BE28" s="111"/>
      <c r="BF28" s="112"/>
      <c r="BG28" s="113"/>
      <c r="BH28" s="112"/>
      <c r="BI28" s="31"/>
      <c r="BJ28" s="32"/>
      <c r="BK28" s="90"/>
      <c r="BL28" s="88"/>
      <c r="BM28" s="88"/>
      <c r="BN28" s="111"/>
      <c r="BO28" s="112"/>
      <c r="BP28" s="113"/>
      <c r="BQ28" s="112"/>
      <c r="BR28" s="31"/>
      <c r="BS28" s="32"/>
      <c r="BT28" s="90"/>
      <c r="BU28" s="88"/>
      <c r="BV28" s="88"/>
      <c r="BW28" s="111"/>
      <c r="BX28" s="112"/>
      <c r="BY28" s="113"/>
      <c r="BZ28" s="112"/>
      <c r="CA28" s="31"/>
      <c r="CB28" s="32"/>
      <c r="CC28" s="90"/>
      <c r="CD28" s="88"/>
      <c r="CE28" s="88"/>
      <c r="CF28" s="111"/>
      <c r="CG28" s="112"/>
      <c r="CH28" s="113"/>
      <c r="CI28" s="112"/>
      <c r="CJ28" s="31"/>
      <c r="CK28" s="32"/>
      <c r="CL28" s="90"/>
      <c r="CM28" s="88"/>
      <c r="CN28" s="88"/>
      <c r="CO28" s="111"/>
      <c r="CP28" s="112"/>
      <c r="CQ28" s="113"/>
      <c r="CR28" s="112"/>
      <c r="CS28" s="55"/>
      <c r="CV28" s="48" t="s">
        <v>1589</v>
      </c>
      <c r="CW28" s="48" t="s">
        <v>1233</v>
      </c>
    </row>
    <row r="29" spans="1:101" ht="195" x14ac:dyDescent="0.25">
      <c r="A29" s="17" t="s">
        <v>1799</v>
      </c>
      <c r="B29" s="17" t="s">
        <v>1746</v>
      </c>
      <c r="C29" s="17" t="s">
        <v>1747</v>
      </c>
      <c r="D29" s="17" t="b">
        <f t="shared" si="6"/>
        <v>1</v>
      </c>
      <c r="E29" s="163" t="s">
        <v>1799</v>
      </c>
      <c r="F29" s="162" t="s">
        <v>998</v>
      </c>
      <c r="G29" s="245" t="s">
        <v>1746</v>
      </c>
      <c r="H29" s="311" t="s">
        <v>2440</v>
      </c>
      <c r="I29" s="31"/>
      <c r="J29" s="32" t="s">
        <v>583</v>
      </c>
      <c r="K29" s="166" t="s">
        <v>31</v>
      </c>
      <c r="L29" s="111" t="s">
        <v>2470</v>
      </c>
      <c r="M29" s="112"/>
      <c r="N29" s="113"/>
      <c r="O29" s="112"/>
      <c r="P29" s="31"/>
      <c r="Q29" s="32"/>
      <c r="R29" s="166"/>
      <c r="S29" s="88" t="str">
        <f t="shared" si="0"/>
        <v>NA</v>
      </c>
      <c r="T29" s="88" t="str">
        <f t="shared" si="1"/>
        <v>YES</v>
      </c>
      <c r="U29" s="111"/>
      <c r="V29" s="112"/>
      <c r="W29" s="113"/>
      <c r="X29" s="112"/>
      <c r="Y29" s="31"/>
      <c r="Z29" s="32"/>
      <c r="AA29" s="90"/>
      <c r="AB29" s="124" t="str">
        <f t="shared" si="7"/>
        <v>NA</v>
      </c>
      <c r="AC29" s="88" t="str">
        <f t="shared" si="8"/>
        <v>NA</v>
      </c>
      <c r="AD29" s="111"/>
      <c r="AE29" s="112"/>
      <c r="AF29" s="113"/>
      <c r="AG29" s="112"/>
      <c r="AH29" s="31"/>
      <c r="AI29" s="32"/>
      <c r="AJ29" s="166"/>
      <c r="AK29" s="124" t="str">
        <f t="shared" si="4"/>
        <v>NA</v>
      </c>
      <c r="AL29" s="88" t="str">
        <f t="shared" si="5"/>
        <v>NA</v>
      </c>
      <c r="AM29" s="111"/>
      <c r="AN29" s="112"/>
      <c r="AO29" s="113"/>
      <c r="AP29" s="112"/>
      <c r="AQ29" s="31"/>
      <c r="AR29" s="32"/>
      <c r="AS29" s="90"/>
      <c r="AT29" s="88"/>
      <c r="AU29" s="88"/>
      <c r="AV29" s="111"/>
      <c r="AW29" s="112"/>
      <c r="AX29" s="113"/>
      <c r="AY29" s="112"/>
      <c r="AZ29" s="31"/>
      <c r="BA29" s="32"/>
      <c r="BB29" s="90"/>
      <c r="BC29" s="88"/>
      <c r="BD29" s="88"/>
      <c r="BE29" s="111"/>
      <c r="BF29" s="112"/>
      <c r="BG29" s="113"/>
      <c r="BH29" s="112"/>
      <c r="BI29" s="31"/>
      <c r="BJ29" s="32"/>
      <c r="BK29" s="90"/>
      <c r="BL29" s="88"/>
      <c r="BM29" s="88"/>
      <c r="BN29" s="111"/>
      <c r="BO29" s="112"/>
      <c r="BP29" s="113"/>
      <c r="BQ29" s="112"/>
      <c r="BR29" s="31"/>
      <c r="BS29" s="32"/>
      <c r="BT29" s="90"/>
      <c r="BU29" s="88"/>
      <c r="BV29" s="88"/>
      <c r="BW29" s="111"/>
      <c r="BX29" s="112"/>
      <c r="BY29" s="113"/>
      <c r="BZ29" s="112"/>
      <c r="CA29" s="31"/>
      <c r="CB29" s="32"/>
      <c r="CC29" s="90"/>
      <c r="CD29" s="88"/>
      <c r="CE29" s="88"/>
      <c r="CF29" s="111"/>
      <c r="CG29" s="112"/>
      <c r="CH29" s="113"/>
      <c r="CI29" s="112"/>
      <c r="CJ29" s="31"/>
      <c r="CK29" s="32"/>
      <c r="CL29" s="90"/>
      <c r="CM29" s="88"/>
      <c r="CN29" s="88"/>
      <c r="CO29" s="111"/>
      <c r="CP29" s="112"/>
      <c r="CQ29" s="113"/>
      <c r="CR29" s="112"/>
      <c r="CS29" s="55"/>
      <c r="CV29" s="48" t="s">
        <v>1589</v>
      </c>
      <c r="CW29" s="48" t="s">
        <v>1233</v>
      </c>
    </row>
    <row r="30" spans="1:101" ht="208" x14ac:dyDescent="0.25">
      <c r="A30" s="17" t="s">
        <v>1800</v>
      </c>
      <c r="B30" s="17" t="s">
        <v>1748</v>
      </c>
      <c r="C30" s="17" t="s">
        <v>1749</v>
      </c>
      <c r="D30" s="17" t="b">
        <f t="shared" si="6"/>
        <v>1</v>
      </c>
      <c r="E30" s="163" t="s">
        <v>1800</v>
      </c>
      <c r="F30" s="162" t="s">
        <v>999</v>
      </c>
      <c r="G30" s="245" t="s">
        <v>1748</v>
      </c>
      <c r="H30" s="311" t="s">
        <v>2387</v>
      </c>
      <c r="I30" s="31"/>
      <c r="J30" s="32" t="s">
        <v>583</v>
      </c>
      <c r="K30" s="166" t="s">
        <v>31</v>
      </c>
      <c r="L30" s="111" t="s">
        <v>2470</v>
      </c>
      <c r="M30" s="112"/>
      <c r="N30" s="113"/>
      <c r="O30" s="112"/>
      <c r="P30" s="31"/>
      <c r="Q30" s="32"/>
      <c r="R30" s="166"/>
      <c r="S30" s="88" t="str">
        <f t="shared" si="0"/>
        <v>NA</v>
      </c>
      <c r="T30" s="88" t="str">
        <f t="shared" si="1"/>
        <v>YES</v>
      </c>
      <c r="U30" s="111"/>
      <c r="V30" s="112"/>
      <c r="W30" s="113"/>
      <c r="X30" s="112"/>
      <c r="Y30" s="31"/>
      <c r="Z30" s="32"/>
      <c r="AA30" s="90"/>
      <c r="AB30" s="124" t="str">
        <f t="shared" si="7"/>
        <v>NA</v>
      </c>
      <c r="AC30" s="88" t="str">
        <f t="shared" si="8"/>
        <v>NA</v>
      </c>
      <c r="AD30" s="111"/>
      <c r="AE30" s="112"/>
      <c r="AF30" s="113"/>
      <c r="AG30" s="112"/>
      <c r="AH30" s="31"/>
      <c r="AI30" s="32"/>
      <c r="AJ30" s="166"/>
      <c r="AK30" s="124" t="str">
        <f t="shared" si="4"/>
        <v>NA</v>
      </c>
      <c r="AL30" s="88" t="str">
        <f t="shared" si="5"/>
        <v>NA</v>
      </c>
      <c r="AM30" s="111"/>
      <c r="AN30" s="112"/>
      <c r="AO30" s="113"/>
      <c r="AP30" s="112"/>
      <c r="AQ30" s="31"/>
      <c r="AR30" s="32"/>
      <c r="AS30" s="90"/>
      <c r="AT30" s="88"/>
      <c r="AU30" s="88"/>
      <c r="AV30" s="111"/>
      <c r="AW30" s="112"/>
      <c r="AX30" s="113"/>
      <c r="AY30" s="112"/>
      <c r="AZ30" s="31"/>
      <c r="BA30" s="32"/>
      <c r="BB30" s="90"/>
      <c r="BC30" s="88"/>
      <c r="BD30" s="88"/>
      <c r="BE30" s="111"/>
      <c r="BF30" s="112"/>
      <c r="BG30" s="113"/>
      <c r="BH30" s="112"/>
      <c r="BI30" s="31"/>
      <c r="BJ30" s="32"/>
      <c r="BK30" s="90"/>
      <c r="BL30" s="88"/>
      <c r="BM30" s="88"/>
      <c r="BN30" s="111"/>
      <c r="BO30" s="112"/>
      <c r="BP30" s="113"/>
      <c r="BQ30" s="112"/>
      <c r="BR30" s="31"/>
      <c r="BS30" s="32"/>
      <c r="BT30" s="90"/>
      <c r="BU30" s="88"/>
      <c r="BV30" s="88"/>
      <c r="BW30" s="111"/>
      <c r="BX30" s="112"/>
      <c r="BY30" s="113"/>
      <c r="BZ30" s="112"/>
      <c r="CA30" s="31"/>
      <c r="CB30" s="32"/>
      <c r="CC30" s="90"/>
      <c r="CD30" s="88"/>
      <c r="CE30" s="88"/>
      <c r="CF30" s="111"/>
      <c r="CG30" s="112"/>
      <c r="CH30" s="113"/>
      <c r="CI30" s="112"/>
      <c r="CJ30" s="31"/>
      <c r="CK30" s="32"/>
      <c r="CL30" s="90"/>
      <c r="CM30" s="88"/>
      <c r="CN30" s="88"/>
      <c r="CO30" s="111"/>
      <c r="CP30" s="112"/>
      <c r="CQ30" s="113"/>
      <c r="CR30" s="112"/>
      <c r="CS30" s="55"/>
      <c r="CV30" s="48" t="s">
        <v>1589</v>
      </c>
      <c r="CW30" s="48" t="s">
        <v>1233</v>
      </c>
    </row>
    <row r="31" spans="1:101" ht="130" hidden="1" x14ac:dyDescent="0.25">
      <c r="A31" s="17" t="s">
        <v>1821</v>
      </c>
      <c r="B31" s="17" t="s">
        <v>1663</v>
      </c>
      <c r="C31" s="17" t="s">
        <v>1664</v>
      </c>
      <c r="D31" s="17" t="b">
        <f t="shared" ref="D31" si="9">B31=G31</f>
        <v>0</v>
      </c>
      <c r="E31" s="161" t="s">
        <v>2441</v>
      </c>
      <c r="F31" s="162"/>
      <c r="G31" s="240" t="s">
        <v>2388</v>
      </c>
      <c r="H31" s="312" t="s">
        <v>2389</v>
      </c>
      <c r="I31" s="31"/>
      <c r="J31" s="32" t="s">
        <v>354</v>
      </c>
      <c r="K31" s="166"/>
      <c r="L31" s="111"/>
      <c r="M31" s="112"/>
      <c r="N31" s="113"/>
      <c r="O31" s="112"/>
      <c r="P31" s="31"/>
      <c r="Q31" s="32"/>
      <c r="R31" s="166"/>
      <c r="S31" s="88" t="str">
        <f t="shared" ref="S31" si="10">IF(LEFT(R31,1)&lt;&gt;"x","NA",IF(RIGHT(Q31,3)=RIGHT(J31,3),IF(RIGHT(Q31,3)&lt;&gt;RIGHT(J31,3),IF(OR(AND(RIGHT(Q31,3)=RIGHT(J31,3),R31=K31)),"NO","YES"),"NO"),IF(OR(RIGHT(Q31,3)=RIGHT(J31,3)),"ERROR","YES")))</f>
        <v>NA</v>
      </c>
      <c r="T31" s="88" t="str">
        <f t="shared" ref="T31" si="11">IF(LEFT(K31,1)&lt;&gt;LEFT(R31,1),"YES",IF(LEFT(R31,1)="x","NO","NA"))</f>
        <v>NA</v>
      </c>
      <c r="U31" s="111"/>
      <c r="V31" s="112"/>
      <c r="W31" s="113"/>
      <c r="X31" s="112"/>
      <c r="Y31" s="31"/>
      <c r="Z31" s="32"/>
      <c r="AA31" s="90"/>
      <c r="AB31" s="124" t="str">
        <f t="shared" ref="AB31" si="12">IF(LEFT(AA31,1)&lt;&gt;"x","NA",IF(RIGHT(Z31,3)=RIGHT(Q31,3),IF(RIGHT(Z31,3)&lt;&gt;RIGHT(J31,3),IF(OR(AND(RIGHT(Z31,3)=RIGHT(Q31,3),AA31=R31),AND(RIGHT(Z31,3)=RIGHT(J31,3),AA31=K31)),"NO","YES"),"NO"),IF(OR(RIGHT(Z31,3)=RIGHT(Q31,3),RIGHT(Z31,3)=RIGHT(J31,3)),"ERROR","YES")))</f>
        <v>NA</v>
      </c>
      <c r="AC31" s="88" t="str">
        <f t="shared" ref="AC31" si="13">IF(LEFT(R31,1)&lt;&gt;LEFT(AA31,1),"YES",IF(LEFT(AA31,1)="x","NO","NA"))</f>
        <v>NA</v>
      </c>
      <c r="AD31" s="111"/>
      <c r="AE31" s="112"/>
      <c r="AF31" s="113"/>
      <c r="AG31" s="112"/>
      <c r="AH31" s="31"/>
      <c r="AI31" s="32"/>
      <c r="AJ31" s="166"/>
      <c r="AK31" s="124" t="str">
        <f t="shared" ref="AK31" si="14">IF(LEFT(AJ31,1)&lt;&gt;"x","NA",IF(RIGHT(AI31,3)=RIGHT(Z31,3),IF(RIGHT(AI31,3)&lt;&gt;RIGHT(S31,3),IF(OR(AND(RIGHT(AI31,3)=RIGHT(Z31,3),AJ31=AA31),AND(RIGHT(AI31,3)=RIGHT(S31,3),AJ31=T31)),"NO","YES"),"NO"),IF(OR(RIGHT(AI31,3)=RIGHT(Z31,3),RIGHT(AI31,3)=RIGHT(S31,3)),"ERROR","YES")))</f>
        <v>NA</v>
      </c>
      <c r="AL31" s="88" t="str">
        <f t="shared" ref="AL31" si="15">IF(LEFT(AA31,1)&lt;&gt;LEFT(AJ31,1),"YES",IF(LEFT(AJ31,1)="x","NO","NA"))</f>
        <v>NA</v>
      </c>
      <c r="AM31" s="111"/>
      <c r="AN31" s="112"/>
      <c r="AO31" s="113"/>
      <c r="AP31" s="112"/>
      <c r="AQ31" s="31"/>
      <c r="AR31" s="32"/>
      <c r="AS31" s="90"/>
      <c r="AT31" s="88"/>
      <c r="AU31" s="88"/>
      <c r="AV31" s="111"/>
      <c r="AW31" s="112"/>
      <c r="AX31" s="113"/>
      <c r="AY31" s="112"/>
      <c r="AZ31" s="31"/>
      <c r="BA31" s="32"/>
      <c r="BB31" s="90"/>
      <c r="BC31" s="88"/>
      <c r="BD31" s="88"/>
      <c r="BE31" s="111"/>
      <c r="BF31" s="112"/>
      <c r="BG31" s="113"/>
      <c r="BH31" s="112"/>
      <c r="BI31" s="31"/>
      <c r="BJ31" s="32"/>
      <c r="BK31" s="90"/>
      <c r="BL31" s="88"/>
      <c r="BM31" s="88"/>
      <c r="BN31" s="111"/>
      <c r="BO31" s="112"/>
      <c r="BP31" s="113"/>
      <c r="BQ31" s="112"/>
      <c r="BR31" s="31"/>
      <c r="BS31" s="32"/>
      <c r="BT31" s="90"/>
      <c r="BU31" s="88"/>
      <c r="BV31" s="88"/>
      <c r="BW31" s="111"/>
      <c r="BX31" s="112"/>
      <c r="BY31" s="113"/>
      <c r="BZ31" s="112"/>
      <c r="CA31" s="31"/>
      <c r="CB31" s="32"/>
      <c r="CC31" s="90"/>
      <c r="CD31" s="88"/>
      <c r="CE31" s="88"/>
      <c r="CF31" s="111"/>
      <c r="CG31" s="112"/>
      <c r="CH31" s="113"/>
      <c r="CI31" s="112"/>
      <c r="CJ31" s="31"/>
      <c r="CK31" s="32"/>
      <c r="CL31" s="90"/>
      <c r="CM31" s="88"/>
      <c r="CN31" s="88"/>
      <c r="CO31" s="111"/>
      <c r="CP31" s="112"/>
      <c r="CQ31" s="113"/>
      <c r="CR31" s="112"/>
      <c r="CS31" s="55"/>
      <c r="CV31" s="48" t="s">
        <v>1589</v>
      </c>
      <c r="CW31" s="48" t="s">
        <v>1438</v>
      </c>
    </row>
    <row r="32" spans="1:101" ht="130" hidden="1" x14ac:dyDescent="0.25">
      <c r="A32" s="17" t="s">
        <v>1821</v>
      </c>
      <c r="B32" s="17" t="s">
        <v>1663</v>
      </c>
      <c r="C32" s="17" t="s">
        <v>1664</v>
      </c>
      <c r="D32" s="17" t="b">
        <f t="shared" ref="D32:D34" si="16">B32=G32</f>
        <v>0</v>
      </c>
      <c r="E32" s="161" t="s">
        <v>2442</v>
      </c>
      <c r="F32" s="162"/>
      <c r="G32" s="240" t="s">
        <v>2390</v>
      </c>
      <c r="H32" s="312" t="s">
        <v>2446</v>
      </c>
      <c r="I32" s="31"/>
      <c r="J32" s="32" t="s">
        <v>354</v>
      </c>
      <c r="K32" s="166"/>
      <c r="L32" s="111"/>
      <c r="M32" s="112"/>
      <c r="N32" s="113"/>
      <c r="O32" s="112"/>
      <c r="P32" s="31"/>
      <c r="Q32" s="32"/>
      <c r="R32" s="166"/>
      <c r="S32" s="88" t="str">
        <f t="shared" ref="S32:S34" si="17">IF(LEFT(R32,1)&lt;&gt;"x","NA",IF(RIGHT(Q32,3)=RIGHT(J32,3),IF(RIGHT(Q32,3)&lt;&gt;RIGHT(J32,3),IF(OR(AND(RIGHT(Q32,3)=RIGHT(J32,3),R32=K32)),"NO","YES"),"NO"),IF(OR(RIGHT(Q32,3)=RIGHT(J32,3)),"ERROR","YES")))</f>
        <v>NA</v>
      </c>
      <c r="T32" s="88" t="str">
        <f t="shared" ref="T32:T34" si="18">IF(LEFT(K32,1)&lt;&gt;LEFT(R32,1),"YES",IF(LEFT(R32,1)="x","NO","NA"))</f>
        <v>NA</v>
      </c>
      <c r="U32" s="111"/>
      <c r="V32" s="112"/>
      <c r="W32" s="113"/>
      <c r="X32" s="112"/>
      <c r="Y32" s="31"/>
      <c r="Z32" s="32"/>
      <c r="AA32" s="90"/>
      <c r="AB32" s="124" t="str">
        <f t="shared" ref="AB32:AB34" si="19">IF(LEFT(AA32,1)&lt;&gt;"x","NA",IF(RIGHT(Z32,3)=RIGHT(Q32,3),IF(RIGHT(Z32,3)&lt;&gt;RIGHT(J32,3),IF(OR(AND(RIGHT(Z32,3)=RIGHT(Q32,3),AA32=R32),AND(RIGHT(Z32,3)=RIGHT(J32,3),AA32=K32)),"NO","YES"),"NO"),IF(OR(RIGHT(Z32,3)=RIGHT(Q32,3),RIGHT(Z32,3)=RIGHT(J32,3)),"ERROR","YES")))</f>
        <v>NA</v>
      </c>
      <c r="AC32" s="88" t="str">
        <f t="shared" ref="AC32:AC34" si="20">IF(LEFT(R32,1)&lt;&gt;LEFT(AA32,1),"YES",IF(LEFT(AA32,1)="x","NO","NA"))</f>
        <v>NA</v>
      </c>
      <c r="AD32" s="111"/>
      <c r="AE32" s="112"/>
      <c r="AF32" s="113"/>
      <c r="AG32" s="112"/>
      <c r="AH32" s="31"/>
      <c r="AI32" s="32"/>
      <c r="AJ32" s="166"/>
      <c r="AK32" s="124" t="str">
        <f t="shared" ref="AK32:AK34" si="21">IF(LEFT(AJ32,1)&lt;&gt;"x","NA",IF(RIGHT(AI32,3)=RIGHT(Z32,3),IF(RIGHT(AI32,3)&lt;&gt;RIGHT(S32,3),IF(OR(AND(RIGHT(AI32,3)=RIGHT(Z32,3),AJ32=AA32),AND(RIGHT(AI32,3)=RIGHT(S32,3),AJ32=T32)),"NO","YES"),"NO"),IF(OR(RIGHT(AI32,3)=RIGHT(Z32,3),RIGHT(AI32,3)=RIGHT(S32,3)),"ERROR","YES")))</f>
        <v>NA</v>
      </c>
      <c r="AL32" s="88" t="str">
        <f t="shared" ref="AL32:AL34" si="22">IF(LEFT(AA32,1)&lt;&gt;LEFT(AJ32,1),"YES",IF(LEFT(AJ32,1)="x","NO","NA"))</f>
        <v>NA</v>
      </c>
      <c r="AM32" s="111"/>
      <c r="AN32" s="112"/>
      <c r="AO32" s="113"/>
      <c r="AP32" s="112"/>
      <c r="AQ32" s="31"/>
      <c r="AR32" s="32"/>
      <c r="AS32" s="90"/>
      <c r="AT32" s="88"/>
      <c r="AU32" s="88"/>
      <c r="AV32" s="111"/>
      <c r="AW32" s="112"/>
      <c r="AX32" s="113"/>
      <c r="AY32" s="112"/>
      <c r="AZ32" s="31"/>
      <c r="BA32" s="32"/>
      <c r="BB32" s="90"/>
      <c r="BC32" s="88"/>
      <c r="BD32" s="88"/>
      <c r="BE32" s="111"/>
      <c r="BF32" s="112"/>
      <c r="BG32" s="113"/>
      <c r="BH32" s="112"/>
      <c r="BI32" s="31"/>
      <c r="BJ32" s="32"/>
      <c r="BK32" s="90"/>
      <c r="BL32" s="88"/>
      <c r="BM32" s="88"/>
      <c r="BN32" s="111"/>
      <c r="BO32" s="112"/>
      <c r="BP32" s="113"/>
      <c r="BQ32" s="112"/>
      <c r="BR32" s="31"/>
      <c r="BS32" s="32"/>
      <c r="BT32" s="90"/>
      <c r="BU32" s="88"/>
      <c r="BV32" s="88"/>
      <c r="BW32" s="111"/>
      <c r="BX32" s="112"/>
      <c r="BY32" s="113"/>
      <c r="BZ32" s="112"/>
      <c r="CA32" s="31"/>
      <c r="CB32" s="32"/>
      <c r="CC32" s="90"/>
      <c r="CD32" s="88"/>
      <c r="CE32" s="88"/>
      <c r="CF32" s="111"/>
      <c r="CG32" s="112"/>
      <c r="CH32" s="113"/>
      <c r="CI32" s="112"/>
      <c r="CJ32" s="31"/>
      <c r="CK32" s="32"/>
      <c r="CL32" s="90"/>
      <c r="CM32" s="88"/>
      <c r="CN32" s="88"/>
      <c r="CO32" s="111"/>
      <c r="CP32" s="112"/>
      <c r="CQ32" s="113"/>
      <c r="CR32" s="112"/>
      <c r="CS32" s="55"/>
      <c r="CV32" s="48" t="s">
        <v>1589</v>
      </c>
      <c r="CW32" s="48" t="s">
        <v>1438</v>
      </c>
    </row>
    <row r="33" spans="1:101" ht="130" hidden="1" x14ac:dyDescent="0.25">
      <c r="A33" s="17" t="s">
        <v>1821</v>
      </c>
      <c r="B33" s="17" t="s">
        <v>1663</v>
      </c>
      <c r="C33" s="17" t="s">
        <v>1664</v>
      </c>
      <c r="D33" s="17" t="b">
        <f t="shared" si="16"/>
        <v>0</v>
      </c>
      <c r="E33" s="161" t="s">
        <v>2443</v>
      </c>
      <c r="F33" s="162"/>
      <c r="G33" s="240" t="s">
        <v>2391</v>
      </c>
      <c r="H33" s="312" t="s">
        <v>2447</v>
      </c>
      <c r="I33" s="31"/>
      <c r="J33" s="32" t="s">
        <v>354</v>
      </c>
      <c r="K33" s="166"/>
      <c r="L33" s="111"/>
      <c r="M33" s="112"/>
      <c r="N33" s="113"/>
      <c r="O33" s="112"/>
      <c r="P33" s="31"/>
      <c r="Q33" s="32"/>
      <c r="R33" s="166"/>
      <c r="S33" s="88" t="str">
        <f t="shared" si="17"/>
        <v>NA</v>
      </c>
      <c r="T33" s="88" t="str">
        <f t="shared" si="18"/>
        <v>NA</v>
      </c>
      <c r="U33" s="111"/>
      <c r="V33" s="112"/>
      <c r="W33" s="113"/>
      <c r="X33" s="112"/>
      <c r="Y33" s="31"/>
      <c r="Z33" s="32"/>
      <c r="AA33" s="90"/>
      <c r="AB33" s="124" t="str">
        <f t="shared" si="19"/>
        <v>NA</v>
      </c>
      <c r="AC33" s="88" t="str">
        <f t="shared" si="20"/>
        <v>NA</v>
      </c>
      <c r="AD33" s="111"/>
      <c r="AE33" s="112"/>
      <c r="AF33" s="113"/>
      <c r="AG33" s="112"/>
      <c r="AH33" s="31"/>
      <c r="AI33" s="32"/>
      <c r="AJ33" s="166"/>
      <c r="AK33" s="124" t="str">
        <f t="shared" si="21"/>
        <v>NA</v>
      </c>
      <c r="AL33" s="88" t="str">
        <f t="shared" si="22"/>
        <v>NA</v>
      </c>
      <c r="AM33" s="111"/>
      <c r="AN33" s="112"/>
      <c r="AO33" s="113"/>
      <c r="AP33" s="112"/>
      <c r="AQ33" s="31"/>
      <c r="AR33" s="32"/>
      <c r="AS33" s="90"/>
      <c r="AT33" s="88"/>
      <c r="AU33" s="88"/>
      <c r="AV33" s="111"/>
      <c r="AW33" s="112"/>
      <c r="AX33" s="113"/>
      <c r="AY33" s="112"/>
      <c r="AZ33" s="31"/>
      <c r="BA33" s="32"/>
      <c r="BB33" s="90"/>
      <c r="BC33" s="88"/>
      <c r="BD33" s="88"/>
      <c r="BE33" s="111"/>
      <c r="BF33" s="112"/>
      <c r="BG33" s="113"/>
      <c r="BH33" s="112"/>
      <c r="BI33" s="31"/>
      <c r="BJ33" s="32"/>
      <c r="BK33" s="90"/>
      <c r="BL33" s="88"/>
      <c r="BM33" s="88"/>
      <c r="BN33" s="111"/>
      <c r="BO33" s="112"/>
      <c r="BP33" s="113"/>
      <c r="BQ33" s="112"/>
      <c r="BR33" s="31"/>
      <c r="BS33" s="32"/>
      <c r="BT33" s="90"/>
      <c r="BU33" s="88"/>
      <c r="BV33" s="88"/>
      <c r="BW33" s="111"/>
      <c r="BX33" s="112"/>
      <c r="BY33" s="113"/>
      <c r="BZ33" s="112"/>
      <c r="CA33" s="31"/>
      <c r="CB33" s="32"/>
      <c r="CC33" s="90"/>
      <c r="CD33" s="88"/>
      <c r="CE33" s="88"/>
      <c r="CF33" s="111"/>
      <c r="CG33" s="112"/>
      <c r="CH33" s="113"/>
      <c r="CI33" s="112"/>
      <c r="CJ33" s="31"/>
      <c r="CK33" s="32"/>
      <c r="CL33" s="90"/>
      <c r="CM33" s="88"/>
      <c r="CN33" s="88"/>
      <c r="CO33" s="111"/>
      <c r="CP33" s="112"/>
      <c r="CQ33" s="113"/>
      <c r="CR33" s="112"/>
      <c r="CS33" s="55"/>
      <c r="CV33" s="48" t="s">
        <v>1589</v>
      </c>
      <c r="CW33" s="48" t="s">
        <v>1438</v>
      </c>
    </row>
    <row r="34" spans="1:101" ht="130" hidden="1" x14ac:dyDescent="0.25">
      <c r="A34" s="17" t="s">
        <v>1821</v>
      </c>
      <c r="B34" s="17" t="s">
        <v>1663</v>
      </c>
      <c r="C34" s="17" t="s">
        <v>1664</v>
      </c>
      <c r="D34" s="17" t="b">
        <f t="shared" si="16"/>
        <v>0</v>
      </c>
      <c r="E34" s="161" t="s">
        <v>2444</v>
      </c>
      <c r="F34" s="162"/>
      <c r="G34" s="240" t="s">
        <v>2445</v>
      </c>
      <c r="H34" s="312" t="s">
        <v>2448</v>
      </c>
      <c r="I34" s="31"/>
      <c r="J34" s="32" t="s">
        <v>354</v>
      </c>
      <c r="K34" s="166"/>
      <c r="L34" s="111"/>
      <c r="M34" s="112"/>
      <c r="N34" s="113"/>
      <c r="O34" s="112"/>
      <c r="P34" s="31"/>
      <c r="Q34" s="32"/>
      <c r="R34" s="166"/>
      <c r="S34" s="88" t="str">
        <f t="shared" si="17"/>
        <v>NA</v>
      </c>
      <c r="T34" s="88" t="str">
        <f t="shared" si="18"/>
        <v>NA</v>
      </c>
      <c r="U34" s="111"/>
      <c r="V34" s="112"/>
      <c r="W34" s="113"/>
      <c r="X34" s="112"/>
      <c r="Y34" s="31"/>
      <c r="Z34" s="32"/>
      <c r="AA34" s="90"/>
      <c r="AB34" s="124" t="str">
        <f t="shared" si="19"/>
        <v>NA</v>
      </c>
      <c r="AC34" s="88" t="str">
        <f t="shared" si="20"/>
        <v>NA</v>
      </c>
      <c r="AD34" s="111"/>
      <c r="AE34" s="112"/>
      <c r="AF34" s="113"/>
      <c r="AG34" s="112"/>
      <c r="AH34" s="31"/>
      <c r="AI34" s="32"/>
      <c r="AJ34" s="166"/>
      <c r="AK34" s="124" t="str">
        <f t="shared" si="21"/>
        <v>NA</v>
      </c>
      <c r="AL34" s="88" t="str">
        <f t="shared" si="22"/>
        <v>NA</v>
      </c>
      <c r="AM34" s="111"/>
      <c r="AN34" s="112"/>
      <c r="AO34" s="113"/>
      <c r="AP34" s="112"/>
      <c r="AQ34" s="31"/>
      <c r="AR34" s="32"/>
      <c r="AS34" s="90"/>
      <c r="AT34" s="88"/>
      <c r="AU34" s="88"/>
      <c r="AV34" s="111"/>
      <c r="AW34" s="112"/>
      <c r="AX34" s="113"/>
      <c r="AY34" s="112"/>
      <c r="AZ34" s="31"/>
      <c r="BA34" s="32"/>
      <c r="BB34" s="90"/>
      <c r="BC34" s="88"/>
      <c r="BD34" s="88"/>
      <c r="BE34" s="111"/>
      <c r="BF34" s="112"/>
      <c r="BG34" s="113"/>
      <c r="BH34" s="112"/>
      <c r="BI34" s="31"/>
      <c r="BJ34" s="32"/>
      <c r="BK34" s="90"/>
      <c r="BL34" s="88"/>
      <c r="BM34" s="88"/>
      <c r="BN34" s="111"/>
      <c r="BO34" s="112"/>
      <c r="BP34" s="113"/>
      <c r="BQ34" s="112"/>
      <c r="BR34" s="31"/>
      <c r="BS34" s="32"/>
      <c r="BT34" s="90"/>
      <c r="BU34" s="88"/>
      <c r="BV34" s="88"/>
      <c r="BW34" s="111"/>
      <c r="BX34" s="112"/>
      <c r="BY34" s="113"/>
      <c r="BZ34" s="112"/>
      <c r="CA34" s="31"/>
      <c r="CB34" s="32"/>
      <c r="CC34" s="90"/>
      <c r="CD34" s="88"/>
      <c r="CE34" s="88"/>
      <c r="CF34" s="111"/>
      <c r="CG34" s="112"/>
      <c r="CH34" s="113"/>
      <c r="CI34" s="112"/>
      <c r="CJ34" s="31"/>
      <c r="CK34" s="32"/>
      <c r="CL34" s="90"/>
      <c r="CM34" s="88"/>
      <c r="CN34" s="88"/>
      <c r="CO34" s="111"/>
      <c r="CP34" s="112"/>
      <c r="CQ34" s="113"/>
      <c r="CR34" s="112"/>
      <c r="CS34" s="55"/>
      <c r="CV34" s="48" t="s">
        <v>1589</v>
      </c>
      <c r="CW34" s="48" t="s">
        <v>1438</v>
      </c>
    </row>
    <row r="35" spans="1:101" ht="104" hidden="1" x14ac:dyDescent="0.25">
      <c r="A35" s="17" t="s">
        <v>1801</v>
      </c>
      <c r="B35" s="17" t="s">
        <v>1624</v>
      </c>
      <c r="C35" s="17" t="s">
        <v>1625</v>
      </c>
      <c r="D35" s="17" t="b">
        <f t="shared" si="6"/>
        <v>1</v>
      </c>
      <c r="E35" s="161" t="s">
        <v>1801</v>
      </c>
      <c r="F35" s="162" t="s">
        <v>1603</v>
      </c>
      <c r="G35" s="240" t="s">
        <v>1624</v>
      </c>
      <c r="H35" s="211" t="s">
        <v>1625</v>
      </c>
      <c r="I35" s="31"/>
      <c r="J35" s="32" t="s">
        <v>354</v>
      </c>
      <c r="K35" s="166"/>
      <c r="L35" s="111"/>
      <c r="M35" s="112"/>
      <c r="N35" s="113"/>
      <c r="O35" s="112"/>
      <c r="P35" s="31"/>
      <c r="Q35" s="32"/>
      <c r="R35" s="166"/>
      <c r="S35" s="88" t="str">
        <f t="shared" si="0"/>
        <v>NA</v>
      </c>
      <c r="T35" s="88" t="str">
        <f t="shared" si="1"/>
        <v>NA</v>
      </c>
      <c r="U35" s="111"/>
      <c r="V35" s="112"/>
      <c r="W35" s="113"/>
      <c r="X35" s="112"/>
      <c r="Y35" s="31"/>
      <c r="Z35" s="32"/>
      <c r="AA35" s="90"/>
      <c r="AB35" s="124" t="str">
        <f t="shared" si="7"/>
        <v>NA</v>
      </c>
      <c r="AC35" s="88" t="str">
        <f t="shared" si="8"/>
        <v>NA</v>
      </c>
      <c r="AD35" s="111"/>
      <c r="AE35" s="112"/>
      <c r="AF35" s="113"/>
      <c r="AG35" s="112"/>
      <c r="AH35" s="31"/>
      <c r="AI35" s="32"/>
      <c r="AJ35" s="166"/>
      <c r="AK35" s="124" t="str">
        <f t="shared" si="4"/>
        <v>NA</v>
      </c>
      <c r="AL35" s="88" t="str">
        <f t="shared" si="5"/>
        <v>NA</v>
      </c>
      <c r="AM35" s="111"/>
      <c r="AN35" s="112"/>
      <c r="AO35" s="113"/>
      <c r="AP35" s="112"/>
      <c r="AQ35" s="31"/>
      <c r="AR35" s="32"/>
      <c r="AS35" s="90"/>
      <c r="AT35" s="88"/>
      <c r="AU35" s="88"/>
      <c r="AV35" s="111"/>
      <c r="AW35" s="112"/>
      <c r="AX35" s="113"/>
      <c r="AY35" s="112"/>
      <c r="AZ35" s="31"/>
      <c r="BA35" s="32"/>
      <c r="BB35" s="90"/>
      <c r="BC35" s="88"/>
      <c r="BD35" s="88"/>
      <c r="BE35" s="111"/>
      <c r="BF35" s="112"/>
      <c r="BG35" s="113"/>
      <c r="BH35" s="112"/>
      <c r="BI35" s="31"/>
      <c r="BJ35" s="32"/>
      <c r="BK35" s="90"/>
      <c r="BL35" s="88"/>
      <c r="BM35" s="88"/>
      <c r="BN35" s="111"/>
      <c r="BO35" s="112"/>
      <c r="BP35" s="113"/>
      <c r="BQ35" s="112"/>
      <c r="BR35" s="31"/>
      <c r="BS35" s="32"/>
      <c r="BT35" s="90"/>
      <c r="BU35" s="88"/>
      <c r="BV35" s="88"/>
      <c r="BW35" s="111"/>
      <c r="BX35" s="112"/>
      <c r="BY35" s="113"/>
      <c r="BZ35" s="112"/>
      <c r="CA35" s="31"/>
      <c r="CB35" s="32"/>
      <c r="CC35" s="90"/>
      <c r="CD35" s="88"/>
      <c r="CE35" s="88"/>
      <c r="CF35" s="111"/>
      <c r="CG35" s="112"/>
      <c r="CH35" s="113"/>
      <c r="CI35" s="112"/>
      <c r="CJ35" s="31"/>
      <c r="CK35" s="32"/>
      <c r="CL35" s="90"/>
      <c r="CM35" s="88"/>
      <c r="CN35" s="88"/>
      <c r="CO35" s="111"/>
      <c r="CP35" s="112"/>
      <c r="CQ35" s="113"/>
      <c r="CR35" s="112"/>
      <c r="CS35" s="55"/>
      <c r="CV35" s="48" t="s">
        <v>541</v>
      </c>
      <c r="CW35" s="48" t="s">
        <v>1438</v>
      </c>
    </row>
    <row r="36" spans="1:101" ht="182" hidden="1" x14ac:dyDescent="0.25">
      <c r="A36" s="17" t="s">
        <v>1802</v>
      </c>
      <c r="B36" s="17" t="s">
        <v>1626</v>
      </c>
      <c r="C36" s="17" t="s">
        <v>1627</v>
      </c>
      <c r="D36" s="17" t="b">
        <f t="shared" si="6"/>
        <v>1</v>
      </c>
      <c r="E36" s="126" t="s">
        <v>1802</v>
      </c>
      <c r="F36" s="163" t="s">
        <v>1604</v>
      </c>
      <c r="G36" s="240" t="s">
        <v>1626</v>
      </c>
      <c r="H36" s="211" t="s">
        <v>1627</v>
      </c>
      <c r="I36" s="31"/>
      <c r="J36" s="32" t="s">
        <v>354</v>
      </c>
      <c r="K36" s="166"/>
      <c r="L36" s="111"/>
      <c r="M36" s="112"/>
      <c r="N36" s="113"/>
      <c r="O36" s="112"/>
      <c r="P36" s="31"/>
      <c r="Q36" s="32"/>
      <c r="R36" s="166"/>
      <c r="S36" s="88" t="str">
        <f t="shared" si="0"/>
        <v>NA</v>
      </c>
      <c r="T36" s="88" t="str">
        <f t="shared" si="1"/>
        <v>NA</v>
      </c>
      <c r="U36" s="111"/>
      <c r="V36" s="112"/>
      <c r="W36" s="113"/>
      <c r="X36" s="112"/>
      <c r="Y36" s="31"/>
      <c r="Z36" s="32"/>
      <c r="AA36" s="90"/>
      <c r="AB36" s="124" t="str">
        <f t="shared" si="7"/>
        <v>NA</v>
      </c>
      <c r="AC36" s="88" t="str">
        <f t="shared" si="8"/>
        <v>NA</v>
      </c>
      <c r="AD36" s="111"/>
      <c r="AE36" s="112"/>
      <c r="AF36" s="113"/>
      <c r="AG36" s="112"/>
      <c r="AH36" s="31"/>
      <c r="AI36" s="32"/>
      <c r="AJ36" s="166"/>
      <c r="AK36" s="124" t="str">
        <f t="shared" si="4"/>
        <v>NA</v>
      </c>
      <c r="AL36" s="88" t="str">
        <f t="shared" si="5"/>
        <v>NA</v>
      </c>
      <c r="AM36" s="111"/>
      <c r="AN36" s="112"/>
      <c r="AO36" s="113"/>
      <c r="AP36" s="112"/>
      <c r="AQ36" s="31"/>
      <c r="AR36" s="32"/>
      <c r="AS36" s="90"/>
      <c r="AT36" s="88"/>
      <c r="AU36" s="88"/>
      <c r="AV36" s="111"/>
      <c r="AW36" s="112"/>
      <c r="AX36" s="113"/>
      <c r="AY36" s="112"/>
      <c r="AZ36" s="31"/>
      <c r="BA36" s="32"/>
      <c r="BB36" s="90"/>
      <c r="BC36" s="88"/>
      <c r="BD36" s="88"/>
      <c r="BE36" s="111"/>
      <c r="BF36" s="112"/>
      <c r="BG36" s="113"/>
      <c r="BH36" s="112"/>
      <c r="BI36" s="31"/>
      <c r="BJ36" s="32"/>
      <c r="BK36" s="90"/>
      <c r="BL36" s="88"/>
      <c r="BM36" s="88"/>
      <c r="BN36" s="111"/>
      <c r="BO36" s="112"/>
      <c r="BP36" s="113"/>
      <c r="BQ36" s="112"/>
      <c r="BR36" s="31"/>
      <c r="BS36" s="32"/>
      <c r="BT36" s="90"/>
      <c r="BU36" s="88"/>
      <c r="BV36" s="88"/>
      <c r="BW36" s="111"/>
      <c r="BX36" s="112"/>
      <c r="BY36" s="113"/>
      <c r="BZ36" s="112"/>
      <c r="CA36" s="31"/>
      <c r="CB36" s="32"/>
      <c r="CC36" s="90"/>
      <c r="CD36" s="88"/>
      <c r="CE36" s="88"/>
      <c r="CF36" s="111"/>
      <c r="CG36" s="112"/>
      <c r="CH36" s="113"/>
      <c r="CI36" s="112"/>
      <c r="CJ36" s="31"/>
      <c r="CK36" s="32"/>
      <c r="CL36" s="90"/>
      <c r="CM36" s="88"/>
      <c r="CN36" s="88"/>
      <c r="CO36" s="111"/>
      <c r="CP36" s="112"/>
      <c r="CQ36" s="113"/>
      <c r="CR36" s="112"/>
      <c r="CS36" s="55"/>
      <c r="CV36" s="48" t="s">
        <v>1590</v>
      </c>
      <c r="CW36" s="48" t="s">
        <v>1438</v>
      </c>
    </row>
    <row r="37" spans="1:101" ht="247" hidden="1" x14ac:dyDescent="0.25">
      <c r="A37" s="17" t="s">
        <v>1803</v>
      </c>
      <c r="B37" s="17" t="s">
        <v>1628</v>
      </c>
      <c r="C37" s="17" t="s">
        <v>1629</v>
      </c>
      <c r="D37" s="17" t="b">
        <f t="shared" si="6"/>
        <v>1</v>
      </c>
      <c r="E37" s="161" t="s">
        <v>1803</v>
      </c>
      <c r="F37" s="162" t="s">
        <v>1605</v>
      </c>
      <c r="G37" s="240" t="s">
        <v>1628</v>
      </c>
      <c r="H37" s="211" t="s">
        <v>1629</v>
      </c>
      <c r="I37" s="31"/>
      <c r="J37" s="32" t="s">
        <v>354</v>
      </c>
      <c r="K37" s="166"/>
      <c r="L37" s="111"/>
      <c r="M37" s="112"/>
      <c r="N37" s="113"/>
      <c r="O37" s="112"/>
      <c r="P37" s="31"/>
      <c r="Q37" s="32"/>
      <c r="R37" s="166"/>
      <c r="S37" s="88" t="str">
        <f t="shared" si="0"/>
        <v>NA</v>
      </c>
      <c r="T37" s="88" t="str">
        <f t="shared" si="1"/>
        <v>NA</v>
      </c>
      <c r="U37" s="111"/>
      <c r="V37" s="112"/>
      <c r="W37" s="113"/>
      <c r="X37" s="112"/>
      <c r="Y37" s="31"/>
      <c r="Z37" s="32"/>
      <c r="AA37" s="90"/>
      <c r="AB37" s="124" t="str">
        <f t="shared" si="7"/>
        <v>NA</v>
      </c>
      <c r="AC37" s="88" t="str">
        <f t="shared" si="8"/>
        <v>NA</v>
      </c>
      <c r="AD37" s="111"/>
      <c r="AE37" s="112"/>
      <c r="AF37" s="113"/>
      <c r="AG37" s="112"/>
      <c r="AH37" s="31"/>
      <c r="AI37" s="32"/>
      <c r="AJ37" s="166"/>
      <c r="AK37" s="124" t="str">
        <f t="shared" si="4"/>
        <v>NA</v>
      </c>
      <c r="AL37" s="88" t="str">
        <f t="shared" si="5"/>
        <v>NA</v>
      </c>
      <c r="AM37" s="111"/>
      <c r="AN37" s="112"/>
      <c r="AO37" s="113"/>
      <c r="AP37" s="112"/>
      <c r="AQ37" s="31"/>
      <c r="AR37" s="32"/>
      <c r="AS37" s="90"/>
      <c r="AT37" s="88"/>
      <c r="AU37" s="88"/>
      <c r="AV37" s="111"/>
      <c r="AW37" s="112"/>
      <c r="AX37" s="113"/>
      <c r="AY37" s="112"/>
      <c r="AZ37" s="31"/>
      <c r="BA37" s="32"/>
      <c r="BB37" s="90"/>
      <c r="BC37" s="88"/>
      <c r="BD37" s="88"/>
      <c r="BE37" s="111"/>
      <c r="BF37" s="112"/>
      <c r="BG37" s="113"/>
      <c r="BH37" s="112"/>
      <c r="BI37" s="31"/>
      <c r="BJ37" s="32"/>
      <c r="BK37" s="90"/>
      <c r="BL37" s="88"/>
      <c r="BM37" s="88"/>
      <c r="BN37" s="111"/>
      <c r="BO37" s="112"/>
      <c r="BP37" s="113"/>
      <c r="BQ37" s="112"/>
      <c r="BR37" s="31"/>
      <c r="BS37" s="32"/>
      <c r="BT37" s="90"/>
      <c r="BU37" s="88"/>
      <c r="BV37" s="88"/>
      <c r="BW37" s="111"/>
      <c r="BX37" s="112"/>
      <c r="BY37" s="113"/>
      <c r="BZ37" s="112"/>
      <c r="CA37" s="31"/>
      <c r="CB37" s="32"/>
      <c r="CC37" s="90"/>
      <c r="CD37" s="88"/>
      <c r="CE37" s="88"/>
      <c r="CF37" s="111"/>
      <c r="CG37" s="112"/>
      <c r="CH37" s="113"/>
      <c r="CI37" s="112"/>
      <c r="CJ37" s="31"/>
      <c r="CK37" s="32"/>
      <c r="CL37" s="90"/>
      <c r="CM37" s="88"/>
      <c r="CN37" s="88"/>
      <c r="CO37" s="111"/>
      <c r="CP37" s="112"/>
      <c r="CQ37" s="113"/>
      <c r="CR37" s="112"/>
      <c r="CS37" s="55"/>
      <c r="CV37" s="48" t="s">
        <v>1590</v>
      </c>
      <c r="CW37" s="48" t="s">
        <v>1438</v>
      </c>
    </row>
    <row r="38" spans="1:101" ht="182" hidden="1" x14ac:dyDescent="0.25">
      <c r="A38" s="17" t="s">
        <v>1804</v>
      </c>
      <c r="B38" s="17" t="s">
        <v>1630</v>
      </c>
      <c r="C38" s="17" t="s">
        <v>1631</v>
      </c>
      <c r="D38" s="17" t="b">
        <f t="shared" si="6"/>
        <v>1</v>
      </c>
      <c r="E38" s="161" t="s">
        <v>1804</v>
      </c>
      <c r="F38" s="162" t="s">
        <v>1606</v>
      </c>
      <c r="G38" s="240" t="s">
        <v>1630</v>
      </c>
      <c r="H38" s="211" t="s">
        <v>1631</v>
      </c>
      <c r="I38" s="31"/>
      <c r="J38" s="32" t="s">
        <v>354</v>
      </c>
      <c r="K38" s="166"/>
      <c r="L38" s="111"/>
      <c r="M38" s="112"/>
      <c r="N38" s="113"/>
      <c r="O38" s="112"/>
      <c r="P38" s="31"/>
      <c r="Q38" s="32"/>
      <c r="R38" s="166"/>
      <c r="S38" s="88" t="str">
        <f t="shared" si="0"/>
        <v>NA</v>
      </c>
      <c r="T38" s="88" t="str">
        <f t="shared" si="1"/>
        <v>NA</v>
      </c>
      <c r="U38" s="111"/>
      <c r="V38" s="112"/>
      <c r="W38" s="113"/>
      <c r="X38" s="112"/>
      <c r="Y38" s="31"/>
      <c r="Z38" s="32"/>
      <c r="AA38" s="90"/>
      <c r="AB38" s="124" t="str">
        <f t="shared" si="7"/>
        <v>NA</v>
      </c>
      <c r="AC38" s="88" t="str">
        <f t="shared" si="8"/>
        <v>NA</v>
      </c>
      <c r="AD38" s="111"/>
      <c r="AE38" s="112"/>
      <c r="AF38" s="113"/>
      <c r="AG38" s="112"/>
      <c r="AH38" s="31"/>
      <c r="AI38" s="32"/>
      <c r="AJ38" s="166"/>
      <c r="AK38" s="124" t="str">
        <f t="shared" si="4"/>
        <v>NA</v>
      </c>
      <c r="AL38" s="88" t="str">
        <f t="shared" si="5"/>
        <v>NA</v>
      </c>
      <c r="AM38" s="111"/>
      <c r="AN38" s="112"/>
      <c r="AO38" s="113"/>
      <c r="AP38" s="112"/>
      <c r="AQ38" s="31"/>
      <c r="AR38" s="32"/>
      <c r="AS38" s="90"/>
      <c r="AT38" s="88"/>
      <c r="AU38" s="88"/>
      <c r="AV38" s="111"/>
      <c r="AW38" s="112"/>
      <c r="AX38" s="113"/>
      <c r="AY38" s="112"/>
      <c r="AZ38" s="31"/>
      <c r="BA38" s="32"/>
      <c r="BB38" s="90"/>
      <c r="BC38" s="88"/>
      <c r="BD38" s="88"/>
      <c r="BE38" s="111"/>
      <c r="BF38" s="112"/>
      <c r="BG38" s="113"/>
      <c r="BH38" s="112"/>
      <c r="BI38" s="31"/>
      <c r="BJ38" s="32"/>
      <c r="BK38" s="90"/>
      <c r="BL38" s="88"/>
      <c r="BM38" s="88"/>
      <c r="BN38" s="111"/>
      <c r="BO38" s="112"/>
      <c r="BP38" s="113"/>
      <c r="BQ38" s="112"/>
      <c r="BR38" s="31"/>
      <c r="BS38" s="32"/>
      <c r="BT38" s="90"/>
      <c r="BU38" s="88"/>
      <c r="BV38" s="88"/>
      <c r="BW38" s="111"/>
      <c r="BX38" s="112"/>
      <c r="BY38" s="113"/>
      <c r="BZ38" s="112"/>
      <c r="CA38" s="31"/>
      <c r="CB38" s="32"/>
      <c r="CC38" s="90"/>
      <c r="CD38" s="88"/>
      <c r="CE38" s="88"/>
      <c r="CF38" s="111"/>
      <c r="CG38" s="112"/>
      <c r="CH38" s="113"/>
      <c r="CI38" s="112"/>
      <c r="CJ38" s="31"/>
      <c r="CK38" s="32"/>
      <c r="CL38" s="90"/>
      <c r="CM38" s="88"/>
      <c r="CN38" s="88"/>
      <c r="CO38" s="111"/>
      <c r="CP38" s="112"/>
      <c r="CQ38" s="113"/>
      <c r="CR38" s="112"/>
      <c r="CS38" s="55"/>
      <c r="CV38" s="48" t="s">
        <v>1590</v>
      </c>
      <c r="CW38" s="48" t="s">
        <v>1438</v>
      </c>
    </row>
    <row r="39" spans="1:101" ht="182" hidden="1" x14ac:dyDescent="0.25">
      <c r="A39" s="17" t="s">
        <v>1805</v>
      </c>
      <c r="B39" s="17" t="s">
        <v>1632</v>
      </c>
      <c r="C39" s="17" t="s">
        <v>1633</v>
      </c>
      <c r="D39" s="17" t="b">
        <f t="shared" si="6"/>
        <v>1</v>
      </c>
      <c r="E39" s="161" t="s">
        <v>1805</v>
      </c>
      <c r="F39" s="162" t="s">
        <v>1607</v>
      </c>
      <c r="G39" s="240" t="s">
        <v>1632</v>
      </c>
      <c r="H39" s="211" t="s">
        <v>1633</v>
      </c>
      <c r="I39" s="31"/>
      <c r="J39" s="32" t="s">
        <v>354</v>
      </c>
      <c r="K39" s="166"/>
      <c r="L39" s="111"/>
      <c r="M39" s="112"/>
      <c r="N39" s="113"/>
      <c r="O39" s="112"/>
      <c r="P39" s="31"/>
      <c r="Q39" s="32"/>
      <c r="R39" s="166"/>
      <c r="S39" s="88" t="str">
        <f t="shared" si="0"/>
        <v>NA</v>
      </c>
      <c r="T39" s="88" t="str">
        <f t="shared" si="1"/>
        <v>NA</v>
      </c>
      <c r="U39" s="111"/>
      <c r="V39" s="112"/>
      <c r="W39" s="113"/>
      <c r="X39" s="112"/>
      <c r="Y39" s="31"/>
      <c r="Z39" s="32"/>
      <c r="AA39" s="90"/>
      <c r="AB39" s="124" t="str">
        <f t="shared" si="7"/>
        <v>NA</v>
      </c>
      <c r="AC39" s="88" t="str">
        <f t="shared" si="8"/>
        <v>NA</v>
      </c>
      <c r="AD39" s="111"/>
      <c r="AE39" s="112"/>
      <c r="AF39" s="113"/>
      <c r="AG39" s="112"/>
      <c r="AH39" s="31"/>
      <c r="AI39" s="32"/>
      <c r="AJ39" s="166"/>
      <c r="AK39" s="124" t="str">
        <f t="shared" si="4"/>
        <v>NA</v>
      </c>
      <c r="AL39" s="88" t="str">
        <f t="shared" si="5"/>
        <v>NA</v>
      </c>
      <c r="AM39" s="111"/>
      <c r="AN39" s="112"/>
      <c r="AO39" s="113"/>
      <c r="AP39" s="112"/>
      <c r="AQ39" s="31"/>
      <c r="AR39" s="32"/>
      <c r="AS39" s="90"/>
      <c r="AT39" s="88"/>
      <c r="AU39" s="88"/>
      <c r="AV39" s="111"/>
      <c r="AW39" s="112"/>
      <c r="AX39" s="113"/>
      <c r="AY39" s="112"/>
      <c r="AZ39" s="31"/>
      <c r="BA39" s="32"/>
      <c r="BB39" s="90"/>
      <c r="BC39" s="88"/>
      <c r="BD39" s="88"/>
      <c r="BE39" s="111"/>
      <c r="BF39" s="112"/>
      <c r="BG39" s="113"/>
      <c r="BH39" s="112"/>
      <c r="BI39" s="31"/>
      <c r="BJ39" s="32"/>
      <c r="BK39" s="90"/>
      <c r="BL39" s="88"/>
      <c r="BM39" s="88"/>
      <c r="BN39" s="111"/>
      <c r="BO39" s="112"/>
      <c r="BP39" s="113"/>
      <c r="BQ39" s="112"/>
      <c r="BR39" s="31"/>
      <c r="BS39" s="32"/>
      <c r="BT39" s="90"/>
      <c r="BU39" s="88"/>
      <c r="BV39" s="88"/>
      <c r="BW39" s="111"/>
      <c r="BX39" s="112"/>
      <c r="BY39" s="113"/>
      <c r="BZ39" s="112"/>
      <c r="CA39" s="31"/>
      <c r="CB39" s="32"/>
      <c r="CC39" s="90"/>
      <c r="CD39" s="88"/>
      <c r="CE39" s="88"/>
      <c r="CF39" s="111"/>
      <c r="CG39" s="112"/>
      <c r="CH39" s="113"/>
      <c r="CI39" s="112"/>
      <c r="CJ39" s="31"/>
      <c r="CK39" s="32"/>
      <c r="CL39" s="90"/>
      <c r="CM39" s="88"/>
      <c r="CN39" s="88"/>
      <c r="CO39" s="111"/>
      <c r="CP39" s="112"/>
      <c r="CQ39" s="113"/>
      <c r="CR39" s="112"/>
      <c r="CS39" s="55"/>
      <c r="CV39" s="48" t="s">
        <v>1590</v>
      </c>
      <c r="CW39" s="48" t="s">
        <v>1438</v>
      </c>
    </row>
    <row r="40" spans="1:101" ht="182" hidden="1" x14ac:dyDescent="0.25">
      <c r="A40" s="17" t="s">
        <v>1806</v>
      </c>
      <c r="B40" s="17" t="s">
        <v>1634</v>
      </c>
      <c r="C40" s="17" t="s">
        <v>1635</v>
      </c>
      <c r="D40" s="17" t="b">
        <f t="shared" si="6"/>
        <v>1</v>
      </c>
      <c r="E40" s="161" t="s">
        <v>1806</v>
      </c>
      <c r="F40" s="162" t="s">
        <v>1608</v>
      </c>
      <c r="G40" s="240" t="s">
        <v>1634</v>
      </c>
      <c r="H40" s="211" t="s">
        <v>1635</v>
      </c>
      <c r="I40" s="31"/>
      <c r="J40" s="32" t="s">
        <v>354</v>
      </c>
      <c r="K40" s="166"/>
      <c r="L40" s="111"/>
      <c r="M40" s="112"/>
      <c r="N40" s="113"/>
      <c r="O40" s="112"/>
      <c r="P40" s="31"/>
      <c r="Q40" s="32"/>
      <c r="R40" s="166"/>
      <c r="S40" s="88" t="str">
        <f t="shared" si="0"/>
        <v>NA</v>
      </c>
      <c r="T40" s="88" t="str">
        <f t="shared" si="1"/>
        <v>NA</v>
      </c>
      <c r="U40" s="111"/>
      <c r="V40" s="112"/>
      <c r="W40" s="113"/>
      <c r="X40" s="112"/>
      <c r="Y40" s="31"/>
      <c r="Z40" s="32"/>
      <c r="AA40" s="90"/>
      <c r="AB40" s="124" t="str">
        <f t="shared" si="7"/>
        <v>NA</v>
      </c>
      <c r="AC40" s="88" t="str">
        <f t="shared" si="8"/>
        <v>NA</v>
      </c>
      <c r="AD40" s="111"/>
      <c r="AE40" s="112"/>
      <c r="AF40" s="113"/>
      <c r="AG40" s="112"/>
      <c r="AH40" s="31"/>
      <c r="AI40" s="32"/>
      <c r="AJ40" s="166"/>
      <c r="AK40" s="124" t="str">
        <f t="shared" si="4"/>
        <v>NA</v>
      </c>
      <c r="AL40" s="88" t="str">
        <f t="shared" si="5"/>
        <v>NA</v>
      </c>
      <c r="AM40" s="111"/>
      <c r="AN40" s="112"/>
      <c r="AO40" s="113"/>
      <c r="AP40" s="112"/>
      <c r="AQ40" s="31"/>
      <c r="AR40" s="32"/>
      <c r="AS40" s="90"/>
      <c r="AT40" s="88"/>
      <c r="AU40" s="88"/>
      <c r="AV40" s="111"/>
      <c r="AW40" s="112"/>
      <c r="AX40" s="113"/>
      <c r="AY40" s="112"/>
      <c r="AZ40" s="31"/>
      <c r="BA40" s="32"/>
      <c r="BB40" s="90"/>
      <c r="BC40" s="88"/>
      <c r="BD40" s="88"/>
      <c r="BE40" s="111"/>
      <c r="BF40" s="112"/>
      <c r="BG40" s="113"/>
      <c r="BH40" s="112"/>
      <c r="BI40" s="31"/>
      <c r="BJ40" s="32"/>
      <c r="BK40" s="90"/>
      <c r="BL40" s="88"/>
      <c r="BM40" s="88"/>
      <c r="BN40" s="111"/>
      <c r="BO40" s="112"/>
      <c r="BP40" s="113"/>
      <c r="BQ40" s="112"/>
      <c r="BR40" s="31"/>
      <c r="BS40" s="32"/>
      <c r="BT40" s="90"/>
      <c r="BU40" s="88"/>
      <c r="BV40" s="88"/>
      <c r="BW40" s="111"/>
      <c r="BX40" s="112"/>
      <c r="BY40" s="113"/>
      <c r="BZ40" s="112"/>
      <c r="CA40" s="31"/>
      <c r="CB40" s="32"/>
      <c r="CC40" s="90"/>
      <c r="CD40" s="88"/>
      <c r="CE40" s="88"/>
      <c r="CF40" s="111"/>
      <c r="CG40" s="112"/>
      <c r="CH40" s="113"/>
      <c r="CI40" s="112"/>
      <c r="CJ40" s="31"/>
      <c r="CK40" s="32"/>
      <c r="CL40" s="90"/>
      <c r="CM40" s="88"/>
      <c r="CN40" s="88"/>
      <c r="CO40" s="111"/>
      <c r="CP40" s="112"/>
      <c r="CQ40" s="113"/>
      <c r="CR40" s="112"/>
      <c r="CS40" s="55"/>
      <c r="CV40" s="48" t="s">
        <v>1590</v>
      </c>
      <c r="CW40" s="48" t="s">
        <v>1438</v>
      </c>
    </row>
    <row r="41" spans="1:101" ht="182" hidden="1" x14ac:dyDescent="0.25">
      <c r="A41" s="17" t="s">
        <v>1807</v>
      </c>
      <c r="B41" s="17" t="s">
        <v>1636</v>
      </c>
      <c r="C41" s="17" t="s">
        <v>1637</v>
      </c>
      <c r="D41" s="17" t="b">
        <f t="shared" si="6"/>
        <v>1</v>
      </c>
      <c r="E41" s="161" t="s">
        <v>1807</v>
      </c>
      <c r="F41" s="162" t="s">
        <v>1609</v>
      </c>
      <c r="G41" s="240" t="s">
        <v>1636</v>
      </c>
      <c r="H41" s="211" t="s">
        <v>1637</v>
      </c>
      <c r="I41" s="31"/>
      <c r="J41" s="32" t="s">
        <v>354</v>
      </c>
      <c r="K41" s="166"/>
      <c r="L41" s="111"/>
      <c r="M41" s="112"/>
      <c r="N41" s="113"/>
      <c r="O41" s="112"/>
      <c r="P41" s="31"/>
      <c r="Q41" s="32"/>
      <c r="R41" s="166"/>
      <c r="S41" s="88" t="str">
        <f t="shared" si="0"/>
        <v>NA</v>
      </c>
      <c r="T41" s="88" t="str">
        <f t="shared" si="1"/>
        <v>NA</v>
      </c>
      <c r="U41" s="111"/>
      <c r="V41" s="112"/>
      <c r="W41" s="113"/>
      <c r="X41" s="112"/>
      <c r="Y41" s="31"/>
      <c r="Z41" s="32"/>
      <c r="AA41" s="90"/>
      <c r="AB41" s="124" t="str">
        <f t="shared" si="7"/>
        <v>NA</v>
      </c>
      <c r="AC41" s="88" t="str">
        <f t="shared" si="8"/>
        <v>NA</v>
      </c>
      <c r="AD41" s="111"/>
      <c r="AE41" s="112"/>
      <c r="AF41" s="113"/>
      <c r="AG41" s="112"/>
      <c r="AH41" s="31"/>
      <c r="AI41" s="32"/>
      <c r="AJ41" s="166"/>
      <c r="AK41" s="124" t="str">
        <f t="shared" si="4"/>
        <v>NA</v>
      </c>
      <c r="AL41" s="88" t="str">
        <f t="shared" si="5"/>
        <v>NA</v>
      </c>
      <c r="AM41" s="111"/>
      <c r="AN41" s="112"/>
      <c r="AO41" s="113"/>
      <c r="AP41" s="112"/>
      <c r="AQ41" s="31"/>
      <c r="AR41" s="32"/>
      <c r="AS41" s="90"/>
      <c r="AT41" s="88"/>
      <c r="AU41" s="88"/>
      <c r="AV41" s="111"/>
      <c r="AW41" s="112"/>
      <c r="AX41" s="113"/>
      <c r="AY41" s="112"/>
      <c r="AZ41" s="31"/>
      <c r="BA41" s="32"/>
      <c r="BB41" s="90"/>
      <c r="BC41" s="88"/>
      <c r="BD41" s="88"/>
      <c r="BE41" s="111"/>
      <c r="BF41" s="112"/>
      <c r="BG41" s="113"/>
      <c r="BH41" s="112"/>
      <c r="BI41" s="31"/>
      <c r="BJ41" s="32"/>
      <c r="BK41" s="90"/>
      <c r="BL41" s="88"/>
      <c r="BM41" s="88"/>
      <c r="BN41" s="111"/>
      <c r="BO41" s="112"/>
      <c r="BP41" s="113"/>
      <c r="BQ41" s="112"/>
      <c r="BR41" s="31"/>
      <c r="BS41" s="32"/>
      <c r="BT41" s="90"/>
      <c r="BU41" s="88"/>
      <c r="BV41" s="88"/>
      <c r="BW41" s="111"/>
      <c r="BX41" s="112"/>
      <c r="BY41" s="113"/>
      <c r="BZ41" s="112"/>
      <c r="CA41" s="31"/>
      <c r="CB41" s="32"/>
      <c r="CC41" s="90"/>
      <c r="CD41" s="88"/>
      <c r="CE41" s="88"/>
      <c r="CF41" s="111"/>
      <c r="CG41" s="112"/>
      <c r="CH41" s="113"/>
      <c r="CI41" s="112"/>
      <c r="CJ41" s="31"/>
      <c r="CK41" s="32"/>
      <c r="CL41" s="90"/>
      <c r="CM41" s="88"/>
      <c r="CN41" s="88"/>
      <c r="CO41" s="111"/>
      <c r="CP41" s="112"/>
      <c r="CQ41" s="113"/>
      <c r="CR41" s="112"/>
      <c r="CS41" s="55"/>
      <c r="CV41" s="48" t="s">
        <v>1590</v>
      </c>
      <c r="CW41" s="48" t="s">
        <v>1438</v>
      </c>
    </row>
    <row r="42" spans="1:101" ht="169" hidden="1" x14ac:dyDescent="0.25">
      <c r="A42" s="17" t="s">
        <v>1808</v>
      </c>
      <c r="B42" s="17" t="s">
        <v>1638</v>
      </c>
      <c r="C42" s="17" t="s">
        <v>1600</v>
      </c>
      <c r="D42" s="17" t="b">
        <f t="shared" si="6"/>
        <v>1</v>
      </c>
      <c r="E42" s="161" t="s">
        <v>1808</v>
      </c>
      <c r="F42" s="162" t="s">
        <v>1610</v>
      </c>
      <c r="G42" s="240" t="s">
        <v>1638</v>
      </c>
      <c r="H42" s="211" t="s">
        <v>1600</v>
      </c>
      <c r="I42" s="31"/>
      <c r="J42" s="32" t="s">
        <v>354</v>
      </c>
      <c r="K42" s="166"/>
      <c r="L42" s="111"/>
      <c r="M42" s="112"/>
      <c r="N42" s="113"/>
      <c r="O42" s="112"/>
      <c r="P42" s="31"/>
      <c r="Q42" s="32"/>
      <c r="R42" s="166"/>
      <c r="S42" s="88" t="str">
        <f t="shared" si="0"/>
        <v>NA</v>
      </c>
      <c r="T42" s="88" t="str">
        <f t="shared" si="1"/>
        <v>NA</v>
      </c>
      <c r="U42" s="111"/>
      <c r="V42" s="112"/>
      <c r="W42" s="113"/>
      <c r="X42" s="112"/>
      <c r="Y42" s="31"/>
      <c r="Z42" s="32"/>
      <c r="AA42" s="90"/>
      <c r="AB42" s="124" t="str">
        <f t="shared" si="7"/>
        <v>NA</v>
      </c>
      <c r="AC42" s="88" t="str">
        <f t="shared" si="8"/>
        <v>NA</v>
      </c>
      <c r="AD42" s="111"/>
      <c r="AE42" s="112"/>
      <c r="AF42" s="113"/>
      <c r="AG42" s="112"/>
      <c r="AH42" s="31"/>
      <c r="AI42" s="32"/>
      <c r="AJ42" s="166"/>
      <c r="AK42" s="124" t="str">
        <f t="shared" si="4"/>
        <v>NA</v>
      </c>
      <c r="AL42" s="88" t="str">
        <f t="shared" si="5"/>
        <v>NA</v>
      </c>
      <c r="AM42" s="111"/>
      <c r="AN42" s="112"/>
      <c r="AO42" s="113"/>
      <c r="AP42" s="112"/>
      <c r="AQ42" s="31"/>
      <c r="AR42" s="32"/>
      <c r="AS42" s="90"/>
      <c r="AT42" s="88"/>
      <c r="AU42" s="88"/>
      <c r="AV42" s="111"/>
      <c r="AW42" s="112"/>
      <c r="AX42" s="113"/>
      <c r="AY42" s="112"/>
      <c r="AZ42" s="31"/>
      <c r="BA42" s="32"/>
      <c r="BB42" s="90"/>
      <c r="BC42" s="88"/>
      <c r="BD42" s="88"/>
      <c r="BE42" s="111"/>
      <c r="BF42" s="112"/>
      <c r="BG42" s="113"/>
      <c r="BH42" s="112"/>
      <c r="BI42" s="31"/>
      <c r="BJ42" s="32"/>
      <c r="BK42" s="90"/>
      <c r="BL42" s="88"/>
      <c r="BM42" s="88"/>
      <c r="BN42" s="111"/>
      <c r="BO42" s="112"/>
      <c r="BP42" s="113"/>
      <c r="BQ42" s="112"/>
      <c r="BR42" s="31"/>
      <c r="BS42" s="32"/>
      <c r="BT42" s="90"/>
      <c r="BU42" s="88"/>
      <c r="BV42" s="88"/>
      <c r="BW42" s="111"/>
      <c r="BX42" s="112"/>
      <c r="BY42" s="113"/>
      <c r="BZ42" s="112"/>
      <c r="CA42" s="31"/>
      <c r="CB42" s="32"/>
      <c r="CC42" s="90"/>
      <c r="CD42" s="88"/>
      <c r="CE42" s="88"/>
      <c r="CF42" s="111"/>
      <c r="CG42" s="112"/>
      <c r="CH42" s="113"/>
      <c r="CI42" s="112"/>
      <c r="CJ42" s="31"/>
      <c r="CK42" s="32"/>
      <c r="CL42" s="90"/>
      <c r="CM42" s="88"/>
      <c r="CN42" s="88"/>
      <c r="CO42" s="111"/>
      <c r="CP42" s="112"/>
      <c r="CQ42" s="113"/>
      <c r="CR42" s="112"/>
      <c r="CS42" s="55"/>
      <c r="CV42" s="48" t="s">
        <v>1590</v>
      </c>
      <c r="CW42" s="48" t="s">
        <v>1438</v>
      </c>
    </row>
    <row r="43" spans="1:101" ht="221" hidden="1" x14ac:dyDescent="0.25">
      <c r="A43" s="17" t="s">
        <v>1809</v>
      </c>
      <c r="B43" s="17" t="s">
        <v>1639</v>
      </c>
      <c r="C43" s="17" t="s">
        <v>1640</v>
      </c>
      <c r="D43" s="17" t="b">
        <f t="shared" si="6"/>
        <v>1</v>
      </c>
      <c r="E43" s="161" t="s">
        <v>1809</v>
      </c>
      <c r="F43" s="162" t="s">
        <v>1611</v>
      </c>
      <c r="G43" s="240" t="s">
        <v>1639</v>
      </c>
      <c r="H43" s="211" t="s">
        <v>1640</v>
      </c>
      <c r="I43" s="31"/>
      <c r="J43" s="32" t="s">
        <v>354</v>
      </c>
      <c r="K43" s="166"/>
      <c r="L43" s="111"/>
      <c r="M43" s="112"/>
      <c r="N43" s="113"/>
      <c r="O43" s="112"/>
      <c r="P43" s="31"/>
      <c r="Q43" s="32"/>
      <c r="R43" s="166"/>
      <c r="S43" s="88" t="str">
        <f t="shared" si="0"/>
        <v>NA</v>
      </c>
      <c r="T43" s="88" t="str">
        <f t="shared" si="1"/>
        <v>NA</v>
      </c>
      <c r="U43" s="111"/>
      <c r="V43" s="112"/>
      <c r="W43" s="113"/>
      <c r="X43" s="112"/>
      <c r="Y43" s="31"/>
      <c r="Z43" s="32"/>
      <c r="AA43" s="90"/>
      <c r="AB43" s="124" t="str">
        <f t="shared" si="7"/>
        <v>NA</v>
      </c>
      <c r="AC43" s="88" t="str">
        <f t="shared" si="8"/>
        <v>NA</v>
      </c>
      <c r="AD43" s="111"/>
      <c r="AE43" s="112"/>
      <c r="AF43" s="113"/>
      <c r="AG43" s="112"/>
      <c r="AH43" s="31"/>
      <c r="AI43" s="32"/>
      <c r="AJ43" s="166"/>
      <c r="AK43" s="124" t="str">
        <f t="shared" si="4"/>
        <v>NA</v>
      </c>
      <c r="AL43" s="88" t="str">
        <f t="shared" si="5"/>
        <v>NA</v>
      </c>
      <c r="AM43" s="111"/>
      <c r="AN43" s="112"/>
      <c r="AO43" s="113"/>
      <c r="AP43" s="112"/>
      <c r="AQ43" s="31"/>
      <c r="AR43" s="32"/>
      <c r="AS43" s="90"/>
      <c r="AT43" s="88"/>
      <c r="AU43" s="88"/>
      <c r="AV43" s="111"/>
      <c r="AW43" s="112"/>
      <c r="AX43" s="113"/>
      <c r="AY43" s="112"/>
      <c r="AZ43" s="31"/>
      <c r="BA43" s="32"/>
      <c r="BB43" s="90"/>
      <c r="BC43" s="88"/>
      <c r="BD43" s="88"/>
      <c r="BE43" s="111"/>
      <c r="BF43" s="112"/>
      <c r="BG43" s="113"/>
      <c r="BH43" s="112"/>
      <c r="BI43" s="31"/>
      <c r="BJ43" s="32"/>
      <c r="BK43" s="90"/>
      <c r="BL43" s="88"/>
      <c r="BM43" s="88"/>
      <c r="BN43" s="111"/>
      <c r="BO43" s="112"/>
      <c r="BP43" s="113"/>
      <c r="BQ43" s="112"/>
      <c r="BR43" s="31"/>
      <c r="BS43" s="32"/>
      <c r="BT43" s="90"/>
      <c r="BU43" s="88"/>
      <c r="BV43" s="88"/>
      <c r="BW43" s="111"/>
      <c r="BX43" s="112"/>
      <c r="BY43" s="113"/>
      <c r="BZ43" s="112"/>
      <c r="CA43" s="31"/>
      <c r="CB43" s="32"/>
      <c r="CC43" s="90"/>
      <c r="CD43" s="88"/>
      <c r="CE43" s="88"/>
      <c r="CF43" s="111"/>
      <c r="CG43" s="112"/>
      <c r="CH43" s="113"/>
      <c r="CI43" s="112"/>
      <c r="CJ43" s="31"/>
      <c r="CK43" s="32"/>
      <c r="CL43" s="90"/>
      <c r="CM43" s="88"/>
      <c r="CN43" s="88"/>
      <c r="CO43" s="111"/>
      <c r="CP43" s="112"/>
      <c r="CQ43" s="113"/>
      <c r="CR43" s="112"/>
      <c r="CS43" s="55"/>
      <c r="CV43" s="48" t="s">
        <v>1590</v>
      </c>
      <c r="CW43" s="48" t="s">
        <v>1438</v>
      </c>
    </row>
    <row r="44" spans="1:101" ht="130" hidden="1" x14ac:dyDescent="0.25">
      <c r="A44" s="17" t="s">
        <v>1810</v>
      </c>
      <c r="B44" s="17" t="s">
        <v>1641</v>
      </c>
      <c r="C44" s="17" t="s">
        <v>1642</v>
      </c>
      <c r="D44" s="17" t="b">
        <f t="shared" si="6"/>
        <v>1</v>
      </c>
      <c r="E44" s="161" t="s">
        <v>1810</v>
      </c>
      <c r="F44" s="162" t="s">
        <v>1612</v>
      </c>
      <c r="G44" s="240" t="s">
        <v>1641</v>
      </c>
      <c r="H44" s="211" t="s">
        <v>1642</v>
      </c>
      <c r="I44" s="31"/>
      <c r="J44" s="32" t="s">
        <v>354</v>
      </c>
      <c r="K44" s="166"/>
      <c r="L44" s="111"/>
      <c r="M44" s="112"/>
      <c r="N44" s="113"/>
      <c r="O44" s="112"/>
      <c r="P44" s="31"/>
      <c r="Q44" s="32"/>
      <c r="R44" s="166"/>
      <c r="S44" s="88" t="str">
        <f t="shared" si="0"/>
        <v>NA</v>
      </c>
      <c r="T44" s="88" t="str">
        <f t="shared" si="1"/>
        <v>NA</v>
      </c>
      <c r="U44" s="111"/>
      <c r="V44" s="112"/>
      <c r="W44" s="113"/>
      <c r="X44" s="112"/>
      <c r="Y44" s="31"/>
      <c r="Z44" s="32"/>
      <c r="AA44" s="90"/>
      <c r="AB44" s="124" t="str">
        <f t="shared" si="7"/>
        <v>NA</v>
      </c>
      <c r="AC44" s="88" t="str">
        <f t="shared" si="8"/>
        <v>NA</v>
      </c>
      <c r="AD44" s="111"/>
      <c r="AE44" s="112"/>
      <c r="AF44" s="113"/>
      <c r="AG44" s="112"/>
      <c r="AH44" s="31"/>
      <c r="AI44" s="32"/>
      <c r="AJ44" s="166"/>
      <c r="AK44" s="124" t="str">
        <f t="shared" si="4"/>
        <v>NA</v>
      </c>
      <c r="AL44" s="88" t="str">
        <f t="shared" si="5"/>
        <v>NA</v>
      </c>
      <c r="AM44" s="111"/>
      <c r="AN44" s="112"/>
      <c r="AO44" s="113"/>
      <c r="AP44" s="112"/>
      <c r="AQ44" s="31"/>
      <c r="AR44" s="32"/>
      <c r="AS44" s="90"/>
      <c r="AT44" s="88"/>
      <c r="AU44" s="88"/>
      <c r="AV44" s="111"/>
      <c r="AW44" s="112"/>
      <c r="AX44" s="113"/>
      <c r="AY44" s="112"/>
      <c r="AZ44" s="31"/>
      <c r="BA44" s="32"/>
      <c r="BB44" s="90"/>
      <c r="BC44" s="88"/>
      <c r="BD44" s="88"/>
      <c r="BE44" s="111"/>
      <c r="BF44" s="112"/>
      <c r="BG44" s="113"/>
      <c r="BH44" s="112"/>
      <c r="BI44" s="31"/>
      <c r="BJ44" s="32"/>
      <c r="BK44" s="90"/>
      <c r="BL44" s="88"/>
      <c r="BM44" s="88"/>
      <c r="BN44" s="111"/>
      <c r="BO44" s="112"/>
      <c r="BP44" s="113"/>
      <c r="BQ44" s="112"/>
      <c r="BR44" s="31"/>
      <c r="BS44" s="32"/>
      <c r="BT44" s="90"/>
      <c r="BU44" s="88"/>
      <c r="BV44" s="88"/>
      <c r="BW44" s="111"/>
      <c r="BX44" s="112"/>
      <c r="BY44" s="113"/>
      <c r="BZ44" s="112"/>
      <c r="CA44" s="31"/>
      <c r="CB44" s="32"/>
      <c r="CC44" s="90"/>
      <c r="CD44" s="88"/>
      <c r="CE44" s="88"/>
      <c r="CF44" s="111"/>
      <c r="CG44" s="112"/>
      <c r="CH44" s="113"/>
      <c r="CI44" s="112"/>
      <c r="CJ44" s="31"/>
      <c r="CK44" s="32"/>
      <c r="CL44" s="90"/>
      <c r="CM44" s="88"/>
      <c r="CN44" s="88"/>
      <c r="CO44" s="111"/>
      <c r="CP44" s="112"/>
      <c r="CQ44" s="113"/>
      <c r="CR44" s="112"/>
      <c r="CS44" s="55"/>
      <c r="CV44" s="48" t="s">
        <v>1590</v>
      </c>
      <c r="CW44" s="48" t="s">
        <v>1438</v>
      </c>
    </row>
    <row r="45" spans="1:101" ht="195" hidden="1" x14ac:dyDescent="0.25">
      <c r="A45" s="17" t="s">
        <v>1811</v>
      </c>
      <c r="B45" s="17" t="s">
        <v>1643</v>
      </c>
      <c r="C45" s="17" t="s">
        <v>1644</v>
      </c>
      <c r="D45" s="17" t="b">
        <f t="shared" si="6"/>
        <v>1</v>
      </c>
      <c r="E45" s="161" t="s">
        <v>1811</v>
      </c>
      <c r="F45" s="162" t="s">
        <v>1613</v>
      </c>
      <c r="G45" s="240" t="s">
        <v>1643</v>
      </c>
      <c r="H45" s="211" t="s">
        <v>1644</v>
      </c>
      <c r="I45" s="31"/>
      <c r="J45" s="32" t="s">
        <v>354</v>
      </c>
      <c r="K45" s="166"/>
      <c r="L45" s="111"/>
      <c r="M45" s="112"/>
      <c r="N45" s="113"/>
      <c r="O45" s="112"/>
      <c r="P45" s="31"/>
      <c r="Q45" s="32"/>
      <c r="R45" s="166"/>
      <c r="S45" s="88" t="str">
        <f t="shared" si="0"/>
        <v>NA</v>
      </c>
      <c r="T45" s="88" t="str">
        <f t="shared" si="1"/>
        <v>NA</v>
      </c>
      <c r="U45" s="111"/>
      <c r="V45" s="112"/>
      <c r="W45" s="113"/>
      <c r="X45" s="112"/>
      <c r="Y45" s="31"/>
      <c r="Z45" s="32"/>
      <c r="AA45" s="90"/>
      <c r="AB45" s="124" t="str">
        <f t="shared" si="7"/>
        <v>NA</v>
      </c>
      <c r="AC45" s="88" t="str">
        <f t="shared" si="8"/>
        <v>NA</v>
      </c>
      <c r="AD45" s="111"/>
      <c r="AE45" s="112"/>
      <c r="AF45" s="113"/>
      <c r="AG45" s="112"/>
      <c r="AH45" s="31"/>
      <c r="AI45" s="32"/>
      <c r="AJ45" s="166"/>
      <c r="AK45" s="124" t="str">
        <f t="shared" si="4"/>
        <v>NA</v>
      </c>
      <c r="AL45" s="88" t="str">
        <f t="shared" si="5"/>
        <v>NA</v>
      </c>
      <c r="AM45" s="111"/>
      <c r="AN45" s="112"/>
      <c r="AO45" s="113"/>
      <c r="AP45" s="112"/>
      <c r="AQ45" s="31"/>
      <c r="AR45" s="32"/>
      <c r="AS45" s="90"/>
      <c r="AT45" s="88"/>
      <c r="AU45" s="88"/>
      <c r="AV45" s="111"/>
      <c r="AW45" s="112"/>
      <c r="AX45" s="113"/>
      <c r="AY45" s="112"/>
      <c r="AZ45" s="31"/>
      <c r="BA45" s="32"/>
      <c r="BB45" s="90"/>
      <c r="BC45" s="88"/>
      <c r="BD45" s="88"/>
      <c r="BE45" s="111"/>
      <c r="BF45" s="112"/>
      <c r="BG45" s="113"/>
      <c r="BH45" s="112"/>
      <c r="BI45" s="31"/>
      <c r="BJ45" s="32"/>
      <c r="BK45" s="90"/>
      <c r="BL45" s="88"/>
      <c r="BM45" s="88"/>
      <c r="BN45" s="111"/>
      <c r="BO45" s="112"/>
      <c r="BP45" s="113"/>
      <c r="BQ45" s="112"/>
      <c r="BR45" s="31"/>
      <c r="BS45" s="32"/>
      <c r="BT45" s="90"/>
      <c r="BU45" s="88"/>
      <c r="BV45" s="88"/>
      <c r="BW45" s="111"/>
      <c r="BX45" s="112"/>
      <c r="BY45" s="113"/>
      <c r="BZ45" s="112"/>
      <c r="CA45" s="31"/>
      <c r="CB45" s="32"/>
      <c r="CC45" s="90"/>
      <c r="CD45" s="88"/>
      <c r="CE45" s="88"/>
      <c r="CF45" s="111"/>
      <c r="CG45" s="112"/>
      <c r="CH45" s="113"/>
      <c r="CI45" s="112"/>
      <c r="CJ45" s="31"/>
      <c r="CK45" s="32"/>
      <c r="CL45" s="90"/>
      <c r="CM45" s="88"/>
      <c r="CN45" s="88"/>
      <c r="CO45" s="111"/>
      <c r="CP45" s="112"/>
      <c r="CQ45" s="113"/>
      <c r="CR45" s="112"/>
      <c r="CS45" s="55"/>
      <c r="CV45" s="48" t="s">
        <v>1590</v>
      </c>
      <c r="CW45" s="48" t="s">
        <v>1438</v>
      </c>
    </row>
    <row r="46" spans="1:101" ht="169" hidden="1" x14ac:dyDescent="0.25">
      <c r="A46" s="17" t="s">
        <v>1812</v>
      </c>
      <c r="B46" s="17" t="s">
        <v>1645</v>
      </c>
      <c r="C46" s="17" t="s">
        <v>1646</v>
      </c>
      <c r="D46" s="17" t="b">
        <f t="shared" si="6"/>
        <v>1</v>
      </c>
      <c r="E46" s="161" t="s">
        <v>1812</v>
      </c>
      <c r="F46" s="162" t="s">
        <v>1614</v>
      </c>
      <c r="G46" s="240" t="s">
        <v>1645</v>
      </c>
      <c r="H46" s="211" t="s">
        <v>1646</v>
      </c>
      <c r="I46" s="31"/>
      <c r="J46" s="32" t="s">
        <v>354</v>
      </c>
      <c r="K46" s="166"/>
      <c r="L46" s="111"/>
      <c r="M46" s="112"/>
      <c r="N46" s="113"/>
      <c r="O46" s="112"/>
      <c r="P46" s="31"/>
      <c r="Q46" s="32"/>
      <c r="R46" s="166"/>
      <c r="S46" s="88" t="str">
        <f t="shared" si="0"/>
        <v>NA</v>
      </c>
      <c r="T46" s="88" t="str">
        <f t="shared" si="1"/>
        <v>NA</v>
      </c>
      <c r="U46" s="111"/>
      <c r="V46" s="112"/>
      <c r="W46" s="113"/>
      <c r="X46" s="112"/>
      <c r="Y46" s="31"/>
      <c r="Z46" s="32"/>
      <c r="AA46" s="90"/>
      <c r="AB46" s="124" t="str">
        <f t="shared" si="7"/>
        <v>NA</v>
      </c>
      <c r="AC46" s="88" t="str">
        <f t="shared" si="8"/>
        <v>NA</v>
      </c>
      <c r="AD46" s="111"/>
      <c r="AE46" s="112"/>
      <c r="AF46" s="113"/>
      <c r="AG46" s="112"/>
      <c r="AH46" s="31"/>
      <c r="AI46" s="32"/>
      <c r="AJ46" s="166"/>
      <c r="AK46" s="124" t="str">
        <f t="shared" si="4"/>
        <v>NA</v>
      </c>
      <c r="AL46" s="88" t="str">
        <f t="shared" si="5"/>
        <v>NA</v>
      </c>
      <c r="AM46" s="111"/>
      <c r="AN46" s="112"/>
      <c r="AO46" s="113"/>
      <c r="AP46" s="112"/>
      <c r="AQ46" s="31"/>
      <c r="AR46" s="32"/>
      <c r="AS46" s="90"/>
      <c r="AT46" s="88"/>
      <c r="AU46" s="88"/>
      <c r="AV46" s="111"/>
      <c r="AW46" s="112"/>
      <c r="AX46" s="113"/>
      <c r="AY46" s="112"/>
      <c r="AZ46" s="31"/>
      <c r="BA46" s="32"/>
      <c r="BB46" s="90"/>
      <c r="BC46" s="88"/>
      <c r="BD46" s="88"/>
      <c r="BE46" s="111"/>
      <c r="BF46" s="112"/>
      <c r="BG46" s="113"/>
      <c r="BH46" s="112"/>
      <c r="BI46" s="31"/>
      <c r="BJ46" s="32"/>
      <c r="BK46" s="90"/>
      <c r="BL46" s="88"/>
      <c r="BM46" s="88"/>
      <c r="BN46" s="111"/>
      <c r="BO46" s="112"/>
      <c r="BP46" s="113"/>
      <c r="BQ46" s="112"/>
      <c r="BR46" s="31"/>
      <c r="BS46" s="32"/>
      <c r="BT46" s="90"/>
      <c r="BU46" s="88"/>
      <c r="BV46" s="88"/>
      <c r="BW46" s="111"/>
      <c r="BX46" s="112"/>
      <c r="BY46" s="113"/>
      <c r="BZ46" s="112"/>
      <c r="CA46" s="31"/>
      <c r="CB46" s="32"/>
      <c r="CC46" s="90"/>
      <c r="CD46" s="88"/>
      <c r="CE46" s="88"/>
      <c r="CF46" s="111"/>
      <c r="CG46" s="112"/>
      <c r="CH46" s="113"/>
      <c r="CI46" s="112"/>
      <c r="CJ46" s="31"/>
      <c r="CK46" s="32"/>
      <c r="CL46" s="90"/>
      <c r="CM46" s="88"/>
      <c r="CN46" s="88"/>
      <c r="CO46" s="111"/>
      <c r="CP46" s="112"/>
      <c r="CQ46" s="113"/>
      <c r="CR46" s="112"/>
      <c r="CS46" s="55"/>
      <c r="CV46" s="48" t="s">
        <v>1590</v>
      </c>
      <c r="CW46" s="48" t="s">
        <v>1438</v>
      </c>
    </row>
    <row r="47" spans="1:101" ht="169" hidden="1" x14ac:dyDescent="0.25">
      <c r="A47" s="17" t="s">
        <v>1813</v>
      </c>
      <c r="B47" s="17" t="s">
        <v>1647</v>
      </c>
      <c r="C47" s="17" t="s">
        <v>1648</v>
      </c>
      <c r="D47" s="17" t="b">
        <f t="shared" si="6"/>
        <v>1</v>
      </c>
      <c r="E47" s="161" t="s">
        <v>1813</v>
      </c>
      <c r="F47" s="162" t="s">
        <v>1615</v>
      </c>
      <c r="G47" s="240" t="s">
        <v>1647</v>
      </c>
      <c r="H47" s="211" t="s">
        <v>1648</v>
      </c>
      <c r="I47" s="31"/>
      <c r="J47" s="32" t="s">
        <v>354</v>
      </c>
      <c r="K47" s="166"/>
      <c r="L47" s="111"/>
      <c r="M47" s="112"/>
      <c r="N47" s="113"/>
      <c r="O47" s="112"/>
      <c r="P47" s="31"/>
      <c r="Q47" s="32"/>
      <c r="R47" s="166"/>
      <c r="S47" s="88" t="str">
        <f t="shared" si="0"/>
        <v>NA</v>
      </c>
      <c r="T47" s="88" t="str">
        <f t="shared" si="1"/>
        <v>NA</v>
      </c>
      <c r="U47" s="111"/>
      <c r="V47" s="112"/>
      <c r="W47" s="113"/>
      <c r="X47" s="112"/>
      <c r="Y47" s="31"/>
      <c r="Z47" s="32"/>
      <c r="AA47" s="90"/>
      <c r="AB47" s="124" t="str">
        <f t="shared" si="7"/>
        <v>NA</v>
      </c>
      <c r="AC47" s="88" t="str">
        <f t="shared" si="8"/>
        <v>NA</v>
      </c>
      <c r="AD47" s="111"/>
      <c r="AE47" s="112"/>
      <c r="AF47" s="113"/>
      <c r="AG47" s="112"/>
      <c r="AH47" s="31"/>
      <c r="AI47" s="32"/>
      <c r="AJ47" s="166"/>
      <c r="AK47" s="124" t="str">
        <f t="shared" si="4"/>
        <v>NA</v>
      </c>
      <c r="AL47" s="88" t="str">
        <f t="shared" si="5"/>
        <v>NA</v>
      </c>
      <c r="AM47" s="111"/>
      <c r="AN47" s="112"/>
      <c r="AO47" s="113"/>
      <c r="AP47" s="112"/>
      <c r="AQ47" s="31"/>
      <c r="AR47" s="32"/>
      <c r="AS47" s="90"/>
      <c r="AT47" s="88"/>
      <c r="AU47" s="88"/>
      <c r="AV47" s="111"/>
      <c r="AW47" s="112"/>
      <c r="AX47" s="113"/>
      <c r="AY47" s="112"/>
      <c r="AZ47" s="31"/>
      <c r="BA47" s="32"/>
      <c r="BB47" s="90"/>
      <c r="BC47" s="88"/>
      <c r="BD47" s="88"/>
      <c r="BE47" s="111"/>
      <c r="BF47" s="112"/>
      <c r="BG47" s="113"/>
      <c r="BH47" s="112"/>
      <c r="BI47" s="31"/>
      <c r="BJ47" s="32"/>
      <c r="BK47" s="90"/>
      <c r="BL47" s="88"/>
      <c r="BM47" s="88"/>
      <c r="BN47" s="111"/>
      <c r="BO47" s="112"/>
      <c r="BP47" s="113"/>
      <c r="BQ47" s="112"/>
      <c r="BR47" s="31"/>
      <c r="BS47" s="32"/>
      <c r="BT47" s="90"/>
      <c r="BU47" s="88"/>
      <c r="BV47" s="88"/>
      <c r="BW47" s="111"/>
      <c r="BX47" s="112"/>
      <c r="BY47" s="113"/>
      <c r="BZ47" s="112"/>
      <c r="CA47" s="31"/>
      <c r="CB47" s="32"/>
      <c r="CC47" s="90"/>
      <c r="CD47" s="88"/>
      <c r="CE47" s="88"/>
      <c r="CF47" s="111"/>
      <c r="CG47" s="112"/>
      <c r="CH47" s="113"/>
      <c r="CI47" s="112"/>
      <c r="CJ47" s="31"/>
      <c r="CK47" s="32"/>
      <c r="CL47" s="90"/>
      <c r="CM47" s="88"/>
      <c r="CN47" s="88"/>
      <c r="CO47" s="111"/>
      <c r="CP47" s="112"/>
      <c r="CQ47" s="113"/>
      <c r="CR47" s="112"/>
      <c r="CS47" s="55"/>
      <c r="CV47" s="48" t="s">
        <v>1590</v>
      </c>
      <c r="CW47" s="48" t="s">
        <v>1438</v>
      </c>
    </row>
    <row r="48" spans="1:101" ht="247" hidden="1" x14ac:dyDescent="0.25">
      <c r="A48" s="17" t="s">
        <v>1814</v>
      </c>
      <c r="B48" s="17" t="s">
        <v>1649</v>
      </c>
      <c r="C48" s="17" t="s">
        <v>1650</v>
      </c>
      <c r="D48" s="17" t="b">
        <f t="shared" si="6"/>
        <v>1</v>
      </c>
      <c r="E48" s="161" t="s">
        <v>1814</v>
      </c>
      <c r="F48" s="162" t="s">
        <v>1616</v>
      </c>
      <c r="G48" s="240" t="s">
        <v>1649</v>
      </c>
      <c r="H48" s="211" t="s">
        <v>1650</v>
      </c>
      <c r="I48" s="31"/>
      <c r="J48" s="32" t="s">
        <v>354</v>
      </c>
      <c r="K48" s="166"/>
      <c r="L48" s="111"/>
      <c r="M48" s="112"/>
      <c r="N48" s="113"/>
      <c r="O48" s="112"/>
      <c r="P48" s="31"/>
      <c r="Q48" s="32"/>
      <c r="R48" s="166"/>
      <c r="S48" s="88" t="str">
        <f t="shared" si="0"/>
        <v>NA</v>
      </c>
      <c r="T48" s="88" t="str">
        <f t="shared" si="1"/>
        <v>NA</v>
      </c>
      <c r="U48" s="111"/>
      <c r="V48" s="112"/>
      <c r="W48" s="113"/>
      <c r="X48" s="112"/>
      <c r="Y48" s="31"/>
      <c r="Z48" s="32"/>
      <c r="AA48" s="90"/>
      <c r="AB48" s="124" t="str">
        <f t="shared" si="7"/>
        <v>NA</v>
      </c>
      <c r="AC48" s="88" t="str">
        <f t="shared" si="8"/>
        <v>NA</v>
      </c>
      <c r="AD48" s="111"/>
      <c r="AE48" s="112"/>
      <c r="AF48" s="113"/>
      <c r="AG48" s="112"/>
      <c r="AH48" s="31"/>
      <c r="AI48" s="32"/>
      <c r="AJ48" s="166"/>
      <c r="AK48" s="124" t="str">
        <f t="shared" si="4"/>
        <v>NA</v>
      </c>
      <c r="AL48" s="88" t="str">
        <f t="shared" si="5"/>
        <v>NA</v>
      </c>
      <c r="AM48" s="111"/>
      <c r="AN48" s="112"/>
      <c r="AO48" s="113"/>
      <c r="AP48" s="112"/>
      <c r="AQ48" s="31"/>
      <c r="AR48" s="32"/>
      <c r="AS48" s="90"/>
      <c r="AT48" s="88"/>
      <c r="AU48" s="88"/>
      <c r="AV48" s="111"/>
      <c r="AW48" s="112"/>
      <c r="AX48" s="113"/>
      <c r="AY48" s="112"/>
      <c r="AZ48" s="31"/>
      <c r="BA48" s="32"/>
      <c r="BB48" s="90"/>
      <c r="BC48" s="88"/>
      <c r="BD48" s="88"/>
      <c r="BE48" s="111"/>
      <c r="BF48" s="112"/>
      <c r="BG48" s="113"/>
      <c r="BH48" s="112"/>
      <c r="BI48" s="31"/>
      <c r="BJ48" s="32"/>
      <c r="BK48" s="90"/>
      <c r="BL48" s="88"/>
      <c r="BM48" s="88"/>
      <c r="BN48" s="111"/>
      <c r="BO48" s="112"/>
      <c r="BP48" s="113"/>
      <c r="BQ48" s="112"/>
      <c r="BR48" s="31"/>
      <c r="BS48" s="32"/>
      <c r="BT48" s="90"/>
      <c r="BU48" s="88"/>
      <c r="BV48" s="88"/>
      <c r="BW48" s="111"/>
      <c r="BX48" s="112"/>
      <c r="BY48" s="113"/>
      <c r="BZ48" s="112"/>
      <c r="CA48" s="31"/>
      <c r="CB48" s="32"/>
      <c r="CC48" s="90"/>
      <c r="CD48" s="88"/>
      <c r="CE48" s="88"/>
      <c r="CF48" s="111"/>
      <c r="CG48" s="112"/>
      <c r="CH48" s="113"/>
      <c r="CI48" s="112"/>
      <c r="CJ48" s="31"/>
      <c r="CK48" s="32"/>
      <c r="CL48" s="90"/>
      <c r="CM48" s="88"/>
      <c r="CN48" s="88"/>
      <c r="CO48" s="111"/>
      <c r="CP48" s="112"/>
      <c r="CQ48" s="113"/>
      <c r="CR48" s="112"/>
      <c r="CS48" s="55"/>
      <c r="CV48" s="48" t="s">
        <v>1590</v>
      </c>
      <c r="CW48" s="48" t="s">
        <v>1438</v>
      </c>
    </row>
    <row r="49" spans="1:101" ht="169" hidden="1" x14ac:dyDescent="0.25">
      <c r="A49" s="17" t="s">
        <v>1815</v>
      </c>
      <c r="B49" s="17" t="s">
        <v>1651</v>
      </c>
      <c r="C49" s="17" t="s">
        <v>1652</v>
      </c>
      <c r="D49" s="17" t="b">
        <f t="shared" si="6"/>
        <v>1</v>
      </c>
      <c r="E49" s="161" t="s">
        <v>1815</v>
      </c>
      <c r="F49" s="162" t="s">
        <v>1617</v>
      </c>
      <c r="G49" s="240" t="s">
        <v>1651</v>
      </c>
      <c r="H49" s="211" t="s">
        <v>1652</v>
      </c>
      <c r="I49" s="31"/>
      <c r="J49" s="32" t="s">
        <v>354</v>
      </c>
      <c r="K49" s="166"/>
      <c r="L49" s="111"/>
      <c r="M49" s="112"/>
      <c r="N49" s="113"/>
      <c r="O49" s="112"/>
      <c r="P49" s="31"/>
      <c r="Q49" s="32"/>
      <c r="R49" s="166"/>
      <c r="S49" s="88" t="str">
        <f t="shared" si="0"/>
        <v>NA</v>
      </c>
      <c r="T49" s="88" t="str">
        <f t="shared" si="1"/>
        <v>NA</v>
      </c>
      <c r="U49" s="111"/>
      <c r="V49" s="112"/>
      <c r="W49" s="113"/>
      <c r="X49" s="112"/>
      <c r="Y49" s="31"/>
      <c r="Z49" s="32"/>
      <c r="AA49" s="90"/>
      <c r="AB49" s="124" t="str">
        <f t="shared" si="7"/>
        <v>NA</v>
      </c>
      <c r="AC49" s="88" t="str">
        <f t="shared" si="8"/>
        <v>NA</v>
      </c>
      <c r="AD49" s="111"/>
      <c r="AE49" s="112"/>
      <c r="AF49" s="113"/>
      <c r="AG49" s="112"/>
      <c r="AH49" s="31"/>
      <c r="AI49" s="32"/>
      <c r="AJ49" s="166"/>
      <c r="AK49" s="124" t="str">
        <f t="shared" si="4"/>
        <v>NA</v>
      </c>
      <c r="AL49" s="88" t="str">
        <f t="shared" si="5"/>
        <v>NA</v>
      </c>
      <c r="AM49" s="111"/>
      <c r="AN49" s="112"/>
      <c r="AO49" s="113"/>
      <c r="AP49" s="112"/>
      <c r="AQ49" s="31"/>
      <c r="AR49" s="32"/>
      <c r="AS49" s="90"/>
      <c r="AT49" s="88"/>
      <c r="AU49" s="88"/>
      <c r="AV49" s="111"/>
      <c r="AW49" s="112"/>
      <c r="AX49" s="113"/>
      <c r="AY49" s="112"/>
      <c r="AZ49" s="31"/>
      <c r="BA49" s="32"/>
      <c r="BB49" s="90"/>
      <c r="BC49" s="88"/>
      <c r="BD49" s="88"/>
      <c r="BE49" s="111"/>
      <c r="BF49" s="112"/>
      <c r="BG49" s="113"/>
      <c r="BH49" s="112"/>
      <c r="BI49" s="31"/>
      <c r="BJ49" s="32"/>
      <c r="BK49" s="90"/>
      <c r="BL49" s="88"/>
      <c r="BM49" s="88"/>
      <c r="BN49" s="111"/>
      <c r="BO49" s="112"/>
      <c r="BP49" s="113"/>
      <c r="BQ49" s="112"/>
      <c r="BR49" s="31"/>
      <c r="BS49" s="32"/>
      <c r="BT49" s="90"/>
      <c r="BU49" s="88"/>
      <c r="BV49" s="88"/>
      <c r="BW49" s="111"/>
      <c r="BX49" s="112"/>
      <c r="BY49" s="113"/>
      <c r="BZ49" s="112"/>
      <c r="CA49" s="31"/>
      <c r="CB49" s="32"/>
      <c r="CC49" s="90"/>
      <c r="CD49" s="88"/>
      <c r="CE49" s="88"/>
      <c r="CF49" s="111"/>
      <c r="CG49" s="112"/>
      <c r="CH49" s="113"/>
      <c r="CI49" s="112"/>
      <c r="CJ49" s="31"/>
      <c r="CK49" s="32"/>
      <c r="CL49" s="90"/>
      <c r="CM49" s="88"/>
      <c r="CN49" s="88"/>
      <c r="CO49" s="111"/>
      <c r="CP49" s="112"/>
      <c r="CQ49" s="113"/>
      <c r="CR49" s="112"/>
      <c r="CS49" s="55"/>
      <c r="CV49" s="48" t="s">
        <v>1590</v>
      </c>
      <c r="CW49" s="48" t="s">
        <v>1438</v>
      </c>
    </row>
    <row r="50" spans="1:101" ht="169" hidden="1" x14ac:dyDescent="0.25">
      <c r="A50" s="17" t="s">
        <v>1816</v>
      </c>
      <c r="B50" s="17" t="s">
        <v>1653</v>
      </c>
      <c r="C50" s="17" t="s">
        <v>1654</v>
      </c>
      <c r="D50" s="17" t="b">
        <f t="shared" si="6"/>
        <v>1</v>
      </c>
      <c r="E50" s="161" t="s">
        <v>1816</v>
      </c>
      <c r="F50" s="162" t="s">
        <v>1618</v>
      </c>
      <c r="G50" s="240" t="s">
        <v>1653</v>
      </c>
      <c r="H50" s="312" t="s">
        <v>2436</v>
      </c>
      <c r="I50" s="31"/>
      <c r="J50" s="32" t="s">
        <v>583</v>
      </c>
      <c r="K50" s="166"/>
      <c r="L50" s="111"/>
      <c r="M50" s="112"/>
      <c r="N50" s="113"/>
      <c r="O50" s="112"/>
      <c r="P50" s="31"/>
      <c r="Q50" s="32"/>
      <c r="R50" s="166"/>
      <c r="S50" s="88" t="str">
        <f t="shared" si="0"/>
        <v>NA</v>
      </c>
      <c r="T50" s="88" t="str">
        <f t="shared" si="1"/>
        <v>NA</v>
      </c>
      <c r="U50" s="111"/>
      <c r="V50" s="112"/>
      <c r="W50" s="113"/>
      <c r="X50" s="112"/>
      <c r="Y50" s="31"/>
      <c r="Z50" s="32"/>
      <c r="AA50" s="90"/>
      <c r="AB50" s="124" t="str">
        <f t="shared" si="7"/>
        <v>NA</v>
      </c>
      <c r="AC50" s="88" t="str">
        <f t="shared" si="8"/>
        <v>NA</v>
      </c>
      <c r="AD50" s="111"/>
      <c r="AE50" s="112"/>
      <c r="AF50" s="113"/>
      <c r="AG50" s="112"/>
      <c r="AH50" s="31"/>
      <c r="AI50" s="32"/>
      <c r="AJ50" s="166"/>
      <c r="AK50" s="124" t="str">
        <f t="shared" si="4"/>
        <v>NA</v>
      </c>
      <c r="AL50" s="88" t="str">
        <f t="shared" si="5"/>
        <v>NA</v>
      </c>
      <c r="AM50" s="111"/>
      <c r="AN50" s="112"/>
      <c r="AO50" s="113"/>
      <c r="AP50" s="112"/>
      <c r="AQ50" s="31"/>
      <c r="AR50" s="32"/>
      <c r="AS50" s="90"/>
      <c r="AT50" s="88"/>
      <c r="AU50" s="88"/>
      <c r="AV50" s="111"/>
      <c r="AW50" s="112"/>
      <c r="AX50" s="113"/>
      <c r="AY50" s="112"/>
      <c r="AZ50" s="31"/>
      <c r="BA50" s="32"/>
      <c r="BB50" s="90"/>
      <c r="BC50" s="88"/>
      <c r="BD50" s="88"/>
      <c r="BE50" s="111"/>
      <c r="BF50" s="112"/>
      <c r="BG50" s="113"/>
      <c r="BH50" s="112"/>
      <c r="BI50" s="31"/>
      <c r="BJ50" s="32"/>
      <c r="BK50" s="90"/>
      <c r="BL50" s="88"/>
      <c r="BM50" s="88"/>
      <c r="BN50" s="111"/>
      <c r="BO50" s="112"/>
      <c r="BP50" s="113"/>
      <c r="BQ50" s="112"/>
      <c r="BR50" s="31"/>
      <c r="BS50" s="32"/>
      <c r="BT50" s="90"/>
      <c r="BU50" s="88"/>
      <c r="BV50" s="88"/>
      <c r="BW50" s="111"/>
      <c r="BX50" s="112"/>
      <c r="BY50" s="113"/>
      <c r="BZ50" s="112"/>
      <c r="CA50" s="31"/>
      <c r="CB50" s="32"/>
      <c r="CC50" s="90"/>
      <c r="CD50" s="88"/>
      <c r="CE50" s="88"/>
      <c r="CF50" s="111"/>
      <c r="CG50" s="112"/>
      <c r="CH50" s="113"/>
      <c r="CI50" s="112"/>
      <c r="CJ50" s="31"/>
      <c r="CK50" s="32"/>
      <c r="CL50" s="90"/>
      <c r="CM50" s="88"/>
      <c r="CN50" s="88"/>
      <c r="CO50" s="111"/>
      <c r="CP50" s="112"/>
      <c r="CQ50" s="113"/>
      <c r="CR50" s="112"/>
      <c r="CS50" s="55"/>
      <c r="CV50" s="48" t="s">
        <v>1589</v>
      </c>
      <c r="CW50" s="48" t="s">
        <v>1438</v>
      </c>
    </row>
    <row r="51" spans="1:101" ht="208" hidden="1" x14ac:dyDescent="0.25">
      <c r="A51" s="17" t="s">
        <v>1817</v>
      </c>
      <c r="B51" s="17" t="s">
        <v>1655</v>
      </c>
      <c r="C51" s="17" t="s">
        <v>1656</v>
      </c>
      <c r="D51" s="17" t="b">
        <f t="shared" si="6"/>
        <v>1</v>
      </c>
      <c r="E51" s="161" t="s">
        <v>1817</v>
      </c>
      <c r="F51" s="162" t="s">
        <v>1619</v>
      </c>
      <c r="G51" s="240" t="s">
        <v>1655</v>
      </c>
      <c r="H51" s="312" t="s">
        <v>2449</v>
      </c>
      <c r="I51" s="31"/>
      <c r="J51" s="32" t="s">
        <v>583</v>
      </c>
      <c r="K51" s="166"/>
      <c r="L51" s="111"/>
      <c r="M51" s="112"/>
      <c r="N51" s="113"/>
      <c r="O51" s="112"/>
      <c r="P51" s="31"/>
      <c r="Q51" s="32"/>
      <c r="R51" s="166"/>
      <c r="S51" s="88" t="str">
        <f t="shared" si="0"/>
        <v>NA</v>
      </c>
      <c r="T51" s="88" t="str">
        <f t="shared" si="1"/>
        <v>NA</v>
      </c>
      <c r="U51" s="111"/>
      <c r="V51" s="112"/>
      <c r="W51" s="113"/>
      <c r="X51" s="112"/>
      <c r="Y51" s="31"/>
      <c r="Z51" s="32"/>
      <c r="AA51" s="90"/>
      <c r="AB51" s="124" t="str">
        <f t="shared" si="7"/>
        <v>NA</v>
      </c>
      <c r="AC51" s="88" t="str">
        <f t="shared" si="8"/>
        <v>NA</v>
      </c>
      <c r="AD51" s="111"/>
      <c r="AE51" s="112"/>
      <c r="AF51" s="113"/>
      <c r="AG51" s="112"/>
      <c r="AH51" s="31"/>
      <c r="AI51" s="32"/>
      <c r="AJ51" s="166"/>
      <c r="AK51" s="124" t="str">
        <f t="shared" si="4"/>
        <v>NA</v>
      </c>
      <c r="AL51" s="88" t="str">
        <f t="shared" si="5"/>
        <v>NA</v>
      </c>
      <c r="AM51" s="111"/>
      <c r="AN51" s="112"/>
      <c r="AO51" s="113"/>
      <c r="AP51" s="112"/>
      <c r="AQ51" s="31"/>
      <c r="AR51" s="32"/>
      <c r="AS51" s="90"/>
      <c r="AT51" s="88"/>
      <c r="AU51" s="88"/>
      <c r="AV51" s="111"/>
      <c r="AW51" s="112"/>
      <c r="AX51" s="113"/>
      <c r="AY51" s="112"/>
      <c r="AZ51" s="31"/>
      <c r="BA51" s="32"/>
      <c r="BB51" s="90"/>
      <c r="BC51" s="88"/>
      <c r="BD51" s="88"/>
      <c r="BE51" s="111"/>
      <c r="BF51" s="112"/>
      <c r="BG51" s="113"/>
      <c r="BH51" s="112"/>
      <c r="BI51" s="31"/>
      <c r="BJ51" s="32"/>
      <c r="BK51" s="90"/>
      <c r="BL51" s="88"/>
      <c r="BM51" s="88"/>
      <c r="BN51" s="111"/>
      <c r="BO51" s="112"/>
      <c r="BP51" s="113"/>
      <c r="BQ51" s="112"/>
      <c r="BR51" s="31"/>
      <c r="BS51" s="32"/>
      <c r="BT51" s="90"/>
      <c r="BU51" s="88"/>
      <c r="BV51" s="88"/>
      <c r="BW51" s="111"/>
      <c r="BX51" s="112"/>
      <c r="BY51" s="113"/>
      <c r="BZ51" s="112"/>
      <c r="CA51" s="31"/>
      <c r="CB51" s="32"/>
      <c r="CC51" s="90"/>
      <c r="CD51" s="88"/>
      <c r="CE51" s="88"/>
      <c r="CF51" s="111"/>
      <c r="CG51" s="112"/>
      <c r="CH51" s="113"/>
      <c r="CI51" s="112"/>
      <c r="CJ51" s="31"/>
      <c r="CK51" s="32"/>
      <c r="CL51" s="90"/>
      <c r="CM51" s="88"/>
      <c r="CN51" s="88"/>
      <c r="CO51" s="111"/>
      <c r="CP51" s="112"/>
      <c r="CQ51" s="113"/>
      <c r="CR51" s="112"/>
      <c r="CS51" s="55"/>
      <c r="CV51" s="48" t="s">
        <v>1589</v>
      </c>
      <c r="CW51" s="48" t="s">
        <v>1438</v>
      </c>
    </row>
    <row r="52" spans="1:101" ht="208" hidden="1" x14ac:dyDescent="0.25">
      <c r="A52" s="17" t="s">
        <v>1818</v>
      </c>
      <c r="B52" s="17" t="s">
        <v>1657</v>
      </c>
      <c r="C52" s="17" t="s">
        <v>1658</v>
      </c>
      <c r="D52" s="17" t="b">
        <f t="shared" si="6"/>
        <v>1</v>
      </c>
      <c r="E52" s="161" t="s">
        <v>1818</v>
      </c>
      <c r="F52" s="162" t="s">
        <v>1620</v>
      </c>
      <c r="G52" s="240" t="s">
        <v>1657</v>
      </c>
      <c r="H52" s="312" t="s">
        <v>2450</v>
      </c>
      <c r="I52" s="31"/>
      <c r="J52" s="32" t="s">
        <v>583</v>
      </c>
      <c r="K52" s="166"/>
      <c r="L52" s="111"/>
      <c r="M52" s="112"/>
      <c r="N52" s="113"/>
      <c r="O52" s="112"/>
      <c r="P52" s="31"/>
      <c r="Q52" s="32"/>
      <c r="R52" s="166"/>
      <c r="S52" s="88" t="str">
        <f t="shared" si="0"/>
        <v>NA</v>
      </c>
      <c r="T52" s="88" t="str">
        <f t="shared" si="1"/>
        <v>NA</v>
      </c>
      <c r="U52" s="111"/>
      <c r="V52" s="112"/>
      <c r="W52" s="113"/>
      <c r="X52" s="112"/>
      <c r="Y52" s="31"/>
      <c r="Z52" s="32"/>
      <c r="AA52" s="90"/>
      <c r="AB52" s="124" t="str">
        <f t="shared" si="7"/>
        <v>NA</v>
      </c>
      <c r="AC52" s="88" t="str">
        <f t="shared" si="8"/>
        <v>NA</v>
      </c>
      <c r="AD52" s="111"/>
      <c r="AE52" s="112"/>
      <c r="AF52" s="113"/>
      <c r="AG52" s="112"/>
      <c r="AH52" s="31"/>
      <c r="AI52" s="32"/>
      <c r="AJ52" s="166"/>
      <c r="AK52" s="124" t="str">
        <f t="shared" si="4"/>
        <v>NA</v>
      </c>
      <c r="AL52" s="88" t="str">
        <f t="shared" si="5"/>
        <v>NA</v>
      </c>
      <c r="AM52" s="111"/>
      <c r="AN52" s="112"/>
      <c r="AO52" s="113"/>
      <c r="AP52" s="112"/>
      <c r="AQ52" s="31"/>
      <c r="AR52" s="32"/>
      <c r="AS52" s="90"/>
      <c r="AT52" s="88"/>
      <c r="AU52" s="88"/>
      <c r="AV52" s="111"/>
      <c r="AW52" s="112"/>
      <c r="AX52" s="113"/>
      <c r="AY52" s="112"/>
      <c r="AZ52" s="31"/>
      <c r="BA52" s="32"/>
      <c r="BB52" s="90"/>
      <c r="BC52" s="88"/>
      <c r="BD52" s="88"/>
      <c r="BE52" s="111"/>
      <c r="BF52" s="112"/>
      <c r="BG52" s="113"/>
      <c r="BH52" s="112"/>
      <c r="BI52" s="31"/>
      <c r="BJ52" s="32"/>
      <c r="BK52" s="90"/>
      <c r="BL52" s="88"/>
      <c r="BM52" s="88"/>
      <c r="BN52" s="111"/>
      <c r="BO52" s="112"/>
      <c r="BP52" s="113"/>
      <c r="BQ52" s="112"/>
      <c r="BR52" s="31"/>
      <c r="BS52" s="32"/>
      <c r="BT52" s="90"/>
      <c r="BU52" s="88"/>
      <c r="BV52" s="88"/>
      <c r="BW52" s="111"/>
      <c r="BX52" s="112"/>
      <c r="BY52" s="113"/>
      <c r="BZ52" s="112"/>
      <c r="CA52" s="31"/>
      <c r="CB52" s="32"/>
      <c r="CC52" s="90"/>
      <c r="CD52" s="88"/>
      <c r="CE52" s="88"/>
      <c r="CF52" s="111"/>
      <c r="CG52" s="112"/>
      <c r="CH52" s="113"/>
      <c r="CI52" s="112"/>
      <c r="CJ52" s="31"/>
      <c r="CK52" s="32"/>
      <c r="CL52" s="90"/>
      <c r="CM52" s="88"/>
      <c r="CN52" s="88"/>
      <c r="CO52" s="111"/>
      <c r="CP52" s="112"/>
      <c r="CQ52" s="113"/>
      <c r="CR52" s="112"/>
      <c r="CS52" s="55"/>
      <c r="CV52" s="48" t="s">
        <v>1589</v>
      </c>
      <c r="CW52" s="48" t="s">
        <v>1438</v>
      </c>
    </row>
    <row r="53" spans="1:101" ht="195" hidden="1" x14ac:dyDescent="0.25">
      <c r="A53" s="17" t="s">
        <v>1819</v>
      </c>
      <c r="B53" s="17" t="s">
        <v>1659</v>
      </c>
      <c r="C53" s="17" t="s">
        <v>1660</v>
      </c>
      <c r="D53" s="17" t="b">
        <f t="shared" si="6"/>
        <v>1</v>
      </c>
      <c r="E53" s="161" t="s">
        <v>1819</v>
      </c>
      <c r="F53" s="162" t="s">
        <v>1621</v>
      </c>
      <c r="G53" s="240" t="s">
        <v>1659</v>
      </c>
      <c r="H53" s="312" t="s">
        <v>2451</v>
      </c>
      <c r="I53" s="31"/>
      <c r="J53" s="32" t="s">
        <v>583</v>
      </c>
      <c r="K53" s="166"/>
      <c r="L53" s="111"/>
      <c r="M53" s="112"/>
      <c r="N53" s="113"/>
      <c r="O53" s="112"/>
      <c r="P53" s="31"/>
      <c r="Q53" s="32"/>
      <c r="R53" s="166"/>
      <c r="S53" s="88" t="str">
        <f t="shared" si="0"/>
        <v>NA</v>
      </c>
      <c r="T53" s="88" t="str">
        <f t="shared" si="1"/>
        <v>NA</v>
      </c>
      <c r="U53" s="111"/>
      <c r="V53" s="112"/>
      <c r="W53" s="113"/>
      <c r="X53" s="112"/>
      <c r="Y53" s="31"/>
      <c r="Z53" s="32"/>
      <c r="AA53" s="90"/>
      <c r="AB53" s="124" t="str">
        <f t="shared" si="7"/>
        <v>NA</v>
      </c>
      <c r="AC53" s="88" t="str">
        <f t="shared" si="8"/>
        <v>NA</v>
      </c>
      <c r="AD53" s="111"/>
      <c r="AE53" s="112"/>
      <c r="AF53" s="113"/>
      <c r="AG53" s="112"/>
      <c r="AH53" s="31"/>
      <c r="AI53" s="32"/>
      <c r="AJ53" s="166"/>
      <c r="AK53" s="124" t="str">
        <f t="shared" si="4"/>
        <v>NA</v>
      </c>
      <c r="AL53" s="88" t="str">
        <f t="shared" si="5"/>
        <v>NA</v>
      </c>
      <c r="AM53" s="111"/>
      <c r="AN53" s="112"/>
      <c r="AO53" s="113"/>
      <c r="AP53" s="112"/>
      <c r="AQ53" s="31"/>
      <c r="AR53" s="32"/>
      <c r="AS53" s="90"/>
      <c r="AT53" s="88"/>
      <c r="AU53" s="88"/>
      <c r="AV53" s="111"/>
      <c r="AW53" s="112"/>
      <c r="AX53" s="113"/>
      <c r="AY53" s="112"/>
      <c r="AZ53" s="31"/>
      <c r="BA53" s="32"/>
      <c r="BB53" s="90"/>
      <c r="BC53" s="88"/>
      <c r="BD53" s="88"/>
      <c r="BE53" s="111"/>
      <c r="BF53" s="112"/>
      <c r="BG53" s="113"/>
      <c r="BH53" s="112"/>
      <c r="BI53" s="31"/>
      <c r="BJ53" s="32"/>
      <c r="BK53" s="90"/>
      <c r="BL53" s="88"/>
      <c r="BM53" s="88"/>
      <c r="BN53" s="111"/>
      <c r="BO53" s="112"/>
      <c r="BP53" s="113"/>
      <c r="BQ53" s="112"/>
      <c r="BR53" s="31"/>
      <c r="BS53" s="32"/>
      <c r="BT53" s="90"/>
      <c r="BU53" s="88"/>
      <c r="BV53" s="88"/>
      <c r="BW53" s="111"/>
      <c r="BX53" s="112"/>
      <c r="BY53" s="113"/>
      <c r="BZ53" s="112"/>
      <c r="CA53" s="31"/>
      <c r="CB53" s="32"/>
      <c r="CC53" s="90"/>
      <c r="CD53" s="88"/>
      <c r="CE53" s="88"/>
      <c r="CF53" s="111"/>
      <c r="CG53" s="112"/>
      <c r="CH53" s="113"/>
      <c r="CI53" s="112"/>
      <c r="CJ53" s="31"/>
      <c r="CK53" s="32"/>
      <c r="CL53" s="90"/>
      <c r="CM53" s="88"/>
      <c r="CN53" s="88"/>
      <c r="CO53" s="111"/>
      <c r="CP53" s="112"/>
      <c r="CQ53" s="113"/>
      <c r="CR53" s="112"/>
      <c r="CS53" s="55"/>
      <c r="CV53" s="48" t="s">
        <v>1589</v>
      </c>
      <c r="CW53" s="48" t="s">
        <v>1438</v>
      </c>
    </row>
    <row r="54" spans="1:101" ht="208" hidden="1" x14ac:dyDescent="0.25">
      <c r="A54" s="17" t="s">
        <v>1820</v>
      </c>
      <c r="B54" s="17" t="s">
        <v>1661</v>
      </c>
      <c r="C54" s="17" t="s">
        <v>1662</v>
      </c>
      <c r="D54" s="17" t="b">
        <f t="shared" si="6"/>
        <v>1</v>
      </c>
      <c r="E54" s="161" t="s">
        <v>1820</v>
      </c>
      <c r="F54" s="162" t="s">
        <v>1622</v>
      </c>
      <c r="G54" s="240" t="s">
        <v>1661</v>
      </c>
      <c r="H54" s="312" t="s">
        <v>2452</v>
      </c>
      <c r="I54" s="31"/>
      <c r="J54" s="32" t="s">
        <v>583</v>
      </c>
      <c r="K54" s="166"/>
      <c r="L54" s="111"/>
      <c r="M54" s="112"/>
      <c r="N54" s="113"/>
      <c r="O54" s="112"/>
      <c r="P54" s="31"/>
      <c r="Q54" s="32"/>
      <c r="R54" s="166"/>
      <c r="S54" s="88" t="str">
        <f t="shared" si="0"/>
        <v>NA</v>
      </c>
      <c r="T54" s="88" t="str">
        <f t="shared" si="1"/>
        <v>NA</v>
      </c>
      <c r="U54" s="111"/>
      <c r="V54" s="112"/>
      <c r="W54" s="113"/>
      <c r="X54" s="112"/>
      <c r="Y54" s="31"/>
      <c r="Z54" s="32"/>
      <c r="AA54" s="90"/>
      <c r="AB54" s="124" t="str">
        <f t="shared" si="7"/>
        <v>NA</v>
      </c>
      <c r="AC54" s="88" t="str">
        <f t="shared" si="8"/>
        <v>NA</v>
      </c>
      <c r="AD54" s="111"/>
      <c r="AE54" s="112"/>
      <c r="AF54" s="113"/>
      <c r="AG54" s="112"/>
      <c r="AH54" s="31"/>
      <c r="AI54" s="32"/>
      <c r="AJ54" s="166"/>
      <c r="AK54" s="124" t="str">
        <f t="shared" si="4"/>
        <v>NA</v>
      </c>
      <c r="AL54" s="88" t="str">
        <f t="shared" si="5"/>
        <v>NA</v>
      </c>
      <c r="AM54" s="111"/>
      <c r="AN54" s="112"/>
      <c r="AO54" s="113"/>
      <c r="AP54" s="112"/>
      <c r="AQ54" s="31"/>
      <c r="AR54" s="32"/>
      <c r="AS54" s="90"/>
      <c r="AT54" s="88"/>
      <c r="AU54" s="88"/>
      <c r="AV54" s="111"/>
      <c r="AW54" s="112"/>
      <c r="AX54" s="113"/>
      <c r="AY54" s="112"/>
      <c r="AZ54" s="31"/>
      <c r="BA54" s="32"/>
      <c r="BB54" s="90"/>
      <c r="BC54" s="88"/>
      <c r="BD54" s="88"/>
      <c r="BE54" s="111"/>
      <c r="BF54" s="112"/>
      <c r="BG54" s="113"/>
      <c r="BH54" s="112"/>
      <c r="BI54" s="31"/>
      <c r="BJ54" s="32"/>
      <c r="BK54" s="90"/>
      <c r="BL54" s="88"/>
      <c r="BM54" s="88"/>
      <c r="BN54" s="111"/>
      <c r="BO54" s="112"/>
      <c r="BP54" s="113"/>
      <c r="BQ54" s="112"/>
      <c r="BR54" s="31"/>
      <c r="BS54" s="32"/>
      <c r="BT54" s="90"/>
      <c r="BU54" s="88"/>
      <c r="BV54" s="88"/>
      <c r="BW54" s="111"/>
      <c r="BX54" s="112"/>
      <c r="BY54" s="113"/>
      <c r="BZ54" s="112"/>
      <c r="CA54" s="31"/>
      <c r="CB54" s="32"/>
      <c r="CC54" s="90"/>
      <c r="CD54" s="88"/>
      <c r="CE54" s="88"/>
      <c r="CF54" s="111"/>
      <c r="CG54" s="112"/>
      <c r="CH54" s="113"/>
      <c r="CI54" s="112"/>
      <c r="CJ54" s="31"/>
      <c r="CK54" s="32"/>
      <c r="CL54" s="90"/>
      <c r="CM54" s="88"/>
      <c r="CN54" s="88"/>
      <c r="CO54" s="111"/>
      <c r="CP54" s="112"/>
      <c r="CQ54" s="113"/>
      <c r="CR54" s="112"/>
      <c r="CS54" s="55"/>
      <c r="CV54" s="48" t="s">
        <v>1589</v>
      </c>
      <c r="CW54" s="48" t="s">
        <v>1438</v>
      </c>
    </row>
    <row r="55" spans="1:101" ht="234" hidden="1" x14ac:dyDescent="0.25">
      <c r="A55" s="17" t="s">
        <v>1821</v>
      </c>
      <c r="B55" s="17" t="s">
        <v>1663</v>
      </c>
      <c r="C55" s="17" t="s">
        <v>1664</v>
      </c>
      <c r="D55" s="17" t="b">
        <f t="shared" si="6"/>
        <v>1</v>
      </c>
      <c r="E55" s="161" t="s">
        <v>1821</v>
      </c>
      <c r="F55" s="162" t="s">
        <v>1623</v>
      </c>
      <c r="G55" s="240" t="s">
        <v>1663</v>
      </c>
      <c r="H55" s="312" t="s">
        <v>2453</v>
      </c>
      <c r="I55" s="31"/>
      <c r="J55" s="32" t="s">
        <v>583</v>
      </c>
      <c r="K55" s="166"/>
      <c r="L55" s="111"/>
      <c r="M55" s="112"/>
      <c r="N55" s="113"/>
      <c r="O55" s="112"/>
      <c r="P55" s="31"/>
      <c r="Q55" s="32"/>
      <c r="R55" s="166"/>
      <c r="S55" s="88" t="str">
        <f t="shared" si="0"/>
        <v>NA</v>
      </c>
      <c r="T55" s="88" t="str">
        <f t="shared" si="1"/>
        <v>NA</v>
      </c>
      <c r="U55" s="111"/>
      <c r="V55" s="112"/>
      <c r="W55" s="113"/>
      <c r="X55" s="112"/>
      <c r="Y55" s="31"/>
      <c r="Z55" s="32"/>
      <c r="AA55" s="90"/>
      <c r="AB55" s="124" t="str">
        <f t="shared" si="7"/>
        <v>NA</v>
      </c>
      <c r="AC55" s="88" t="str">
        <f t="shared" si="8"/>
        <v>NA</v>
      </c>
      <c r="AD55" s="111"/>
      <c r="AE55" s="112"/>
      <c r="AF55" s="113"/>
      <c r="AG55" s="112"/>
      <c r="AH55" s="31"/>
      <c r="AI55" s="32"/>
      <c r="AJ55" s="166"/>
      <c r="AK55" s="124" t="str">
        <f t="shared" si="4"/>
        <v>NA</v>
      </c>
      <c r="AL55" s="88" t="str">
        <f t="shared" si="5"/>
        <v>NA</v>
      </c>
      <c r="AM55" s="111"/>
      <c r="AN55" s="112"/>
      <c r="AO55" s="113"/>
      <c r="AP55" s="112"/>
      <c r="AQ55" s="31"/>
      <c r="AR55" s="32"/>
      <c r="AS55" s="90"/>
      <c r="AT55" s="88"/>
      <c r="AU55" s="88"/>
      <c r="AV55" s="111"/>
      <c r="AW55" s="112"/>
      <c r="AX55" s="113"/>
      <c r="AY55" s="112"/>
      <c r="AZ55" s="31"/>
      <c r="BA55" s="32"/>
      <c r="BB55" s="90"/>
      <c r="BC55" s="88"/>
      <c r="BD55" s="88"/>
      <c r="BE55" s="111"/>
      <c r="BF55" s="112"/>
      <c r="BG55" s="113"/>
      <c r="BH55" s="112"/>
      <c r="BI55" s="31"/>
      <c r="BJ55" s="32"/>
      <c r="BK55" s="90"/>
      <c r="BL55" s="88"/>
      <c r="BM55" s="88"/>
      <c r="BN55" s="111"/>
      <c r="BO55" s="112"/>
      <c r="BP55" s="113"/>
      <c r="BQ55" s="112"/>
      <c r="BR55" s="31"/>
      <c r="BS55" s="32"/>
      <c r="BT55" s="90"/>
      <c r="BU55" s="88"/>
      <c r="BV55" s="88"/>
      <c r="BW55" s="111"/>
      <c r="BX55" s="112"/>
      <c r="BY55" s="113"/>
      <c r="BZ55" s="112"/>
      <c r="CA55" s="31"/>
      <c r="CB55" s="32"/>
      <c r="CC55" s="90"/>
      <c r="CD55" s="88"/>
      <c r="CE55" s="88"/>
      <c r="CF55" s="111"/>
      <c r="CG55" s="112"/>
      <c r="CH55" s="113"/>
      <c r="CI55" s="112"/>
      <c r="CJ55" s="31"/>
      <c r="CK55" s="32"/>
      <c r="CL55" s="90"/>
      <c r="CM55" s="88"/>
      <c r="CN55" s="88"/>
      <c r="CO55" s="111"/>
      <c r="CP55" s="112"/>
      <c r="CQ55" s="113"/>
      <c r="CR55" s="112"/>
      <c r="CS55" s="55"/>
      <c r="CV55" s="48" t="s">
        <v>1589</v>
      </c>
      <c r="CW55" s="48" t="s">
        <v>1438</v>
      </c>
    </row>
    <row r="56" spans="1:101" ht="130" hidden="1" x14ac:dyDescent="0.25">
      <c r="A56" s="17" t="s">
        <v>1821</v>
      </c>
      <c r="B56" s="17" t="s">
        <v>1663</v>
      </c>
      <c r="C56" s="17" t="s">
        <v>1664</v>
      </c>
      <c r="D56" s="17" t="b">
        <f t="shared" si="6"/>
        <v>0</v>
      </c>
      <c r="E56" s="161" t="s">
        <v>2454</v>
      </c>
      <c r="F56" s="162"/>
      <c r="G56" s="240" t="s">
        <v>2410</v>
      </c>
      <c r="H56" s="312" t="s">
        <v>2389</v>
      </c>
      <c r="I56" s="31"/>
      <c r="J56" s="32" t="s">
        <v>354</v>
      </c>
      <c r="K56" s="166"/>
      <c r="L56" s="111"/>
      <c r="M56" s="112"/>
      <c r="N56" s="113"/>
      <c r="O56" s="112"/>
      <c r="P56" s="31"/>
      <c r="Q56" s="32"/>
      <c r="R56" s="166"/>
      <c r="S56" s="88" t="str">
        <f t="shared" si="0"/>
        <v>NA</v>
      </c>
      <c r="T56" s="88" t="str">
        <f t="shared" si="1"/>
        <v>NA</v>
      </c>
      <c r="U56" s="111"/>
      <c r="V56" s="112"/>
      <c r="W56" s="113"/>
      <c r="X56" s="112"/>
      <c r="Y56" s="31"/>
      <c r="Z56" s="32"/>
      <c r="AA56" s="90"/>
      <c r="AB56" s="124" t="str">
        <f t="shared" si="7"/>
        <v>NA</v>
      </c>
      <c r="AC56" s="88" t="str">
        <f t="shared" si="8"/>
        <v>NA</v>
      </c>
      <c r="AD56" s="111"/>
      <c r="AE56" s="112"/>
      <c r="AF56" s="113"/>
      <c r="AG56" s="112"/>
      <c r="AH56" s="31"/>
      <c r="AI56" s="32"/>
      <c r="AJ56" s="166"/>
      <c r="AK56" s="124" t="str">
        <f t="shared" si="4"/>
        <v>NA</v>
      </c>
      <c r="AL56" s="88" t="str">
        <f t="shared" si="5"/>
        <v>NA</v>
      </c>
      <c r="AM56" s="111"/>
      <c r="AN56" s="112"/>
      <c r="AO56" s="113"/>
      <c r="AP56" s="112"/>
      <c r="AQ56" s="31"/>
      <c r="AR56" s="32"/>
      <c r="AS56" s="90"/>
      <c r="AT56" s="88"/>
      <c r="AU56" s="88"/>
      <c r="AV56" s="111"/>
      <c r="AW56" s="112"/>
      <c r="AX56" s="113"/>
      <c r="AY56" s="112"/>
      <c r="AZ56" s="31"/>
      <c r="BA56" s="32"/>
      <c r="BB56" s="90"/>
      <c r="BC56" s="88"/>
      <c r="BD56" s="88"/>
      <c r="BE56" s="111"/>
      <c r="BF56" s="112"/>
      <c r="BG56" s="113"/>
      <c r="BH56" s="112"/>
      <c r="BI56" s="31"/>
      <c r="BJ56" s="32"/>
      <c r="BK56" s="90"/>
      <c r="BL56" s="88"/>
      <c r="BM56" s="88"/>
      <c r="BN56" s="111"/>
      <c r="BO56" s="112"/>
      <c r="BP56" s="113"/>
      <c r="BQ56" s="112"/>
      <c r="BR56" s="31"/>
      <c r="BS56" s="32"/>
      <c r="BT56" s="90"/>
      <c r="BU56" s="88"/>
      <c r="BV56" s="88"/>
      <c r="BW56" s="111"/>
      <c r="BX56" s="112"/>
      <c r="BY56" s="113"/>
      <c r="BZ56" s="112"/>
      <c r="CA56" s="31"/>
      <c r="CB56" s="32"/>
      <c r="CC56" s="90"/>
      <c r="CD56" s="88"/>
      <c r="CE56" s="88"/>
      <c r="CF56" s="111"/>
      <c r="CG56" s="112"/>
      <c r="CH56" s="113"/>
      <c r="CI56" s="112"/>
      <c r="CJ56" s="31"/>
      <c r="CK56" s="32"/>
      <c r="CL56" s="90"/>
      <c r="CM56" s="88"/>
      <c r="CN56" s="88"/>
      <c r="CO56" s="111"/>
      <c r="CP56" s="112"/>
      <c r="CQ56" s="113"/>
      <c r="CR56" s="112"/>
      <c r="CS56" s="55"/>
      <c r="CV56" s="48" t="s">
        <v>1589</v>
      </c>
      <c r="CW56" s="48" t="s">
        <v>1438</v>
      </c>
    </row>
    <row r="57" spans="1:101" ht="130" hidden="1" x14ac:dyDescent="0.25">
      <c r="A57" s="17" t="s">
        <v>1821</v>
      </c>
      <c r="B57" s="17" t="s">
        <v>1663</v>
      </c>
      <c r="C57" s="17" t="s">
        <v>1664</v>
      </c>
      <c r="D57" s="17" t="b">
        <f t="shared" ref="D57" si="23">B57=G57</f>
        <v>0</v>
      </c>
      <c r="E57" s="161" t="s">
        <v>2455</v>
      </c>
      <c r="F57" s="162"/>
      <c r="G57" s="240" t="s">
        <v>2409</v>
      </c>
      <c r="H57" s="312" t="s">
        <v>2446</v>
      </c>
      <c r="I57" s="31"/>
      <c r="J57" s="32" t="s">
        <v>354</v>
      </c>
      <c r="K57" s="166"/>
      <c r="L57" s="111"/>
      <c r="M57" s="112"/>
      <c r="N57" s="113"/>
      <c r="O57" s="112"/>
      <c r="P57" s="31"/>
      <c r="Q57" s="32"/>
      <c r="R57" s="166"/>
      <c r="S57" s="88" t="str">
        <f t="shared" ref="S57" si="24">IF(LEFT(R57,1)&lt;&gt;"x","NA",IF(RIGHT(Q57,3)=RIGHT(J57,3),IF(RIGHT(Q57,3)&lt;&gt;RIGHT(J57,3),IF(OR(AND(RIGHT(Q57,3)=RIGHT(J57,3),R57=K57)),"NO","YES"),"NO"),IF(OR(RIGHT(Q57,3)=RIGHT(J57,3)),"ERROR","YES")))</f>
        <v>NA</v>
      </c>
      <c r="T57" s="88" t="str">
        <f t="shared" ref="T57" si="25">IF(LEFT(K57,1)&lt;&gt;LEFT(R57,1),"YES",IF(LEFT(R57,1)="x","NO","NA"))</f>
        <v>NA</v>
      </c>
      <c r="U57" s="111"/>
      <c r="V57" s="112"/>
      <c r="W57" s="113"/>
      <c r="X57" s="112"/>
      <c r="Y57" s="31"/>
      <c r="Z57" s="32"/>
      <c r="AA57" s="90"/>
      <c r="AB57" s="124" t="str">
        <f t="shared" ref="AB57" si="26">IF(LEFT(AA57,1)&lt;&gt;"x","NA",IF(RIGHT(Z57,3)=RIGHT(Q57,3),IF(RIGHT(Z57,3)&lt;&gt;RIGHT(J57,3),IF(OR(AND(RIGHT(Z57,3)=RIGHT(Q57,3),AA57=R57),AND(RIGHT(Z57,3)=RIGHT(J57,3),AA57=K57)),"NO","YES"),"NO"),IF(OR(RIGHT(Z57,3)=RIGHT(Q57,3),RIGHT(Z57,3)=RIGHT(J57,3)),"ERROR","YES")))</f>
        <v>NA</v>
      </c>
      <c r="AC57" s="88" t="str">
        <f t="shared" ref="AC57" si="27">IF(LEFT(R57,1)&lt;&gt;LEFT(AA57,1),"YES",IF(LEFT(AA57,1)="x","NO","NA"))</f>
        <v>NA</v>
      </c>
      <c r="AD57" s="111"/>
      <c r="AE57" s="112"/>
      <c r="AF57" s="113"/>
      <c r="AG57" s="112"/>
      <c r="AH57" s="31"/>
      <c r="AI57" s="32"/>
      <c r="AJ57" s="166"/>
      <c r="AK57" s="124" t="str">
        <f t="shared" ref="AK57" si="28">IF(LEFT(AJ57,1)&lt;&gt;"x","NA",IF(RIGHT(AI57,3)=RIGHT(Z57,3),IF(RIGHT(AI57,3)&lt;&gt;RIGHT(S57,3),IF(OR(AND(RIGHT(AI57,3)=RIGHT(Z57,3),AJ57=AA57),AND(RIGHT(AI57,3)=RIGHT(S57,3),AJ57=T57)),"NO","YES"),"NO"),IF(OR(RIGHT(AI57,3)=RIGHT(Z57,3),RIGHT(AI57,3)=RIGHT(S57,3)),"ERROR","YES")))</f>
        <v>NA</v>
      </c>
      <c r="AL57" s="88" t="str">
        <f t="shared" ref="AL57" si="29">IF(LEFT(AA57,1)&lt;&gt;LEFT(AJ57,1),"YES",IF(LEFT(AJ57,1)="x","NO","NA"))</f>
        <v>NA</v>
      </c>
      <c r="AM57" s="111"/>
      <c r="AN57" s="112"/>
      <c r="AO57" s="113"/>
      <c r="AP57" s="112"/>
      <c r="AQ57" s="31"/>
      <c r="AR57" s="32"/>
      <c r="AS57" s="90"/>
      <c r="AT57" s="88"/>
      <c r="AU57" s="88"/>
      <c r="AV57" s="111"/>
      <c r="AW57" s="112"/>
      <c r="AX57" s="113"/>
      <c r="AY57" s="112"/>
      <c r="AZ57" s="31"/>
      <c r="BA57" s="32"/>
      <c r="BB57" s="90"/>
      <c r="BC57" s="88"/>
      <c r="BD57" s="88"/>
      <c r="BE57" s="111"/>
      <c r="BF57" s="112"/>
      <c r="BG57" s="113"/>
      <c r="BH57" s="112"/>
      <c r="BI57" s="31"/>
      <c r="BJ57" s="32"/>
      <c r="BK57" s="90"/>
      <c r="BL57" s="88"/>
      <c r="BM57" s="88"/>
      <c r="BN57" s="111"/>
      <c r="BO57" s="112"/>
      <c r="BP57" s="113"/>
      <c r="BQ57" s="112"/>
      <c r="BR57" s="31"/>
      <c r="BS57" s="32"/>
      <c r="BT57" s="90"/>
      <c r="BU57" s="88"/>
      <c r="BV57" s="88"/>
      <c r="BW57" s="111"/>
      <c r="BX57" s="112"/>
      <c r="BY57" s="113"/>
      <c r="BZ57" s="112"/>
      <c r="CA57" s="31"/>
      <c r="CB57" s="32"/>
      <c r="CC57" s="90"/>
      <c r="CD57" s="88"/>
      <c r="CE57" s="88"/>
      <c r="CF57" s="111"/>
      <c r="CG57" s="112"/>
      <c r="CH57" s="113"/>
      <c r="CI57" s="112"/>
      <c r="CJ57" s="31"/>
      <c r="CK57" s="32"/>
      <c r="CL57" s="90"/>
      <c r="CM57" s="88"/>
      <c r="CN57" s="88"/>
      <c r="CO57" s="111"/>
      <c r="CP57" s="112"/>
      <c r="CQ57" s="113"/>
      <c r="CR57" s="112"/>
      <c r="CS57" s="55"/>
      <c r="CV57" s="48" t="s">
        <v>1589</v>
      </c>
      <c r="CW57" s="48" t="s">
        <v>1438</v>
      </c>
    </row>
    <row r="58" spans="1:101" ht="130" hidden="1" x14ac:dyDescent="0.25">
      <c r="A58" s="17" t="s">
        <v>1821</v>
      </c>
      <c r="B58" s="17" t="s">
        <v>1663</v>
      </c>
      <c r="C58" s="17" t="s">
        <v>1664</v>
      </c>
      <c r="D58" s="17" t="b">
        <f t="shared" ref="D58" si="30">B58=G58</f>
        <v>0</v>
      </c>
      <c r="E58" s="161" t="s">
        <v>2455</v>
      </c>
      <c r="F58" s="162"/>
      <c r="G58" s="240" t="s">
        <v>2408</v>
      </c>
      <c r="H58" s="312" t="s">
        <v>2447</v>
      </c>
      <c r="I58" s="31"/>
      <c r="J58" s="32" t="s">
        <v>354</v>
      </c>
      <c r="K58" s="166"/>
      <c r="L58" s="111"/>
      <c r="M58" s="112"/>
      <c r="N58" s="113"/>
      <c r="O58" s="112"/>
      <c r="P58" s="31"/>
      <c r="Q58" s="32"/>
      <c r="R58" s="166"/>
      <c r="S58" s="88" t="str">
        <f t="shared" ref="S58" si="31">IF(LEFT(R58,1)&lt;&gt;"x","NA",IF(RIGHT(Q58,3)=RIGHT(J58,3),IF(RIGHT(Q58,3)&lt;&gt;RIGHT(J58,3),IF(OR(AND(RIGHT(Q58,3)=RIGHT(J58,3),R58=K58)),"NO","YES"),"NO"),IF(OR(RIGHT(Q58,3)=RIGHT(J58,3)),"ERROR","YES")))</f>
        <v>NA</v>
      </c>
      <c r="T58" s="88" t="str">
        <f t="shared" ref="T58" si="32">IF(LEFT(K58,1)&lt;&gt;LEFT(R58,1),"YES",IF(LEFT(R58,1)="x","NO","NA"))</f>
        <v>NA</v>
      </c>
      <c r="U58" s="111"/>
      <c r="V58" s="112"/>
      <c r="W58" s="113"/>
      <c r="X58" s="112"/>
      <c r="Y58" s="31"/>
      <c r="Z58" s="32"/>
      <c r="AA58" s="90"/>
      <c r="AB58" s="124" t="str">
        <f t="shared" ref="AB58" si="33">IF(LEFT(AA58,1)&lt;&gt;"x","NA",IF(RIGHT(Z58,3)=RIGHT(Q58,3),IF(RIGHT(Z58,3)&lt;&gt;RIGHT(J58,3),IF(OR(AND(RIGHT(Z58,3)=RIGHT(Q58,3),AA58=R58),AND(RIGHT(Z58,3)=RIGHT(J58,3),AA58=K58)),"NO","YES"),"NO"),IF(OR(RIGHT(Z58,3)=RIGHT(Q58,3),RIGHT(Z58,3)=RIGHT(J58,3)),"ERROR","YES")))</f>
        <v>NA</v>
      </c>
      <c r="AC58" s="88" t="str">
        <f t="shared" ref="AC58" si="34">IF(LEFT(R58,1)&lt;&gt;LEFT(AA58,1),"YES",IF(LEFT(AA58,1)="x","NO","NA"))</f>
        <v>NA</v>
      </c>
      <c r="AD58" s="111"/>
      <c r="AE58" s="112"/>
      <c r="AF58" s="113"/>
      <c r="AG58" s="112"/>
      <c r="AH58" s="31"/>
      <c r="AI58" s="32"/>
      <c r="AJ58" s="166"/>
      <c r="AK58" s="124" t="str">
        <f t="shared" ref="AK58" si="35">IF(LEFT(AJ58,1)&lt;&gt;"x","NA",IF(RIGHT(AI58,3)=RIGHT(Z58,3),IF(RIGHT(AI58,3)&lt;&gt;RIGHT(S58,3),IF(OR(AND(RIGHT(AI58,3)=RIGHT(Z58,3),AJ58=AA58),AND(RIGHT(AI58,3)=RIGHT(S58,3),AJ58=T58)),"NO","YES"),"NO"),IF(OR(RIGHT(AI58,3)=RIGHT(Z58,3),RIGHT(AI58,3)=RIGHT(S58,3)),"ERROR","YES")))</f>
        <v>NA</v>
      </c>
      <c r="AL58" s="88" t="str">
        <f t="shared" ref="AL58" si="36">IF(LEFT(AA58,1)&lt;&gt;LEFT(AJ58,1),"YES",IF(LEFT(AJ58,1)="x","NO","NA"))</f>
        <v>NA</v>
      </c>
      <c r="AM58" s="111"/>
      <c r="AN58" s="112"/>
      <c r="AO58" s="113"/>
      <c r="AP58" s="112"/>
      <c r="AQ58" s="31"/>
      <c r="AR58" s="32"/>
      <c r="AS58" s="90"/>
      <c r="AT58" s="88"/>
      <c r="AU58" s="88"/>
      <c r="AV58" s="111"/>
      <c r="AW58" s="112"/>
      <c r="AX58" s="113"/>
      <c r="AY58" s="112"/>
      <c r="AZ58" s="31"/>
      <c r="BA58" s="32"/>
      <c r="BB58" s="90"/>
      <c r="BC58" s="88"/>
      <c r="BD58" s="88"/>
      <c r="BE58" s="111"/>
      <c r="BF58" s="112"/>
      <c r="BG58" s="113"/>
      <c r="BH58" s="112"/>
      <c r="BI58" s="31"/>
      <c r="BJ58" s="32"/>
      <c r="BK58" s="90"/>
      <c r="BL58" s="88"/>
      <c r="BM58" s="88"/>
      <c r="BN58" s="111"/>
      <c r="BO58" s="112"/>
      <c r="BP58" s="113"/>
      <c r="BQ58" s="112"/>
      <c r="BR58" s="31"/>
      <c r="BS58" s="32"/>
      <c r="BT58" s="90"/>
      <c r="BU58" s="88"/>
      <c r="BV58" s="88"/>
      <c r="BW58" s="111"/>
      <c r="BX58" s="112"/>
      <c r="BY58" s="113"/>
      <c r="BZ58" s="112"/>
      <c r="CA58" s="31"/>
      <c r="CB58" s="32"/>
      <c r="CC58" s="90"/>
      <c r="CD58" s="88"/>
      <c r="CE58" s="88"/>
      <c r="CF58" s="111"/>
      <c r="CG58" s="112"/>
      <c r="CH58" s="113"/>
      <c r="CI58" s="112"/>
      <c r="CJ58" s="31"/>
      <c r="CK58" s="32"/>
      <c r="CL58" s="90"/>
      <c r="CM58" s="88"/>
      <c r="CN58" s="88"/>
      <c r="CO58" s="111"/>
      <c r="CP58" s="112"/>
      <c r="CQ58" s="113"/>
      <c r="CR58" s="112"/>
      <c r="CS58" s="55"/>
      <c r="CV58" s="48" t="s">
        <v>1589</v>
      </c>
      <c r="CW58" s="48" t="s">
        <v>1438</v>
      </c>
    </row>
    <row r="59" spans="1:101" ht="130" hidden="1" x14ac:dyDescent="0.25">
      <c r="A59" s="17" t="s">
        <v>1821</v>
      </c>
      <c r="B59" s="17" t="s">
        <v>1663</v>
      </c>
      <c r="C59" s="17" t="s">
        <v>1664</v>
      </c>
      <c r="D59" s="17" t="b">
        <f t="shared" ref="D59" si="37">B59=G59</f>
        <v>0</v>
      </c>
      <c r="E59" s="161" t="s">
        <v>2456</v>
      </c>
      <c r="F59" s="162"/>
      <c r="G59" s="240" t="s">
        <v>2407</v>
      </c>
      <c r="H59" s="312" t="s">
        <v>2448</v>
      </c>
      <c r="I59" s="31"/>
      <c r="J59" s="32" t="s">
        <v>354</v>
      </c>
      <c r="K59" s="166"/>
      <c r="L59" s="111"/>
      <c r="M59" s="112"/>
      <c r="N59" s="113"/>
      <c r="O59" s="112"/>
      <c r="P59" s="31"/>
      <c r="Q59" s="32"/>
      <c r="R59" s="166"/>
      <c r="S59" s="88" t="str">
        <f t="shared" ref="S59" si="38">IF(LEFT(R59,1)&lt;&gt;"x","NA",IF(RIGHT(Q59,3)=RIGHT(J59,3),IF(RIGHT(Q59,3)&lt;&gt;RIGHT(J59,3),IF(OR(AND(RIGHT(Q59,3)=RIGHT(J59,3),R59=K59)),"NO","YES"),"NO"),IF(OR(RIGHT(Q59,3)=RIGHT(J59,3)),"ERROR","YES")))</f>
        <v>NA</v>
      </c>
      <c r="T59" s="88" t="str">
        <f t="shared" ref="T59" si="39">IF(LEFT(K59,1)&lt;&gt;LEFT(R59,1),"YES",IF(LEFT(R59,1)="x","NO","NA"))</f>
        <v>NA</v>
      </c>
      <c r="U59" s="111"/>
      <c r="V59" s="112"/>
      <c r="W59" s="113"/>
      <c r="X59" s="112"/>
      <c r="Y59" s="31"/>
      <c r="Z59" s="32"/>
      <c r="AA59" s="90"/>
      <c r="AB59" s="124" t="str">
        <f t="shared" ref="AB59" si="40">IF(LEFT(AA59,1)&lt;&gt;"x","NA",IF(RIGHT(Z59,3)=RIGHT(Q59,3),IF(RIGHT(Z59,3)&lt;&gt;RIGHT(J59,3),IF(OR(AND(RIGHT(Z59,3)=RIGHT(Q59,3),AA59=R59),AND(RIGHT(Z59,3)=RIGHT(J59,3),AA59=K59)),"NO","YES"),"NO"),IF(OR(RIGHT(Z59,3)=RIGHT(Q59,3),RIGHT(Z59,3)=RIGHT(J59,3)),"ERROR","YES")))</f>
        <v>NA</v>
      </c>
      <c r="AC59" s="88" t="str">
        <f t="shared" ref="AC59" si="41">IF(LEFT(R59,1)&lt;&gt;LEFT(AA59,1),"YES",IF(LEFT(AA59,1)="x","NO","NA"))</f>
        <v>NA</v>
      </c>
      <c r="AD59" s="111"/>
      <c r="AE59" s="112"/>
      <c r="AF59" s="113"/>
      <c r="AG59" s="112"/>
      <c r="AH59" s="31"/>
      <c r="AI59" s="32"/>
      <c r="AJ59" s="166"/>
      <c r="AK59" s="124" t="str">
        <f t="shared" ref="AK59" si="42">IF(LEFT(AJ59,1)&lt;&gt;"x","NA",IF(RIGHT(AI59,3)=RIGHT(Z59,3),IF(RIGHT(AI59,3)&lt;&gt;RIGHT(S59,3),IF(OR(AND(RIGHT(AI59,3)=RIGHT(Z59,3),AJ59=AA59),AND(RIGHT(AI59,3)=RIGHT(S59,3),AJ59=T59)),"NO","YES"),"NO"),IF(OR(RIGHT(AI59,3)=RIGHT(Z59,3),RIGHT(AI59,3)=RIGHT(S59,3)),"ERROR","YES")))</f>
        <v>NA</v>
      </c>
      <c r="AL59" s="88" t="str">
        <f t="shared" ref="AL59" si="43">IF(LEFT(AA59,1)&lt;&gt;LEFT(AJ59,1),"YES",IF(LEFT(AJ59,1)="x","NO","NA"))</f>
        <v>NA</v>
      </c>
      <c r="AM59" s="111"/>
      <c r="AN59" s="112"/>
      <c r="AO59" s="113"/>
      <c r="AP59" s="112"/>
      <c r="AQ59" s="31"/>
      <c r="AR59" s="32"/>
      <c r="AS59" s="90"/>
      <c r="AT59" s="88"/>
      <c r="AU59" s="88"/>
      <c r="AV59" s="111"/>
      <c r="AW59" s="112"/>
      <c r="AX59" s="113"/>
      <c r="AY59" s="112"/>
      <c r="AZ59" s="31"/>
      <c r="BA59" s="32"/>
      <c r="BB59" s="90"/>
      <c r="BC59" s="88"/>
      <c r="BD59" s="88"/>
      <c r="BE59" s="111"/>
      <c r="BF59" s="112"/>
      <c r="BG59" s="113"/>
      <c r="BH59" s="112"/>
      <c r="BI59" s="31"/>
      <c r="BJ59" s="32"/>
      <c r="BK59" s="90"/>
      <c r="BL59" s="88"/>
      <c r="BM59" s="88"/>
      <c r="BN59" s="111"/>
      <c r="BO59" s="112"/>
      <c r="BP59" s="113"/>
      <c r="BQ59" s="112"/>
      <c r="BR59" s="31"/>
      <c r="BS59" s="32"/>
      <c r="BT59" s="90"/>
      <c r="BU59" s="88"/>
      <c r="BV59" s="88"/>
      <c r="BW59" s="111"/>
      <c r="BX59" s="112"/>
      <c r="BY59" s="113"/>
      <c r="BZ59" s="112"/>
      <c r="CA59" s="31"/>
      <c r="CB59" s="32"/>
      <c r="CC59" s="90"/>
      <c r="CD59" s="88"/>
      <c r="CE59" s="88"/>
      <c r="CF59" s="111"/>
      <c r="CG59" s="112"/>
      <c r="CH59" s="113"/>
      <c r="CI59" s="112"/>
      <c r="CJ59" s="31"/>
      <c r="CK59" s="32"/>
      <c r="CL59" s="90"/>
      <c r="CM59" s="88"/>
      <c r="CN59" s="88"/>
      <c r="CO59" s="111"/>
      <c r="CP59" s="112"/>
      <c r="CQ59" s="113"/>
      <c r="CR59" s="112"/>
      <c r="CS59" s="55"/>
      <c r="CV59" s="48" t="s">
        <v>1589</v>
      </c>
      <c r="CW59" s="48" t="s">
        <v>1438</v>
      </c>
    </row>
    <row r="60" spans="1:101" ht="78" x14ac:dyDescent="0.25">
      <c r="A60" s="17" t="s">
        <v>1822</v>
      </c>
      <c r="B60" s="17" t="s">
        <v>771</v>
      </c>
      <c r="C60" s="17" t="s">
        <v>777</v>
      </c>
      <c r="D60" s="17" t="b">
        <f t="shared" si="6"/>
        <v>1</v>
      </c>
      <c r="E60" s="163" t="s">
        <v>1822</v>
      </c>
      <c r="F60" s="162" t="s">
        <v>1000</v>
      </c>
      <c r="G60" s="116" t="s">
        <v>771</v>
      </c>
      <c r="H60" s="211" t="s">
        <v>2393</v>
      </c>
      <c r="I60" s="31"/>
      <c r="J60" s="32" t="s">
        <v>354</v>
      </c>
      <c r="K60" s="166" t="s">
        <v>31</v>
      </c>
      <c r="L60" s="111" t="s">
        <v>2470</v>
      </c>
      <c r="M60" s="112"/>
      <c r="N60" s="113"/>
      <c r="O60" s="112"/>
      <c r="P60" s="31"/>
      <c r="Q60" s="32"/>
      <c r="R60" s="166"/>
      <c r="S60" s="88" t="str">
        <f t="shared" si="0"/>
        <v>NA</v>
      </c>
      <c r="T60" s="88" t="str">
        <f t="shared" si="1"/>
        <v>YES</v>
      </c>
      <c r="U60" s="111"/>
      <c r="V60" s="112"/>
      <c r="W60" s="113"/>
      <c r="X60" s="112"/>
      <c r="Y60" s="31"/>
      <c r="Z60" s="32"/>
      <c r="AA60" s="90"/>
      <c r="AB60" s="124" t="str">
        <f t="shared" si="7"/>
        <v>NA</v>
      </c>
      <c r="AC60" s="88" t="str">
        <f t="shared" si="8"/>
        <v>NA</v>
      </c>
      <c r="AD60" s="111"/>
      <c r="AE60" s="112"/>
      <c r="AF60" s="113"/>
      <c r="AG60" s="112"/>
      <c r="AH60" s="31"/>
      <c r="AI60" s="32"/>
      <c r="AJ60" s="166"/>
      <c r="AK60" s="124" t="str">
        <f t="shared" si="4"/>
        <v>NA</v>
      </c>
      <c r="AL60" s="88" t="str">
        <f t="shared" si="5"/>
        <v>NA</v>
      </c>
      <c r="AM60" s="111"/>
      <c r="AN60" s="112"/>
      <c r="AO60" s="113"/>
      <c r="AP60" s="112"/>
      <c r="AQ60" s="31"/>
      <c r="AR60" s="32"/>
      <c r="AS60" s="90"/>
      <c r="AT60" s="88"/>
      <c r="AU60" s="88"/>
      <c r="AV60" s="111"/>
      <c r="AW60" s="112"/>
      <c r="AX60" s="113"/>
      <c r="AY60" s="112"/>
      <c r="AZ60" s="31"/>
      <c r="BA60" s="32"/>
      <c r="BB60" s="90"/>
      <c r="BC60" s="88"/>
      <c r="BD60" s="88"/>
      <c r="BE60" s="111"/>
      <c r="BF60" s="112"/>
      <c r="BG60" s="113"/>
      <c r="BH60" s="112"/>
      <c r="BI60" s="31"/>
      <c r="BJ60" s="32"/>
      <c r="BK60" s="90"/>
      <c r="BL60" s="88"/>
      <c r="BM60" s="88"/>
      <c r="BN60" s="111"/>
      <c r="BO60" s="112"/>
      <c r="BP60" s="113"/>
      <c r="BQ60" s="112"/>
      <c r="BR60" s="31"/>
      <c r="BS60" s="32"/>
      <c r="BT60" s="90"/>
      <c r="BU60" s="88"/>
      <c r="BV60" s="88"/>
      <c r="BW60" s="111"/>
      <c r="BX60" s="112"/>
      <c r="BY60" s="113"/>
      <c r="BZ60" s="112"/>
      <c r="CA60" s="31"/>
      <c r="CB60" s="32"/>
      <c r="CC60" s="90"/>
      <c r="CD60" s="88"/>
      <c r="CE60" s="88"/>
      <c r="CF60" s="111"/>
      <c r="CG60" s="112"/>
      <c r="CH60" s="113"/>
      <c r="CI60" s="112"/>
      <c r="CJ60" s="31"/>
      <c r="CK60" s="32"/>
      <c r="CL60" s="90"/>
      <c r="CM60" s="88"/>
      <c r="CN60" s="88"/>
      <c r="CO60" s="111"/>
      <c r="CP60" s="112"/>
      <c r="CQ60" s="113"/>
      <c r="CR60" s="112"/>
      <c r="CS60" s="55"/>
      <c r="CV60" s="48" t="s">
        <v>1589</v>
      </c>
      <c r="CW60" s="48" t="s">
        <v>541</v>
      </c>
    </row>
    <row r="61" spans="1:101" ht="26" hidden="1" x14ac:dyDescent="0.25">
      <c r="A61" s="17" t="s">
        <v>1823</v>
      </c>
      <c r="B61" s="17" t="s">
        <v>772</v>
      </c>
      <c r="C61" s="17" t="s">
        <v>777</v>
      </c>
      <c r="D61" s="17" t="b">
        <f t="shared" si="6"/>
        <v>1</v>
      </c>
      <c r="E61" s="163" t="s">
        <v>1823</v>
      </c>
      <c r="F61" s="162" t="s">
        <v>1001</v>
      </c>
      <c r="G61" s="116" t="s">
        <v>772</v>
      </c>
      <c r="H61" s="122" t="s">
        <v>777</v>
      </c>
      <c r="I61" s="31"/>
      <c r="J61" s="32" t="s">
        <v>354</v>
      </c>
      <c r="K61" s="166"/>
      <c r="L61" s="111"/>
      <c r="M61" s="112"/>
      <c r="N61" s="113"/>
      <c r="O61" s="112"/>
      <c r="P61" s="31"/>
      <c r="Q61" s="32"/>
      <c r="R61" s="166"/>
      <c r="S61" s="88" t="str">
        <f t="shared" si="0"/>
        <v>NA</v>
      </c>
      <c r="T61" s="88" t="str">
        <f t="shared" si="1"/>
        <v>NA</v>
      </c>
      <c r="U61" s="111"/>
      <c r="V61" s="112"/>
      <c r="W61" s="113"/>
      <c r="X61" s="112"/>
      <c r="Y61" s="31"/>
      <c r="Z61" s="32"/>
      <c r="AA61" s="90"/>
      <c r="AB61" s="124" t="str">
        <f t="shared" si="7"/>
        <v>NA</v>
      </c>
      <c r="AC61" s="88" t="str">
        <f t="shared" si="8"/>
        <v>NA</v>
      </c>
      <c r="AD61" s="111"/>
      <c r="AE61" s="112"/>
      <c r="AF61" s="113"/>
      <c r="AG61" s="112"/>
      <c r="AH61" s="31"/>
      <c r="AI61" s="32"/>
      <c r="AJ61" s="166"/>
      <c r="AK61" s="124" t="str">
        <f t="shared" si="4"/>
        <v>NA</v>
      </c>
      <c r="AL61" s="88" t="str">
        <f t="shared" si="5"/>
        <v>NA</v>
      </c>
      <c r="AM61" s="111"/>
      <c r="AN61" s="112"/>
      <c r="AO61" s="113"/>
      <c r="AP61" s="112"/>
      <c r="AQ61" s="31"/>
      <c r="AR61" s="32"/>
      <c r="AS61" s="90"/>
      <c r="AT61" s="88"/>
      <c r="AU61" s="88"/>
      <c r="AV61" s="111"/>
      <c r="AW61" s="112"/>
      <c r="AX61" s="113"/>
      <c r="AY61" s="112"/>
      <c r="AZ61" s="31"/>
      <c r="BA61" s="32"/>
      <c r="BB61" s="90"/>
      <c r="BC61" s="88"/>
      <c r="BD61" s="88"/>
      <c r="BE61" s="111"/>
      <c r="BF61" s="112"/>
      <c r="BG61" s="113"/>
      <c r="BH61" s="112"/>
      <c r="BI61" s="31"/>
      <c r="BJ61" s="32"/>
      <c r="BK61" s="90"/>
      <c r="BL61" s="88"/>
      <c r="BM61" s="88"/>
      <c r="BN61" s="111"/>
      <c r="BO61" s="112"/>
      <c r="BP61" s="113"/>
      <c r="BQ61" s="112"/>
      <c r="BR61" s="31"/>
      <c r="BS61" s="32"/>
      <c r="BT61" s="90"/>
      <c r="BU61" s="88"/>
      <c r="BV61" s="88"/>
      <c r="BW61" s="111"/>
      <c r="BX61" s="112"/>
      <c r="BY61" s="113"/>
      <c r="BZ61" s="112"/>
      <c r="CA61" s="31"/>
      <c r="CB61" s="32"/>
      <c r="CC61" s="90"/>
      <c r="CD61" s="88"/>
      <c r="CE61" s="88"/>
      <c r="CF61" s="111"/>
      <c r="CG61" s="112"/>
      <c r="CH61" s="113"/>
      <c r="CI61" s="112"/>
      <c r="CJ61" s="31"/>
      <c r="CK61" s="32"/>
      <c r="CL61" s="90"/>
      <c r="CM61" s="88"/>
      <c r="CN61" s="88"/>
      <c r="CO61" s="111"/>
      <c r="CP61" s="112"/>
      <c r="CQ61" s="113"/>
      <c r="CR61" s="112"/>
      <c r="CS61" s="55"/>
      <c r="CV61" s="48" t="s">
        <v>1590</v>
      </c>
      <c r="CW61" s="48" t="s">
        <v>541</v>
      </c>
    </row>
    <row r="62" spans="1:101" ht="26" hidden="1" x14ac:dyDescent="0.25">
      <c r="A62" s="17" t="s">
        <v>1824</v>
      </c>
      <c r="B62" s="17" t="s">
        <v>773</v>
      </c>
      <c r="C62" s="17" t="s">
        <v>775</v>
      </c>
      <c r="D62" s="17" t="b">
        <f t="shared" si="6"/>
        <v>1</v>
      </c>
      <c r="E62" s="163" t="s">
        <v>1824</v>
      </c>
      <c r="F62" s="162" t="s">
        <v>1002</v>
      </c>
      <c r="G62" s="116" t="s">
        <v>773</v>
      </c>
      <c r="H62" s="122" t="s">
        <v>775</v>
      </c>
      <c r="I62" s="31"/>
      <c r="J62" s="32" t="s">
        <v>354</v>
      </c>
      <c r="K62" s="166"/>
      <c r="L62" s="111"/>
      <c r="M62" s="112"/>
      <c r="N62" s="113"/>
      <c r="O62" s="112"/>
      <c r="P62" s="31"/>
      <c r="Q62" s="32"/>
      <c r="R62" s="166"/>
      <c r="S62" s="88" t="str">
        <f t="shared" si="0"/>
        <v>NA</v>
      </c>
      <c r="T62" s="88" t="str">
        <f t="shared" si="1"/>
        <v>NA</v>
      </c>
      <c r="U62" s="111"/>
      <c r="V62" s="112"/>
      <c r="W62" s="113"/>
      <c r="X62" s="112"/>
      <c r="Y62" s="31"/>
      <c r="Z62" s="32"/>
      <c r="AA62" s="90"/>
      <c r="AB62" s="124" t="str">
        <f t="shared" si="7"/>
        <v>NA</v>
      </c>
      <c r="AC62" s="88" t="str">
        <f t="shared" si="8"/>
        <v>NA</v>
      </c>
      <c r="AD62" s="111"/>
      <c r="AE62" s="112"/>
      <c r="AF62" s="113"/>
      <c r="AG62" s="112"/>
      <c r="AH62" s="31"/>
      <c r="AI62" s="32"/>
      <c r="AJ62" s="166"/>
      <c r="AK62" s="124" t="str">
        <f t="shared" si="4"/>
        <v>NA</v>
      </c>
      <c r="AL62" s="88" t="str">
        <f t="shared" si="5"/>
        <v>NA</v>
      </c>
      <c r="AM62" s="111"/>
      <c r="AN62" s="112"/>
      <c r="AO62" s="113"/>
      <c r="AP62" s="112"/>
      <c r="AQ62" s="31"/>
      <c r="AR62" s="32"/>
      <c r="AS62" s="90"/>
      <c r="AT62" s="88"/>
      <c r="AU62" s="88"/>
      <c r="AV62" s="111"/>
      <c r="AW62" s="112"/>
      <c r="AX62" s="113"/>
      <c r="AY62" s="112"/>
      <c r="AZ62" s="31"/>
      <c r="BA62" s="32"/>
      <c r="BB62" s="90"/>
      <c r="BC62" s="88"/>
      <c r="BD62" s="88"/>
      <c r="BE62" s="111"/>
      <c r="BF62" s="112"/>
      <c r="BG62" s="113"/>
      <c r="BH62" s="112"/>
      <c r="BI62" s="31"/>
      <c r="BJ62" s="32"/>
      <c r="BK62" s="90"/>
      <c r="BL62" s="88"/>
      <c r="BM62" s="88"/>
      <c r="BN62" s="111"/>
      <c r="BO62" s="112"/>
      <c r="BP62" s="113"/>
      <c r="BQ62" s="112"/>
      <c r="BR62" s="31"/>
      <c r="BS62" s="32"/>
      <c r="BT62" s="90"/>
      <c r="BU62" s="88"/>
      <c r="BV62" s="88"/>
      <c r="BW62" s="111"/>
      <c r="BX62" s="112"/>
      <c r="BY62" s="113"/>
      <c r="BZ62" s="112"/>
      <c r="CA62" s="31"/>
      <c r="CB62" s="32"/>
      <c r="CC62" s="90"/>
      <c r="CD62" s="88"/>
      <c r="CE62" s="88"/>
      <c r="CF62" s="111"/>
      <c r="CG62" s="112"/>
      <c r="CH62" s="113"/>
      <c r="CI62" s="112"/>
      <c r="CJ62" s="31"/>
      <c r="CK62" s="32"/>
      <c r="CL62" s="90"/>
      <c r="CM62" s="88"/>
      <c r="CN62" s="88"/>
      <c r="CO62" s="111"/>
      <c r="CP62" s="112"/>
      <c r="CQ62" s="113"/>
      <c r="CR62" s="112"/>
      <c r="CS62" s="55"/>
      <c r="CV62" s="48" t="s">
        <v>1590</v>
      </c>
      <c r="CW62" s="48" t="s">
        <v>541</v>
      </c>
    </row>
    <row r="63" spans="1:101" ht="26" x14ac:dyDescent="0.25">
      <c r="A63" s="17" t="s">
        <v>1825</v>
      </c>
      <c r="B63" s="17" t="s">
        <v>774</v>
      </c>
      <c r="C63" s="17" t="s">
        <v>776</v>
      </c>
      <c r="D63" s="17" t="b">
        <f t="shared" si="6"/>
        <v>1</v>
      </c>
      <c r="E63" s="163" t="s">
        <v>1825</v>
      </c>
      <c r="F63" s="162" t="s">
        <v>1003</v>
      </c>
      <c r="G63" s="116" t="s">
        <v>774</v>
      </c>
      <c r="H63" s="122" t="s">
        <v>776</v>
      </c>
      <c r="I63" s="31"/>
      <c r="J63" s="32" t="s">
        <v>354</v>
      </c>
      <c r="K63" s="166" t="s">
        <v>31</v>
      </c>
      <c r="L63" s="111" t="s">
        <v>2470</v>
      </c>
      <c r="M63" s="112"/>
      <c r="N63" s="113"/>
      <c r="O63" s="112"/>
      <c r="P63" s="31"/>
      <c r="Q63" s="32"/>
      <c r="R63" s="166"/>
      <c r="S63" s="88" t="str">
        <f t="shared" si="0"/>
        <v>NA</v>
      </c>
      <c r="T63" s="88" t="str">
        <f t="shared" si="1"/>
        <v>YES</v>
      </c>
      <c r="U63" s="111"/>
      <c r="V63" s="112"/>
      <c r="W63" s="113"/>
      <c r="X63" s="112"/>
      <c r="Y63" s="31"/>
      <c r="Z63" s="32"/>
      <c r="AA63" s="90"/>
      <c r="AB63" s="124" t="str">
        <f t="shared" si="7"/>
        <v>NA</v>
      </c>
      <c r="AC63" s="88" t="str">
        <f t="shared" si="8"/>
        <v>NA</v>
      </c>
      <c r="AD63" s="111"/>
      <c r="AE63" s="112"/>
      <c r="AF63" s="113"/>
      <c r="AG63" s="112"/>
      <c r="AH63" s="31"/>
      <c r="AI63" s="32"/>
      <c r="AJ63" s="166"/>
      <c r="AK63" s="124" t="str">
        <f t="shared" si="4"/>
        <v>NA</v>
      </c>
      <c r="AL63" s="88" t="str">
        <f t="shared" si="5"/>
        <v>NA</v>
      </c>
      <c r="AM63" s="111"/>
      <c r="AN63" s="112"/>
      <c r="AO63" s="113"/>
      <c r="AP63" s="112"/>
      <c r="AQ63" s="31"/>
      <c r="AR63" s="32"/>
      <c r="AS63" s="90"/>
      <c r="AT63" s="88"/>
      <c r="AU63" s="88"/>
      <c r="AV63" s="111"/>
      <c r="AW63" s="112"/>
      <c r="AX63" s="113"/>
      <c r="AY63" s="112"/>
      <c r="AZ63" s="31"/>
      <c r="BA63" s="32"/>
      <c r="BB63" s="90"/>
      <c r="BC63" s="88"/>
      <c r="BD63" s="88"/>
      <c r="BE63" s="111"/>
      <c r="BF63" s="112"/>
      <c r="BG63" s="113"/>
      <c r="BH63" s="112"/>
      <c r="BI63" s="31"/>
      <c r="BJ63" s="32"/>
      <c r="BK63" s="90"/>
      <c r="BL63" s="88"/>
      <c r="BM63" s="88"/>
      <c r="BN63" s="111"/>
      <c r="BO63" s="112"/>
      <c r="BP63" s="113"/>
      <c r="BQ63" s="112"/>
      <c r="BR63" s="31"/>
      <c r="BS63" s="32"/>
      <c r="BT63" s="90"/>
      <c r="BU63" s="88"/>
      <c r="BV63" s="88"/>
      <c r="BW63" s="111"/>
      <c r="BX63" s="112"/>
      <c r="BY63" s="113"/>
      <c r="BZ63" s="112"/>
      <c r="CA63" s="31"/>
      <c r="CB63" s="32"/>
      <c r="CC63" s="90"/>
      <c r="CD63" s="88"/>
      <c r="CE63" s="88"/>
      <c r="CF63" s="111"/>
      <c r="CG63" s="112"/>
      <c r="CH63" s="113"/>
      <c r="CI63" s="112"/>
      <c r="CJ63" s="31"/>
      <c r="CK63" s="32"/>
      <c r="CL63" s="90"/>
      <c r="CM63" s="88"/>
      <c r="CN63" s="88"/>
      <c r="CO63" s="111"/>
      <c r="CP63" s="112"/>
      <c r="CQ63" s="113"/>
      <c r="CR63" s="112"/>
      <c r="CS63" s="55"/>
      <c r="CV63" s="48" t="s">
        <v>1589</v>
      </c>
      <c r="CW63" s="48" t="s">
        <v>541</v>
      </c>
    </row>
    <row r="64" spans="1:101" ht="26" x14ac:dyDescent="0.25">
      <c r="A64" s="17" t="s">
        <v>1826</v>
      </c>
      <c r="B64" s="17" t="s">
        <v>1667</v>
      </c>
      <c r="C64" s="17" t="s">
        <v>1668</v>
      </c>
      <c r="D64" s="17" t="b">
        <f t="shared" si="6"/>
        <v>1</v>
      </c>
      <c r="E64" s="161" t="s">
        <v>1826</v>
      </c>
      <c r="F64" s="246" t="s">
        <v>1665</v>
      </c>
      <c r="G64" s="210" t="s">
        <v>1667</v>
      </c>
      <c r="H64" s="211" t="s">
        <v>1668</v>
      </c>
      <c r="I64" s="31"/>
      <c r="J64" s="32" t="s">
        <v>354</v>
      </c>
      <c r="K64" s="166" t="s">
        <v>31</v>
      </c>
      <c r="L64" s="111" t="s">
        <v>2470</v>
      </c>
      <c r="M64" s="112"/>
      <c r="N64" s="113"/>
      <c r="O64" s="112"/>
      <c r="P64" s="31"/>
      <c r="Q64" s="32"/>
      <c r="R64" s="166"/>
      <c r="S64" s="88" t="str">
        <f t="shared" si="0"/>
        <v>NA</v>
      </c>
      <c r="T64" s="88" t="str">
        <f t="shared" si="1"/>
        <v>YES</v>
      </c>
      <c r="U64" s="111"/>
      <c r="V64" s="112"/>
      <c r="W64" s="113"/>
      <c r="X64" s="112"/>
      <c r="Y64" s="31"/>
      <c r="Z64" s="32"/>
      <c r="AA64" s="90"/>
      <c r="AB64" s="124" t="str">
        <f t="shared" si="7"/>
        <v>NA</v>
      </c>
      <c r="AC64" s="88" t="str">
        <f t="shared" si="8"/>
        <v>NA</v>
      </c>
      <c r="AD64" s="111"/>
      <c r="AE64" s="112"/>
      <c r="AF64" s="113"/>
      <c r="AG64" s="112"/>
      <c r="AH64" s="31"/>
      <c r="AI64" s="32"/>
      <c r="AJ64" s="166"/>
      <c r="AK64" s="124" t="str">
        <f t="shared" si="4"/>
        <v>NA</v>
      </c>
      <c r="AL64" s="88" t="str">
        <f t="shared" si="5"/>
        <v>NA</v>
      </c>
      <c r="AM64" s="111"/>
      <c r="AN64" s="112"/>
      <c r="AO64" s="113"/>
      <c r="AP64" s="112"/>
      <c r="AQ64" s="31"/>
      <c r="AR64" s="32"/>
      <c r="AS64" s="90"/>
      <c r="AT64" s="88"/>
      <c r="AU64" s="88"/>
      <c r="AV64" s="111"/>
      <c r="AW64" s="112"/>
      <c r="AX64" s="113"/>
      <c r="AY64" s="112"/>
      <c r="AZ64" s="31"/>
      <c r="BA64" s="32"/>
      <c r="BB64" s="90"/>
      <c r="BC64" s="88"/>
      <c r="BD64" s="88"/>
      <c r="BE64" s="111"/>
      <c r="BF64" s="112"/>
      <c r="BG64" s="113"/>
      <c r="BH64" s="112"/>
      <c r="BI64" s="31"/>
      <c r="BJ64" s="32"/>
      <c r="BK64" s="90"/>
      <c r="BL64" s="88"/>
      <c r="BM64" s="88"/>
      <c r="BN64" s="111"/>
      <c r="BO64" s="112"/>
      <c r="BP64" s="113"/>
      <c r="BQ64" s="112"/>
      <c r="BR64" s="31"/>
      <c r="BS64" s="32"/>
      <c r="BT64" s="90"/>
      <c r="BU64" s="88"/>
      <c r="BV64" s="88"/>
      <c r="BW64" s="111"/>
      <c r="BX64" s="112"/>
      <c r="BY64" s="113"/>
      <c r="BZ64" s="112"/>
      <c r="CA64" s="31"/>
      <c r="CB64" s="32"/>
      <c r="CC64" s="90"/>
      <c r="CD64" s="88"/>
      <c r="CE64" s="88"/>
      <c r="CF64" s="111"/>
      <c r="CG64" s="112"/>
      <c r="CH64" s="113"/>
      <c r="CI64" s="112"/>
      <c r="CJ64" s="31"/>
      <c r="CK64" s="32"/>
      <c r="CL64" s="90"/>
      <c r="CM64" s="88"/>
      <c r="CN64" s="88"/>
      <c r="CO64" s="111"/>
      <c r="CP64" s="112"/>
      <c r="CQ64" s="113"/>
      <c r="CR64" s="112"/>
      <c r="CS64" s="55"/>
      <c r="CV64" s="48" t="s">
        <v>1589</v>
      </c>
      <c r="CW64" s="48" t="s">
        <v>541</v>
      </c>
    </row>
    <row r="65" spans="1:101" ht="26" x14ac:dyDescent="0.25">
      <c r="A65" s="17" t="s">
        <v>1827</v>
      </c>
      <c r="B65" s="17" t="s">
        <v>1669</v>
      </c>
      <c r="C65" s="17" t="s">
        <v>1670</v>
      </c>
      <c r="D65" s="17" t="b">
        <f t="shared" si="6"/>
        <v>1</v>
      </c>
      <c r="E65" s="161" t="s">
        <v>1827</v>
      </c>
      <c r="F65" s="246" t="s">
        <v>1666</v>
      </c>
      <c r="G65" s="210" t="s">
        <v>1669</v>
      </c>
      <c r="H65" s="211" t="s">
        <v>1670</v>
      </c>
      <c r="I65" s="31"/>
      <c r="J65" s="32" t="s">
        <v>354</v>
      </c>
      <c r="K65" s="166" t="s">
        <v>31</v>
      </c>
      <c r="L65" s="111" t="s">
        <v>2470</v>
      </c>
      <c r="M65" s="112"/>
      <c r="N65" s="113"/>
      <c r="O65" s="112"/>
      <c r="P65" s="31"/>
      <c r="Q65" s="32"/>
      <c r="R65" s="166"/>
      <c r="S65" s="88" t="str">
        <f t="shared" si="0"/>
        <v>NA</v>
      </c>
      <c r="T65" s="88" t="str">
        <f t="shared" si="1"/>
        <v>YES</v>
      </c>
      <c r="U65" s="111"/>
      <c r="V65" s="112"/>
      <c r="W65" s="113"/>
      <c r="X65" s="112"/>
      <c r="Y65" s="31"/>
      <c r="Z65" s="32"/>
      <c r="AA65" s="90"/>
      <c r="AB65" s="124" t="str">
        <f t="shared" si="7"/>
        <v>NA</v>
      </c>
      <c r="AC65" s="88" t="str">
        <f t="shared" si="8"/>
        <v>NA</v>
      </c>
      <c r="AD65" s="111"/>
      <c r="AE65" s="112"/>
      <c r="AF65" s="113"/>
      <c r="AG65" s="112"/>
      <c r="AH65" s="31"/>
      <c r="AI65" s="32"/>
      <c r="AJ65" s="166"/>
      <c r="AK65" s="124" t="str">
        <f t="shared" si="4"/>
        <v>NA</v>
      </c>
      <c r="AL65" s="88" t="str">
        <f t="shared" si="5"/>
        <v>NA</v>
      </c>
      <c r="AM65" s="111"/>
      <c r="AN65" s="112"/>
      <c r="AO65" s="113"/>
      <c r="AP65" s="112"/>
      <c r="AQ65" s="31"/>
      <c r="AR65" s="32"/>
      <c r="AS65" s="90"/>
      <c r="AT65" s="88"/>
      <c r="AU65" s="88"/>
      <c r="AV65" s="111"/>
      <c r="AW65" s="112"/>
      <c r="AX65" s="113"/>
      <c r="AY65" s="112"/>
      <c r="AZ65" s="31"/>
      <c r="BA65" s="32"/>
      <c r="BB65" s="90"/>
      <c r="BC65" s="88"/>
      <c r="BD65" s="88"/>
      <c r="BE65" s="111"/>
      <c r="BF65" s="112"/>
      <c r="BG65" s="113"/>
      <c r="BH65" s="112"/>
      <c r="BI65" s="31"/>
      <c r="BJ65" s="32"/>
      <c r="BK65" s="90"/>
      <c r="BL65" s="88"/>
      <c r="BM65" s="88"/>
      <c r="BN65" s="111"/>
      <c r="BO65" s="112"/>
      <c r="BP65" s="113"/>
      <c r="BQ65" s="112"/>
      <c r="BR65" s="31"/>
      <c r="BS65" s="32"/>
      <c r="BT65" s="90"/>
      <c r="BU65" s="88"/>
      <c r="BV65" s="88"/>
      <c r="BW65" s="111"/>
      <c r="BX65" s="112"/>
      <c r="BY65" s="113"/>
      <c r="BZ65" s="112"/>
      <c r="CA65" s="31"/>
      <c r="CB65" s="32"/>
      <c r="CC65" s="90"/>
      <c r="CD65" s="88"/>
      <c r="CE65" s="88"/>
      <c r="CF65" s="111"/>
      <c r="CG65" s="112"/>
      <c r="CH65" s="113"/>
      <c r="CI65" s="112"/>
      <c r="CJ65" s="31"/>
      <c r="CK65" s="32"/>
      <c r="CL65" s="90"/>
      <c r="CM65" s="88"/>
      <c r="CN65" s="88"/>
      <c r="CO65" s="111"/>
      <c r="CP65" s="112"/>
      <c r="CQ65" s="113"/>
      <c r="CR65" s="112"/>
      <c r="CS65" s="55"/>
      <c r="CV65" s="48" t="s">
        <v>1589</v>
      </c>
      <c r="CW65" s="48" t="s">
        <v>541</v>
      </c>
    </row>
    <row r="66" spans="1:101" ht="13" x14ac:dyDescent="0.25">
      <c r="E66" s="119"/>
      <c r="F66" s="119"/>
      <c r="G66" s="120"/>
      <c r="H66" s="122"/>
      <c r="I66" s="31"/>
      <c r="J66" s="127"/>
      <c r="K66" s="90"/>
      <c r="L66" s="111"/>
      <c r="M66" s="112"/>
      <c r="N66" s="113"/>
      <c r="O66" s="112"/>
      <c r="P66" s="31"/>
      <c r="Q66" s="32"/>
      <c r="R66" s="90"/>
      <c r="S66" s="88"/>
      <c r="T66" s="88"/>
      <c r="U66" s="111"/>
      <c r="V66" s="112"/>
      <c r="W66" s="113"/>
      <c r="X66" s="112"/>
      <c r="Y66" s="31"/>
      <c r="Z66" s="235"/>
      <c r="AA66" s="90"/>
      <c r="AB66" s="124"/>
      <c r="AC66" s="88"/>
      <c r="AD66" s="111"/>
      <c r="AE66" s="112"/>
      <c r="AF66" s="113"/>
      <c r="AG66" s="112"/>
      <c r="AH66" s="31"/>
      <c r="AI66" s="32"/>
      <c r="AJ66" s="90"/>
      <c r="AK66" s="88"/>
      <c r="AL66" s="88"/>
      <c r="AM66" s="111"/>
      <c r="AN66" s="112"/>
      <c r="AO66" s="113"/>
      <c r="AP66" s="112"/>
      <c r="AQ66" s="31"/>
      <c r="AR66" s="32"/>
      <c r="AS66" s="90"/>
      <c r="AT66" s="88" t="str">
        <f>IF(LEFT(AS66,1)&lt;&gt;"x","NA",IF(RIGHT(AR66,3)=RIGHT(AI66,3),IF(RIGHT(AR66,3)&lt;&gt;RIGHT(J66,3),IF(OR(AND(RIGHT(AR66,3)=RIGHT(AI66,3),AS66=AJ66),AND(RIGHT(AR66,3)=RIGHT(#REF!,3),AS66=AA66),AND(RIGHT(AR66,3)=RIGHT(Q66,3),AS66=R66),AND(RIGHT(AR66,3)=RIGHT(J66,3),AS66=K66)),"NO","YES"),"NO"),IF(OR(RIGHT(AR66,3)=RIGHT(AI66,3),RIGHT(AR66,3)=RIGHT(#REF!,3),RIGHT(AR66,3)=RIGHT(Q66,3),RIGHT(AR66,3)=RIGHT(J66,3)),"ERROR","YES")))</f>
        <v>NA</v>
      </c>
      <c r="AU66" s="88" t="str">
        <f>IF(LEFT(AJ66,1)&lt;&gt;LEFT(AS66,1),"YES",IF(LEFT(AS66,1)="x","NO","NA"))</f>
        <v>NA</v>
      </c>
      <c r="AV66" s="111"/>
      <c r="AW66" s="112"/>
      <c r="AX66" s="113"/>
      <c r="AY66" s="112"/>
      <c r="AZ66" s="31"/>
      <c r="BA66" s="32"/>
      <c r="BB66" s="90"/>
      <c r="BC66" s="88" t="str">
        <f>IF(LEFT(BB66,1)&lt;&gt;"x","NA",IF(RIGHT(BA66,3)=RIGHT(AR66,3),IF(RIGHT(BA66,3)&lt;&gt;RIGHT(J66,3),IF(OR(AND(RIGHT(BA66,3)=RIGHT(AR66,3),BB66=AS66),AND(RIGHT(BA66,3)=RIGHT(AI66,3),BB66=AJ66),AND(RIGHT(BA66,3)=RIGHT(#REF!,3),BB66=AA66),AND(RIGHT(BA66,3)=RIGHT(Q66,3),BB66=R66),AND(RIGHT(BA66,3)=RIGHT(J66,3),BB66=K66)),"NO","YES"),"NO"),IF(OR(RIGHT(BB66,3)=RIGHT(AR66,3),RIGHT(BB66,3)=RIGHT(AI66,3),RIGHT(BB66,3)=RIGHT(#REF!,3),RIGHT(BB66,3)=RIGHT(Q66,3),RIGHT(BB66,3)=RIGHT(J66,3)),"ERROR","YES")))</f>
        <v>NA</v>
      </c>
      <c r="BD66" s="88" t="str">
        <f>IF(LEFT(AS66,1)&lt;&gt;LEFT(BB66,1),"YES",IF(LEFT(BB66,1)="x","NO","NA"))</f>
        <v>NA</v>
      </c>
      <c r="BE66" s="111"/>
      <c r="BF66" s="112"/>
      <c r="BG66" s="113"/>
      <c r="BH66" s="112"/>
      <c r="BI66" s="31"/>
      <c r="BJ66" s="32"/>
      <c r="BK66" s="90"/>
      <c r="BL66" s="88" t="str">
        <f>IF(LEFT(BK66,1)&lt;&gt;"x","NA",IF(RIGHT(BJ66,3)=RIGHT(BA66,3),IF(RIGHT(BJ66,3)&lt;&gt;RIGHT(J66,3),IF(OR(AND(RIGHT(BJ66,3)=RIGHT(BA66,3),BK66=BB66),AND(RIGHT(BJ66,3)=RIGHT(AR66,3),BK66=AS66),AND(RIGHT(BJ66,3)=RIGHT(AI66,3),BK66=AJ66),AND(RIGHT(BJ66,3)=RIGHT(#REF!,3),BK66=AA66),AND(RIGHT(BJ66,3)=RIGHT(Q66,3),BK66=R66),AND(RIGHT(BJ66,3)=RIGHT(J66,3),BK66=K66)),"NO","YES"),"NO"),IF(OR(RIGHT(BJ66,3)=RIGHT(BA66,3),RIGHT(BJ66,3)=RIGHT(AR66,3),RIGHT(BJ66,3)=RIGHT(AI66,3),RIGHT(BJ66,3)=RIGHT(#REF!,3),RIGHT(BJ66,3)=RIGHT(Q66,3),RIGHT(BJ66,3)=RIGHT(J66,3)),"ERROR","YES")))</f>
        <v>NA</v>
      </c>
      <c r="BM66" s="88" t="str">
        <f>IF(LEFT(BB66,1)&lt;&gt;LEFT(BK66,1),"YES",IF(LEFT(BK66,1)="x","NO","NA"))</f>
        <v>NA</v>
      </c>
      <c r="BN66" s="111"/>
      <c r="BO66" s="112"/>
      <c r="BP66" s="113"/>
      <c r="BQ66" s="112"/>
      <c r="BR66" s="31"/>
      <c r="BS66" s="32"/>
      <c r="BT66" s="90"/>
      <c r="BU66" s="88" t="str">
        <f>IF(LEFT(BT66,1)&lt;&gt;"x","NA",IF(RIGHT(BS66,3)=RIGHT(BJ66,3),IF(RIGHT(BS66,3)&lt;&gt;RIGHT(J66,3),IF(OR(AND(RIGHT(BS66,3)=RIGHT(BJ66,3),BT66=BK66),AND(RIGHT(BS66,3)=RIGHT(BA66,3),BT66=BB66),AND(RIGHT(BS66,3)=RIGHT(AR66,3),BT66=AS66),AND(RIGHT(BS66,3)=RIGHT(AI66,3),BT66=AJ66),AND(RIGHT(BS66,3)=RIGHT(#REF!,3),BT66=AA66),AND(RIGHT(BS66,3)=RIGHT(Q66,3),BT66=R66),AND(RIGHT(BS66,3)=RIGHT(J66,3),BT66=K66)),"NO","YES"),"NO"),IF(OR(RIGHT(BS66,3)=RIGHT(BJ66,3),RIGHT(BS66,3)=RIGHT(BA66,3),RIGHT(BS66,3)=RIGHT(AR66,3),RIGHT(BS66,3)=RIGHT(AI66,3),RIGHT(BS66,3)=RIGHT(#REF!,3),RIGHT(BS66,3)=RIGHT(Q66,3),RIGHT(BS66,3)=RIGHT(J66,3)),"ERROR","YES")))</f>
        <v>NA</v>
      </c>
      <c r="BV66" s="88" t="str">
        <f>IF(LEFT(BK66,1)&lt;&gt;LEFT(BT66,1),"YES",IF(LEFT(BT66,1)="x","NO","NA"))</f>
        <v>NA</v>
      </c>
      <c r="BW66" s="111"/>
      <c r="BX66" s="112"/>
      <c r="BY66" s="113"/>
      <c r="BZ66" s="112"/>
      <c r="CA66" s="31"/>
      <c r="CB66" s="32"/>
      <c r="CC66" s="90"/>
      <c r="CD66" s="88" t="str">
        <f>IF(LEFT(CC66,1)&lt;&gt;"x","NA",IF(RIGHT(CB66,3)=RIGHT(BS66,3),IF(RIGHT(CB66,3)&lt;&gt;RIGHT(J66,3),IF(OR(AND(RIGHT(CB66,3)=RIGHT(BS66,3),CC66=BT66),AND(RIGHT(CB66,3)=RIGHT(BJ66,3),CC66=BK66),AND(RIGHT(CB66,3)=RIGHT(BA66,3),CC66=BB66),AND(RIGHT(CB66,3)=RIGHT(AR66,3),CC66=AS66),AND(RIGHT(CB66,3)=RIGHT(AI66,3),CC66=AJ66),AND(RIGHT(CB66,3)=RIGHT(#REF!,3),CC66=AA66),AND(RIGHT(CB66,3)=RIGHT(Q66,3),CC66=R66),AND(RIGHT(CB66,3)=RIGHT(J66,3),CC66=K66)),"NO","YES"),"NO"),IF(OR(RIGHT(CB66,3)=RIGHT(BS66,3),RIGHT(CB66,3)=RIGHT(BJ66,3),RIGHT(CB66,3)=RIGHT(BA66,3),RIGHT(CB66,3)=RIGHT(AR66,3),RIGHT(CB66,3)=RIGHT(AI66,3),RIGHT(CB66,3)=RIGHT(#REF!,3),RIGHT(CB66,3)=RIGHT(Q66,3),RIGHT(CB66,3)=RIGHT(J66,3)),"ERROR","YES")))</f>
        <v>NA</v>
      </c>
      <c r="CE66" s="88" t="str">
        <f>IF(LEFT(BT66,1)&lt;&gt;LEFT(CC66,1),"YES",IF(LEFT(CC66,1)="x","NO","NA"))</f>
        <v>NA</v>
      </c>
      <c r="CF66" s="111"/>
      <c r="CG66" s="112"/>
      <c r="CH66" s="113"/>
      <c r="CI66" s="112"/>
      <c r="CJ66" s="31"/>
      <c r="CK66" s="32"/>
      <c r="CL66" s="90"/>
      <c r="CM66" s="88" t="str">
        <f>IF(LEFT(CL66,1)&lt;&gt;"x","NA",IF(RIGHT(CK66,3)=RIGHT(CB66,3),IF(RIGHT(CK66,3)&lt;&gt;RIGHT(J66,3),IF(OR(AND(RIGHT(CK66,3)=RIGHT(CB66,3),CL66=CC66),AND(RIGHT(CK66,3)=RIGHT(BS66,3),CL66=BT66),AND(RIGHT(CK66,3)=RIGHT(BJ66,3),CL66=BK66),AND(RIGHT(CK66,3)=RIGHT(BA66,3),CL66=BB66),AND(RIGHT(CK66,3)=RIGHT(AR66,3),CL66=AS66),AND(RIGHT(CK66,3)=RIGHT(AI66,3),CL66=AJ66),AND(RIGHT(CK66,3)=RIGHT(#REF!,3),CL66=AA66),AND(RIGHT(CK66,3)=RIGHT(Q66,3),CL66=R66),AND(RIGHT(CK66,3)=RIGHT(J66,3),CL66=K66)),"NO","YES"),"NO"),IF(OR(RIGHT(CK66,3)=RIGHT(BS66,3),RIGHT(CK66,3)=RIGHT(BJ66,3),RIGHT(CK66,3)=RIGHT(BA66,3),RIGHT(CK66,3)=RIGHT(AR66,3),RIGHT(CK66,3)=RIGHT(AI66,3),RIGHT(CK66,3)=RIGHT(#REF!,3),RIGHT(CK66,3)=RIGHT(Q66,3),RIGHT(CK66,3)=RIGHT(J66,3)),"ERROR","YES")))</f>
        <v>NA</v>
      </c>
      <c r="CN66" s="88" t="str">
        <f>IF(LEFT(CC66,1)&lt;&gt;LEFT(CL66,1),"YES",IF(LEFT(CL66,1)="x","NO","NA"))</f>
        <v>NA</v>
      </c>
      <c r="CO66" s="111"/>
      <c r="CP66" s="112"/>
      <c r="CQ66" s="113"/>
      <c r="CR66" s="112"/>
      <c r="CS66" s="55"/>
    </row>
    <row r="67" spans="1:101" ht="13" thickBot="1" x14ac:dyDescent="0.3">
      <c r="E67" s="125"/>
      <c r="F67" s="125"/>
      <c r="G67" s="125"/>
      <c r="H67" s="65"/>
      <c r="I67" s="42"/>
      <c r="J67" s="43"/>
      <c r="K67" s="41"/>
      <c r="L67" s="44"/>
      <c r="M67" s="45"/>
      <c r="N67" s="44"/>
      <c r="O67" s="46"/>
      <c r="P67" s="50"/>
      <c r="Q67" s="43"/>
      <c r="R67" s="41"/>
      <c r="S67" s="47"/>
      <c r="T67" s="47"/>
      <c r="U67" s="44"/>
      <c r="V67" s="45"/>
      <c r="W67" s="44"/>
      <c r="X67" s="46"/>
      <c r="Y67" s="123"/>
      <c r="Z67" s="43"/>
      <c r="AA67" s="117"/>
      <c r="AB67" s="47"/>
      <c r="AC67" s="47"/>
      <c r="AD67" s="44"/>
      <c r="AE67" s="45"/>
      <c r="AF67" s="44"/>
      <c r="AG67" s="46"/>
      <c r="AH67" s="50"/>
      <c r="AI67" s="43"/>
      <c r="AJ67" s="41"/>
      <c r="AK67" s="47"/>
      <c r="AL67" s="47"/>
      <c r="AM67" s="44"/>
      <c r="AN67" s="45"/>
      <c r="AO67" s="44"/>
      <c r="AP67" s="46"/>
      <c r="AQ67" s="50"/>
      <c r="AR67" s="43"/>
      <c r="AS67" s="41"/>
      <c r="AT67" s="47"/>
      <c r="AU67" s="47"/>
      <c r="AV67" s="44"/>
      <c r="AW67" s="45"/>
      <c r="AX67" s="44"/>
      <c r="AY67" s="46"/>
      <c r="AZ67" s="50"/>
      <c r="BA67" s="43"/>
      <c r="BB67" s="41"/>
      <c r="BC67" s="47"/>
      <c r="BD67" s="47"/>
      <c r="BE67" s="44"/>
      <c r="BF67" s="45"/>
      <c r="BG67" s="44"/>
      <c r="BH67" s="46"/>
      <c r="BI67" s="50"/>
      <c r="BJ67" s="43"/>
      <c r="BK67" s="41"/>
      <c r="BL67" s="47"/>
      <c r="BM67" s="47"/>
      <c r="BN67" s="44"/>
      <c r="BO67" s="45"/>
      <c r="BP67" s="44"/>
      <c r="BQ67" s="46"/>
      <c r="BR67" s="50"/>
      <c r="BS67" s="43"/>
      <c r="BT67" s="41"/>
      <c r="BU67" s="47"/>
      <c r="BV67" s="47"/>
      <c r="BW67" s="44"/>
      <c r="BX67" s="45"/>
      <c r="BY67" s="44"/>
      <c r="BZ67" s="46"/>
      <c r="CA67" s="50"/>
      <c r="CB67" s="43"/>
      <c r="CC67" s="41"/>
      <c r="CD67" s="47"/>
      <c r="CE67" s="47"/>
      <c r="CF67" s="44"/>
      <c r="CG67" s="45"/>
      <c r="CH67" s="44"/>
      <c r="CI67" s="46"/>
      <c r="CJ67" s="50"/>
      <c r="CK67" s="43"/>
      <c r="CL67" s="41"/>
      <c r="CM67" s="47"/>
      <c r="CN67" s="47"/>
      <c r="CO67" s="44"/>
      <c r="CP67" s="45"/>
      <c r="CQ67" s="44"/>
      <c r="CR67" s="46"/>
      <c r="CS67" s="56"/>
    </row>
  </sheetData>
  <sheetProtection password="CA6F" sheet="1" objects="1" scenarios="1"/>
  <autoFilter ref="A8:CX65">
    <filterColumn colId="10">
      <customFilters>
        <customFilter operator="notEqual" val=" "/>
      </customFilters>
    </filterColumn>
  </autoFilter>
  <mergeCells count="81">
    <mergeCell ref="CB7:CC7"/>
    <mergeCell ref="CK7:CL7"/>
    <mergeCell ref="CB6:CC6"/>
    <mergeCell ref="CK6:CL6"/>
    <mergeCell ref="J7:K7"/>
    <mergeCell ref="Q7:R7"/>
    <mergeCell ref="Z7:AA7"/>
    <mergeCell ref="AI7:AJ7"/>
    <mergeCell ref="AR7:AS7"/>
    <mergeCell ref="BA7:BB7"/>
    <mergeCell ref="BJ7:BK7"/>
    <mergeCell ref="BS7:BT7"/>
    <mergeCell ref="AK2:AL7"/>
    <mergeCell ref="BE2:BH2"/>
    <mergeCell ref="BJ2:BK5"/>
    <mergeCell ref="BL2:BM7"/>
    <mergeCell ref="CO3:CP3"/>
    <mergeCell ref="CQ3:CR3"/>
    <mergeCell ref="J6:K6"/>
    <mergeCell ref="Q6:R6"/>
    <mergeCell ref="Z6:AA6"/>
    <mergeCell ref="AI6:AJ6"/>
    <mergeCell ref="AR6:AS6"/>
    <mergeCell ref="BA6:BB6"/>
    <mergeCell ref="BJ6:BK6"/>
    <mergeCell ref="BS6:BT6"/>
    <mergeCell ref="BW3:BX3"/>
    <mergeCell ref="BY3:BZ3"/>
    <mergeCell ref="CF3:CG3"/>
    <mergeCell ref="CH3:CI3"/>
    <mergeCell ref="BU2:BV7"/>
    <mergeCell ref="AM2:AP2"/>
    <mergeCell ref="CO2:CR2"/>
    <mergeCell ref="L3:M3"/>
    <mergeCell ref="N3:O3"/>
    <mergeCell ref="U3:V3"/>
    <mergeCell ref="W3:X3"/>
    <mergeCell ref="AD3:AE3"/>
    <mergeCell ref="AF3:AG3"/>
    <mergeCell ref="AM3:AN3"/>
    <mergeCell ref="AO3:AP3"/>
    <mergeCell ref="AV3:AW3"/>
    <mergeCell ref="BW2:BZ2"/>
    <mergeCell ref="CB2:CC5"/>
    <mergeCell ref="CD2:CE7"/>
    <mergeCell ref="CF2:CI2"/>
    <mergeCell ref="CK2:CL5"/>
    <mergeCell ref="CM2:CN7"/>
    <mergeCell ref="BN2:BQ2"/>
    <mergeCell ref="BS2:BT5"/>
    <mergeCell ref="BE3:BF3"/>
    <mergeCell ref="BG3:BH3"/>
    <mergeCell ref="BN3:BO3"/>
    <mergeCell ref="BP3:BQ3"/>
    <mergeCell ref="AR2:AS5"/>
    <mergeCell ref="AT2:AU7"/>
    <mergeCell ref="AV2:AY2"/>
    <mergeCell ref="BA2:BB5"/>
    <mergeCell ref="BC2:BD7"/>
    <mergeCell ref="AX3:AY3"/>
    <mergeCell ref="U2:X2"/>
    <mergeCell ref="Z2:AA5"/>
    <mergeCell ref="AB2:AC7"/>
    <mergeCell ref="AD2:AG2"/>
    <mergeCell ref="AI2:AJ5"/>
    <mergeCell ref="BA1:BH1"/>
    <mergeCell ref="BJ1:BQ1"/>
    <mergeCell ref="BS1:BZ1"/>
    <mergeCell ref="CB1:CI1"/>
    <mergeCell ref="CK1:CR1"/>
    <mergeCell ref="E2:H7"/>
    <mergeCell ref="J2:K5"/>
    <mergeCell ref="L2:O2"/>
    <mergeCell ref="Q2:R5"/>
    <mergeCell ref="S2:T7"/>
    <mergeCell ref="AR1:AY1"/>
    <mergeCell ref="E1:H1"/>
    <mergeCell ref="J1:O1"/>
    <mergeCell ref="Q1:X1"/>
    <mergeCell ref="Z1:AG1"/>
    <mergeCell ref="AI1:AP1"/>
  </mergeCells>
  <phoneticPr fontId="54" type="noConversion"/>
  <conditionalFormatting sqref="CQ67:CQ1048576 CO67:CO1048576 CH67:CH1048576 CF67:CF1048576 BY67:BY1048576 BW67:BW1048576 BP67:BP1048576 BN67:BN1048576 BG67:BG1048576 BE67:BE1048576 AX67:AX1048576 AV67:AV1048576 AO67:AO1048576 AM67:AM1048576 AF67:AF1048576 AD67:AD1048576 W67:W1048576 U67:U1048576 N67:N1048576 L67:L1048576 L9:L62 N9:N62 U9:U62 W9:W62 AD9:AD62 AF9:AF62 AV9:AV62 AX9:AX62 BE9:BE62 BG9:BG62 BN9:BN62 BP9:BP62 BW9:BW62 BY9:BY62 CF9:CF62 CH9:CH62 CO9:CO62 CQ9:CQ62 AM9:AM62 AO9:AO62">
    <cfRule type="cellIs" dxfId="150" priority="109" operator="equal">
      <formula>"NOK"</formula>
    </cfRule>
    <cfRule type="cellIs" dxfId="149" priority="110" operator="equal">
      <formula>"OK"</formula>
    </cfRule>
  </conditionalFormatting>
  <conditionalFormatting sqref="CQ67:CQ1048576 CH67:CH1048576 BY67:BY1048576 BP67:BP1048576 BG67:BG1048576 AX67:AX1048576 AO67:AO1048576 AF67:AF1048576 W67:W1048576 N67:N1048576 N9:N62 W9:W62 AF9:AF62 AX9:AX62 BG9:BG62 BP9:BP62 BY9:BY62 CH9:CH62 CQ9:CQ62 AO9:AO62">
    <cfRule type="cellIs" dxfId="148" priority="107" operator="equal">
      <formula>"STANDBY"</formula>
    </cfRule>
    <cfRule type="cellIs" dxfId="147" priority="108" operator="equal">
      <formula>"DEVIATION"</formula>
    </cfRule>
  </conditionalFormatting>
  <conditionalFormatting sqref="CO67:CR1048576 CF67:CI1048576 BW67:BZ1048576 BN67:BQ1048576 BE67:BH1048576 AV67:AY1048576 AM67:AP1048576 AD67:AG1048576 U67:X1048576 L67:O1048576 L11:O62 U11:X62 AD11:AG62 AV11:AY62 BE11:BH62 BN11:BQ62 BW11:BZ62 CF11:CI62 CO11:CR62 AM11:AP62">
    <cfRule type="expression" dxfId="146" priority="111">
      <formula>AND(#REF!&lt;&gt;"",#REF!="")</formula>
    </cfRule>
  </conditionalFormatting>
  <conditionalFormatting sqref="CQ66 CO66 CH66 CF66 BY66 BW66 BP66 BN66 BG66 BE66 AX66 AV66 AO66 AM66 AF66 AD66 W66 U66 N66 L66">
    <cfRule type="cellIs" dxfId="145" priority="104" operator="equal">
      <formula>"NOK"</formula>
    </cfRule>
    <cfRule type="cellIs" dxfId="144" priority="105" operator="equal">
      <formula>"OK"</formula>
    </cfRule>
  </conditionalFormatting>
  <conditionalFormatting sqref="CQ66 CH66 BY66 BP66 BG66 AX66 AO66 AF66 W66 N66">
    <cfRule type="cellIs" dxfId="143" priority="102" operator="equal">
      <formula>"STANDBY"</formula>
    </cfRule>
    <cfRule type="cellIs" dxfId="142" priority="103" operator="equal">
      <formula>"DEVIATION"</formula>
    </cfRule>
  </conditionalFormatting>
  <conditionalFormatting sqref="CO66:CR66 CF66:CI66 BW66:BZ66 BN66:BQ66 BE66:BH66 AV66:AY66 AM66:AP66 AD66:AG66 U66:X66 L66:O66">
    <cfRule type="expression" dxfId="141" priority="106">
      <formula>AND(#REF!&lt;&gt;"",#REF!="")</formula>
    </cfRule>
  </conditionalFormatting>
  <conditionalFormatting sqref="CK66:CR66 CB66:CI66 BS66:BZ66 BJ66:BQ66 BA66:BH66 AR66:AY66 AI66:AP66 K66:O66 Q66:X66 E66 E11:H16 H61:H62 G66 S11:X30 S35:X55 AM11:AP30 AI9:AI30 AI60:AI65 AK10:AL30 AK60:AP65 E44:G55 H36:H55 Q9:Q30 R50:R55 R60:X62 AA11:AA34 AD11:AG34 Z10:Z34 AB10:AC34 E19:H34 Q31:X34 Q60:Q65 E60:G63 Z35:AG66 E56:H59 L11:O62 Q56:X59 AR11:AY62 BA11:BH62 BJ11:BQ62 BS11:BZ62 CB11:CI62 CK11:CR62 AI31:AP59 Q35:Q55 J9:J30 K50:K55 K60:K62 J31:K34 J60:J65 J56:K59 J35:J55">
    <cfRule type="containsBlanks" dxfId="140" priority="101">
      <formula>LEN(TRIM(E9))=0</formula>
    </cfRule>
  </conditionalFormatting>
  <conditionalFormatting sqref="CM66:CN66 CD66:CE66 BU66:BV66 BL66:BM66 BC66:BD66 AT66:AU66 S66:T66 S11:T62 AT11:AU62 BC11:BD62 BL11:BM62 BU11:BV62 CD11:CE62 CM11:CN62 AB9:AC66 AK9:AL66">
    <cfRule type="cellIs" dxfId="139" priority="98" operator="equal">
      <formula>"ERROR"</formula>
    </cfRule>
    <cfRule type="cellIs" dxfId="138" priority="99" operator="equal">
      <formula>"NA"</formula>
    </cfRule>
    <cfRule type="cellIs" dxfId="137" priority="100" operator="equal">
      <formula>"YES"</formula>
    </cfRule>
  </conditionalFormatting>
  <conditionalFormatting sqref="J66">
    <cfRule type="containsBlanks" dxfId="136" priority="97">
      <formula>LEN(TRIM(J66))=0</formula>
    </cfRule>
  </conditionalFormatting>
  <conditionalFormatting sqref="H66">
    <cfRule type="containsBlanks" dxfId="135" priority="96">
      <formula>LEN(TRIM(H66))=0</formula>
    </cfRule>
  </conditionalFormatting>
  <conditionalFormatting sqref="CQ63:CQ65 CO63:CO65 CH63:CH65 CF63:CF65 BY63:BY65 BW63:BW65 BP63:BP65 BN63:BN65 BG63:BG65 BE63:BE65 AX63:AX65 AV63:AV65 AF63:AF65 AD63:AD65 W63:W65 U63:U65 N63:N65 L63:L65 AO63:AO65 AM63:AM65">
    <cfRule type="cellIs" dxfId="134" priority="93" operator="equal">
      <formula>"NOK"</formula>
    </cfRule>
    <cfRule type="cellIs" dxfId="133" priority="94" operator="equal">
      <formula>"OK"</formula>
    </cfRule>
  </conditionalFormatting>
  <conditionalFormatting sqref="CQ63:CQ65 CH63:CH65 BY63:BY65 BP63:BP65 BG63:BG65 AX63:AX65 AF63:AF65 W63:W65 N63:N65 AO63:AO65">
    <cfRule type="cellIs" dxfId="132" priority="91" operator="equal">
      <formula>"STANDBY"</formula>
    </cfRule>
    <cfRule type="cellIs" dxfId="131" priority="92" operator="equal">
      <formula>"DEVIATION"</formula>
    </cfRule>
  </conditionalFormatting>
  <conditionalFormatting sqref="CO63:CR65 CF63:CI65 BW63:BZ65 BN63:BQ65 BE63:BH65 AV63:AY65 AD63:AG65 U63:X65 L63:O65 AM63:AP65">
    <cfRule type="expression" dxfId="130" priority="95">
      <formula>AND(#REF!&lt;&gt;"",#REF!="")</formula>
    </cfRule>
  </conditionalFormatting>
  <conditionalFormatting sqref="CK63:CR65 CB63:CI65 BS63:BZ65 BJ63:BQ65 BA63:BH65 AR63:AY65 L63:O65 S63:X65">
    <cfRule type="containsBlanks" dxfId="129" priority="90">
      <formula>LEN(TRIM(L63))=0</formula>
    </cfRule>
  </conditionalFormatting>
  <conditionalFormatting sqref="CM63:CN65 CD63:CE65 BU63:BV65 BL63:BM65 BC63:BD65 AT63:AU65 S63:T65">
    <cfRule type="cellIs" dxfId="128" priority="87" operator="equal">
      <formula>"ERROR"</formula>
    </cfRule>
    <cfRule type="cellIs" dxfId="127" priority="88" operator="equal">
      <formula>"NA"</formula>
    </cfRule>
    <cfRule type="cellIs" dxfId="126" priority="89" operator="equal">
      <formula>"YES"</formula>
    </cfRule>
  </conditionalFormatting>
  <conditionalFormatting sqref="H63">
    <cfRule type="containsBlanks" dxfId="125" priority="86">
      <formula>LEN(TRIM(H63))=0</formula>
    </cfRule>
  </conditionalFormatting>
  <conditionalFormatting sqref="F66">
    <cfRule type="containsBlanks" dxfId="124" priority="81">
      <formula>LEN(TRIM(F66))=0</formula>
    </cfRule>
  </conditionalFormatting>
  <conditionalFormatting sqref="AR10:AY10 BA10:BH10 BJ10:BQ10 BS10:BZ10 CB10:CI10 CK10:CR10 L10:O10 S10:X10 AA10 AD10:AG10 AM10:AP10">
    <cfRule type="containsBlanks" dxfId="123" priority="80">
      <formula>LEN(TRIM(L10))=0</formula>
    </cfRule>
  </conditionalFormatting>
  <conditionalFormatting sqref="L10:O10 U10:X10 AD10:AG10 AV10:AY10 BE10:BH10 BN10:BQ10 BW10:BZ10 CF10:CI10 CO10:CR10 AM10:AP10">
    <cfRule type="expression" dxfId="122" priority="77">
      <formula>AND(#REF!&lt;&gt;"",#REF!="")</formula>
    </cfRule>
  </conditionalFormatting>
  <conditionalFormatting sqref="S10:T10 AT10:AU10 BC10:BD10 BL10:BM10 BU10:BV10 CD10:CE10 CM10:CN10">
    <cfRule type="cellIs" dxfId="121" priority="74" operator="equal">
      <formula>"ERROR"</formula>
    </cfRule>
    <cfRule type="cellIs" dxfId="120" priority="75" operator="equal">
      <formula>"NA"</formula>
    </cfRule>
    <cfRule type="cellIs" dxfId="119" priority="76" operator="equal">
      <formula>"YES"</formula>
    </cfRule>
  </conditionalFormatting>
  <conditionalFormatting sqref="AR9:AY9 BA9:BH9 BJ9:BQ9 BS9:BZ9 CB9:CI9 CK9:CR9 L9:O9 S9:X9 Z9:AG9 AK9:AP9">
    <cfRule type="containsBlanks" dxfId="118" priority="73">
      <formula>LEN(TRIM(L9))=0</formula>
    </cfRule>
  </conditionalFormatting>
  <conditionalFormatting sqref="L9:O9 U9:X9 AD9:AG9 AV9:AY9 BE9:BH9 BN9:BQ9 BW9:BZ9 CF9:CI9 CO9:CR9 AM9:AP9">
    <cfRule type="expression" dxfId="117" priority="70">
      <formula>AND(#REF!&lt;&gt;"",#REF!="")</formula>
    </cfRule>
  </conditionalFormatting>
  <conditionalFormatting sqref="S9:T9 AT9:AU9 BC9:BD9 BL9:BM9 BU9:BV9 CD9:CE9 CM9:CN9">
    <cfRule type="cellIs" dxfId="116" priority="67" operator="equal">
      <formula>"ERROR"</formula>
    </cfRule>
    <cfRule type="cellIs" dxfId="115" priority="68" operator="equal">
      <formula>"NA"</formula>
    </cfRule>
    <cfRule type="cellIs" dxfId="114" priority="69" operator="equal">
      <formula>"YES"</formula>
    </cfRule>
  </conditionalFormatting>
  <conditionalFormatting sqref="F9:F10">
    <cfRule type="containsBlanks" dxfId="113" priority="66">
      <formula>LEN(TRIM(F9))=0</formula>
    </cfRule>
  </conditionalFormatting>
  <conditionalFormatting sqref="E9:E10">
    <cfRule type="containsBlanks" dxfId="112" priority="65">
      <formula>LEN(TRIM(E9))=0</formula>
    </cfRule>
  </conditionalFormatting>
  <conditionalFormatting sqref="G9:H10">
    <cfRule type="containsBlanks" dxfId="111" priority="64">
      <formula>LEN(TRIM(G9))=0</formula>
    </cfRule>
  </conditionalFormatting>
  <conditionalFormatting sqref="F17">
    <cfRule type="containsBlanks" dxfId="110" priority="62">
      <formula>LEN(TRIM(F17))=0</formula>
    </cfRule>
  </conditionalFormatting>
  <conditionalFormatting sqref="E17">
    <cfRule type="containsBlanks" dxfId="109" priority="61">
      <formula>LEN(TRIM(E17))=0</formula>
    </cfRule>
  </conditionalFormatting>
  <conditionalFormatting sqref="F18">
    <cfRule type="containsBlanks" dxfId="108" priority="60">
      <formula>LEN(TRIM(F18))=0</formula>
    </cfRule>
  </conditionalFormatting>
  <conditionalFormatting sqref="E18">
    <cfRule type="containsBlanks" dxfId="107" priority="59">
      <formula>LEN(TRIM(E18))=0</formula>
    </cfRule>
  </conditionalFormatting>
  <conditionalFormatting sqref="G17:H17">
    <cfRule type="containsBlanks" dxfId="106" priority="58">
      <formula>LEN(TRIM(G17))=0</formula>
    </cfRule>
  </conditionalFormatting>
  <conditionalFormatting sqref="G18:H18">
    <cfRule type="containsBlanks" dxfId="105" priority="57">
      <formula>LEN(TRIM(G18))=0</formula>
    </cfRule>
  </conditionalFormatting>
  <conditionalFormatting sqref="E36">
    <cfRule type="containsBlanks" dxfId="104" priority="53">
      <formula>LEN(TRIM(E36))=0</formula>
    </cfRule>
  </conditionalFormatting>
  <conditionalFormatting sqref="F46">
    <cfRule type="containsBlanks" dxfId="103" priority="50">
      <formula>LEN(TRIM(F46))=0</formula>
    </cfRule>
  </conditionalFormatting>
  <conditionalFormatting sqref="F36:F41">
    <cfRule type="containsBlanks" dxfId="102" priority="51">
      <formula>LEN(TRIM(F36))=0</formula>
    </cfRule>
  </conditionalFormatting>
  <conditionalFormatting sqref="E36:E41">
    <cfRule type="containsBlanks" dxfId="101" priority="49">
      <formula>LEN(TRIM(E36))=0</formula>
    </cfRule>
  </conditionalFormatting>
  <conditionalFormatting sqref="F42">
    <cfRule type="containsBlanks" dxfId="100" priority="48">
      <formula>LEN(TRIM(F42))=0</formula>
    </cfRule>
  </conditionalFormatting>
  <conditionalFormatting sqref="E42">
    <cfRule type="containsBlanks" dxfId="99" priority="47">
      <formula>LEN(TRIM(E42))=0</formula>
    </cfRule>
  </conditionalFormatting>
  <conditionalFormatting sqref="F43">
    <cfRule type="containsBlanks" dxfId="98" priority="46">
      <formula>LEN(TRIM(F43))=0</formula>
    </cfRule>
  </conditionalFormatting>
  <conditionalFormatting sqref="E43">
    <cfRule type="containsBlanks" dxfId="97" priority="45">
      <formula>LEN(TRIM(E43))=0</formula>
    </cfRule>
  </conditionalFormatting>
  <conditionalFormatting sqref="F35">
    <cfRule type="containsBlanks" dxfId="96" priority="44">
      <formula>LEN(TRIM(F35))=0</formula>
    </cfRule>
  </conditionalFormatting>
  <conditionalFormatting sqref="E35">
    <cfRule type="containsBlanks" dxfId="95" priority="43">
      <formula>LEN(TRIM(E35))=0</formula>
    </cfRule>
  </conditionalFormatting>
  <conditionalFormatting sqref="G36:G41">
    <cfRule type="containsBlanks" dxfId="94" priority="39">
      <formula>LEN(TRIM(G36))=0</formula>
    </cfRule>
  </conditionalFormatting>
  <conditionalFormatting sqref="G42">
    <cfRule type="containsBlanks" dxfId="93" priority="38">
      <formula>LEN(TRIM(G42))=0</formula>
    </cfRule>
  </conditionalFormatting>
  <conditionalFormatting sqref="G43">
    <cfRule type="containsBlanks" dxfId="92" priority="37">
      <formula>LEN(TRIM(G43))=0</formula>
    </cfRule>
  </conditionalFormatting>
  <conditionalFormatting sqref="G35:H35">
    <cfRule type="containsBlanks" dxfId="91" priority="35">
      <formula>LEN(TRIM(G35))=0</formula>
    </cfRule>
  </conditionalFormatting>
  <conditionalFormatting sqref="E64:E65">
    <cfRule type="containsBlanks" dxfId="90" priority="34">
      <formula>LEN(TRIM(E64))=0</formula>
    </cfRule>
  </conditionalFormatting>
  <conditionalFormatting sqref="F64:F65">
    <cfRule type="containsBlanks" dxfId="89" priority="33">
      <formula>LEN(TRIM(F64))=0</formula>
    </cfRule>
  </conditionalFormatting>
  <conditionalFormatting sqref="G64:G65">
    <cfRule type="containsBlanks" dxfId="88" priority="31">
      <formula>LEN(TRIM(G64))=0</formula>
    </cfRule>
  </conditionalFormatting>
  <conditionalFormatting sqref="H64:H65">
    <cfRule type="containsBlanks" dxfId="87" priority="30">
      <formula>LEN(TRIM(H64))=0</formula>
    </cfRule>
  </conditionalFormatting>
  <conditionalFormatting sqref="AJ12:AJ16 AJ9:AJ10 AJ19:AJ34 AJ56:AJ62">
    <cfRule type="containsBlanks" dxfId="86" priority="26">
      <formula>LEN(TRIM(AJ9))=0</formula>
    </cfRule>
  </conditionalFormatting>
  <conditionalFormatting sqref="AJ63:AJ65">
    <cfRule type="containsBlanks" dxfId="85" priority="25">
      <formula>LEN(TRIM(AJ63))=0</formula>
    </cfRule>
  </conditionalFormatting>
  <conditionalFormatting sqref="AJ17:AJ18">
    <cfRule type="containsBlanks" dxfId="84" priority="24">
      <formula>LEN(TRIM(AJ17))=0</formula>
    </cfRule>
  </conditionalFormatting>
  <conditionalFormatting sqref="AJ11">
    <cfRule type="containsBlanks" dxfId="83" priority="22">
      <formula>LEN(TRIM(AJ11))=0</formula>
    </cfRule>
  </conditionalFormatting>
  <conditionalFormatting sqref="H60">
    <cfRule type="containsBlanks" dxfId="82" priority="21">
      <formula>LEN(TRIM(H60))=0</formula>
    </cfRule>
  </conditionalFormatting>
  <conditionalFormatting sqref="R12:R16 R9:R10 R19:R34">
    <cfRule type="containsBlanks" dxfId="81" priority="13">
      <formula>LEN(TRIM(R9))=0</formula>
    </cfRule>
  </conditionalFormatting>
  <conditionalFormatting sqref="R63:R65">
    <cfRule type="containsBlanks" dxfId="80" priority="12">
      <formula>LEN(TRIM(R63))=0</formula>
    </cfRule>
  </conditionalFormatting>
  <conditionalFormatting sqref="R17:R18">
    <cfRule type="containsBlanks" dxfId="79" priority="11">
      <formula>LEN(TRIM(R17))=0</formula>
    </cfRule>
  </conditionalFormatting>
  <conditionalFormatting sqref="R35:R49">
    <cfRule type="containsBlanks" dxfId="78" priority="10">
      <formula>LEN(TRIM(R35))=0</formula>
    </cfRule>
  </conditionalFormatting>
  <conditionalFormatting sqref="R11">
    <cfRule type="containsBlanks" dxfId="77" priority="9">
      <formula>LEN(TRIM(R11))=0</formula>
    </cfRule>
  </conditionalFormatting>
  <conditionalFormatting sqref="R56:R59">
    <cfRule type="containsBlanks" dxfId="76" priority="7">
      <formula>LEN(TRIM(R56))=0</formula>
    </cfRule>
  </conditionalFormatting>
  <conditionalFormatting sqref="K12:K16 K9:K10 K19:K34">
    <cfRule type="containsBlanks" dxfId="75" priority="6">
      <formula>LEN(TRIM(K9))=0</formula>
    </cfRule>
  </conditionalFormatting>
  <conditionalFormatting sqref="K63:K65">
    <cfRule type="containsBlanks" dxfId="74" priority="5">
      <formula>LEN(TRIM(K63))=0</formula>
    </cfRule>
  </conditionalFormatting>
  <conditionalFormatting sqref="K17:K18">
    <cfRule type="containsBlanks" dxfId="73" priority="4">
      <formula>LEN(TRIM(K17))=0</formula>
    </cfRule>
  </conditionalFormatting>
  <conditionalFormatting sqref="K35:K49">
    <cfRule type="containsBlanks" dxfId="72" priority="3">
      <formula>LEN(TRIM(K35))=0</formula>
    </cfRule>
  </conditionalFormatting>
  <conditionalFormatting sqref="K11">
    <cfRule type="containsBlanks" dxfId="71" priority="2">
      <formula>LEN(TRIM(K11))=0</formula>
    </cfRule>
  </conditionalFormatting>
  <conditionalFormatting sqref="K56:K59">
    <cfRule type="containsBlanks" dxfId="70" priority="1">
      <formula>LEN(TRIM(K56))=0</formula>
    </cfRule>
  </conditionalFormatting>
  <dataValidations count="2">
    <dataValidation type="list" allowBlank="1" showInputMessage="1" showErrorMessage="1" sqref="BN9:BN1048576 BE9:BE1048576 AV9:AV1048576 CO9:CO1048576 AD9:AD1048576 U9:U1048576 L9:L1048576 CF9:CF1048576 BW9:BW1048576 AM9:AM1048576">
      <formula1>"OK,NOK"</formula1>
    </dataValidation>
    <dataValidation type="list" allowBlank="1" showInputMessage="1" showErrorMessage="1" sqref="BP9:BP1048576 BG9:BG1048576 AX9:AX1048576 CQ9:CQ1048576 AF9:AF1048576 W9:W1048576 N9:N1048576 CH9:CH1048576 BY9:BY1048576 AO9:AO1048576">
      <formula1>"OK,NOK,DEVIATION,STANDBY"</formula1>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dimension ref="A1:CN25"/>
  <sheetViews>
    <sheetView showGridLines="0" zoomScaleNormal="100" workbookViewId="0">
      <pane xSplit="3" topLeftCell="D1" activePane="topRight" state="frozen"/>
      <selection pane="topRight" activeCell="S36" sqref="S36"/>
    </sheetView>
  </sheetViews>
  <sheetFormatPr defaultColWidth="11.54296875" defaultRowHeight="12.5" outlineLevelCol="1" x14ac:dyDescent="0.25"/>
  <cols>
    <col min="1" max="1" width="16.26953125" style="14" customWidth="1"/>
    <col min="2" max="2" width="63.453125" style="14" customWidth="1"/>
    <col min="3" max="3" width="67.7265625" style="14" hidden="1" customWidth="1" outlineLevel="1"/>
    <col min="4" max="4" width="4.453125" style="14" customWidth="1" collapsed="1"/>
    <col min="5" max="5" width="9.54296875" style="14" customWidth="1"/>
    <col min="6" max="6" width="13.26953125" style="14" customWidth="1"/>
    <col min="7" max="7" width="13.1796875" style="226" hidden="1" customWidth="1" outlineLevel="1"/>
    <col min="8" max="8" width="28.81640625" style="227" hidden="1" customWidth="1" outlineLevel="1"/>
    <col min="9" max="9" width="11.81640625" style="226" hidden="1" customWidth="1" outlineLevel="1"/>
    <col min="10" max="10" width="28.81640625" style="227" hidden="1" customWidth="1" outlineLevel="1"/>
    <col min="11" max="11" width="3.26953125" style="14" customWidth="1" collapsed="1"/>
    <col min="12" max="12" width="10.1796875" style="14" customWidth="1"/>
    <col min="13" max="13" width="14.1796875" style="14" customWidth="1"/>
    <col min="14" max="14" width="15.81640625" style="14" customWidth="1" outlineLevel="1"/>
    <col min="15" max="15" width="15.54296875" style="14" customWidth="1" outlineLevel="1"/>
    <col min="16" max="16" width="10.81640625" style="226" customWidth="1" outlineLevel="1"/>
    <col min="17" max="17" width="28.81640625" style="227" customWidth="1" outlineLevel="1"/>
    <col min="18" max="18" width="11.7265625" style="226" customWidth="1" outlineLevel="1"/>
    <col min="19" max="19" width="28.81640625" style="227" customWidth="1" outlineLevel="1"/>
    <col min="20" max="20" width="3.54296875" style="14" customWidth="1"/>
    <col min="21" max="21" width="9.26953125" style="14" customWidth="1"/>
    <col min="22" max="22" width="13.26953125" style="14" customWidth="1"/>
    <col min="23" max="23" width="14.453125" style="14" hidden="1" customWidth="1" outlineLevel="1"/>
    <col min="24" max="24" width="14.54296875" style="14" hidden="1" customWidth="1" outlineLevel="1"/>
    <col min="25" max="25" width="11.453125" style="226" hidden="1" customWidth="1" outlineLevel="1"/>
    <col min="26" max="26" width="28.81640625" style="227" hidden="1" customWidth="1" outlineLevel="1"/>
    <col min="27" max="27" width="11.26953125" style="226" hidden="1" customWidth="1" outlineLevel="1"/>
    <col min="28" max="28" width="28.81640625" style="227" hidden="1" customWidth="1" outlineLevel="1"/>
    <col min="29" max="29" width="3.26953125" style="14" customWidth="1" collapsed="1"/>
    <col min="30" max="30" width="9.453125" style="14" customWidth="1"/>
    <col min="31" max="31" width="13.453125" style="14" customWidth="1"/>
    <col min="32" max="32" width="13.7265625" style="14" hidden="1" customWidth="1" outlineLevel="1"/>
    <col min="33" max="33" width="13.54296875" style="14" hidden="1" customWidth="1" outlineLevel="1"/>
    <col min="34" max="34" width="12.81640625" style="226" hidden="1" customWidth="1" outlineLevel="1"/>
    <col min="35" max="35" width="28.81640625" style="227" hidden="1" customWidth="1" outlineLevel="1"/>
    <col min="36" max="36" width="11.7265625" style="226" hidden="1" customWidth="1" outlineLevel="1"/>
    <col min="37" max="37" width="28.81640625" style="227" hidden="1" customWidth="1" outlineLevel="1"/>
    <col min="38" max="38" width="3.26953125" style="14" customWidth="1" collapsed="1"/>
    <col min="39" max="39" width="13.7265625" style="14" bestFit="1" customWidth="1"/>
    <col min="40" max="40" width="16.81640625" style="14" bestFit="1" customWidth="1"/>
    <col min="41" max="41" width="24.54296875" style="14" hidden="1" customWidth="1" outlineLevel="1"/>
    <col min="42" max="42" width="29" style="14" hidden="1" customWidth="1" outlineLevel="1"/>
    <col min="43" max="43" width="21" style="226" hidden="1" customWidth="1" outlineLevel="1"/>
    <col min="44" max="44" width="28.81640625" style="227" hidden="1" customWidth="1" outlineLevel="1"/>
    <col min="45" max="45" width="21" style="226" hidden="1" customWidth="1" outlineLevel="1"/>
    <col min="46" max="46" width="28.81640625" style="227" hidden="1" customWidth="1" outlineLevel="1"/>
    <col min="47" max="47" width="3.26953125" style="14" customWidth="1" collapsed="1"/>
    <col min="48" max="48" width="13.7265625" style="14" bestFit="1" customWidth="1"/>
    <col min="49" max="49" width="16.81640625" style="14" bestFit="1" customWidth="1"/>
    <col min="50" max="50" width="24.54296875" style="14" hidden="1" customWidth="1" outlineLevel="1"/>
    <col min="51" max="51" width="29" style="14" hidden="1" customWidth="1" outlineLevel="1"/>
    <col min="52" max="52" width="21" style="226" hidden="1" customWidth="1" outlineLevel="1"/>
    <col min="53" max="53" width="28.81640625" style="227" hidden="1" customWidth="1" outlineLevel="1"/>
    <col min="54" max="54" width="21" style="226" hidden="1" customWidth="1" outlineLevel="1"/>
    <col min="55" max="55" width="28.81640625" style="227" hidden="1" customWidth="1" outlineLevel="1"/>
    <col min="56" max="56" width="3.26953125" style="14" customWidth="1" collapsed="1"/>
    <col min="57" max="57" width="13.7265625" style="14" bestFit="1" customWidth="1"/>
    <col min="58" max="58" width="16.81640625" style="14" bestFit="1" customWidth="1"/>
    <col min="59" max="59" width="24.54296875" style="14" hidden="1" customWidth="1" outlineLevel="1"/>
    <col min="60" max="60" width="29" style="14" hidden="1" customWidth="1" outlineLevel="1"/>
    <col min="61" max="61" width="21" style="226" hidden="1" customWidth="1" outlineLevel="1"/>
    <col min="62" max="62" width="28.81640625" style="227" hidden="1" customWidth="1" outlineLevel="1"/>
    <col min="63" max="63" width="21" style="226" hidden="1" customWidth="1" outlineLevel="1"/>
    <col min="64" max="64" width="28.81640625" style="227" hidden="1" customWidth="1" outlineLevel="1"/>
    <col min="65" max="65" width="3.26953125" style="14" customWidth="1" collapsed="1"/>
    <col min="66" max="66" width="13.7265625" style="14" bestFit="1" customWidth="1"/>
    <col min="67" max="67" width="16.81640625" style="14" bestFit="1" customWidth="1"/>
    <col min="68" max="68" width="24.54296875" style="14" hidden="1" customWidth="1" outlineLevel="1"/>
    <col min="69" max="69" width="29" style="14" hidden="1" customWidth="1" outlineLevel="1"/>
    <col min="70" max="70" width="21" style="226" hidden="1" customWidth="1" outlineLevel="1"/>
    <col min="71" max="71" width="28.81640625" style="227" hidden="1" customWidth="1" outlineLevel="1"/>
    <col min="72" max="72" width="21" style="226" hidden="1" customWidth="1" outlineLevel="1"/>
    <col min="73" max="73" width="28.81640625" style="227" hidden="1" customWidth="1" outlineLevel="1"/>
    <col min="74" max="74" width="3.26953125" style="14" customWidth="1" collapsed="1"/>
    <col min="75" max="75" width="13.7265625" style="14" bestFit="1" customWidth="1"/>
    <col min="76" max="76" width="16.81640625" style="14" bestFit="1" customWidth="1"/>
    <col min="77" max="77" width="24.54296875" style="14" hidden="1" customWidth="1" outlineLevel="1"/>
    <col min="78" max="78" width="29" style="14" hidden="1" customWidth="1" outlineLevel="1"/>
    <col min="79" max="79" width="21" style="226" hidden="1" customWidth="1" outlineLevel="1"/>
    <col min="80" max="80" width="28.81640625" style="227" hidden="1" customWidth="1" outlineLevel="1"/>
    <col min="81" max="81" width="21" style="226" hidden="1" customWidth="1" outlineLevel="1"/>
    <col min="82" max="82" width="28.81640625" style="227" hidden="1" customWidth="1" outlineLevel="1"/>
    <col min="83" max="83" width="3.26953125" style="14" customWidth="1" collapsed="1"/>
    <col min="84" max="84" width="13.7265625" style="14" bestFit="1" customWidth="1"/>
    <col min="85" max="85" width="16.81640625" style="14" bestFit="1" customWidth="1"/>
    <col min="86" max="86" width="24.54296875" style="14" hidden="1" customWidth="1" outlineLevel="1"/>
    <col min="87" max="87" width="29" style="14" hidden="1" customWidth="1" outlineLevel="1"/>
    <col min="88" max="88" width="21" style="226" hidden="1" customWidth="1" outlineLevel="1"/>
    <col min="89" max="89" width="28.81640625" style="227" hidden="1" customWidth="1" outlineLevel="1"/>
    <col min="90" max="90" width="21" style="226" hidden="1" customWidth="1" outlineLevel="1"/>
    <col min="91" max="91" width="28.81640625" style="227" hidden="1" customWidth="1" outlineLevel="1"/>
    <col min="92" max="92" width="3.26953125" style="14" customWidth="1" collapsed="1"/>
    <col min="93" max="16384" width="11.54296875" style="14"/>
  </cols>
  <sheetData>
    <row r="1" spans="1:92" ht="30" customHeight="1" thickBot="1" x14ac:dyDescent="0.3">
      <c r="A1" s="482" t="s">
        <v>981</v>
      </c>
      <c r="B1" s="483"/>
      <c r="C1" s="483"/>
      <c r="D1" s="190"/>
      <c r="E1" s="484" t="s">
        <v>1776</v>
      </c>
      <c r="F1" s="485"/>
      <c r="G1" s="485"/>
      <c r="H1" s="485"/>
      <c r="I1" s="485"/>
      <c r="J1" s="486"/>
      <c r="K1" s="191"/>
      <c r="L1" s="484" t="s">
        <v>1776</v>
      </c>
      <c r="M1" s="485"/>
      <c r="N1" s="485"/>
      <c r="O1" s="485"/>
      <c r="P1" s="485"/>
      <c r="Q1" s="485"/>
      <c r="R1" s="485"/>
      <c r="S1" s="486"/>
      <c r="T1" s="191"/>
      <c r="U1" s="487" t="s">
        <v>1776</v>
      </c>
      <c r="V1" s="468"/>
      <c r="W1" s="468"/>
      <c r="X1" s="468"/>
      <c r="Y1" s="468"/>
      <c r="Z1" s="468"/>
      <c r="AA1" s="468"/>
      <c r="AB1" s="468"/>
      <c r="AC1" s="191"/>
      <c r="AD1" s="487" t="s">
        <v>1776</v>
      </c>
      <c r="AE1" s="468"/>
      <c r="AF1" s="468"/>
      <c r="AG1" s="468"/>
      <c r="AH1" s="468"/>
      <c r="AI1" s="468"/>
      <c r="AJ1" s="468"/>
      <c r="AK1" s="468"/>
      <c r="AL1" s="191"/>
      <c r="AM1" s="487" t="s">
        <v>1776</v>
      </c>
      <c r="AN1" s="468"/>
      <c r="AO1" s="468"/>
      <c r="AP1" s="468"/>
      <c r="AQ1" s="468"/>
      <c r="AR1" s="468"/>
      <c r="AS1" s="468"/>
      <c r="AT1" s="468"/>
      <c r="AU1" s="191"/>
      <c r="AV1" s="487" t="s">
        <v>1776</v>
      </c>
      <c r="AW1" s="468"/>
      <c r="AX1" s="468"/>
      <c r="AY1" s="468"/>
      <c r="AZ1" s="468"/>
      <c r="BA1" s="468"/>
      <c r="BB1" s="468"/>
      <c r="BC1" s="468"/>
      <c r="BD1" s="191"/>
      <c r="BE1" s="468" t="s">
        <v>1</v>
      </c>
      <c r="BF1" s="468"/>
      <c r="BG1" s="468"/>
      <c r="BH1" s="468"/>
      <c r="BI1" s="468"/>
      <c r="BJ1" s="468"/>
      <c r="BK1" s="468"/>
      <c r="BL1" s="468"/>
      <c r="BM1" s="191"/>
      <c r="BN1" s="468" t="s">
        <v>1</v>
      </c>
      <c r="BO1" s="468"/>
      <c r="BP1" s="468"/>
      <c r="BQ1" s="468"/>
      <c r="BR1" s="468"/>
      <c r="BS1" s="468"/>
      <c r="BT1" s="468"/>
      <c r="BU1" s="468"/>
      <c r="BV1" s="191"/>
      <c r="BW1" s="468" t="s">
        <v>1</v>
      </c>
      <c r="BX1" s="468"/>
      <c r="BY1" s="468"/>
      <c r="BZ1" s="468"/>
      <c r="CA1" s="468"/>
      <c r="CB1" s="468"/>
      <c r="CC1" s="468"/>
      <c r="CD1" s="468"/>
      <c r="CE1" s="191"/>
      <c r="CF1" s="468" t="s">
        <v>1</v>
      </c>
      <c r="CG1" s="468"/>
      <c r="CH1" s="468"/>
      <c r="CI1" s="468"/>
      <c r="CJ1" s="468"/>
      <c r="CK1" s="468"/>
      <c r="CL1" s="468"/>
      <c r="CM1" s="468"/>
      <c r="CN1" s="191"/>
    </row>
    <row r="2" spans="1:92" ht="27.75" customHeight="1" thickBot="1" x14ac:dyDescent="0.35">
      <c r="A2" s="469" t="str">
        <f>'First Page'!K31</f>
        <v>DM17F is an LVDS bi-dir slave node which:
- comply to the Display use case of the LVDS Bi-Dir Technical specification
- has a GMSL3 deserializer
- has a dual connector H-MTD + 6 inputs
- supports a resolution of 2560x1440 pixels at a frequency of 60 frame per second
- has a 24 bits RGB pixel color depth
- has an external power supply and is woken up by a wired interface signal
- supports Daisy Chain
- implements HDCP 2.3
- transmits data over I2C bus at a bit rate of 400 Kbps
- implements reflash request through LVDS Network
- implements functional request through LVDS Network
- implements diagnostic request through LVDS Network
Therefore, the following requirements are applied:</v>
      </c>
      <c r="B2" s="470"/>
      <c r="C2" s="470"/>
      <c r="D2" s="192"/>
      <c r="E2" s="473" t="s">
        <v>2</v>
      </c>
      <c r="F2" s="474"/>
      <c r="G2" s="479" t="s">
        <v>2380</v>
      </c>
      <c r="H2" s="480"/>
      <c r="I2" s="480"/>
      <c r="J2" s="481"/>
      <c r="K2" s="192"/>
      <c r="L2" s="405" t="s">
        <v>4</v>
      </c>
      <c r="M2" s="406"/>
      <c r="N2" s="414" t="s">
        <v>1769</v>
      </c>
      <c r="O2" s="415"/>
      <c r="P2" s="479" t="s">
        <v>3</v>
      </c>
      <c r="Q2" s="480"/>
      <c r="R2" s="480"/>
      <c r="S2" s="481"/>
      <c r="T2" s="192"/>
      <c r="U2" s="473" t="s">
        <v>6</v>
      </c>
      <c r="V2" s="474"/>
      <c r="W2" s="462" t="s">
        <v>1769</v>
      </c>
      <c r="X2" s="463"/>
      <c r="Y2" s="479" t="s">
        <v>2380</v>
      </c>
      <c r="Z2" s="480"/>
      <c r="AA2" s="488"/>
      <c r="AB2" s="489"/>
      <c r="AC2" s="192"/>
      <c r="AD2" s="473" t="s">
        <v>7</v>
      </c>
      <c r="AE2" s="474"/>
      <c r="AF2" s="462" t="s">
        <v>1769</v>
      </c>
      <c r="AG2" s="463"/>
      <c r="AH2" s="479" t="s">
        <v>2380</v>
      </c>
      <c r="AI2" s="480"/>
      <c r="AJ2" s="488"/>
      <c r="AK2" s="489"/>
      <c r="AL2" s="192"/>
      <c r="AM2" s="475" t="s">
        <v>8</v>
      </c>
      <c r="AN2" s="476"/>
      <c r="AO2" s="490" t="s">
        <v>5</v>
      </c>
      <c r="AP2" s="463"/>
      <c r="AQ2" s="479" t="s">
        <v>3</v>
      </c>
      <c r="AR2" s="480"/>
      <c r="AS2" s="488"/>
      <c r="AT2" s="489"/>
      <c r="AU2" s="192"/>
      <c r="AV2" s="475" t="s">
        <v>9</v>
      </c>
      <c r="AW2" s="476"/>
      <c r="AX2" s="490" t="s">
        <v>5</v>
      </c>
      <c r="AY2" s="463"/>
      <c r="AZ2" s="479" t="s">
        <v>3</v>
      </c>
      <c r="BA2" s="480"/>
      <c r="BB2" s="488"/>
      <c r="BC2" s="489"/>
      <c r="BD2" s="192"/>
      <c r="BE2" s="475" t="s">
        <v>10</v>
      </c>
      <c r="BF2" s="476"/>
      <c r="BG2" s="490" t="s">
        <v>5</v>
      </c>
      <c r="BH2" s="463"/>
      <c r="BI2" s="479" t="s">
        <v>3</v>
      </c>
      <c r="BJ2" s="480"/>
      <c r="BK2" s="488"/>
      <c r="BL2" s="489"/>
      <c r="BM2" s="192"/>
      <c r="BN2" s="475" t="s">
        <v>11</v>
      </c>
      <c r="BO2" s="476"/>
      <c r="BP2" s="490" t="s">
        <v>5</v>
      </c>
      <c r="BQ2" s="463"/>
      <c r="BR2" s="479" t="s">
        <v>3</v>
      </c>
      <c r="BS2" s="480"/>
      <c r="BT2" s="488"/>
      <c r="BU2" s="489"/>
      <c r="BV2" s="192"/>
      <c r="BW2" s="475" t="s">
        <v>12</v>
      </c>
      <c r="BX2" s="476"/>
      <c r="BY2" s="490" t="s">
        <v>5</v>
      </c>
      <c r="BZ2" s="463"/>
      <c r="CA2" s="479" t="s">
        <v>3</v>
      </c>
      <c r="CB2" s="480"/>
      <c r="CC2" s="488"/>
      <c r="CD2" s="489"/>
      <c r="CE2" s="192"/>
      <c r="CF2" s="475" t="s">
        <v>13</v>
      </c>
      <c r="CG2" s="476"/>
      <c r="CH2" s="490" t="s">
        <v>5</v>
      </c>
      <c r="CI2" s="463"/>
      <c r="CJ2" s="479" t="s">
        <v>3</v>
      </c>
      <c r="CK2" s="480"/>
      <c r="CL2" s="488"/>
      <c r="CM2" s="489"/>
      <c r="CN2" s="193"/>
    </row>
    <row r="3" spans="1:92" ht="42" customHeight="1" x14ac:dyDescent="0.3">
      <c r="A3" s="469"/>
      <c r="B3" s="470"/>
      <c r="C3" s="470"/>
      <c r="D3" s="192"/>
      <c r="E3" s="475"/>
      <c r="F3" s="476"/>
      <c r="G3" s="448" t="s">
        <v>14</v>
      </c>
      <c r="H3" s="441"/>
      <c r="I3" s="449" t="s">
        <v>1771</v>
      </c>
      <c r="J3" s="443"/>
      <c r="K3" s="192"/>
      <c r="L3" s="407"/>
      <c r="M3" s="408"/>
      <c r="N3" s="416"/>
      <c r="O3" s="417"/>
      <c r="P3" s="444" t="s">
        <v>2420</v>
      </c>
      <c r="Q3" s="445"/>
      <c r="R3" s="446" t="s">
        <v>2421</v>
      </c>
      <c r="S3" s="447"/>
      <c r="T3" s="192"/>
      <c r="U3" s="475"/>
      <c r="V3" s="476"/>
      <c r="W3" s="464"/>
      <c r="X3" s="465"/>
      <c r="Y3" s="448" t="s">
        <v>14</v>
      </c>
      <c r="Z3" s="441"/>
      <c r="AA3" s="449" t="s">
        <v>1771</v>
      </c>
      <c r="AB3" s="443"/>
      <c r="AC3" s="192"/>
      <c r="AD3" s="475"/>
      <c r="AE3" s="476"/>
      <c r="AF3" s="464"/>
      <c r="AG3" s="465"/>
      <c r="AH3" s="448" t="s">
        <v>14</v>
      </c>
      <c r="AI3" s="441"/>
      <c r="AJ3" s="449" t="s">
        <v>1771</v>
      </c>
      <c r="AK3" s="443"/>
      <c r="AL3" s="192"/>
      <c r="AM3" s="475"/>
      <c r="AN3" s="476"/>
      <c r="AO3" s="464"/>
      <c r="AP3" s="465"/>
      <c r="AQ3" s="448" t="s">
        <v>14</v>
      </c>
      <c r="AR3" s="441"/>
      <c r="AS3" s="449" t="s">
        <v>15</v>
      </c>
      <c r="AT3" s="443"/>
      <c r="AU3" s="192"/>
      <c r="AV3" s="475"/>
      <c r="AW3" s="476"/>
      <c r="AX3" s="464"/>
      <c r="AY3" s="465"/>
      <c r="AZ3" s="448" t="s">
        <v>14</v>
      </c>
      <c r="BA3" s="441"/>
      <c r="BB3" s="449" t="s">
        <v>15</v>
      </c>
      <c r="BC3" s="443"/>
      <c r="BD3" s="192"/>
      <c r="BE3" s="475"/>
      <c r="BF3" s="476"/>
      <c r="BG3" s="464"/>
      <c r="BH3" s="465"/>
      <c r="BI3" s="448" t="s">
        <v>14</v>
      </c>
      <c r="BJ3" s="441"/>
      <c r="BK3" s="449" t="s">
        <v>15</v>
      </c>
      <c r="BL3" s="443"/>
      <c r="BM3" s="192"/>
      <c r="BN3" s="475"/>
      <c r="BO3" s="476"/>
      <c r="BP3" s="464"/>
      <c r="BQ3" s="465"/>
      <c r="BR3" s="448" t="s">
        <v>14</v>
      </c>
      <c r="BS3" s="441"/>
      <c r="BT3" s="449" t="s">
        <v>15</v>
      </c>
      <c r="BU3" s="443"/>
      <c r="BV3" s="192"/>
      <c r="BW3" s="475"/>
      <c r="BX3" s="476"/>
      <c r="BY3" s="464"/>
      <c r="BZ3" s="465"/>
      <c r="CA3" s="448" t="s">
        <v>14</v>
      </c>
      <c r="CB3" s="441"/>
      <c r="CC3" s="449" t="s">
        <v>15</v>
      </c>
      <c r="CD3" s="443"/>
      <c r="CE3" s="192"/>
      <c r="CF3" s="475"/>
      <c r="CG3" s="476"/>
      <c r="CH3" s="464"/>
      <c r="CI3" s="465"/>
      <c r="CJ3" s="448" t="s">
        <v>14</v>
      </c>
      <c r="CK3" s="441"/>
      <c r="CL3" s="449" t="s">
        <v>15</v>
      </c>
      <c r="CM3" s="443"/>
      <c r="CN3" s="193"/>
    </row>
    <row r="4" spans="1:92" ht="42" customHeight="1" x14ac:dyDescent="0.25">
      <c r="A4" s="469"/>
      <c r="B4" s="470"/>
      <c r="C4" s="470"/>
      <c r="D4" s="194"/>
      <c r="E4" s="475"/>
      <c r="F4" s="476"/>
      <c r="G4" s="195">
        <f>COUNTIF(G9:G1048576,"OK")</f>
        <v>0</v>
      </c>
      <c r="H4" s="274" t="s">
        <v>1772</v>
      </c>
      <c r="I4" s="197">
        <f>COUNTIF(I9:I1048576,"OK")</f>
        <v>0</v>
      </c>
      <c r="J4" s="274" t="s">
        <v>1772</v>
      </c>
      <c r="K4" s="194"/>
      <c r="L4" s="407"/>
      <c r="M4" s="408"/>
      <c r="N4" s="416"/>
      <c r="O4" s="417"/>
      <c r="P4" s="195">
        <f>COUNTIF(P9:P1048576,"OK")</f>
        <v>16</v>
      </c>
      <c r="Q4" s="276" t="s">
        <v>1772</v>
      </c>
      <c r="R4" s="197">
        <f>COUNTIF(R9:R1048576,"OK")</f>
        <v>0</v>
      </c>
      <c r="S4" s="276" t="s">
        <v>2422</v>
      </c>
      <c r="T4" s="194"/>
      <c r="U4" s="475"/>
      <c r="V4" s="476"/>
      <c r="W4" s="464"/>
      <c r="X4" s="465"/>
      <c r="Y4" s="195">
        <f>COUNTIF(Y9:Y1048576,"OK")</f>
        <v>0</v>
      </c>
      <c r="Z4" s="269" t="s">
        <v>1772</v>
      </c>
      <c r="AA4" s="265">
        <f>COUNTIF(AA9:AA1048576,"OK")</f>
        <v>0</v>
      </c>
      <c r="AB4" s="269" t="s">
        <v>1772</v>
      </c>
      <c r="AC4" s="194"/>
      <c r="AD4" s="475"/>
      <c r="AE4" s="476"/>
      <c r="AF4" s="464"/>
      <c r="AG4" s="465"/>
      <c r="AH4" s="195">
        <f>COUNTIF(AH9:AH1048576,"OK")</f>
        <v>0</v>
      </c>
      <c r="AI4" s="269" t="s">
        <v>1772</v>
      </c>
      <c r="AJ4" s="283">
        <f>COUNTIF(AJ9:AJ1048576,"OK")</f>
        <v>0</v>
      </c>
      <c r="AK4" s="269" t="s">
        <v>1772</v>
      </c>
      <c r="AL4" s="194"/>
      <c r="AM4" s="475"/>
      <c r="AN4" s="476"/>
      <c r="AO4" s="464"/>
      <c r="AP4" s="465"/>
      <c r="AQ4" s="195">
        <f>COUNTIF(AQ9:AQ1048576,"OK")</f>
        <v>0</v>
      </c>
      <c r="AR4" s="196" t="s">
        <v>16</v>
      </c>
      <c r="AS4" s="197">
        <f>COUNTIF(AS9:AS1048576,"OK")</f>
        <v>0</v>
      </c>
      <c r="AT4" s="196" t="s">
        <v>16</v>
      </c>
      <c r="AU4" s="194"/>
      <c r="AV4" s="475"/>
      <c r="AW4" s="476"/>
      <c r="AX4" s="464"/>
      <c r="AY4" s="465"/>
      <c r="AZ4" s="195">
        <f>COUNTIF(AZ9:AZ1048576,"OK")</f>
        <v>0</v>
      </c>
      <c r="BA4" s="196" t="s">
        <v>16</v>
      </c>
      <c r="BB4" s="197">
        <f>COUNTIF(BB9:BB1048576,"OK")</f>
        <v>0</v>
      </c>
      <c r="BC4" s="196" t="s">
        <v>16</v>
      </c>
      <c r="BD4" s="194"/>
      <c r="BE4" s="475"/>
      <c r="BF4" s="476"/>
      <c r="BG4" s="464"/>
      <c r="BH4" s="465"/>
      <c r="BI4" s="195">
        <f>COUNTIF(BI9:BI1048576,"OK")</f>
        <v>0</v>
      </c>
      <c r="BJ4" s="196" t="s">
        <v>16</v>
      </c>
      <c r="BK4" s="197">
        <f>COUNTIF(BK9:BK1048576,"OK")</f>
        <v>0</v>
      </c>
      <c r="BL4" s="196" t="s">
        <v>16</v>
      </c>
      <c r="BM4" s="194"/>
      <c r="BN4" s="475"/>
      <c r="BO4" s="476"/>
      <c r="BP4" s="464"/>
      <c r="BQ4" s="465"/>
      <c r="BR4" s="195">
        <f>COUNTIF(BR9:BR1048576,"OK")</f>
        <v>0</v>
      </c>
      <c r="BS4" s="196" t="s">
        <v>16</v>
      </c>
      <c r="BT4" s="197">
        <f>COUNTIF(BT9:BT1048576,"OK")</f>
        <v>0</v>
      </c>
      <c r="BU4" s="196" t="s">
        <v>16</v>
      </c>
      <c r="BV4" s="194"/>
      <c r="BW4" s="475"/>
      <c r="BX4" s="476"/>
      <c r="BY4" s="464"/>
      <c r="BZ4" s="465"/>
      <c r="CA4" s="195">
        <f>COUNTIF(CA9:CA1048576,"OK")</f>
        <v>0</v>
      </c>
      <c r="CB4" s="196" t="s">
        <v>16</v>
      </c>
      <c r="CC4" s="197">
        <f>COUNTIF(CC9:CC1048576,"OK")</f>
        <v>0</v>
      </c>
      <c r="CD4" s="196" t="s">
        <v>16</v>
      </c>
      <c r="CE4" s="194"/>
      <c r="CF4" s="475"/>
      <c r="CG4" s="476"/>
      <c r="CH4" s="464"/>
      <c r="CI4" s="465"/>
      <c r="CJ4" s="195">
        <f>COUNTIF(CJ9:CJ1048576,"OK")</f>
        <v>0</v>
      </c>
      <c r="CK4" s="196" t="s">
        <v>16</v>
      </c>
      <c r="CL4" s="197">
        <f>COUNTIF(CL9:CL1048576,"OK")</f>
        <v>0</v>
      </c>
      <c r="CM4" s="196" t="s">
        <v>16</v>
      </c>
      <c r="CN4" s="198"/>
    </row>
    <row r="5" spans="1:92" ht="42" customHeight="1" thickBot="1" x14ac:dyDescent="0.3">
      <c r="A5" s="469"/>
      <c r="B5" s="470"/>
      <c r="C5" s="470"/>
      <c r="D5" s="199"/>
      <c r="E5" s="477"/>
      <c r="F5" s="478"/>
      <c r="G5" s="195">
        <f>COUNTIF(G9:G1048576,"NOK")</f>
        <v>0</v>
      </c>
      <c r="H5" s="274" t="s">
        <v>1773</v>
      </c>
      <c r="I5" s="197">
        <f>COUNTIF(I9:I1048576,"NOK")</f>
        <v>0</v>
      </c>
      <c r="J5" s="274" t="s">
        <v>1773</v>
      </c>
      <c r="K5" s="199"/>
      <c r="L5" s="409"/>
      <c r="M5" s="410"/>
      <c r="N5" s="416"/>
      <c r="O5" s="417"/>
      <c r="P5" s="195">
        <f>COUNTIF(P9:P1048576,"NOK")</f>
        <v>0</v>
      </c>
      <c r="Q5" s="276" t="s">
        <v>1773</v>
      </c>
      <c r="R5" s="197">
        <f>COUNTIF(R9:R1048576,"NOK")</f>
        <v>0</v>
      </c>
      <c r="S5" s="276" t="s">
        <v>1773</v>
      </c>
      <c r="T5" s="199"/>
      <c r="U5" s="477"/>
      <c r="V5" s="478"/>
      <c r="W5" s="464"/>
      <c r="X5" s="465"/>
      <c r="Y5" s="195">
        <f>COUNTIF(Y9:Y1048576,"NOK")</f>
        <v>0</v>
      </c>
      <c r="Z5" s="269" t="s">
        <v>1773</v>
      </c>
      <c r="AA5" s="265">
        <f>COUNTIF(AA9:AA1048576,"NOK")</f>
        <v>0</v>
      </c>
      <c r="AB5" s="269" t="s">
        <v>1773</v>
      </c>
      <c r="AC5" s="199"/>
      <c r="AD5" s="477"/>
      <c r="AE5" s="478"/>
      <c r="AF5" s="464"/>
      <c r="AG5" s="465"/>
      <c r="AH5" s="195">
        <f>COUNTIF(AH9:AH1048576,"NOK")</f>
        <v>0</v>
      </c>
      <c r="AI5" s="269" t="s">
        <v>1773</v>
      </c>
      <c r="AJ5" s="283">
        <f>COUNTIF(AJ9:AJ1048576,"NOK")</f>
        <v>0</v>
      </c>
      <c r="AK5" s="269" t="s">
        <v>1773</v>
      </c>
      <c r="AL5" s="199"/>
      <c r="AM5" s="475"/>
      <c r="AN5" s="476"/>
      <c r="AO5" s="464"/>
      <c r="AP5" s="465"/>
      <c r="AQ5" s="195">
        <f>COUNTIF(AQ9:AQ1048576,"NOK")</f>
        <v>0</v>
      </c>
      <c r="AR5" s="196" t="s">
        <v>17</v>
      </c>
      <c r="AS5" s="197">
        <f>COUNTIF(AS9:AS1048576,"NOK")</f>
        <v>0</v>
      </c>
      <c r="AT5" s="196" t="s">
        <v>17</v>
      </c>
      <c r="AU5" s="199"/>
      <c r="AV5" s="475"/>
      <c r="AW5" s="476"/>
      <c r="AX5" s="464"/>
      <c r="AY5" s="465"/>
      <c r="AZ5" s="195">
        <f>COUNTIF(AZ9:AZ1048576,"NOK")</f>
        <v>0</v>
      </c>
      <c r="BA5" s="196" t="s">
        <v>17</v>
      </c>
      <c r="BB5" s="197">
        <f>COUNTIF(BB9:BB1048576,"NOK")</f>
        <v>0</v>
      </c>
      <c r="BC5" s="196" t="s">
        <v>17</v>
      </c>
      <c r="BD5" s="199"/>
      <c r="BE5" s="475"/>
      <c r="BF5" s="476"/>
      <c r="BG5" s="464"/>
      <c r="BH5" s="465"/>
      <c r="BI5" s="195">
        <f>COUNTIF(BI9:BI1048576,"NOK")</f>
        <v>0</v>
      </c>
      <c r="BJ5" s="196" t="s">
        <v>17</v>
      </c>
      <c r="BK5" s="197">
        <f>COUNTIF(BK9:BK1048576,"NOK")</f>
        <v>0</v>
      </c>
      <c r="BL5" s="196" t="s">
        <v>17</v>
      </c>
      <c r="BM5" s="199"/>
      <c r="BN5" s="475"/>
      <c r="BO5" s="476"/>
      <c r="BP5" s="464"/>
      <c r="BQ5" s="465"/>
      <c r="BR5" s="195">
        <f>COUNTIF(BR9:BR1048576,"NOK")</f>
        <v>0</v>
      </c>
      <c r="BS5" s="196" t="s">
        <v>17</v>
      </c>
      <c r="BT5" s="197">
        <f>COUNTIF(BT9:BT1048576,"NOK")</f>
        <v>0</v>
      </c>
      <c r="BU5" s="196" t="s">
        <v>17</v>
      </c>
      <c r="BV5" s="199"/>
      <c r="BW5" s="475"/>
      <c r="BX5" s="476"/>
      <c r="BY5" s="464"/>
      <c r="BZ5" s="465"/>
      <c r="CA5" s="195">
        <f>COUNTIF(CA9:CA1048576,"NOK")</f>
        <v>0</v>
      </c>
      <c r="CB5" s="196" t="s">
        <v>17</v>
      </c>
      <c r="CC5" s="197">
        <f>COUNTIF(CC9:CC1048576,"NOK")</f>
        <v>0</v>
      </c>
      <c r="CD5" s="196" t="s">
        <v>17</v>
      </c>
      <c r="CE5" s="199"/>
      <c r="CF5" s="475"/>
      <c r="CG5" s="476"/>
      <c r="CH5" s="464"/>
      <c r="CI5" s="465"/>
      <c r="CJ5" s="195">
        <f>COUNTIF(CJ9:CJ1048576,"NOK")</f>
        <v>0</v>
      </c>
      <c r="CK5" s="196" t="s">
        <v>17</v>
      </c>
      <c r="CL5" s="197">
        <f>COUNTIF(CL9:CL1048576,"NOK")</f>
        <v>0</v>
      </c>
      <c r="CM5" s="196" t="s">
        <v>17</v>
      </c>
      <c r="CN5" s="200"/>
    </row>
    <row r="6" spans="1:92" ht="42" customHeight="1" x14ac:dyDescent="0.25">
      <c r="A6" s="469"/>
      <c r="B6" s="470"/>
      <c r="C6" s="470"/>
      <c r="D6" s="199"/>
      <c r="E6" s="496" t="s">
        <v>1770</v>
      </c>
      <c r="F6" s="497"/>
      <c r="G6" s="201" t="s">
        <v>19</v>
      </c>
      <c r="H6" s="22" t="s">
        <v>19</v>
      </c>
      <c r="I6" s="197">
        <f>COUNTIF(I9:I1048576,"DEVIATION")</f>
        <v>0</v>
      </c>
      <c r="J6" s="22" t="s">
        <v>19</v>
      </c>
      <c r="K6" s="199"/>
      <c r="L6" s="420" t="s">
        <v>1770</v>
      </c>
      <c r="M6" s="421"/>
      <c r="N6" s="416"/>
      <c r="O6" s="417"/>
      <c r="P6" s="201" t="s">
        <v>19</v>
      </c>
      <c r="Q6" s="22" t="s">
        <v>19</v>
      </c>
      <c r="R6" s="197">
        <f>COUNTIF(R9:R1048576,"DEVIATION")</f>
        <v>0</v>
      </c>
      <c r="S6" s="276" t="s">
        <v>1774</v>
      </c>
      <c r="T6" s="199"/>
      <c r="U6" s="496" t="s">
        <v>1770</v>
      </c>
      <c r="V6" s="497"/>
      <c r="W6" s="464"/>
      <c r="X6" s="465"/>
      <c r="Y6" s="201" t="s">
        <v>19</v>
      </c>
      <c r="Z6" s="196" t="s">
        <v>19</v>
      </c>
      <c r="AA6" s="265">
        <f>COUNTIF(AA9:AA1048576,"DEVIATION")</f>
        <v>0</v>
      </c>
      <c r="AB6" s="269" t="s">
        <v>1774</v>
      </c>
      <c r="AC6" s="199"/>
      <c r="AD6" s="496" t="s">
        <v>1770</v>
      </c>
      <c r="AE6" s="497"/>
      <c r="AF6" s="464"/>
      <c r="AG6" s="465"/>
      <c r="AH6" s="201" t="s">
        <v>19</v>
      </c>
      <c r="AI6" s="196" t="s">
        <v>19</v>
      </c>
      <c r="AJ6" s="283">
        <f>COUNTIF(AJ9:AJ1048576,"DEVIATION")</f>
        <v>0</v>
      </c>
      <c r="AK6" s="269" t="s">
        <v>1774</v>
      </c>
      <c r="AL6" s="199"/>
      <c r="AM6" s="496" t="s">
        <v>1770</v>
      </c>
      <c r="AN6" s="493"/>
      <c r="AO6" s="464"/>
      <c r="AP6" s="465"/>
      <c r="AQ6" s="201" t="s">
        <v>19</v>
      </c>
      <c r="AR6" s="196" t="s">
        <v>19</v>
      </c>
      <c r="AS6" s="197">
        <f>COUNTIF(AS9:AS1048576,"DEVIATION")</f>
        <v>0</v>
      </c>
      <c r="AT6" s="196" t="s">
        <v>20</v>
      </c>
      <c r="AU6" s="199"/>
      <c r="AV6" s="496" t="s">
        <v>1770</v>
      </c>
      <c r="AW6" s="493"/>
      <c r="AX6" s="464"/>
      <c r="AY6" s="465"/>
      <c r="AZ6" s="201" t="s">
        <v>19</v>
      </c>
      <c r="BA6" s="196" t="s">
        <v>19</v>
      </c>
      <c r="BB6" s="197">
        <f>COUNTIF(BB9:BB1048576,"DEVIATION")</f>
        <v>0</v>
      </c>
      <c r="BC6" s="196" t="s">
        <v>20</v>
      </c>
      <c r="BD6" s="199"/>
      <c r="BE6" s="492" t="s">
        <v>18</v>
      </c>
      <c r="BF6" s="493"/>
      <c r="BG6" s="464"/>
      <c r="BH6" s="465"/>
      <c r="BI6" s="201" t="s">
        <v>19</v>
      </c>
      <c r="BJ6" s="196" t="s">
        <v>19</v>
      </c>
      <c r="BK6" s="197">
        <f>COUNTIF(BK9:BK1048576,"DEVIATION")</f>
        <v>0</v>
      </c>
      <c r="BL6" s="196" t="s">
        <v>20</v>
      </c>
      <c r="BM6" s="199"/>
      <c r="BN6" s="492" t="s">
        <v>18</v>
      </c>
      <c r="BO6" s="493"/>
      <c r="BP6" s="464"/>
      <c r="BQ6" s="465"/>
      <c r="BR6" s="201" t="s">
        <v>19</v>
      </c>
      <c r="BS6" s="196" t="s">
        <v>19</v>
      </c>
      <c r="BT6" s="197">
        <f>COUNTIF(BT9:BT1048576,"DEVIATION")</f>
        <v>0</v>
      </c>
      <c r="BU6" s="196" t="s">
        <v>20</v>
      </c>
      <c r="BV6" s="199"/>
      <c r="BW6" s="492" t="s">
        <v>18</v>
      </c>
      <c r="BX6" s="493"/>
      <c r="BY6" s="464"/>
      <c r="BZ6" s="465"/>
      <c r="CA6" s="201" t="s">
        <v>19</v>
      </c>
      <c r="CB6" s="196" t="s">
        <v>19</v>
      </c>
      <c r="CC6" s="197">
        <f>COUNTIF(CC9:CC1048576,"DEVIATION")</f>
        <v>0</v>
      </c>
      <c r="CD6" s="196" t="s">
        <v>20</v>
      </c>
      <c r="CE6" s="199"/>
      <c r="CF6" s="492" t="s">
        <v>18</v>
      </c>
      <c r="CG6" s="493"/>
      <c r="CH6" s="464"/>
      <c r="CI6" s="465"/>
      <c r="CJ6" s="201" t="s">
        <v>19</v>
      </c>
      <c r="CK6" s="196" t="s">
        <v>19</v>
      </c>
      <c r="CL6" s="197">
        <f>COUNTIF(CL9:CL1048576,"DEVIATION")</f>
        <v>0</v>
      </c>
      <c r="CM6" s="196" t="s">
        <v>20</v>
      </c>
      <c r="CN6" s="200"/>
    </row>
    <row r="7" spans="1:92" ht="42" customHeight="1" thickBot="1" x14ac:dyDescent="0.3">
      <c r="A7" s="471"/>
      <c r="B7" s="472"/>
      <c r="C7" s="472"/>
      <c r="D7" s="194"/>
      <c r="E7" s="494" t="s">
        <v>32</v>
      </c>
      <c r="F7" s="495"/>
      <c r="G7" s="201" t="s">
        <v>19</v>
      </c>
      <c r="H7" s="22" t="s">
        <v>19</v>
      </c>
      <c r="I7" s="197">
        <f>COUNTIF(I9:I1048576,"STANDBY")</f>
        <v>0</v>
      </c>
      <c r="J7" s="22" t="s">
        <v>19</v>
      </c>
      <c r="K7" s="194"/>
      <c r="L7" s="430"/>
      <c r="M7" s="431"/>
      <c r="N7" s="418"/>
      <c r="O7" s="419"/>
      <c r="P7" s="201" t="s">
        <v>19</v>
      </c>
      <c r="Q7" s="22" t="s">
        <v>19</v>
      </c>
      <c r="R7" s="197">
        <f>COUNTIF(R9:R1048576,"STANDBY")</f>
        <v>0</v>
      </c>
      <c r="S7" s="276" t="s">
        <v>1775</v>
      </c>
      <c r="T7" s="194"/>
      <c r="U7" s="494"/>
      <c r="V7" s="495"/>
      <c r="W7" s="466"/>
      <c r="X7" s="467"/>
      <c r="Y7" s="201" t="s">
        <v>19</v>
      </c>
      <c r="Z7" s="196" t="s">
        <v>19</v>
      </c>
      <c r="AA7" s="265">
        <f>COUNTIF(AA9:AA1048576,"STANDBY")</f>
        <v>0</v>
      </c>
      <c r="AB7" s="269" t="s">
        <v>1775</v>
      </c>
      <c r="AC7" s="194"/>
      <c r="AD7" s="494"/>
      <c r="AE7" s="495"/>
      <c r="AF7" s="466"/>
      <c r="AG7" s="467"/>
      <c r="AH7" s="201" t="s">
        <v>19</v>
      </c>
      <c r="AI7" s="196" t="s">
        <v>19</v>
      </c>
      <c r="AJ7" s="283">
        <f>COUNTIF(AJ9:AJ1048576,"STANDBY")</f>
        <v>0</v>
      </c>
      <c r="AK7" s="269" t="s">
        <v>1775</v>
      </c>
      <c r="AL7" s="194"/>
      <c r="AM7" s="494"/>
      <c r="AN7" s="495"/>
      <c r="AO7" s="491"/>
      <c r="AP7" s="467"/>
      <c r="AQ7" s="201" t="s">
        <v>19</v>
      </c>
      <c r="AR7" s="196" t="s">
        <v>19</v>
      </c>
      <c r="AS7" s="197">
        <f>COUNTIF(AS9:AS1048576,"STANDBY")</f>
        <v>0</v>
      </c>
      <c r="AT7" s="196" t="s">
        <v>21</v>
      </c>
      <c r="AU7" s="194"/>
      <c r="AV7" s="494"/>
      <c r="AW7" s="495"/>
      <c r="AX7" s="491"/>
      <c r="AY7" s="467"/>
      <c r="AZ7" s="201" t="s">
        <v>19</v>
      </c>
      <c r="BA7" s="196" t="s">
        <v>19</v>
      </c>
      <c r="BB7" s="197">
        <f>COUNTIF(BB9:BB1048576,"STANDBY")</f>
        <v>0</v>
      </c>
      <c r="BC7" s="196" t="s">
        <v>21</v>
      </c>
      <c r="BD7" s="194"/>
      <c r="BE7" s="494"/>
      <c r="BF7" s="495"/>
      <c r="BG7" s="491"/>
      <c r="BH7" s="467"/>
      <c r="BI7" s="201" t="s">
        <v>19</v>
      </c>
      <c r="BJ7" s="196" t="s">
        <v>19</v>
      </c>
      <c r="BK7" s="197">
        <f>COUNTIF(BK9:BK1048576,"STANDBY")</f>
        <v>0</v>
      </c>
      <c r="BL7" s="196" t="s">
        <v>21</v>
      </c>
      <c r="BM7" s="194"/>
      <c r="BN7" s="494"/>
      <c r="BO7" s="495"/>
      <c r="BP7" s="491"/>
      <c r="BQ7" s="467"/>
      <c r="BR7" s="201" t="s">
        <v>19</v>
      </c>
      <c r="BS7" s="196" t="s">
        <v>19</v>
      </c>
      <c r="BT7" s="197">
        <f>COUNTIF(BT9:BT1048576,"STANDBY")</f>
        <v>0</v>
      </c>
      <c r="BU7" s="196" t="s">
        <v>21</v>
      </c>
      <c r="BV7" s="194"/>
      <c r="BW7" s="494"/>
      <c r="BX7" s="495"/>
      <c r="BY7" s="491"/>
      <c r="BZ7" s="467"/>
      <c r="CA7" s="201" t="s">
        <v>19</v>
      </c>
      <c r="CB7" s="196" t="s">
        <v>19</v>
      </c>
      <c r="CC7" s="197">
        <f>COUNTIF(CC9:CC1048576,"STANDBY")</f>
        <v>0</v>
      </c>
      <c r="CD7" s="196" t="s">
        <v>21</v>
      </c>
      <c r="CE7" s="194"/>
      <c r="CF7" s="494"/>
      <c r="CG7" s="495"/>
      <c r="CH7" s="491"/>
      <c r="CI7" s="467"/>
      <c r="CJ7" s="201" t="s">
        <v>19</v>
      </c>
      <c r="CK7" s="196" t="s">
        <v>19</v>
      </c>
      <c r="CL7" s="197">
        <f>COUNTIF(CL9:CL1048576,"STANDBY")</f>
        <v>0</v>
      </c>
      <c r="CM7" s="196" t="s">
        <v>21</v>
      </c>
      <c r="CN7" s="198"/>
    </row>
    <row r="8" spans="1:92" ht="31.5" thickBot="1" x14ac:dyDescent="0.3">
      <c r="A8" s="164" t="s">
        <v>733</v>
      </c>
      <c r="B8" s="202" t="s">
        <v>734</v>
      </c>
      <c r="C8" s="156" t="s">
        <v>735</v>
      </c>
      <c r="D8" s="62"/>
      <c r="E8" s="157" t="s">
        <v>537</v>
      </c>
      <c r="F8" s="158" t="s">
        <v>1766</v>
      </c>
      <c r="G8" s="270" t="s">
        <v>1776</v>
      </c>
      <c r="H8" s="274" t="s">
        <v>1777</v>
      </c>
      <c r="I8" s="272" t="s">
        <v>1778</v>
      </c>
      <c r="J8" s="274" t="s">
        <v>1777</v>
      </c>
      <c r="K8" s="203"/>
      <c r="L8" s="157" t="s">
        <v>537</v>
      </c>
      <c r="M8" s="158" t="s">
        <v>1766</v>
      </c>
      <c r="N8" s="157" t="s">
        <v>1767</v>
      </c>
      <c r="O8" s="157" t="s">
        <v>2423</v>
      </c>
      <c r="P8" s="273" t="s">
        <v>1776</v>
      </c>
      <c r="Q8" s="274" t="s">
        <v>1777</v>
      </c>
      <c r="R8" s="275" t="s">
        <v>1778</v>
      </c>
      <c r="S8" s="274" t="s">
        <v>1777</v>
      </c>
      <c r="T8" s="203"/>
      <c r="U8" s="157" t="s">
        <v>537</v>
      </c>
      <c r="V8" s="158" t="s">
        <v>1766</v>
      </c>
      <c r="W8" s="157" t="s">
        <v>1767</v>
      </c>
      <c r="X8" s="157" t="s">
        <v>1768</v>
      </c>
      <c r="Y8" s="270" t="s">
        <v>1776</v>
      </c>
      <c r="Z8" s="271" t="s">
        <v>1777</v>
      </c>
      <c r="AA8" s="272" t="s">
        <v>1778</v>
      </c>
      <c r="AB8" s="271" t="s">
        <v>1777</v>
      </c>
      <c r="AC8" s="203"/>
      <c r="AD8" s="157" t="s">
        <v>537</v>
      </c>
      <c r="AE8" s="158" t="s">
        <v>1766</v>
      </c>
      <c r="AF8" s="157" t="s">
        <v>1767</v>
      </c>
      <c r="AG8" s="157" t="s">
        <v>1768</v>
      </c>
      <c r="AH8" s="270" t="s">
        <v>1776</v>
      </c>
      <c r="AI8" s="271" t="s">
        <v>1777</v>
      </c>
      <c r="AJ8" s="272" t="s">
        <v>1778</v>
      </c>
      <c r="AK8" s="271" t="s">
        <v>1777</v>
      </c>
      <c r="AL8" s="203"/>
      <c r="AM8" s="118" t="s">
        <v>535</v>
      </c>
      <c r="AN8" s="59" t="s">
        <v>22</v>
      </c>
      <c r="AO8" s="59" t="s">
        <v>26</v>
      </c>
      <c r="AP8" s="59" t="s">
        <v>27</v>
      </c>
      <c r="AQ8" s="204" t="s">
        <v>23</v>
      </c>
      <c r="AR8" s="205" t="s">
        <v>24</v>
      </c>
      <c r="AS8" s="206" t="s">
        <v>25</v>
      </c>
      <c r="AT8" s="205" t="s">
        <v>24</v>
      </c>
      <c r="AU8" s="203"/>
      <c r="AV8" s="118" t="s">
        <v>535</v>
      </c>
      <c r="AW8" s="59" t="s">
        <v>22</v>
      </c>
      <c r="AX8" s="59" t="s">
        <v>26</v>
      </c>
      <c r="AY8" s="59" t="s">
        <v>27</v>
      </c>
      <c r="AZ8" s="204" t="s">
        <v>23</v>
      </c>
      <c r="BA8" s="205" t="s">
        <v>24</v>
      </c>
      <c r="BB8" s="206" t="s">
        <v>25</v>
      </c>
      <c r="BC8" s="205" t="s">
        <v>24</v>
      </c>
      <c r="BD8" s="203"/>
      <c r="BE8" s="118" t="s">
        <v>535</v>
      </c>
      <c r="BF8" s="59" t="s">
        <v>22</v>
      </c>
      <c r="BG8" s="59" t="s">
        <v>26</v>
      </c>
      <c r="BH8" s="59" t="s">
        <v>27</v>
      </c>
      <c r="BI8" s="204" t="s">
        <v>23</v>
      </c>
      <c r="BJ8" s="205" t="s">
        <v>24</v>
      </c>
      <c r="BK8" s="206" t="s">
        <v>25</v>
      </c>
      <c r="BL8" s="205" t="s">
        <v>24</v>
      </c>
      <c r="BM8" s="203"/>
      <c r="BN8" s="118" t="s">
        <v>535</v>
      </c>
      <c r="BO8" s="59" t="s">
        <v>22</v>
      </c>
      <c r="BP8" s="59" t="s">
        <v>26</v>
      </c>
      <c r="BQ8" s="59" t="s">
        <v>27</v>
      </c>
      <c r="BR8" s="204" t="s">
        <v>23</v>
      </c>
      <c r="BS8" s="205" t="s">
        <v>24</v>
      </c>
      <c r="BT8" s="206" t="s">
        <v>25</v>
      </c>
      <c r="BU8" s="205" t="s">
        <v>24</v>
      </c>
      <c r="BV8" s="203"/>
      <c r="BW8" s="118" t="s">
        <v>535</v>
      </c>
      <c r="BX8" s="59" t="s">
        <v>22</v>
      </c>
      <c r="BY8" s="59" t="s">
        <v>26</v>
      </c>
      <c r="BZ8" s="59" t="s">
        <v>27</v>
      </c>
      <c r="CA8" s="204" t="s">
        <v>23</v>
      </c>
      <c r="CB8" s="205" t="s">
        <v>24</v>
      </c>
      <c r="CC8" s="206" t="s">
        <v>25</v>
      </c>
      <c r="CD8" s="205" t="s">
        <v>24</v>
      </c>
      <c r="CE8" s="203"/>
      <c r="CF8" s="118" t="s">
        <v>535</v>
      </c>
      <c r="CG8" s="59" t="s">
        <v>22</v>
      </c>
      <c r="CH8" s="59" t="s">
        <v>26</v>
      </c>
      <c r="CI8" s="59" t="s">
        <v>27</v>
      </c>
      <c r="CJ8" s="204" t="s">
        <v>23</v>
      </c>
      <c r="CK8" s="205" t="s">
        <v>24</v>
      </c>
      <c r="CL8" s="206" t="s">
        <v>25</v>
      </c>
      <c r="CM8" s="205" t="s">
        <v>24</v>
      </c>
      <c r="CN8" s="207"/>
    </row>
    <row r="9" spans="1:92" ht="13" x14ac:dyDescent="0.25">
      <c r="A9" s="162" t="s">
        <v>697</v>
      </c>
      <c r="B9" s="210" t="s">
        <v>698</v>
      </c>
      <c r="C9" s="211"/>
      <c r="D9" s="209"/>
      <c r="E9" s="126" t="s">
        <v>583</v>
      </c>
      <c r="F9" s="166" t="s">
        <v>1249</v>
      </c>
      <c r="G9" s="111"/>
      <c r="H9" s="112"/>
      <c r="I9" s="113"/>
      <c r="J9" s="112"/>
      <c r="K9" s="209"/>
      <c r="L9" s="126"/>
      <c r="M9" s="166"/>
      <c r="N9" s="212" t="str">
        <f t="shared" ref="N9:N11" si="0">IF(LEFT(M9,1)&lt;&gt;"x","NA",IF(RIGHT(L9,3)=RIGHT(E9,3),IF(RIGHT(L9,3)&lt;&gt;RIGHT(E9,3),IF(OR(AND(RIGHT(L9,3)=RIGHT(E9,3),M9=F9)),"NO","YES"),"NO"),IF(OR(RIGHT(L9,3)=RIGHT(E9,3)),"ERROR","YES")))</f>
        <v>NA</v>
      </c>
      <c r="O9" s="212" t="str">
        <f t="shared" ref="O9:O11" si="1">IF(LEFT(F9,1)&lt;&gt;LEFT(M9,1),"YES",IF(LEFT(M9,1)="x","NO","NA"))</f>
        <v>YES</v>
      </c>
      <c r="P9" s="111" t="s">
        <v>2470</v>
      </c>
      <c r="Q9" s="112" t="s">
        <v>2480</v>
      </c>
      <c r="R9" s="113"/>
      <c r="S9" s="112"/>
      <c r="T9" s="209"/>
      <c r="U9" s="126"/>
      <c r="V9" s="166"/>
      <c r="W9" s="213" t="str">
        <f t="shared" ref="W9:W24" si="2">IF(LEFT(V9,1)&lt;&gt;"x","NA",IF(RIGHT(U9,3)=RIGHT(L9,3),IF(RIGHT(U9,3)&lt;&gt;RIGHT(E9,3),IF(OR(AND(RIGHT(U9,3)=RIGHT(L9,3),V9=M9),AND(RIGHT(U9,3)=RIGHT(E9,3),V9=F9)),"NO","YES"),"NO"),IF(OR(RIGHT(U9,3)=RIGHT(L9,3),RIGHT(U9,3)=RIGHT(E9,3)),"ERROR","YES")))</f>
        <v>NA</v>
      </c>
      <c r="X9" s="212" t="str">
        <f t="shared" ref="X9:X24" si="3">IF(LEFT(M9,1)&lt;&gt;LEFT(V9,1),"YES",IF(LEFT(V9,1)="x","NO","NA"))</f>
        <v>NA</v>
      </c>
      <c r="Y9" s="111"/>
      <c r="Z9" s="112"/>
      <c r="AA9" s="113"/>
      <c r="AB9" s="112"/>
      <c r="AC9" s="209"/>
      <c r="AD9" s="126"/>
      <c r="AE9" s="166"/>
      <c r="AF9" s="213" t="str">
        <f t="shared" ref="AF9:AF11" si="4">IF(LEFT(AE9,1)&lt;&gt;"x","NA",IF(RIGHT(AD9,3)=RIGHT(U9,3),IF(RIGHT(AD9,3)&lt;&gt;RIGHT(N9,3),IF(OR(AND(RIGHT(AD9,3)=RIGHT(U9,3),AE9=V9),AND(RIGHT(AD9,3)=RIGHT(N9,3),AE9=O9)),"NO","YES"),"NO"),IF(OR(RIGHT(AD9,3)=RIGHT(U9,3),RIGHT(AD9,3)=RIGHT(N9,3)),"ERROR","YES")))</f>
        <v>NA</v>
      </c>
      <c r="AG9" s="212" t="str">
        <f t="shared" ref="AG9:AG11" si="5">IF(LEFT(V9,1)&lt;&gt;LEFT(AE9,1),"YES",IF(LEFT(AE9,1)="x","NO","NA"))</f>
        <v>NA</v>
      </c>
      <c r="AH9" s="111"/>
      <c r="AI9" s="112"/>
      <c r="AJ9" s="113"/>
      <c r="AK9" s="112"/>
      <c r="AL9" s="209"/>
      <c r="AM9" s="161"/>
      <c r="AN9" s="166"/>
      <c r="AO9" s="212"/>
      <c r="AP9" s="212"/>
      <c r="AQ9" s="111"/>
      <c r="AR9" s="112"/>
      <c r="AS9" s="113"/>
      <c r="AT9" s="112"/>
      <c r="AU9" s="209"/>
      <c r="AV9" s="161"/>
      <c r="AW9" s="166"/>
      <c r="AX9" s="212"/>
      <c r="AY9" s="212"/>
      <c r="AZ9" s="111"/>
      <c r="BA9" s="112"/>
      <c r="BB9" s="113"/>
      <c r="BC9" s="112"/>
      <c r="BD9" s="209"/>
      <c r="BE9" s="161"/>
      <c r="BF9" s="166"/>
      <c r="BG9" s="212"/>
      <c r="BH9" s="212"/>
      <c r="BI9" s="111"/>
      <c r="BJ9" s="112"/>
      <c r="BK9" s="113"/>
      <c r="BL9" s="112"/>
      <c r="BM9" s="209"/>
      <c r="BN9" s="161"/>
      <c r="BO9" s="166"/>
      <c r="BP9" s="212"/>
      <c r="BQ9" s="212"/>
      <c r="BR9" s="111"/>
      <c r="BS9" s="112"/>
      <c r="BT9" s="113"/>
      <c r="BU9" s="112"/>
      <c r="BV9" s="209"/>
      <c r="BW9" s="161"/>
      <c r="BX9" s="166"/>
      <c r="BY9" s="212"/>
      <c r="BZ9" s="212"/>
      <c r="CA9" s="111"/>
      <c r="CB9" s="112"/>
      <c r="CC9" s="113"/>
      <c r="CD9" s="112"/>
      <c r="CE9" s="209"/>
      <c r="CF9" s="161"/>
      <c r="CG9" s="166"/>
      <c r="CH9" s="212"/>
      <c r="CI9" s="212"/>
      <c r="CJ9" s="111"/>
      <c r="CK9" s="112"/>
      <c r="CL9" s="113"/>
      <c r="CM9" s="112"/>
      <c r="CN9" s="208"/>
    </row>
    <row r="10" spans="1:92" ht="13" x14ac:dyDescent="0.25">
      <c r="A10" s="246" t="s">
        <v>1250</v>
      </c>
      <c r="B10" s="210" t="s">
        <v>1251</v>
      </c>
      <c r="C10" s="211"/>
      <c r="D10" s="209"/>
      <c r="E10" s="126" t="s">
        <v>354</v>
      </c>
      <c r="F10" s="166" t="s">
        <v>1249</v>
      </c>
      <c r="G10" s="111"/>
      <c r="H10" s="112"/>
      <c r="I10" s="113"/>
      <c r="J10" s="112"/>
      <c r="K10" s="209"/>
      <c r="L10" s="126"/>
      <c r="M10" s="166"/>
      <c r="N10" s="212" t="str">
        <f t="shared" si="0"/>
        <v>NA</v>
      </c>
      <c r="O10" s="212" t="str">
        <f t="shared" si="1"/>
        <v>YES</v>
      </c>
      <c r="P10" s="111" t="s">
        <v>2470</v>
      </c>
      <c r="Q10" s="112"/>
      <c r="R10" s="113"/>
      <c r="S10" s="112"/>
      <c r="T10" s="209"/>
      <c r="U10" s="126"/>
      <c r="V10" s="166"/>
      <c r="W10" s="213" t="str">
        <f t="shared" si="2"/>
        <v>NA</v>
      </c>
      <c r="X10" s="212" t="str">
        <f t="shared" si="3"/>
        <v>NA</v>
      </c>
      <c r="Y10" s="111"/>
      <c r="Z10" s="112"/>
      <c r="AA10" s="113"/>
      <c r="AB10" s="112"/>
      <c r="AC10" s="209"/>
      <c r="AD10" s="126"/>
      <c r="AE10" s="166"/>
      <c r="AF10" s="213" t="str">
        <f t="shared" si="4"/>
        <v>NA</v>
      </c>
      <c r="AG10" s="212" t="str">
        <f t="shared" si="5"/>
        <v>NA</v>
      </c>
      <c r="AH10" s="111"/>
      <c r="AI10" s="112"/>
      <c r="AJ10" s="113"/>
      <c r="AK10" s="112"/>
      <c r="AL10" s="209"/>
      <c r="AM10" s="161"/>
      <c r="AN10" s="166"/>
      <c r="AO10" s="212"/>
      <c r="AP10" s="212"/>
      <c r="AQ10" s="111"/>
      <c r="AR10" s="112"/>
      <c r="AS10" s="113"/>
      <c r="AT10" s="112"/>
      <c r="AU10" s="209"/>
      <c r="AV10" s="161"/>
      <c r="AW10" s="166"/>
      <c r="AX10" s="212"/>
      <c r="AY10" s="212"/>
      <c r="AZ10" s="111"/>
      <c r="BA10" s="112"/>
      <c r="BB10" s="113"/>
      <c r="BC10" s="112"/>
      <c r="BD10" s="209"/>
      <c r="BE10" s="161"/>
      <c r="BF10" s="166"/>
      <c r="BG10" s="212"/>
      <c r="BH10" s="212"/>
      <c r="BI10" s="111"/>
      <c r="BJ10" s="112"/>
      <c r="BK10" s="113"/>
      <c r="BL10" s="112"/>
      <c r="BM10" s="209"/>
      <c r="BN10" s="161"/>
      <c r="BO10" s="166"/>
      <c r="BP10" s="212"/>
      <c r="BQ10" s="212"/>
      <c r="BR10" s="111"/>
      <c r="BS10" s="112"/>
      <c r="BT10" s="113"/>
      <c r="BU10" s="112"/>
      <c r="BV10" s="209"/>
      <c r="BW10" s="161"/>
      <c r="BX10" s="166"/>
      <c r="BY10" s="212"/>
      <c r="BZ10" s="212"/>
      <c r="CA10" s="111"/>
      <c r="CB10" s="112"/>
      <c r="CC10" s="113"/>
      <c r="CD10" s="112"/>
      <c r="CE10" s="209"/>
      <c r="CF10" s="161"/>
      <c r="CG10" s="166"/>
      <c r="CH10" s="212"/>
      <c r="CI10" s="212"/>
      <c r="CJ10" s="111"/>
      <c r="CK10" s="112"/>
      <c r="CL10" s="113"/>
      <c r="CM10" s="112"/>
      <c r="CN10" s="208"/>
    </row>
    <row r="11" spans="1:92" ht="13" x14ac:dyDescent="0.25">
      <c r="A11" s="162" t="s">
        <v>699</v>
      </c>
      <c r="B11" s="210" t="s">
        <v>700</v>
      </c>
      <c r="C11" s="211"/>
      <c r="D11" s="209"/>
      <c r="E11" s="126" t="s">
        <v>354</v>
      </c>
      <c r="F11" s="166" t="s">
        <v>1249</v>
      </c>
      <c r="G11" s="111"/>
      <c r="H11" s="112"/>
      <c r="I11" s="113"/>
      <c r="J11" s="112"/>
      <c r="K11" s="209"/>
      <c r="L11" s="126"/>
      <c r="M11" s="166"/>
      <c r="N11" s="212" t="str">
        <f t="shared" si="0"/>
        <v>NA</v>
      </c>
      <c r="O11" s="212" t="str">
        <f t="shared" si="1"/>
        <v>YES</v>
      </c>
      <c r="P11" s="111" t="s">
        <v>2470</v>
      </c>
      <c r="Q11" s="112"/>
      <c r="R11" s="113"/>
      <c r="S11" s="112"/>
      <c r="T11" s="209"/>
      <c r="U11" s="126"/>
      <c r="V11" s="166"/>
      <c r="W11" s="213" t="str">
        <f t="shared" si="2"/>
        <v>NA</v>
      </c>
      <c r="X11" s="212" t="str">
        <f t="shared" si="3"/>
        <v>NA</v>
      </c>
      <c r="Y11" s="111"/>
      <c r="Z11" s="112"/>
      <c r="AA11" s="113"/>
      <c r="AB11" s="112"/>
      <c r="AC11" s="209"/>
      <c r="AD11" s="126"/>
      <c r="AE11" s="166"/>
      <c r="AF11" s="213" t="str">
        <f t="shared" si="4"/>
        <v>NA</v>
      </c>
      <c r="AG11" s="212" t="str">
        <f t="shared" si="5"/>
        <v>NA</v>
      </c>
      <c r="AH11" s="111"/>
      <c r="AI11" s="112"/>
      <c r="AJ11" s="113"/>
      <c r="AK11" s="112"/>
      <c r="AL11" s="209"/>
      <c r="AM11" s="161"/>
      <c r="AN11" s="166"/>
      <c r="AO11" s="212"/>
      <c r="AP11" s="212"/>
      <c r="AQ11" s="111"/>
      <c r="AR11" s="112"/>
      <c r="AS11" s="113"/>
      <c r="AT11" s="112"/>
      <c r="AU11" s="209"/>
      <c r="AV11" s="161"/>
      <c r="AW11" s="166"/>
      <c r="AX11" s="212"/>
      <c r="AY11" s="212"/>
      <c r="AZ11" s="111"/>
      <c r="BA11" s="112"/>
      <c r="BB11" s="113"/>
      <c r="BC11" s="112"/>
      <c r="BD11" s="209"/>
      <c r="BE11" s="161"/>
      <c r="BF11" s="166"/>
      <c r="BG11" s="212"/>
      <c r="BH11" s="212"/>
      <c r="BI11" s="111"/>
      <c r="BJ11" s="112"/>
      <c r="BK11" s="113"/>
      <c r="BL11" s="112"/>
      <c r="BM11" s="209"/>
      <c r="BN11" s="161"/>
      <c r="BO11" s="166"/>
      <c r="BP11" s="212"/>
      <c r="BQ11" s="212"/>
      <c r="BR11" s="111"/>
      <c r="BS11" s="112"/>
      <c r="BT11" s="113"/>
      <c r="BU11" s="112"/>
      <c r="BV11" s="209"/>
      <c r="BW11" s="161"/>
      <c r="BX11" s="166"/>
      <c r="BY11" s="212"/>
      <c r="BZ11" s="212"/>
      <c r="CA11" s="111"/>
      <c r="CB11" s="112"/>
      <c r="CC11" s="113"/>
      <c r="CD11" s="112"/>
      <c r="CE11" s="209"/>
      <c r="CF11" s="161"/>
      <c r="CG11" s="166"/>
      <c r="CH11" s="212"/>
      <c r="CI11" s="212"/>
      <c r="CJ11" s="111"/>
      <c r="CK11" s="112"/>
      <c r="CL11" s="113"/>
      <c r="CM11" s="112"/>
      <c r="CN11" s="208"/>
    </row>
    <row r="12" spans="1:92" ht="13" x14ac:dyDescent="0.25">
      <c r="A12" s="162" t="s">
        <v>701</v>
      </c>
      <c r="B12" s="210" t="s">
        <v>713</v>
      </c>
      <c r="C12" s="211"/>
      <c r="D12" s="209"/>
      <c r="E12" s="126" t="s">
        <v>583</v>
      </c>
      <c r="F12" s="166" t="s">
        <v>1249</v>
      </c>
      <c r="G12" s="111"/>
      <c r="H12" s="112"/>
      <c r="I12" s="113"/>
      <c r="J12" s="112"/>
      <c r="K12" s="209"/>
      <c r="L12" s="126"/>
      <c r="M12" s="166"/>
      <c r="N12" s="212" t="str">
        <f t="shared" ref="N12:N15" si="6">IF(LEFT(M12,1)&lt;&gt;"x","NA",IF(RIGHT(L12,3)=RIGHT(E12,3),IF(RIGHT(L12,3)&lt;&gt;RIGHT(E12,3),IF(OR(AND(RIGHT(L12,3)=RIGHT(E12,3),M12=F12)),"NO","YES"),"NO"),IF(OR(RIGHT(L12,3)=RIGHT(E12,3)),"ERROR","YES")))</f>
        <v>NA</v>
      </c>
      <c r="O12" s="212" t="str">
        <f t="shared" ref="O12:O15" si="7">IF(LEFT(F12,1)&lt;&gt;LEFT(M12,1),"YES",IF(LEFT(M12,1)="x","NO","NA"))</f>
        <v>YES</v>
      </c>
      <c r="P12" s="111" t="s">
        <v>2470</v>
      </c>
      <c r="Q12" s="112"/>
      <c r="R12" s="113"/>
      <c r="S12" s="112"/>
      <c r="T12" s="209"/>
      <c r="U12" s="126"/>
      <c r="V12" s="166"/>
      <c r="W12" s="213" t="str">
        <f t="shared" si="2"/>
        <v>NA</v>
      </c>
      <c r="X12" s="212" t="str">
        <f t="shared" si="3"/>
        <v>NA</v>
      </c>
      <c r="Y12" s="111"/>
      <c r="Z12" s="112"/>
      <c r="AA12" s="113"/>
      <c r="AB12" s="112"/>
      <c r="AC12" s="209"/>
      <c r="AD12" s="126"/>
      <c r="AE12" s="166"/>
      <c r="AF12" s="213" t="str">
        <f t="shared" ref="AF12:AF15" si="8">IF(LEFT(AE12,1)&lt;&gt;"x","NA",IF(RIGHT(AD12,3)=RIGHT(U12,3),IF(RIGHT(AD12,3)&lt;&gt;RIGHT(N12,3),IF(OR(AND(RIGHT(AD12,3)=RIGHT(U12,3),AE12=V12),AND(RIGHT(AD12,3)=RIGHT(N12,3),AE12=O12)),"NO","YES"),"NO"),IF(OR(RIGHT(AD12,3)=RIGHT(U12,3),RIGHT(AD12,3)=RIGHT(N12,3)),"ERROR","YES")))</f>
        <v>NA</v>
      </c>
      <c r="AG12" s="212" t="str">
        <f t="shared" ref="AG12:AG15" si="9">IF(LEFT(V12,1)&lt;&gt;LEFT(AE12,1),"YES",IF(LEFT(AE12,1)="x","NO","NA"))</f>
        <v>NA</v>
      </c>
      <c r="AH12" s="111"/>
      <c r="AI12" s="112"/>
      <c r="AJ12" s="113"/>
      <c r="AK12" s="112"/>
      <c r="AL12" s="209"/>
      <c r="AM12" s="161"/>
      <c r="AN12" s="166"/>
      <c r="AO12" s="212"/>
      <c r="AP12" s="212"/>
      <c r="AQ12" s="111"/>
      <c r="AR12" s="112"/>
      <c r="AS12" s="113"/>
      <c r="AT12" s="112"/>
      <c r="AU12" s="209"/>
      <c r="AV12" s="161"/>
      <c r="AW12" s="166"/>
      <c r="AX12" s="212"/>
      <c r="AY12" s="212"/>
      <c r="AZ12" s="111"/>
      <c r="BA12" s="112"/>
      <c r="BB12" s="113"/>
      <c r="BC12" s="112"/>
      <c r="BD12" s="209"/>
      <c r="BE12" s="161"/>
      <c r="BF12" s="166"/>
      <c r="BG12" s="212"/>
      <c r="BH12" s="212"/>
      <c r="BI12" s="111"/>
      <c r="BJ12" s="112"/>
      <c r="BK12" s="113"/>
      <c r="BL12" s="112"/>
      <c r="BM12" s="209"/>
      <c r="BN12" s="161"/>
      <c r="BO12" s="166"/>
      <c r="BP12" s="212"/>
      <c r="BQ12" s="212"/>
      <c r="BR12" s="111"/>
      <c r="BS12" s="112"/>
      <c r="BT12" s="113"/>
      <c r="BU12" s="112"/>
      <c r="BV12" s="209"/>
      <c r="BW12" s="161"/>
      <c r="BX12" s="166"/>
      <c r="BY12" s="212"/>
      <c r="BZ12" s="212"/>
      <c r="CA12" s="111"/>
      <c r="CB12" s="112"/>
      <c r="CC12" s="113"/>
      <c r="CD12" s="112"/>
      <c r="CE12" s="209"/>
      <c r="CF12" s="161"/>
      <c r="CG12" s="166"/>
      <c r="CH12" s="212"/>
      <c r="CI12" s="212"/>
      <c r="CJ12" s="111"/>
      <c r="CK12" s="112"/>
      <c r="CL12" s="113"/>
      <c r="CM12" s="112"/>
      <c r="CN12" s="208"/>
    </row>
    <row r="13" spans="1:92" ht="13" x14ac:dyDescent="0.25">
      <c r="A13" s="162" t="s">
        <v>702</v>
      </c>
      <c r="B13" s="210" t="s">
        <v>714</v>
      </c>
      <c r="C13" s="211"/>
      <c r="D13" s="209"/>
      <c r="E13" s="126" t="s">
        <v>583</v>
      </c>
      <c r="F13" s="166" t="s">
        <v>1249</v>
      </c>
      <c r="G13" s="111"/>
      <c r="H13" s="112"/>
      <c r="I13" s="113"/>
      <c r="J13" s="112"/>
      <c r="K13" s="209"/>
      <c r="L13" s="126"/>
      <c r="M13" s="166"/>
      <c r="N13" s="212" t="str">
        <f t="shared" si="6"/>
        <v>NA</v>
      </c>
      <c r="O13" s="212" t="str">
        <f t="shared" si="7"/>
        <v>YES</v>
      </c>
      <c r="P13" s="111" t="s">
        <v>2470</v>
      </c>
      <c r="Q13" s="112"/>
      <c r="R13" s="113"/>
      <c r="S13" s="112"/>
      <c r="T13" s="209"/>
      <c r="U13" s="126"/>
      <c r="V13" s="166"/>
      <c r="W13" s="213" t="str">
        <f t="shared" si="2"/>
        <v>NA</v>
      </c>
      <c r="X13" s="212" t="str">
        <f t="shared" si="3"/>
        <v>NA</v>
      </c>
      <c r="Y13" s="111"/>
      <c r="Z13" s="112"/>
      <c r="AA13" s="113"/>
      <c r="AB13" s="112"/>
      <c r="AC13" s="209"/>
      <c r="AD13" s="126"/>
      <c r="AE13" s="166"/>
      <c r="AF13" s="213" t="str">
        <f t="shared" si="8"/>
        <v>NA</v>
      </c>
      <c r="AG13" s="212" t="str">
        <f t="shared" si="9"/>
        <v>NA</v>
      </c>
      <c r="AH13" s="111"/>
      <c r="AI13" s="112"/>
      <c r="AJ13" s="113"/>
      <c r="AK13" s="112"/>
      <c r="AL13" s="209"/>
      <c r="AM13" s="161"/>
      <c r="AN13" s="166"/>
      <c r="AO13" s="212"/>
      <c r="AP13" s="212"/>
      <c r="AQ13" s="111"/>
      <c r="AR13" s="112"/>
      <c r="AS13" s="113"/>
      <c r="AT13" s="112"/>
      <c r="AU13" s="209"/>
      <c r="AV13" s="161"/>
      <c r="AW13" s="166"/>
      <c r="AX13" s="212"/>
      <c r="AY13" s="212"/>
      <c r="AZ13" s="111"/>
      <c r="BA13" s="112"/>
      <c r="BB13" s="113"/>
      <c r="BC13" s="112"/>
      <c r="BD13" s="209"/>
      <c r="BE13" s="161"/>
      <c r="BF13" s="166"/>
      <c r="BG13" s="212"/>
      <c r="BH13" s="212"/>
      <c r="BI13" s="111"/>
      <c r="BJ13" s="112"/>
      <c r="BK13" s="113"/>
      <c r="BL13" s="112"/>
      <c r="BM13" s="209"/>
      <c r="BN13" s="161"/>
      <c r="BO13" s="166"/>
      <c r="BP13" s="212"/>
      <c r="BQ13" s="212"/>
      <c r="BR13" s="111"/>
      <c r="BS13" s="112"/>
      <c r="BT13" s="113"/>
      <c r="BU13" s="112"/>
      <c r="BV13" s="209"/>
      <c r="BW13" s="161"/>
      <c r="BX13" s="166"/>
      <c r="BY13" s="212"/>
      <c r="BZ13" s="212"/>
      <c r="CA13" s="111"/>
      <c r="CB13" s="112"/>
      <c r="CC13" s="113"/>
      <c r="CD13" s="112"/>
      <c r="CE13" s="209"/>
      <c r="CF13" s="161"/>
      <c r="CG13" s="166"/>
      <c r="CH13" s="212"/>
      <c r="CI13" s="212"/>
      <c r="CJ13" s="111"/>
      <c r="CK13" s="112"/>
      <c r="CL13" s="113"/>
      <c r="CM13" s="112"/>
      <c r="CN13" s="208"/>
    </row>
    <row r="14" spans="1:92" ht="13" x14ac:dyDescent="0.25">
      <c r="A14" s="162" t="s">
        <v>703</v>
      </c>
      <c r="B14" s="210" t="s">
        <v>715</v>
      </c>
      <c r="C14" s="211"/>
      <c r="D14" s="209"/>
      <c r="E14" s="126" t="s">
        <v>354</v>
      </c>
      <c r="F14" s="166" t="s">
        <v>1249</v>
      </c>
      <c r="G14" s="111"/>
      <c r="H14" s="112"/>
      <c r="I14" s="113"/>
      <c r="J14" s="112"/>
      <c r="K14" s="209"/>
      <c r="L14" s="126"/>
      <c r="M14" s="166"/>
      <c r="N14" s="212" t="str">
        <f t="shared" si="6"/>
        <v>NA</v>
      </c>
      <c r="O14" s="212" t="str">
        <f t="shared" si="7"/>
        <v>YES</v>
      </c>
      <c r="P14" s="111" t="s">
        <v>2470</v>
      </c>
      <c r="Q14" s="112"/>
      <c r="R14" s="113"/>
      <c r="S14" s="112"/>
      <c r="T14" s="209"/>
      <c r="U14" s="126"/>
      <c r="V14" s="166"/>
      <c r="W14" s="213" t="str">
        <f t="shared" si="2"/>
        <v>NA</v>
      </c>
      <c r="X14" s="212" t="str">
        <f t="shared" si="3"/>
        <v>NA</v>
      </c>
      <c r="Y14" s="111"/>
      <c r="Z14" s="112"/>
      <c r="AA14" s="113"/>
      <c r="AB14" s="112"/>
      <c r="AC14" s="209"/>
      <c r="AD14" s="126"/>
      <c r="AE14" s="166"/>
      <c r="AF14" s="213" t="str">
        <f t="shared" si="8"/>
        <v>NA</v>
      </c>
      <c r="AG14" s="212" t="str">
        <f t="shared" si="9"/>
        <v>NA</v>
      </c>
      <c r="AH14" s="111"/>
      <c r="AI14" s="112"/>
      <c r="AJ14" s="113"/>
      <c r="AK14" s="112"/>
      <c r="AL14" s="209"/>
      <c r="AM14" s="161"/>
      <c r="AN14" s="166"/>
      <c r="AO14" s="212"/>
      <c r="AP14" s="212"/>
      <c r="AQ14" s="111"/>
      <c r="AR14" s="112"/>
      <c r="AS14" s="113"/>
      <c r="AT14" s="112"/>
      <c r="AU14" s="209"/>
      <c r="AV14" s="161"/>
      <c r="AW14" s="166"/>
      <c r="AX14" s="212"/>
      <c r="AY14" s="212"/>
      <c r="AZ14" s="111"/>
      <c r="BA14" s="112"/>
      <c r="BB14" s="113"/>
      <c r="BC14" s="112"/>
      <c r="BD14" s="209"/>
      <c r="BE14" s="161"/>
      <c r="BF14" s="166"/>
      <c r="BG14" s="212"/>
      <c r="BH14" s="212"/>
      <c r="BI14" s="111"/>
      <c r="BJ14" s="112"/>
      <c r="BK14" s="113"/>
      <c r="BL14" s="112"/>
      <c r="BM14" s="209"/>
      <c r="BN14" s="161"/>
      <c r="BO14" s="166"/>
      <c r="BP14" s="212"/>
      <c r="BQ14" s="212"/>
      <c r="BR14" s="111"/>
      <c r="BS14" s="112"/>
      <c r="BT14" s="113"/>
      <c r="BU14" s="112"/>
      <c r="BV14" s="209"/>
      <c r="BW14" s="161"/>
      <c r="BX14" s="166"/>
      <c r="BY14" s="212"/>
      <c r="BZ14" s="212"/>
      <c r="CA14" s="111"/>
      <c r="CB14" s="112"/>
      <c r="CC14" s="113"/>
      <c r="CD14" s="112"/>
      <c r="CE14" s="209"/>
      <c r="CF14" s="161"/>
      <c r="CG14" s="166"/>
      <c r="CH14" s="212"/>
      <c r="CI14" s="212"/>
      <c r="CJ14" s="111"/>
      <c r="CK14" s="112"/>
      <c r="CL14" s="113"/>
      <c r="CM14" s="112"/>
      <c r="CN14" s="208"/>
    </row>
    <row r="15" spans="1:92" ht="13" x14ac:dyDescent="0.25">
      <c r="A15" s="162" t="s">
        <v>704</v>
      </c>
      <c r="B15" s="210" t="s">
        <v>716</v>
      </c>
      <c r="C15" s="211"/>
      <c r="D15" s="209"/>
      <c r="E15" s="126" t="s">
        <v>354</v>
      </c>
      <c r="F15" s="166" t="s">
        <v>1249</v>
      </c>
      <c r="G15" s="111"/>
      <c r="H15" s="112"/>
      <c r="I15" s="113"/>
      <c r="J15" s="112"/>
      <c r="K15" s="209"/>
      <c r="L15" s="126"/>
      <c r="M15" s="166"/>
      <c r="N15" s="212" t="str">
        <f t="shared" si="6"/>
        <v>NA</v>
      </c>
      <c r="O15" s="212" t="str">
        <f t="shared" si="7"/>
        <v>YES</v>
      </c>
      <c r="P15" s="111" t="s">
        <v>2470</v>
      </c>
      <c r="Q15" s="112"/>
      <c r="R15" s="113"/>
      <c r="S15" s="112"/>
      <c r="T15" s="209"/>
      <c r="U15" s="126"/>
      <c r="V15" s="166"/>
      <c r="W15" s="213" t="str">
        <f t="shared" si="2"/>
        <v>NA</v>
      </c>
      <c r="X15" s="212" t="str">
        <f t="shared" si="3"/>
        <v>NA</v>
      </c>
      <c r="Y15" s="111"/>
      <c r="Z15" s="112"/>
      <c r="AA15" s="113"/>
      <c r="AB15" s="112"/>
      <c r="AC15" s="209"/>
      <c r="AD15" s="126"/>
      <c r="AE15" s="166"/>
      <c r="AF15" s="213" t="str">
        <f t="shared" si="8"/>
        <v>NA</v>
      </c>
      <c r="AG15" s="212" t="str">
        <f t="shared" si="9"/>
        <v>NA</v>
      </c>
      <c r="AH15" s="111"/>
      <c r="AI15" s="112"/>
      <c r="AJ15" s="113"/>
      <c r="AK15" s="112"/>
      <c r="AL15" s="209"/>
      <c r="AM15" s="161"/>
      <c r="AN15" s="166"/>
      <c r="AO15" s="212"/>
      <c r="AP15" s="212"/>
      <c r="AQ15" s="111"/>
      <c r="AR15" s="112"/>
      <c r="AS15" s="113"/>
      <c r="AT15" s="112"/>
      <c r="AU15" s="209"/>
      <c r="AV15" s="161"/>
      <c r="AW15" s="166"/>
      <c r="AX15" s="212"/>
      <c r="AY15" s="212"/>
      <c r="AZ15" s="111"/>
      <c r="BA15" s="112"/>
      <c r="BB15" s="113"/>
      <c r="BC15" s="112"/>
      <c r="BD15" s="209"/>
      <c r="BE15" s="161"/>
      <c r="BF15" s="166"/>
      <c r="BG15" s="212"/>
      <c r="BH15" s="212"/>
      <c r="BI15" s="111"/>
      <c r="BJ15" s="112"/>
      <c r="BK15" s="113"/>
      <c r="BL15" s="112"/>
      <c r="BM15" s="209"/>
      <c r="BN15" s="161"/>
      <c r="BO15" s="166"/>
      <c r="BP15" s="212"/>
      <c r="BQ15" s="212"/>
      <c r="BR15" s="111"/>
      <c r="BS15" s="112"/>
      <c r="BT15" s="113"/>
      <c r="BU15" s="112"/>
      <c r="BV15" s="209"/>
      <c r="BW15" s="161"/>
      <c r="BX15" s="166"/>
      <c r="BY15" s="212"/>
      <c r="BZ15" s="212"/>
      <c r="CA15" s="111"/>
      <c r="CB15" s="112"/>
      <c r="CC15" s="113"/>
      <c r="CD15" s="112"/>
      <c r="CE15" s="209"/>
      <c r="CF15" s="161"/>
      <c r="CG15" s="166"/>
      <c r="CH15" s="212"/>
      <c r="CI15" s="212"/>
      <c r="CJ15" s="111"/>
      <c r="CK15" s="112"/>
      <c r="CL15" s="113"/>
      <c r="CM15" s="112"/>
      <c r="CN15" s="208"/>
    </row>
    <row r="16" spans="1:92" ht="13" x14ac:dyDescent="0.25">
      <c r="A16" s="162" t="s">
        <v>705</v>
      </c>
      <c r="B16" s="210" t="s">
        <v>717</v>
      </c>
      <c r="C16" s="211"/>
      <c r="D16" s="209"/>
      <c r="E16" s="126" t="s">
        <v>354</v>
      </c>
      <c r="F16" s="166" t="s">
        <v>1249</v>
      </c>
      <c r="G16" s="111"/>
      <c r="H16" s="112"/>
      <c r="I16" s="113"/>
      <c r="J16" s="112"/>
      <c r="K16" s="209"/>
      <c r="L16" s="126"/>
      <c r="M16" s="166"/>
      <c r="N16" s="212" t="str">
        <f t="shared" ref="N16:N24" si="10">IF(LEFT(M16,1)&lt;&gt;"x","NA",IF(RIGHT(L16,3)=RIGHT(E16,3),IF(RIGHT(L16,3)&lt;&gt;RIGHT(E16,3),IF(OR(AND(RIGHT(L16,3)=RIGHT(E16,3),M16=F16)),"NO","YES"),"NO"),IF(OR(RIGHT(L16,3)=RIGHT(E16,3)),"ERROR","YES")))</f>
        <v>NA</v>
      </c>
      <c r="O16" s="212" t="str">
        <f t="shared" ref="O16:O24" si="11">IF(LEFT(F16,1)&lt;&gt;LEFT(M16,1),"YES",IF(LEFT(M16,1)="x","NO","NA"))</f>
        <v>YES</v>
      </c>
      <c r="P16" s="111" t="s">
        <v>2470</v>
      </c>
      <c r="Q16" s="112"/>
      <c r="R16" s="113"/>
      <c r="S16" s="112"/>
      <c r="T16" s="209"/>
      <c r="U16" s="126"/>
      <c r="V16" s="166"/>
      <c r="W16" s="213" t="str">
        <f t="shared" si="2"/>
        <v>NA</v>
      </c>
      <c r="X16" s="212" t="str">
        <f t="shared" si="3"/>
        <v>NA</v>
      </c>
      <c r="Y16" s="111"/>
      <c r="Z16" s="112"/>
      <c r="AA16" s="113"/>
      <c r="AB16" s="112"/>
      <c r="AC16" s="209"/>
      <c r="AD16" s="126"/>
      <c r="AE16" s="166"/>
      <c r="AF16" s="213" t="str">
        <f t="shared" ref="AF16:AF24" si="12">IF(LEFT(AE16,1)&lt;&gt;"x","NA",IF(RIGHT(AD16,3)=RIGHT(U16,3),IF(RIGHT(AD16,3)&lt;&gt;RIGHT(N16,3),IF(OR(AND(RIGHT(AD16,3)=RIGHT(U16,3),AE16=V16),AND(RIGHT(AD16,3)=RIGHT(N16,3),AE16=O16)),"NO","YES"),"NO"),IF(OR(RIGHT(AD16,3)=RIGHT(U16,3),RIGHT(AD16,3)=RIGHT(N16,3)),"ERROR","YES")))</f>
        <v>NA</v>
      </c>
      <c r="AG16" s="212" t="str">
        <f t="shared" ref="AG16:AG24" si="13">IF(LEFT(V16,1)&lt;&gt;LEFT(AE16,1),"YES",IF(LEFT(AE16,1)="x","NO","NA"))</f>
        <v>NA</v>
      </c>
      <c r="AH16" s="111"/>
      <c r="AI16" s="112"/>
      <c r="AJ16" s="113"/>
      <c r="AK16" s="112"/>
      <c r="AL16" s="209"/>
      <c r="AM16" s="161"/>
      <c r="AN16" s="166"/>
      <c r="AO16" s="212"/>
      <c r="AP16" s="212"/>
      <c r="AQ16" s="111"/>
      <c r="AR16" s="112"/>
      <c r="AS16" s="113"/>
      <c r="AT16" s="112"/>
      <c r="AU16" s="209"/>
      <c r="AV16" s="161"/>
      <c r="AW16" s="166"/>
      <c r="AX16" s="212"/>
      <c r="AY16" s="212"/>
      <c r="AZ16" s="111"/>
      <c r="BA16" s="112"/>
      <c r="BB16" s="113"/>
      <c r="BC16" s="112"/>
      <c r="BD16" s="209"/>
      <c r="BE16" s="161"/>
      <c r="BF16" s="166"/>
      <c r="BG16" s="212"/>
      <c r="BH16" s="212"/>
      <c r="BI16" s="111"/>
      <c r="BJ16" s="112"/>
      <c r="BK16" s="113"/>
      <c r="BL16" s="112"/>
      <c r="BM16" s="209"/>
      <c r="BN16" s="161"/>
      <c r="BO16" s="166"/>
      <c r="BP16" s="212"/>
      <c r="BQ16" s="212"/>
      <c r="BR16" s="111"/>
      <c r="BS16" s="112"/>
      <c r="BT16" s="113"/>
      <c r="BU16" s="112"/>
      <c r="BV16" s="209"/>
      <c r="BW16" s="161"/>
      <c r="BX16" s="166"/>
      <c r="BY16" s="212"/>
      <c r="BZ16" s="212"/>
      <c r="CA16" s="111"/>
      <c r="CB16" s="112"/>
      <c r="CC16" s="113"/>
      <c r="CD16" s="112"/>
      <c r="CE16" s="209"/>
      <c r="CF16" s="161"/>
      <c r="CG16" s="166"/>
      <c r="CH16" s="212"/>
      <c r="CI16" s="212"/>
      <c r="CJ16" s="111"/>
      <c r="CK16" s="112"/>
      <c r="CL16" s="113"/>
      <c r="CM16" s="112"/>
      <c r="CN16" s="208"/>
    </row>
    <row r="17" spans="1:92" ht="13" x14ac:dyDescent="0.25">
      <c r="A17" s="162" t="s">
        <v>706</v>
      </c>
      <c r="B17" s="210" t="s">
        <v>718</v>
      </c>
      <c r="C17" s="211"/>
      <c r="D17" s="209"/>
      <c r="E17" s="126" t="s">
        <v>354</v>
      </c>
      <c r="F17" s="166" t="s">
        <v>1249</v>
      </c>
      <c r="G17" s="111"/>
      <c r="H17" s="112"/>
      <c r="I17" s="113"/>
      <c r="J17" s="112"/>
      <c r="K17" s="209"/>
      <c r="L17" s="126"/>
      <c r="M17" s="166"/>
      <c r="N17" s="212" t="str">
        <f t="shared" si="10"/>
        <v>NA</v>
      </c>
      <c r="O17" s="212" t="str">
        <f t="shared" si="11"/>
        <v>YES</v>
      </c>
      <c r="P17" s="111" t="s">
        <v>2470</v>
      </c>
      <c r="Q17" s="112"/>
      <c r="R17" s="113"/>
      <c r="S17" s="112"/>
      <c r="T17" s="209"/>
      <c r="U17" s="126"/>
      <c r="V17" s="166"/>
      <c r="W17" s="213" t="str">
        <f t="shared" si="2"/>
        <v>NA</v>
      </c>
      <c r="X17" s="212" t="str">
        <f t="shared" si="3"/>
        <v>NA</v>
      </c>
      <c r="Y17" s="111"/>
      <c r="Z17" s="112"/>
      <c r="AA17" s="113"/>
      <c r="AB17" s="112"/>
      <c r="AC17" s="209"/>
      <c r="AD17" s="126"/>
      <c r="AE17" s="166"/>
      <c r="AF17" s="213" t="str">
        <f t="shared" si="12"/>
        <v>NA</v>
      </c>
      <c r="AG17" s="212" t="str">
        <f t="shared" si="13"/>
        <v>NA</v>
      </c>
      <c r="AH17" s="111"/>
      <c r="AI17" s="112"/>
      <c r="AJ17" s="113"/>
      <c r="AK17" s="112"/>
      <c r="AL17" s="209"/>
      <c r="AM17" s="161"/>
      <c r="AN17" s="166"/>
      <c r="AO17" s="212"/>
      <c r="AP17" s="212"/>
      <c r="AQ17" s="111"/>
      <c r="AR17" s="112"/>
      <c r="AS17" s="113"/>
      <c r="AT17" s="112"/>
      <c r="AU17" s="209"/>
      <c r="AV17" s="161"/>
      <c r="AW17" s="166"/>
      <c r="AX17" s="212"/>
      <c r="AY17" s="212"/>
      <c r="AZ17" s="111"/>
      <c r="BA17" s="112"/>
      <c r="BB17" s="113"/>
      <c r="BC17" s="112"/>
      <c r="BD17" s="209"/>
      <c r="BE17" s="161"/>
      <c r="BF17" s="166"/>
      <c r="BG17" s="212"/>
      <c r="BH17" s="212"/>
      <c r="BI17" s="111"/>
      <c r="BJ17" s="112"/>
      <c r="BK17" s="113"/>
      <c r="BL17" s="112"/>
      <c r="BM17" s="209"/>
      <c r="BN17" s="161"/>
      <c r="BO17" s="166"/>
      <c r="BP17" s="212"/>
      <c r="BQ17" s="212"/>
      <c r="BR17" s="111"/>
      <c r="BS17" s="112"/>
      <c r="BT17" s="113"/>
      <c r="BU17" s="112"/>
      <c r="BV17" s="209"/>
      <c r="BW17" s="161"/>
      <c r="BX17" s="166"/>
      <c r="BY17" s="212"/>
      <c r="BZ17" s="212"/>
      <c r="CA17" s="111"/>
      <c r="CB17" s="112"/>
      <c r="CC17" s="113"/>
      <c r="CD17" s="112"/>
      <c r="CE17" s="209"/>
      <c r="CF17" s="161"/>
      <c r="CG17" s="166"/>
      <c r="CH17" s="212"/>
      <c r="CI17" s="212"/>
      <c r="CJ17" s="111"/>
      <c r="CK17" s="112"/>
      <c r="CL17" s="113"/>
      <c r="CM17" s="112"/>
      <c r="CN17" s="208"/>
    </row>
    <row r="18" spans="1:92" ht="13" x14ac:dyDescent="0.25">
      <c r="A18" s="162" t="s">
        <v>707</v>
      </c>
      <c r="B18" s="210" t="s">
        <v>719</v>
      </c>
      <c r="C18" s="211"/>
      <c r="D18" s="209"/>
      <c r="E18" s="126" t="s">
        <v>354</v>
      </c>
      <c r="F18" s="166" t="s">
        <v>1249</v>
      </c>
      <c r="G18" s="111"/>
      <c r="H18" s="112"/>
      <c r="I18" s="113"/>
      <c r="J18" s="112"/>
      <c r="K18" s="209"/>
      <c r="L18" s="126"/>
      <c r="M18" s="166"/>
      <c r="N18" s="212" t="str">
        <f t="shared" si="10"/>
        <v>NA</v>
      </c>
      <c r="O18" s="212" t="str">
        <f t="shared" si="11"/>
        <v>YES</v>
      </c>
      <c r="P18" s="111" t="s">
        <v>2470</v>
      </c>
      <c r="Q18" s="112"/>
      <c r="R18" s="113"/>
      <c r="S18" s="112"/>
      <c r="T18" s="209"/>
      <c r="U18" s="126"/>
      <c r="V18" s="166"/>
      <c r="W18" s="213" t="str">
        <f t="shared" si="2"/>
        <v>NA</v>
      </c>
      <c r="X18" s="212" t="str">
        <f t="shared" si="3"/>
        <v>NA</v>
      </c>
      <c r="Y18" s="111"/>
      <c r="Z18" s="112"/>
      <c r="AA18" s="113"/>
      <c r="AB18" s="112"/>
      <c r="AC18" s="209"/>
      <c r="AD18" s="126"/>
      <c r="AE18" s="166"/>
      <c r="AF18" s="213" t="str">
        <f t="shared" si="12"/>
        <v>NA</v>
      </c>
      <c r="AG18" s="212" t="str">
        <f t="shared" si="13"/>
        <v>NA</v>
      </c>
      <c r="AH18" s="111"/>
      <c r="AI18" s="112"/>
      <c r="AJ18" s="113"/>
      <c r="AK18" s="112"/>
      <c r="AL18" s="209"/>
      <c r="AM18" s="161"/>
      <c r="AN18" s="166"/>
      <c r="AO18" s="212"/>
      <c r="AP18" s="212"/>
      <c r="AQ18" s="111"/>
      <c r="AR18" s="112"/>
      <c r="AS18" s="113"/>
      <c r="AT18" s="112"/>
      <c r="AU18" s="209"/>
      <c r="AV18" s="161"/>
      <c r="AW18" s="166"/>
      <c r="AX18" s="212"/>
      <c r="AY18" s="212"/>
      <c r="AZ18" s="111"/>
      <c r="BA18" s="112"/>
      <c r="BB18" s="113"/>
      <c r="BC18" s="112"/>
      <c r="BD18" s="209"/>
      <c r="BE18" s="161"/>
      <c r="BF18" s="166"/>
      <c r="BG18" s="212"/>
      <c r="BH18" s="212"/>
      <c r="BI18" s="111"/>
      <c r="BJ18" s="112"/>
      <c r="BK18" s="113"/>
      <c r="BL18" s="112"/>
      <c r="BM18" s="209"/>
      <c r="BN18" s="161"/>
      <c r="BO18" s="166"/>
      <c r="BP18" s="212"/>
      <c r="BQ18" s="212"/>
      <c r="BR18" s="111"/>
      <c r="BS18" s="112"/>
      <c r="BT18" s="113"/>
      <c r="BU18" s="112"/>
      <c r="BV18" s="209"/>
      <c r="BW18" s="161"/>
      <c r="BX18" s="166"/>
      <c r="BY18" s="212"/>
      <c r="BZ18" s="212"/>
      <c r="CA18" s="111"/>
      <c r="CB18" s="112"/>
      <c r="CC18" s="113"/>
      <c r="CD18" s="112"/>
      <c r="CE18" s="209"/>
      <c r="CF18" s="161"/>
      <c r="CG18" s="166"/>
      <c r="CH18" s="212"/>
      <c r="CI18" s="212"/>
      <c r="CJ18" s="111"/>
      <c r="CK18" s="112"/>
      <c r="CL18" s="113"/>
      <c r="CM18" s="112"/>
      <c r="CN18" s="208"/>
    </row>
    <row r="19" spans="1:92" ht="13" x14ac:dyDescent="0.25">
      <c r="A19" s="162" t="s">
        <v>708</v>
      </c>
      <c r="B19" s="210" t="s">
        <v>720</v>
      </c>
      <c r="C19" s="211"/>
      <c r="D19" s="209"/>
      <c r="E19" s="126" t="s">
        <v>583</v>
      </c>
      <c r="F19" s="166" t="s">
        <v>1249</v>
      </c>
      <c r="G19" s="111"/>
      <c r="H19" s="112"/>
      <c r="I19" s="113"/>
      <c r="J19" s="112"/>
      <c r="K19" s="209"/>
      <c r="L19" s="126"/>
      <c r="M19" s="166"/>
      <c r="N19" s="212" t="str">
        <f t="shared" si="10"/>
        <v>NA</v>
      </c>
      <c r="O19" s="212" t="str">
        <f t="shared" si="11"/>
        <v>YES</v>
      </c>
      <c r="P19" s="111" t="s">
        <v>2470</v>
      </c>
      <c r="Q19" s="112"/>
      <c r="R19" s="113"/>
      <c r="S19" s="112"/>
      <c r="T19" s="209"/>
      <c r="U19" s="126"/>
      <c r="V19" s="166"/>
      <c r="W19" s="213" t="str">
        <f t="shared" si="2"/>
        <v>NA</v>
      </c>
      <c r="X19" s="212" t="str">
        <f t="shared" si="3"/>
        <v>NA</v>
      </c>
      <c r="Y19" s="111"/>
      <c r="Z19" s="112"/>
      <c r="AA19" s="113"/>
      <c r="AB19" s="112"/>
      <c r="AC19" s="209"/>
      <c r="AD19" s="126"/>
      <c r="AE19" s="166"/>
      <c r="AF19" s="213" t="str">
        <f t="shared" si="12"/>
        <v>NA</v>
      </c>
      <c r="AG19" s="212" t="str">
        <f t="shared" si="13"/>
        <v>NA</v>
      </c>
      <c r="AH19" s="111"/>
      <c r="AI19" s="112"/>
      <c r="AJ19" s="113"/>
      <c r="AK19" s="112"/>
      <c r="AL19" s="209"/>
      <c r="AM19" s="161"/>
      <c r="AN19" s="166"/>
      <c r="AO19" s="212"/>
      <c r="AP19" s="212"/>
      <c r="AQ19" s="111"/>
      <c r="AR19" s="112"/>
      <c r="AS19" s="113"/>
      <c r="AT19" s="112"/>
      <c r="AU19" s="209"/>
      <c r="AV19" s="161"/>
      <c r="AW19" s="166"/>
      <c r="AX19" s="212"/>
      <c r="AY19" s="212"/>
      <c r="AZ19" s="111"/>
      <c r="BA19" s="112"/>
      <c r="BB19" s="113"/>
      <c r="BC19" s="112"/>
      <c r="BD19" s="209"/>
      <c r="BE19" s="161"/>
      <c r="BF19" s="166"/>
      <c r="BG19" s="212"/>
      <c r="BH19" s="212"/>
      <c r="BI19" s="111"/>
      <c r="BJ19" s="112"/>
      <c r="BK19" s="113"/>
      <c r="BL19" s="112"/>
      <c r="BM19" s="209"/>
      <c r="BN19" s="161"/>
      <c r="BO19" s="166"/>
      <c r="BP19" s="212"/>
      <c r="BQ19" s="212"/>
      <c r="BR19" s="111"/>
      <c r="BS19" s="112"/>
      <c r="BT19" s="113"/>
      <c r="BU19" s="112"/>
      <c r="BV19" s="209"/>
      <c r="BW19" s="161"/>
      <c r="BX19" s="166"/>
      <c r="BY19" s="212"/>
      <c r="BZ19" s="212"/>
      <c r="CA19" s="111"/>
      <c r="CB19" s="112"/>
      <c r="CC19" s="113"/>
      <c r="CD19" s="112"/>
      <c r="CE19" s="209"/>
      <c r="CF19" s="161"/>
      <c r="CG19" s="166"/>
      <c r="CH19" s="212"/>
      <c r="CI19" s="212"/>
      <c r="CJ19" s="111"/>
      <c r="CK19" s="112"/>
      <c r="CL19" s="113"/>
      <c r="CM19" s="112"/>
      <c r="CN19" s="208"/>
    </row>
    <row r="20" spans="1:92" ht="13" x14ac:dyDescent="0.25">
      <c r="A20" s="162" t="s">
        <v>709</v>
      </c>
      <c r="B20" s="210" t="s">
        <v>721</v>
      </c>
      <c r="C20" s="211"/>
      <c r="D20" s="209"/>
      <c r="E20" s="126" t="s">
        <v>583</v>
      </c>
      <c r="F20" s="166" t="s">
        <v>1249</v>
      </c>
      <c r="G20" s="111"/>
      <c r="H20" s="112"/>
      <c r="I20" s="113"/>
      <c r="J20" s="112"/>
      <c r="K20" s="209"/>
      <c r="L20" s="126"/>
      <c r="M20" s="166"/>
      <c r="N20" s="212" t="str">
        <f t="shared" si="10"/>
        <v>NA</v>
      </c>
      <c r="O20" s="212" t="str">
        <f t="shared" si="11"/>
        <v>YES</v>
      </c>
      <c r="P20" s="111" t="s">
        <v>2470</v>
      </c>
      <c r="Q20" s="112"/>
      <c r="R20" s="113"/>
      <c r="S20" s="112"/>
      <c r="T20" s="209"/>
      <c r="U20" s="126"/>
      <c r="V20" s="166"/>
      <c r="W20" s="213" t="str">
        <f t="shared" si="2"/>
        <v>NA</v>
      </c>
      <c r="X20" s="212" t="str">
        <f t="shared" si="3"/>
        <v>NA</v>
      </c>
      <c r="Y20" s="111"/>
      <c r="Z20" s="112"/>
      <c r="AA20" s="113"/>
      <c r="AB20" s="112"/>
      <c r="AC20" s="209"/>
      <c r="AD20" s="126"/>
      <c r="AE20" s="166"/>
      <c r="AF20" s="213" t="str">
        <f t="shared" si="12"/>
        <v>NA</v>
      </c>
      <c r="AG20" s="212" t="str">
        <f t="shared" si="13"/>
        <v>NA</v>
      </c>
      <c r="AH20" s="111"/>
      <c r="AI20" s="112"/>
      <c r="AJ20" s="113"/>
      <c r="AK20" s="112"/>
      <c r="AL20" s="209"/>
      <c r="AM20" s="161"/>
      <c r="AN20" s="166"/>
      <c r="AO20" s="212"/>
      <c r="AP20" s="212"/>
      <c r="AQ20" s="111"/>
      <c r="AR20" s="112"/>
      <c r="AS20" s="113"/>
      <c r="AT20" s="112"/>
      <c r="AU20" s="209"/>
      <c r="AV20" s="161"/>
      <c r="AW20" s="166"/>
      <c r="AX20" s="212"/>
      <c r="AY20" s="212"/>
      <c r="AZ20" s="111"/>
      <c r="BA20" s="112"/>
      <c r="BB20" s="113"/>
      <c r="BC20" s="112"/>
      <c r="BD20" s="209"/>
      <c r="BE20" s="161"/>
      <c r="BF20" s="166"/>
      <c r="BG20" s="212"/>
      <c r="BH20" s="212"/>
      <c r="BI20" s="111"/>
      <c r="BJ20" s="112"/>
      <c r="BK20" s="113"/>
      <c r="BL20" s="112"/>
      <c r="BM20" s="209"/>
      <c r="BN20" s="161"/>
      <c r="BO20" s="166"/>
      <c r="BP20" s="212"/>
      <c r="BQ20" s="212"/>
      <c r="BR20" s="111"/>
      <c r="BS20" s="112"/>
      <c r="BT20" s="113"/>
      <c r="BU20" s="112"/>
      <c r="BV20" s="209"/>
      <c r="BW20" s="161"/>
      <c r="BX20" s="166"/>
      <c r="BY20" s="212"/>
      <c r="BZ20" s="212"/>
      <c r="CA20" s="111"/>
      <c r="CB20" s="112"/>
      <c r="CC20" s="113"/>
      <c r="CD20" s="112"/>
      <c r="CE20" s="209"/>
      <c r="CF20" s="161"/>
      <c r="CG20" s="166"/>
      <c r="CH20" s="212"/>
      <c r="CI20" s="212"/>
      <c r="CJ20" s="111"/>
      <c r="CK20" s="112"/>
      <c r="CL20" s="113"/>
      <c r="CM20" s="112"/>
      <c r="CN20" s="208"/>
    </row>
    <row r="21" spans="1:92" ht="13" x14ac:dyDescent="0.25">
      <c r="A21" s="162" t="s">
        <v>710</v>
      </c>
      <c r="B21" s="210" t="s">
        <v>722</v>
      </c>
      <c r="C21" s="211"/>
      <c r="D21" s="209"/>
      <c r="E21" s="126" t="s">
        <v>583</v>
      </c>
      <c r="F21" s="166" t="s">
        <v>1249</v>
      </c>
      <c r="G21" s="111"/>
      <c r="H21" s="112"/>
      <c r="I21" s="113"/>
      <c r="J21" s="112"/>
      <c r="K21" s="209"/>
      <c r="L21" s="126"/>
      <c r="M21" s="166"/>
      <c r="N21" s="212" t="str">
        <f t="shared" si="10"/>
        <v>NA</v>
      </c>
      <c r="O21" s="212" t="str">
        <f t="shared" si="11"/>
        <v>YES</v>
      </c>
      <c r="P21" s="111" t="s">
        <v>2470</v>
      </c>
      <c r="Q21" s="112"/>
      <c r="R21" s="113"/>
      <c r="S21" s="112"/>
      <c r="T21" s="209"/>
      <c r="U21" s="126"/>
      <c r="V21" s="166"/>
      <c r="W21" s="213" t="str">
        <f t="shared" si="2"/>
        <v>NA</v>
      </c>
      <c r="X21" s="212" t="str">
        <f t="shared" si="3"/>
        <v>NA</v>
      </c>
      <c r="Y21" s="111"/>
      <c r="Z21" s="112"/>
      <c r="AA21" s="113"/>
      <c r="AB21" s="112"/>
      <c r="AC21" s="209"/>
      <c r="AD21" s="126"/>
      <c r="AE21" s="166"/>
      <c r="AF21" s="213" t="str">
        <f t="shared" si="12"/>
        <v>NA</v>
      </c>
      <c r="AG21" s="212" t="str">
        <f t="shared" si="13"/>
        <v>NA</v>
      </c>
      <c r="AH21" s="111"/>
      <c r="AI21" s="112"/>
      <c r="AJ21" s="113"/>
      <c r="AK21" s="112"/>
      <c r="AL21" s="209"/>
      <c r="AM21" s="161"/>
      <c r="AN21" s="166"/>
      <c r="AO21" s="212"/>
      <c r="AP21" s="212"/>
      <c r="AQ21" s="111"/>
      <c r="AR21" s="112"/>
      <c r="AS21" s="113"/>
      <c r="AT21" s="112"/>
      <c r="AU21" s="209"/>
      <c r="AV21" s="161"/>
      <c r="AW21" s="166"/>
      <c r="AX21" s="212"/>
      <c r="AY21" s="212"/>
      <c r="AZ21" s="111"/>
      <c r="BA21" s="112"/>
      <c r="BB21" s="113"/>
      <c r="BC21" s="112"/>
      <c r="BD21" s="209"/>
      <c r="BE21" s="161"/>
      <c r="BF21" s="166"/>
      <c r="BG21" s="212"/>
      <c r="BH21" s="212"/>
      <c r="BI21" s="111"/>
      <c r="BJ21" s="112"/>
      <c r="BK21" s="113"/>
      <c r="BL21" s="112"/>
      <c r="BM21" s="209"/>
      <c r="BN21" s="161"/>
      <c r="BO21" s="166"/>
      <c r="BP21" s="212"/>
      <c r="BQ21" s="212"/>
      <c r="BR21" s="111"/>
      <c r="BS21" s="112"/>
      <c r="BT21" s="113"/>
      <c r="BU21" s="112"/>
      <c r="BV21" s="209"/>
      <c r="BW21" s="161"/>
      <c r="BX21" s="166"/>
      <c r="BY21" s="212"/>
      <c r="BZ21" s="212"/>
      <c r="CA21" s="111"/>
      <c r="CB21" s="112"/>
      <c r="CC21" s="113"/>
      <c r="CD21" s="112"/>
      <c r="CE21" s="209"/>
      <c r="CF21" s="161"/>
      <c r="CG21" s="166"/>
      <c r="CH21" s="212"/>
      <c r="CI21" s="212"/>
      <c r="CJ21" s="111"/>
      <c r="CK21" s="112"/>
      <c r="CL21" s="113"/>
      <c r="CM21" s="112"/>
      <c r="CN21" s="208"/>
    </row>
    <row r="22" spans="1:92" ht="13" x14ac:dyDescent="0.25">
      <c r="A22" s="162" t="s">
        <v>711</v>
      </c>
      <c r="B22" s="210" t="s">
        <v>723</v>
      </c>
      <c r="C22" s="211"/>
      <c r="D22" s="209"/>
      <c r="E22" s="126" t="s">
        <v>583</v>
      </c>
      <c r="F22" s="166" t="s">
        <v>1249</v>
      </c>
      <c r="G22" s="111"/>
      <c r="H22" s="112"/>
      <c r="I22" s="113"/>
      <c r="J22" s="112"/>
      <c r="K22" s="209"/>
      <c r="L22" s="126"/>
      <c r="M22" s="166"/>
      <c r="N22" s="212" t="str">
        <f t="shared" si="10"/>
        <v>NA</v>
      </c>
      <c r="O22" s="212" t="str">
        <f t="shared" si="11"/>
        <v>YES</v>
      </c>
      <c r="P22" s="111" t="s">
        <v>2470</v>
      </c>
      <c r="Q22" s="112"/>
      <c r="R22" s="113"/>
      <c r="S22" s="112"/>
      <c r="T22" s="209"/>
      <c r="U22" s="126"/>
      <c r="V22" s="166"/>
      <c r="W22" s="213" t="str">
        <f t="shared" si="2"/>
        <v>NA</v>
      </c>
      <c r="X22" s="212" t="str">
        <f t="shared" si="3"/>
        <v>NA</v>
      </c>
      <c r="Y22" s="111"/>
      <c r="Z22" s="112"/>
      <c r="AA22" s="113"/>
      <c r="AB22" s="112"/>
      <c r="AC22" s="209"/>
      <c r="AD22" s="126"/>
      <c r="AE22" s="166"/>
      <c r="AF22" s="213" t="str">
        <f t="shared" si="12"/>
        <v>NA</v>
      </c>
      <c r="AG22" s="212" t="str">
        <f t="shared" si="13"/>
        <v>NA</v>
      </c>
      <c r="AH22" s="111"/>
      <c r="AI22" s="112"/>
      <c r="AJ22" s="113"/>
      <c r="AK22" s="112"/>
      <c r="AL22" s="209"/>
      <c r="AM22" s="161"/>
      <c r="AN22" s="166"/>
      <c r="AO22" s="212"/>
      <c r="AP22" s="212"/>
      <c r="AQ22" s="111"/>
      <c r="AR22" s="112"/>
      <c r="AS22" s="113"/>
      <c r="AT22" s="112"/>
      <c r="AU22" s="209"/>
      <c r="AV22" s="161"/>
      <c r="AW22" s="166"/>
      <c r="AX22" s="212"/>
      <c r="AY22" s="212"/>
      <c r="AZ22" s="111"/>
      <c r="BA22" s="112"/>
      <c r="BB22" s="113"/>
      <c r="BC22" s="112"/>
      <c r="BD22" s="209"/>
      <c r="BE22" s="161"/>
      <c r="BF22" s="166"/>
      <c r="BG22" s="212"/>
      <c r="BH22" s="212"/>
      <c r="BI22" s="111"/>
      <c r="BJ22" s="112"/>
      <c r="BK22" s="113"/>
      <c r="BL22" s="112"/>
      <c r="BM22" s="209"/>
      <c r="BN22" s="161"/>
      <c r="BO22" s="166"/>
      <c r="BP22" s="212"/>
      <c r="BQ22" s="212"/>
      <c r="BR22" s="111"/>
      <c r="BS22" s="112"/>
      <c r="BT22" s="113"/>
      <c r="BU22" s="112"/>
      <c r="BV22" s="209"/>
      <c r="BW22" s="161"/>
      <c r="BX22" s="166"/>
      <c r="BY22" s="212"/>
      <c r="BZ22" s="212"/>
      <c r="CA22" s="111"/>
      <c r="CB22" s="112"/>
      <c r="CC22" s="113"/>
      <c r="CD22" s="112"/>
      <c r="CE22" s="209"/>
      <c r="CF22" s="161"/>
      <c r="CG22" s="166"/>
      <c r="CH22" s="212"/>
      <c r="CI22" s="212"/>
      <c r="CJ22" s="111"/>
      <c r="CK22" s="112"/>
      <c r="CL22" s="113"/>
      <c r="CM22" s="112"/>
      <c r="CN22" s="208"/>
    </row>
    <row r="23" spans="1:92" ht="13" x14ac:dyDescent="0.25">
      <c r="A23" s="246" t="s">
        <v>1252</v>
      </c>
      <c r="B23" s="210" t="s">
        <v>1253</v>
      </c>
      <c r="C23" s="211"/>
      <c r="D23" s="209"/>
      <c r="E23" s="161" t="s">
        <v>354</v>
      </c>
      <c r="F23" s="166" t="s">
        <v>1249</v>
      </c>
      <c r="G23" s="111"/>
      <c r="H23" s="112"/>
      <c r="I23" s="113"/>
      <c r="J23" s="112"/>
      <c r="K23" s="209"/>
      <c r="L23" s="161"/>
      <c r="M23" s="166"/>
      <c r="N23" s="212" t="str">
        <f t="shared" si="10"/>
        <v>NA</v>
      </c>
      <c r="O23" s="212" t="str">
        <f t="shared" si="11"/>
        <v>YES</v>
      </c>
      <c r="P23" s="111" t="s">
        <v>2470</v>
      </c>
      <c r="Q23" s="112"/>
      <c r="R23" s="113"/>
      <c r="S23" s="112"/>
      <c r="T23" s="209"/>
      <c r="U23" s="161"/>
      <c r="V23" s="166"/>
      <c r="W23" s="213" t="str">
        <f t="shared" si="2"/>
        <v>NA</v>
      </c>
      <c r="X23" s="212" t="str">
        <f t="shared" si="3"/>
        <v>NA</v>
      </c>
      <c r="Y23" s="111"/>
      <c r="Z23" s="112"/>
      <c r="AA23" s="113"/>
      <c r="AB23" s="112"/>
      <c r="AC23" s="209"/>
      <c r="AD23" s="161"/>
      <c r="AE23" s="166"/>
      <c r="AF23" s="213" t="str">
        <f t="shared" si="12"/>
        <v>NA</v>
      </c>
      <c r="AG23" s="212" t="str">
        <f t="shared" si="13"/>
        <v>NA</v>
      </c>
      <c r="AH23" s="111"/>
      <c r="AI23" s="112"/>
      <c r="AJ23" s="113"/>
      <c r="AK23" s="112"/>
      <c r="AL23" s="209"/>
      <c r="AM23" s="161"/>
      <c r="AN23" s="166"/>
      <c r="AO23" s="212" t="str">
        <f>IF(LEFT(AN23,1)&lt;&gt;"x","NA",IF(RIGHT(AM23,3)=RIGHT(AD23,3),IF(RIGHT(AM23,3)&lt;&gt;RIGHT(E23,3),IF(OR(AND(RIGHT(AM23,3)=RIGHT(AD23,3),AN23=AE23),AND(RIGHT(AM23,3)=RIGHT(#REF!,3),AN23=V23),AND(RIGHT(AM23,3)=RIGHT(L23,3),AN23=M23),AND(RIGHT(AM23,3)=RIGHT(E23,3),AN23=F23)),"NO","YES"),"NO"),IF(OR(RIGHT(AM23,3)=RIGHT(AD23,3),RIGHT(AM23,3)=RIGHT(#REF!,3),RIGHT(AM23,3)=RIGHT(L23,3),RIGHT(AM23,3)=RIGHT(E23,3)),"ERROR","YES")))</f>
        <v>NA</v>
      </c>
      <c r="AP23" s="212" t="str">
        <f>IF(LEFT(AE23,1)&lt;&gt;LEFT(AN23,1),"YES",IF(LEFT(AN23,1)="x","NO","NA"))</f>
        <v>NA</v>
      </c>
      <c r="AQ23" s="111"/>
      <c r="AR23" s="112"/>
      <c r="AS23" s="113"/>
      <c r="AT23" s="112"/>
      <c r="AU23" s="209"/>
      <c r="AV23" s="161"/>
      <c r="AW23" s="166"/>
      <c r="AX23" s="212" t="str">
        <f>IF(LEFT(AW23,1)&lt;&gt;"x","NA",IF(RIGHT(AV23,3)=RIGHT(AM23,3),IF(RIGHT(AV23,3)&lt;&gt;RIGHT(E23,3),IF(OR(AND(RIGHT(AV23,3)=RIGHT(AM23,3),AW23=AN23),AND(RIGHT(AV23,3)=RIGHT(AD23,3),AW23=AE23),AND(RIGHT(AV23,3)=RIGHT(#REF!,3),AW23=V23),AND(RIGHT(AV23,3)=RIGHT(L23,3),AW23=M23),AND(RIGHT(AV23,3)=RIGHT(E23,3),AW23=F23)),"NO","YES"),"NO"),IF(OR(RIGHT(AW23,3)=RIGHT(AM23,3),RIGHT(AW23,3)=RIGHT(AD23,3),RIGHT(AW23,3)=RIGHT(#REF!,3),RIGHT(AW23,3)=RIGHT(L23,3),RIGHT(AW23,3)=RIGHT(E23,3)),"ERROR","YES")))</f>
        <v>NA</v>
      </c>
      <c r="AY23" s="212" t="str">
        <f>IF(LEFT(AN23,1)&lt;&gt;LEFT(AW23,1),"YES",IF(LEFT(AW23,1)="x","NO","NA"))</f>
        <v>NA</v>
      </c>
      <c r="AZ23" s="111"/>
      <c r="BA23" s="112"/>
      <c r="BB23" s="113"/>
      <c r="BC23" s="112"/>
      <c r="BD23" s="209"/>
      <c r="BE23" s="161"/>
      <c r="BF23" s="166"/>
      <c r="BG23" s="212" t="str">
        <f>IF(LEFT(BF23,1)&lt;&gt;"x","NA",IF(RIGHT(BE23,3)=RIGHT(AV23,3),IF(RIGHT(BE23,3)&lt;&gt;RIGHT(E23,3),IF(OR(AND(RIGHT(BE23,3)=RIGHT(AV23,3),BF23=AW23),AND(RIGHT(BE23,3)=RIGHT(AM23,3),BF23=AN23),AND(RIGHT(BE23,3)=RIGHT(AD23,3),BF23=AE23),AND(RIGHT(BE23,3)=RIGHT(#REF!,3),BF23=V23),AND(RIGHT(BE23,3)=RIGHT(L23,3),BF23=M23),AND(RIGHT(BE23,3)=RIGHT(E23,3),BF23=F23)),"NO","YES"),"NO"),IF(OR(RIGHT(BE23,3)=RIGHT(AV23,3),RIGHT(BE23,3)=RIGHT(AM23,3),RIGHT(BE23,3)=RIGHT(AD23,3),RIGHT(BE23,3)=RIGHT(#REF!,3),RIGHT(BE23,3)=RIGHT(L23,3),RIGHT(BE23,3)=RIGHT(E23,3)),"ERROR","YES")))</f>
        <v>NA</v>
      </c>
      <c r="BH23" s="212" t="str">
        <f>IF(LEFT(AW23,1)&lt;&gt;LEFT(BF23,1),"YES",IF(LEFT(BF23,1)="x","NO","NA"))</f>
        <v>NA</v>
      </c>
      <c r="BI23" s="111"/>
      <c r="BJ23" s="112"/>
      <c r="BK23" s="113"/>
      <c r="BL23" s="112"/>
      <c r="BM23" s="209"/>
      <c r="BN23" s="161"/>
      <c r="BO23" s="166"/>
      <c r="BP23" s="212" t="str">
        <f>IF(LEFT(BO23,1)&lt;&gt;"x","NA",IF(RIGHT(BN23,3)=RIGHT(BE23,3),IF(RIGHT(BN23,3)&lt;&gt;RIGHT(E23,3),IF(OR(AND(RIGHT(BN23,3)=RIGHT(BE23,3),BO23=BF23),AND(RIGHT(BN23,3)=RIGHT(AV23,3),BO23=AW23),AND(RIGHT(BN23,3)=RIGHT(AM23,3),BO23=AN23),AND(RIGHT(BN23,3)=RIGHT(AD23,3),BO23=AE23),AND(RIGHT(BN23,3)=RIGHT(#REF!,3),BO23=V23),AND(RIGHT(BN23,3)=RIGHT(L23,3),BO23=M23),AND(RIGHT(BN23,3)=RIGHT(E23,3),BO23=F23)),"NO","YES"),"NO"),IF(OR(RIGHT(BN23,3)=RIGHT(BE23,3),RIGHT(BN23,3)=RIGHT(AV23,3),RIGHT(BN23,3)=RIGHT(AM23,3),RIGHT(BN23,3)=RIGHT(AD23,3),RIGHT(BN23,3)=RIGHT(#REF!,3),RIGHT(BN23,3)=RIGHT(L23,3),RIGHT(BN23,3)=RIGHT(E23,3)),"ERROR","YES")))</f>
        <v>NA</v>
      </c>
      <c r="BQ23" s="212" t="str">
        <f>IF(LEFT(BF23,1)&lt;&gt;LEFT(BO23,1),"YES",IF(LEFT(BO23,1)="x","NO","NA"))</f>
        <v>NA</v>
      </c>
      <c r="BR23" s="111"/>
      <c r="BS23" s="112"/>
      <c r="BT23" s="113"/>
      <c r="BU23" s="112"/>
      <c r="BV23" s="209"/>
      <c r="BW23" s="161"/>
      <c r="BX23" s="166"/>
      <c r="BY23" s="212" t="str">
        <f>IF(LEFT(BX23,1)&lt;&gt;"x","NA",IF(RIGHT(BW23,3)=RIGHT(BN23,3),IF(RIGHT(BW23,3)&lt;&gt;RIGHT(E23,3),IF(OR(AND(RIGHT(BW23,3)=RIGHT(BN23,3),BX23=BO23),AND(RIGHT(BW23,3)=RIGHT(BE23,3),BX23=BF23),AND(RIGHT(BW23,3)=RIGHT(AV23,3),BX23=AW23),AND(RIGHT(BW23,3)=RIGHT(AM23,3),BX23=AN23),AND(RIGHT(BW23,3)=RIGHT(AD23,3),BX23=AE23),AND(RIGHT(BW23,3)=RIGHT(#REF!,3),BX23=V23),AND(RIGHT(BW23,3)=RIGHT(L23,3),BX23=M23),AND(RIGHT(BW23,3)=RIGHT(E23,3),BX23=F23)),"NO","YES"),"NO"),IF(OR(RIGHT(BW23,3)=RIGHT(BN23,3),RIGHT(BW23,3)=RIGHT(BE23,3),RIGHT(BW23,3)=RIGHT(AV23,3),RIGHT(BW23,3)=RIGHT(AM23,3),RIGHT(BW23,3)=RIGHT(AD23,3),RIGHT(BW23,3)=RIGHT(#REF!,3),RIGHT(BW23,3)=RIGHT(L23,3),RIGHT(BW23,3)=RIGHT(E23,3)),"ERROR","YES")))</f>
        <v>NA</v>
      </c>
      <c r="BZ23" s="212" t="str">
        <f>IF(LEFT(BO23,1)&lt;&gt;LEFT(BX23,1),"YES",IF(LEFT(BX23,1)="x","NO","NA"))</f>
        <v>NA</v>
      </c>
      <c r="CA23" s="111"/>
      <c r="CB23" s="112"/>
      <c r="CC23" s="113"/>
      <c r="CD23" s="112"/>
      <c r="CE23" s="209"/>
      <c r="CF23" s="161"/>
      <c r="CG23" s="166"/>
      <c r="CH23" s="212" t="str">
        <f>IF(LEFT(CG23,1)&lt;&gt;"x","NA",IF(RIGHT(CF23,3)=RIGHT(BW23,3),IF(RIGHT(CF23,3)&lt;&gt;RIGHT(E23,3),IF(OR(AND(RIGHT(CF23,3)=RIGHT(BW23,3),CG23=BX23),AND(RIGHT(CF23,3)=RIGHT(BN23,3),CG23=BO23),AND(RIGHT(CF23,3)=RIGHT(BE23,3),CG23=BF23),AND(RIGHT(CF23,3)=RIGHT(AV23,3),CG23=AW23),AND(RIGHT(CF23,3)=RIGHT(AM23,3),CG23=AN23),AND(RIGHT(CF23,3)=RIGHT(AD23,3),CG23=AE23),AND(RIGHT(CF23,3)=RIGHT(#REF!,3),CG23=V23),AND(RIGHT(CF23,3)=RIGHT(L23,3),CG23=M23),AND(RIGHT(CF23,3)=RIGHT(E23,3),CG23=F23)),"NO","YES"),"NO"),IF(OR(RIGHT(CF23,3)=RIGHT(BN23,3),RIGHT(CF23,3)=RIGHT(BE23,3),RIGHT(CF23,3)=RIGHT(AV23,3),RIGHT(CF23,3)=RIGHT(AM23,3),RIGHT(CF23,3)=RIGHT(AD23,3),RIGHT(CF23,3)=RIGHT(#REF!,3),RIGHT(CF23,3)=RIGHT(L23,3),RIGHT(CF23,3)=RIGHT(E23,3)),"ERROR","YES")))</f>
        <v>NA</v>
      </c>
      <c r="CI23" s="212" t="str">
        <f>IF(LEFT(BX23,1)&lt;&gt;LEFT(CG23,1),"YES",IF(LEFT(CG23,1)="x","NO","NA"))</f>
        <v>NA</v>
      </c>
      <c r="CJ23" s="111"/>
      <c r="CK23" s="112"/>
      <c r="CL23" s="113"/>
      <c r="CM23" s="112"/>
      <c r="CN23" s="208"/>
    </row>
    <row r="24" spans="1:92" ht="13" x14ac:dyDescent="0.25">
      <c r="A24" s="162" t="s">
        <v>712</v>
      </c>
      <c r="B24" s="210" t="s">
        <v>724</v>
      </c>
      <c r="C24" s="211"/>
      <c r="D24" s="209"/>
      <c r="E24" s="161" t="s">
        <v>583</v>
      </c>
      <c r="F24" s="166" t="s">
        <v>1249</v>
      </c>
      <c r="G24" s="111"/>
      <c r="H24" s="112"/>
      <c r="I24" s="113"/>
      <c r="J24" s="112"/>
      <c r="K24" s="209"/>
      <c r="L24" s="161"/>
      <c r="M24" s="166"/>
      <c r="N24" s="212" t="str">
        <f t="shared" si="10"/>
        <v>NA</v>
      </c>
      <c r="O24" s="212" t="str">
        <f t="shared" si="11"/>
        <v>YES</v>
      </c>
      <c r="P24" s="111" t="s">
        <v>2470</v>
      </c>
      <c r="Q24" s="112"/>
      <c r="R24" s="113"/>
      <c r="S24" s="112"/>
      <c r="T24" s="209"/>
      <c r="U24" s="161"/>
      <c r="V24" s="166"/>
      <c r="W24" s="213" t="str">
        <f t="shared" si="2"/>
        <v>NA</v>
      </c>
      <c r="X24" s="212" t="str">
        <f t="shared" si="3"/>
        <v>NA</v>
      </c>
      <c r="Y24" s="111"/>
      <c r="Z24" s="112"/>
      <c r="AA24" s="113"/>
      <c r="AB24" s="112"/>
      <c r="AC24" s="209"/>
      <c r="AD24" s="161"/>
      <c r="AE24" s="166"/>
      <c r="AF24" s="213" t="str">
        <f t="shared" si="12"/>
        <v>NA</v>
      </c>
      <c r="AG24" s="212" t="str">
        <f t="shared" si="13"/>
        <v>NA</v>
      </c>
      <c r="AH24" s="111"/>
      <c r="AI24" s="112"/>
      <c r="AJ24" s="113"/>
      <c r="AK24" s="112"/>
      <c r="AL24" s="209"/>
      <c r="AM24" s="161"/>
      <c r="AN24" s="166"/>
      <c r="AO24" s="212" t="str">
        <f>IF(LEFT(AN24,1)&lt;&gt;"x","NA",IF(RIGHT(AM24,3)=RIGHT(AD24,3),IF(RIGHT(AM24,3)&lt;&gt;RIGHT(E24,3),IF(OR(AND(RIGHT(AM24,3)=RIGHT(AD24,3),AN24=AE24),AND(RIGHT(AM24,3)=RIGHT(#REF!,3),AN24=V24),AND(RIGHT(AM24,3)=RIGHT(L24,3),AN24=M24),AND(RIGHT(AM24,3)=RIGHT(E24,3),AN24=F24)),"NO","YES"),"NO"),IF(OR(RIGHT(AM24,3)=RIGHT(AD24,3),RIGHT(AM24,3)=RIGHT(#REF!,3),RIGHT(AM24,3)=RIGHT(L24,3),RIGHT(AM24,3)=RIGHT(E24,3)),"ERROR","YES")))</f>
        <v>NA</v>
      </c>
      <c r="AP24" s="212" t="str">
        <f>IF(LEFT(AE24,1)&lt;&gt;LEFT(AN24,1),"YES",IF(LEFT(AN24,1)="x","NO","NA"))</f>
        <v>NA</v>
      </c>
      <c r="AQ24" s="111"/>
      <c r="AR24" s="112"/>
      <c r="AS24" s="113"/>
      <c r="AT24" s="112"/>
      <c r="AU24" s="209"/>
      <c r="AV24" s="161"/>
      <c r="AW24" s="166"/>
      <c r="AX24" s="212" t="str">
        <f>IF(LEFT(AW24,1)&lt;&gt;"x","NA",IF(RIGHT(AV24,3)=RIGHT(AM24,3),IF(RIGHT(AV24,3)&lt;&gt;RIGHT(E24,3),IF(OR(AND(RIGHT(AV24,3)=RIGHT(AM24,3),AW24=AN24),AND(RIGHT(AV24,3)=RIGHT(AD24,3),AW24=AE24),AND(RIGHT(AV24,3)=RIGHT(#REF!,3),AW24=V24),AND(RIGHT(AV24,3)=RIGHT(L24,3),AW24=M24),AND(RIGHT(AV24,3)=RIGHT(E24,3),AW24=F24)),"NO","YES"),"NO"),IF(OR(RIGHT(AW24,3)=RIGHT(AM24,3),RIGHT(AW24,3)=RIGHT(AD24,3),RIGHT(AW24,3)=RIGHT(#REF!,3),RIGHT(AW24,3)=RIGHT(L24,3),RIGHT(AW24,3)=RIGHT(E24,3)),"ERROR","YES")))</f>
        <v>NA</v>
      </c>
      <c r="AY24" s="212" t="str">
        <f>IF(LEFT(AN24,1)&lt;&gt;LEFT(AW24,1),"YES",IF(LEFT(AW24,1)="x","NO","NA"))</f>
        <v>NA</v>
      </c>
      <c r="AZ24" s="111"/>
      <c r="BA24" s="112"/>
      <c r="BB24" s="113"/>
      <c r="BC24" s="112"/>
      <c r="BD24" s="209"/>
      <c r="BE24" s="161"/>
      <c r="BF24" s="166"/>
      <c r="BG24" s="212" t="str">
        <f>IF(LEFT(BF24,1)&lt;&gt;"x","NA",IF(RIGHT(BE24,3)=RIGHT(AV24,3),IF(RIGHT(BE24,3)&lt;&gt;RIGHT(E24,3),IF(OR(AND(RIGHT(BE24,3)=RIGHT(AV24,3),BF24=AW24),AND(RIGHT(BE24,3)=RIGHT(AM24,3),BF24=AN24),AND(RIGHT(BE24,3)=RIGHT(AD24,3),BF24=AE24),AND(RIGHT(BE24,3)=RIGHT(#REF!,3),BF24=V24),AND(RIGHT(BE24,3)=RIGHT(L24,3),BF24=M24),AND(RIGHT(BE24,3)=RIGHT(E24,3),BF24=F24)),"NO","YES"),"NO"),IF(OR(RIGHT(BE24,3)=RIGHT(AV24,3),RIGHT(BE24,3)=RIGHT(AM24,3),RIGHT(BE24,3)=RIGHT(AD24,3),RIGHT(BE24,3)=RIGHT(#REF!,3),RIGHT(BE24,3)=RIGHT(L24,3),RIGHT(BE24,3)=RIGHT(E24,3)),"ERROR","YES")))</f>
        <v>NA</v>
      </c>
      <c r="BH24" s="212" t="str">
        <f>IF(LEFT(AW24,1)&lt;&gt;LEFT(BF24,1),"YES",IF(LEFT(BF24,1)="x","NO","NA"))</f>
        <v>NA</v>
      </c>
      <c r="BI24" s="111"/>
      <c r="BJ24" s="112"/>
      <c r="BK24" s="113"/>
      <c r="BL24" s="112"/>
      <c r="BM24" s="209"/>
      <c r="BN24" s="161"/>
      <c r="BO24" s="166"/>
      <c r="BP24" s="212" t="str">
        <f>IF(LEFT(BO24,1)&lt;&gt;"x","NA",IF(RIGHT(BN24,3)=RIGHT(BE24,3),IF(RIGHT(BN24,3)&lt;&gt;RIGHT(E24,3),IF(OR(AND(RIGHT(BN24,3)=RIGHT(BE24,3),BO24=BF24),AND(RIGHT(BN24,3)=RIGHT(AV24,3),BO24=AW24),AND(RIGHT(BN24,3)=RIGHT(AM24,3),BO24=AN24),AND(RIGHT(BN24,3)=RIGHT(AD24,3),BO24=AE24),AND(RIGHT(BN24,3)=RIGHT(#REF!,3),BO24=V24),AND(RIGHT(BN24,3)=RIGHT(L24,3),BO24=M24),AND(RIGHT(BN24,3)=RIGHT(E24,3),BO24=F24)),"NO","YES"),"NO"),IF(OR(RIGHT(BN24,3)=RIGHT(BE24,3),RIGHT(BN24,3)=RIGHT(AV24,3),RIGHT(BN24,3)=RIGHT(AM24,3),RIGHT(BN24,3)=RIGHT(AD24,3),RIGHT(BN24,3)=RIGHT(#REF!,3),RIGHT(BN24,3)=RIGHT(L24,3),RIGHT(BN24,3)=RIGHT(E24,3)),"ERROR","YES")))</f>
        <v>NA</v>
      </c>
      <c r="BQ24" s="212" t="str">
        <f>IF(LEFT(BF24,1)&lt;&gt;LEFT(BO24,1),"YES",IF(LEFT(BO24,1)="x","NO","NA"))</f>
        <v>NA</v>
      </c>
      <c r="BR24" s="111"/>
      <c r="BS24" s="112"/>
      <c r="BT24" s="113"/>
      <c r="BU24" s="112"/>
      <c r="BV24" s="209"/>
      <c r="BW24" s="161"/>
      <c r="BX24" s="166"/>
      <c r="BY24" s="212" t="str">
        <f>IF(LEFT(BX24,1)&lt;&gt;"x","NA",IF(RIGHT(BW24,3)=RIGHT(BN24,3),IF(RIGHT(BW24,3)&lt;&gt;RIGHT(E24,3),IF(OR(AND(RIGHT(BW24,3)=RIGHT(BN24,3),BX24=BO24),AND(RIGHT(BW24,3)=RIGHT(BE24,3),BX24=BF24),AND(RIGHT(BW24,3)=RIGHT(AV24,3),BX24=AW24),AND(RIGHT(BW24,3)=RIGHT(AM24,3),BX24=AN24),AND(RIGHT(BW24,3)=RIGHT(AD24,3),BX24=AE24),AND(RIGHT(BW24,3)=RIGHT(#REF!,3),BX24=V24),AND(RIGHT(BW24,3)=RIGHT(L24,3),BX24=M24),AND(RIGHT(BW24,3)=RIGHT(E24,3),BX24=F24)),"NO","YES"),"NO"),IF(OR(RIGHT(BW24,3)=RIGHT(BN24,3),RIGHT(BW24,3)=RIGHT(BE24,3),RIGHT(BW24,3)=RIGHT(AV24,3),RIGHT(BW24,3)=RIGHT(AM24,3),RIGHT(BW24,3)=RIGHT(AD24,3),RIGHT(BW24,3)=RIGHT(#REF!,3),RIGHT(BW24,3)=RIGHT(L24,3),RIGHT(BW24,3)=RIGHT(E24,3)),"ERROR","YES")))</f>
        <v>NA</v>
      </c>
      <c r="BZ24" s="212" t="str">
        <f>IF(LEFT(BO24,1)&lt;&gt;LEFT(BX24,1),"YES",IF(LEFT(BX24,1)="x","NO","NA"))</f>
        <v>NA</v>
      </c>
      <c r="CA24" s="111"/>
      <c r="CB24" s="112"/>
      <c r="CC24" s="113"/>
      <c r="CD24" s="112"/>
      <c r="CE24" s="209"/>
      <c r="CF24" s="161"/>
      <c r="CG24" s="166"/>
      <c r="CH24" s="212" t="str">
        <f>IF(LEFT(CG24,1)&lt;&gt;"x","NA",IF(RIGHT(CF24,3)=RIGHT(BW24,3),IF(RIGHT(CF24,3)&lt;&gt;RIGHT(E24,3),IF(OR(AND(RIGHT(CF24,3)=RIGHT(BW24,3),CG24=BX24),AND(RIGHT(CF24,3)=RIGHT(BN24,3),CG24=BO24),AND(RIGHT(CF24,3)=RIGHT(BE24,3),CG24=BF24),AND(RIGHT(CF24,3)=RIGHT(AV24,3),CG24=AW24),AND(RIGHT(CF24,3)=RIGHT(AM24,3),CG24=AN24),AND(RIGHT(CF24,3)=RIGHT(AD24,3),CG24=AE24),AND(RIGHT(CF24,3)=RIGHT(#REF!,3),CG24=V24),AND(RIGHT(CF24,3)=RIGHT(L24,3),CG24=M24),AND(RIGHT(CF24,3)=RIGHT(E24,3),CG24=F24)),"NO","YES"),"NO"),IF(OR(RIGHT(CF24,3)=RIGHT(BN24,3),RIGHT(CF24,3)=RIGHT(BE24,3),RIGHT(CF24,3)=RIGHT(AV24,3),RIGHT(CF24,3)=RIGHT(AM24,3),RIGHT(CF24,3)=RIGHT(AD24,3),RIGHT(CF24,3)=RIGHT(#REF!,3),RIGHT(CF24,3)=RIGHT(L24,3),RIGHT(CF24,3)=RIGHT(E24,3)),"ERROR","YES")))</f>
        <v>NA</v>
      </c>
      <c r="CI24" s="212" t="str">
        <f>IF(LEFT(BX24,1)&lt;&gt;LEFT(CG24,1),"YES",IF(LEFT(CG24,1)="x","NO","NA"))</f>
        <v>NA</v>
      </c>
      <c r="CJ24" s="111"/>
      <c r="CK24" s="112"/>
      <c r="CL24" s="113"/>
      <c r="CM24" s="112"/>
      <c r="CN24" s="208"/>
    </row>
    <row r="25" spans="1:92" ht="13" thickBot="1" x14ac:dyDescent="0.3">
      <c r="A25" s="214"/>
      <c r="B25" s="214"/>
      <c r="C25" s="215"/>
      <c r="D25" s="216"/>
      <c r="E25" s="217"/>
      <c r="F25" s="218"/>
      <c r="G25" s="219"/>
      <c r="H25" s="220"/>
      <c r="I25" s="219"/>
      <c r="J25" s="221"/>
      <c r="K25" s="222"/>
      <c r="L25" s="217"/>
      <c r="M25" s="218"/>
      <c r="N25" s="218"/>
      <c r="O25" s="218"/>
      <c r="P25" s="219"/>
      <c r="Q25" s="220"/>
      <c r="R25" s="219"/>
      <c r="S25" s="221"/>
      <c r="T25" s="223"/>
      <c r="U25" s="217"/>
      <c r="V25" s="224"/>
      <c r="W25" s="218"/>
      <c r="X25" s="218"/>
      <c r="Y25" s="219"/>
      <c r="Z25" s="220"/>
      <c r="AA25" s="219"/>
      <c r="AB25" s="221"/>
      <c r="AC25" s="222"/>
      <c r="AD25" s="217"/>
      <c r="AE25" s="218"/>
      <c r="AF25" s="218"/>
      <c r="AG25" s="218"/>
      <c r="AH25" s="219"/>
      <c r="AI25" s="220"/>
      <c r="AJ25" s="219"/>
      <c r="AK25" s="221"/>
      <c r="AL25" s="222"/>
      <c r="AM25" s="217"/>
      <c r="AN25" s="218"/>
      <c r="AO25" s="218"/>
      <c r="AP25" s="218"/>
      <c r="AQ25" s="219"/>
      <c r="AR25" s="220"/>
      <c r="AS25" s="219"/>
      <c r="AT25" s="221"/>
      <c r="AU25" s="222"/>
      <c r="AV25" s="217"/>
      <c r="AW25" s="218"/>
      <c r="AX25" s="218"/>
      <c r="AY25" s="218"/>
      <c r="AZ25" s="219"/>
      <c r="BA25" s="220"/>
      <c r="BB25" s="219"/>
      <c r="BC25" s="221"/>
      <c r="BD25" s="222"/>
      <c r="BE25" s="217"/>
      <c r="BF25" s="218"/>
      <c r="BG25" s="218"/>
      <c r="BH25" s="218"/>
      <c r="BI25" s="219"/>
      <c r="BJ25" s="220"/>
      <c r="BK25" s="219"/>
      <c r="BL25" s="221"/>
      <c r="BM25" s="222"/>
      <c r="BN25" s="217"/>
      <c r="BO25" s="218"/>
      <c r="BP25" s="218"/>
      <c r="BQ25" s="218"/>
      <c r="BR25" s="219"/>
      <c r="BS25" s="220"/>
      <c r="BT25" s="219"/>
      <c r="BU25" s="221"/>
      <c r="BV25" s="222"/>
      <c r="BW25" s="217"/>
      <c r="BX25" s="218"/>
      <c r="BY25" s="218"/>
      <c r="BZ25" s="218"/>
      <c r="CA25" s="219"/>
      <c r="CB25" s="220"/>
      <c r="CC25" s="219"/>
      <c r="CD25" s="221"/>
      <c r="CE25" s="222"/>
      <c r="CF25" s="217"/>
      <c r="CG25" s="218"/>
      <c r="CH25" s="218"/>
      <c r="CI25" s="218"/>
      <c r="CJ25" s="219"/>
      <c r="CK25" s="220"/>
      <c r="CL25" s="219"/>
      <c r="CM25" s="221"/>
      <c r="CN25" s="225"/>
    </row>
  </sheetData>
  <sheetProtection password="CA6F" sheet="1" objects="1" scenarios="1"/>
  <autoFilter ref="C8:CM22"/>
  <mergeCells count="81">
    <mergeCell ref="BE7:BF7"/>
    <mergeCell ref="BN7:BO7"/>
    <mergeCell ref="BW7:BX7"/>
    <mergeCell ref="AX2:AY7"/>
    <mergeCell ref="AS3:AT3"/>
    <mergeCell ref="P2:S2"/>
    <mergeCell ref="E7:F7"/>
    <mergeCell ref="L7:M7"/>
    <mergeCell ref="U7:V7"/>
    <mergeCell ref="AD7:AE7"/>
    <mergeCell ref="AM7:AN7"/>
    <mergeCell ref="AV7:AW7"/>
    <mergeCell ref="AH2:AK2"/>
    <mergeCell ref="AM2:AN5"/>
    <mergeCell ref="AO2:AP7"/>
    <mergeCell ref="AQ2:AT2"/>
    <mergeCell ref="AV2:AW5"/>
    <mergeCell ref="CF6:CG6"/>
    <mergeCell ref="CF7:CG7"/>
    <mergeCell ref="CJ3:CK3"/>
    <mergeCell ref="CL3:CM3"/>
    <mergeCell ref="E6:F6"/>
    <mergeCell ref="L6:M6"/>
    <mergeCell ref="U6:V6"/>
    <mergeCell ref="AD6:AE6"/>
    <mergeCell ref="AM6:AN6"/>
    <mergeCell ref="AV6:AW6"/>
    <mergeCell ref="BE6:BF6"/>
    <mergeCell ref="BN6:BO6"/>
    <mergeCell ref="BN2:BO5"/>
    <mergeCell ref="BP2:BQ7"/>
    <mergeCell ref="AZ3:BA3"/>
    <mergeCell ref="BB3:BC3"/>
    <mergeCell ref="CJ2:CM2"/>
    <mergeCell ref="G3:H3"/>
    <mergeCell ref="I3:J3"/>
    <mergeCell ref="P3:Q3"/>
    <mergeCell ref="R3:S3"/>
    <mergeCell ref="Y3:Z3"/>
    <mergeCell ref="AA3:AB3"/>
    <mergeCell ref="AH3:AI3"/>
    <mergeCell ref="AJ3:AK3"/>
    <mergeCell ref="AQ3:AR3"/>
    <mergeCell ref="BR2:BU2"/>
    <mergeCell ref="BW2:BX5"/>
    <mergeCell ref="BY2:BZ7"/>
    <mergeCell ref="CA2:CD2"/>
    <mergeCell ref="CF2:CG5"/>
    <mergeCell ref="CH2:CI7"/>
    <mergeCell ref="AF2:AG7"/>
    <mergeCell ref="AV1:BC1"/>
    <mergeCell ref="BE1:BL1"/>
    <mergeCell ref="BN1:BU1"/>
    <mergeCell ref="BW1:CD1"/>
    <mergeCell ref="BR3:BS3"/>
    <mergeCell ref="BT3:BU3"/>
    <mergeCell ref="CA3:CB3"/>
    <mergeCell ref="CC3:CD3"/>
    <mergeCell ref="AZ2:BC2"/>
    <mergeCell ref="BE2:BF5"/>
    <mergeCell ref="BG2:BH7"/>
    <mergeCell ref="BI2:BL2"/>
    <mergeCell ref="BW6:BX6"/>
    <mergeCell ref="BI3:BJ3"/>
    <mergeCell ref="BK3:BL3"/>
    <mergeCell ref="CF1:CM1"/>
    <mergeCell ref="A2:C7"/>
    <mergeCell ref="E2:F5"/>
    <mergeCell ref="G2:J2"/>
    <mergeCell ref="L2:M5"/>
    <mergeCell ref="N2:O7"/>
    <mergeCell ref="A1:C1"/>
    <mergeCell ref="E1:J1"/>
    <mergeCell ref="L1:S1"/>
    <mergeCell ref="U1:AB1"/>
    <mergeCell ref="AD1:AK1"/>
    <mergeCell ref="AM1:AT1"/>
    <mergeCell ref="U2:V5"/>
    <mergeCell ref="W2:X7"/>
    <mergeCell ref="Y2:AB2"/>
    <mergeCell ref="AD2:AE5"/>
  </mergeCells>
  <phoneticPr fontId="54" type="noConversion"/>
  <conditionalFormatting sqref="G13:G14 I13:I14 R13:R14 Y13:Y14 AA13:AA14 AH13:AH14 AJ13:AJ14 AQ13:AQ14 AS13:AS14 AZ13:AZ14 BB13:BB14 BI13:BI14 BK13:BK14 BR13:BR14 BT13:BT14 CA13:CA14 CC13:CC14 CJ13:CJ14 CL13:CL14 CL25:CL1048576 CJ25:CJ1048576 CC25:CC1048576 CA25:CA1048576 BT25:BT1048576 BR25:BR1048576 BK25:BK1048576 BI25:BI1048576 BB25:BB1048576 AZ25:AZ1048576 AS25:AS1048576 AQ25:AQ1048576 AJ25:AJ1048576 AH25:AH1048576 AA25:AA1048576 Y25:Y1048576 R25:R1048576 P25:P1048576 I25:I1048576 G25:G1048576 CL16:CL23 CJ16:CJ23 CC16:CC23 CA16:CA23 BT16:BT23 BR16:BR23 BK16:BK23 BI16:BI23 BB16:BB23 AZ16:AZ23 AS16:AS23 AQ16:AQ23 AJ16:AJ23 AH16:AH23 AA16:AA23 Y16:Y23 R16:R23 I16:I23 G16:G23">
    <cfRule type="cellIs" dxfId="69" priority="218" operator="equal">
      <formula>"NOK"</formula>
    </cfRule>
    <cfRule type="cellIs" dxfId="68" priority="219" operator="equal">
      <formula>"OK"</formula>
    </cfRule>
  </conditionalFormatting>
  <conditionalFormatting sqref="I13:I14 R13:R14 AA13:AA14 AJ13:AJ14 AS13:AS14 BB13:BB14 BK13:BK14 BT13:BT14 CC13:CC14 CL13:CL14 CL25:CL1048576 CC25:CC1048576 BT25:BT1048576 BK25:BK1048576 BB25:BB1048576 AS25:AS1048576 AJ25:AJ1048576 AA25:AA1048576 R25:R1048576 I25:I1048576 CL16:CL23 CC16:CC23 BT16:BT23 BK16:BK23 BB16:BB23 AS16:AS23 AJ16:AJ23 AA16:AA23 R16:R23 I16:I23">
    <cfRule type="cellIs" dxfId="67" priority="216" operator="equal">
      <formula>"STANDBY"</formula>
    </cfRule>
    <cfRule type="cellIs" dxfId="66" priority="217" operator="equal">
      <formula>"DEVIATION"</formula>
    </cfRule>
  </conditionalFormatting>
  <conditionalFormatting sqref="CJ25:CM1048576 CA25:CD1048576 BR25:BU1048576 BI25:BL1048576 AZ25:BC1048576 AQ25:AT1048576 AH25:AK1048576 Y25:AB1048576 P25:S1048576 G25:J1048576 CJ23:CM23 CA23:CD23 BR23:BU23 BI23:BL23 AZ23:BC23 AQ23:AT23 AH23:AK23 Y23:AB23 Q23:S23 G23:J23">
    <cfRule type="expression" dxfId="65" priority="220">
      <formula>AND(#REF!&lt;&gt;"",#REF!="")</formula>
    </cfRule>
  </conditionalFormatting>
  <conditionalFormatting sqref="G9:G10 I9:I10 R9:R10 Y9:Y10 AA9:AA10 AH9:AH10 AJ9:AJ10 AQ9:AQ10 AS9:AS10 AZ9:AZ10 BB9:BB10 BI9:BI10 BK9:BK10 BR9:BR10 BT9:BT10 CA9:CA10 CC9:CC10 CJ9:CJ10 CL9:CL10 CL24 CJ24 CC24 CA24 BT24 BR24 BK24 BI24 BB24 AZ24 AS24 AQ24 AJ24 AH24 AA24 Y24 R24 I24 G24 CL12 CJ12 CC12 CA12 BT12 BR12 BK12 BI12 BB12 AZ12 AS12 AQ12 AJ12 AH12 AA12 Y12 R12 I12 G12 P9:P24">
    <cfRule type="cellIs" dxfId="64" priority="213" operator="equal">
      <formula>"NOK"</formula>
    </cfRule>
    <cfRule type="cellIs" dxfId="63" priority="214" operator="equal">
      <formula>"OK"</formula>
    </cfRule>
  </conditionalFormatting>
  <conditionalFormatting sqref="I9:I10 R9:R10 AA9:AA10 AJ9:AJ10 AS9:AS10 BB9:BB10 BK9:BK10 BT9:BT10 CC9:CC10 CL9:CL10 CL24 CC24 BT24 BK24 BB24 AS24 AJ24 AA24 R24 I24 CL12 CC12 BT12 BK12 BB12 AS12 AJ12 AA12 R12 I12">
    <cfRule type="cellIs" dxfId="62" priority="211" operator="equal">
      <formula>"STANDBY"</formula>
    </cfRule>
    <cfRule type="cellIs" dxfId="61" priority="212" operator="equal">
      <formula>"DEVIATION"</formula>
    </cfRule>
  </conditionalFormatting>
  <conditionalFormatting sqref="CJ24:CM24 CA24:CD24 BR24:BU24 BI24:BL24 AZ24:BC24 AQ24:AT24 AH24:AK24 Y24:AB24 Q24:S24 G24:J24 G9:J10 P9:S10 Y9:AB10 AH9:AK10 AQ9:AT10 AZ9:BC10 BI9:BL10 BR9:BU10 CA9:CD10 CJ9:CM10 CJ12:CM14 CA12:CD14 BR12:BU14 BI12:BL14 AZ12:BC14 AQ12:AT14 AH12:AK14 Y12:AB14 Q12:S14 G12:J14 G16:J22 Q16:S22 Y16:AB22 AH16:AK22 AQ16:AT22 AZ16:BC22 BI16:BL22 BR16:BU22 CA16:CD22 CJ16:CM22 P11:P24">
    <cfRule type="expression" dxfId="60" priority="215">
      <formula>AND(#REF!&lt;&gt;"",#REF!="")</formula>
    </cfRule>
  </conditionalFormatting>
  <conditionalFormatting sqref="C13:C14 AM9:AT10 AV9:BC10 BE9:BL10 BN9:BU10 BW9:CD10 CF9:CM10 W9:AB10 G9:J10 N9:S10 N12:O14 G12:J14 W12:AB14 CF12:CM14 BW12:CD14 BN12:BU14 BE12:BL14 AV12:BC14 AM12:AT14 W16:AB24 CF16:CM24 BW16:CD24 BN16:BU24 BE16:BL24 AV16:BC24 AM16:AT24 G16:J24 C16:C23 N16:O24 AF9:AK10 AF12:AK14 AF16:AK24 E24:F24 F23 L24:M24 M23 Q16:S24 Q12:S14 P11:P24">
    <cfRule type="containsBlanks" dxfId="59" priority="210">
      <formula>LEN(TRIM(C9))=0</formula>
    </cfRule>
  </conditionalFormatting>
  <conditionalFormatting sqref="W24:X24 AO9:AP10 AX9:AY10 BG9:BH10 BP9:BQ10 BY9:BZ10 CH9:CI10 W9:X10 N9:O10 N12:O14 W12:X14 CH12:CI14 BY12:BZ14 BP12:BQ14 BG12:BH14 AX12:AY14 AO12:AP14 W16:X22 CH16:CI24 BY16:BZ24 BP16:BQ24 BG16:BH24 AX16:AY24 AO16:AP24 N16:O24 AF24:AG24 AF9:AG10 AF12:AG14 AF16:AG22">
    <cfRule type="cellIs" dxfId="58" priority="207" operator="equal">
      <formula>"ERROR"</formula>
    </cfRule>
    <cfRule type="cellIs" dxfId="57" priority="208" operator="equal">
      <formula>"NA"</formula>
    </cfRule>
    <cfRule type="cellIs" dxfId="56" priority="209" operator="equal">
      <formula>"YES"</formula>
    </cfRule>
  </conditionalFormatting>
  <conditionalFormatting sqref="C24 C9:C10 C12">
    <cfRule type="containsBlanks" dxfId="55" priority="205">
      <formula>LEN(TRIM(C9))=0</formula>
    </cfRule>
  </conditionalFormatting>
  <conditionalFormatting sqref="W23:X23">
    <cfRule type="cellIs" dxfId="54" priority="199" operator="equal">
      <formula>"ERROR"</formula>
    </cfRule>
    <cfRule type="cellIs" dxfId="53" priority="200" operator="equal">
      <formula>"NA"</formula>
    </cfRule>
    <cfRule type="cellIs" dxfId="52" priority="201" operator="equal">
      <formula>"YES"</formula>
    </cfRule>
  </conditionalFormatting>
  <conditionalFormatting sqref="A9:A10 A12:A14 A16:A24">
    <cfRule type="containsBlanks" dxfId="51" priority="157">
      <formula>LEN(TRIM(A9))=0</formula>
    </cfRule>
  </conditionalFormatting>
  <conditionalFormatting sqref="B9:B10 B12:B14 B16:B24">
    <cfRule type="containsBlanks" dxfId="50" priority="156">
      <formula>LEN(TRIM(B9))=0</formula>
    </cfRule>
  </conditionalFormatting>
  <conditionalFormatting sqref="G11 I11 R11 Y11 AA11 AH11 AJ11 AQ11 AS11 AZ11 BB11 BI11 BK11 BR11 BT11 CA11 CC11 CJ11 CL11">
    <cfRule type="cellIs" dxfId="49" priority="139" operator="equal">
      <formula>"NOK"</formula>
    </cfRule>
    <cfRule type="cellIs" dxfId="48" priority="140" operator="equal">
      <formula>"OK"</formula>
    </cfRule>
  </conditionalFormatting>
  <conditionalFormatting sqref="I11 R11 AA11 AJ11 AS11 BB11 BK11 BT11 CC11 CL11">
    <cfRule type="cellIs" dxfId="47" priority="137" operator="equal">
      <formula>"STANDBY"</formula>
    </cfRule>
    <cfRule type="cellIs" dxfId="46" priority="138" operator="equal">
      <formula>"DEVIATION"</formula>
    </cfRule>
  </conditionalFormatting>
  <conditionalFormatting sqref="G11:J11 Q11:S11 Y11:AB11 AH11:AK11 AQ11:AT11 AZ11:BC11 BI11:BL11 BR11:BU11 CA11:CD11 CJ11:CM11">
    <cfRule type="expression" dxfId="45" priority="141">
      <formula>AND(#REF!&lt;&gt;"",#REF!="")</formula>
    </cfRule>
  </conditionalFormatting>
  <conditionalFormatting sqref="AM11:AT11 AV11:BC11 BE11:BL11 BN11:BU11 BW11:CD11 CF11:CM11 W11:AB11 G11:J11 N11:O11 AF11:AK11 Q11:S11">
    <cfRule type="containsBlanks" dxfId="44" priority="136">
      <formula>LEN(TRIM(G11))=0</formula>
    </cfRule>
  </conditionalFormatting>
  <conditionalFormatting sqref="AO11:AP11 AX11:AY11 BG11:BH11 BP11:BQ11 BY11:BZ11 CH11:CI11 W11:X11 N11:O11 AF11:AG11">
    <cfRule type="cellIs" dxfId="43" priority="133" operator="equal">
      <formula>"ERROR"</formula>
    </cfRule>
    <cfRule type="cellIs" dxfId="42" priority="134" operator="equal">
      <formula>"NA"</formula>
    </cfRule>
    <cfRule type="cellIs" dxfId="41" priority="135" operator="equal">
      <formula>"YES"</formula>
    </cfRule>
  </conditionalFormatting>
  <conditionalFormatting sqref="C11">
    <cfRule type="containsBlanks" dxfId="40" priority="132">
      <formula>LEN(TRIM(C11))=0</formula>
    </cfRule>
  </conditionalFormatting>
  <conditionalFormatting sqref="A11">
    <cfRule type="containsBlanks" dxfId="39" priority="128">
      <formula>LEN(TRIM(A11))=0</formula>
    </cfRule>
  </conditionalFormatting>
  <conditionalFormatting sqref="B11">
    <cfRule type="containsBlanks" dxfId="38" priority="127">
      <formula>LEN(TRIM(B11))=0</formula>
    </cfRule>
  </conditionalFormatting>
  <conditionalFormatting sqref="G15 I15 R15 Y15 AA15 AH15 AJ15 AQ15 AS15 AZ15 BB15 BI15 BK15 BR15 BT15 CA15 CC15 CJ15 CL15">
    <cfRule type="cellIs" dxfId="37" priority="121" operator="equal">
      <formula>"NOK"</formula>
    </cfRule>
    <cfRule type="cellIs" dxfId="36" priority="122" operator="equal">
      <formula>"OK"</formula>
    </cfRule>
  </conditionalFormatting>
  <conditionalFormatting sqref="I15 R15 AA15 AJ15 AS15 BB15 BK15 BT15 CC15 CL15">
    <cfRule type="cellIs" dxfId="35" priority="119" operator="equal">
      <formula>"STANDBY"</formula>
    </cfRule>
    <cfRule type="cellIs" dxfId="34" priority="120" operator="equal">
      <formula>"DEVIATION"</formula>
    </cfRule>
  </conditionalFormatting>
  <conditionalFormatting sqref="CJ15:CM15 CA15:CD15 BR15:BU15 BI15:BL15 AZ15:BC15 AQ15:AT15 AH15:AK15 Y15:AB15 Q15:S15 G15:J15">
    <cfRule type="expression" dxfId="33" priority="118">
      <formula>AND(#REF!&lt;&gt;"",#REF!="")</formula>
    </cfRule>
  </conditionalFormatting>
  <conditionalFormatting sqref="C15 N15:O15 G15:J15 W15:AB15 CF15:CM15 BW15:CD15 BN15:BU15 BE15:BL15 AV15:BC15 AM15:AT15 AF15:AK15 Q15:S15">
    <cfRule type="containsBlanks" dxfId="32" priority="117">
      <formula>LEN(TRIM(C15))=0</formula>
    </cfRule>
  </conditionalFormatting>
  <conditionalFormatting sqref="N15:O15 W15:X15 CH15:CI15 BY15:BZ15 BP15:BQ15 BG15:BH15 AX15:AY15 AO15:AP15 AF15:AG15">
    <cfRule type="cellIs" dxfId="31" priority="114" operator="equal">
      <formula>"ERROR"</formula>
    </cfRule>
    <cfRule type="cellIs" dxfId="30" priority="115" operator="equal">
      <formula>"NA"</formula>
    </cfRule>
    <cfRule type="cellIs" dxfId="29" priority="116" operator="equal">
      <formula>"YES"</formula>
    </cfRule>
  </conditionalFormatting>
  <conditionalFormatting sqref="A15">
    <cfRule type="containsBlanks" dxfId="28" priority="112">
      <formula>LEN(TRIM(A15))=0</formula>
    </cfRule>
  </conditionalFormatting>
  <conditionalFormatting sqref="B15">
    <cfRule type="containsBlanks" dxfId="27" priority="111">
      <formula>LEN(TRIM(B15))=0</formula>
    </cfRule>
  </conditionalFormatting>
  <conditionalFormatting sqref="U24:V24 V23">
    <cfRule type="containsBlanks" dxfId="26" priority="29">
      <formula>LEN(TRIM(U23))=0</formula>
    </cfRule>
  </conditionalFormatting>
  <conditionalFormatting sqref="U23">
    <cfRule type="containsBlanks" dxfId="25" priority="28">
      <formula>LEN(TRIM(U23))=0</formula>
    </cfRule>
  </conditionalFormatting>
  <conditionalFormatting sqref="U9:V10 U12:V14 U16:V22">
    <cfRule type="containsBlanks" dxfId="24" priority="27">
      <formula>LEN(TRIM(U9))=0</formula>
    </cfRule>
  </conditionalFormatting>
  <conditionalFormatting sqref="U11:V11">
    <cfRule type="containsBlanks" dxfId="23" priority="26">
      <formula>LEN(TRIM(U11))=0</formula>
    </cfRule>
  </conditionalFormatting>
  <conditionalFormatting sqref="U15:V15">
    <cfRule type="containsBlanks" dxfId="22" priority="25">
      <formula>LEN(TRIM(U15))=0</formula>
    </cfRule>
  </conditionalFormatting>
  <conditionalFormatting sqref="AF23:AG23">
    <cfRule type="cellIs" dxfId="21" priority="20" operator="equal">
      <formula>"ERROR"</formula>
    </cfRule>
    <cfRule type="cellIs" dxfId="20" priority="21" operator="equal">
      <formula>"NA"</formula>
    </cfRule>
    <cfRule type="cellIs" dxfId="19" priority="22" operator="equal">
      <formula>"YES"</formula>
    </cfRule>
  </conditionalFormatting>
  <conditionalFormatting sqref="AD24:AE24 AE23">
    <cfRule type="containsBlanks" dxfId="18" priority="17">
      <formula>LEN(TRIM(AD23))=0</formula>
    </cfRule>
  </conditionalFormatting>
  <conditionalFormatting sqref="AD23">
    <cfRule type="containsBlanks" dxfId="17" priority="16">
      <formula>LEN(TRIM(AD23))=0</formula>
    </cfRule>
  </conditionalFormatting>
  <conditionalFormatting sqref="AD9:AE10 AD12:AE14 AD16:AE22">
    <cfRule type="containsBlanks" dxfId="16" priority="15">
      <formula>LEN(TRIM(AD9))=0</formula>
    </cfRule>
  </conditionalFormatting>
  <conditionalFormatting sqref="AD11:AE11">
    <cfRule type="containsBlanks" dxfId="15" priority="14">
      <formula>LEN(TRIM(AD11))=0</formula>
    </cfRule>
  </conditionalFormatting>
  <conditionalFormatting sqref="AD15:AE15">
    <cfRule type="containsBlanks" dxfId="14" priority="13">
      <formula>LEN(TRIM(AD15))=0</formula>
    </cfRule>
  </conditionalFormatting>
  <conditionalFormatting sqref="E23">
    <cfRule type="containsBlanks" dxfId="13" priority="10">
      <formula>LEN(TRIM(E23))=0</formula>
    </cfRule>
  </conditionalFormatting>
  <conditionalFormatting sqref="E9:F10 E12:F14 E16:F22">
    <cfRule type="containsBlanks" dxfId="12" priority="9">
      <formula>LEN(TRIM(E9))=0</formula>
    </cfRule>
  </conditionalFormatting>
  <conditionalFormatting sqref="E11:F11">
    <cfRule type="containsBlanks" dxfId="11" priority="8">
      <formula>LEN(TRIM(E11))=0</formula>
    </cfRule>
  </conditionalFormatting>
  <conditionalFormatting sqref="E15:F15">
    <cfRule type="containsBlanks" dxfId="10" priority="7">
      <formula>LEN(TRIM(E15))=0</formula>
    </cfRule>
  </conditionalFormatting>
  <conditionalFormatting sqref="L23">
    <cfRule type="containsBlanks" dxfId="9" priority="4">
      <formula>LEN(TRIM(L23))=0</formula>
    </cfRule>
  </conditionalFormatting>
  <conditionalFormatting sqref="L9:M10 L12:M14 L16:M22">
    <cfRule type="containsBlanks" dxfId="8" priority="3">
      <formula>LEN(TRIM(L9))=0</formula>
    </cfRule>
  </conditionalFormatting>
  <conditionalFormatting sqref="L11:M11">
    <cfRule type="containsBlanks" dxfId="7" priority="2">
      <formula>LEN(TRIM(L11))=0</formula>
    </cfRule>
  </conditionalFormatting>
  <conditionalFormatting sqref="L15:M15">
    <cfRule type="containsBlanks" dxfId="6" priority="1">
      <formula>LEN(TRIM(L15))=0</formula>
    </cfRule>
  </conditionalFormatting>
  <dataValidations count="2">
    <dataValidation type="list" allowBlank="1" showInputMessage="1" showErrorMessage="1" sqref="BI9:BI1048576 AZ9:AZ1048576 AQ9:AQ1048576 AH9:AH1048576 Y9:Y1048576 P9:P1048576 G9:G1048576 CA9:CA1048576 BR9:BR1048576 CJ9:CJ1048576">
      <formula1>"OK,NOK"</formula1>
    </dataValidation>
    <dataValidation type="list" allowBlank="1" showInputMessage="1" showErrorMessage="1" sqref="BK9:BK1048576 BB9:BB1048576 AS9:AS1048576 AJ9:AJ1048576 AA9:AA1048576 R9:R1048576 I9:I1048576 CC9:CC1048576 BT9:BT1048576 CL9:CL1048576">
      <formula1>"OK,NOK,DEVIATION,STANDBY"</formula1>
    </dataValidation>
  </dataValidations>
  <pageMargins left="0.7" right="0.7" top="0.75" bottom="0.75" header="0.3" footer="0.3"/>
  <pageSetup paperSize="9" orientation="portrait" r:id="rId1"/>
  <legacyDrawing r:id="rId2"/>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_rels/item2.xml.rels><?xml version="1.0" encoding="UTF-8"?>

<Relationships xmlns="http://schemas.openxmlformats.org/package/2006/relationships">
  <Relationship Id="rId1" Type="http://schemas.openxmlformats.org/officeDocument/2006/relationships/customXmlProps" Target="itemProps2.xml"/>
</Relationships>

</file>

<file path=customXml/_rels/item3.xml.rels><?xml version="1.0" encoding="UTF-8"?>

<Relationships xmlns="http://schemas.openxmlformats.org/package/2006/relationships">
  <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91980C5C918C4684F59D2494840182" ma:contentTypeVersion="17" ma:contentTypeDescription="Crée un document." ma:contentTypeScope="" ma:versionID="b64f3825dedef745799e815778a3a450">
  <xsd:schema xmlns:xsd="http://www.w3.org/2001/XMLSchema" xmlns:xs="http://www.w3.org/2001/XMLSchema" xmlns:p="http://schemas.microsoft.com/office/2006/metadata/properties" xmlns:ns2="4c2767fa-af50-448b-be2e-f65ce6607914" xmlns:ns3="8919c726-fcca-4e26-901c-b5f9cceed740" targetNamespace="http://schemas.microsoft.com/office/2006/metadata/properties" ma:root="true" ma:fieldsID="be7a93383acc94020a60dce7576d233c" ns2:_="" ns3:_="">
    <xsd:import namespace="4c2767fa-af50-448b-be2e-f65ce6607914"/>
    <xsd:import namespace="8919c726-fcca-4e26-901c-b5f9cceed74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3:SharedWithUsers" minOccurs="0"/>
                <xsd:element ref="ns3:SharedWithDetails" minOccurs="0"/>
                <xsd:element ref="ns2:Comments" minOccurs="0"/>
                <xsd:element ref="ns2:MediaServiceBillingMetadata"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2767fa-af50-448b-be2e-f65ce66079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alises d’images" ma:readOnly="false" ma:fieldId="{5cf76f15-5ced-4ddc-b409-7134ff3c332f}" ma:taxonomyMulti="true" ma:sspId="9247bebf-ce0e-4fa1-bae7-748a1283d6f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Comments" ma:index="21" nillable="true" ma:displayName="Comments" ma:format="Dropdown" ma:internalName="Comments">
      <xsd:simpleType>
        <xsd:restriction base="dms:Text">
          <xsd:maxLength value="255"/>
        </xsd:restriction>
      </xsd:simpleType>
    </xsd:element>
    <xsd:element name="MediaServiceBillingMetadata" ma:index="22" nillable="true" ma:displayName="MediaServiceBillingMetadata" ma:hidden="true" ma:internalName="MediaServiceBillingMetadata"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19c726-fcca-4e26-901c-b5f9cceed740" elementFormDefault="qualified">
    <xsd:import namespace="http://schemas.microsoft.com/office/2006/documentManagement/types"/>
    <xsd:import namespace="http://schemas.microsoft.com/office/infopath/2007/PartnerControls"/>
    <xsd:element name="SharedWithUsers" ma:index="19"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mments xmlns="4c2767fa-af50-448b-be2e-f65ce6607914" xsi:nil="true"/>
    <lcf76f155ced4ddcb4097134ff3c332f xmlns="4c2767fa-af50-448b-be2e-f65ce660791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BA4B862-8D67-4892-8204-B8D39A0E98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2767fa-af50-448b-be2e-f65ce6607914"/>
    <ds:schemaRef ds:uri="8919c726-fcca-4e26-901c-b5f9cceed7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A37EBC-0137-44D0-AD29-D37599C07770}">
  <ds:schemaRefs>
    <ds:schemaRef ds:uri="http://schemas.microsoft.com/sharepoint/v3/contenttype/forms"/>
  </ds:schemaRefs>
</ds:datastoreItem>
</file>

<file path=customXml/itemProps3.xml><?xml version="1.0" encoding="utf-8"?>
<ds:datastoreItem xmlns:ds="http://schemas.openxmlformats.org/officeDocument/2006/customXml" ds:itemID="{FF7BAA73-937B-4694-A5EC-AB9D05EC66B3}">
  <ds:schemaRefs>
    <ds:schemaRef ds:uri="http://schemas.microsoft.com/office/2006/metadata/properties"/>
    <ds:schemaRef ds:uri="http://schemas.microsoft.com/office/infopath/2007/PartnerControls"/>
    <ds:schemaRef ds:uri="4c2767fa-af50-448b-be2e-f65ce6607914"/>
  </ds:schemaRefs>
</ds:datastoreItem>
</file>

<file path=docMetadata/LabelInfo.xml><?xml version="1.0" encoding="utf-8"?>
<clbl:labelList xmlns:clbl="http://schemas.microsoft.com/office/2020/mipLabelMetadata">
  <clbl:label id="{2fd53d93-3f4c-4b90-b511-bd6bdbb4fba9}" enabled="1" method="Standard" siteId="{d852d5cd-724c-4128-8812-ffa5db3f850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8</vt:i4>
      </vt:variant>
      <vt:variant>
        <vt:lpstr>命名范围</vt:lpstr>
      </vt:variant>
      <vt:variant>
        <vt:i4>2</vt:i4>
      </vt:variant>
    </vt:vector>
  </HeadingPairs>
  <TitlesOfParts>
    <vt:vector size="10" baseType="lpstr">
      <vt:lpstr>First Page</vt:lpstr>
      <vt:lpstr>Revisions</vt:lpstr>
      <vt:lpstr>Documents</vt:lpstr>
      <vt:lpstr>DM17F LVDS Map</vt:lpstr>
      <vt:lpstr>02016_12_01755-PL - (TS1)</vt:lpstr>
      <vt:lpstr>01991_22_02471-I2C_CR - (TS2)</vt:lpstr>
      <vt:lpstr>02016_12_05270-NM - (TS3)</vt:lpstr>
      <vt:lpstr>02016_15_06111 - (VAL)</vt:lpstr>
      <vt:lpstr>'First Page'!Print_Area</vt:lpstr>
      <vt:lpstr>Revisions!Print_Area</vt:lpstr>
    </vt:vector>
  </TitlesOfParts>
  <Company>PSA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MANUEL OZOUF - U413680</dc:creator>
  <cp:lastModifiedBy>HanLiQin韩莉勤</cp:lastModifiedBy>
  <dcterms:created xsi:type="dcterms:W3CDTF">2016-01-26T14:48:35Z</dcterms:created>
  <dcterms:modified xsi:type="dcterms:W3CDTF">2026-04-24T02:35:17Z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psa_titre">
    <vt:lpwstr>APQP G1-01A Technical Specification</vt:lpwstr>
  </property>
  <property fmtid="{D5CDD505-2E9C-101B-9397-08002B2CF9AE}" pid="4" name="psa_date_creation">
    <vt:lpwstr>14/04/2026 15:58</vt:lpwstr>
  </property>
  <property fmtid="{D5CDD505-2E9C-101B-9397-08002B2CF9AE}" pid="5" name="psa_date_modification">
    <vt:lpwstr>27/04/2026 13:56</vt:lpwstr>
  </property>
  <property fmtid="{D5CDD505-2E9C-101B-9397-08002B2CF9AE}" pid="6" name="psa_auteur">
    <vt:lpwstr>LE BLEGUET CHRISTOPHE - V178340 (TIANMA EUROPE GMBH) </vt:lpwstr>
  </property>
  <property fmtid="{D5CDD505-2E9C-101B-9397-08002B2CF9AE}" pid="7" name="psa_emetteur">
    <vt:lpwstr>LE BLEGUET CHRISTOPHE - V178340 (TIANMA EUROPE GMBH) </vt:lpwstr>
  </property>
  <property fmtid="{D5CDD505-2E9C-101B-9397-08002B2CF9AE}" pid="8" name="psa_version">
    <vt:lpwstr>0.2</vt:lpwstr>
  </property>
  <property fmtid="{D5CDD505-2E9C-101B-9397-08002B2CF9AE}" pid="9" name="psa_commentaire">
    <vt:lpwstr/>
  </property>
  <property fmtid="{D5CDD505-2E9C-101B-9397-08002B2CF9AE}" pid="10" name="psa_langue_principale">
    <vt:lpwstr>Français</vt:lpwstr>
  </property>
  <property fmtid="{D5CDD505-2E9C-101B-9397-08002B2CF9AE}" pid="11" name="psa_status">
    <vt:lpwstr>brouillon</vt:lpwstr>
  </property>
  <property fmtid="{D5CDD505-2E9C-101B-9397-08002B2CF9AE}" pid="12" name="psa_type_doc">
    <vt:lpwstr/>
  </property>
  <property fmtid="{D5CDD505-2E9C-101B-9397-08002B2CF9AE}" pid="13" name="psa_communaute">
    <vt:lpwstr>z - Ext amont Thème Conception et Développement 13</vt:lpwstr>
  </property>
  <property fmtid="{D5CDD505-2E9C-101B-9397-08002B2CF9AE}" pid="14" name="psa_niveau_confidentialite">
    <vt:lpwstr>C1 - Public</vt:lpwstr>
  </property>
  <property fmtid="{D5CDD505-2E9C-101B-9397-08002B2CF9AE}" pid="15" name="psa_url_fiche">
    <vt:lpwstr>https://docinfogroupe.inetpsa.com/ead/doc/ref.20931_26_00269/v.0.2</vt:lpwstr>
  </property>
  <property fmtid="{D5CDD505-2E9C-101B-9397-08002B2CF9AE}" pid="16" name="psa_url_modification">
    <vt:lpwstr>https://docinfogroupe.inetpsa.com/ead/doc/modif/ref.20931_26_00269/fiche</vt:lpwstr>
  </property>
  <property fmtid="{D5CDD505-2E9C-101B-9397-08002B2CF9AE}" pid="17" name="psa_date_publication">
    <vt:lpwstr/>
  </property>
  <property fmtid="{D5CDD505-2E9C-101B-9397-08002B2CF9AE}" pid="18" name="psa_reference">
    <vt:lpwstr>20931_26_00269</vt:lpwstr>
  </property>
  <property fmtid="{D5CDD505-2E9C-101B-9397-08002B2CF9AE}" pid="19" name="MSIP_Label_2fd53d93-3f4c-4b90-b511-bd6bdbb4fba9_Enabled">
    <vt:lpwstr>true</vt:lpwstr>
  </property>
  <property fmtid="{D5CDD505-2E9C-101B-9397-08002B2CF9AE}" pid="20" name="MSIP_Label_2fd53d93-3f4c-4b90-b511-bd6bdbb4fba9_SetDate">
    <vt:lpwstr>2021-02-27T14:13:19Z</vt:lpwstr>
  </property>
  <property fmtid="{D5CDD505-2E9C-101B-9397-08002B2CF9AE}" pid="21" name="MSIP_Label_2fd53d93-3f4c-4b90-b511-bd6bdbb4fba9_Method">
    <vt:lpwstr>Standard</vt:lpwstr>
  </property>
  <property fmtid="{D5CDD505-2E9C-101B-9397-08002B2CF9AE}" pid="22" name="MSIP_Label_2fd53d93-3f4c-4b90-b511-bd6bdbb4fba9_Name">
    <vt:lpwstr>2fd53d93-3f4c-4b90-b511-bd6bdbb4fba9</vt:lpwstr>
  </property>
  <property fmtid="{D5CDD505-2E9C-101B-9397-08002B2CF9AE}" pid="23" name="MSIP_Label_2fd53d93-3f4c-4b90-b511-bd6bdbb4fba9_SiteId">
    <vt:lpwstr>d852d5cd-724c-4128-8812-ffa5db3f8507</vt:lpwstr>
  </property>
  <property fmtid="{D5CDD505-2E9C-101B-9397-08002B2CF9AE}" pid="24" name="MSIP_Label_2fd53d93-3f4c-4b90-b511-bd6bdbb4fba9_ActionId">
    <vt:lpwstr/>
  </property>
  <property fmtid="{D5CDD505-2E9C-101B-9397-08002B2CF9AE}" pid="25" name="MSIP_Label_2fd53d93-3f4c-4b90-b511-bd6bdbb4fba9_ContentBits">
    <vt:lpwstr>0</vt:lpwstr>
  </property>
  <property fmtid="{D5CDD505-2E9C-101B-9397-08002B2CF9AE}" pid="26" name="ContentTypeId">
    <vt:lpwstr>0x0101005A91980C5C918C4684F59D2494840182</vt:lpwstr>
  </property>
  <property fmtid="{D5CDD505-2E9C-101B-9397-08002B2CF9AE}" pid="27" name="MediaServiceImageTags">
    <vt:lpwstr/>
  </property>
</Properties>
</file>