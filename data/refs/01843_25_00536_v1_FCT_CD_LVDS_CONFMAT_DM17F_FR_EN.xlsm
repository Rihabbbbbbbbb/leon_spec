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ppt" ContentType="application/vnd.ms-powerpoint"/>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0_报价项目\06_S_DM12F\RFQ technical specification DM12F\004_FUNCTIONAL_&amp;_HMI_SPECIFICATIONS\3_CONFORMITY_MATRIX\"/>
    </mc:Choice>
  </mc:AlternateContent>
  <bookViews>
    <workbookView xWindow="14390" yWindow="-20" windowWidth="14430" windowHeight="11760" tabRatio="773" activeTab="1"/>
  </bookViews>
  <sheets>
    <sheet name="First page" sheetId="2" r:id="rId1"/>
    <sheet name="Application &amp; Conformity matrix" sheetId="1" r:id="rId2"/>
    <sheet name="Check" sheetId="8" r:id="rId3"/>
    <sheet name="Specific Parameters" sheetId="5" r:id="rId4"/>
    <sheet name="Help1" sheetId="3" r:id="rId5"/>
    <sheet name="Help2" sheetId="6" r:id="rId6"/>
    <sheet name="Audit_MDC" sheetId="9" r:id="rId7"/>
    <sheet name="CONFIG" sheetId="7" r:id="rId8"/>
  </sheets>
  <externalReferences>
    <externalReference r:id="rId9"/>
  </externalReferences>
  <definedNames>
    <definedName name="_xlnm._FilterDatabase" localSheetId="1" hidden="1">'Application &amp; Conformity matrix'!$A$36:$R$373</definedName>
    <definedName name="_xlnm._FilterDatabase" localSheetId="0" hidden="1">'First page'!#REF!</definedName>
    <definedName name="_Hlk194206330" localSheetId="1">'Application &amp; Conformity matrix'!#REF!</definedName>
    <definedName name="Liste1">[1]Version!$I$14:$I$16</definedName>
  </definedNames>
  <calcPr calcId="152511"/>
</workbook>
</file>

<file path=xl/calcChain.xml><?xml version="1.0" encoding="utf-8"?>
<calcChain xmlns="http://schemas.openxmlformats.org/spreadsheetml/2006/main">
  <c r="K33" i="1" l="1"/>
  <c r="K32" i="1"/>
  <c r="K31" i="1"/>
  <c r="L31" i="1" s="1"/>
  <c r="K30" i="1"/>
  <c r="L30" i="1" s="1"/>
  <c r="K29" i="1"/>
  <c r="K28" i="1"/>
  <c r="L29" i="1" l="1"/>
  <c r="L28" i="1" s="1"/>
  <c r="L32" i="1"/>
  <c r="L33" i="1"/>
  <c r="D43" i="2" l="1"/>
</calcChain>
</file>

<file path=xl/sharedStrings.xml><?xml version="1.0" encoding="utf-8"?>
<sst xmlns="http://schemas.openxmlformats.org/spreadsheetml/2006/main" count="1838" uniqueCount="1041">
  <si>
    <r>
      <t xml:space="preserve">La/Les matrices d'application/conformité sont référencées et stockées sous </t>
    </r>
    <r>
      <rPr>
        <b/>
        <sz val="10"/>
        <rFont val="Arial"/>
        <family val="2"/>
      </rPr>
      <t xml:space="preserve">DocInfo.
L'officialisation sous SAP </t>
    </r>
    <r>
      <rPr>
        <sz val="10"/>
        <rFont val="Arial"/>
        <family val="2"/>
      </rPr>
      <t xml:space="preserve">de l'ensemble des matrices d'application/conformité d'un organe avec une référence 98M est de la responsabilité du Chargé de développement. </t>
    </r>
  </si>
  <si>
    <t>La matrice d'application/conformité sera officialisée à chaque pack de livraison (envoi de spécifications) sous : 
- SAP par le Chargé de développement, 
- DocInfo (version publiée) par le rédacteur de la/des ST concernées</t>
  </si>
  <si>
    <r>
      <t xml:space="preserve">Nature des modifications / </t>
    </r>
    <r>
      <rPr>
        <sz val="10"/>
        <color indexed="12"/>
        <rFont val="Arial"/>
        <family val="2"/>
      </rPr>
      <t>Nature of the modifications</t>
    </r>
  </si>
  <si>
    <t>Les évolutions (dans les grandes lignes) sont mentionnées dans la colonne "Nature des modifications" à chaque diffusion du document vers le fournisseur.</t>
  </si>
  <si>
    <t>Liste de toutes les exigences d'une ou plusieurs ST Fonctionnelles applicables à l'organe</t>
  </si>
  <si>
    <t>Liste de toutes les exigences d'une ou plusieurs ST IHM applicables à l'organe</t>
  </si>
  <si>
    <t xml:space="preserve">Indique la version "réelle" de chaque exigence à la date de figeage des spécifications. </t>
  </si>
  <si>
    <t xml:space="preserve">Cette colonne permet de renseigner, à titre informatif uniquement, un extrait du descriptif de la dernière version de l'exigence. Le remplissage de cette colonne est optionnel et libre choix est donné au référent de la ST concernée de la renseigner ou non. </t>
  </si>
  <si>
    <r>
      <t>Référence/</t>
    </r>
    <r>
      <rPr>
        <b/>
        <sz val="10"/>
        <color indexed="12"/>
        <rFont val="Arial"/>
        <family val="2"/>
      </rPr>
      <t>Reference</t>
    </r>
    <r>
      <rPr>
        <b/>
        <sz val="10"/>
        <rFont val="Arial"/>
        <family val="2"/>
      </rPr>
      <t> :</t>
    </r>
  </si>
  <si>
    <r>
      <t>Nom/</t>
    </r>
    <r>
      <rPr>
        <sz val="10"/>
        <color indexed="12"/>
        <rFont val="Arial"/>
        <family val="2"/>
      </rPr>
      <t>Name</t>
    </r>
    <r>
      <rPr>
        <sz val="10"/>
        <rFont val="Arial"/>
        <family val="2"/>
      </rPr>
      <t xml:space="preserve"> : </t>
    </r>
  </si>
  <si>
    <r>
      <t>Date/</t>
    </r>
    <r>
      <rPr>
        <sz val="10"/>
        <color indexed="12"/>
        <rFont val="Arial"/>
        <family val="2"/>
      </rPr>
      <t>Date</t>
    </r>
    <r>
      <rPr>
        <sz val="10"/>
        <rFont val="Arial"/>
        <family val="2"/>
      </rPr>
      <t xml:space="preserve"> :</t>
    </r>
  </si>
  <si>
    <r>
      <t>Signature/</t>
    </r>
    <r>
      <rPr>
        <sz val="10"/>
        <color indexed="12"/>
        <rFont val="Arial"/>
        <family val="2"/>
      </rPr>
      <t>Signature</t>
    </r>
    <r>
      <rPr>
        <sz val="10"/>
        <rFont val="Arial"/>
        <family val="2"/>
      </rPr>
      <t xml:space="preserve"> :</t>
    </r>
  </si>
  <si>
    <r>
      <t>Entité/</t>
    </r>
    <r>
      <rPr>
        <sz val="10"/>
        <color indexed="12"/>
        <rFont val="Arial"/>
        <family val="2"/>
      </rPr>
      <t>Entity</t>
    </r>
    <r>
      <rPr>
        <sz val="10"/>
        <rFont val="Arial"/>
        <family val="2"/>
      </rPr>
      <t xml:space="preserve"> :</t>
    </r>
    <r>
      <rPr>
        <b/>
        <sz val="10"/>
        <rFont val="Arial"/>
        <family val="2"/>
      </rPr>
      <t xml:space="preserve"> </t>
    </r>
  </si>
  <si>
    <r>
      <t>Entité/</t>
    </r>
    <r>
      <rPr>
        <sz val="10"/>
        <color indexed="12"/>
        <rFont val="Arial"/>
        <family val="2"/>
      </rPr>
      <t>Entity</t>
    </r>
    <r>
      <rPr>
        <sz val="10"/>
        <rFont val="Arial"/>
        <family val="2"/>
      </rPr>
      <t xml:space="preserve"> :</t>
    </r>
    <r>
      <rPr>
        <b/>
        <sz val="10"/>
        <rFont val="Arial"/>
        <family val="2"/>
      </rPr>
      <t/>
    </r>
  </si>
  <si>
    <r>
      <t xml:space="preserve">Confidentialité / </t>
    </r>
    <r>
      <rPr>
        <sz val="8"/>
        <color indexed="12"/>
        <rFont val="Arial"/>
        <family val="2"/>
      </rPr>
      <t>Confidentiality</t>
    </r>
  </si>
  <si>
    <r>
      <t xml:space="preserve">Usage interne / 
</t>
    </r>
    <r>
      <rPr>
        <sz val="8"/>
        <color indexed="12"/>
        <rFont val="Arial"/>
        <family val="2"/>
      </rPr>
      <t>Internal use</t>
    </r>
  </si>
  <si>
    <r>
      <t xml:space="preserve">Découpage PSA / 
</t>
    </r>
    <r>
      <rPr>
        <sz val="8"/>
        <color indexed="12"/>
        <rFont val="Arial"/>
        <family val="2"/>
      </rPr>
      <t>PSA Breakdown</t>
    </r>
  </si>
  <si>
    <r>
      <t>Tout projet</t>
    </r>
    <r>
      <rPr>
        <b/>
        <sz val="9"/>
        <color indexed="12"/>
        <rFont val="Arial"/>
        <family val="2"/>
      </rPr>
      <t xml:space="preserve"> </t>
    </r>
    <r>
      <rPr>
        <b/>
        <sz val="9"/>
        <rFont val="Arial"/>
        <family val="2"/>
      </rPr>
      <t>/</t>
    </r>
    <r>
      <rPr>
        <b/>
        <sz val="9"/>
        <color indexed="12"/>
        <rFont val="Arial"/>
        <family val="2"/>
      </rPr>
      <t xml:space="preserve"> 
Any project</t>
    </r>
  </si>
  <si>
    <r>
      <t xml:space="preserve">Projet(s) / 
</t>
    </r>
    <r>
      <rPr>
        <sz val="8"/>
        <color indexed="12"/>
        <rFont val="Arial"/>
        <family val="2"/>
      </rPr>
      <t>Project(s)</t>
    </r>
  </si>
  <si>
    <r>
      <t xml:space="preserve">Site / 
</t>
    </r>
    <r>
      <rPr>
        <sz val="8"/>
        <color indexed="12"/>
        <rFont val="Arial"/>
        <family val="2"/>
      </rPr>
      <t>Site</t>
    </r>
  </si>
  <si>
    <r>
      <t xml:space="preserve">Page / 
</t>
    </r>
    <r>
      <rPr>
        <sz val="8"/>
        <color indexed="12"/>
        <rFont val="Arial"/>
        <family val="2"/>
      </rPr>
      <t>Page</t>
    </r>
  </si>
  <si>
    <r>
      <t xml:space="preserve">Version / 
</t>
    </r>
    <r>
      <rPr>
        <sz val="8"/>
        <color indexed="12"/>
        <rFont val="Arial"/>
        <family val="2"/>
      </rPr>
      <t>Version</t>
    </r>
  </si>
  <si>
    <r>
      <t xml:space="preserve">Référence / 
</t>
    </r>
    <r>
      <rPr>
        <sz val="8"/>
        <color indexed="12"/>
        <rFont val="Arial"/>
        <family val="2"/>
      </rPr>
      <t>Reference</t>
    </r>
  </si>
  <si>
    <r>
      <t xml:space="preserve">Rédacteur / </t>
    </r>
    <r>
      <rPr>
        <i/>
        <sz val="10"/>
        <color indexed="12"/>
        <rFont val="Arial"/>
        <family val="2"/>
      </rPr>
      <t>Writer</t>
    </r>
  </si>
  <si>
    <r>
      <t xml:space="preserve">Vérificateur / </t>
    </r>
    <r>
      <rPr>
        <i/>
        <sz val="10"/>
        <color indexed="12"/>
        <rFont val="Arial"/>
        <family val="2"/>
      </rPr>
      <t>Verifier</t>
    </r>
  </si>
  <si>
    <r>
      <t xml:space="preserve">Approbateur / </t>
    </r>
    <r>
      <rPr>
        <i/>
        <sz val="10"/>
        <color indexed="12"/>
        <rFont val="Arial"/>
        <family val="2"/>
      </rPr>
      <t>Approved by</t>
    </r>
  </si>
  <si>
    <t>/</t>
  </si>
  <si>
    <r>
      <t xml:space="preserve">Indice / </t>
    </r>
    <r>
      <rPr>
        <sz val="10"/>
        <color indexed="12"/>
        <rFont val="Arial"/>
        <family val="2"/>
      </rPr>
      <t>Index</t>
    </r>
  </si>
  <si>
    <r>
      <t xml:space="preserve">Date / </t>
    </r>
    <r>
      <rPr>
        <sz val="10"/>
        <color indexed="12"/>
        <rFont val="Arial"/>
        <family val="2"/>
      </rPr>
      <t>Date</t>
    </r>
  </si>
  <si>
    <r>
      <t xml:space="preserve">HISTORIQUE / </t>
    </r>
    <r>
      <rPr>
        <b/>
        <u/>
        <sz val="10"/>
        <color indexed="12"/>
        <rFont val="Arial"/>
        <family val="2"/>
      </rPr>
      <t>HISTORY</t>
    </r>
  </si>
  <si>
    <r>
      <t xml:space="preserve">Erreur de régression dans la version de l'exigence/document par rapport à la précédente livraison
</t>
    </r>
    <r>
      <rPr>
        <sz val="8"/>
        <color indexed="12"/>
        <rFont val="Arial"/>
        <family val="2"/>
      </rPr>
      <t>Error of regression in the version of the requirement/document compared to the preceding consignment</t>
    </r>
  </si>
  <si>
    <r>
      <t xml:space="preserve">Exigence/document supprimé ou non applicable
</t>
    </r>
    <r>
      <rPr>
        <sz val="8"/>
        <color indexed="12"/>
        <rFont val="Arial"/>
        <family val="2"/>
      </rPr>
      <t xml:space="preserve">Requirement/document not applicable or removed </t>
    </r>
  </si>
  <si>
    <r>
      <t xml:space="preserve">Evolution de la version d'exigence/document par rapport à la précédente livraison
</t>
    </r>
    <r>
      <rPr>
        <sz val="8"/>
        <color indexed="12"/>
        <rFont val="Arial"/>
        <family val="2"/>
      </rPr>
      <t>Evolution of the version of requirement/document compared to the preceding consignment</t>
    </r>
  </si>
  <si>
    <t>Elle permet de centraliser dans un ou plusieurs fichiers l'ensemble des exigences et documents applicables à un organe/projet donné et également d'avoir un retour de la part du fournisseur sur la conformité et la validation de chacune de ces exigences/documents.</t>
  </si>
  <si>
    <r>
      <t xml:space="preserve">La syntaxe du fichier informatique sera la suivante : 
</t>
    </r>
    <r>
      <rPr>
        <b/>
        <sz val="10"/>
        <rFont val="Arial"/>
        <family val="2"/>
      </rPr>
      <t>xxxxx_xx_xxxxx_v1_Matrice_application_conformité_specifications_FUNCTIONy_DEVICEz.xls</t>
    </r>
  </si>
  <si>
    <t>Libellés</t>
  </si>
  <si>
    <t>GEN</t>
  </si>
  <si>
    <t>FCT</t>
  </si>
  <si>
    <t>IHM</t>
  </si>
  <si>
    <t>3.2 Documents applicables (ST GEN)</t>
  </si>
  <si>
    <t>Base graphique IHM</t>
  </si>
  <si>
    <r>
      <t xml:space="preserve">Liste des documents et exigences applicables
</t>
    </r>
    <r>
      <rPr>
        <b/>
        <i/>
        <sz val="10"/>
        <color indexed="12"/>
        <rFont val="Arial"/>
        <family val="2"/>
      </rPr>
      <t>List of applicable documents and requirements</t>
    </r>
  </si>
  <si>
    <r>
      <t xml:space="preserve">Commentaires
</t>
    </r>
    <r>
      <rPr>
        <i/>
        <sz val="10"/>
        <color indexed="12"/>
        <rFont val="Arial"/>
        <family val="2"/>
      </rPr>
      <t>Comments</t>
    </r>
  </si>
  <si>
    <r>
      <t xml:space="preserve">Conformité
</t>
    </r>
    <r>
      <rPr>
        <i/>
        <sz val="10"/>
        <color indexed="12"/>
        <rFont val="Arial"/>
        <family val="2"/>
      </rPr>
      <t>Conformity</t>
    </r>
  </si>
  <si>
    <t>OK</t>
  </si>
  <si>
    <t>NOK</t>
  </si>
  <si>
    <r>
      <t xml:space="preserve">Statut Test FNR
</t>
    </r>
    <r>
      <rPr>
        <i/>
        <sz val="10"/>
        <color indexed="12"/>
        <rFont val="Arial"/>
        <family val="2"/>
      </rPr>
      <t>Supplier Test's status</t>
    </r>
  </si>
  <si>
    <r>
      <t xml:space="preserve">Référence Test
</t>
    </r>
    <r>
      <rPr>
        <i/>
        <sz val="10"/>
        <color indexed="12"/>
        <rFont val="Arial"/>
        <family val="2"/>
      </rPr>
      <t>Test ID</t>
    </r>
  </si>
  <si>
    <t>Retour</t>
  </si>
  <si>
    <t>Aide Générale</t>
  </si>
  <si>
    <t>Le mode de fonctionnement</t>
  </si>
  <si>
    <t>Localisation</t>
  </si>
  <si>
    <t>Fonctionnement</t>
  </si>
  <si>
    <t>Le rôle de la matrice d'application/conformité PSA</t>
  </si>
  <si>
    <t>Le rôle de la page de garde</t>
  </si>
  <si>
    <t>La page de garde permet de renseigner l'historique des modifications.</t>
  </si>
  <si>
    <t>Colonnes</t>
  </si>
  <si>
    <t xml:space="preserve">Description des colonnes </t>
  </si>
  <si>
    <t>Aide "First page"</t>
  </si>
  <si>
    <t>Aide "Application &amp; Conformity matrix"</t>
  </si>
  <si>
    <t>Le rôle de l'onglet "Application &amp; Conformity matrix"</t>
  </si>
  <si>
    <t>Cet onglet contient 2 parties :
- Une partie « Etat réel » (Photo) des documents (liste des exigences avec indice, indice de normes, indice des documents amonts applicables (CAN, DIAG)) à chaque date de figeage pour livraison (partie Orange)
- Une partie « Applicative Projet » à chaque date de figeage pour livraison -&gt; indice des exigences et documents à réellement appliquer sur l‘organe. Cette partie est encore scindée en deux parties : une correspondant à la matrice d'application des exigences et documents (partie Verte) et l'autre correspondant à la matrice de conformité (partie Jaune).</t>
  </si>
  <si>
    <t>Description des lignes</t>
  </si>
  <si>
    <t>Description des colonnes</t>
  </si>
  <si>
    <t>Lignes</t>
  </si>
  <si>
    <t xml:space="preserve">Description des lignes </t>
  </si>
  <si>
    <t>Liste de toutes les exigences ou documents correspondant à la base graphique IHM de l'organe</t>
  </si>
  <si>
    <t>Messageries réseaux (CAN, LIN, DIAG)</t>
  </si>
  <si>
    <t>Liste des messageries appliquées à l'organe</t>
  </si>
  <si>
    <t>Polices</t>
  </si>
  <si>
    <t>Référence des polices utilisées</t>
  </si>
  <si>
    <t>Fichier contenant l'ensemble des libellés de l'organe (traduit ou non)</t>
  </si>
  <si>
    <t>Liste de tous les documents applicables à l'organe (Normes, STE, …)</t>
  </si>
  <si>
    <t>Contributeur</t>
  </si>
  <si>
    <t>Liste des documents et exigences applicables</t>
  </si>
  <si>
    <t>PSA</t>
  </si>
  <si>
    <t>Version</t>
  </si>
  <si>
    <t>Cette colonne liste toutes les exigences (sans version) de tous les documents applicables ainsi que les documents applicables à l'organe</t>
  </si>
  <si>
    <t>Version applicable</t>
  </si>
  <si>
    <t>Conformité / Commentaires</t>
  </si>
  <si>
    <t>FNR</t>
  </si>
  <si>
    <t>Statut PSA / Commentaires</t>
  </si>
  <si>
    <r>
      <t xml:space="preserve">Version appliquée
</t>
    </r>
    <r>
      <rPr>
        <i/>
        <sz val="10"/>
        <color indexed="12"/>
        <rFont val="Arial"/>
        <family val="2"/>
      </rPr>
      <t>Applied version</t>
    </r>
  </si>
  <si>
    <t>Version appliquée / Statut Test FNR / Référence Test / Commentaires</t>
  </si>
  <si>
    <t>Le fournisseur renseignera ces colonnes à chaque livraison de pièces à PSA . Le fournisseur indique les versions d'exigences et de documents appliqués et si elles ont été testées ou non et renseigne sa référence de test interne. Des commentaires peuvent être rajoutés à chaque statut.</t>
  </si>
  <si>
    <t>Référence</t>
  </si>
  <si>
    <t>Référence des documents</t>
  </si>
  <si>
    <t>Liste des exigences de la ST Générique de l'organe. 
Les exigences taguées en Violet sont des exigences avec paramètres propre à chaque projet applicateur dont les valeurs sont spécifiées sous forme d'exigences dans l'onglet "Specific parameters"</t>
  </si>
  <si>
    <t>Aide "Specific Parameters"</t>
  </si>
  <si>
    <t>Cet onglet contient des exigences applicatives à un projet donné qui précisent les paramètres.</t>
  </si>
  <si>
    <t>Service PSA contributeur</t>
  </si>
  <si>
    <t>DEVIATION</t>
  </si>
  <si>
    <r>
      <t xml:space="preserve">Version Software / </t>
    </r>
    <r>
      <rPr>
        <i/>
        <sz val="10"/>
        <color indexed="12"/>
        <rFont val="Arial"/>
        <family val="2"/>
      </rPr>
      <t>Software version</t>
    </r>
    <r>
      <rPr>
        <b/>
        <sz val="10"/>
        <rFont val="Arial"/>
        <family val="2"/>
      </rPr>
      <t xml:space="preserve"> : SW1.0
Version Hardware / </t>
    </r>
    <r>
      <rPr>
        <i/>
        <sz val="10"/>
        <color indexed="12"/>
        <rFont val="Arial"/>
        <family val="2"/>
      </rPr>
      <t>Hardware version</t>
    </r>
    <r>
      <rPr>
        <b/>
        <sz val="10"/>
        <rFont val="Arial"/>
        <family val="2"/>
      </rPr>
      <t xml:space="preserve"> : HW1.0</t>
    </r>
  </si>
  <si>
    <r>
      <t xml:space="preserve">Version Software / </t>
    </r>
    <r>
      <rPr>
        <i/>
        <sz val="10"/>
        <color indexed="12"/>
        <rFont val="Arial"/>
        <family val="2"/>
      </rPr>
      <t>Software version</t>
    </r>
    <r>
      <rPr>
        <b/>
        <sz val="10"/>
        <rFont val="Arial"/>
        <family val="2"/>
      </rPr>
      <t xml:space="preserve"> : SW2.0
Version Hardware / </t>
    </r>
    <r>
      <rPr>
        <i/>
        <sz val="10"/>
        <color indexed="12"/>
        <rFont val="Arial"/>
        <family val="2"/>
      </rPr>
      <t>Hardware version</t>
    </r>
    <r>
      <rPr>
        <b/>
        <sz val="10"/>
        <rFont val="Arial"/>
        <family val="2"/>
      </rPr>
      <t xml:space="preserve"> : HW1.0</t>
    </r>
  </si>
  <si>
    <t>Responsable PSA de validation</t>
  </si>
  <si>
    <t>Descriptif de la dernière version de l'exigence pour information uniquement (optionnel)</t>
  </si>
  <si>
    <r>
      <t xml:space="preserve">Descriptif de la dernière version de l'exigence pour information uniquement (optionnel)
</t>
    </r>
    <r>
      <rPr>
        <i/>
        <sz val="10"/>
        <color indexed="12"/>
        <rFont val="Arial"/>
        <family val="2"/>
      </rPr>
      <t>Description of the  last requirement version for information only (optional)</t>
    </r>
  </si>
  <si>
    <t>Permet de renseigner l'entité responsable de la validation de l'exigence/document en question afin de facilité la création du Plan de Validation Organe (PVO).</t>
  </si>
  <si>
    <r>
      <t>Fournisseur/</t>
    </r>
    <r>
      <rPr>
        <b/>
        <sz val="10"/>
        <color indexed="12"/>
        <rFont val="Arial"/>
        <family val="2"/>
      </rPr>
      <t>Supplier</t>
    </r>
    <r>
      <rPr>
        <b/>
        <sz val="10"/>
        <rFont val="Arial"/>
        <family val="2"/>
      </rPr>
      <t> :</t>
    </r>
  </si>
  <si>
    <t>Chargé de développement</t>
  </si>
  <si>
    <t>Spécialiste métier HW</t>
  </si>
  <si>
    <t>Spécialiste métier Méca</t>
  </si>
  <si>
    <t>Spécialiste métier Optique</t>
  </si>
  <si>
    <t xml:space="preserve">Spécialiste métier Logiciel embarqué </t>
  </si>
  <si>
    <t>Spécialiste métier Matériaux</t>
  </si>
  <si>
    <t>Spécialiste métier Accoustique</t>
  </si>
  <si>
    <t>Spécialiste métier Thermique</t>
  </si>
  <si>
    <t>Garant Qualité (GAQO)</t>
  </si>
  <si>
    <t>Spécialiste métier CCA</t>
  </si>
  <si>
    <t>Spécialiste métier SDF</t>
  </si>
  <si>
    <t>Expert prestation Optique</t>
  </si>
  <si>
    <t>Expert prestation Audio</t>
  </si>
  <si>
    <t>Expert prestation Tactile</t>
  </si>
  <si>
    <t>Expert prestation Navigation</t>
  </si>
  <si>
    <t>Chargé de Validation Fonctionnelle</t>
  </si>
  <si>
    <t>Chargé de Validation Couches Basses</t>
  </si>
  <si>
    <t>Chargé de Validation Diagnostic</t>
  </si>
  <si>
    <t>Chargé de Validation EE et CEM</t>
  </si>
  <si>
    <t>Chargé de Validation PHYS</t>
  </si>
  <si>
    <t>EN ATTENTE</t>
  </si>
  <si>
    <t>Début Exigences (ne pas supprimer!)</t>
  </si>
  <si>
    <t>Fin Figeage (ne pas supprimer!)</t>
  </si>
  <si>
    <t>xxxxxxxx</t>
  </si>
  <si>
    <t>SX/VV</t>
  </si>
  <si>
    <t>STOP</t>
  </si>
  <si>
    <r>
      <t xml:space="preserve">Code couleur / </t>
    </r>
    <r>
      <rPr>
        <b/>
        <sz val="8"/>
        <color indexed="12"/>
        <rFont val="Arial"/>
        <family val="2"/>
      </rPr>
      <t xml:space="preserve">Color code </t>
    </r>
    <r>
      <rPr>
        <sz val="8"/>
        <rFont val="Arial"/>
        <family val="2"/>
      </rPr>
      <t xml:space="preserve">(Colonne "Version" et "Version applicable" / </t>
    </r>
    <r>
      <rPr>
        <sz val="8"/>
        <color indexed="12"/>
        <rFont val="Arial"/>
        <family val="2"/>
      </rPr>
      <t>"Version" and "Applicable version" Column</t>
    </r>
    <r>
      <rPr>
        <sz val="8"/>
        <rFont val="Arial"/>
        <family val="2"/>
      </rPr>
      <t>)</t>
    </r>
  </si>
  <si>
    <t>Indique la version applicable de chaque exigence ou de chaque document (Norme, …).
Le Statut "NA" devra être renseigné pour les exigences supprimées</t>
  </si>
  <si>
    <t>Applicable version</t>
  </si>
  <si>
    <t>Liste Organes</t>
  </si>
  <si>
    <t xml:space="preserve">Liste fichiers trouvés : </t>
  </si>
  <si>
    <t>Titre DocInfo</t>
  </si>
  <si>
    <t>Conformité Tag "Pack", 'Début", "Fin"</t>
  </si>
  <si>
    <t>Version Template</t>
  </si>
  <si>
    <t>Conformité version du  Pack</t>
  </si>
  <si>
    <t>Conformité NA</t>
  </si>
  <si>
    <t>Description des fichiers analysés</t>
  </si>
  <si>
    <t>Analyse de la conformité du format et données de la MdC</t>
  </si>
  <si>
    <r>
      <t>Description de la spécification Technique</t>
    </r>
    <r>
      <rPr>
        <sz val="10"/>
        <rFont val="Arial"/>
        <family val="2"/>
      </rPr>
      <t xml:space="preserve"> (partie Orange de la MDC)</t>
    </r>
  </si>
  <si>
    <r>
      <t>Analyse de l'allocation des exigences</t>
    </r>
    <r>
      <rPr>
        <sz val="10"/>
        <rFont val="Arial"/>
        <family val="2"/>
      </rPr>
      <t xml:space="preserve"> (partie verte de la MdC)</t>
    </r>
  </si>
  <si>
    <t>Analyse des retours FNR et PSA
Pack N</t>
  </si>
  <si>
    <t>Analyse des retours FNR et PSA
Pack N-1</t>
  </si>
  <si>
    <t>Conformité mnémonique de la ST</t>
  </si>
  <si>
    <t>Version de la ST "N"</t>
  </si>
  <si>
    <t>Pack de la ST "N"</t>
  </si>
  <si>
    <t>Nombre d'exigence ST "N"</t>
  </si>
  <si>
    <t>Version ST du pack précédent "N-1"</t>
  </si>
  <si>
    <t>Pack de la ST précédente "N-1"</t>
  </si>
  <si>
    <t>Pack N</t>
  </si>
  <si>
    <t>Pack N-1</t>
  </si>
  <si>
    <t>Exigence Applicable</t>
  </si>
  <si>
    <t>Exigence Nouvelle</t>
  </si>
  <si>
    <t>Exigence Modifiée</t>
  </si>
  <si>
    <t>Exigence Supprimée</t>
  </si>
  <si>
    <t>Exigence non renseignée</t>
  </si>
  <si>
    <t>Applibilité OK</t>
  </si>
  <si>
    <t>Applibilité WAIT</t>
  </si>
  <si>
    <t>Applibilité DEVIATION</t>
  </si>
  <si>
    <t>Applibilité BLOCKING</t>
  </si>
  <si>
    <t>Applibilité Not clear</t>
  </si>
  <si>
    <t>Pour mettre à jour une MdC avec ce modèle, activer les macros et appuyer sur CTRL+m</t>
  </si>
  <si>
    <t>[FCT_GEN_TS_ONOFF]</t>
  </si>
  <si>
    <t>[FCT_GEN_TS_ALARMS] Gestionnaire alertes BSI</t>
  </si>
  <si>
    <t xml:space="preserve">[FCT_GEN_TS_ALARMS_TAB] Tableau des alertes BSI </t>
  </si>
  <si>
    <t>[FCT_GEN_TS_AQIPS] Audio Quality In Phone Source</t>
  </si>
  <si>
    <t>[FCT_GEN_TS_AUDIO_PARAM]</t>
  </si>
  <si>
    <t>[FCT_GEN_TS_BRIGHTNESS]</t>
  </si>
  <si>
    <t>[FCT_GEN_TS_CEDC] Consumer Electronics Device Control</t>
  </si>
  <si>
    <t>[FCT_GEN_TS_CLIMATE]</t>
  </si>
  <si>
    <t>[FCT_GEN_TS_CONNECT]</t>
  </si>
  <si>
    <t>[FCT_GEN_TS_DOUBLE_PHONE]</t>
  </si>
  <si>
    <t>[FCT_GEN_TS_DRIVE]</t>
  </si>
  <si>
    <t>[FCT_GEN_TS_DRIVE_SPEED_CONTROL]</t>
  </si>
  <si>
    <t>[FCT_GEN_TS_ENGINE_MODE] TS ENGINEERING MODE</t>
  </si>
  <si>
    <t>[FCT_GEN_TS_HYBRID]</t>
  </si>
  <si>
    <t>[FCT_GEN_TS_LVDS_BIDIR_NETWORK_DATA_OF_FUNCTIONAL_MANAGEMENT]</t>
  </si>
  <si>
    <t>[FCT_GEN_TS_MEDIA]</t>
  </si>
  <si>
    <t>[FCT_GEN_TS_MESS_SERVICES]</t>
  </si>
  <si>
    <t>[FCT_GEN_TS_MOBILE_OFFICE]</t>
  </si>
  <si>
    <t>[FCT_GEN_TS_NAV]</t>
  </si>
  <si>
    <t>[FCT_GEN_TS_OBC] On_Board Computer</t>
  </si>
  <si>
    <t>[FCT_GEN_TS_PAS] Parking and Aid System</t>
  </si>
  <si>
    <t>[FCT_GEN_TS_PHONE]</t>
  </si>
  <si>
    <t>[FCT_GEN_TS_RADIO_RECEPT]</t>
  </si>
  <si>
    <t>[FCT_GEN_TS_SERVICE_MANAGEMENT]</t>
  </si>
  <si>
    <t>[FCT_GEN_TS_SETTINGS] Vehicle Settings</t>
  </si>
  <si>
    <t>[FCT_GEN_TS_TIM] ST interprétation cdes écran tactile</t>
  </si>
  <si>
    <t>[FCT_GEN_TS_USER_CMD]</t>
  </si>
  <si>
    <t>[FCT_GEN_TS_VHLF_CAN] CAN for Vehicle function</t>
  </si>
  <si>
    <t>[FCT_GEN_TS_VOICE_RECO_SMARTPHONE] Voice Recognition Smartphone</t>
  </si>
  <si>
    <t>[FCT_RCC_TS_DIAG_DEF_MAT] Matrice des défauts RCC</t>
  </si>
  <si>
    <t>[HMI_GEN_TS_HYPHENATION_TEXT_RULES] ST IHM Régle de césure automatique</t>
  </si>
  <si>
    <t>[Services] FCT_GEN_TS_UPGRADE</t>
  </si>
  <si>
    <t>[Services] FCT_GEN_TS_WEB</t>
  </si>
  <si>
    <t>02017_12_01302_TS_SMARTAPPS</t>
  </si>
  <si>
    <t>Application Framework Software Requirements Specifications</t>
  </si>
  <si>
    <t>CDC Connect pour BTEL</t>
  </si>
  <si>
    <t>Complément règles de com CAN_LS pour les organes multimédia</t>
  </si>
  <si>
    <t>Enhanced Positioning Software Requirements Specification</t>
  </si>
  <si>
    <t>GEN-BTEL-ST-HANDWRITING</t>
  </si>
  <si>
    <t>GEN-BTEL-ST-HMI</t>
  </si>
  <si>
    <t>GEN-BTEL-ST-SPEECHRECO</t>
  </si>
  <si>
    <t>Generic HMI</t>
  </si>
  <si>
    <t>HMI Framework Software Requirements Specifications</t>
  </si>
  <si>
    <t>HMI-OVIP-ST-ADDRBOOK</t>
  </si>
  <si>
    <t>HMI-OVIP-ST-AUDIO</t>
  </si>
  <si>
    <t>HMI-OVIP-ST-CLIMATE</t>
  </si>
  <si>
    <t>HMI-OVIP-ST-CONNECTIVITY</t>
  </si>
  <si>
    <t>HMI-OVIP-ST-CUSTOM</t>
  </si>
  <si>
    <t>HMI-OVIP-ST-DIAGNOSIS</t>
  </si>
  <si>
    <t>HMI-OVIP-ST-DRIVE</t>
  </si>
  <si>
    <t>HMI-OVIP-ST-INPUTDEV</t>
  </si>
  <si>
    <t>HMI-OVIP-ST-INSTRUCTIONS</t>
  </si>
  <si>
    <t>HMI-OVIP-ST-INTERNET</t>
  </si>
  <si>
    <t>HMI-OVIP-ST-MEDIA</t>
  </si>
  <si>
    <t>HMI-OVIP-ST-ONOFF</t>
  </si>
  <si>
    <t>HMI-OVIP-ST-PHONE</t>
  </si>
  <si>
    <t>HMI-OVIP-ST-PICTURE</t>
  </si>
  <si>
    <t>HMI-OVIP-ST-RADIO</t>
  </si>
  <si>
    <t>HMI-OVIP-ST-SETTINGS</t>
  </si>
  <si>
    <t>HMI-OVIP-ST-SYSUPDATE</t>
  </si>
  <si>
    <t>HMI-OVIP-ST-VIDEO_TV</t>
  </si>
  <si>
    <t>Platform Software Requirements Specification</t>
  </si>
  <si>
    <t>ST_DATA_EXCHANGE_MECHANISMS Over USB link</t>
  </si>
  <si>
    <t>ST_GEN_USB</t>
  </si>
  <si>
    <t>TS DATA FLOWS PROTOCOLS BTEL</t>
  </si>
  <si>
    <t>Visio Park Core Software Requirements Specification</t>
  </si>
  <si>
    <t>HMI-CMB_MOD-ST-GEN</t>
  </si>
  <si>
    <t>HMI_CMBNUM_TS_Alert</t>
  </si>
  <si>
    <t>HMI_CMBNUM_TS_Climate</t>
  </si>
  <si>
    <t>HMI_CMBNUM_TS_Drive</t>
  </si>
  <si>
    <t>HMI_CMBNUM_TS_Gauge</t>
  </si>
  <si>
    <t>HMI_CMBNUM_TS_Gearbox</t>
  </si>
  <si>
    <t>HMI_CMBNUM_TS_Hybrid</t>
  </si>
  <si>
    <t>HMI_CMBNUM_TS_OBC</t>
  </si>
  <si>
    <t>HMI_CMBNUM_TS_Park</t>
  </si>
  <si>
    <t>HMI_CMBNUM_TS_Settings</t>
  </si>
  <si>
    <t>HMI_CMBNUM_TS_Telltales</t>
  </si>
  <si>
    <t>HMI_CMBNUM_TS_AUDIO</t>
  </si>
  <si>
    <t>HMI_CMBNUM_TS_PHONE</t>
  </si>
  <si>
    <t>HMI-CMBNUM-TS-NAVIGATION</t>
  </si>
  <si>
    <t>HMI-CMBNUM-TS-ONOFF</t>
  </si>
  <si>
    <t>HMI-CMBNUM-TS-INPUTDEV</t>
  </si>
  <si>
    <t>HMI_VHL_ST_GEN</t>
  </si>
  <si>
    <t>HMI-CMBNUM-TS-GEN</t>
  </si>
  <si>
    <t>HMI-CMB-TS-GEARBOX</t>
  </si>
  <si>
    <t>HMI-CMB-TS-GAUGE</t>
  </si>
  <si>
    <t>HMI-CMB-TS-TELLTALE</t>
  </si>
  <si>
    <t>HMI-CMB-TS-DRIVE</t>
  </si>
  <si>
    <t>HMI-CMB-TS-OBC</t>
  </si>
  <si>
    <t>HMI-CMB-TS-ALERT</t>
  </si>
  <si>
    <t>HMI-CMB-TS-SETTINGS</t>
  </si>
  <si>
    <t>HMI-CMB-TS-PARK</t>
  </si>
  <si>
    <t>HMI-CMB-TS-NAVIGATION</t>
  </si>
  <si>
    <t>HMI-CMB-TS-ONOFF</t>
  </si>
  <si>
    <t>HMI-CMB_MOD-ST-INPUTDEV</t>
  </si>
  <si>
    <t>Feature</t>
  </si>
  <si>
    <t>ATT_RESP@PTF</t>
  </si>
  <si>
    <t>ATT_RESP@INT</t>
  </si>
  <si>
    <t>ATT_RESP@SW</t>
  </si>
  <si>
    <r>
      <t xml:space="preserve">Descriptif de la dernière version de la déviation le cas échéant
</t>
    </r>
    <r>
      <rPr>
        <i/>
        <sz val="10"/>
        <color indexed="12"/>
        <rFont val="Arial"/>
        <family val="2"/>
      </rPr>
      <t>Description of the  last version of the deviation if necessary</t>
    </r>
  </si>
  <si>
    <t>ATT_RESP@FULL</t>
  </si>
  <si>
    <t>ATT_RESP@DEV</t>
  </si>
  <si>
    <t>ATT_RESP@DEV
ATT_RESP@SW</t>
  </si>
  <si>
    <t xml:space="preserve"> </t>
  </si>
  <si>
    <r>
      <t xml:space="preserve">Validation FNR
</t>
    </r>
    <r>
      <rPr>
        <i/>
        <sz val="10"/>
        <color indexed="12"/>
        <rFont val="Arial"/>
        <family val="2"/>
      </rPr>
      <t>Validation status from supplier, to be completed by supplier</t>
    </r>
  </si>
  <si>
    <t>ATT_RESP@DEV
ATT_RESP@PTF</t>
  </si>
  <si>
    <t>ATT_RESP@NONE</t>
  </si>
  <si>
    <t>ATT_RESP@INT
ATT_RESP@PTF</t>
  </si>
  <si>
    <t>ATT_RESP@DEV_INT</t>
  </si>
  <si>
    <t>ATT_RESP@DEV_INT
ATT_RESP@PTF</t>
  </si>
  <si>
    <t>Template 02017_12_05435 V7.7</t>
  </si>
  <si>
    <r>
      <t xml:space="preserve">MATRICE DE CONFORMITE
</t>
    </r>
    <r>
      <rPr>
        <b/>
        <i/>
        <sz val="14"/>
        <color indexed="12"/>
        <rFont val="Arial"/>
        <family val="2"/>
      </rPr>
      <t>CONFORMITY MATRIX</t>
    </r>
  </si>
  <si>
    <r>
      <t xml:space="preserve">DIRECTION RECHERCHE ET DEVELOPPEMENT
</t>
    </r>
    <r>
      <rPr>
        <sz val="9"/>
        <color indexed="12"/>
        <rFont val="Arial"/>
        <family val="2"/>
      </rPr>
      <t>RESEARCH AND DEVELOPMENT DIVISION</t>
    </r>
    <r>
      <rPr>
        <sz val="9"/>
        <rFont val="Arial"/>
        <family val="2"/>
      </rPr>
      <t xml:space="preserve">
</t>
    </r>
  </si>
  <si>
    <r>
      <t>Matrice de Conformité</t>
    </r>
    <r>
      <rPr>
        <b/>
        <sz val="10"/>
        <color indexed="12"/>
        <rFont val="Arial"/>
        <family val="2"/>
      </rPr>
      <t xml:space="preserve">
Conformity matrix
</t>
    </r>
  </si>
  <si>
    <t xml:space="preserve">Le nombre de matrice d'application/conformité propre à un organe donné, dependra de l'organe et du nombre de référents fonctions ISD impliqués.
Chaque rédacteur de STO remplira conjointement avec le CD la partie applicative de la matrice d’application/conformité correspondante à la STO avant livraison.
Le CD est pilote et garant du remplissage de chacune des matrices par tous les contributeurs PSA à la date de livraison. </t>
  </si>
  <si>
    <t>AIDA2020</t>
  </si>
  <si>
    <t>NA</t>
  </si>
  <si>
    <t>BLOCK</t>
  </si>
  <si>
    <t>CONVERGED</t>
  </si>
  <si>
    <t>NOT CONVERGED</t>
  </si>
  <si>
    <t>Le fournisseur indique son engagement sur la tenue de chaque exigence ou l'applicabilité de chaque document (Statut OK ou NOK). Des commentaires / justifications doivent être rajoutés à chaque statut.</t>
  </si>
  <si>
    <t>02017_16_05371_ComplianceMatrixProcess</t>
  </si>
  <si>
    <t>Current version : 1.0</t>
  </si>
  <si>
    <t>Extract :</t>
  </si>
  <si>
    <t>Nb of req. to conv.</t>
  </si>
  <si>
    <r>
      <t xml:space="preserve">Matrice de conformité /  </t>
    </r>
    <r>
      <rPr>
        <b/>
        <i/>
        <sz val="10"/>
        <color indexed="12"/>
        <rFont val="Arial"/>
        <family val="2"/>
      </rPr>
      <t>Conformity matrix</t>
    </r>
  </si>
  <si>
    <t>Matrice de conformité Validation par livraison de pièces</t>
  </si>
  <si>
    <t>Validation conformity matrix by part delivery</t>
  </si>
  <si>
    <t>PSA indique son statut (OK, NOK, NA, DEVIATION, EN ATTENTE) en face de chaque statut "Conformité" renseigné par le fournisseur. Des commentaires peuvent être rajoutés à chaque statut.
En cas de DEVIATION, le champ Commentaires contiendra le lien DocInfo vers la note technique de justification du fournisseur</t>
  </si>
  <si>
    <t>Justification</t>
  </si>
  <si>
    <r>
      <t xml:space="preserve">CE DOCUMENT EST LA PROPRIETE DU GROUPE STELLANTIS ET NE PEUT ETRE REPRODUIT OU COMMUNIQUE SANS SON AUTORISATION
</t>
    </r>
    <r>
      <rPr>
        <sz val="7"/>
        <color indexed="12"/>
        <rFont val="Arial Narrow"/>
        <family val="2"/>
      </rPr>
      <t xml:space="preserve">THIS DOCUMENT IS THE PROPERTY OF STELLANTIS GROUP AND MAY NOT BE REPRODUCED OR DISCLOSED WITHOUT ITS AUTHORIZATION </t>
    </r>
  </si>
  <si>
    <t>AUDIT MdC</t>
  </si>
  <si>
    <t>jeudi 24 octobre 2013</t>
  </si>
  <si>
    <t xml:space="preserve">Note </t>
  </si>
  <si>
    <t>Document de référence</t>
  </si>
  <si>
    <t>Matrice de conformité - modèle AISL  (TEMPLATE)</t>
  </si>
  <si>
    <t>http://docinfogroupe.inetpsa.com/ead/doc/ref.02017_12_05435/v.vc/fiche</t>
  </si>
  <si>
    <t>Outil de contrôle des matrice de conformité</t>
  </si>
  <si>
    <t>http://docinfogroupe.inetpsa.com/ead/doc/ref.02017_13_09769/v.vc/fiche</t>
  </si>
  <si>
    <t>Note - Matrice de conformité mode d'emploi</t>
  </si>
  <si>
    <t>Processus de création/mise à jour de matrice de conformité.</t>
  </si>
  <si>
    <t>http://docinfogroupe.inetpsa.com/ead/doc/ref.02017_12_01062/v.dp/fiche</t>
  </si>
  <si>
    <t>[AISL] Trame type Revue Technique</t>
  </si>
  <si>
    <t>http://docinfogroupe.inetpsa.com/ead/doc/ref.02017_13_01490/v.vc/fiche</t>
  </si>
  <si>
    <t>Quand faut-il mettre à jour la matrice de conformité ?</t>
  </si>
  <si>
    <t>Une MdC est modifiée en version si au moins 1 exigence de la STO a été modifié (suppression,  ajout, modification (d’indice))  ou si l’applicabilité à évoluée (indice d’exigence, NA). Ces mises à jour doivent apparaitre :</t>
  </si>
  <si>
    <t>- Dans la partie Référentiel (image de la STO courante) – pack de livraison en cours</t>
  </si>
  <si>
    <t>- Dans la partie applicabilité (image de l’application à l’organe) – pack de livraison en cours</t>
  </si>
  <si>
    <t>Une MdC est modifiée pour y reporter les évaluations /Commentaire Fournisseur.</t>
  </si>
  <si>
    <t>Note : on n'ajoute pas la colonne de « pack de livraison » courant,  si aucune modification n'a été apportée à la MdC.</t>
  </si>
  <si>
    <t>Par conséquent, une MDC ne trace pas l'ensemble des pack de livraison mais seulement les mises à jour de la STO.</t>
  </si>
  <si>
    <r>
      <t> </t>
    </r>
    <r>
      <rPr>
        <b/>
        <sz val="13"/>
        <color rgb="FF366092"/>
        <rFont val="Calibri"/>
        <family val="2"/>
      </rPr>
      <t xml:space="preserve">ue faut-il contrôler dans la matrice d'application ? </t>
    </r>
  </si>
  <si>
    <t>Contrôle sur le format de la MdC</t>
  </si>
  <si>
    <t>Statistique sur MdC en cours</t>
  </si>
  <si>
    <t>Statistique sur le Delta MDC Pack N et M (ou N et N-1)</t>
  </si>
  <si>
    <t xml:space="preserve"> Qui ? </t>
  </si>
  <si>
    <t>1) Le rédacteur de la STO doit veiller à la conformité de la matrice d'application.</t>
  </si>
  <si>
    <t>2) L'administrateur lors des livraisons de Pack</t>
  </si>
  <si>
    <t xml:space="preserve">Annexe : </t>
  </si>
  <si>
    <t>L'outil réalise l'analyse suivante</t>
  </si>
  <si>
    <t>Conformité du format de la MdC</t>
  </si>
  <si>
    <t>modèle du fichier MdC. La matrice d'application doit être conforme au modèle AISL. (cellule 1,1)</t>
  </si>
  <si>
    <t>Ligne 1, présence du  Tag "Fin Figeage (ne pas supprimer!)"  et "STOP"</t>
  </si>
  <si>
    <t>Colonne 1, Le tag "début exigence"Version du pack. La version du pack doit être renseignée selon le modèle 1xVx (13V2)</t>
  </si>
  <si>
    <t>Valeur (ex: NA). La syntaxe "NA" doit être respectée (syntaxe refusée N/A)</t>
  </si>
  <si>
    <r>
      <t xml:space="preserve"> TS name (</t>
    </r>
    <r>
      <rPr>
        <i/>
        <sz val="11"/>
        <color rgb="FF000000"/>
        <rFont val="Calibri"/>
        <family val="2"/>
      </rPr>
      <t>mnémonique organe. Il doit être conforme à la liste de référence (voir Référentiel))</t>
    </r>
  </si>
  <si>
    <t>TS last version + pack</t>
  </si>
  <si>
    <t>TS previous version + pack</t>
  </si>
  <si>
    <t>Contenu de référentiel</t>
  </si>
  <si>
    <t>Nom du Pack N</t>
  </si>
  <si>
    <t>Version de la ST du pack N</t>
  </si>
  <si>
    <t>Nombre d'exigence de la ST du pack N</t>
  </si>
  <si>
    <t>Nom du Pack N-1</t>
  </si>
  <si>
    <t>Version de la ST du pack N-1</t>
  </si>
  <si>
    <t>Analyse de l'allocation</t>
  </si>
  <si>
    <t>Nom du pack N-1</t>
  </si>
  <si>
    <r>
      <t xml:space="preserve">Nombre d'exigences </t>
    </r>
    <r>
      <rPr>
        <i/>
        <sz val="11"/>
        <color rgb="FF000000"/>
        <rFont val="Calibri"/>
        <family val="2"/>
      </rPr>
      <t>Applicables</t>
    </r>
    <r>
      <rPr>
        <sz val="11"/>
        <color rgb="FF000000"/>
        <rFont val="Calibri"/>
        <family val="2"/>
      </rPr>
      <t xml:space="preserve">  du pack N</t>
    </r>
  </si>
  <si>
    <r>
      <t xml:space="preserve">Nombre d'exigences </t>
    </r>
    <r>
      <rPr>
        <i/>
        <sz val="11"/>
        <color rgb="FF000000"/>
        <rFont val="Calibri"/>
        <family val="2"/>
      </rPr>
      <t>Nouvelles</t>
    </r>
    <r>
      <rPr>
        <sz val="11"/>
        <color rgb="FF000000"/>
        <rFont val="Calibri"/>
        <family val="2"/>
      </rPr>
      <t xml:space="preserve">  du pack N</t>
    </r>
  </si>
  <si>
    <t>Nombre d'exigences Modifiées du pack N</t>
  </si>
  <si>
    <r>
      <t xml:space="preserve">Nombre d'exigences </t>
    </r>
    <r>
      <rPr>
        <i/>
        <sz val="11"/>
        <color rgb="FF000000"/>
        <rFont val="Calibri"/>
        <family val="2"/>
      </rPr>
      <t>Supprimées</t>
    </r>
    <r>
      <rPr>
        <sz val="11"/>
        <color rgb="FF000000"/>
        <rFont val="Calibri"/>
        <family val="2"/>
      </rPr>
      <t xml:space="preserve"> du pack N</t>
    </r>
  </si>
  <si>
    <r>
      <t xml:space="preserve">Nombre d'exigences </t>
    </r>
    <r>
      <rPr>
        <i/>
        <sz val="11"/>
        <color rgb="FF000000"/>
        <rFont val="Calibri"/>
        <family val="2"/>
      </rPr>
      <t>Non Allouées</t>
    </r>
    <r>
      <rPr>
        <sz val="11"/>
        <color rgb="FF000000"/>
        <rFont val="Calibri"/>
        <family val="2"/>
      </rPr>
      <t xml:space="preserve"> du pack N</t>
    </r>
  </si>
  <si>
    <t>Analyse des retours FNR / PSA</t>
  </si>
  <si>
    <r>
      <t xml:space="preserve">Nombre d'exigences </t>
    </r>
    <r>
      <rPr>
        <i/>
        <sz val="11"/>
        <color rgb="FF000000"/>
        <rFont val="Calibri"/>
        <family val="2"/>
      </rPr>
      <t xml:space="preserve">Applicabilité OK </t>
    </r>
    <r>
      <rPr>
        <sz val="11"/>
        <color rgb="FF000000"/>
        <rFont val="Calibri"/>
        <family val="2"/>
      </rPr>
      <t>du pack N</t>
    </r>
  </si>
  <si>
    <t>Avis FNR</t>
  </si>
  <si>
    <t>Avis PSA</t>
  </si>
  <si>
    <t>Vide</t>
  </si>
  <si>
    <r>
      <t xml:space="preserve">Nombre d'exigences </t>
    </r>
    <r>
      <rPr>
        <i/>
        <sz val="11"/>
        <color rgb="FF000000"/>
        <rFont val="Calibri"/>
        <family val="2"/>
      </rPr>
      <t xml:space="preserve">Applicabilité EN ATTENTE </t>
    </r>
    <r>
      <rPr>
        <sz val="11"/>
        <color rgb="FF000000"/>
        <rFont val="Calibri"/>
        <family val="2"/>
      </rPr>
      <t>du pack N</t>
    </r>
  </si>
  <si>
    <r>
      <t xml:space="preserve">Nombre d'exigences </t>
    </r>
    <r>
      <rPr>
        <i/>
        <sz val="11"/>
        <color rgb="FF000000"/>
        <rFont val="Calibri"/>
        <family val="2"/>
      </rPr>
      <t xml:space="preserve">Applicabilité en DEVIATION </t>
    </r>
    <r>
      <rPr>
        <sz val="11"/>
        <color rgb="FF000000"/>
        <rFont val="Calibri"/>
        <family val="2"/>
      </rPr>
      <t>du pack N</t>
    </r>
  </si>
  <si>
    <r>
      <t xml:space="preserve">Nombre d'exigences </t>
    </r>
    <r>
      <rPr>
        <i/>
        <sz val="11"/>
        <color rgb="FF000000"/>
        <rFont val="Calibri"/>
        <family val="2"/>
      </rPr>
      <t xml:space="preserve">Applicabilité en BLOCAGE </t>
    </r>
    <r>
      <rPr>
        <sz val="11"/>
        <color rgb="FF000000"/>
        <rFont val="Calibri"/>
        <family val="2"/>
      </rPr>
      <t>du pack N</t>
    </r>
  </si>
  <si>
    <r>
      <t xml:space="preserve">Nombre d'exigences </t>
    </r>
    <r>
      <rPr>
        <i/>
        <sz val="11"/>
        <color rgb="FF000000"/>
        <rFont val="Calibri"/>
        <family val="2"/>
      </rPr>
      <t>Applicabilité NON CONFORME</t>
    </r>
    <r>
      <rPr>
        <sz val="11"/>
        <color rgb="FF000000"/>
        <rFont val="Calibri"/>
        <family val="2"/>
      </rPr>
      <t xml:space="preserve"> du pack N</t>
    </r>
  </si>
  <si>
    <t>vide</t>
  </si>
  <si>
    <t>No STELLANTIS Answer</t>
  </si>
  <si>
    <r>
      <t xml:space="preserve">Statut STELLANTIS
</t>
    </r>
    <r>
      <rPr>
        <i/>
        <sz val="10"/>
        <color indexed="12"/>
        <rFont val="Arial"/>
        <family val="2"/>
      </rPr>
      <t>STELLANTIS's status</t>
    </r>
  </si>
  <si>
    <t>No SUPLIER Answer</t>
  </si>
  <si>
    <t>DM17F</t>
  </si>
  <si>
    <t>25Q4 - 12/12/2025</t>
  </si>
  <si>
    <t>25Q1 - 14/03/2025
01843_23_00371 V10.0
RSP-0001245 V20</t>
  </si>
  <si>
    <t>V20</t>
  </si>
  <si>
    <t>REQ-0444436</t>
  </si>
  <si>
    <t>J</t>
  </si>
  <si>
    <t>DAT_DG_LVDS_OUT_4_SELECTION
(NoUpstreamRequest)
Att_var@ DIAG_RW.MASTER.SELECTION</t>
  </si>
  <si>
    <t>REQ-0444632</t>
  </si>
  <si>
    <t>D</t>
  </si>
  <si>
    <t>If  _x000D_
DAT_DG_LVDS_OUT_4_SELECTION = VTH2018 (SUR LAME)_x000D_
Then_x000D_
The ECU follows the schedule table of the frame LVDS_4_CDE_VTH2018_4_x000D_
Else If_x000D_
DAT_DG_LVDS_OUT_4_SELECTION = VTH2020 (eHUD)_x000D_
Then_x000D_
The ECU follows the schedule table of the frame LVDS_4_CDE_VTH_4_x000D_
EndIf
Att_var@ MASTER</t>
  </si>
  <si>
    <t>REQ-0315536</t>
  </si>
  <si>
    <t>G</t>
  </si>
  <si>
    <t>DAT_DG_LVDS_POWER_LVDS_CAMERA
(NoUpstreamRequest)
Att_var@ DIAG_RW.MASTER.POWER_LVDS_CAMERA</t>
  </si>
  <si>
    <t>REQ-0315537</t>
  </si>
  <si>
    <t>F</t>
  </si>
  <si>
    <t xml:space="preserve">DAT_DG_LVDS_POWER_LVDS_OUT_1
(NoUpstreamRequest)
Att_var: DIAG_RW.MASTER.POWER_LVDS_1 </t>
  </si>
  <si>
    <t>REQ-0315544</t>
  </si>
  <si>
    <t>DAT_DG_LVDS_POWER_LVDS_OUT_2
(NoUpstreamRequest)
Att_var@ DIAG_RW.MASTER.POWER_LVDS_2</t>
  </si>
  <si>
    <t>REQ-0315553</t>
  </si>
  <si>
    <t>DAT_DG_LVDS_POWER_LVDS_OUT_3
(NoUpstreamRequest)
Att_var@ DIAG_RW.MASTER</t>
  </si>
  <si>
    <t>REQ-0315554</t>
  </si>
  <si>
    <t>DAT_DG_LVDS_POWER_LVDS_OUT_4
(NoUpstreamRequest)
Att_var@ DIAG_RW.MASTER.POWER_LVDS_4</t>
  </si>
  <si>
    <t>REQ-0315568</t>
  </si>
  <si>
    <t>E</t>
  </si>
  <si>
    <t>IF_x000D_
DAT_DG_LVDS_POWER_LVDS_CAMERA = Enable_x000D_
THEN_x000D_
           The ECU must supply +LVDS power  to the connected LVDS_IN camera slot._x000D_
ELSE_x000D_
           The ECU musn’t and prohibits +LVDS power to the connected LVDS_IN camera slot.
Att_var@ MASTER.POWER_LVDS_CAMERA</t>
  </si>
  <si>
    <t>REQ-0315573</t>
  </si>
  <si>
    <t>IF_x000D_
DAT_DG_LVDS_POWER_LVDS_OUT_1 = Enable_x000D_
THEN_x000D_
           The ECU must supply +LVDS power  to the connected LVDS_OUT_1 slot. Central Display Slot_x000D_
ELSE_x000D_
           The ECU musn’t and prohibits +LVDS power to the connected LVDS_OUT_1. Central Display Slot.
Att_var@ MASTER.POWER_LVDS_1</t>
  </si>
  <si>
    <t>REQ-0315591</t>
  </si>
  <si>
    <t>IF_x000D_
DAT_DG_LVDS_POWER_LVDS_OUT_2 = Enable_x000D_
THEN_x000D_
           The ECU must supply +LVDS power  to the connected LVDS_OUT_2 slot. Secondary Display Slot._x000D_
ELSE_x000D_
           The ECU musn’t and prohibits +LVDS power to the connected LVDS_OUT_2. Secondary Display Slot.
Att_var@ MASTER.POWER_LVDS_2</t>
  </si>
  <si>
    <t>REQ-0315596</t>
  </si>
  <si>
    <t>IF_x000D_
DAT_DG_LVDS_POWER_LVDS_OUT_3 = Enable_x000D_
THEN_x000D_
           The ECU must supply +LVDS power  to the connected LVDS_OUT_3 slot. CLUSTER  Slot._x000D_
ELSE_x000D_
           The ECU musn’t and prohibits +LVDS power to the connected LVDS_OUT_3 CLUSTER  Slot.
Att_var@ MASTER</t>
  </si>
  <si>
    <t>REQ-0315597</t>
  </si>
  <si>
    <t>IF_x000D_
DAT_DG_LVDS_POWER_LVDS_OUT_4 = Enable_x000D_
THEN_x000D_
           The ECU must supply +LVDS power  to the connected LVDS_OUT_4 slot. HUD/3D CLUSTER  Slot._x000D_
ELSE_x000D_
           The ECU musn’t and prohibits +LVDS power to the connected LVDS_OUT_4 HUD/3D CLUSTER  Slot.
Att_var@ MASTER.POWER_LVDS_4</t>
  </si>
  <si>
    <t>REQ-0498366</t>
  </si>
  <si>
    <t>DAT_DG_LVDS_LVDS_IN
(NoUpstreamRequest)
Att_var@ DIAG_RW.MASTER</t>
  </si>
  <si>
    <t>REQ-0498367</t>
  </si>
  <si>
    <t>DAT_DG_LVDS_LVDS_OUT_1
(NoUpstreamRequest)
Att_var@ DIAG_RW.MASTER</t>
  </si>
  <si>
    <t>REQ-0498368</t>
  </si>
  <si>
    <t>DAT_DG_LVDS_LVDS_OUT_2
(NoUpstreamRequest)
Att_var@ DIAG_RW.MASTER</t>
  </si>
  <si>
    <t>REQ-0498369</t>
  </si>
  <si>
    <t>DAT_DG_LVDS_LVDS_OUT_3
(NoUpstreamRequest)
Att_var@ DIAG_RW.MASTER</t>
  </si>
  <si>
    <t>REQ-0498370</t>
  </si>
  <si>
    <t>DAT_DG_LVDS_LVDS_OUT_4_HUD/EHUD
(NoUpstreamRequest)
Att_var@ DIAG_RW.MASTER</t>
  </si>
  <si>
    <t>REQ-0498371</t>
  </si>
  <si>
    <t>H</t>
  </si>
  <si>
    <t>DAT_DG_LVDS_LVDS_OUT_4_3D_CLUSTER
(NoUpstreamRequest)
Att_var@ DIAG_RW.MASTER.(MASTER_2010+MASTER_R1)</t>
  </si>
  <si>
    <t>REQ-0498372</t>
  </si>
  <si>
    <t>DAT_DG_LVDS_LVDS_OUT_3_OBJECT
(NoUpstreamRequest)
Att_var@ DIAG_RW.MASTER.OBJECT</t>
  </si>
  <si>
    <t>REQ-0600536</t>
  </si>
  <si>
    <t>DELETED REQUIREMENT
Att_var@ NULL</t>
  </si>
  <si>
    <t>REQ-0485869</t>
  </si>
  <si>
    <t>REQ-0315582</t>
  </si>
  <si>
    <t>IF_x000D_
DAT_DG_LVDS_LVDS_IN= Presence_x000D_
THEN_x000D_
           The ECU must consider the connected LVDS_IN camera._x000D_
ELSE_x000D_
           The ECU doesn’t consider the connected LVDS_IN camera.
Att_var@ MASTER</t>
  </si>
  <si>
    <t>REQ-0315585</t>
  </si>
  <si>
    <t>IF_x000D_
DAT_DG_LVDS_LVDS_OUT_1= Presence_x000D_
THEN_x000D_
           The ECU must consider the connected LVDS_OUT_1 Central display._x000D_
ELSE_x000D_
           The ECU doesn’t consider the connected LVDS_OUT_1 Central display.
Att_var@ MASTER</t>
  </si>
  <si>
    <t>REQ-0315586</t>
  </si>
  <si>
    <t>IF_x000D_
DAT_DG_LVDS_LVDS_OUT_2= Presence_x000D_
THEN_x000D_
           The ECU must consider the connected LVDS_OUT_2 Secondary display._x000D_
ELSE_x000D_
           The ECU doesn’t consider the connected LVDS_OUT_2 Secondary display.
Att_var@ MASTER</t>
  </si>
  <si>
    <t>REQ-0315590</t>
  </si>
  <si>
    <t>IF_x000D_
DAT_DG_LVDS_LVDS_OUT_3 = Presence_x000D_
AND_x000D_
DAT_DG_LVDS_LVDS_OUT_3_OBJECT= Absence_x000D_
THEN_x000D_
          The ECU must consider the connected LVDS_OUT_3 is Driving a CLUSTER_x000D_
          The ECU shall provide HMI Video and Data, the monitoring of the absence of communication with the cluster and the physical layer faults shall be done._x000D_
ELSE IF_x000D_
DAT_DG_LVDS_LVDS_OUT_3 = Absence_x000D_
AND_x000D_
DAT_DG_LVDS_LVDS_OUT_3_OBJECT= Presence_x000D_
THEN           _x000D_
          The ECU must consider the connected LVDS_OUT_3 is Driving An OBJECT_x000D_
          The ECU shall provide Video for the OBJECT functions, no data transfer on BIDIR network, the monitoring of the absence of communication with the cluster shall be dropped and the physical layer faults shall be maintained._x000D_
ELSE_x000D_
  The ECU doesn’t consider the connected LVDS_OUT_3 CLUSTER/OBJECT_x000D_
  The ECU shall drop both Video and Data, no need to do any monitoring_x000D_
END IF
Att_var@ MASTER.OBJECT</t>
  </si>
  <si>
    <t>REQ-0600537</t>
  </si>
  <si>
    <t>IF _x000D_
DAT_DG_LVDS_LVDS_OUT_3 = Presence_x000D_
AND_x000D_
DAT_DG_LVDS_OUT_3_SELECTION!=  WIDE+_x000D_
THEN_x000D_
          The ECU must consider the connected LVDS_OUT_3 is Driving a CLUSTER_x000D_
ELSE IF_x000D_
DAT_DG_LVDS_LVDS_OUT_3 = Presence_x000D_
AND_x000D_
DAT_DG_LVDS_OUT_3_SELECTION = WIDE+_x000D_
THEN           _x000D_
          The ECU must consider the connected LVDS_OUT_3 is Driving A WIDE+_x000D_
END IF
Att_var@ MASTER.MASTER_R2</t>
  </si>
  <si>
    <t>REQ-0707650</t>
  </si>
  <si>
    <t>B</t>
  </si>
  <si>
    <t>IF_x000D_
DAT_DG_LVDS_OUT_X_SELECTION =  TOUCH_PAD_x000D_
THEN _x000D_
         The ECU must send and receive the data and video flows with the TOUCH_PAD, but only the data flow will be managed. DTC should be raised if an issue occured in the data communication while no DTC should be raised if an issue occurred in the video communication._x000D_
With X=1,2,3,4_x000D_
END IF
Att_var@ MASTER.MASTER_R2</t>
  </si>
  <si>
    <t>REQ-0315595</t>
  </si>
  <si>
    <t>IF_x000D_
DAT_DG_LVDS_LVDS_OUT_4_HUD/EHUD= Presence_x000D_
AND_x000D_
DAT_DG_LVDS_LVDS_OUT_4_3D_CLUSTER= Absence_x000D_
THEN_x000D_
          IF _x000D_
          DAT_DG_LVDS_OUT_4_SELECTION=VTH2018_x000D_
         THEN         The ECU must consider the connected LVDS_OUT_4 is Driving an HUD2018_x000D_
           ELSE IF_x000D_
           DAT_DG_LVDS_OUT_4_SELECTION=VTH2020_x000D_
         THEN         _x000D_
                     The ECU must consider the connected LVDS_OUT_4 is Driving an EHUD         _x000D_
          END IF_x000D_
ELSE IF_x000D_
DAT_DG_LVDS_LVDS_OUT_4_HUD/EHUD= Absence_x000D_
AND_x000D_
DAT_DG_LVDS_LVDS_OUT_4_3D_CLUSTER= Presence_x000D_
THEN           _x000D_
          The ECU must consider the connected LVDS_OUT_4 is Driving a 3D Cluster_x000D_
ELSE_x000D_
         The ECU doesn’t consider the connected LVDS_OUT_4 HUD/EHUD/3D CLUSTER._x000D_
END IF
Att_var@ MASTER.(MASTER_2010+MASTER_R1)</t>
  </si>
  <si>
    <t>REQ-0600538</t>
  </si>
  <si>
    <t>IF_x000D_
DAT_DG_LVDS_LVDS_OUT_4_HUD/EHUD = Presence_x000D_
THEN_x000D_
           The ECU must consider the connected LVDS_OUT_4_HUD/EHUD._x000D_
ELSE_x000D_
           The ECU doesn’t consider the connected LVDS_OUT_4_HUD/EHUD.
Att_var@ MASTER.MASTER_R2</t>
  </si>
  <si>
    <t>REQ-0455814</t>
  </si>
  <si>
    <t>DAT_DG_LVDS_OUT_1_SELECTION
(NoUpstreamRequest)
Att_var@ DIAG_RW.MASTER.SELECTION</t>
  </si>
  <si>
    <t>REQ-0455815</t>
  </si>
  <si>
    <t>DAT_DG_LVDS_OUT_2_SELECTION
(NoUpstreamRequest)
Att_var@ DIAG_RW.MASTER.SELECTION</t>
  </si>
  <si>
    <t>REQ-0455816</t>
  </si>
  <si>
    <t>DAT_DG_LVDS_OUT_3_SELECTION
(NoUpstreamRequest)
Att_var@ DIAG_RW.MASTER.SELECTION</t>
  </si>
  <si>
    <t>REQ-0455819</t>
  </si>
  <si>
    <t>DAT_DG_LVDS_OUT_4_SELECTION
(NoUpstreamRequest)
Att_var@ DIAG_RW.MASTER.SELECTION.HUD</t>
  </si>
  <si>
    <t>REQ-0778389</t>
  </si>
  <si>
    <t>INFO_LVDS_OUT_4_SELECTION
Att_var@ HMI.MEDIA_POPUP</t>
  </si>
  <si>
    <t>REQ-0778391</t>
  </si>
  <si>
    <t>INFO_LVDS_OUT_3_SELECTION
Att_var@ HMI.MASTER.SELECTION</t>
  </si>
  <si>
    <t>REQ-0778397</t>
  </si>
  <si>
    <t>C</t>
  </si>
  <si>
    <t>The following HMI flow is managed as below_x000D_
INFO_LVDS_OUT_4_SELECTION = DAT_DG_LVDS_OUT_4_SELECTION
Att_var@ MEDIA_POPUP</t>
  </si>
  <si>
    <t>REQ-0315575</t>
  </si>
  <si>
    <t>DAT_DG_LVDS_REVERSAL_IMAGE_PARAM
(NoUpstreamRequest)
Att_var@ DIAG_RW.MASTER.REVERSAL_IMAGE</t>
  </si>
  <si>
    <t>REQ-0315577</t>
  </si>
  <si>
    <t>IF_x000D_
DAT_DG_LVDS_REVERSAL_IMAGE_PARAM= REVERSED IMAGE_x000D_
THEN_x000D_
           The ECU must reverse the LVDS image in the connected LVDS_OUT_1 Central Display._x000D_
ELSE_x000D_
           The ECU doesn’t reverse the image in the connected LVDS_OUT_1 Central Display.
Att_var@ INVERSE_DIPSLAY</t>
  </si>
  <si>
    <t>REQ-0315588</t>
  </si>
  <si>
    <t>IF_x000D_
DAT_DG_LVDS_REVERSAL_IMAGE_PARAM= REVERSED IMAGE_x000D_
THEN_x000D_
           The ECU must reverse the touch coordonates received from the connected LVDS_OUT_1 Central Display._x000D_
ELSE_x000D_
           The ECU doesn’t reverse the touch coordonates received from the connected LVDS_OUT_1 Central Display.
Att_var@ INVERSE_DIPSLAY</t>
  </si>
  <si>
    <t>REQ-0456666</t>
  </si>
  <si>
    <t>DAT_LI_LIMP_HOME_MODE
(LIMP_HOME_MODE_2ND_DISP)
Att_var@ LVDS2.LVDS_IN.MASTER</t>
  </si>
  <si>
    <t>REQ-0456667</t>
  </si>
  <si>
    <t>DAT_LI_LIMP_HOME_MODE
(LIMP_HOME_MODE_CENTRAL)
Att_var@ LVDS1.LVDS_IN.MASTER</t>
  </si>
  <si>
    <t>REQ-0456668</t>
  </si>
  <si>
    <t>DAT_LI_LIMP_HOME_MODE
(LIMP_HOME_MODE_CLUSTER)
Att_var@ LVDS3.LVDS_IN.MASTER</t>
  </si>
  <si>
    <t>REQ-0456669</t>
  </si>
  <si>
    <t>DAT_LI_LIMP_HOME_MODE
(LIMP_HOME_MODE_HUD)
Att_var@ LVDS4.LVDS_IN.MASTER</t>
  </si>
  <si>
    <t>REQ-0823120</t>
  </si>
  <si>
    <t>REQ-0456670</t>
  </si>
  <si>
    <t>DAT_LI_INFO_COM_OFF_LVDS
(INFO_COM_OFF_LVDS_CLUSTER)
Att_var@ LVDS3.LVDS_IN.SLAVE.CLUSTER</t>
  </si>
  <si>
    <t>REQ-0485858</t>
  </si>
  <si>
    <t>DAT_LO_LIMP_HOME_MODE
(LIMP_HOME_MODE_CLUSTER)
Att_var@ LVDS3.LVDS_OUT.SLAVE.CLUSTER</t>
  </si>
  <si>
    <t>REQ-0315540</t>
  </si>
  <si>
    <t>DAT_LO_LVDS_CDE_PV_LVDS
(CDE_PV_LVDS_CENTRAL)
Att_var@ LVDS1.LVDS_OUT.MASTER</t>
  </si>
  <si>
    <t>REQ-0315547</t>
  </si>
  <si>
    <t>DAT_LO_LVDS_CDE_PV_LVDS
(CDE_PV_LVDS_2ND_DISP)
Att_var@ LVDS2.LVDS_OUT.MASTER</t>
  </si>
  <si>
    <t>REQ-0315550</t>
  </si>
  <si>
    <t>DAT_LO_LVDS_CDE_PV_LVDS
(CDE_PV_LVDS_CLUSTER)
Att_var@ LVDS3.LVDS_OUT.MASTER</t>
  </si>
  <si>
    <t>REQ-0315561</t>
  </si>
  <si>
    <t>DAT_LO_LVDS_CDE_PV_LVDS
(CDE_PV_LVDS_HUD)
Att_var@ LVDS4.LVDS_OUT.MASTER+CLUSTER_HUD</t>
  </si>
  <si>
    <t>REQ-0444637</t>
  </si>
  <si>
    <t>DAT_LO_LVDS_CDE_PV_LVDS
(CDE_PV_LVDS_HUD)
Att_var@ LVDS4.LVDS_OUT.MASTER</t>
  </si>
  <si>
    <t>REQ-0386182</t>
  </si>
  <si>
    <t>REQ-0823123</t>
  </si>
  <si>
    <t>DAT_LI_CMD_LVDS_NM
(NotFound)
Att_var@ LVDS3.LVDS_IN_PM.SLAVE.HUD_PM.EHUD</t>
  </si>
  <si>
    <t>REQ-0315570</t>
  </si>
  <si>
    <t>DAT_LI_LVDS_CDE_PV_LVDS
(CDE_PV_LVDS_CENTRAL)
Att_var@ LVDS1.LVDS_IN.SLAVE.CENTRAL</t>
  </si>
  <si>
    <t>REQ-0804114</t>
  </si>
  <si>
    <t>DAT_LI_LVDS_CMD_LVDS_NM
(NotFound)
Att_var@ LVDS1.LVDS_IN_PM.SLAVE</t>
  </si>
  <si>
    <t>REQ-0804115</t>
  </si>
  <si>
    <t>DAT_LI_LVDS_CMD_LVDS_NM
(NotFound)
Att_var@ LVDS2.LVDS_IN_PM.SLAVE</t>
  </si>
  <si>
    <t>REQ-0804116</t>
  </si>
  <si>
    <t>DAT_LI_LVDS_CMD_LVDS_NM
(NotFound)
Att_var@ LVDS5.LVDS_IN_PM.SLAVE</t>
  </si>
  <si>
    <t>REQ-0804117</t>
  </si>
  <si>
    <t>REQ-0804118</t>
  </si>
  <si>
    <t>REQ-0823136</t>
  </si>
  <si>
    <t>REQ-0315571</t>
  </si>
  <si>
    <t>DAT_LI_LVDS_CDE_PV_LVDS
(CDE_PV_LVDS_2ND_DISP)
Att_var@ LVDS2.LVDS_IN.SLAVE.SECONDARY</t>
  </si>
  <si>
    <t>REQ-0315576</t>
  </si>
  <si>
    <t>DAT_LI_LVDS_CDE_PV_LVDS
(CDE_PV_LVDS_CLUSTER)
Att_var@ LVDS3.LVDS_IN.SLAVE.CLUSTER</t>
  </si>
  <si>
    <t>REQ-0315580</t>
  </si>
  <si>
    <t>DAT_LI_LVDS_CDE_PV_LVDS
(CDE_PV_LVDS_HUD)
Att_var@ LVDS_IN.SLAVE.HUD</t>
  </si>
  <si>
    <t>REQ-0444638</t>
  </si>
  <si>
    <t>DAT_LI_LVDS_CDE_PV_LVDS
(CDE_PV_LVDS_HUD)
Att_var@ LVDS4.LVDS_IN.SLAVE.HUD.VTH2018</t>
  </si>
  <si>
    <t>REQ-0386183</t>
  </si>
  <si>
    <t>DAT_LI_LVDS_CDE_PV_LVDS
(CDE_PV_LVDS_HUD)
Att_var@ LVDS4.LVDS_IN.SLAVE.HUD</t>
  </si>
  <si>
    <t>REQ-0315581</t>
  </si>
  <si>
    <t>REQ-0315592</t>
  </si>
  <si>
    <t>REQ-0386184</t>
  </si>
  <si>
    <t>REQ-0315598</t>
  </si>
  <si>
    <t>For Each Network,
Att_var@ MASTER+MASTER_CLUSTER</t>
  </si>
  <si>
    <t>REQ-0315599</t>
  </si>
  <si>
    <t>In “SLEEP” state, the master ECU sets signals to the corresponding initialization value (CONS_INIT for signals received and PROD_INIT for signals produced) on the lvds network.
Att_var@ MASTER+MASTER_CLUSTER</t>
  </si>
  <si>
    <t>REQ-0315600</t>
  </si>
  <si>
    <t>In “MASTER Normal” state, requirements related to functional frames initialization are applied (CONS_INIT for received data AND PROD_INIT for emitted data)  regarding LVDS  data of the messaging [MESSAGERIE_LVDSbd]
Att_var@ MASTER+MASTER_CLUSTER</t>
  </si>
  <si>
    <t>REQ-0315601</t>
  </si>
  <si>
    <t xml:space="preserve">
Att_var@ SLAVE</t>
  </si>
  <si>
    <t>REQ-0315602</t>
  </si>
  <si>
    <t>In  “Limp home mode” state , Slave ECU goes in degraded mode:_x000D_
Nothing is to be displayed the screen (backlight and tactile off)
Att_var@ SLAVE</t>
  </si>
  <si>
    <t>REQ-0315603</t>
  </si>
  <si>
    <t>In   “SLAVE Normal” state, requirements related to functional frames initialization are applied (CONS_INIT for received data AND PROD_INIT for emitted data)  regarding LVDS  data of the messaging [MESSAGERIE_LVDSbd]_x000D_
Requirements related to the frames receiption and loss of functional frames are applied  regarding LVDS data of the messaging [MESSAGERIE LVDSbd].
Att_var@ SLAVE</t>
  </si>
  <si>
    <t>REQ-0975555</t>
  </si>
  <si>
    <t>A</t>
  </si>
  <si>
    <t>In  “Go to sleep” state , Slave ECU must perform these operations:_x000D_
Backlight OFF,_x000D_
TFT OFF,_x000D_
Tactile OFF (Display only),_x000D_
Motor in Parking position then OFF (HUD only),_x000D_
Deserializer always ON (until power off).
Att_var@ SLAVE</t>
  </si>
  <si>
    <t>REQ-0986381</t>
  </si>
  <si>
    <t>In the "Off Node" state, the Slave ECU enters Power Off mode and remains in this state until the value ON on Wake Up Signal is received and activates the system.
Att_var@ SLAVE
Att_bool@ R</t>
  </si>
  <si>
    <t>REQ-0315535</t>
  </si>
  <si>
    <t xml:space="preserve">
Att_var@ MASTER+MASTER_CLUSTER+SLAVE</t>
  </si>
  <si>
    <t>REQ-0315539</t>
  </si>
  <si>
    <t>Frame Reception, Init_Tempo_1:_x000D_
In “Normal” state (MASTER /SLAVE)._x000D_
Upon initialization, the ECU must allocate and launch a timer Tempo_1 for each consumed frame.
Att_var@ MASTER+MASTER_CLUSTER+SLAVE</t>
  </si>
  <si>
    <t>REQ-0315546</t>
  </si>
  <si>
    <t>TEMPO_1 = 2 seconds
Att_var@ MASTER+MASTER_CLUSTER+SLAVE</t>
  </si>
  <si>
    <t>REQ-0315551</t>
  </si>
  <si>
    <t>Frame analysis:_x000D_
As soon as the ECU receives a first frame he must process it, if the frame has at least a valid value then it must stop the associated timer to the « TEMPO_1 » corresponding to this frame.
Att_var@ MASTER+MASTER_CLUSTER+SLAVE</t>
  </si>
  <si>
    <t>REQ-0315556</t>
  </si>
  <si>
    <t>Degraded mode:_x000D_
If  the frame reception surpassed  the end of the Timer “TEMPO_1”, the ECU must affect values « TT_MODE_DEG_CONS » (except for particular cases defined in requirements) in the document [MESSAGERIE_LVDS].
Att_var@ MASTER+MASTER_CLUSTER+SLAVE</t>
  </si>
  <si>
    <t>REQ-0315542</t>
  </si>
  <si>
    <t>REQ-0315543</t>
  </si>
  <si>
    <t>The ECU must be able to analyse the values of received parameters of functional frames and store the received values.
Att_var@ MASTER+MASTER_CLUSTER+SLAVE</t>
  </si>
  <si>
    <t>REQ-0315545</t>
  </si>
  <si>
    <t>During the passing from a VALID value to INVALID of a parameter, the ECU must Restart the timer  « TEMPO_2 » associated to this parameter.
Att_var@ MASTER+MASTER_CLUSTER+SLAVE</t>
  </si>
  <si>
    <t>REQ-0315548</t>
  </si>
  <si>
    <t>TEMPO_2 = 2 secondes
Att_var@ MASTER+MASTER_CLUSTER+SLAVE</t>
  </si>
  <si>
    <t>REQ-0315555</t>
  </si>
  <si>
    <t>If the received value of a parameter (refer to [MESSAGERIE_LVDS]) is stricltly higher to the MAX value defined for this parameter, or strictly lower to the MIN value, then the value is worth considering as invalid and to processed like that.
Att_var@ MASTER+MASTER_CLUSTER+SLAVE</t>
  </si>
  <si>
    <t>REQ-0315559</t>
  </si>
  <si>
    <t>During the passing from an INVALID value to VALID of a parameter, the ECU must stop “TEMPO_2”.
Att_var@ MASTER+MASTER_CLUSTER+SLAVE</t>
  </si>
  <si>
    <t>REQ-0315564</t>
  </si>
  <si>
    <t>The ECU must keep the last received valid value of the parameter as long as « TEMPO_2 » isn't finished.
Att_var@ MASTER+MASTER_CLUSTER+SLAVE</t>
  </si>
  <si>
    <t>REQ-0315565</t>
  </si>
  <si>
    <t>Degraded mode : _x000D_
When TEMPO_2 reaches it's maximum value, the LVDS parameter associated goes to degraded mode.
Att_var@ (MASTER+MASTER_CLUSTER+SLAVE).MODE_DEG</t>
  </si>
  <si>
    <t>REQ-0315552</t>
  </si>
  <si>
    <t>The ECU must be able to determine if a frame loss has occurred.
Att_var@ MASTER+MASTER_CLUSTER+SLAVE</t>
  </si>
  <si>
    <t>REQ-0315560</t>
  </si>
  <si>
    <t>The ECU must apply the processing made for all last received valid values of each parameter during the confirmation delay of the loss of frame.
Att_var@ MASTER+MASTER_CLUSTER+SLAVE</t>
  </si>
  <si>
    <t>REQ-0315557</t>
  </si>
  <si>
    <t>REQ-0315558</t>
  </si>
  <si>
    <t>Upon the confirmation of a frame loss, the ECU must start a TEMPO_3 timer and check for the frame availability updates in the meanwhile. _x000D_
The definition of “ Frame loss” is in the  Glossary3.3
Att_var@ MASTER+MASTER_CLUSTER+SLAVE).FRAME_LOSS</t>
  </si>
  <si>
    <t>REQ-0315566</t>
  </si>
  <si>
    <t>TEMPO_3 = 2 seconds.
Att_var@ MASTER+MASTER_CLUSTER+SLAVE</t>
  </si>
  <si>
    <t>REQ-0315574</t>
  </si>
  <si>
    <t>The ECU must apply the latest parameters of the frame which have been received  while « TEMPO_3 » isn't finished.
Att_var@ MASTER+MASTER_CLUSTER+SLAVE</t>
  </si>
  <si>
    <t>REQ-0315587</t>
  </si>
  <si>
    <t>If the return of a functional frame occurs while TEMPO_3, the ECU must end the associated timer « TEMPO_3 » .
Att_var@ MASTER+MASTER_CLUSTER+SLAVE</t>
  </si>
  <si>
    <t>REQ-0315593</t>
  </si>
  <si>
    <t>Degraded mode:_x000D_
The ECU must allocate values « TT_MOD_DEG_CONS » to all parameters defined of the frame to the issue of « TEMPO_3 » (except particularity mentioned in requirements)._x000D_
The ECU shan't add two temporizations. If the value « TT_MOD_DEG_CONS » of a parameter correspond to an invalid one, the ECU dissociates this case from the reception of a returning frame after a frame loss state.
Att_var@ MASTER+MASTER_CLUSTER+SLAVE</t>
  </si>
  <si>
    <t>REQ-0315567</t>
  </si>
  <si>
    <t>REQ-0315589</t>
  </si>
  <si>
    <t>"When the controler is in complete loss of LVDS bi-directional communication, Nothing to be displayed in  the screen (backlight and tactile off) _x000D_
The definition of “Complete loss of LVDS bi-directional communication ” is in  Glossary3.3_x000D_
.
Att_var@ SLAVE.(SECONDARY+CENTRAL+CLUSTER)</t>
  </si>
  <si>
    <t>REQ-0315594</t>
  </si>
  <si>
    <t>The ECU must process the check of frame loss mechanism only when the slave is in normal life phase.
Att_var@ SLAVE.(SECONDARY+CENTRAL+CLUSTER)</t>
  </si>
  <si>
    <t>REQ-0315549</t>
  </si>
  <si>
    <t>EV_LO_DARK_MODE
(DMD_DARK-CIR)
Att_var@ LVDS1.LVDS_OUT.MASTER.(MASTER_2010+MASTER_R1)+DARK_MODE</t>
  </si>
  <si>
    <t>REQ-0315562</t>
  </si>
  <si>
    <t>EV_LO_DARK_MODE
(DMD_DARK-CIR_2ND_DISP)
Att_var@ LVDS2.LVDS_OUT.MASTER.(MASTER_2010+MASTER_R1)+DARK_MODE</t>
  </si>
  <si>
    <t>REQ-0315569</t>
  </si>
  <si>
    <t>EV_LO_DARK_MODE
(DMD_DARK_CIR_CLUSTER)
Att_var@ LVDS3.LVDS_OUT.MASTER.(MASTER_2010+MASTER_R1)+DARK_MODE</t>
  </si>
  <si>
    <t>REQ-0315563</t>
  </si>
  <si>
    <t>Upon receiving the functional event of driving DARK mode of slave ECU :_x000D_
EV_LO_DARK_MODE _x000D_
then the ECU should send once the frame:_x000D_
              CMDE_DGT_x000D_
with the specific value:_x000D_
DMD_DARK = .Value_x000D_
While there is no reception of the event the frame:_x000D_
              CMDE_DGT _x000D_
should be sent with the specific values: _x000D_
DMD_DARK = Not request
Att_var@ MASTER.(MASTER_2010+MASTER_R1)+DARK_MODE</t>
  </si>
  <si>
    <t>REQ-0497848</t>
  </si>
  <si>
    <t>Upon the reception of  the functional event of DISPLAY MODE FOR SLAVE SCREEN (ARCHITECTURE 2020)  :_x000D_
EV_LO_DARK_MODE _x000D_
then the ECU should send once the frames:_x000D_
LVDS_1_CMDE_DGT_x000D_
              LVDS_2_CMDE_DGT_x000D_
with the specific value:_x000D_
DMD_DARK = .Value_x000D_
While there is no reception of the event the frames:_x000D_
LVDS_1_CMDE_DGT_x000D_
              LVDS_2_CMDE_DGT_x000D_
should be sent with the specific values: _x000D_
DMD_DARK = Not request
Att_var@ MASTER.(MASTER_2010+MASTER_R1)+DARK_MODE</t>
  </si>
  <si>
    <t>REQ-0497849</t>
  </si>
  <si>
    <t>Upon the reception of  the functional event,_x000D_
EV_LO_DARK_MODE doesn‘t affect cluster display._x000D_
Then the ECU should send all the time the frame:_x000D_
LVDS_3_CMDE_DGT_x000D_
with the specific value:_x000D_
DMD_DARK = DARK_0
Att_var@ MASTER.DARK_MODE</t>
  </si>
  <si>
    <t>REQ-0497850</t>
  </si>
  <si>
    <t>DAT_LI_DARKNESS_DAYLIGHT
(ETAT_JOUR_NUIT)
Att_var@ CAN_IN.MASTER.DARKNESS</t>
  </si>
  <si>
    <t>REQ-0444639</t>
  </si>
  <si>
    <t>DAT_LI_DARKNESS_DAYLIGHT
(ETAT_JOUR_NUIT)
Att_var@ CANHS7_IN.MASTER</t>
  </si>
  <si>
    <t>REQ-0717306</t>
  </si>
  <si>
    <t>DAT_LI_DARKNESS_DAYLIGHT
(ETAT_JOUR_NUIT)
Att_var@ CANFD7_IN.MASTER</t>
  </si>
  <si>
    <t>REQ-0574904</t>
  </si>
  <si>
    <t>DAT_LI_CDE_HAUT_VTH
(CDE_REG_MAN_VTH_HAUTEUR)
Att_var@ CANHS7_IN.MASTER</t>
  </si>
  <si>
    <t>REQ-0717307</t>
  </si>
  <si>
    <t>DAT_LI_CDE_HAUT_VTH
(CDE_REG_MAN_VTH_HAUTEUR)
Att_var@ CANFD7_IN.MASTER</t>
  </si>
  <si>
    <t>REQ-0574905</t>
  </si>
  <si>
    <t>DAT_LI_NUM_MEM_C
(NUMERO_MEMO_COND)
Att_var@ CANHS7_IN.MASTER</t>
  </si>
  <si>
    <t>REQ-0717308</t>
  </si>
  <si>
    <t>DAT_LI_NUM_MEM_C
(NUMERO_MEMO_COND)
Att_var@ CANFD7_IN.MASTER</t>
  </si>
  <si>
    <t>REQ-0600557</t>
  </si>
  <si>
    <t>DAT_LI_NUM_MEM_C
(NUMERO_MEMO_COND)
Att_var@ CAN_IN.MASTER</t>
  </si>
  <si>
    <t>REQ-0574906</t>
  </si>
  <si>
    <t>DAT_LI_MISE_MEM_C
(MEMO_COND)
Att_var@ CANHS7_IN.MASTER</t>
  </si>
  <si>
    <t>REQ-0717309</t>
  </si>
  <si>
    <t>DAT_LI_MISE_MEM_C
(MEMO_COND)
Att_var@ CANFD7_IN.MASTER</t>
  </si>
  <si>
    <t>REQ-0600558</t>
  </si>
  <si>
    <t>DAT_LI_MISE_MEM_C
(MEMO_COND)
Att_var@ CAN_IN.MASTER</t>
  </si>
  <si>
    <t>REQ-0574907</t>
  </si>
  <si>
    <t>DAT_LI_RAPP_MEM_C
(RAPPEL_MEMO_COND)
Att_var@ CANHS7_IN.MASTER</t>
  </si>
  <si>
    <t>REQ-0717310</t>
  </si>
  <si>
    <t>DAT_LI_RAPP_MEM_C
(RAPPEL_MEMO_COND)
Att_var@ CANFD7_IN.MASTER</t>
  </si>
  <si>
    <t>REQ-0600559</t>
  </si>
  <si>
    <t>DAT_LI_RAPP_MEM_C
(RAPPEL_MEMO_COND)
Att_var@ CAN_IN.MASTER</t>
  </si>
  <si>
    <t>REQ-0574908</t>
  </si>
  <si>
    <t>DAT_LI_AUTOR_VTH
(AUTOR_VTH)
Att_var@ CANHS7_IN.MASTER</t>
  </si>
  <si>
    <t>REQ-0717311</t>
  </si>
  <si>
    <t>DAT_LI_AUTOR_VTH
(AUTOR_VTH)
Att_var@ CANFD7_IN.MASTER</t>
  </si>
  <si>
    <t>REQ-0600560</t>
  </si>
  <si>
    <t>DAT_LI_AUTOR_VTH
(AUTOR_VTH)
Att_var@ CAN_IN.MASTER</t>
  </si>
  <si>
    <t>REQ-0574910</t>
  </si>
  <si>
    <t>DAT_LI_MEMO_VTH
(MEMO_VTH_EN_COURS)
Att_var@ LVDS4.LVDS_IN.MASTER.GATEWAY.MEMO_VTH</t>
  </si>
  <si>
    <t>REQ-0574911</t>
  </si>
  <si>
    <t>DAT_LI_MEMO_RAPPEL_VTH
(RAPPEL_VTH_EN_COURS)
Att_var@ LVDS4.LVDS_IN.MASTER.GATEWAY</t>
  </si>
  <si>
    <t>REQ-0574912</t>
  </si>
  <si>
    <t>DAT_LI_MOUV_MIROIR_VTH
(MVT_VTH_EN_COURS)
Att_var@ LVDS4.LVDS_IN.MASTER.GATEWAY</t>
  </si>
  <si>
    <t>REQ-0574913</t>
  </si>
  <si>
    <t>DAT_LI_ACTIV_VTH
(ACTIVATION_VTH)
Att_var@ LVDS4.LVDS_IN.MASTER.GATEWAY</t>
  </si>
  <si>
    <t>REQ-0444640</t>
  </si>
  <si>
    <t>Specification flow name_x000D_
Description_x000D_
Specification flow Values_x000D_
Network signal values_x000D_
Network Signal name_x000D_
Network Frame name_x000D_
DAT_LO_DARKNESS_DAYLIGHT_HUD_x000D_
(ETAT_JOUR_NUIT)_x000D_
Day  night status vehicle information_x000D_
Sent to hud display_x000D_
Day status_x000D_
Night status_x000D_
Day status_x000D_
 Night status_x000D_
ETAT_JN_x000D_
LVDS_4_CDE_VTH_2
Att_var@ DARKNESS.LVDS4.LVDS_OUT.MASTER</t>
  </si>
  <si>
    <t>REQ-0574952</t>
  </si>
  <si>
    <t>DAT_LO_CDE_HAUT_VTH
(CDE_REG_MAN_VTH_HAUTEUR)
Att_var@ LVDS4.LVDS_OUT.MASTER.GATEWAY</t>
  </si>
  <si>
    <t>REQ-0574953</t>
  </si>
  <si>
    <t>DAT_LO_NUM_MEM_C
(NUMERO_MEMO_COND)
Att_var@ LVDS4.LVDS_OUT.MASTER.GATEWAY</t>
  </si>
  <si>
    <t>REQ-0574954</t>
  </si>
  <si>
    <t>DAT_LO_MISE_MEM_C
(MEMO_COND)
Att_var@ LVDS4.LVDS_OUT.MASTER.GATEWAY</t>
  </si>
  <si>
    <t>REQ-0574955</t>
  </si>
  <si>
    <t>DAT_LO_RAPP_MEM_C
(RAPPEL_MEMO_COND)
Att_var@ LVDS4.LVDS_OUT.MASTER.GATEWAY</t>
  </si>
  <si>
    <t>REQ-0574956</t>
  </si>
  <si>
    <t>DAT_LO_AUTOR_VTH
(AUTOR_VTH)
Att_var@ LVDS4.LVDS_OUT.MASTER.GATEWAY</t>
  </si>
  <si>
    <t>REQ-0574957</t>
  </si>
  <si>
    <t>DAT_LO_MEMO_VTH
(MEMO_VTH_EN_COURS)
Att_var@ CANHS7_OUT.MASTER</t>
  </si>
  <si>
    <t>REQ-0717313</t>
  </si>
  <si>
    <t>DAT_LO_MEMO_VTH
(MEMO_VTH_EN_COURS)
Att_var@ CANFD7_OUT.MASTER</t>
  </si>
  <si>
    <t>REQ-0589657</t>
  </si>
  <si>
    <t>Specification flow name_x000D_
Description_x000D_
Specification flow Values_x000D_
 Network signal values_x000D_
Network Signal name_x000D_
Network Frame name_x000D_
DAT_LO_MEMO_VTH_x000D_
(MEMO_VTH_EN_COURS)_x000D_
Memorizing in progress_x000D_
NO_MEMORIZATION MEMORIZATION_x000D_
0 = No memorization ongoing_x000D_
1 = Memorization ongoing_x000D_
MEMO_VTH_x000D_
ID_ETAT_VTH_IVI
Att_var@ MASTER.CAN_OUT.CAN_IVI_OUT</t>
  </si>
  <si>
    <t>REQ-0574958</t>
  </si>
  <si>
    <t>DAT_LO_MEMO_RAPPEL_VTH
(RAPPEL_VTH_EN_COURS)
Att_var@ CANHS7_OUT.MASTER</t>
  </si>
  <si>
    <t>REQ-0717314</t>
  </si>
  <si>
    <t>DAT_LO_MEMO_RAPPEL_VTH
(RAPPEL_VTH_EN_COURS)
Att_var@ CANFD7_OUT.MASTER</t>
  </si>
  <si>
    <t>REQ-0589662</t>
  </si>
  <si>
    <t>Specification flow name_x000D_
Description_x000D_
Specification flow Values_x000D_
 Network signal values_x000D_
Network Signal name_x000D_
Network Frame name_x000D_
DAT_LO_MEMO_RAPPEL_VTH_x000D_
(RAPPEL_VTH_EN_COURS)_x000D_
Rappel VTH memorizing_x000D_
NO_RACALL_x000D_
RECALL_x000D_
0 = No memorization recall_x000D_
1 = Memorization recall_x000D_
MEMO_RAPPEL_VTH_x000D_
ID_ETAT_VTH_IVI
Att_var@ MASTER.CAN_OUT.CAN_IVI_OUT</t>
  </si>
  <si>
    <t>REQ-0574959</t>
  </si>
  <si>
    <t>DAT_LO_MOUV_MIRIOR_VTH
(MVT_VTH_EN_COURS)
Att_var@ CANHS7_OUT.MASTER</t>
  </si>
  <si>
    <t>REQ-0717315</t>
  </si>
  <si>
    <t>DAT_LO_MOUV_MIRIOR_VTH
(MVT_VTH_EN_COURS)
Att_var@ CANFD7_OUT.MASTER</t>
  </si>
  <si>
    <t>REQ-0589712</t>
  </si>
  <si>
    <t>Specification flow name_x000D_
Description_x000D_
Specification flow Values_x000D_
 Network signal values_x000D_
Network Signal name_x000D_
Network Frame name_x000D_
DAT_LO_MOUV_MIRIOR_VTH_x000D_
(MVT_VTH_EN_COURS)_x000D_
Information of the movement of the HUD_x000D_
NO_MOVEMENT_x000D_
MOVEMENT_x000D_
0 = No manual movement of the mirror_x000D_
1 = Manual movement of the mirror_x000D_
MOUV_MIROIR_VTH_x000D_
ID_ETAT_VTH_IVI
Att_var@ MASTER.CAN_OUT.CAN_IVI_OUT</t>
  </si>
  <si>
    <t>REQ-0574960</t>
  </si>
  <si>
    <t>DAT_LO_ACTIV_VTH
(MEMO_VTH)
Att_var@ CANHS7_OUT.MASTER</t>
  </si>
  <si>
    <t>REQ-0717316</t>
  </si>
  <si>
    <t>DAT_LO_ACTIV_VTH
(MEMO_VTH)
Att_var@ CANFD7_OUT.MASTER</t>
  </si>
  <si>
    <t>REQ-0589713</t>
  </si>
  <si>
    <t>Specification flow name_x000D_
Description_x000D_
Specification flow Values_x000D_
 Network signal values_x000D_
Network Signal name_x000D_
Network Frame name_x000D_
DAT_LO_ACTIV_VTH_x000D_
(MEMO_VTH)_x000D_
Status of VTH activation_x000D_
NOT_ACTIVATED_x000D_
ACTIVATED_x000D_
0 = VTH not activated_x000D_
1 = VTH activated_x000D_
ACTIV_VTH_x000D_
ID_ETAT_VTH_IVI
Att_var@ MASTER.CAN_OUT.CAN_IVI_OUT</t>
  </si>
  <si>
    <t>REQ-0457669</t>
  </si>
  <si>
    <t>The ECU shall pass through  the information coming from CAN to LVDS network according to :_x000D_
Refer to the document [Technical Specification of Networks Generic Gateway]_x000D_
With the following precision_x000D_
DAT_LO_DARKNESS_DAYLIGHT_HUD follows DAT_LI_DARKNESS_DAYLIGHT
Att_var@ MASTER_R1+GATEWAY</t>
  </si>
  <si>
    <t>REQ-0574966</t>
  </si>
  <si>
    <t>The ECU shall pass through  the information coming from CAN to LVDS network according to :_x000D_
Refer to the document [Technical Specification of Networks Generic Gateway]_x000D_
With the following precision_x000D_
DAT_LO_CDE_HAUT_VTH follows DAT_LI_CDE_HAUT_VTH
Att_var@ MASTER_R1+GATEWAY</t>
  </si>
  <si>
    <t>REQ-0574968</t>
  </si>
  <si>
    <t>The ECU shall pass through  the information coming from CAN to LVDS network according to :_x000D_
Refer to the document [Technical Specification of Networks Generic Gateway]_x000D_
With the following precision_x000D_
DAT_LO_NUM_MEM_C follows DAT_LI_NUM_MEM_C
Att_var@ MASTER_R1+GATEWAY</t>
  </si>
  <si>
    <t>REQ-0574970</t>
  </si>
  <si>
    <t>The ECU shall pass through  the information coming from CAN to LVDS network according to :_x000D_
Refer to the document [Technical Specification of Networks Generic Gateway]_x000D_
With the following precision_x000D_
DAT_LO_MISE_MEM_C follows DAT_LI_MISE_MEM_C
Att_var@ MASTER_R1+GATEWAY</t>
  </si>
  <si>
    <t>REQ-0574971</t>
  </si>
  <si>
    <t>The ECU shall pass through  the information coming from CAN to LVDS network according to :_x000D_
Refer to the document [Technical Specification of Networks Generic Gateway]_x000D_
With the following precision_x000D_
DAT_LO_RAPP_MEM_C follows DAT_LI_RAPP_MEM_C
Att_var@ MASTER_R1+GATEWAY</t>
  </si>
  <si>
    <t>REQ-0574973</t>
  </si>
  <si>
    <t>The ECU shall pass through  the information coming from CAN to LVDS network according to :_x000D_
Refer to the document [Technical Specification of Networks Generic Gateway]_x000D_
With the following precision_x000D_
DAT_LO_AUTOR_VTH follows DAT_LI_AUTOR_VTH
Att_var@ MASTER_R1+GATEWAY</t>
  </si>
  <si>
    <t>REQ-0574974</t>
  </si>
  <si>
    <t>The ECU shall pass through  the information coming from LVDS to CAN network according to :_x000D_
Refer to the document [Technical Specification of Networks Generic Gateway]_x000D_
With the following precision_x000D_
DAT_LO_MEMO_VTH follows DAT_LI_MEMO_VTH
Att_var@ MASTER_R1+GATEWAY</t>
  </si>
  <si>
    <t>REQ-0574975</t>
  </si>
  <si>
    <t>The ECU shall pass through  the information coming from LVDS to CAN network according to :_x000D_
Refer to the document [Technical Specification of Networks Generic Gateway]_x000D_
With the following precision_x000D_
DAT_LO_MEMO_RAPPEL_VTH follows DAT_LI_MEMO_RAPPEL_VTH
Att_var@ MASTER_R1+GATEWAY</t>
  </si>
  <si>
    <t>REQ-0608643</t>
  </si>
  <si>
    <t>The ECU shall pass through  the information coming from LVDS to CAN network according to :_x000D_
Refer to the document [Technical Specification of Networks Generic Gateway]_x000D_
With the following precision_x000D_
DAT_LO_MOUV_MIRIOR_VTH follows DAT_LI_MOUV_MIROIR_VTH
Att_var@ MASTER_R1+GATEWAY</t>
  </si>
  <si>
    <t>REQ-0574976</t>
  </si>
  <si>
    <t>The ECU shall pass through  the information coming from LVDS to CAN network according to :_x000D_
Refer to the document [Technical Specification of Networks Generic Gateway]_x000D_
With the following precision_x000D_
DAT_LO_ACTIV_VTH follows DAT_LI_ACTIV_VTH
Att_var@ MASTER_R1+GATEWAY</t>
  </si>
  <si>
    <t>REQ-0380500</t>
  </si>
  <si>
    <t>DAT_LI_LVDS_PREWARPING_DATA_REQUEST
(DMD_PREWARPING_HUD)
Att_var@ LVDS4.LVDS_IN.SLAVE.HUD.EHUD.HUD_PREWARPING</t>
  </si>
  <si>
    <t>REQ-0823145</t>
  </si>
  <si>
    <t>DAT_LI_LVDS_DMD_PREWARPING_HUD
(DmdPrewarpingHUD)
Att_var@ LVDS3.LVDS_IN_PM.SLAVE.HUD.EHUD.HUD_PREWARPING</t>
  </si>
  <si>
    <t>REQ-0380504</t>
  </si>
  <si>
    <t>EV_LO_PREWARPING_TABLES
Att_var@ LVDS4.LVDS_OUT.SLAVE.HUD.HUD_PREWARPING</t>
  </si>
  <si>
    <t>REQ-0385895</t>
  </si>
  <si>
    <t>DAT_LO_PREWARPING_PERCENTAGE
(HUD_PREWARPING_PERCENTAGE)
Att_var@ LVDS4.LVDS_OUT.SLAVE.HUD.HUD_PREWARPING</t>
  </si>
  <si>
    <t>REQ-0823146</t>
  </si>
  <si>
    <t>EV_LO_HUD_PREWARPING_TABLE
Att_var@ LVDS3.LVDS_OUT.LVDS_OUT_PM.SLAVE.HUD.HUD_PREWARPING</t>
  </si>
  <si>
    <t>REQ-0823147</t>
  </si>
  <si>
    <t>DAT_LO_HUD_PREWARPING_PERCENT
(HUDPrewarpingPercentage)
Att_var@ LVDS3.LVDS_OUT.LVDS_OUT_PM.SLAVE.HUD.HUD_PREWARPING</t>
  </si>
  <si>
    <t>REQ-0386057</t>
  </si>
  <si>
    <t>DAT_DG_PREWARPING_TABLES
(PREWARPING_TABLES)
Att_var@ DIAG_RW.SLAVE.HUD.HUD_PREWARPING</t>
  </si>
  <si>
    <t>REQ-0386059</t>
  </si>
  <si>
    <t>Specification flow name_x000D_
Description_x000D_
Specification flow Values_x000D_
REG_POS_IMAGE_x000D_
User setting of the standpane height (saved image height )_x000D_
from 1 to N with resolution of 1
Att_var@ SLAVE.HUD.HUD_PREWARPING</t>
  </si>
  <si>
    <t>REQ-0827150</t>
  </si>
  <si>
    <t>Specification flow name_x000D_
Description_x000D_
Specification flow Values_x000D_
SET_POS_STEPS_IMAGE_x000D_
User setting of the image height (saved image height )_x000D_
from position 1 to position 10 with resolution of 1
Att_var@ SLAVE.HUD_PM.HUD_PREWARPING</t>
  </si>
  <si>
    <t>REQ-0386060</t>
  </si>
  <si>
    <t>The parameter DAT_DG_PREWARPING_TABLES shall contain three prewarping tables made of  21 coloumns *9 rows and for each point of the table 4 bytes to pinpoint pixel location of target grid:_x000D_
First table: MIN_TABLE represents the lowest prewarping._x000D_
Second table: MID_TABLE represents the 50% of possible prewarping._x000D_
Third table: MAX_TABLE represents the highest prewarping.
Att_var@ SLAVE.HUD.HUD_PREWARPING</t>
  </si>
  <si>
    <t>REQ-0386065</t>
  </si>
  <si>
    <t>The component shall contain upon it's delivery in the given address of DAT_DG_PREWARPING_TABLES the three prewarping tables list describing for each table the coordinates (x;y) in px in the ordered set of nodes (i;j) (i in 0-20 for column index, j in 0-8 for line index). The list is oriented by rows that mean: The structure is for each value of j, loop on each value of i.
Att_var@ SLAVE.HUD.HUD_PREWARPING</t>
  </si>
  <si>
    <t>REQ-0386066</t>
  </si>
  <si>
    <t>The component shall contain upon it's delivery in the given address of DAT_DG_PREWARPING_TABLES the three prewarping tables list describing for each table, every list entry has a length of  16 bits and consist of two bytes. The first byte is the LSB (last significant bit) the second byte is the MSB (most significant bit).
Att_var@ SLAVE.HUD.HUD_PREWARPING</t>
  </si>
  <si>
    <t>REQ-0386067</t>
  </si>
  <si>
    <t>The component shall contain upon it's delivery in the given adress of DAT_DG_PREWARPING_TABLES the three prewarping tables list describing for each table,  the order of the list entries is alternating first x then y coordinate in HEX :_x000D_
0F 26 20 1E 2B 2C A0 1D 3C 32 2F 1D 45 38 CC 1C 45 3E 77 1C 3E 44 31 1C 31 4A F9 1B 1D 50 CF 1B 04 56 B4 1B E7 5B A6 1B C6 61 A6 1B A2 67 ... ...
Att_var@ SLAVE.HUD.HUD_PREWARPING</t>
  </si>
  <si>
    <t>REQ-0386068</t>
  </si>
  <si>
    <t>The coding is 10.6 integer format (16 bit hex multiplied by 64)._x000D_
Decoding is done according to the formula :_x000D_
xpx = HEX2DEC(Xencoded)/64 _x000D_
0F 26 (LSB,MSB) → 260F(hex) → 9743(dec) → 9743/64 → 152.234375(px)
Att_var@ SLAVE.HUD.HUD_PREWARPING</t>
  </si>
  <si>
    <t>REQ-0386069</t>
  </si>
  <si>
    <t>Upon receiving the functional event :_x000D_
DAT_LI_LVDS_PREWARPING_DATA_REQUEST with the value : Request_x000D_
then the component  should send once the Frame:_x000D_
LVDS_4_HUD_PREWARPING_TABLE_x000D_
with the specific value:_x000D_
EV_LO_PREWARPING_TABLES = DAT_DG_PREWARPING_TABLES
Att_var@ SLAVE.HUD.HUD_PREWARPING</t>
  </si>
  <si>
    <t>REQ-0386070</t>
  </si>
  <si>
    <t>The DAT_LO_PREWARPING_PERCENTAGE should be sent in coherence with REG_POS_IMAGE value : _x000D_
If _x000D_
REG_POS_IMAGE=1 ( first position of the image requiring lowest prewarping, MIN_TABLE is the target for prewarping )   _x000D_
Then _x000D_
DAT_LO_PREWARPING_PERCENTAGE = 0%_x000D_
Else If _x000D_
REG_POS_IMAGE=N ( last position of the image requiring highest prewarping, MAX_TABLE is the target for prewarping )   _x000D_
Then _x000D_
DAT_LO_PREWARPING_PERCENTAGE = 100%_x000D_
Else_x000D_
DAT_LO_PREWARPING_PERCENTAGE shall be calculated according to the image position in coherence with the referential DAT_DG_PREWARPING_TABLES
Att_var@ SLAVE.HUD.HUD_PREWARPING</t>
  </si>
  <si>
    <t>REQ-0823149</t>
  </si>
  <si>
    <t>Upon receiving the functional event :_x000D_
DAT_LI_LVDS_REQ_PREWARPING_HUD with the value : Request_x000D_
then the component  should send once the Frame:_x000D_
DMD_HUD_2_SEG_x000D_
with the specific value:_x000D_
EV_LO_HUD_PREWARPING_TABLE = DAT_DG_PREWARPING_TABLES
Att_var@ SLAVE.HUD_PM.HUD_PREWARPING</t>
  </si>
  <si>
    <t>REQ-0823151</t>
  </si>
  <si>
    <t>The DAT_LO_HUD_PREWARPING_PERCENT should be sent in coherence with SET_POS_STEPS_IMAGE value :_x000D_
If _x000D_
SET_POS_STEPS_IMAGE=1( first position of the image requiring lowest prewarping, MIN_TABLE is the target for prewarping)_x000D_
Then _x000D_
DAT_LO_HUD_PREWARPING_PERCENT = 0%_x000D_
Else If _x000D_
SET_POS_STEPS_IMAGE=N ( last position of the image requiring highest prewarping, MAX_TABLE is the target for prewarping )   _x000D_
Then _x000D_
DAT_LO_HUD_PREWARPING_PERCENT = 100%_x000D_
Else_x000D_
DAT_LO_HUD_PREWARPING_PERCENT shall be calculated according to the image position in coherence with the referential DAT_DG_PREWARPING_TABLES
Att_var@ SLAVE.HUD_PM.HUD_PREWARPING</t>
  </si>
  <si>
    <t>REQ-0386073</t>
  </si>
  <si>
    <t>DAT_LI_PREWARPING_TABLES
(HUD_PREWARPING_TABLE)
Att_var@ LVDS4.LVDS_IN.MASTER+HUD_PREWARPING</t>
  </si>
  <si>
    <t>REQ-0386074</t>
  </si>
  <si>
    <t>DAT_LI_PREWARPING_PERCENTAGE
(HUD_PREWARPING_PERCENTAGE)
Att_var@ LVDS4.LVDS_IN.MASTER+HUD_PREWARPING</t>
  </si>
  <si>
    <t>REQ-0386075</t>
  </si>
  <si>
    <t>DAT_LI_ACTIVATION_VTH
(ACTIVATION_VTH)
Att_var@ LVDS4.LVDS_IN.MASTER+HUD_PREWARPING</t>
  </si>
  <si>
    <t>REQ-0386076</t>
  </si>
  <si>
    <t>DAT_LO_LVDS_PREWARPING_DATA_REQUEST
(DMD_PREWARPING_HUD)
Att_var@ LVDS4.LVDS_OUT.MASTER+HUD_PREWARPING</t>
  </si>
  <si>
    <t>REQ-0386077</t>
  </si>
  <si>
    <t>DAT_DG_PREWARPING_TABLES
(PREWARPING_TABLES)
Att_var@ DIAG_RW.MASTER.HUD_PREWARPING</t>
  </si>
  <si>
    <t>REQ-0386078</t>
  </si>
  <si>
    <t>DAT_DG_PREWARPING
(NoUpstreamRequest)
Att_var@ DIAG_RW.MASTER.HUD_PREWARPING</t>
  </si>
  <si>
    <t>REQ-0386079</t>
  </si>
  <si>
    <t>Specification flow name_x000D_
Description_x000D_
Specification flow Values_x000D_
PREWARPING_TABLE_x000D_
The target Prewarping table content applicable on HUD VIDEO HMI
Att_var@ MASTER+HUD_PREWARPING</t>
  </si>
  <si>
    <t>REQ-0386080</t>
  </si>
  <si>
    <t>The parameter DAT_DG_PREWARPING_TABLES  shall contain three prewarping tables made of  21 columns *9 rows and for each point of the table 4 bytes to pinpoint pixel location of target grid _x000D_
First table: MIN_TABLE represents the lowest prewarping._x000D_
Second table: MID_TABLE represents the 50% of possible prewarping._x000D_
Third table: MAX_TABLE represents the highest of possible prewarping.
Att_var@ MASTER.HUD_PREWARPING</t>
  </si>
  <si>
    <t>REQ-0386081</t>
  </si>
  <si>
    <t>The component shall contain upon it's delivery in the given address of DAT_DG_PREWARPING_TABLES  the three prewarping tables list describing for each table the coordinates (x;y) in px in the ordered set of nodes (i;j) (i in 0-20 for column index, j in 0-8 for line index). The list is oriented by rows that means: The structure is for each value of j, loop on each value of i.
Att_var@ MASTER.HUD_PREWARPING</t>
  </si>
  <si>
    <t>REQ-0386082</t>
  </si>
  <si>
    <t>The component shall contain upon it's delivery in the given address of DAT_DG_PREWARPING_TABLES  the three prewarping tables list describing for each table, every list entry has a length of  16 bits and consist of two bytes. The first byte is the LSB (last significant bit) the second byte is the MSB (most significant bit).
Att_var@ MASTER.HUD_PREWARPING</t>
  </si>
  <si>
    <t>REQ-0386110</t>
  </si>
  <si>
    <t>The component shall contain upon it's delivery in the given address of DAT_DG_PREWARPING_TABLES  the three prewarping tables list describing for each table,  the order of the list entries is alternating first x then y coordinate in HEX :_x000D_
0F 26 20 1E 2B 2C A0 1D 3C 32 2F 1D 45 38 CC 1C 45 3E 77 1C 3E 44 31 1C 31 4A F9 1B 1D 50 CF 1B 04 56 B4 1B E7 5B A6 1B C6 61 A6 1B A2 67 ... ...
Att_var@ MASTER.HUD_PREWARPING</t>
  </si>
  <si>
    <t>REQ-0386173</t>
  </si>
  <si>
    <t>The coding is 10.6 integer format (16 bit hex multiplied by 64)._x000D_
Decoding is done according to the formula :_x000D_
                xpx = HEX2DEC(Xencoded)/64 _x000D_
0F 26 (LSB,MSB) → 260F(hex) → 9743(dec) → 9743/64 → 152.234375(px)
Att_var@ MASTER.HUD_PREWARPING</t>
  </si>
  <si>
    <t>REQ-0386177</t>
  </si>
  <si>
    <t>If _x000D_
DAT_LI_ACTIVATION_VTH becomes Activated  _x000D_
And_x000D_
DAT_DG_PREWARPING= Dynamic_x000D_
Then _x000D_
DAT_LO_LVDS_PREWARPING_DATA_REQUEST= REQUEST_x000D_
Else _x000D_
DAT_LO_LVDS_PREWARPING_DATA_REQUEST=NOT  REQUEST
Att_var@ MASTER+HUD_PREWARPING</t>
  </si>
  <si>
    <t>REQ-0386178</t>
  </si>
  <si>
    <t>If  DAT_DG_PREWARPING =Absence_x000D_
Then _x000D_
no need to do any prewarping of the image _x000D_
Elseif _x000D_
DAT_DG_PREWARPING =Static_x000D_
Then_x000D_
The information DAT_LI_PREWARPING_PERCENTAGE is neglected._x000D_
PREWARPING_TABLE= DAT_DG_PREWARPING_TABLES (MIN TABLE)_x000D_
We only consider the minimum table as reference for prewarping.
Att_var@ MASTER.HUD_PREWARPING</t>
  </si>
  <si>
    <t>REQ-0386179</t>
  </si>
  <si>
    <t>If  _x000D_
DAT_DG_PREWARPING =Dynamic_x000D_
And _x000D_
DAT_LI_PREWARPING_TABLES  has updated values_x000D_
Then _x000D_
DAT_DG_PREWARPING_TABLES = DAT_LI_PREWARPING_TABLES _x000D_
(The internal parameter DAT_DG_PREWARPING_TABLES has to be updated only if the incoming tables DAT_LI_PREWARPING_TABLES  has been updated )_x000D_
Provider shall detail his strategy_x000D_
The PREWARPING_TABLE should be calculated and then sent  to  The HMI Serverdriving the display of HUD Video imagein order for it to be applicable for each sent frame as the following :
Att_var@ MASTER+HUD_PREWARPING</t>
  </si>
  <si>
    <t>REQ-0589653</t>
  </si>
  <si>
    <t>If  _x000D_
DAT_DG_PREWARPING != Absence_x000D_
Then_x000D_
The ECU shall create the source grid in x*y px based on HMI Skin input and position it inside the HUD container with n number of px buffer From the Top, Right and Left
Att_var@ (MASTER+HUD_PREWARPING).HUD</t>
  </si>
  <si>
    <t>REQ-0589654</t>
  </si>
  <si>
    <t>If  _x000D_
DAT_DG_PREWARPING != Absence_x000D_
Then_x000D_
The ECU should apply the prewarping node definition on source grid once placed inside the HUD container
Att_var@ (MASTER+HUD_PREWARPING).HUD</t>
  </si>
  <si>
    <t>REQ-0589655</t>
  </si>
  <si>
    <t>If  _x000D_
DAT_DG_PREWARPING != Absence_x000D_
Then_x000D_
The ECU should calculate the target grid of the source grid based on prewarping tables
Att_var@ (MASTER+HUD_PREWARPING).HUD</t>
  </si>
  <si>
    <t>REQ-0589656</t>
  </si>
  <si>
    <t>If  _x000D_
DAT_DG_PREWARPING != Absence_x000D_
Then_x000D_
The ECU should generate the output by placing target Grid in HUD container
Att_var@ (MASTER+HUD_PREWARPING).HUD</t>
  </si>
  <si>
    <t>REQ-0456673</t>
  </si>
  <si>
    <t>DAT_LI_DGT_COORDONATE_X_1
(COORDONNEE_X_ETACT)
Att_var@ LVDS1.LVDS_IN.MASTER.PUSH</t>
  </si>
  <si>
    <t>REQ-0456675</t>
  </si>
  <si>
    <t>DAT_LI_DGT_COORDONATE_X_2
(COORDONNEE_X_ETACT_2)
Att_var@ LVDS1.LVDS_IN.MASTER.PUSH</t>
  </si>
  <si>
    <t>REQ-0456676</t>
  </si>
  <si>
    <t>DAT_LI_DGT_COORDONATE_X_1
(COORDONNEE_X_ETACT_2ND_DISP)
Att_var@ LVDS2.LVDS_IN.MASTER.PUSH</t>
  </si>
  <si>
    <t>REQ-0456677</t>
  </si>
  <si>
    <t>DAT_LI_DGT_COORDONATE_X_2
(COORDONNEE_X_ETACT_2_2ND_DISP)
Att_var@ LVDS2.LVDS_IN.MASTER.PUSH</t>
  </si>
  <si>
    <t>REQ-0600539</t>
  </si>
  <si>
    <t>DAT_LI_DGT_COORDONATE_X_1
(COORDONNEE_X_ETACT)
Att_var@ LVDS3.LVDS_IN.MASTER.PUSH.MASTER_R2</t>
  </si>
  <si>
    <t>REQ-0600540</t>
  </si>
  <si>
    <t>DAT_LI_DGT_COORDONATE_X_2
(COORDONNEE_X_ETACT_2)
Att_var@ LVDS3.LVDS_IN.MASTER.PUSH.MASTER_R2</t>
  </si>
  <si>
    <t>REQ-0456678</t>
  </si>
  <si>
    <t>DAT_LI_DGT_COORDONNEE_X_ETACT_3
(COORDONNEE_X_ETACT_3)
Att_var@ LVDS1.LVDS_IN.MASTER.PUSH</t>
  </si>
  <si>
    <t>REQ-0456679</t>
  </si>
  <si>
    <t>DAT_LI_DGT_COORDONNEE_X_ETACT_3
(COORDONNEE_X_ETACT_3_2ND_DISP)
Att_var@ LVDS2.LVDS_IN.MASTER.PUSH</t>
  </si>
  <si>
    <t>REQ-0600541</t>
  </si>
  <si>
    <t>DAT_LI_DGT_COORDONNEE_X_ETACT_3
(COORDONNEE_X_ETACT_3)
Att_var@ LVDS3.LVDS_IN.MASTER.PUSH.MASTER_R2</t>
  </si>
  <si>
    <t>REQ-0456680</t>
  </si>
  <si>
    <t>DAT_LI_DGT_COORDONNEE_X_ETACT_4
(COORDONNEE_X_ETACT_4)
Att_var@ LVDS1.LVDS_IN.MASTER.PUSH</t>
  </si>
  <si>
    <t>REQ-0457295</t>
  </si>
  <si>
    <t>DAT_LI_DGT_COORDONNEE_X_ETACT_4
(COORDONNEE_X_ETACT_4_2ND_DISP)
Att_var@ LVDS2.LVDS_IN.MASTER.PUSH</t>
  </si>
  <si>
    <t>REQ-0600542</t>
  </si>
  <si>
    <t>DAT_LI_DGT_COORDONNEE_X_ETACT_4
(COORDONNEE_X_ETACT_4)
Att_var@ LVDS3.LVDS_IN.MASTER.PUSH.MASTER_R2</t>
  </si>
  <si>
    <t>REQ-0457296</t>
  </si>
  <si>
    <t>DAT_LI_DGT_COORDONNEE_X_ETACT_5
(COORDONNEE_X_ETACT_5)
Att_var@ LVDS1.LVDS_IN.MASTER.PUSH</t>
  </si>
  <si>
    <t>REQ-0457297</t>
  </si>
  <si>
    <t>DAT_LI_DGT_COORDONNEE_X_ETACT_5
(COORDONNEE_X_ETACT_5_2ND_DISP)
Att_var@ LVDS2.LVDS_IN.MASTER.PUSH</t>
  </si>
  <si>
    <t>REQ-0600543</t>
  </si>
  <si>
    <t>DAT_LI_DGT_COORDONNEE_X_ETACT_5
(COORDONNEE_X_ETACT_5)
Att_var@ LVDS3.LVDS_IN.MASTER.PUSH.MASTER_R2</t>
  </si>
  <si>
    <t>REQ-0457298</t>
  </si>
  <si>
    <t>DAT_LI_DGT_COORDONNEE_Y_ETACT_1
(COORDONNEE_Y_ETACT)
Att_var@ LVDS1.LVDS_IN.MASTER.PUSH</t>
  </si>
  <si>
    <t>REQ-0457299</t>
  </si>
  <si>
    <t>DAT_LI_DGT_COORDONATE_Y_2
(COORDONNEE_Y_ETACT_2)
Att_var@ LVDS1.LVDS_IN.MASTER.PUSH</t>
  </si>
  <si>
    <t>REQ-0457300</t>
  </si>
  <si>
    <t>DAT_LI_DGT_COORDONATE_Y_1
(COORDONNEE_Y_ETACT_2ND_DISP)
Att_var@ LVDS2.LVDS_IN.MASTER.PUSH</t>
  </si>
  <si>
    <t>REQ-0457301</t>
  </si>
  <si>
    <t>DAT_LI_DGT_COORDONATE_Y_2
(COORDONNEE_Y_ETACT_2_2ND_DISP)
Att_var@ LVDS2.LVDS_IN.MASTER.PUSH</t>
  </si>
  <si>
    <t>REQ-0600544</t>
  </si>
  <si>
    <t>DAT_LI_DGT_COORDONATE_Y_1
(COORDONNEE_Y_ETACT)
Att_var@ LVDS3.LVDS_IN.MASTER.PUSH.MASTER_R2</t>
  </si>
  <si>
    <t>REQ-0600545</t>
  </si>
  <si>
    <t>DAT_LI_DGT_COORDONATE_Y_2
(COORDONNEE_Y_ETACT_2)
Att_var@ LVDS3.LVDS_IN.MASTER.PUSH.MASTER_R2</t>
  </si>
  <si>
    <t>REQ-0457302</t>
  </si>
  <si>
    <t>DAT_LI_DGT_COORDONNEE_Y_ETACT_3
(COORDONNEE_Y_ETACT_3)
Att_var@ LVDS1.LVDS_IN.MASTER.PUSH</t>
  </si>
  <si>
    <t>REQ-0457303</t>
  </si>
  <si>
    <t>DAT_LI_DGT_COORDONNEE_Y_ETACT_3
(COORDONNEE_Y_ETACT_3_2ND_DISP)
Att_var@ LVDS2.LVDS_IN.MASTER.PUSH</t>
  </si>
  <si>
    <t>REQ-0600546</t>
  </si>
  <si>
    <t>DAT_LI_DGT_COORDONNEE_Y_ETACT_3
(COORDONNEE_Y_ETACT_3)
Att_var@ LVDS3.LVDS_IN.MASTER.PUSH.MASTER_R2</t>
  </si>
  <si>
    <t>REQ-0457305</t>
  </si>
  <si>
    <t>DAT_LI_DGT_COORDONNEE_Y_ETACT_4
(COORDONNEE_Y_ETACT_4)
Att_var@ LVDS1.LVDS_IN.MASTER.PUSH</t>
  </si>
  <si>
    <t>REQ-0457306</t>
  </si>
  <si>
    <t>DAT_LI_DGT_COORDONNEE_Y_ETACT_4
(COORDONNEE_Y_ETACT_4_2ND_DISP)
Att_var@ LVDS2.LVDS_IN.MASTER.PUSH</t>
  </si>
  <si>
    <t>REQ-0600547</t>
  </si>
  <si>
    <t>DAT_LI_DGT_COORDONNEE_Y_ETACT_4
(COORDONNEE_Y_ETACT_4)
Att_var@ LVDS3.LVDS_IN.MASTER.PUSH.MASTER_R2</t>
  </si>
  <si>
    <t>REQ-0457307</t>
  </si>
  <si>
    <t>DAT_LI_DGT_COORDONNEE_Y_ETACT_5
(COORDONNEE_Y_ETACT_5)
Att_var@ LVDS1.LVDS_IN.MASTER.PUSH</t>
  </si>
  <si>
    <t>REQ-0457309</t>
  </si>
  <si>
    <t>DAT_LI_DGT_COORDONNEE_Y_ETACT_5
(COORDONNEE_Y_ETACT_5_2ND_DISP)
Att_var@ LVDS2.LVDS_IN.MASTER.PUSH</t>
  </si>
  <si>
    <t>REQ-0600548</t>
  </si>
  <si>
    <t>DAT_LI_DGT_COORDONNEE_Y_ETACT_5
(COORDONNEE_Y_ETACT_5)
Att_var@ LVDS3.LVDS_IN.MASTER.PUSH.MASTER_R2</t>
  </si>
  <si>
    <t>REQ-0457310</t>
  </si>
  <si>
    <t>DAT_LI_DGT_DATATION_PUSH
(DATATION_APPUI_ETACT)
Att_var@ LVDS1.LVDS_IN.MASTER.PUSH</t>
  </si>
  <si>
    <t>REQ-0457311</t>
  </si>
  <si>
    <t>DAT_LI_DGT_DATATION_PUSH
(DATATION_APPUI_2ND_DISP)
Att_var@ LVDS2.LVDS_IN.MASTER.PUSH</t>
  </si>
  <si>
    <t>REQ-0600549</t>
  </si>
  <si>
    <t>DAT_LI_DGT_DATATION_PUSH
(DATATION_APPUI_ETACT)
Att_var@ LVDS3.LVDS_IN.MASTER.PUSH.MASTER_R2</t>
  </si>
  <si>
    <t>REQ-0457312</t>
  </si>
  <si>
    <t>DAT_LI_DGT_INFO_PUSH_1
(INFO_APPUI_ETACT)
Att_var@ LVDS1.LVDS_IN.MASTER.PUSH</t>
  </si>
  <si>
    <t>REQ-0457313</t>
  </si>
  <si>
    <t>DAT_LI_DGT_INFO_PUSH_2
(INFO_APPUI_ETACT_2)
Att_var@ LVDS1.LVDS_IN.MASTER.PUSH</t>
  </si>
  <si>
    <t>REQ-0457314</t>
  </si>
  <si>
    <t>DAT_LI_DGT_INFO_PUSH_1
(INFO_APPUI_ETACT_1_2ND_DISP)
Att_var@ LVDS2.LVDS_IN.MASTER.PUSH</t>
  </si>
  <si>
    <t>REQ-0457315</t>
  </si>
  <si>
    <t>DAT_LI_DGT_INFO_PUSH_2
(INFO_APPUI_ETACT_2_2ND_DISP)
Att_var@ LVDS2.LVDS_IN.MASTER.PUSH</t>
  </si>
  <si>
    <t>REQ-0600550</t>
  </si>
  <si>
    <t>DAT_LI_DGT_INFO_PUSH_1
(INFO_APPUI_ETACT)
Att_var@ LVDS3.LVDS_IN.MASTER.PUSH.MASTER_R2</t>
  </si>
  <si>
    <t>REQ-0600551</t>
  </si>
  <si>
    <t>DAT_LI_DGT_INFO_PUSH_2
(INFO_APPUI_ETACT_2)
Att_var@ LVDS3.LVDS_IN.MASTER.PUSH.MASTER_R2</t>
  </si>
  <si>
    <t>REQ-0457316</t>
  </si>
  <si>
    <t>DAT_LI_DGT_INFO_PUSH_3
(INFO_APPUI_ETACT_3)
Att_var@ LVDS1.LVDS_IN.MASTER.PUSH</t>
  </si>
  <si>
    <t>REQ-0457317</t>
  </si>
  <si>
    <t>DAT_LI_DGT_INFO_PUSH_3
(INFO_APPUI_ETACT_3_2ND_DISP)
Att_var@ LVDS2.LVDS_IN.MASTER.PUSH</t>
  </si>
  <si>
    <t>REQ-0600552</t>
  </si>
  <si>
    <t>DAT_LI_DGT_INFO_PUSH_3
(INFO_APPUI_ETACT_3)
Att_var@ LVDS3.LVDS_IN.MASTER.PUSH.MASTER_R2</t>
  </si>
  <si>
    <t>REQ-0457319</t>
  </si>
  <si>
    <t>DAT_LI_DGT_INFO_PUSH_4
(INFO_APPUI_ETACT_4)
Att_var@ LVDS1.LVDS_IN.MASTER.PUSH</t>
  </si>
  <si>
    <t>REQ-0457320</t>
  </si>
  <si>
    <t>DAT_LI_DGT_INFO_PUSH_4
(INFO_APPUI_ETACT_4_2ND_DISP)
Att_var@ LVDS2.LVDS_IN.MASTER.PUSH</t>
  </si>
  <si>
    <t>REQ-0600553</t>
  </si>
  <si>
    <t>DAT_LI_DGT_INFO_PUSH_4
(INFO_APPUI_ETACT_4)
Att_var@ LVDS3.LVDS_IN.MASTER.PUSH.MASTER_R2</t>
  </si>
  <si>
    <t>REQ-0457350</t>
  </si>
  <si>
    <t>DAT_LI_DGT_INFO_PUSH_5
(INFO_APPUI_ETACT_5)
Att_var@ LVDS1.LVDS_IN.MASTER.PUSH</t>
  </si>
  <si>
    <t>REQ-0457428</t>
  </si>
  <si>
    <t>DAT_LI_DGT_INFO_PUSH_5
(INFO_APPUI_ETACT_5_2ND_DISP)
Att_var@ LVDS2.LVDS_IN.MASTER.PUSH</t>
  </si>
  <si>
    <t>REQ-0600554</t>
  </si>
  <si>
    <t>DAT_LI_DGT_INFO_PUSH_5
(INFO_APPUI_ETACT_5)
Att_var@ LVDS3.LVDS_IN.MASTER.PUSH.MASTER_R2</t>
  </si>
  <si>
    <t>REQ-0778392</t>
  </si>
  <si>
    <t>DAT_DG_TACTILE_ACTIVE_PERCENTAGE_LHD
(TACTILE_ACTIVE_PERCENTAGE_LHD)
Att_var@ DIAG_RW.MASTER.CLUSTERLESS</t>
  </si>
  <si>
    <t>REQ-0778393</t>
  </si>
  <si>
    <t>DAT_DG_TACTILE_ACTIVE_PERCENTAGE_RHD
(TACTILE_ACTIVE_PERCENTAGE_RHD)
Att_var@ DIAG_RW.MASTER.CLUSTERLESS</t>
  </si>
  <si>
    <t>REQ-0600555</t>
  </si>
  <si>
    <t>Specification flow name_x000D_
Description_x000D_
Specification flow Values_x000D_
INTER_LVDS_STEERING_TYPE_x000D_
Type of steering of the vehicle_x000D_
Internal data coming from the CAN specification_x000D_
Left_x000D_
Right
Att_var@ MASTER.MASTER_R2.WIDE_R2</t>
  </si>
  <si>
    <t>REQ-0457616</t>
  </si>
  <si>
    <t>Provide to detail any touch management solution according to IHM needs._x000D_
Please refer to the example excel below for dynamic interaction between incoming parameters furthermore please note the following calibration parameters:_x000D_
DAT_DG_DGT_T_DETECTION_PUSH as aparameter used to detect push on the screen._x000D_
DAT_DG_DGT_T_DETECTION_RELEASE as a parameter used to detect the release of the finger of the screen._x000D_
DAT_DG_DGT_MAJ_FRAME_FCT as a Sampling rate_x000D_
DAT_DG_DGT_MAJ_TRAME_EMPTY as a Sampling rate
Att_var@ DIAG_RW.MASTER.PUSH</t>
  </si>
  <si>
    <t>REQ-0600556</t>
  </si>
  <si>
    <t>If DAT_DG_LVDS_OUT_3_SELECTION  = WIDE+ AND  DAT_DG_LVDS_LVDS_OUT_3 = Presence_x000D_
     Then we should  acquire the touch screen by LVDS 3 _x000D_
     If  INTER_LVDS_STEERING_TYPE = LEFT _x000D_
     _x000D_
        Then  the touch screen is on the right    _x000D_
                                                                                              Tactile area dimensions: 275.88 * 95.3 mm / 2085*720 pixels_x000D_
_x0001__x000D_
                                                           (xo,yo)_x000D_
   _x000D_
 ElseIf  INTER_LVDS_STEERING_TYPE = RIGHT_x000D_
    _x000D_
        Then the touch screen is on the left _x000D_
  Tactile area dimensions: 275.88 * 95.3 mm / 2085*720 pixels_x000D_
_x0001__x000D_
     (xo,yo)
Att_var@ MASTER.MASTER_R2.WIDE_R2</t>
  </si>
  <si>
    <t>REQ-0778394</t>
  </si>
  <si>
    <t>If DAT_DG_LVDS_OUT_3_SELECTION  = DGT16C AND  DAT_DG_LVDS_LVDS_OUT_3 = Presence AND DAT_DG_LVDS_LVDS_OUT_1 = Absent  _x000D_
   _x000D_
Then we should  acquire the touch screen by LVDS 3
Att_var@ MASTER_R2.CLUSTERLESS</t>
  </si>
  <si>
    <t>REQ-0778395</t>
  </si>
  <si>
    <t>If DAT_DG_LVDS_OUT_3_SELECTION  = DGT16C AND  DAT_DG_LVDS_LVDS_OUT_3 = Presence AND DAT_DG_LVDS_LVDS_OUT_1 = Absent  _x000D_
            _x000D_
      If  INTER_LVDS_STEERING_TYPE = LEFT _x000D_
     _x000D_
                 Then the touch screen is on the right yet the touch coordinates are calculated in the whole area of the display, all touch coordinates coming from the cluster zone must be ignored._x000D_
                 The ECU shall consider the percentage of the first pixel accessible on touch screen as the value of  DAT_DG_TACTILE_ACTIVE_PERCENTAGE_LHD and ignore all values  smaller than it ._x000D_
_x0001__x000D_
ElseIf  INTER_LVDS_STEERING_TYPE = RIGHT_x000D_
    _x000D_
        Then the touch screen is on the left yet the touch coordinates are calculated in the whole area of the display, all touch coordinates coming from the cluster zone must be ignored._x000D_
        The ECU shall consider the percentage of the last pixel accessible on touch screen as the value of  DAT_DG_TACTILE_ACTIVE_PERCENTAGE_RHD and ignore all values higher than it .
Att_var@ MASTER_R2.CLUSTERLESS END_att_var_x000D__x0007_</t>
  </si>
  <si>
    <t>REQ-0778396</t>
  </si>
  <si>
    <t>The following HMI flow is managed as below_x000D_
 INFO_LVDS_OUT_3_SELECTION = DAT_DG_LVDS_OUT_3_SELECTION
Att_var@ MASTER_R2.CLUSTERLESS END_att_var_x000D__x0007_</t>
  </si>
  <si>
    <t>REQ-0457617</t>
  </si>
  <si>
    <t>DAT_LO_CLUSTER_T_DEFAULT_TIMING_VIDEO
(DEFAUT_TIMING_VIDEO_CLUSTER)
Att_var@ LVDS3.LVDS_OUT.SLAVE.CLUSTER.DEFAULT</t>
  </si>
  <si>
    <t>REQ-0457618</t>
  </si>
  <si>
    <t>DAT_DG_CLUSTER_FILTRING_DEF_TIMING_VIDEO
(NoUpstreamRequest)
Att_var@ DIAG_RW.SLAVE.CLUSTER.DEFAULT</t>
  </si>
  <si>
    <t>REQ-0457619</t>
  </si>
  <si>
    <t>DAT_LI_CLUSTER_ENABLE
(CLUSTER_ENABLE)
Att_var@ INTERNAL.SLAVE.CLUSTER.DEFAULT</t>
  </si>
  <si>
    <t>REQ-0457665</t>
  </si>
  <si>
    <t>At activation of the Cluster slave, the diagnosis is not yet performed_x000D_
IF_x000D_
DAT_LI_CLUSTER_ENABLE switches from DEACTIVATED to ACTIVATED_x000D_
THEN_x000D_
              DAT_LO_CLUSTER_DEFAULT_TIMING_VIDEO = DIAGNOSTIC NOT YET PERFORMED
Att_var@ SLAVE.CLUSTER.DEFAULT</t>
  </si>
  <si>
    <t>REQ-0457666</t>
  </si>
  <si>
    <t>The flow DAT_LO_CLUSTER_DEFAULT_TIMING_VIDEO must keep the initialization value as long as the default is not confirmed :_x000D_
IF_x000D_
DAT_LI_CLUSTER_ENABLE = ACTIVATED for less than DAT_DG_CLUSTER_FILTRING_DEF_TIMING_VIDEO_x000D_
THEN_x000D_
              DAT_LO_CLUSTER_DEFAULT_TIMING_VIDEO = DIAGNOSTIC NOT YET PERFORMED
Att_var@ SLAVE.CLUSTER.DEFAULT</t>
  </si>
  <si>
    <t>REQ-0457667</t>
  </si>
  <si>
    <t>The flow DAT_LO_CLUSTER_DEFAULT_TIMING_VIDEO takes the value ‘NO DEFAULT’ if no default is confirmed_x000D_
IF_x000D_
DAT_LI_CLUSTER_ENABLE = ACTIVATED_x000D_
AND_x000D_
There is no default for more than DAT_DG_CLUSTER_FILTRING_DEF_TIMING_VIDEO_x000D_
THEN_x000D_
              DAT_LO_CLUSTER_DEFAULT_TIMING_VIDEO = NO DEFAULT
Att_var@ SLAVE.CLUSTER.DEFAULT</t>
  </si>
  <si>
    <t>REQ-0457668</t>
  </si>
  <si>
    <t>If a default is detected over the video link then the flow DAT_LO_CLUSTER_DEFAULT_TIMING_VIDEO takes the value associated to the detected default_x000D_
IF_x000D_
DAT_LI_CLUSTER_ENABLE = ACTIVATED _x000D_
THEN_x000D_
IF _x000D_
There is no LVDS video signal for more than DAT_DG_CLUSTER_FILTRING_DEF_TIMING_VIDEO_x000D_
THEN_x000D_
DAT_LO_CLUSTER_DEFAULT_TIMING_VIDEO = NO SIGNAL_x000D_
Else IF_x000D_
The horizontal synchronization is wrong for more than DAT_DG_CLUSTER_FILTRING_DEF_TIMING_VIDEO_x000D_
THEN_x000D_
DAT_LO_CLUSTER_DEFAULT_TIMING_VIDEO = HSYNC off scale_x000D_
Else IF_x000D_
The vertical synchronization is wrong for more than DAT_DG_CLUSTER_FILTRING_DEF_TIMING_VIDEO_x000D_
THEN_x000D_
DAT_LO_CLUSTER_DEFAULT_TIMING_VIDEO = VSYNC off scale_x000D_
ELSE_x000D_
DAT_LO_CLUSTER_DEFAULT_TIMING_VIDEO = NO DEFAULT_x000D_
Remark : (The failure range will be proposed by the provider and validated par PSA)
Att_var@ SLAVE.CLUSTER.DEFAULT</t>
  </si>
  <si>
    <t>REQ-0542695</t>
  </si>
  <si>
    <t>DAT_LO_CLUSTER_PRIMARY_X_OFFSET
(CLUSTER_PRIMARY_X_OFFSET)
Att_var@ LVDS3.LVDS_OUT.SLAVE.CLUSTER</t>
  </si>
  <si>
    <t>REQ-0542696</t>
  </si>
  <si>
    <t>DAT_LO_CLUSTER_PRIMARY_Y_OFFSET
(CLUSTER_PRIMARY_Y_OFFSET)
Att_var@ LVDS3.LVDS_OUT.SLAVE.CLUSTER</t>
  </si>
  <si>
    <t>REQ-0542697</t>
  </si>
  <si>
    <t>DAT_LO_CLUSTER_SECONDARY_X_OFFSET
(CLUSTER_SECONDARY_X_OFFSET)
Att_var@ LVDS3.LVDS_OUT.SLAVE.CLUSTER</t>
  </si>
  <si>
    <t>REQ-0542698</t>
  </si>
  <si>
    <t>DAT_LO_CLUSTER_SECONDARY_Y_OFFSET
(CLUSTER_SECONDARY_Y_OFFSET)
Att_var@ LVDS3.LVDS_OUT.SLAVE.CLUSTER</t>
  </si>
  <si>
    <t>REQ-0542699</t>
  </si>
  <si>
    <t>DAT_DG_CLUSTER_PRIMARY_X_OFFSET
(CLUSTER_PRIMARY_X_OFFSET_Param)
Att_var@ DIAG_RW.SLAVE</t>
  </si>
  <si>
    <t>REQ-0542700</t>
  </si>
  <si>
    <t>DAT_DG_CLUSTER_PRIMARY_Y_OFFSET
(CLUSTER_PRIMARY_Y_OFFSET_Param)
Att_var@ DIAG_RW.SLAVE</t>
  </si>
  <si>
    <t>REQ-0542701</t>
  </si>
  <si>
    <t>DAT_DG_CLUSTER_SECONDARY_X_OFFSET
(CLUSTER_SECONDARY_X_OFFSET_Param)
Att_var@ DIAG_RW.SLAVE</t>
  </si>
  <si>
    <t>REQ-0542702</t>
  </si>
  <si>
    <t>DAT_DG_CLUSTER_SECONDARY_Y_OFFSET
(CLUSTER_SECONDARY_Y_OFFSET_Param)
Att_var@ DIAG_RW.SLAVE</t>
  </si>
  <si>
    <t>REQ-0542703</t>
  </si>
  <si>
    <t>DAT_LI_CLUSTER_ENABLE
(CLUSTER_ENABLE)
Att_var@ INTERNAL.SLAVE.CLUSTER</t>
  </si>
  <si>
    <t>REQ-0542704</t>
  </si>
  <si>
    <t>Reference screen_x000D_
The parameters DAT_DG_CLUSTER_[PRIMARY/SECODARY]_[X/Y]_OFFSET contain, at the reception of the component in PSA factories, the values of target OFFSET presented by number of integer pixels on X and Y axis to be applied by the MASTER ECU for each display in order to have a well aligned image that compensates the tolerated deformities related to the realization of the component itself._x000D_
(xoffset,yoffset)_x000D_
Reference screen_x000D_
(xref,yref)_x000D_
(xoffset,yoffset)_x000D_
The position of the screen with no deformities_x000D_
(xoffset,yoffset) is the position of the screen with deformities_x000D_
xoffset = - DAT_DG_CLUSTER_[PRIMARY/SECODARY]_X_OFFSET_x000D_
yoffset = -  DAT_DG_CLUSTER_[PRIMARY/SECODARY]_Y_OFFSET_x000D_
(xref,yref)_x000D_
(xoffset,yoffset)_x000D_
DAT_DG_CLUSTER__x000D_
[PRIMARY/SECODARY]_Y__x000D_
OFFSET _x000D_
DAT_DG_CLUSTER__x000D_
[PRIMARY/SECODARY]_X__x000D_
OFFSET _x000D_
Deformed screen_x000D_
Reference screen_x000D_
Applying DAT_DG_CLUSTER_[PRIMARY/SECODARY]_[X/Y]_OFFSET to the deformed screen.
Att_var@ SLAVE.CLUSTER</t>
  </si>
  <si>
    <t>REQ-0542705</t>
  </si>
  <si>
    <t>If no OFFSET is needed to be applied and according to the unit configuration (Primary only, Primary and secondary) all parameters included in DAT_DG_CLUSTER_[PRIMARY/SECODARY]_[X/Y]_OFFSET that are not used shall be set to value 0.
Att_var@ SLAVE.CLUSTER</t>
  </si>
  <si>
    <t>REQ-0542706</t>
  </si>
  <si>
    <t>If_x000D_
DAT_LI_CLUSTER_ENABLE = Activated_x000D_
Then_x000D_
DAT_LO_CLUSTER_PRIMARY_X_OFFSET = DAT_DG_CLUSTER_PRIMARY_X_OFFSET_x000D_
DAT_LO_CLUSTER_PRIMARY_Y_OFFSET = DAT_DG_CLUSTER_PRIMARY_Y_OFFSET_x000D_
DAT_LO_CLUSTER_SECONDARY_X_OFFSET = DAT_DG_CLUSTER_SECONDARY_X_OFFSET_x000D_
DAT_LO_CLUSTER_SECONDARY_Y_OFFSET = DAT_DG_CLUSTER_SECONDARY_Y_OFFSET
Att_var@ SLAVE.CLUSTER</t>
  </si>
  <si>
    <t>REQ-0542707</t>
  </si>
  <si>
    <t>DAT_LI_CLUSTER_PRIMARY_X_OFFSET
(CLUSTER_PRIMARY_X_OFFSET)
Att_var@ LVDS3.LVDS_OUT.MASTER.OFSSET</t>
  </si>
  <si>
    <t>REQ-0542708</t>
  </si>
  <si>
    <t>DAT_LI_CLUSTER_PRIMARY_Y_OFFSET
(CLUSTER_PRIMARY_Y_OFFSET)
Att_var@ LVDS3.LVDS_OUT.MASTER.OFSSET</t>
  </si>
  <si>
    <t>REQ-0542709</t>
  </si>
  <si>
    <t>DAT_LI_CLUSTER_SECONDARY_X_OFFSET
(CLUSTER_SECONDARY_X_OFFSET)
Att_var@ LVDS3.LVDS_OUT.MASTER.OFSSET</t>
  </si>
  <si>
    <t>REQ-0542710</t>
  </si>
  <si>
    <t>DAT_LI_CLUSTER_SECONDARY_Y_OFFSET
(CLUSTER_SECONDARY_Y_OFFSET)
Att_var@ LVDS3.LVDS_OUT.MASTER.OFSSET</t>
  </si>
  <si>
    <t>REQ-0542718</t>
  </si>
  <si>
    <t>DAT_DG_CLUSTER_PRIMARY_X_OFFSET
(CLUSTER_PRIMARY_X_OFFSET_Param)
Att_var@ DIAG_RW.MASTER.OFSSET</t>
  </si>
  <si>
    <t>REQ-0542719</t>
  </si>
  <si>
    <t>DAT_DG_CLUSTER_PRIMARY_Y_OFFSET
(CLUSTER_PRIMARY_Y_OFFSET_Param)
Att_var@ DIAG_RW.MASTER.OFSSET</t>
  </si>
  <si>
    <t>REQ-0542720</t>
  </si>
  <si>
    <t>DAT_DG_CLUSTER_SECONDARY_X_OFFSET
(CLUSTER_SECONDARY_X_OFFSET_Param)
Att_var@ DIAG_RW.MASTER.OFSSET</t>
  </si>
  <si>
    <t>REQ-0542721</t>
  </si>
  <si>
    <t>DAT_DG_CLUSTER_SECONDARY_Y_OFFSET
(CLUSTER_SECONDARY_Y_OFFSET_Param)
Att_var@ DIAG_RW.MASTER.OFSSET</t>
  </si>
  <si>
    <t>REQ-0589714</t>
  </si>
  <si>
    <t>DAT_DG_LVDS_LVDS_OUT_4_3D_CLUSTER
(NoUpstreamRequest)
Att_var@ DIAG_RW.MASTER.CLUSTER_3D</t>
  </si>
  <si>
    <t>REQ-0589715</t>
  </si>
  <si>
    <t>DAT_DG_LVDS_OUT_3_SELECTION
(NoUpstreamRequest)
Att_var@ DIAG_RW.MASTER.SELECTION.SELECTION_R2</t>
  </si>
  <si>
    <t>REQ-0542722</t>
  </si>
  <si>
    <t>The parameters DAT_DG_CLUSTER_[PRIMARY/SECODARY]_[X/Y]_OFFSET contain the value of number of pixels to be applied as OFFSET on X and Y axis on each cluster screen(Primary cluster only, Primary and secondary)_x000D_
(xoffset,yoffset)_x000D_
Reference screen_x000D_
(xref,yref)_x000D_
(xoffset,yoffset)_x000D_
The position of the screen with no deformities_x000D_
(xoffset,yoffset) is the position of the screen with deformities_x000D_
xoffset = - DAT_DG_CLUSTER_[PRIMARY/SECODARY]_X_OFFSET_x000D_
yoffset = -  DAT_DG_CLUSTER_[PRIMARY/SECODARY]_Y_OFFSET_x000D_
(xref,yref)_x000D_
(xoffset,yoffset)_x000D_
DAT_DG_CLUSTER__x000D_
[PRIMARY/SECODARY]_Y__x000D_
OFFSET _x000D_
DAT_DG_CLUSTER__x000D_
[PRIMARY/SECODARY]_X__x000D_
OFFSET _x000D_
Deformed screen_x000D_
Reference screen_x000D_
Applying DAT_DG_CLUSTER_[PRIMARY/SECODARY]_[X/Y]_OFFSET to the deformed screen.
Att_var@ MASTER.CLUSTER_OFFSET</t>
  </si>
  <si>
    <t>REQ-0542723</t>
  </si>
  <si>
    <t>If_x000D_
DAT_DG_LVDS_LVDS_OUT_4_3D_CLUSTER = Absence  AND (DAT_DG_LVDS_OUT_3_SELECTION =  DN10 OR DAT_DG_LVDS_OUT_3_SELECTION = DGT10C2_IN-CELL)_x000D_
Then_x000D_
We apply static offset based on the value given by diag (will be frozen during the development)._x000D_
DAT_DG_CLUSTER_PRIMARY_X_OFFSET
Att_var@ MASTER.CLUSTER_OFFSET</t>
  </si>
  <si>
    <t>REQ-0542724</t>
  </si>
  <si>
    <t>If_x000D_
DAT_DG_LVDS_LVDS_OUT_4_3D_CLUSTER = Absence  AND (DAT_DG_LVDS_OUT_3_SELECTION =  DN10 OR DAT_DG_LVDS_OUT_3_SELECTION = DGT10C2_IN-CELL)_x000D_
Then_x000D_
We apply static offset based on the value given by diag (will be frozen during the development)._x000D_
DAT_DG_CLUSTER_PRIMARY_Y_OFFSET
Att_var@ MASTER.CLUSTER_OFFSET</t>
  </si>
  <si>
    <t>REQ-0542725</t>
  </si>
  <si>
    <t>If_x000D_
DAT_DG_LVDS_LVDS_OUT_4_3D_CLUSTER = Presence_x000D_
DAT_LI_CLUSTER_SECONDARY_X_OFFSET &lt;&gt; DAT_DG_CLUSTER_SECONDARY_X_OFFSET_x000D_
Then_x000D_
DAT_DG_CLUSTER_SOCONDARY_X_OFFSET = DAT_LI_CLUSTER_SECONDARY_X_OFFSET
Att_var@ MASTER.CLUSTER_OFFSET</t>
  </si>
  <si>
    <t>REQ-0542726</t>
  </si>
  <si>
    <t>If _x000D_
DAT_DG_LVDS_LVDS_OUT_4_3D_CLUSTER = Presence_x000D_
DAT_LI_CLUSTER_SECONDARY_Y_OFFSET &lt;&gt; DAT_DG_CLUSTER_SECONDARY_Y_OFFSET_x000D_
Then_x000D_
DAT_DG_CLUSTER_SOCONDARY_Y_OFFSET = DAT_LI_CLUSTER_SECONDARY_Y_OFFSET
Att_var@ MASTER.CLUSTER_OFFSET</t>
  </si>
  <si>
    <t>REQ-0542727</t>
  </si>
  <si>
    <t>The Component shall apply the new OFFSETs according to X and Y axis based on what has been stored in DAT_DG_CLUSTER_[PRIMARY/SECODARY]_[X/Y]_OFFSET. When the value is updated, it never gets reset and will be stored and changed only if a new value is updated on DIAG or LVDS (We keep the value in case of hard reset or shut down).
Att_var@ MASTER.CLUSTER_OFFSET</t>
  </si>
  <si>
    <t>REQ-0590576</t>
  </si>
  <si>
    <t>DAT_DG_LVDS_1_CMDE_DGT
(NoUpstreamRequest)
Att_var@ DIAG_R.DIAGNOSTIC</t>
  </si>
  <si>
    <t>REQ-0590577</t>
  </si>
  <si>
    <t>DAT_DG_LVDS_2_CMDE_DGT
(NoUpstreamRequest)
Att_var@ DIAG_R.DIAGNOSTIC</t>
  </si>
  <si>
    <t>REQ-0590578</t>
  </si>
  <si>
    <t>DAT_DG_LVDS_3_CMDE_DGT
(NoUpstreamRequest)
Att_var@ DIAG_R.DIAGNOSTIC</t>
  </si>
  <si>
    <t>REQ-0590579</t>
  </si>
  <si>
    <t>DAT_DG_LVDS_1_ETAT_DGT
(NoUpstreamRequest)
Att_var@ DIAG_R.DIAGNOSTIC</t>
  </si>
  <si>
    <t>REQ-0590580</t>
  </si>
  <si>
    <t>DAT_DG_LVDS_2_ETAT_DGT
(NoUpstreamRequest)
Att_var@ DIAG_R.DIAGNOSTIC</t>
  </si>
  <si>
    <t>REQ-0590581</t>
  </si>
  <si>
    <t>DAT_DG_LVDS_3_ETAT_DGT
(NoUpstreamRequest)
Att_var@ DIAG_R.DIAGNOSTIC</t>
  </si>
  <si>
    <t>REQ-0600561</t>
  </si>
  <si>
    <t>DAT_DG_LVDS_4_ETAT_VTH_1
(NoUpstreamRequest)
Att_var@ DIAG_R.DIAGNOSTIC</t>
  </si>
  <si>
    <t>REQ-0600562</t>
  </si>
  <si>
    <t>DAT_DG_LVDS_4_ETAT_VTH_2
(NoUpstreamRequest)
Att_var@ DIAG_R.DIAGNOSTIC</t>
  </si>
  <si>
    <t>REQ-0600563</t>
  </si>
  <si>
    <t>DAT_DG_LVDS_4_CDE_VTH_1
(NoUpstreamRequest)
Att_var@ DIAG_R.DIAGNOSTIC</t>
  </si>
  <si>
    <t>REQ-0600564</t>
  </si>
  <si>
    <t>DAT_DG_LVDS_4_CDE_VTH_2
(NoUpstreamRequest)
Att_var@ DIAG_R.DIAGNOSTIC</t>
  </si>
  <si>
    <t>REQ-0600565</t>
  </si>
  <si>
    <t>DAT_DG_LVDS_4_CDE_VTH_3
(NoUpstreamRequest)
Att_var@ DIAG_R.DIAGNOSTIC</t>
  </si>
  <si>
    <t>REQ-0600566</t>
  </si>
  <si>
    <t>DAT_DG_LVDS_4_CDE_VTH_4
(NoUpstreamRequest)
Att_var@ DIAG_R.DIAGNOSTIC</t>
  </si>
  <si>
    <t>REQ-0827155</t>
  </si>
  <si>
    <t>DAT_DG_REQ_DISPLAY
(NoUpstreamRequest)
Att_var@ DIAG_R.DIAGNOSTIC</t>
  </si>
  <si>
    <t>REQ-0827156</t>
  </si>
  <si>
    <t>DAT_DG_DMD_DISPLAY
(NoUpstreamRequest)
Att_var@ DIAG_R.DIAGNOSTIC</t>
  </si>
  <si>
    <t>REQ-0827157</t>
  </si>
  <si>
    <t>DAT_DG_REQ_CDSR
(NoUpstreamRequest)
Att_var@ DIAG_R.DIAGNOSTIC</t>
  </si>
  <si>
    <t>REQ-0827158</t>
  </si>
  <si>
    <t>DAT_DG_DMD_CDSR
(NoUpstreamRequest)
Att_var@ DIAG_R.DIAGNOSTIC</t>
  </si>
  <si>
    <t>REQ-0827159</t>
  </si>
  <si>
    <t>DAT_DG_REQ_ICD
(NoUpstreamRequest)
Att_var@ DIAG_R.DIAGNOSTIC</t>
  </si>
  <si>
    <t>REQ-0827160</t>
  </si>
  <si>
    <t>DAT_DG_DMD_ICD
(NoUpstreamRequest)
Att_var@ DIAG_R.DIAGNOSTIC</t>
  </si>
  <si>
    <t>REQ-0827161</t>
  </si>
  <si>
    <t>DAT_DG_REQ_HUD_1
(NoUpstreamRequest)
Att_var@ DIAG_R.DIAGNOSTIC</t>
  </si>
  <si>
    <t>REQ-0827386</t>
  </si>
  <si>
    <t>DAT_DG_DMD_HUD_2_SEG
(NoUpstreamRequest)
Att_var@ DIAG_R.DIAGNOSTIC</t>
  </si>
  <si>
    <t>REQ-0827162</t>
  </si>
  <si>
    <t>DAT_DG_DMD_HUD
(NoUpstreamRequest)
Att_var@ DIAG_R.DIAGNOSTIC</t>
  </si>
  <si>
    <t>REQ-0590582</t>
  </si>
  <si>
    <t>On each reception or transmission of a frame the values ​​of this one will be copied in the associated diag parameter.
Att_var@ DIAGNOSTIC</t>
  </si>
  <si>
    <t>REQ-0686575</t>
  </si>
  <si>
    <t>DAT_DG_LVDS_NAV_DIALOG_DIVERSITY
(NoUpstreamRequest)
Att_var@ DIAG_RW.NAV</t>
  </si>
  <si>
    <t>REQ-0686576</t>
  </si>
  <si>
    <t>DAT_DG_LVDS_NAV_WIDGET_DIVERSITY
(NoUpstreamRequest)
Att_var@ DIAG_RW.NAV</t>
  </si>
  <si>
    <t>REQ-0686577</t>
  </si>
  <si>
    <t>DAT_DG_LVDS_NAV_MIRRORING_DIVERSITY
(NoUpstreamRequest)
Att_var@ DIAG_RW.NAV</t>
  </si>
  <si>
    <t>REQ-0686578</t>
  </si>
  <si>
    <t>INFO_NAV_DIALOG_DIVERSTY
Att_var@ HMI.NAV</t>
  </si>
  <si>
    <t>REQ-0686579</t>
  </si>
  <si>
    <t>INFO_NAV_WIDGET_DIVERSTY
Att_var@ HMI.NAV</t>
  </si>
  <si>
    <t>REQ-0686580</t>
  </si>
  <si>
    <t>INFO_NAV_MIRRORING_DIVERSTY
Att_var@ HMI.NAV</t>
  </si>
  <si>
    <t>REQ-0686581</t>
  </si>
  <si>
    <t>The following HMI flow is managed as below_x000D_
 INFO_NAV_DIALOG_DIVERSTY = DAT_DG_LVDS_NAV_DIALOG_DIVERSITY_x000D_
INFO_NAV_WIDGET_DIVERSTY= DAT_DG_LVDS_NAV_WIDGET_DIVERSITY_x000D_
INFO_NAV_MIRRORING_DIVERSTY= DAT_DG_LVDS_NAV_MIRRORING_DIVERSITY
Att_var@ NAV</t>
  </si>
  <si>
    <t>REQ-0732965</t>
  </si>
  <si>
    <t>DAT_DG_LVDS_CLUSTER_SIZE_DIVERSITY
(NoUpstreamRequest)
Att_var@ DIAG_RW.CLUSTER_SIZE</t>
  </si>
  <si>
    <t>REQ-0732966</t>
  </si>
  <si>
    <t>INFO_CLUSTER_SIZE_DIVERSITY
Att_var@ HMI.CLUSTER_SIZE</t>
  </si>
  <si>
    <t>REQ-0732967</t>
  </si>
  <si>
    <t>The following HMI flow is managed as below_x000D_
 INFO_CLUSTER_SIZE_DIVERSITY= DAT_DG_LVDS_CLUSTER_SIZE_DIVERSITY
Att_var@ CLUSTER_SIZE</t>
  </si>
  <si>
    <t>REQ-0846288</t>
  </si>
  <si>
    <t>DAT_LI_LVDS_IMAGE_CLUSTER_PARALLAXED
(IMAGE_CLUSTER_PARALLAXED)
Att_var@ LVDS3.LVDS_IN.IMAGE_CLUSTER</t>
  </si>
  <si>
    <t>REQ-0846289</t>
  </si>
  <si>
    <t>DAT_LI_LVDS_IMAGE_SECONDARY_CLUSTER_PARALLAXED
(IMAGE_SECONDARY_CLUSTER_PARALLAXED)
Att_var@ LVDS4.LVDS_IN.IMAGE_CLUSTER.CLUSTER_3D</t>
  </si>
  <si>
    <t>REQ-0846291</t>
  </si>
  <si>
    <t>INFO_LVDS_IMAGE_CLUSTER_PARALLAXED
(GPS_IMAGE_CLUSTER)
Att_var@ HMI.IMAGE_CLUSTER</t>
  </si>
  <si>
    <t>REQ-0846292</t>
  </si>
  <si>
    <t>INFO_LVDS_IMAGE_SECONDARY_CLUSTER_PARALLAXED
(GPS_SECONDARY_IMAGE_CLUSTER)
Att_var@ HMI.IMAGE_CLUSTER.CLUSTER_3D</t>
  </si>
  <si>
    <t>REQ-0846296</t>
  </si>
  <si>
    <t>REQ-0846300</t>
  </si>
  <si>
    <t>IF_x000D_
DAT_LI_CLUSTER_ENABLE = ACTIVATED_x000D_
THEN_x000D_
The received image DAT_LI_LVDS_IMAGE_CLUSTER_PARALLAXED is displayed to the user on the display cluster primary plan. _x000D_
INFO_LVDS_IMAGE_CLUSTER_PARALLAXED = DAT_LI_LVDS_IMAGE_CLUSTER_PARALLAXED
Att_var@ IMAGE_CLUSTER</t>
  </si>
  <si>
    <t>REQ-0846301</t>
  </si>
  <si>
    <t>IF_x000D_
DAT_LI_CLUSTER_ENABLE = ACTIVATED_x000D_
THEN_x000D_
The received image DAT_LI_LVDS_IMAGE_SECONDARY_CLUSTER_PARALLAXED is displayed to the user on the display cluster secondary plan. _x000D_
INFO_LVDS_IMAGE_SECONDARY_CLUSTER_PARALLAXED = DAT_LI_LVDS_IMAGE_SECONDARY_CLUSTER_PARALLAXED
Att_var@ IMAGE_CLUSTER.CLUSTER_3D</t>
  </si>
  <si>
    <t>REQ-0543223</t>
  </si>
  <si>
    <t>When the value is updated, the new OFFSET can be applied in a duration up to 5 seconds maximum.
Att_var@ MASTER.CLUSTER_OFFSET</t>
  </si>
  <si>
    <t>REQ-0485876</t>
  </si>
  <si>
    <t>DAT_DG_T_DELAY_VIDEO_1
(NoUpstreamRequest)
Att_var@ DIAG_RW.MASTER</t>
  </si>
  <si>
    <t>REQ-0485877</t>
  </si>
  <si>
    <t>DAT_DG_T_DELAY_VIDEO_2
(NoUpstreamRequest)
Att_var@ DIAG_RW.MASTER</t>
  </si>
  <si>
    <t>REQ-0485878</t>
  </si>
  <si>
    <t>DAT_DG_T_DELAY_VIDEO_3
(NoUpstreamRequest)
Att_var@ DIAG_RW.MASTER</t>
  </si>
  <si>
    <t>REQ-0485879</t>
  </si>
  <si>
    <t>DAT_DG_T_DELAY_VIDEO_4
(NoUpstreamRequest)
Att_var@ DIAG_RW.MASTER</t>
  </si>
  <si>
    <t>REQ-0485880</t>
  </si>
  <si>
    <t>DAT_DG_T_DELAY_LVDS_MASTER_IN
(NoUpstreamRequest)
Att_var@ DIAG_RW.MASTER</t>
  </si>
  <si>
    <t>REQ-0485882</t>
  </si>
  <si>
    <t>DAT_DG_T_DELAY_LVDS_MASTER_1
(NoUpstreamRequest)
Att_var@ DIAG_RW.MASTER</t>
  </si>
  <si>
    <t>REQ-0485883</t>
  </si>
  <si>
    <t>DAT_DG_T_DELAY_LVDS_MASTER_2
(NoUpstreamRequest)
Att_var@ DIAG_RW.MASTER</t>
  </si>
  <si>
    <t>REQ-0485884</t>
  </si>
  <si>
    <t>DAT_DG_T_DELAY_LVDS_MASTER_3
(NoUpstreamRequest)
Att_var@ DIAG_RW.MASTER</t>
  </si>
  <si>
    <t>REQ-0485885</t>
  </si>
  <si>
    <t>DAT_DG_T_DELAY_LVDS_MASTER_4
(NoUpstreamRequest)
Att_var@ DIAG_RW.MASTER</t>
  </si>
  <si>
    <t>REQ-0315538</t>
  </si>
  <si>
    <t>The system doesn't emit on the network, different frames that those defined in the TS ECU messaging [MESSAGERIE_LVDSbd]
Att_var@ MASTER+MASTER_CLUSTER+SLAVE</t>
  </si>
  <si>
    <t>REQ-0315541</t>
  </si>
  <si>
    <t>LVDS Low layers Master ECU node for each LVDS_OUT_X (X=1 to 4): _x000D_
Case 1 :Slave  Power supply managed by the command CMD_+LVDS_x000D_
Schedule table_x000D_
B- Degraded CMDE frames_x000D_
C- CMDE frames _x000D_
B’ - T_delay_LVDS_Master_X_x000D_
CMD_+LVDS activation command_x000D_
D- Video stream_x000D_
B’’ - T_delay_Video_X_x000D_
A’- T_init_LVDS_Slave_x000D_
E- Time for video stream to be available (Managed internally by IVI, which is of the supplier responsibility and is not a PSA constraint)_x000D_
A-T_init_LVDS_Master_x000D_
Local wake up event_x000D_
                                   _x000D_
                                            T0_x000D_
Case 2 : Slave Power supply by +CAN,+BAT_x000D_
Schedule table_x000D_
B- Degraded CMDE frames_x000D_
C- CMDE frames _x000D_
B’ - T_delay_LVDS_Master_X_x000D_
Power supply_x000D_
By +CAN, +Bat, … of the slave_x000D_
D- Video stream_x000D_
B’’ - T_delay_Video_X_x000D_
A’- T_init_LVDS_Slave_x000D_
E- Time for video stream to be available _x000D_
(Managed internally by IVI, which is of the supplier responsibility and is not a PSA constraint)_x000D_
A-T_init_LVDS_Master_x000D_
Local wake up event_x000D_
                                                             T0_x000D_
Caption:_x000D_
IVI sequence diagram_x000D_
LVDS Slave ECU node sequence diagram_x000D_
Nota 1: T_init_LVDS_Slave, can start before or after T_init_LVDS_Master in case of a slave power supply by +CAN,+BAT … ._x000D_
Nota 2: T_init_LVDS_Slave, T_init_LVDS_master and T_delay_LVDS_Master_X are defined in the Technical Specification_x000D_
Domain  [LVDS_BIDIR_LP]_x000D_
Nota 3: The Schedule table is specified in the document [LVDSbd4].
Att_var@ MASTER+MASTER_CLUSTER</t>
  </si>
  <si>
    <t>REQ-0485887</t>
  </si>
  <si>
    <t>For Each LVDS_OUT_X (X=1 to 4) _x000D_
AFTER the two delays T_init_LVDS_master  and T_delay_LVDS_Master_X _x000D_
THEN_x000D_
          The ECU shall transmit the schedule table (Only CMDE frames to disable the screen display). The parameters of the CMDE frames shall take «PROD_INIT» values defined in the document [MESSAGERIE_LVDS]._x000D_
Nota 1: The degraded Schedule table is specified in the document [LVDSbd4].
Att_var@ MASTER+MASTER_CLUSTER</t>
  </si>
  <si>
    <t>REQ-0485888</t>
  </si>
  <si>
    <t>For each LVDS_OUT_X (X=1 to 4)_x000D_
AFTER the delay T_DELAY_VIDEO_X AND IF the video stream is available_x000D_
THEN _x000D_
            The ECU shall send the video signal.
Att_var@ MASTER+MASTER_CLUSTER</t>
  </si>
  <si>
    <t>REQ-0497856</t>
  </si>
  <si>
    <t>I</t>
  </si>
  <si>
    <t>Deleted Requirement
Att_var@ NULL</t>
  </si>
  <si>
    <t xml:space="preserve">01843_23_00371_v43_RSP-0001245_FCT_GEN_CD_LVDS_BIDIR_NETWORK_EN.docx </t>
  </si>
  <si>
    <t>DM17F (CD LVDS)</t>
  </si>
  <si>
    <t>1.0</t>
  </si>
  <si>
    <t>CCB_BRAIN_0060_A_00 : Pack RFQ v1 DM17F
- DM17F</t>
  </si>
  <si>
    <r>
      <t>Nom/</t>
    </r>
    <r>
      <rPr>
        <sz val="10"/>
        <color indexed="12"/>
        <rFont val="Arial"/>
        <family val="2"/>
      </rPr>
      <t>Name</t>
    </r>
    <r>
      <rPr>
        <sz val="10"/>
        <rFont val="Arial"/>
        <family val="2"/>
      </rPr>
      <t xml:space="preserve"> : SOUAD NISSABOURI </t>
    </r>
  </si>
  <si>
    <r>
      <t>Nom/</t>
    </r>
    <r>
      <rPr>
        <sz val="10"/>
        <color indexed="12"/>
        <rFont val="Arial"/>
        <family val="2"/>
      </rPr>
      <t>Name</t>
    </r>
    <r>
      <rPr>
        <sz val="10"/>
        <rFont val="Arial"/>
        <family val="2"/>
      </rPr>
      <t xml:space="preserve"> : Melissa BONNARDEL</t>
    </r>
  </si>
  <si>
    <r>
      <t>Nom/</t>
    </r>
    <r>
      <rPr>
        <sz val="10"/>
        <color indexed="12"/>
        <rFont val="Arial"/>
        <family val="2"/>
      </rPr>
      <t>Name</t>
    </r>
    <r>
      <rPr>
        <sz val="10"/>
        <rFont val="Arial"/>
        <family val="2"/>
      </rPr>
      <t xml:space="preserve"> : SEBASTIEN WEBER</t>
    </r>
  </si>
  <si>
    <t>01843_25_00536</t>
  </si>
  <si>
    <r>
      <t xml:space="preserve">Dates figeage spécifications
</t>
    </r>
    <r>
      <rPr>
        <b/>
        <sz val="10"/>
        <color rgb="FF0000FF"/>
        <rFont val="Arial"/>
        <family val="2"/>
      </rPr>
      <t>Frozen dates specification</t>
    </r>
  </si>
  <si>
    <r>
      <t>Entité/</t>
    </r>
    <r>
      <rPr>
        <sz val="10"/>
        <color indexed="12"/>
        <rFont val="Arial"/>
        <family val="2"/>
      </rPr>
      <t>Entity</t>
    </r>
    <r>
      <rPr>
        <sz val="10"/>
        <rFont val="Arial"/>
        <family val="2"/>
      </rPr>
      <t xml:space="preserve"> :</t>
    </r>
    <r>
      <rPr>
        <b/>
        <sz val="10"/>
        <rFont val="Arial"/>
        <family val="2"/>
      </rPr>
      <t xml:space="preserve"> </t>
    </r>
    <r>
      <rPr>
        <sz val="10"/>
        <rFont val="Arial"/>
        <family val="2"/>
      </rPr>
      <t>EXE/PDT/SWE/CKPT/CIDI</t>
    </r>
  </si>
  <si>
    <r>
      <t>Entité/</t>
    </r>
    <r>
      <rPr>
        <sz val="10"/>
        <color indexed="12"/>
        <rFont val="Arial"/>
        <family val="2"/>
      </rPr>
      <t>Entity</t>
    </r>
    <r>
      <rPr>
        <sz val="10"/>
        <rFont val="Arial"/>
        <family val="2"/>
      </rPr>
      <t xml:space="preserve"> :</t>
    </r>
    <r>
      <rPr>
        <b/>
        <sz val="10"/>
        <rFont val="Arial"/>
        <family val="2"/>
      </rPr>
      <t xml:space="preserve"> </t>
    </r>
    <r>
      <rPr>
        <sz val="10"/>
        <rFont val="Arial"/>
        <family val="2"/>
      </rPr>
      <t>EXE/PDT/SWE/CKPT/CIDI/DICD</t>
    </r>
  </si>
  <si>
    <t>flow fusa state</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</si>
</sst>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71" x14ac:knownFonts="1">
    <font>
      <sz val="10"/>
      <name val="Arial"/>
    </font>
    <font>
      <sz val="11"/>
      <color theme="1"/>
      <name val="宋体"/>
      <family val="2"/>
      <scheme val="minor"/>
    </font>
    <font>
      <sz val="10"/>
      <name val="Arial"/>
      <family val="2"/>
    </font>
    <font>
      <sz val="10"/>
      <name val="Arial"/>
      <family val="2"/>
    </font>
    <font>
      <sz val="8"/>
      <name val="Arial"/>
      <family val="2"/>
    </font>
    <font>
      <b/>
      <sz val="10"/>
      <name val="Arial"/>
      <family val="2"/>
    </font>
    <font>
      <u/>
      <sz val="10"/>
      <color indexed="12"/>
      <name val="Arial"/>
      <family val="2"/>
    </font>
    <font>
      <b/>
      <sz val="10"/>
      <name val="Arial"/>
      <family val="2"/>
    </font>
    <font>
      <sz val="9"/>
      <name val="Arial"/>
      <family val="2"/>
    </font>
    <font>
      <b/>
      <sz val="9"/>
      <name val="Arial"/>
      <family val="2"/>
    </font>
    <font>
      <b/>
      <sz val="9"/>
      <color indexed="12"/>
      <name val="Arial"/>
      <family val="2"/>
    </font>
    <font>
      <sz val="10"/>
      <color indexed="12"/>
      <name val="Arial"/>
      <family val="2"/>
    </font>
    <font>
      <b/>
      <sz val="10"/>
      <color indexed="12"/>
      <name val="Arial"/>
      <family val="2"/>
    </font>
    <font>
      <i/>
      <sz val="10"/>
      <name val="Arial"/>
      <family val="2"/>
    </font>
    <font>
      <i/>
      <sz val="10"/>
      <name val="Arial"/>
      <family val="2"/>
    </font>
    <font>
      <sz val="10"/>
      <color indexed="10"/>
      <name val="Arial"/>
      <family val="2"/>
    </font>
    <font>
      <b/>
      <sz val="12"/>
      <name val="Arial"/>
      <family val="2"/>
    </font>
    <font>
      <u/>
      <sz val="10"/>
      <name val="Arial"/>
      <family val="2"/>
    </font>
    <font>
      <b/>
      <i/>
      <sz val="14"/>
      <name val="Arial"/>
      <family val="2"/>
    </font>
    <font>
      <sz val="10"/>
      <name val="Arial"/>
      <family val="2"/>
      <charset val="178"/>
    </font>
    <font>
      <i/>
      <sz val="10"/>
      <color indexed="12"/>
      <name val="Arial"/>
      <family val="2"/>
    </font>
    <font>
      <b/>
      <i/>
      <sz val="10"/>
      <color indexed="12"/>
      <name val="Arial"/>
      <family val="2"/>
    </font>
    <font>
      <b/>
      <sz val="9"/>
      <color indexed="10"/>
      <name val="Arial"/>
      <family val="2"/>
    </font>
    <font>
      <sz val="9"/>
      <color indexed="10"/>
      <name val="Arial"/>
      <family val="2"/>
    </font>
    <font>
      <b/>
      <sz val="9"/>
      <color indexed="8"/>
      <name val="Arial"/>
      <family val="2"/>
    </font>
    <font>
      <sz val="8"/>
      <color indexed="8"/>
      <name val="Arial"/>
      <family val="2"/>
    </font>
    <font>
      <b/>
      <sz val="8"/>
      <color indexed="8"/>
      <name val="Arial"/>
      <family val="2"/>
    </font>
    <font>
      <b/>
      <sz val="8.5"/>
      <color indexed="8"/>
      <name val="Arial"/>
      <family val="2"/>
    </font>
    <font>
      <b/>
      <sz val="10"/>
      <color indexed="22"/>
      <name val="Arial"/>
      <family val="2"/>
    </font>
    <font>
      <sz val="10"/>
      <color indexed="22"/>
      <name val="Arial"/>
      <family val="2"/>
    </font>
    <font>
      <b/>
      <u/>
      <sz val="10"/>
      <name val="Arial"/>
      <family val="2"/>
    </font>
    <font>
      <sz val="7"/>
      <name val="Arial"/>
      <family val="2"/>
    </font>
    <font>
      <b/>
      <u/>
      <sz val="10"/>
      <color indexed="12"/>
      <name val="Arial"/>
      <family val="2"/>
    </font>
    <font>
      <b/>
      <sz val="14"/>
      <name val="Arial"/>
      <family val="2"/>
    </font>
    <font>
      <sz val="8"/>
      <name val="Arial"/>
      <family val="2"/>
    </font>
    <font>
      <b/>
      <sz val="8"/>
      <name val="Arial"/>
      <family val="2"/>
    </font>
    <font>
      <sz val="7"/>
      <name val="Arial Narrow"/>
      <family val="2"/>
    </font>
    <font>
      <sz val="7"/>
      <name val="Arial"/>
      <family val="2"/>
    </font>
    <font>
      <b/>
      <i/>
      <sz val="14"/>
      <color indexed="12"/>
      <name val="Arial"/>
      <family val="2"/>
    </font>
    <font>
      <b/>
      <sz val="10"/>
      <color indexed="10"/>
      <name val="Arial"/>
      <family val="2"/>
    </font>
    <font>
      <b/>
      <sz val="14"/>
      <color indexed="10"/>
      <name val="Arial"/>
      <family val="2"/>
    </font>
    <font>
      <sz val="8"/>
      <color indexed="12"/>
      <name val="Arial"/>
      <family val="2"/>
    </font>
    <font>
      <b/>
      <sz val="8"/>
      <color indexed="12"/>
      <name val="Arial"/>
      <family val="2"/>
    </font>
    <font>
      <sz val="7"/>
      <color indexed="12"/>
      <name val="Arial Narrow"/>
      <family val="2"/>
    </font>
    <font>
      <sz val="9"/>
      <color indexed="12"/>
      <name val="Arial"/>
      <family val="2"/>
    </font>
    <font>
      <sz val="10"/>
      <name val="Arial"/>
      <family val="2"/>
    </font>
    <font>
      <b/>
      <sz val="10"/>
      <name val="Arial"/>
      <family val="2"/>
    </font>
    <font>
      <u/>
      <sz val="10"/>
      <color indexed="12"/>
      <name val="Arial"/>
      <family val="2"/>
    </font>
    <font>
      <sz val="8"/>
      <name val="Tahoma"/>
      <family val="2"/>
    </font>
    <font>
      <sz val="11"/>
      <color theme="1"/>
      <name val="宋体"/>
      <family val="2"/>
      <scheme val="minor"/>
    </font>
    <font>
      <sz val="11"/>
      <color rgb="FFFF0000"/>
      <name val="宋体"/>
      <family val="2"/>
      <scheme val="minor"/>
    </font>
    <font>
      <b/>
      <sz val="11"/>
      <color theme="1"/>
      <name val="宋体"/>
      <family val="2"/>
      <scheme val="minor"/>
    </font>
    <font>
      <b/>
      <sz val="11"/>
      <color rgb="FFFF0000"/>
      <name val="宋体"/>
      <family val="2"/>
      <scheme val="minor"/>
    </font>
    <font>
      <b/>
      <i/>
      <sz val="11"/>
      <color theme="1"/>
      <name val="宋体"/>
      <family val="2"/>
      <scheme val="minor"/>
    </font>
    <font>
      <b/>
      <sz val="11"/>
      <name val="宋体"/>
      <family val="2"/>
      <scheme val="minor"/>
    </font>
    <font>
      <b/>
      <sz val="11"/>
      <color rgb="FF00B050"/>
      <name val="宋体"/>
      <family val="2"/>
      <scheme val="minor"/>
    </font>
    <font>
      <sz val="10"/>
      <color rgb="FFFF0000"/>
      <name val="Arial"/>
      <family val="2"/>
    </font>
    <font>
      <sz val="10"/>
      <name val="Arial"/>
      <family val="2"/>
    </font>
    <font>
      <sz val="11"/>
      <name val="Calibri"/>
      <family val="2"/>
    </font>
    <font>
      <sz val="17"/>
      <name val="Calibri"/>
      <family val="2"/>
    </font>
    <font>
      <sz val="10"/>
      <color rgb="FF808080"/>
      <name val="Calibri"/>
      <family val="2"/>
    </font>
    <font>
      <b/>
      <sz val="16"/>
      <color rgb="FF17365D"/>
      <name val="Calibri"/>
      <family val="2"/>
    </font>
    <font>
      <b/>
      <i/>
      <sz val="11"/>
      <name val="Calibri"/>
      <family val="2"/>
    </font>
    <font>
      <b/>
      <sz val="13"/>
      <color rgb="FF366092"/>
      <name val="Calibri"/>
      <family val="2"/>
    </font>
    <font>
      <b/>
      <sz val="11"/>
      <color rgb="FF366092"/>
      <name val="Calibri"/>
      <family val="2"/>
    </font>
    <font>
      <sz val="11"/>
      <color rgb="FF000000"/>
      <name val="Calibri"/>
      <family val="2"/>
    </font>
    <font>
      <i/>
      <sz val="11"/>
      <color rgb="FF000000"/>
      <name val="Calibri"/>
      <family val="2"/>
    </font>
    <font>
      <i/>
      <sz val="11"/>
      <name val="Calibri"/>
      <family val="2"/>
    </font>
    <font>
      <sz val="10"/>
      <name val="Arial"/>
      <family val="2"/>
    </font>
    <font>
      <b/>
      <sz val="10"/>
      <color rgb="FF0000FF"/>
      <name val="Arial"/>
      <family val="2"/>
    </font>
    <font>
      <sz val="9"/>
      <name val="宋体"/>
      <family val="3"/>
      <charset val="134"/>
    </font>
  </fonts>
  <fills count="2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
      <patternFill patternType="solid">
        <fgColor indexed="47"/>
        <bgColor indexed="64"/>
      </patternFill>
    </fill>
    <fill>
      <patternFill patternType="solid">
        <fgColor indexed="51"/>
        <bgColor indexed="64"/>
      </patternFill>
    </fill>
    <fill>
      <patternFill patternType="solid">
        <fgColor indexed="45"/>
        <bgColor indexed="64"/>
      </patternFill>
    </fill>
    <fill>
      <patternFill patternType="solid">
        <fgColor indexed="4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8" tint="0.79998168889431442"/>
        <bgColor indexed="64"/>
      </patternFill>
    </fill>
    <fill>
      <patternFill patternType="solid">
        <fgColor rgb="FFFFFFE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A3A3A3"/>
      </left>
      <right style="medium">
        <color rgb="FFA3A3A3"/>
      </right>
      <top style="medium">
        <color rgb="FFA3A3A3"/>
      </top>
      <bottom style="medium">
        <color rgb="FFA3A3A3"/>
      </bottom>
      <diagonal/>
    </border>
    <border>
      <left style="thin">
        <color rgb="FFD3D3D3"/>
      </left>
      <right style="thin">
        <color rgb="FFD3D3D3"/>
      </right>
      <top style="thin">
        <color rgb="FFD3D3D3"/>
      </top>
      <bottom style="thin">
        <color rgb="FFD3D3D3"/>
      </bottom>
      <diagonal/>
    </border>
  </borders>
  <cellStyleXfs count="32">
    <xf numFmtId="0" fontId="0" fillId="0" borderId="0"/>
    <xf numFmtId="0" fontId="7" fillId="0" borderId="0" applyNumberFormat="0" applyFill="0" applyBorder="0" applyAlignment="0" applyProtection="0"/>
    <xf numFmtId="0" fontId="13" fillId="0" borderId="0" applyNumberFormat="0" applyFill="0" applyBorder="0" applyAlignment="0" applyProtection="0"/>
    <xf numFmtId="0" fontId="2" fillId="0" borderId="1"/>
    <xf numFmtId="0" fontId="45" fillId="0" borderId="1"/>
    <xf numFmtId="0" fontId="6" fillId="0" borderId="0" applyNumberFormat="0" applyFill="0" applyBorder="0" applyAlignment="0" applyProtection="0">
      <alignment vertical="top"/>
      <protection locked="0"/>
    </xf>
    <xf numFmtId="0" fontId="47" fillId="0" borderId="0" applyNumberFormat="0" applyFill="0" applyBorder="0" applyAlignment="0" applyProtection="0">
      <alignment vertical="top"/>
      <protection locked="0"/>
    </xf>
    <xf numFmtId="0" fontId="49" fillId="0" borderId="0"/>
    <xf numFmtId="0" fontId="3" fillId="0" borderId="0"/>
    <xf numFmtId="0" fontId="3" fillId="0" borderId="0"/>
    <xf numFmtId="0" fontId="16" fillId="0" borderId="0">
      <alignment horizontal="center"/>
    </xf>
    <xf numFmtId="0" fontId="16" fillId="0" borderId="0"/>
    <xf numFmtId="0" fontId="5" fillId="0" borderId="0"/>
    <xf numFmtId="0" fontId="17" fillId="0" borderId="0"/>
    <xf numFmtId="0" fontId="2" fillId="0" borderId="0"/>
    <xf numFmtId="0" fontId="45" fillId="0" borderId="0"/>
    <xf numFmtId="0" fontId="2" fillId="0" borderId="0"/>
    <xf numFmtId="0" fontId="45" fillId="0" borderId="0"/>
    <xf numFmtId="0" fontId="2" fillId="0" borderId="0"/>
    <xf numFmtId="0" fontId="45" fillId="0" borderId="0"/>
    <xf numFmtId="0" fontId="2" fillId="0" borderId="0"/>
    <xf numFmtId="0" fontId="45" fillId="0" borderId="0"/>
    <xf numFmtId="0" fontId="2" fillId="0" borderId="0"/>
    <xf numFmtId="0" fontId="45" fillId="0" borderId="0"/>
    <xf numFmtId="0" fontId="2" fillId="0" borderId="0"/>
    <xf numFmtId="0" fontId="45" fillId="0" borderId="0"/>
    <xf numFmtId="0" fontId="5" fillId="0" borderId="1"/>
    <xf numFmtId="0" fontId="18" fillId="0" borderId="2"/>
    <xf numFmtId="0" fontId="1" fillId="0" borderId="0"/>
    <xf numFmtId="9" fontId="57" fillId="0" borderId="0" applyFont="0" applyFill="0" applyBorder="0" applyAlignment="0" applyProtection="0"/>
    <xf numFmtId="49" fontId="68" fillId="22" borderId="29" applyAlignment="0" applyProtection="0"/>
    <xf numFmtId="0" fontId="2" fillId="0" borderId="0"/>
  </cellStyleXfs>
  <cellXfs count="343">
    <xf numFmtId="0" fontId="0" fillId="0" borderId="0" xfId="0"/>
    <xf numFmtId="0" fontId="3" fillId="3" borderId="16" xfId="0" applyFont="1" applyFill="1" applyBorder="1" applyAlignment="1">
      <alignment horizontal="center" vertical="top" wrapText="1"/>
    </xf>
    <xf numFmtId="0" fontId="3" fillId="3" borderId="1" xfId="0" applyFont="1" applyFill="1" applyBorder="1" applyAlignment="1">
      <alignment horizontal="center" vertical="center" wrapText="1"/>
    </xf>
    <xf numFmtId="0" fontId="0" fillId="2" borderId="0" xfId="0" applyFill="1" applyBorder="1"/>
    <xf numFmtId="0" fontId="0" fillId="3" borderId="0" xfId="0" applyFill="1"/>
    <xf numFmtId="0" fontId="0" fillId="2" borderId="0" xfId="0" applyFill="1"/>
    <xf numFmtId="0" fontId="19" fillId="0" borderId="0" xfId="0" applyFont="1"/>
    <xf numFmtId="0" fontId="6" fillId="0" borderId="0" xfId="5" applyBorder="1" applyAlignment="1" applyProtection="1">
      <alignment horizontal="left" vertical="center" wrapText="1"/>
    </xf>
    <xf numFmtId="0" fontId="8" fillId="0" borderId="3" xfId="0"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Fill="1" applyBorder="1" applyAlignment="1">
      <alignment horizontal="left" vertical="center" wrapText="1"/>
    </xf>
    <xf numFmtId="0" fontId="8" fillId="0" borderId="0" xfId="0" applyFont="1" applyAlignment="1">
      <alignment horizontal="left" vertical="center" wrapText="1"/>
    </xf>
    <xf numFmtId="0" fontId="8" fillId="0" borderId="0" xfId="0" applyFont="1" applyBorder="1" applyAlignment="1">
      <alignment horizontal="center" vertical="center" wrapText="1"/>
    </xf>
    <xf numFmtId="0" fontId="19" fillId="5" borderId="0" xfId="0" applyFont="1" applyFill="1"/>
    <xf numFmtId="0" fontId="14" fillId="5" borderId="0" xfId="0" applyFont="1" applyFill="1"/>
    <xf numFmtId="14" fontId="24" fillId="3" borderId="1" xfId="0" applyNumberFormat="1" applyFont="1" applyFill="1" applyBorder="1" applyAlignment="1">
      <alignment horizontal="center" vertical="center" wrapText="1"/>
    </xf>
    <xf numFmtId="0" fontId="23" fillId="0" borderId="0" xfId="0" applyFont="1" applyFill="1" applyBorder="1" applyAlignment="1">
      <alignment vertical="center"/>
    </xf>
    <xf numFmtId="0" fontId="27" fillId="3" borderId="1" xfId="0" applyFont="1" applyFill="1" applyBorder="1" applyAlignment="1">
      <alignment horizontal="center" vertical="center" wrapText="1"/>
    </xf>
    <xf numFmtId="0" fontId="27" fillId="3" borderId="4" xfId="0" applyFont="1" applyFill="1" applyBorder="1" applyAlignment="1">
      <alignment horizontal="center" vertical="center" wrapText="1"/>
    </xf>
    <xf numFmtId="0" fontId="22" fillId="0" borderId="0" xfId="0" applyFont="1" applyFill="1" applyBorder="1" applyAlignment="1">
      <alignment vertical="center"/>
    </xf>
    <xf numFmtId="0" fontId="8" fillId="0" borderId="0" xfId="0" applyFont="1" applyBorder="1" applyAlignment="1">
      <alignment vertical="center"/>
    </xf>
    <xf numFmtId="0" fontId="8" fillId="0" borderId="0" xfId="0" applyFont="1" applyFill="1" applyBorder="1" applyAlignment="1">
      <alignment horizontal="center" vertical="center"/>
    </xf>
    <xf numFmtId="0" fontId="8" fillId="0" borderId="0" xfId="0" applyFont="1" applyFill="1" applyBorder="1" applyAlignment="1">
      <alignment horizontal="right" vertical="center"/>
    </xf>
    <xf numFmtId="0" fontId="8" fillId="0" borderId="0" xfId="0" applyFont="1" applyAlignment="1">
      <alignment vertical="center"/>
    </xf>
    <xf numFmtId="0" fontId="27" fillId="0" borderId="0" xfId="0" applyFont="1" applyFill="1" applyBorder="1" applyAlignment="1">
      <alignment horizontal="center" vertical="center" wrapText="1"/>
    </xf>
    <xf numFmtId="0" fontId="25" fillId="0" borderId="0" xfId="0" applyFont="1" applyFill="1" applyBorder="1" applyAlignment="1">
      <alignment vertical="center"/>
    </xf>
    <xf numFmtId="0" fontId="26" fillId="0" borderId="0" xfId="0" applyFont="1" applyFill="1" applyBorder="1" applyAlignment="1">
      <alignment vertical="center"/>
    </xf>
    <xf numFmtId="0" fontId="19" fillId="0" borderId="0" xfId="0" applyFont="1" applyAlignment="1">
      <alignment wrapText="1"/>
    </xf>
    <xf numFmtId="14" fontId="24" fillId="3" borderId="1" xfId="0" applyNumberFormat="1" applyFont="1" applyFill="1" applyBorder="1" applyAlignment="1">
      <alignment vertical="center"/>
    </xf>
    <xf numFmtId="0" fontId="8" fillId="0" borderId="1" xfId="0" applyFont="1" applyBorder="1" applyAlignment="1">
      <alignment horizontal="left" vertical="center"/>
    </xf>
    <xf numFmtId="0" fontId="20" fillId="2" borderId="0" xfId="0" applyFont="1" applyFill="1" applyBorder="1" applyAlignment="1">
      <alignment horizontal="center" vertical="center"/>
    </xf>
    <xf numFmtId="0" fontId="0" fillId="2" borderId="0" xfId="0" applyFill="1" applyBorder="1" applyAlignment="1"/>
    <xf numFmtId="0" fontId="31" fillId="2" borderId="0" xfId="0" applyFont="1" applyFill="1" applyBorder="1" applyAlignment="1">
      <alignment vertical="top" wrapText="1"/>
    </xf>
    <xf numFmtId="0" fontId="3" fillId="2" borderId="0" xfId="0" applyFont="1" applyFill="1" applyBorder="1" applyAlignment="1">
      <alignment vertical="top" wrapText="1"/>
    </xf>
    <xf numFmtId="0" fontId="0" fillId="2" borderId="6" xfId="0" applyFill="1" applyBorder="1"/>
    <xf numFmtId="0" fontId="0" fillId="2" borderId="3" xfId="0" applyFill="1" applyBorder="1"/>
    <xf numFmtId="0" fontId="0" fillId="2" borderId="7" xfId="0" applyFill="1" applyBorder="1"/>
    <xf numFmtId="0" fontId="0" fillId="2" borderId="8" xfId="0" applyFill="1" applyBorder="1" applyAlignment="1"/>
    <xf numFmtId="0" fontId="31" fillId="2" borderId="8" xfId="0" applyFont="1" applyFill="1" applyBorder="1" applyAlignment="1">
      <alignment vertical="top" wrapText="1"/>
    </xf>
    <xf numFmtId="0" fontId="15" fillId="2" borderId="5" xfId="0" applyFont="1" applyFill="1" applyBorder="1" applyAlignment="1">
      <alignment horizontal="center"/>
    </xf>
    <xf numFmtId="0" fontId="0" fillId="2" borderId="9" xfId="0" applyFill="1" applyBorder="1" applyAlignment="1"/>
    <xf numFmtId="0" fontId="1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49" fontId="34" fillId="2" borderId="0" xfId="0" applyNumberFormat="1" applyFont="1" applyFill="1" applyBorder="1" applyAlignment="1">
      <alignment horizontal="center" vertical="center" wrapText="1"/>
    </xf>
    <xf numFmtId="0" fontId="35" fillId="2" borderId="0" xfId="0" applyFont="1" applyFill="1" applyBorder="1" applyAlignment="1">
      <alignment horizontal="center" vertical="center" wrapText="1"/>
    </xf>
    <xf numFmtId="49" fontId="9" fillId="2" borderId="0" xfId="0" applyNumberFormat="1" applyFont="1" applyFill="1" applyBorder="1" applyAlignment="1">
      <alignment horizontal="center" vertical="center" wrapText="1"/>
    </xf>
    <xf numFmtId="0" fontId="34"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34" fillId="4" borderId="1" xfId="0" applyFont="1" applyFill="1" applyBorder="1" applyAlignment="1">
      <alignment horizontal="center" vertical="center" wrapText="1"/>
    </xf>
    <xf numFmtId="49" fontId="34" fillId="4" borderId="1" xfId="0" applyNumberFormat="1" applyFont="1" applyFill="1" applyBorder="1" applyAlignment="1">
      <alignment horizontal="center" vertical="center" wrapText="1"/>
    </xf>
    <xf numFmtId="49" fontId="9" fillId="4" borderId="1" xfId="0" applyNumberFormat="1" applyFont="1" applyFill="1" applyBorder="1" applyAlignment="1">
      <alignment horizontal="center" vertical="center" wrapText="1"/>
    </xf>
    <xf numFmtId="0" fontId="3" fillId="2" borderId="4" xfId="0" applyFont="1" applyFill="1" applyBorder="1" applyAlignment="1">
      <alignment vertical="top" wrapText="1"/>
    </xf>
    <xf numFmtId="0" fontId="3" fillId="2" borderId="10" xfId="0" applyFont="1" applyFill="1" applyBorder="1" applyAlignment="1">
      <alignment vertical="top" wrapText="1"/>
    </xf>
    <xf numFmtId="0" fontId="3" fillId="2" borderId="11" xfId="0" applyFont="1" applyFill="1" applyBorder="1" applyAlignment="1">
      <alignment vertical="top" wrapText="1"/>
    </xf>
    <xf numFmtId="0" fontId="3" fillId="0" borderId="10" xfId="0" applyFont="1" applyBorder="1" applyAlignment="1">
      <alignment vertical="top" wrapText="1"/>
    </xf>
    <xf numFmtId="0" fontId="3" fillId="0" borderId="0" xfId="0" applyFont="1" applyBorder="1" applyAlignment="1">
      <alignment vertical="top" wrapText="1"/>
    </xf>
    <xf numFmtId="0" fontId="3" fillId="2" borderId="6" xfId="0" applyFont="1" applyFill="1" applyBorder="1" applyAlignment="1">
      <alignment vertical="top" wrapText="1"/>
    </xf>
    <xf numFmtId="0" fontId="3" fillId="2" borderId="5" xfId="0" applyFont="1" applyFill="1" applyBorder="1" applyAlignment="1">
      <alignment vertical="top" wrapText="1"/>
    </xf>
    <xf numFmtId="0" fontId="3" fillId="2" borderId="9" xfId="0" applyFont="1" applyFill="1" applyBorder="1" applyAlignment="1">
      <alignment vertical="top" wrapText="1"/>
    </xf>
    <xf numFmtId="0" fontId="3" fillId="2" borderId="3" xfId="0" applyFont="1" applyFill="1" applyBorder="1" applyAlignment="1">
      <alignment vertical="top" wrapText="1"/>
    </xf>
    <xf numFmtId="0" fontId="3" fillId="2" borderId="12" xfId="0" applyFont="1" applyFill="1" applyBorder="1" applyAlignment="1">
      <alignment vertical="top" wrapText="1"/>
    </xf>
    <xf numFmtId="0" fontId="5" fillId="3" borderId="0" xfId="0" applyFont="1" applyFill="1" applyBorder="1" applyAlignment="1">
      <alignment vertical="center" wrapText="1"/>
    </xf>
    <xf numFmtId="0" fontId="3" fillId="3" borderId="0" xfId="0" applyFont="1" applyFill="1" applyBorder="1" applyAlignment="1">
      <alignment vertical="center" wrapText="1"/>
    </xf>
    <xf numFmtId="0" fontId="3" fillId="3"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4" fontId="23" fillId="2" borderId="1" xfId="0" applyNumberFormat="1"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6" borderId="1" xfId="0" applyFont="1" applyFill="1" applyBorder="1" applyAlignment="1">
      <alignment horizontal="justify"/>
    </xf>
    <xf numFmtId="0" fontId="4" fillId="3" borderId="1" xfId="0" applyFont="1" applyFill="1" applyBorder="1" applyAlignment="1">
      <alignment horizontal="justify"/>
    </xf>
    <xf numFmtId="0" fontId="4" fillId="7" borderId="1" xfId="0" applyFont="1" applyFill="1" applyBorder="1" applyAlignment="1">
      <alignment horizontal="justify"/>
    </xf>
    <xf numFmtId="0" fontId="13" fillId="5" borderId="0" xfId="0" applyFont="1" applyFill="1"/>
    <xf numFmtId="0" fontId="47" fillId="0" borderId="0" xfId="6" applyAlignment="1" applyProtection="1">
      <alignment horizontal="left" vertical="center" wrapText="1"/>
    </xf>
    <xf numFmtId="0" fontId="47" fillId="0" borderId="0" xfId="6" applyBorder="1" applyAlignment="1" applyProtection="1">
      <alignment horizontal="left" vertical="center" wrapText="1"/>
    </xf>
    <xf numFmtId="0" fontId="51" fillId="12" borderId="0" xfId="7" applyFont="1" applyFill="1" applyAlignment="1">
      <alignment horizontal="center"/>
    </xf>
    <xf numFmtId="0" fontId="49" fillId="12" borderId="0" xfId="7" applyFill="1" applyAlignment="1">
      <alignment horizontal="center"/>
    </xf>
    <xf numFmtId="0" fontId="49" fillId="12" borderId="0" xfId="7" applyFill="1"/>
    <xf numFmtId="0" fontId="49" fillId="0" borderId="0" xfId="7"/>
    <xf numFmtId="0" fontId="49" fillId="0" borderId="0" xfId="7" applyAlignment="1">
      <alignment horizontal="center"/>
    </xf>
    <xf numFmtId="4" fontId="49" fillId="0" borderId="0" xfId="7" applyNumberFormat="1"/>
    <xf numFmtId="0" fontId="0" fillId="13" borderId="0" xfId="0" applyFill="1" applyAlignment="1">
      <alignment horizontal="center"/>
    </xf>
    <xf numFmtId="0" fontId="50" fillId="13" borderId="0" xfId="0" applyFont="1" applyFill="1" applyAlignment="1">
      <alignment vertical="center"/>
    </xf>
    <xf numFmtId="0" fontId="52" fillId="13" borderId="0" xfId="0" applyFont="1" applyFill="1" applyAlignment="1">
      <alignment horizontal="right" vertical="center"/>
    </xf>
    <xf numFmtId="0" fontId="51" fillId="13" borderId="0" xfId="0" applyFont="1" applyFill="1" applyBorder="1" applyAlignment="1">
      <alignment horizontal="center"/>
    </xf>
    <xf numFmtId="0" fontId="0" fillId="13" borderId="0" xfId="0" applyFill="1" applyAlignment="1">
      <alignment horizontal="right"/>
    </xf>
    <xf numFmtId="0" fontId="53" fillId="14" borderId="13" xfId="0" applyFont="1" applyFill="1" applyBorder="1" applyAlignment="1">
      <alignment horizontal="center" vertical="center"/>
    </xf>
    <xf numFmtId="0" fontId="53" fillId="14" borderId="14" xfId="0" applyFont="1" applyFill="1" applyBorder="1" applyAlignment="1">
      <alignment horizontal="center" vertical="center"/>
    </xf>
    <xf numFmtId="0" fontId="53" fillId="14" borderId="15" xfId="0" applyFont="1" applyFill="1" applyBorder="1" applyAlignment="1">
      <alignment horizontal="center" vertical="center"/>
    </xf>
    <xf numFmtId="0" fontId="51" fillId="15" borderId="13" xfId="0" applyFont="1" applyFill="1" applyBorder="1" applyAlignment="1">
      <alignment vertical="center"/>
    </xf>
    <xf numFmtId="0" fontId="51" fillId="15" borderId="14" xfId="0" applyFont="1" applyFill="1" applyBorder="1" applyAlignment="1">
      <alignment vertical="center"/>
    </xf>
    <xf numFmtId="0" fontId="0" fillId="15" borderId="14" xfId="0" applyFill="1" applyBorder="1" applyAlignment="1">
      <alignment vertical="center"/>
    </xf>
    <xf numFmtId="0" fontId="51" fillId="15" borderId="15" xfId="0" applyFont="1" applyFill="1" applyBorder="1" applyAlignment="1">
      <alignment vertical="center"/>
    </xf>
    <xf numFmtId="0" fontId="0" fillId="0" borderId="0" xfId="0" applyAlignment="1">
      <alignment vertical="center"/>
    </xf>
    <xf numFmtId="0" fontId="51" fillId="13" borderId="10" xfId="0" applyFont="1" applyFill="1" applyBorder="1" applyAlignment="1">
      <alignment horizontal="center" vertical="center" wrapText="1"/>
    </xf>
    <xf numFmtId="0" fontId="54" fillId="16" borderId="10" xfId="0" applyFont="1" applyFill="1" applyBorder="1" applyAlignment="1">
      <alignment horizontal="center" vertical="center" textRotation="90" wrapText="1"/>
    </xf>
    <xf numFmtId="0" fontId="51" fillId="16" borderId="10" xfId="0" applyFont="1" applyFill="1" applyBorder="1" applyAlignment="1">
      <alignment horizontal="center" vertical="center" textRotation="90" wrapText="1"/>
    </xf>
    <xf numFmtId="0" fontId="51" fillId="16" borderId="10" xfId="0" applyFont="1" applyFill="1" applyBorder="1" applyAlignment="1">
      <alignment horizontal="left" vertical="center" textRotation="90" wrapText="1"/>
    </xf>
    <xf numFmtId="0" fontId="51" fillId="17" borderId="10" xfId="0" applyFont="1" applyFill="1" applyBorder="1" applyAlignment="1">
      <alignment horizontal="center" vertical="center" textRotation="90" wrapText="1"/>
    </xf>
    <xf numFmtId="0" fontId="51" fillId="17" borderId="11" xfId="0" applyFont="1" applyFill="1" applyBorder="1" applyAlignment="1">
      <alignment horizontal="center" vertical="center" textRotation="90" wrapText="1"/>
    </xf>
    <xf numFmtId="0" fontId="51" fillId="15" borderId="11" xfId="0" applyFont="1" applyFill="1" applyBorder="1" applyAlignment="1">
      <alignment horizontal="center" vertical="center" textRotation="90" wrapText="1"/>
    </xf>
    <xf numFmtId="0" fontId="51" fillId="15" borderId="10" xfId="0" applyFont="1" applyFill="1" applyBorder="1" applyAlignment="1">
      <alignment horizontal="center" vertical="center" textRotation="90" wrapText="1"/>
    </xf>
    <xf numFmtId="0" fontId="55" fillId="15" borderId="10" xfId="0" applyFont="1" applyFill="1" applyBorder="1" applyAlignment="1">
      <alignment horizontal="center" vertical="center" textRotation="90" wrapText="1"/>
    </xf>
    <xf numFmtId="0" fontId="52" fillId="15" borderId="10" xfId="0" applyFont="1" applyFill="1" applyBorder="1" applyAlignment="1">
      <alignment horizontal="center" vertical="center" textRotation="90" wrapText="1"/>
    </xf>
    <xf numFmtId="0" fontId="54" fillId="15" borderId="10" xfId="0" applyFont="1" applyFill="1" applyBorder="1" applyAlignment="1">
      <alignment horizontal="center" vertical="center" textRotation="90" wrapText="1"/>
    </xf>
    <xf numFmtId="0" fontId="0" fillId="0" borderId="0" xfId="0" applyAlignment="1">
      <alignment wrapText="1"/>
    </xf>
    <xf numFmtId="0" fontId="56" fillId="0" borderId="0" xfId="0" applyFont="1"/>
    <xf numFmtId="0" fontId="12" fillId="4" borderId="5" xfId="0" applyFont="1" applyFill="1" applyBorder="1" applyAlignment="1">
      <alignment vertical="center" wrapText="1"/>
    </xf>
    <xf numFmtId="0" fontId="12" fillId="4" borderId="8" xfId="0" applyFont="1" applyFill="1" applyBorder="1" applyAlignment="1">
      <alignment vertical="center" wrapText="1"/>
    </xf>
    <xf numFmtId="0" fontId="12" fillId="4" borderId="9" xfId="0" applyFont="1" applyFill="1" applyBorder="1" applyAlignment="1">
      <alignment vertical="center" wrapText="1"/>
    </xf>
    <xf numFmtId="0" fontId="12" fillId="4" borderId="19" xfId="0" applyFont="1" applyFill="1" applyBorder="1" applyAlignment="1">
      <alignment vertical="center" wrapText="1"/>
    </xf>
    <xf numFmtId="1" fontId="7" fillId="0" borderId="0" xfId="1" applyNumberFormat="1" applyFill="1" applyBorder="1" applyAlignment="1">
      <alignment horizontal="left" vertical="top"/>
    </xf>
    <xf numFmtId="1" fontId="28" fillId="3" borderId="0" xfId="1" applyNumberFormat="1" applyFont="1" applyFill="1" applyBorder="1" applyAlignment="1">
      <alignment horizontal="left" vertical="top"/>
    </xf>
    <xf numFmtId="1" fontId="7" fillId="3" borderId="0" xfId="1" applyNumberFormat="1" applyFill="1" applyBorder="1" applyAlignment="1">
      <alignment horizontal="left" vertical="top"/>
    </xf>
    <xf numFmtId="1" fontId="3" fillId="0" borderId="0" xfId="0" applyNumberFormat="1" applyFont="1" applyFill="1" applyBorder="1" applyAlignment="1">
      <alignment horizontal="left" vertical="top"/>
    </xf>
    <xf numFmtId="0" fontId="0" fillId="3" borderId="0" xfId="0" applyFill="1" applyAlignment="1">
      <alignment horizontal="left" vertical="top"/>
    </xf>
    <xf numFmtId="0" fontId="0" fillId="0" borderId="0" xfId="0" applyFill="1" applyAlignment="1">
      <alignment horizontal="left" vertical="top"/>
    </xf>
    <xf numFmtId="0" fontId="48" fillId="0" borderId="0" xfId="0" applyFont="1" applyAlignment="1">
      <alignment horizontal="left" vertical="top"/>
    </xf>
    <xf numFmtId="0" fontId="0" fillId="0" borderId="0" xfId="0" applyFill="1" applyAlignment="1">
      <alignment horizontal="left" vertical="top" wrapText="1"/>
    </xf>
    <xf numFmtId="49" fontId="0" fillId="0" borderId="0" xfId="0" applyNumberFormat="1" applyFill="1" applyBorder="1" applyAlignment="1">
      <alignment horizontal="left" vertical="top"/>
    </xf>
    <xf numFmtId="49" fontId="3" fillId="0" borderId="0" xfId="0" applyNumberFormat="1" applyFont="1" applyFill="1" applyBorder="1" applyAlignment="1">
      <alignment horizontal="left" vertical="top"/>
    </xf>
    <xf numFmtId="0" fontId="3" fillId="0" borderId="0" xfId="0" applyFont="1" applyAlignment="1">
      <alignment horizontal="left" vertical="top"/>
    </xf>
    <xf numFmtId="0" fontId="11" fillId="0" borderId="0" xfId="0" applyFont="1" applyAlignment="1">
      <alignment horizontal="left" vertical="top" wrapText="1"/>
    </xf>
    <xf numFmtId="0" fontId="0" fillId="0" borderId="0" xfId="0" applyAlignment="1">
      <alignment horizontal="left" vertical="top" wrapText="1"/>
    </xf>
    <xf numFmtId="0" fontId="3" fillId="0" borderId="0" xfId="0" applyFont="1" applyAlignment="1">
      <alignment horizontal="left" vertical="top" wrapText="1"/>
    </xf>
    <xf numFmtId="0" fontId="3" fillId="0" borderId="1" xfId="1" applyNumberFormat="1" applyFont="1" applyFill="1" applyBorder="1" applyAlignment="1">
      <alignment horizontal="left" vertical="top"/>
    </xf>
    <xf numFmtId="0" fontId="3" fillId="3" borderId="1" xfId="1" applyNumberFormat="1" applyFont="1" applyFill="1" applyBorder="1" applyAlignment="1">
      <alignment horizontal="left" vertical="top"/>
    </xf>
    <xf numFmtId="0" fontId="0" fillId="0" borderId="1" xfId="3" applyFont="1" applyAlignment="1">
      <alignment horizontal="left" vertical="top"/>
    </xf>
    <xf numFmtId="0" fontId="2" fillId="0" borderId="1" xfId="3" applyAlignment="1">
      <alignment horizontal="left" vertical="top"/>
    </xf>
    <xf numFmtId="0" fontId="0" fillId="0" borderId="1" xfId="3" applyFont="1" applyAlignment="1">
      <alignment horizontal="left" vertical="top" wrapText="1"/>
    </xf>
    <xf numFmtId="0" fontId="2" fillId="0" borderId="1" xfId="3" applyFill="1" applyAlignment="1">
      <alignment horizontal="left" vertical="top"/>
    </xf>
    <xf numFmtId="0" fontId="0" fillId="0" borderId="1" xfId="0" applyBorder="1" applyAlignment="1">
      <alignment horizontal="left" vertical="top"/>
    </xf>
    <xf numFmtId="0" fontId="2" fillId="0" borderId="1" xfId="3" applyFill="1" applyBorder="1" applyAlignment="1" applyProtection="1">
      <alignment horizontal="left" vertical="top" wrapText="1"/>
      <protection locked="0"/>
    </xf>
    <xf numFmtId="0" fontId="2" fillId="0" borderId="1" xfId="3" applyFont="1" applyFill="1" applyBorder="1" applyAlignment="1" applyProtection="1">
      <alignment horizontal="left" vertical="top" wrapText="1"/>
      <protection locked="0"/>
    </xf>
    <xf numFmtId="0" fontId="3" fillId="0" borderId="1" xfId="1" applyNumberFormat="1" applyFont="1" applyFill="1" applyBorder="1" applyAlignment="1" applyProtection="1">
      <alignment horizontal="left" vertical="top"/>
      <protection locked="0"/>
    </xf>
    <xf numFmtId="0" fontId="2" fillId="0" borderId="1" xfId="3" applyFill="1" applyBorder="1" applyAlignment="1">
      <alignment horizontal="left" vertical="top"/>
    </xf>
    <xf numFmtId="0" fontId="3" fillId="0" borderId="1" xfId="0" applyFont="1" applyBorder="1" applyAlignment="1">
      <alignment horizontal="left" vertical="top"/>
    </xf>
    <xf numFmtId="49" fontId="0" fillId="0" borderId="20" xfId="0" applyNumberFormat="1" applyFill="1" applyBorder="1" applyAlignment="1">
      <alignment horizontal="left" vertical="top"/>
    </xf>
    <xf numFmtId="49" fontId="3" fillId="0" borderId="20" xfId="0" applyNumberFormat="1" applyFont="1" applyFill="1" applyBorder="1" applyAlignment="1">
      <alignment horizontal="left" vertical="top"/>
    </xf>
    <xf numFmtId="0" fontId="19" fillId="0" borderId="0" xfId="0" applyFont="1" applyAlignment="1">
      <alignment horizontal="center" vertical="top"/>
    </xf>
    <xf numFmtId="0" fontId="19" fillId="0" borderId="0" xfId="0" applyFont="1" applyAlignment="1">
      <alignment horizontal="center" vertical="top" wrapText="1"/>
    </xf>
    <xf numFmtId="0" fontId="0" fillId="3" borderId="5" xfId="0" applyFill="1" applyBorder="1" applyAlignment="1">
      <alignment horizontal="center" vertical="top"/>
    </xf>
    <xf numFmtId="0" fontId="0" fillId="0" borderId="0" xfId="0" applyFill="1" applyAlignment="1">
      <alignment horizontal="center" vertical="top"/>
    </xf>
    <xf numFmtId="0" fontId="0" fillId="0" borderId="0" xfId="0" applyFill="1" applyAlignment="1">
      <alignment horizontal="center" vertical="top" wrapText="1"/>
    </xf>
    <xf numFmtId="0" fontId="15" fillId="0" borderId="0" xfId="0" applyFont="1" applyFill="1" applyAlignment="1">
      <alignment horizontal="center" vertical="top" wrapText="1"/>
    </xf>
    <xf numFmtId="14" fontId="46" fillId="3" borderId="5" xfId="0" applyNumberFormat="1" applyFont="1" applyFill="1" applyBorder="1" applyAlignment="1">
      <alignment horizontal="center" vertical="top" wrapText="1"/>
    </xf>
    <xf numFmtId="0" fontId="0" fillId="3" borderId="0" xfId="0" applyFill="1" applyBorder="1" applyAlignment="1">
      <alignment horizontal="center" vertical="top"/>
    </xf>
    <xf numFmtId="0" fontId="0" fillId="3" borderId="0" xfId="0" applyFill="1" applyAlignment="1">
      <alignment horizontal="center" vertical="top"/>
    </xf>
    <xf numFmtId="14" fontId="46" fillId="3" borderId="0" xfId="0" applyNumberFormat="1" applyFont="1" applyFill="1" applyBorder="1" applyAlignment="1">
      <alignment horizontal="center" vertical="top" wrapText="1"/>
    </xf>
    <xf numFmtId="0" fontId="5" fillId="8" borderId="1" xfId="0" applyFont="1" applyFill="1" applyBorder="1" applyAlignment="1">
      <alignment horizontal="center" vertical="top" wrapText="1"/>
    </xf>
    <xf numFmtId="1" fontId="3" fillId="8" borderId="16" xfId="1" applyNumberFormat="1" applyFont="1" applyFill="1" applyBorder="1" applyAlignment="1">
      <alignment horizontal="center" vertical="top" wrapText="1"/>
    </xf>
    <xf numFmtId="1" fontId="3" fillId="3" borderId="12" xfId="1" applyNumberFormat="1" applyFont="1" applyFill="1" applyBorder="1" applyAlignment="1">
      <alignment horizontal="center" vertical="top" wrapText="1"/>
    </xf>
    <xf numFmtId="49" fontId="0" fillId="4" borderId="1" xfId="0" applyNumberFormat="1" applyFill="1" applyBorder="1" applyAlignment="1">
      <alignment horizontal="center" vertical="top" wrapText="1"/>
    </xf>
    <xf numFmtId="49" fontId="3" fillId="10" borderId="1" xfId="0" applyNumberFormat="1" applyFont="1" applyFill="1" applyBorder="1" applyAlignment="1">
      <alignment horizontal="center" vertical="top" wrapText="1"/>
    </xf>
    <xf numFmtId="49" fontId="0" fillId="10" borderId="1" xfId="0" applyNumberFormat="1" applyFill="1" applyBorder="1" applyAlignment="1">
      <alignment horizontal="center" vertical="top" wrapText="1"/>
    </xf>
    <xf numFmtId="0" fontId="28" fillId="3" borderId="1" xfId="0" applyFont="1" applyFill="1" applyBorder="1" applyAlignment="1">
      <alignment horizontal="left" vertical="top" wrapText="1"/>
    </xf>
    <xf numFmtId="1" fontId="29" fillId="3" borderId="1" xfId="1" applyNumberFormat="1" applyFont="1" applyFill="1" applyBorder="1" applyAlignment="1">
      <alignment horizontal="left" vertical="top" wrapText="1"/>
    </xf>
    <xf numFmtId="1" fontId="29" fillId="3" borderId="19" xfId="1" applyNumberFormat="1" applyFont="1" applyFill="1" applyBorder="1" applyAlignment="1">
      <alignment horizontal="left" vertical="top" wrapText="1"/>
    </xf>
    <xf numFmtId="49" fontId="0" fillId="3" borderId="19" xfId="0" applyNumberFormat="1" applyFill="1" applyBorder="1" applyAlignment="1">
      <alignment horizontal="left" vertical="top" wrapText="1"/>
    </xf>
    <xf numFmtId="49" fontId="29" fillId="3" borderId="17" xfId="0" applyNumberFormat="1" applyFont="1" applyFill="1" applyBorder="1" applyAlignment="1">
      <alignment horizontal="left" vertical="top" wrapText="1"/>
    </xf>
    <xf numFmtId="49" fontId="29" fillId="3" borderId="1" xfId="0" applyNumberFormat="1" applyFont="1" applyFill="1" applyBorder="1" applyAlignment="1">
      <alignment horizontal="left" vertical="top" wrapText="1"/>
    </xf>
    <xf numFmtId="0" fontId="29" fillId="3" borderId="0" xfId="0" applyFont="1" applyFill="1" applyAlignment="1">
      <alignment horizontal="left" vertical="top"/>
    </xf>
    <xf numFmtId="0" fontId="13" fillId="11" borderId="1" xfId="2" applyFont="1" applyFill="1" applyBorder="1" applyAlignment="1">
      <alignment horizontal="left" vertical="top" wrapText="1"/>
    </xf>
    <xf numFmtId="0" fontId="13" fillId="11" borderId="16" xfId="2" applyFont="1" applyFill="1" applyBorder="1" applyAlignment="1">
      <alignment horizontal="left" vertical="top" wrapText="1"/>
    </xf>
    <xf numFmtId="49" fontId="14" fillId="11" borderId="1" xfId="2" applyNumberFormat="1" applyFont="1" applyFill="1" applyBorder="1" applyAlignment="1">
      <alignment horizontal="left" vertical="top"/>
    </xf>
    <xf numFmtId="49" fontId="13" fillId="11" borderId="1" xfId="2" applyNumberFormat="1" applyFill="1" applyBorder="1" applyAlignment="1">
      <alignment horizontal="left" vertical="top"/>
    </xf>
    <xf numFmtId="0" fontId="13" fillId="0" borderId="0" xfId="2" applyFill="1" applyAlignment="1">
      <alignment horizontal="left" vertical="top"/>
    </xf>
    <xf numFmtId="0" fontId="2" fillId="0" borderId="0" xfId="0" applyFont="1" applyAlignment="1">
      <alignment horizontal="left" vertical="top"/>
    </xf>
    <xf numFmtId="0" fontId="2" fillId="0" borderId="1" xfId="0" applyFont="1" applyBorder="1" applyAlignment="1" applyProtection="1">
      <alignment horizontal="left" vertical="top"/>
      <protection locked="0"/>
    </xf>
    <xf numFmtId="0" fontId="19" fillId="0" borderId="22" xfId="0" applyFont="1" applyBorder="1"/>
    <xf numFmtId="0" fontId="0" fillId="0" borderId="22" xfId="0" applyBorder="1"/>
    <xf numFmtId="0" fontId="0" fillId="0" borderId="23" xfId="0" applyBorder="1"/>
    <xf numFmtId="0" fontId="19" fillId="0" borderId="20" xfId="0" applyFont="1" applyBorder="1"/>
    <xf numFmtId="0" fontId="8" fillId="0" borderId="0" xfId="0" applyFont="1" applyBorder="1" applyAlignment="1">
      <alignment horizontal="left" vertical="center"/>
    </xf>
    <xf numFmtId="0" fontId="19" fillId="0" borderId="0" xfId="0" applyFont="1" applyBorder="1"/>
    <xf numFmtId="0" fontId="0" fillId="0" borderId="0" xfId="0" applyBorder="1"/>
    <xf numFmtId="0" fontId="0" fillId="0" borderId="24" xfId="0" applyBorder="1"/>
    <xf numFmtId="0" fontId="23" fillId="0" borderId="20" xfId="0" applyFont="1" applyFill="1" applyBorder="1" applyAlignment="1">
      <alignment vertical="center"/>
    </xf>
    <xf numFmtId="0" fontId="8" fillId="0" borderId="20" xfId="0" applyFont="1" applyBorder="1" applyAlignment="1">
      <alignment vertical="center"/>
    </xf>
    <xf numFmtId="0" fontId="19" fillId="0" borderId="25" xfId="0" applyFont="1" applyBorder="1"/>
    <xf numFmtId="0" fontId="19" fillId="0" borderId="26" xfId="0" applyFont="1" applyBorder="1"/>
    <xf numFmtId="0" fontId="0" fillId="0" borderId="26" xfId="0" applyBorder="1"/>
    <xf numFmtId="0" fontId="0" fillId="0" borderId="27" xfId="0" applyBorder="1"/>
    <xf numFmtId="0" fontId="6" fillId="0" borderId="21" xfId="5" applyBorder="1" applyAlignment="1" applyProtection="1"/>
    <xf numFmtId="0" fontId="2" fillId="19" borderId="1" xfId="0" applyFont="1" applyFill="1" applyBorder="1" applyAlignment="1">
      <alignment horizontal="center" vertical="top" wrapText="1"/>
    </xf>
    <xf numFmtId="0" fontId="2" fillId="18" borderId="1" xfId="0" applyFont="1" applyFill="1" applyBorder="1" applyAlignment="1">
      <alignment horizontal="center" vertical="top" wrapText="1"/>
    </xf>
    <xf numFmtId="0" fontId="2" fillId="20" borderId="1" xfId="0" applyFont="1" applyFill="1" applyBorder="1" applyAlignment="1">
      <alignment horizontal="center" vertical="top" wrapText="1"/>
    </xf>
    <xf numFmtId="9" fontId="2" fillId="18" borderId="1" xfId="29" applyFont="1" applyFill="1" applyBorder="1" applyAlignment="1">
      <alignment horizontal="center" vertical="top" wrapText="1"/>
    </xf>
    <xf numFmtId="9" fontId="2" fillId="20" borderId="1" xfId="29" applyFont="1" applyFill="1" applyBorder="1" applyAlignment="1">
      <alignment horizontal="center" vertical="top" wrapText="1"/>
    </xf>
    <xf numFmtId="9" fontId="2" fillId="19" borderId="1" xfId="29" applyFont="1" applyFill="1" applyBorder="1" applyAlignment="1">
      <alignment horizontal="center" vertical="top" wrapText="1"/>
    </xf>
    <xf numFmtId="0" fontId="2" fillId="0" borderId="1" xfId="0" applyFont="1" applyFill="1" applyBorder="1" applyAlignment="1" applyProtection="1">
      <alignment horizontal="left" vertical="top"/>
      <protection locked="0"/>
    </xf>
    <xf numFmtId="9" fontId="5" fillId="4" borderId="1" xfId="29" applyFont="1" applyFill="1" applyBorder="1" applyAlignment="1">
      <alignment horizontal="center" vertical="top" wrapText="1"/>
    </xf>
    <xf numFmtId="1" fontId="2" fillId="8" borderId="1" xfId="1" applyNumberFormat="1" applyFont="1" applyFill="1" applyBorder="1" applyAlignment="1">
      <alignment horizontal="center" vertical="top" wrapText="1"/>
    </xf>
    <xf numFmtId="0" fontId="5" fillId="4" borderId="1" xfId="0" applyNumberFormat="1" applyFont="1" applyFill="1" applyBorder="1" applyAlignment="1">
      <alignment horizontal="center" vertical="top" wrapText="1"/>
    </xf>
    <xf numFmtId="0" fontId="59" fillId="0" borderId="0" xfId="0" applyFont="1" applyAlignment="1">
      <alignment vertical="center"/>
    </xf>
    <xf numFmtId="0" fontId="60" fillId="0" borderId="0" xfId="0" applyFont="1" applyAlignment="1">
      <alignment vertical="center"/>
    </xf>
    <xf numFmtId="20" fontId="60" fillId="0" borderId="0" xfId="0" applyNumberFormat="1" applyFont="1" applyAlignment="1">
      <alignment vertical="center"/>
    </xf>
    <xf numFmtId="0" fontId="61" fillId="0" borderId="0" xfId="0" applyFont="1" applyAlignment="1">
      <alignment vertical="center"/>
    </xf>
    <xf numFmtId="0" fontId="58" fillId="0" borderId="0" xfId="0" applyFont="1" applyAlignment="1">
      <alignment vertical="center"/>
    </xf>
    <xf numFmtId="0" fontId="62" fillId="0" borderId="28" xfId="0" applyFont="1" applyBorder="1" applyAlignment="1">
      <alignment vertical="center" wrapText="1"/>
    </xf>
    <xf numFmtId="0" fontId="58" fillId="0" borderId="28" xfId="0" applyFont="1" applyBorder="1" applyAlignment="1">
      <alignment vertical="center" wrapText="1"/>
    </xf>
    <xf numFmtId="0" fontId="6" fillId="0" borderId="28" xfId="5" applyBorder="1" applyAlignment="1" applyProtection="1">
      <alignment vertical="center" wrapText="1"/>
    </xf>
    <xf numFmtId="0" fontId="63" fillId="0" borderId="0" xfId="0" applyFont="1" applyAlignment="1">
      <alignment vertical="center"/>
    </xf>
    <xf numFmtId="0" fontId="64" fillId="0" borderId="0" xfId="0" applyFont="1" applyAlignment="1">
      <alignment vertical="center"/>
    </xf>
    <xf numFmtId="0" fontId="65" fillId="0" borderId="0" xfId="0" applyFont="1" applyAlignment="1">
      <alignment vertical="center"/>
    </xf>
    <xf numFmtId="0" fontId="67" fillId="0" borderId="28" xfId="0" applyFont="1" applyBorder="1" applyAlignment="1">
      <alignment vertical="center" wrapText="1"/>
    </xf>
    <xf numFmtId="49" fontId="2" fillId="4" borderId="1" xfId="0" applyNumberFormat="1" applyFont="1" applyFill="1" applyBorder="1" applyAlignment="1">
      <alignment horizontal="center" vertical="top" wrapText="1"/>
    </xf>
    <xf numFmtId="0" fontId="2" fillId="21" borderId="1" xfId="0" applyFont="1" applyFill="1" applyBorder="1" applyAlignment="1">
      <alignment horizontal="center" vertical="top" wrapText="1"/>
    </xf>
    <xf numFmtId="9" fontId="2" fillId="21" borderId="1" xfId="29" applyFont="1" applyFill="1" applyBorder="1" applyAlignment="1">
      <alignment horizontal="center" vertical="top" wrapText="1"/>
    </xf>
    <xf numFmtId="1" fontId="0" fillId="0" borderId="0" xfId="0" applyNumberFormat="1" applyFill="1" applyBorder="1" applyAlignment="1">
      <alignment horizontal="left" vertical="top"/>
    </xf>
    <xf numFmtId="49" fontId="7" fillId="0" borderId="0" xfId="1" applyNumberFormat="1" applyFill="1" applyBorder="1" applyAlignment="1">
      <alignment horizontal="left" vertical="top"/>
    </xf>
    <xf numFmtId="49" fontId="7" fillId="3" borderId="19" xfId="1" applyNumberFormat="1" applyFill="1" applyBorder="1" applyAlignment="1">
      <alignment horizontal="left" vertical="top" wrapText="1"/>
    </xf>
    <xf numFmtId="0" fontId="7" fillId="0" borderId="1" xfId="1" applyBorder="1" applyAlignment="1">
      <alignment horizontal="left" vertical="top"/>
    </xf>
    <xf numFmtId="0" fontId="7" fillId="3" borderId="0" xfId="1" applyFill="1" applyAlignment="1">
      <alignment horizontal="left" vertical="top"/>
    </xf>
    <xf numFmtId="0" fontId="3" fillId="0" borderId="1" xfId="1" applyNumberFormat="1" applyFont="1" applyFill="1" applyBorder="1" applyAlignment="1">
      <alignment horizontal="left" vertical="top" wrapText="1"/>
    </xf>
    <xf numFmtId="0" fontId="5" fillId="0" borderId="1" xfId="1" applyFont="1" applyBorder="1" applyAlignment="1">
      <alignment horizontal="left" vertical="top"/>
    </xf>
    <xf numFmtId="0" fontId="3" fillId="0" borderId="17" xfId="0" applyFont="1" applyBorder="1" applyAlignment="1">
      <alignment horizontal="center" vertical="top" wrapText="1"/>
    </xf>
    <xf numFmtId="0" fontId="3" fillId="3" borderId="6" xfId="0" applyFont="1" applyFill="1" applyBorder="1" applyAlignment="1">
      <alignment horizontal="center" vertical="top" wrapText="1"/>
    </xf>
    <xf numFmtId="0" fontId="3" fillId="0" borderId="7" xfId="0" applyFont="1" applyBorder="1" applyAlignment="1">
      <alignment horizontal="center" vertical="top" wrapText="1"/>
    </xf>
    <xf numFmtId="0" fontId="8" fillId="2" borderId="19" xfId="0" applyFont="1" applyFill="1" applyBorder="1" applyAlignment="1">
      <alignment horizontal="right" vertical="top" wrapText="1"/>
    </xf>
    <xf numFmtId="0" fontId="8" fillId="2" borderId="11" xfId="0" applyFont="1" applyFill="1" applyBorder="1" applyAlignment="1">
      <alignment horizontal="right" vertical="top" wrapText="1"/>
    </xf>
    <xf numFmtId="0" fontId="8" fillId="2" borderId="17" xfId="0" applyFont="1" applyFill="1" applyBorder="1" applyAlignment="1">
      <alignment horizontal="right" vertical="top" wrapText="1"/>
    </xf>
    <xf numFmtId="0" fontId="8" fillId="2" borderId="1" xfId="0" applyFont="1" applyFill="1" applyBorder="1" applyAlignment="1">
      <alignment horizontal="right" vertical="top" wrapText="1"/>
    </xf>
    <xf numFmtId="0" fontId="3" fillId="3" borderId="1" xfId="0" applyFont="1" applyFill="1" applyBorder="1" applyAlignment="1">
      <alignment horizontal="center" vertical="top" wrapText="1"/>
    </xf>
    <xf numFmtId="0" fontId="3" fillId="0" borderId="1" xfId="0" applyFont="1" applyBorder="1" applyAlignment="1">
      <alignment horizontal="center" vertical="top" wrapText="1"/>
    </xf>
    <xf numFmtId="0" fontId="2" fillId="0" borderId="9" xfId="31" applyFont="1" applyBorder="1" applyAlignment="1">
      <alignment wrapText="1"/>
    </xf>
    <xf numFmtId="0" fontId="2" fillId="0" borderId="19" xfId="31" applyBorder="1" applyAlignment="1">
      <alignment wrapText="1"/>
    </xf>
    <xf numFmtId="0" fontId="3" fillId="0" borderId="1" xfId="0" applyFont="1" applyBorder="1" applyAlignment="1">
      <alignment wrapText="1"/>
    </xf>
    <xf numFmtId="0" fontId="0" fillId="0" borderId="1" xfId="0" applyBorder="1" applyAlignment="1">
      <alignment wrapText="1"/>
    </xf>
    <xf numFmtId="0" fontId="3" fillId="0" borderId="1" xfId="0" applyFont="1" applyBorder="1" applyAlignment="1">
      <alignment vertical="top" wrapText="1"/>
    </xf>
    <xf numFmtId="0" fontId="0" fillId="0" borderId="1" xfId="0" applyBorder="1" applyAlignment="1">
      <alignment vertical="top" wrapText="1"/>
    </xf>
    <xf numFmtId="0" fontId="40" fillId="2" borderId="0" xfId="0" applyFont="1" applyFill="1" applyBorder="1" applyAlignment="1">
      <alignment horizontal="center" vertical="center" wrapText="1"/>
    </xf>
    <xf numFmtId="0" fontId="0" fillId="2" borderId="0" xfId="0" applyFill="1" applyBorder="1" applyAlignment="1">
      <alignment horizontal="center" vertical="center"/>
    </xf>
    <xf numFmtId="0" fontId="33" fillId="2" borderId="0" xfId="0" applyFont="1" applyFill="1" applyBorder="1" applyAlignment="1">
      <alignment horizontal="center" vertical="center" wrapText="1"/>
    </xf>
    <xf numFmtId="0" fontId="5" fillId="2" borderId="6" xfId="0" applyFont="1" applyFill="1" applyBorder="1" applyAlignment="1">
      <alignment horizontal="center" vertical="top" wrapText="1"/>
    </xf>
    <xf numFmtId="0" fontId="5" fillId="2" borderId="3" xfId="0" applyFont="1" applyFill="1" applyBorder="1" applyAlignment="1">
      <alignment horizontal="center" vertical="top" wrapText="1"/>
    </xf>
    <xf numFmtId="0" fontId="5" fillId="2" borderId="5" xfId="0" applyFont="1" applyFill="1" applyBorder="1" applyAlignment="1">
      <alignment horizontal="left" vertical="top" wrapText="1"/>
    </xf>
    <xf numFmtId="0" fontId="5" fillId="2" borderId="0" xfId="0" applyFont="1" applyFill="1" applyBorder="1" applyAlignment="1">
      <alignment horizontal="left" vertical="top" wrapText="1"/>
    </xf>
    <xf numFmtId="0" fontId="39" fillId="0" borderId="5" xfId="0" applyFont="1" applyFill="1" applyBorder="1" applyAlignment="1">
      <alignment horizontal="center" vertical="top" wrapText="1"/>
    </xf>
    <xf numFmtId="0" fontId="39" fillId="0" borderId="8" xfId="0" applyFont="1" applyFill="1" applyBorder="1" applyAlignment="1">
      <alignment horizontal="center" vertical="top" wrapText="1"/>
    </xf>
    <xf numFmtId="0" fontId="5" fillId="2" borderId="9" xfId="0" applyFont="1" applyFill="1" applyBorder="1" applyAlignment="1">
      <alignment horizontal="left" vertical="top" wrapText="1"/>
    </xf>
    <xf numFmtId="0" fontId="5" fillId="2" borderId="12" xfId="0" applyFont="1" applyFill="1" applyBorder="1" applyAlignment="1">
      <alignment horizontal="left" vertical="top" wrapText="1"/>
    </xf>
    <xf numFmtId="0" fontId="39" fillId="2" borderId="5" xfId="0" applyFont="1" applyFill="1" applyBorder="1" applyAlignment="1">
      <alignment horizontal="center" vertical="top" wrapText="1"/>
    </xf>
    <xf numFmtId="0" fontId="39" fillId="2" borderId="0" xfId="0" applyFont="1" applyFill="1" applyBorder="1" applyAlignment="1">
      <alignment horizontal="center" vertical="top" wrapText="1"/>
    </xf>
    <xf numFmtId="0" fontId="8" fillId="2" borderId="1" xfId="0" applyFont="1" applyFill="1" applyBorder="1" applyAlignment="1">
      <alignment vertical="center" wrapText="1"/>
    </xf>
    <xf numFmtId="0" fontId="36" fillId="0" borderId="1" xfId="0" applyFont="1" applyBorder="1" applyAlignment="1">
      <alignment horizontal="center" wrapText="1"/>
    </xf>
    <xf numFmtId="0" fontId="37" fillId="0" borderId="1" xfId="0" applyFont="1" applyBorder="1" applyAlignment="1"/>
    <xf numFmtId="0" fontId="2" fillId="0" borderId="1" xfId="31" applyFont="1" applyBorder="1" applyAlignment="1">
      <alignment vertical="top" wrapText="1"/>
    </xf>
    <xf numFmtId="0" fontId="2" fillId="0" borderId="1" xfId="31" applyBorder="1" applyAlignment="1">
      <alignment vertical="top" wrapText="1"/>
    </xf>
    <xf numFmtId="0" fontId="2" fillId="0" borderId="16" xfId="31" applyFont="1" applyBorder="1" applyAlignment="1">
      <alignment vertical="top" wrapText="1"/>
    </xf>
    <xf numFmtId="0" fontId="2" fillId="0" borderId="17" xfId="31" applyBorder="1" applyAlignment="1">
      <alignment vertical="top" wrapText="1"/>
    </xf>
    <xf numFmtId="0" fontId="5" fillId="4" borderId="6"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12" fillId="4" borderId="5" xfId="0" applyFont="1" applyFill="1" applyBorder="1" applyAlignment="1">
      <alignment horizontal="center" vertical="center" wrapText="1"/>
    </xf>
    <xf numFmtId="0" fontId="12" fillId="4" borderId="8" xfId="0" applyFont="1" applyFill="1" applyBorder="1" applyAlignment="1">
      <alignment horizontal="center" vertical="center" wrapText="1"/>
    </xf>
    <xf numFmtId="0" fontId="8" fillId="2" borderId="16" xfId="0" applyFont="1" applyFill="1" applyBorder="1" applyAlignment="1">
      <alignment vertical="center" wrapText="1"/>
    </xf>
    <xf numFmtId="0" fontId="8" fillId="2" borderId="18" xfId="0" applyFont="1" applyFill="1" applyBorder="1" applyAlignment="1">
      <alignment vertical="center" wrapText="1"/>
    </xf>
    <xf numFmtId="0" fontId="8" fillId="2" borderId="17" xfId="0" applyFont="1" applyFill="1" applyBorder="1" applyAlignment="1">
      <alignment vertical="center" wrapText="1"/>
    </xf>
    <xf numFmtId="0" fontId="30" fillId="2" borderId="0" xfId="0" applyFont="1" applyFill="1" applyBorder="1" applyAlignment="1">
      <alignment horizontal="left" vertical="center" wrapText="1"/>
    </xf>
    <xf numFmtId="0" fontId="34" fillId="3" borderId="1" xfId="0" applyFont="1" applyFill="1" applyBorder="1" applyAlignment="1">
      <alignment horizontal="center" vertical="center" wrapText="1"/>
    </xf>
    <xf numFmtId="0" fontId="22" fillId="4" borderId="1" xfId="0" applyFont="1" applyFill="1" applyBorder="1" applyAlignment="1">
      <alignment horizontal="center" vertical="center" wrapText="1"/>
    </xf>
    <xf numFmtId="49" fontId="20" fillId="5" borderId="4" xfId="0" applyNumberFormat="1" applyFont="1" applyFill="1" applyBorder="1" applyAlignment="1">
      <alignment horizontal="center" vertical="top" wrapText="1"/>
    </xf>
    <xf numFmtId="49" fontId="3" fillId="5" borderId="10" xfId="0" applyNumberFormat="1" applyFont="1" applyFill="1" applyBorder="1" applyAlignment="1">
      <alignment horizontal="center" vertical="top" wrapText="1"/>
    </xf>
    <xf numFmtId="49" fontId="3" fillId="5" borderId="11" xfId="0" applyNumberFormat="1" applyFont="1" applyFill="1" applyBorder="1" applyAlignment="1">
      <alignment horizontal="center" vertical="top" wrapText="1"/>
    </xf>
    <xf numFmtId="49" fontId="5" fillId="4" borderId="16" xfId="0" applyNumberFormat="1" applyFont="1" applyFill="1" applyBorder="1" applyAlignment="1">
      <alignment horizontal="center" vertical="top" wrapText="1"/>
    </xf>
    <xf numFmtId="49" fontId="5" fillId="4" borderId="18" xfId="0" applyNumberFormat="1" applyFont="1" applyFill="1" applyBorder="1" applyAlignment="1">
      <alignment horizontal="center" vertical="top" wrapText="1"/>
    </xf>
    <xf numFmtId="49" fontId="5" fillId="4" borderId="17" xfId="0" applyNumberFormat="1" applyFont="1" applyFill="1" applyBorder="1" applyAlignment="1">
      <alignment horizontal="center" vertical="top" wrapText="1"/>
    </xf>
    <xf numFmtId="0" fontId="2" fillId="18" borderId="16" xfId="0" applyFont="1" applyFill="1" applyBorder="1" applyAlignment="1">
      <alignment horizontal="center" vertical="top" wrapText="1"/>
    </xf>
    <xf numFmtId="0" fontId="2" fillId="18" borderId="17" xfId="0" applyFont="1" applyFill="1" applyBorder="1" applyAlignment="1">
      <alignment horizontal="center" vertical="top" wrapText="1"/>
    </xf>
    <xf numFmtId="0" fontId="2" fillId="20" borderId="16" xfId="0" applyFont="1" applyFill="1" applyBorder="1" applyAlignment="1">
      <alignment horizontal="center" vertical="top" wrapText="1"/>
    </xf>
    <xf numFmtId="0" fontId="2" fillId="20" borderId="17" xfId="0" applyFont="1" applyFill="1" applyBorder="1" applyAlignment="1">
      <alignment horizontal="center" vertical="top" wrapText="1"/>
    </xf>
    <xf numFmtId="0" fontId="2" fillId="19" borderId="16" xfId="0" applyFont="1" applyFill="1" applyBorder="1" applyAlignment="1">
      <alignment horizontal="center" vertical="top"/>
    </xf>
    <xf numFmtId="0" fontId="2" fillId="19" borderId="17" xfId="0" applyFont="1" applyFill="1" applyBorder="1" applyAlignment="1">
      <alignment horizontal="center" vertical="top"/>
    </xf>
    <xf numFmtId="0" fontId="2" fillId="21" borderId="16" xfId="0" applyFont="1" applyFill="1" applyBorder="1" applyAlignment="1">
      <alignment horizontal="center" vertical="top"/>
    </xf>
    <xf numFmtId="0" fontId="2" fillId="21" borderId="17" xfId="0" applyFont="1" applyFill="1" applyBorder="1" applyAlignment="1">
      <alignment horizontal="center" vertical="top"/>
    </xf>
    <xf numFmtId="14" fontId="5" fillId="8" borderId="4" xfId="0" applyNumberFormat="1" applyFont="1" applyFill="1" applyBorder="1" applyAlignment="1">
      <alignment horizontal="center" vertical="center" wrapText="1"/>
    </xf>
    <xf numFmtId="14" fontId="5" fillId="8" borderId="10" xfId="0" applyNumberFormat="1" applyFont="1" applyFill="1" applyBorder="1" applyAlignment="1">
      <alignment horizontal="center" vertical="center" wrapText="1"/>
    </xf>
    <xf numFmtId="14" fontId="5" fillId="8" borderId="11" xfId="0" applyNumberFormat="1" applyFont="1" applyFill="1" applyBorder="1" applyAlignment="1">
      <alignment horizontal="center" vertical="center" wrapText="1"/>
    </xf>
    <xf numFmtId="0" fontId="5" fillId="10" borderId="3" xfId="0" applyFont="1" applyFill="1" applyBorder="1" applyAlignment="1">
      <alignment horizontal="center" vertical="top" wrapText="1"/>
    </xf>
    <xf numFmtId="0" fontId="0" fillId="0" borderId="3" xfId="0" applyBorder="1" applyAlignment="1">
      <alignment horizontal="center" vertical="top"/>
    </xf>
    <xf numFmtId="0" fontId="0" fillId="0" borderId="7" xfId="0" applyBorder="1" applyAlignment="1">
      <alignment horizontal="center" vertical="top"/>
    </xf>
    <xf numFmtId="0" fontId="21" fillId="10" borderId="12" xfId="0" applyFont="1" applyFill="1" applyBorder="1" applyAlignment="1">
      <alignment horizontal="center" vertical="top" wrapText="1"/>
    </xf>
    <xf numFmtId="0" fontId="0" fillId="0" borderId="12" xfId="0" applyBorder="1" applyAlignment="1">
      <alignment horizontal="center" vertical="top"/>
    </xf>
    <xf numFmtId="0" fontId="0" fillId="0" borderId="19" xfId="0" applyBorder="1" applyAlignment="1">
      <alignment horizontal="center" vertical="top"/>
    </xf>
    <xf numFmtId="0" fontId="5" fillId="10" borderId="5" xfId="0" applyFont="1" applyFill="1" applyBorder="1" applyAlignment="1">
      <alignment horizontal="center" vertical="top" wrapText="1"/>
    </xf>
    <xf numFmtId="0" fontId="5" fillId="10" borderId="0" xfId="0" applyFont="1" applyFill="1" applyBorder="1" applyAlignment="1">
      <alignment horizontal="center" vertical="top" wrapText="1"/>
    </xf>
    <xf numFmtId="0" fontId="5" fillId="10" borderId="8" xfId="0" applyFont="1" applyFill="1" applyBorder="1" applyAlignment="1">
      <alignment horizontal="center" vertical="top" wrapText="1"/>
    </xf>
    <xf numFmtId="0" fontId="5" fillId="10" borderId="9" xfId="0" applyFont="1" applyFill="1" applyBorder="1" applyAlignment="1">
      <alignment horizontal="center" vertical="top" wrapText="1"/>
    </xf>
    <xf numFmtId="0" fontId="5" fillId="10" borderId="12" xfId="0" applyFont="1" applyFill="1" applyBorder="1" applyAlignment="1">
      <alignment horizontal="center" vertical="top" wrapText="1"/>
    </xf>
    <xf numFmtId="0" fontId="5" fillId="10" borderId="19" xfId="0" applyFont="1" applyFill="1" applyBorder="1" applyAlignment="1">
      <alignment horizontal="center" vertical="top" wrapText="1"/>
    </xf>
    <xf numFmtId="0" fontId="5" fillId="10" borderId="6" xfId="0" applyFont="1" applyFill="1" applyBorder="1" applyAlignment="1">
      <alignment horizontal="center" vertical="top" wrapText="1"/>
    </xf>
    <xf numFmtId="0" fontId="5" fillId="10" borderId="7" xfId="0" applyFont="1" applyFill="1" applyBorder="1" applyAlignment="1">
      <alignment horizontal="center" vertical="top" wrapText="1"/>
    </xf>
    <xf numFmtId="14" fontId="3" fillId="9" borderId="1" xfId="0" applyNumberFormat="1" applyFont="1" applyFill="1" applyBorder="1" applyAlignment="1">
      <alignment horizontal="center" vertical="top" wrapText="1"/>
    </xf>
    <xf numFmtId="0" fontId="5" fillId="8" borderId="1" xfId="0" applyFont="1" applyFill="1" applyBorder="1" applyAlignment="1">
      <alignment horizontal="center" vertical="top" wrapText="1"/>
    </xf>
    <xf numFmtId="0" fontId="5" fillId="3" borderId="4" xfId="0" applyFont="1" applyFill="1" applyBorder="1" applyAlignment="1">
      <alignment horizontal="center" vertical="top"/>
    </xf>
    <xf numFmtId="0" fontId="5" fillId="3" borderId="11" xfId="0" applyFont="1" applyFill="1" applyBorder="1" applyAlignment="1">
      <alignment horizontal="center" vertical="top"/>
    </xf>
    <xf numFmtId="14" fontId="3" fillId="9" borderId="4" xfId="0" applyNumberFormat="1" applyFont="1" applyFill="1" applyBorder="1" applyAlignment="1">
      <alignment horizontal="center" vertical="top" wrapText="1"/>
    </xf>
    <xf numFmtId="14" fontId="3" fillId="9" borderId="10" xfId="0" applyNumberFormat="1" applyFont="1" applyFill="1" applyBorder="1" applyAlignment="1">
      <alignment horizontal="center" vertical="top" wrapText="1"/>
    </xf>
    <xf numFmtId="14" fontId="3" fillId="9" borderId="11" xfId="0" applyNumberFormat="1" applyFont="1" applyFill="1" applyBorder="1" applyAlignment="1">
      <alignment horizontal="center" vertical="top" wrapText="1"/>
    </xf>
    <xf numFmtId="0" fontId="5" fillId="8" borderId="4" xfId="0" applyFont="1" applyFill="1" applyBorder="1" applyAlignment="1">
      <alignment horizontal="center" vertical="top"/>
    </xf>
    <xf numFmtId="0" fontId="0" fillId="0" borderId="11" xfId="0" applyBorder="1" applyAlignment="1">
      <alignment horizontal="center" vertical="top"/>
    </xf>
    <xf numFmtId="0" fontId="7" fillId="5" borderId="6" xfId="1" applyFill="1" applyBorder="1" applyAlignment="1">
      <alignment horizontal="center" vertical="center"/>
    </xf>
    <xf numFmtId="0" fontId="7" fillId="5" borderId="3" xfId="1" applyFill="1" applyBorder="1" applyAlignment="1">
      <alignment horizontal="center" vertical="center"/>
    </xf>
    <xf numFmtId="0" fontId="7" fillId="5" borderId="7" xfId="1" applyFill="1" applyBorder="1" applyAlignment="1">
      <alignment horizontal="center" vertical="center"/>
    </xf>
    <xf numFmtId="0" fontId="7" fillId="5" borderId="9" xfId="1" applyFill="1" applyBorder="1" applyAlignment="1">
      <alignment horizontal="center" vertical="center"/>
    </xf>
    <xf numFmtId="0" fontId="7" fillId="5" borderId="12" xfId="1" applyFill="1" applyBorder="1" applyAlignment="1">
      <alignment horizontal="center" vertical="center"/>
    </xf>
    <xf numFmtId="0" fontId="7" fillId="5" borderId="19" xfId="1" applyFill="1" applyBorder="1" applyAlignment="1">
      <alignment horizontal="center" vertical="center"/>
    </xf>
    <xf numFmtId="49" fontId="7" fillId="5" borderId="16" xfId="1" applyNumberFormat="1" applyFill="1" applyBorder="1" applyAlignment="1">
      <alignment horizontal="center" vertical="center" wrapText="1"/>
    </xf>
    <xf numFmtId="49" fontId="7" fillId="5" borderId="18" xfId="1" applyNumberFormat="1" applyFill="1" applyBorder="1" applyAlignment="1">
      <alignment horizontal="center" vertical="center" wrapText="1"/>
    </xf>
    <xf numFmtId="49" fontId="7" fillId="5" borderId="17" xfId="1" applyNumberFormat="1" applyFill="1" applyBorder="1" applyAlignment="1">
      <alignment horizontal="center" vertical="center" wrapText="1"/>
    </xf>
    <xf numFmtId="49" fontId="7" fillId="5" borderId="4" xfId="1" applyNumberFormat="1" applyFill="1" applyBorder="1" applyAlignment="1">
      <alignment horizontal="center" vertical="top" wrapText="1"/>
    </xf>
    <xf numFmtId="49" fontId="7" fillId="5" borderId="10" xfId="1" applyNumberFormat="1" applyFill="1" applyBorder="1" applyAlignment="1">
      <alignment horizontal="center" vertical="top" wrapText="1"/>
    </xf>
    <xf numFmtId="49" fontId="7" fillId="5" borderId="11" xfId="1" applyNumberFormat="1" applyFill="1" applyBorder="1" applyAlignment="1">
      <alignment horizontal="center" vertical="top" wrapText="1"/>
    </xf>
    <xf numFmtId="0" fontId="54" fillId="16" borderId="13" xfId="0" applyFont="1" applyFill="1" applyBorder="1" applyAlignment="1">
      <alignment horizontal="center" vertical="center"/>
    </xf>
    <xf numFmtId="0" fontId="54" fillId="16" borderId="14" xfId="0" applyFont="1" applyFill="1" applyBorder="1" applyAlignment="1">
      <alignment horizontal="center" vertical="center"/>
    </xf>
    <xf numFmtId="0" fontId="54" fillId="16" borderId="15" xfId="0" applyFont="1" applyFill="1" applyBorder="1" applyAlignment="1">
      <alignment horizontal="center" vertical="center"/>
    </xf>
    <xf numFmtId="0" fontId="51" fillId="17" borderId="13" xfId="0" applyFont="1" applyFill="1" applyBorder="1" applyAlignment="1">
      <alignment horizontal="center" vertical="center" wrapText="1"/>
    </xf>
    <xf numFmtId="0" fontId="51" fillId="17" borderId="14" xfId="0" applyFont="1" applyFill="1" applyBorder="1" applyAlignment="1">
      <alignment horizontal="center" vertical="center" wrapText="1"/>
    </xf>
    <xf numFmtId="0" fontId="51" fillId="17" borderId="15" xfId="0" applyFont="1" applyFill="1" applyBorder="1" applyAlignment="1">
      <alignment horizontal="center" vertical="center" wrapText="1"/>
    </xf>
    <xf numFmtId="0" fontId="54" fillId="15" borderId="13" xfId="0" applyFont="1" applyFill="1" applyBorder="1" applyAlignment="1">
      <alignment horizontal="center" vertical="center" wrapText="1"/>
    </xf>
    <xf numFmtId="0" fontId="54" fillId="15" borderId="14" xfId="0" applyFont="1" applyFill="1" applyBorder="1" applyAlignment="1">
      <alignment horizontal="center" vertical="center" wrapText="1"/>
    </xf>
    <xf numFmtId="0" fontId="54" fillId="15" borderId="15" xfId="0" applyFont="1" applyFill="1" applyBorder="1" applyAlignment="1">
      <alignment horizontal="center" vertical="center" wrapText="1"/>
    </xf>
    <xf numFmtId="14" fontId="16" fillId="7" borderId="3" xfId="0" applyNumberFormat="1" applyFont="1" applyFill="1" applyBorder="1" applyAlignment="1">
      <alignment horizontal="center" vertical="center" wrapText="1"/>
    </xf>
    <xf numFmtId="14" fontId="16" fillId="7" borderId="12" xfId="0" applyNumberFormat="1" applyFont="1" applyFill="1" applyBorder="1" applyAlignment="1">
      <alignment horizontal="center" vertical="center" wrapText="1"/>
    </xf>
    <xf numFmtId="0" fontId="19" fillId="0" borderId="0" xfId="0" applyFont="1" applyAlignment="1">
      <alignment vertical="top" wrapText="1"/>
    </xf>
    <xf numFmtId="0" fontId="19" fillId="0" borderId="0" xfId="0" applyFont="1" applyAlignment="1">
      <alignment horizontal="left" wrapText="1"/>
    </xf>
    <xf numFmtId="14" fontId="25" fillId="3" borderId="1" xfId="0" applyNumberFormat="1" applyFont="1" applyFill="1" applyBorder="1" applyAlignment="1">
      <alignment horizontal="left" vertical="center" wrapText="1"/>
    </xf>
    <xf numFmtId="14" fontId="24" fillId="3" borderId="16" xfId="0" applyNumberFormat="1" applyFont="1" applyFill="1" applyBorder="1" applyAlignment="1">
      <alignment horizontal="left" vertical="center"/>
    </xf>
    <xf numFmtId="14" fontId="24" fillId="3" borderId="18" xfId="0" applyNumberFormat="1" applyFont="1" applyFill="1" applyBorder="1" applyAlignment="1">
      <alignment horizontal="left" vertical="center"/>
    </xf>
    <xf numFmtId="14" fontId="24" fillId="3" borderId="17" xfId="0" applyNumberFormat="1" applyFont="1" applyFill="1" applyBorder="1" applyAlignment="1">
      <alignment horizontal="left" vertical="center"/>
    </xf>
    <xf numFmtId="0" fontId="25" fillId="3" borderId="1" xfId="0" applyFont="1" applyFill="1" applyBorder="1" applyAlignment="1">
      <alignment horizontal="left" vertical="center" wrapText="1"/>
    </xf>
    <xf numFmtId="0" fontId="25" fillId="3" borderId="16" xfId="0" applyFont="1" applyFill="1" applyBorder="1" applyAlignment="1">
      <alignment horizontal="left" vertical="center" wrapText="1"/>
    </xf>
    <xf numFmtId="0" fontId="25" fillId="3" borderId="18" xfId="0" applyFont="1" applyFill="1" applyBorder="1" applyAlignment="1">
      <alignment horizontal="left" vertical="center" wrapText="1"/>
    </xf>
    <xf numFmtId="0" fontId="25" fillId="3" borderId="17" xfId="0" applyFont="1" applyFill="1" applyBorder="1" applyAlignment="1">
      <alignment horizontal="left" vertical="center" wrapText="1"/>
    </xf>
    <xf numFmtId="0" fontId="4" fillId="2" borderId="1" xfId="0" applyFont="1" applyFill="1" applyBorder="1" applyAlignment="1">
      <alignment horizontal="left" wrapText="1"/>
    </xf>
    <xf numFmtId="0" fontId="4" fillId="3" borderId="1" xfId="0" applyFont="1" applyFill="1" applyBorder="1" applyAlignment="1">
      <alignment horizontal="left" vertical="top" wrapText="1"/>
    </xf>
    <xf numFmtId="14" fontId="25" fillId="3" borderId="16" xfId="0" applyNumberFormat="1" applyFont="1" applyFill="1" applyBorder="1" applyAlignment="1">
      <alignment horizontal="left" vertical="center" wrapText="1"/>
    </xf>
    <xf numFmtId="14" fontId="25" fillId="3" borderId="18" xfId="0" applyNumberFormat="1" applyFont="1" applyFill="1" applyBorder="1" applyAlignment="1">
      <alignment horizontal="left" vertical="center" wrapText="1"/>
    </xf>
    <xf numFmtId="14" fontId="25" fillId="3" borderId="17" xfId="0" applyNumberFormat="1" applyFont="1" applyFill="1" applyBorder="1" applyAlignment="1">
      <alignment horizontal="left" vertical="center" wrapText="1"/>
    </xf>
    <xf numFmtId="0" fontId="35" fillId="2" borderId="16" xfId="0" applyFont="1" applyFill="1" applyBorder="1" applyAlignment="1">
      <alignment horizontal="left"/>
    </xf>
    <xf numFmtId="0" fontId="35" fillId="2" borderId="18" xfId="0" applyFont="1" applyFill="1" applyBorder="1" applyAlignment="1">
      <alignment horizontal="left"/>
    </xf>
    <xf numFmtId="0" fontId="35" fillId="2" borderId="17" xfId="0" applyFont="1" applyFill="1" applyBorder="1" applyAlignment="1">
      <alignment horizontal="left"/>
    </xf>
    <xf numFmtId="0" fontId="4" fillId="3" borderId="18" xfId="0" applyFont="1" applyFill="1" applyBorder="1" applyAlignment="1">
      <alignment horizontal="left" vertical="top" wrapText="1"/>
    </xf>
    <xf numFmtId="0" fontId="4" fillId="3" borderId="17" xfId="0" applyFont="1" applyFill="1" applyBorder="1" applyAlignment="1">
      <alignment horizontal="left" vertical="top" wrapText="1"/>
    </xf>
  </cellXfs>
  <cellStyles count="32">
    <cellStyle name="ColLevel_1" xfId="1" builtinId="2" iLevel="0"/>
    <cellStyle name="entry" xfId="3"/>
    <cellStyle name="entry 2" xfId="4"/>
    <cellStyle name="Lien hypertexte 2" xfId="6"/>
    <cellStyle name="Normal 2" xfId="7"/>
    <cellStyle name="Normal 3" xfId="8"/>
    <cellStyle name="Normal 4" xfId="28"/>
    <cellStyle name="Normal 5" xfId="31"/>
    <cellStyle name="p::v Condition Cells" xfId="30"/>
    <cellStyle name="para" xfId="9"/>
    <cellStyle name="RowLevel_2" xfId="2" builtinId="1" iLevel="1"/>
    <cellStyle name="sect" xfId="10"/>
    <cellStyle name="sect1" xfId="11"/>
    <cellStyle name="sect2" xfId="12"/>
    <cellStyle name="sect3" xfId="13"/>
    <cellStyle name="sect4" xfId="14"/>
    <cellStyle name="sect4 2" xfId="15"/>
    <cellStyle name="sect5" xfId="16"/>
    <cellStyle name="sect5 2" xfId="17"/>
    <cellStyle name="sect6" xfId="18"/>
    <cellStyle name="sect6 2" xfId="19"/>
    <cellStyle name="sect7" xfId="20"/>
    <cellStyle name="sect7 2" xfId="21"/>
    <cellStyle name="sect8" xfId="22"/>
    <cellStyle name="sect8 2" xfId="23"/>
    <cellStyle name="sect9" xfId="24"/>
    <cellStyle name="sect9 2" xfId="25"/>
    <cellStyle name="tableTitle" xfId="26"/>
    <cellStyle name="title" xfId="27"/>
    <cellStyle name="百分比" xfId="29" builtinId="5"/>
    <cellStyle name="常规" xfId="0" builtinId="0"/>
    <cellStyle name="超链接" xfId="5" builtinId="8"/>
  </cellStyles>
  <dxfs count="49">
    <dxf>
      <fill>
        <patternFill>
          <fgColor indexed="64"/>
          <bgColor theme="0" tint="-0.24994659260841701"/>
        </patternFill>
      </fill>
    </dxf>
    <dxf>
      <fill>
        <patternFill>
          <fgColor indexed="64"/>
          <bgColor rgb="FFFF0000"/>
        </patternFill>
      </fill>
    </dxf>
    <dxf>
      <fill>
        <patternFill>
          <fgColor indexed="64"/>
          <bgColor rgb="FFFF000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theme" Target="theme/theme1.xml"/>
  <Relationship Id="rId11" Type="http://schemas.openxmlformats.org/officeDocument/2006/relationships/styles" Target="styles.xml"/>
  <Relationship Id="rId12" Type="http://schemas.openxmlformats.org/officeDocument/2006/relationships/sharedStrings" Target="sharedStrings.xml"/>
  <Relationship Id="rId13" Type="http://schemas.openxmlformats.org/officeDocument/2006/relationships/calcChain" Target="calcChain.xml"/>
  <Relationship Id="rId14" Type="http://schemas.openxmlformats.org/officeDocument/2006/relationships/customXml" Target="../customXml/item1.xml"/>
  <Relationship Id="rId15" Type="http://schemas.openxmlformats.org/officeDocument/2006/relationships/customXml" Target="../customXml/item2.xml"/>
  <Relationship Id="rId16" Type="http://schemas.openxmlformats.org/officeDocument/2006/relationships/customXml" Target="../customXml/item3.xml"/>
  <Relationship Id="rId17"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externalLink" Target="externalLinks/externalLink1.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s>

</file>

<file path=xl/drawings/_rels/drawing2.xml.rels><?xml version="1.0" encoding="UTF-8"?>

<Relationships xmlns="http://schemas.openxmlformats.org/package/2006/relationships">
  <Relationship Id="rId1" Type="http://schemas.openxmlformats.org/officeDocument/2006/relationships/image" Target="../media/image3.png"/>
</Relationships>

</file>

<file path=xl/drawings/_rels/vmlDrawing1.vml.rels><?xml version="1.0" encoding="UTF-8"?>

<Relationships xmlns="http://schemas.openxmlformats.org/package/2006/relationships">
  <Relationship Id="rId1" Type="http://schemas.openxmlformats.org/officeDocument/2006/relationships/image" Target="../media/image2.emf"/>
</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grpSp>
      <xdr:nvGrpSpPr>
        <xdr:cNvPr id="9700" name="Group 1"/>
        <xdr:cNvGrpSpPr>
          <a:grpSpLocks/>
        </xdr:cNvGrpSpPr>
      </xdr:nvGrpSpPr>
      <xdr:grpSpPr bwMode="auto">
        <a:xfrm>
          <a:off x="0" y="0"/>
          <a:ext cx="0" cy="0"/>
          <a:chOff x="6768" y="1440"/>
          <a:chExt cx="3888" cy="1008"/>
        </a:xfrm>
      </xdr:grpSpPr>
      <xdr:grpSp>
        <xdr:nvGrpSpPr>
          <xdr:cNvPr id="9702" name="Group 2"/>
          <xdr:cNvGrpSpPr>
            <a:grpSpLocks/>
          </xdr:cNvGrpSpPr>
        </xdr:nvGrpSpPr>
        <xdr:grpSpPr bwMode="auto">
          <a:xfrm>
            <a:off x="9648" y="1440"/>
            <a:ext cx="976" cy="720"/>
            <a:chOff x="5359" y="2448"/>
            <a:chExt cx="1840" cy="1705"/>
          </a:xfrm>
        </xdr:grpSpPr>
        <xdr:sp macro="" textlink="">
          <xdr:nvSpPr>
            <xdr:cNvPr id="9704" name="Freeform 3"/>
            <xdr:cNvSpPr>
              <a:spLocks/>
            </xdr:cNvSpPr>
          </xdr:nvSpPr>
          <xdr:spPr bwMode="auto">
            <a:xfrm>
              <a:off x="5359" y="2449"/>
              <a:ext cx="1705" cy="143"/>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19988" y="0"/>
                  </a:moveTo>
                  <a:lnTo>
                    <a:pt x="19988" y="19860"/>
                  </a:lnTo>
                  <a:lnTo>
                    <a:pt x="1666" y="19860"/>
                  </a:lnTo>
                  <a:lnTo>
                    <a:pt x="0" y="0"/>
                  </a:lnTo>
                  <a:lnTo>
                    <a:pt x="19988" y="0"/>
                  </a:lnTo>
                  <a:close/>
                </a:path>
              </a:pathLst>
            </a:custGeom>
            <a:solidFill>
              <a:srgbClr val="0000FF"/>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sp macro="" textlink="">
          <xdr:nvSpPr>
            <xdr:cNvPr id="9705" name="Freeform 4"/>
            <xdr:cNvSpPr>
              <a:spLocks/>
            </xdr:cNvSpPr>
          </xdr:nvSpPr>
          <xdr:spPr bwMode="auto">
            <a:xfrm>
              <a:off x="7056" y="2448"/>
              <a:ext cx="143" cy="1705"/>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0" y="0"/>
                  </a:moveTo>
                  <a:lnTo>
                    <a:pt x="19860" y="0"/>
                  </a:lnTo>
                  <a:lnTo>
                    <a:pt x="19860" y="18323"/>
                  </a:lnTo>
                  <a:lnTo>
                    <a:pt x="0" y="19988"/>
                  </a:lnTo>
                  <a:lnTo>
                    <a:pt x="0" y="0"/>
                  </a:lnTo>
                  <a:close/>
                </a:path>
              </a:pathLst>
            </a:custGeom>
            <a:solidFill>
              <a:srgbClr val="FF0000"/>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grpSp>
      <xdr:sp macro="" textlink="">
        <xdr:nvSpPr>
          <xdr:cNvPr id="2053" name="Text Box 5"/>
          <xdr:cNvSpPr txBox="1">
            <a:spLocks noChangeArrowheads="1"/>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alpha val="50000"/>
                  </a:srgbClr>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1400" b="0" i="0" u="none" strike="noStrike" baseline="0">
                <a:solidFill>
                  <a:srgbClr val="000000"/>
                </a:solidFill>
                <a:latin typeface="Arial"/>
                <a:cs typeface="Arial"/>
              </a:rPr>
              <a:t>PSA PEUGEOT CITROEN</a:t>
            </a:r>
          </a:p>
        </xdr:txBody>
      </xdr:sp>
    </xdr:grpSp>
    <xdr:clientData/>
  </xdr:twoCellAnchor>
  <xdr:twoCellAnchor editAs="oneCell">
    <xdr:from>
      <xdr:col>7</xdr:col>
      <xdr:colOff>560297</xdr:colOff>
      <xdr:row>0</xdr:row>
      <xdr:rowOff>33616</xdr:rowOff>
    </xdr:from>
    <xdr:to>
      <xdr:col>8</xdr:col>
      <xdr:colOff>1165414</xdr:colOff>
      <xdr:row>3</xdr:row>
      <xdr:rowOff>11205</xdr:rowOff>
    </xdr:to>
    <xdr:pic>
      <xdr:nvPicPr>
        <xdr:cNvPr id="8" name="Image 7" descr="Logo_Stellantis_Signature_RGB-02"/>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07209" y="33616"/>
          <a:ext cx="1848970" cy="448236"/>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84669</xdr:colOff>
      <xdr:row>19</xdr:row>
      <xdr:rowOff>44091</xdr:rowOff>
    </xdr:from>
    <xdr:to>
      <xdr:col>17</xdr:col>
      <xdr:colOff>419589</xdr:colOff>
      <xdr:row>39</xdr:row>
      <xdr:rowOff>1</xdr:rowOff>
    </xdr:to>
    <xdr:pic>
      <xdr:nvPicPr>
        <xdr:cNvPr id="2" name="Image 1"/>
        <xdr:cNvPicPr>
          <a:picLocks noChangeAspect="1"/>
        </xdr:cNvPicPr>
      </xdr:nvPicPr>
      <xdr:blipFill>
        <a:blip xmlns:r="http://schemas.openxmlformats.org/officeDocument/2006/relationships" r:embed="rId1"/>
        <a:stretch>
          <a:fillRect/>
        </a:stretch>
      </xdr:blipFill>
      <xdr:spPr>
        <a:xfrm>
          <a:off x="8329086" y="3483674"/>
          <a:ext cx="8716920" cy="58508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374650</xdr:colOff>
          <xdr:row>13</xdr:row>
          <xdr:rowOff>76200</xdr:rowOff>
        </xdr:from>
        <xdr:to>
          <xdr:col>10</xdr:col>
          <xdr:colOff>527050</xdr:colOff>
          <xdr:row>16</xdr:row>
          <xdr:rowOff>114300</xdr:rowOff>
        </xdr:to>
        <xdr:sp macro="" textlink="">
          <xdr:nvSpPr>
            <xdr:cNvPr id="6145" name="Object 1" hidden="1">
              <a:extLst>
                <a:ext uri="{63B3BB69-23CF-44E3-9099-C40C66FF867C}">
                  <a14:compatExt spid="_x0000_s614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file:///C:/Users/u336688/AppData/Local/Temp/notesDF67E6/01255_10_01271_matrice_conformit&#233;_ST_Alertes_SMEGplus.xls"/>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v"/>
      <sheetName val="Version"/>
      <sheetName val="Matrice"/>
      <sheetName val="List"/>
    </sheetNames>
    <sheetDataSet>
      <sheetData sheetId="0" refreshError="1"/>
      <sheetData sheetId="1">
        <row r="14">
          <cell r="I14" t="str">
            <v>OK</v>
          </cell>
        </row>
        <row r="15">
          <cell r="I15" t="str">
            <v>N/OK</v>
          </cell>
        </row>
        <row r="16">
          <cell r="I16" t="str">
            <v>Partiel</v>
          </cell>
        </row>
      </sheetData>
      <sheetData sheetId="2" refreshError="1"/>
      <sheetData sheetId="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hyperlink" TargetMode="External" Target="mailto:ATT_RESP@SW"/>
  <Relationship Id="rId10" Type="http://schemas.openxmlformats.org/officeDocument/2006/relationships/hyperlink" TargetMode="External" Target="mailto:ATT_RESP@NONE"/>
  <Relationship Id="rId11" Type="http://schemas.openxmlformats.org/officeDocument/2006/relationships/hyperlink" TargetMode="External" Target="mailto:ATT_RESP@NONE"/>
  <Relationship Id="rId12" Type="http://schemas.openxmlformats.org/officeDocument/2006/relationships/hyperlink" TargetMode="External" Target="mailto:ATT_RESP@DEV_INT"/>
  <Relationship Id="rId13" Type="http://schemas.openxmlformats.org/officeDocument/2006/relationships/hyperlink" TargetMode="External" Target="mailto:ATT_RESP@PTF"/>
  <Relationship Id="rId14" Type="http://schemas.openxmlformats.org/officeDocument/2006/relationships/printerSettings" Target="../printerSettings/printerSettings2.bin"/>
  <Relationship Id="rId2" Type="http://schemas.openxmlformats.org/officeDocument/2006/relationships/hyperlink" TargetMode="External" Target="mailto:ATT_RESP@DEV"/>
  <Relationship Id="rId3" Type="http://schemas.openxmlformats.org/officeDocument/2006/relationships/hyperlink" TargetMode="External" Target="mailto:ATT_RESP@FULL"/>
  <Relationship Id="rId4" Type="http://schemas.openxmlformats.org/officeDocument/2006/relationships/hyperlink" TargetMode="External" Target="mailto:ATT_RESP@SW"/>
  <Relationship Id="rId5" Type="http://schemas.openxmlformats.org/officeDocument/2006/relationships/hyperlink" TargetMode="External" Target="mailto:ATT_RESP@FULL"/>
  <Relationship Id="rId6" Type="http://schemas.openxmlformats.org/officeDocument/2006/relationships/hyperlink" TargetMode="External" Target="mailto:ATT_RESP@DEV"/>
  <Relationship Id="rId7" Type="http://schemas.openxmlformats.org/officeDocument/2006/relationships/hyperlink" TargetMode="External" Target="mailto:ATT_RESP@PTF"/>
  <Relationship Id="rId8" Type="http://schemas.openxmlformats.org/officeDocument/2006/relationships/hyperlink" TargetMode="External" Target="mailto:ATT_RESP@INT"/>
  <Relationship Id="rId9" Type="http://schemas.openxmlformats.org/officeDocument/2006/relationships/hyperlink" TargetMode="External" Target="mailto:ATT_RESP@PTF"/>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_rels/sheet6.xml.rels><?xml version="1.0" encoding="UTF-8"?>

<Relationships xmlns="http://schemas.openxmlformats.org/package/2006/relationships">
  <Relationship Id="rId1" Type="http://schemas.openxmlformats.org/officeDocument/2006/relationships/hyperlink" TargetMode="External" Target="http://docinfogroupe.inetpsa.com/ead/doc/ref.02017_16_05371/v.1.0/pj"/>
  <Relationship Id="rId2" Type="http://schemas.openxmlformats.org/officeDocument/2006/relationships/printerSettings" Target="../printerSettings/printerSettings6.bin"/>
  <Relationship Id="rId3" Type="http://schemas.openxmlformats.org/officeDocument/2006/relationships/drawing" Target="../drawings/drawing2.xml"/>
  <Relationship Id="rId4" Type="http://schemas.openxmlformats.org/officeDocument/2006/relationships/vmlDrawing" Target="../drawings/vmlDrawing1.vml"/>
  <Relationship Id="rId5" Type="http://schemas.openxmlformats.org/officeDocument/2006/relationships/oleObject" Target="../embeddings/Microsoft_PowerPoint_97-2003_____1.ppt"/>
  <Relationship Id="rId6" Type="http://schemas.openxmlformats.org/officeDocument/2006/relationships/image" Target="../media/image2.emf"/>
</Relationships>

</file>

<file path=xl/worksheets/_rels/sheet7.xml.rels><?xml version="1.0" encoding="UTF-8"?>

<Relationships xmlns="http://schemas.openxmlformats.org/package/2006/relationships">
  <Relationship Id="rId1" Type="http://schemas.openxmlformats.org/officeDocument/2006/relationships/hyperlink" TargetMode="External" Target="http://docinfogroupe.inetpsa.com/ead/doc/ref.02017_12_05435/v.vc/fiche"/>
  <Relationship Id="rId2" Type="http://schemas.openxmlformats.org/officeDocument/2006/relationships/hyperlink" TargetMode="External" Target="http://docinfogroupe.inetpsa.com/ead/doc/ref.02017_13_09769/v.vc/fiche"/>
  <Relationship Id="rId3" Type="http://schemas.openxmlformats.org/officeDocument/2006/relationships/hyperlink" TargetMode="External" Target="http://docinfogroupe.inetpsa.com/ead/doc/ref.02017_13_09769/v.vc/fiche"/>
  <Relationship Id="rId4" Type="http://schemas.openxmlformats.org/officeDocument/2006/relationships/hyperlink" TargetMode="External" Target="http://docinfogroupe.inetpsa.com/ead/doc/ref.02017_12_01062/v.dp/fiche"/>
  <Relationship Id="rId5" Type="http://schemas.openxmlformats.org/officeDocument/2006/relationships/hyperlink" TargetMode="External" Target="http://docinfogroupe.inetpsa.com/ead/doc/ref.02017_13_01490/v.vc/fiche"/>
  <Relationship Id="rId6" Type="http://schemas.openxmlformats.org/officeDocument/2006/relationships/printerSettings" Target="../printerSettings/printerSettings7.bin"/>
</Relationships>

</file>

<file path=xl/worksheets/_rels/sheet8.xml.rels><?xml version="1.0" encoding="UTF-8"?>

<Relationships xmlns="http://schemas.openxmlformats.org/package/2006/relationships">
  <Relationship Id="rId1" Type="http://schemas.openxmlformats.org/officeDocument/2006/relationships/printerSettings" Target="../printerSettings/printerSettings8.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D1:K47"/>
  <sheetViews>
    <sheetView zoomScale="85" zoomScaleNormal="85" workbookViewId="0">
      <selection activeCell="H19" sqref="H19:I19"/>
    </sheetView>
  </sheetViews>
  <sheetFormatPr defaultColWidth="11.453125" defaultRowHeight="12.5" x14ac:dyDescent="0.25"/>
  <cols>
    <col min="1" max="3" width="2.81640625" style="4" customWidth="1"/>
    <col min="4" max="9" width="18.7265625" style="4" customWidth="1"/>
    <col min="10" max="16384" width="11.453125" style="4"/>
  </cols>
  <sheetData>
    <row r="1" spans="4:9" ht="13" x14ac:dyDescent="0.25">
      <c r="D1" s="233" t="s">
        <v>8</v>
      </c>
      <c r="E1" s="234"/>
      <c r="F1" s="34"/>
      <c r="G1" s="35"/>
      <c r="H1" s="35"/>
      <c r="I1" s="36"/>
    </row>
    <row r="2" spans="4:9" ht="13" x14ac:dyDescent="0.25">
      <c r="D2" s="241" t="s">
        <v>1036</v>
      </c>
      <c r="E2" s="242"/>
      <c r="F2" s="39"/>
      <c r="G2" s="31"/>
      <c r="H2" s="31"/>
      <c r="I2" s="37"/>
    </row>
    <row r="3" spans="4:9" ht="12.75" customHeight="1" x14ac:dyDescent="0.25">
      <c r="D3" s="235"/>
      <c r="E3" s="236"/>
      <c r="F3" s="39"/>
      <c r="G3" s="3"/>
      <c r="H3" s="32"/>
      <c r="I3" s="38"/>
    </row>
    <row r="4" spans="4:9" ht="13" x14ac:dyDescent="0.25">
      <c r="D4" s="233" t="s">
        <v>98</v>
      </c>
      <c r="E4" s="234"/>
      <c r="F4" s="39"/>
      <c r="G4" s="218" t="s">
        <v>272</v>
      </c>
      <c r="H4" s="219"/>
      <c r="I4" s="219"/>
    </row>
    <row r="5" spans="4:9" ht="13" x14ac:dyDescent="0.25">
      <c r="D5" s="237" t="s">
        <v>122</v>
      </c>
      <c r="E5" s="238"/>
      <c r="F5" s="39"/>
      <c r="G5" s="220"/>
      <c r="H5" s="221"/>
      <c r="I5" s="221"/>
    </row>
    <row r="6" spans="4:9" ht="13" x14ac:dyDescent="0.25">
      <c r="D6" s="239"/>
      <c r="E6" s="240"/>
      <c r="F6" s="40"/>
      <c r="G6" s="220"/>
      <c r="H6" s="221"/>
      <c r="I6" s="221"/>
    </row>
    <row r="7" spans="4:9" ht="13" x14ac:dyDescent="0.25">
      <c r="D7" s="30"/>
      <c r="E7" s="30"/>
      <c r="F7" s="30"/>
      <c r="G7" s="30"/>
      <c r="H7" s="30"/>
      <c r="I7" s="30"/>
    </row>
    <row r="8" spans="4:9" ht="13" x14ac:dyDescent="0.25">
      <c r="D8" s="30"/>
      <c r="E8" s="30"/>
      <c r="F8" s="30"/>
      <c r="G8" s="30"/>
      <c r="H8" s="30"/>
      <c r="I8" s="30"/>
    </row>
    <row r="9" spans="4:9" ht="13" x14ac:dyDescent="0.25">
      <c r="D9" s="30"/>
      <c r="E9" s="30"/>
      <c r="F9" s="30"/>
      <c r="G9" s="30"/>
      <c r="H9" s="30"/>
      <c r="I9" s="30"/>
    </row>
    <row r="10" spans="4:9" x14ac:dyDescent="0.25">
      <c r="D10" s="3"/>
      <c r="E10" s="232" t="s">
        <v>271</v>
      </c>
      <c r="F10" s="232"/>
      <c r="G10" s="232"/>
      <c r="H10" s="232"/>
      <c r="I10" s="3"/>
    </row>
    <row r="11" spans="4:9" x14ac:dyDescent="0.25">
      <c r="D11" s="3"/>
      <c r="E11" s="232"/>
      <c r="F11" s="232"/>
      <c r="G11" s="232"/>
      <c r="H11" s="232"/>
      <c r="I11" s="3"/>
    </row>
    <row r="12" spans="4:9" x14ac:dyDescent="0.25">
      <c r="D12" s="3"/>
      <c r="E12" s="232"/>
      <c r="F12" s="232"/>
      <c r="G12" s="232"/>
      <c r="H12" s="232"/>
      <c r="I12" s="3"/>
    </row>
    <row r="13" spans="4:9" x14ac:dyDescent="0.25">
      <c r="D13" s="3"/>
      <c r="E13" s="230" t="s">
        <v>1030</v>
      </c>
      <c r="F13" s="231"/>
      <c r="G13" s="231"/>
      <c r="H13" s="231"/>
      <c r="I13" s="3"/>
    </row>
    <row r="14" spans="4:9" x14ac:dyDescent="0.25">
      <c r="D14" s="3"/>
      <c r="E14" s="231"/>
      <c r="F14" s="231"/>
      <c r="G14" s="231"/>
      <c r="H14" s="231"/>
      <c r="I14" s="3"/>
    </row>
    <row r="15" spans="4:9" ht="13" x14ac:dyDescent="0.25">
      <c r="D15" s="30"/>
      <c r="E15" s="30"/>
      <c r="F15" s="30"/>
      <c r="G15" s="30"/>
      <c r="H15" s="30"/>
      <c r="I15" s="30"/>
    </row>
    <row r="16" spans="4:9" x14ac:dyDescent="0.25">
      <c r="D16" s="5"/>
      <c r="E16" s="5"/>
      <c r="F16" s="5"/>
      <c r="G16" s="5"/>
      <c r="H16" s="5"/>
      <c r="I16" s="5"/>
    </row>
    <row r="17" spans="4:9" x14ac:dyDescent="0.25">
      <c r="D17" s="1" t="s">
        <v>23</v>
      </c>
      <c r="E17" s="215"/>
      <c r="F17" s="216" t="s">
        <v>24</v>
      </c>
      <c r="G17" s="217"/>
      <c r="H17" s="222" t="s">
        <v>25</v>
      </c>
      <c r="I17" s="223"/>
    </row>
    <row r="18" spans="4:9" ht="12.75" customHeight="1" x14ac:dyDescent="0.25">
      <c r="D18" s="248" t="s">
        <v>1033</v>
      </c>
      <c r="E18" s="249"/>
      <c r="F18" s="248" t="s">
        <v>1034</v>
      </c>
      <c r="G18" s="249"/>
      <c r="H18" s="246" t="s">
        <v>1035</v>
      </c>
      <c r="I18" s="247"/>
    </row>
    <row r="19" spans="4:9" ht="12.75" customHeight="1" x14ac:dyDescent="0.25">
      <c r="D19" s="224" t="s">
        <v>1038</v>
      </c>
      <c r="E19" s="225"/>
      <c r="F19" s="224" t="s">
        <v>1039</v>
      </c>
      <c r="G19" s="225"/>
      <c r="H19" s="224" t="s">
        <v>1038</v>
      </c>
      <c r="I19" s="225"/>
    </row>
    <row r="20" spans="4:9" x14ac:dyDescent="0.25">
      <c r="D20" s="51" t="s">
        <v>10</v>
      </c>
      <c r="E20" s="51" t="s">
        <v>11</v>
      </c>
      <c r="F20" s="51" t="s">
        <v>10</v>
      </c>
      <c r="G20" s="33" t="s">
        <v>11</v>
      </c>
      <c r="H20" s="51" t="s">
        <v>10</v>
      </c>
      <c r="I20" s="51" t="s">
        <v>11</v>
      </c>
    </row>
    <row r="21" spans="4:9" x14ac:dyDescent="0.25">
      <c r="D21" s="52"/>
      <c r="E21" s="52"/>
      <c r="F21" s="52"/>
      <c r="G21" s="33"/>
      <c r="H21" s="52"/>
      <c r="I21" s="52"/>
    </row>
    <row r="22" spans="4:9" x14ac:dyDescent="0.25">
      <c r="D22" s="52"/>
      <c r="E22" s="52"/>
      <c r="F22" s="52"/>
      <c r="G22" s="33"/>
      <c r="H22" s="52"/>
      <c r="I22" s="52"/>
    </row>
    <row r="23" spans="4:9" x14ac:dyDescent="0.25">
      <c r="D23" s="52"/>
      <c r="E23" s="52"/>
      <c r="F23" s="54"/>
      <c r="G23" s="55"/>
      <c r="H23" s="52"/>
      <c r="I23" s="52"/>
    </row>
    <row r="24" spans="4:9" ht="13.5" customHeight="1" x14ac:dyDescent="0.25">
      <c r="D24" s="222" t="s">
        <v>23</v>
      </c>
      <c r="E24" s="223"/>
      <c r="F24" s="222" t="s">
        <v>24</v>
      </c>
      <c r="G24" s="223"/>
      <c r="H24" s="222" t="s">
        <v>25</v>
      </c>
      <c r="I24" s="223"/>
    </row>
    <row r="25" spans="4:9" x14ac:dyDescent="0.25">
      <c r="D25" s="228" t="s">
        <v>9</v>
      </c>
      <c r="E25" s="229"/>
      <c r="F25" s="228" t="s">
        <v>9</v>
      </c>
      <c r="G25" s="229"/>
      <c r="H25" s="228" t="s">
        <v>9</v>
      </c>
      <c r="I25" s="229"/>
    </row>
    <row r="26" spans="4:9" x14ac:dyDescent="0.25">
      <c r="D26" s="226" t="s">
        <v>13</v>
      </c>
      <c r="E26" s="227"/>
      <c r="F26" s="226" t="s">
        <v>12</v>
      </c>
      <c r="G26" s="227"/>
      <c r="H26" s="226" t="s">
        <v>12</v>
      </c>
      <c r="I26" s="227"/>
    </row>
    <row r="27" spans="4:9" x14ac:dyDescent="0.25">
      <c r="D27" s="56" t="s">
        <v>10</v>
      </c>
      <c r="E27" s="51" t="s">
        <v>11</v>
      </c>
      <c r="F27" s="59" t="s">
        <v>10</v>
      </c>
      <c r="G27" s="51" t="s">
        <v>11</v>
      </c>
      <c r="H27" s="59" t="s">
        <v>10</v>
      </c>
      <c r="I27" s="51" t="s">
        <v>11</v>
      </c>
    </row>
    <row r="28" spans="4:9" x14ac:dyDescent="0.25">
      <c r="D28" s="57"/>
      <c r="E28" s="52"/>
      <c r="F28" s="33"/>
      <c r="G28" s="52"/>
      <c r="H28" s="33"/>
      <c r="I28" s="52"/>
    </row>
    <row r="29" spans="4:9" x14ac:dyDescent="0.25">
      <c r="D29" s="57"/>
      <c r="E29" s="52"/>
      <c r="F29" s="33"/>
      <c r="G29" s="52"/>
      <c r="H29" s="33"/>
      <c r="I29" s="52"/>
    </row>
    <row r="30" spans="4:9" x14ac:dyDescent="0.25">
      <c r="D30" s="58"/>
      <c r="E30" s="53"/>
      <c r="F30" s="60"/>
      <c r="G30" s="53"/>
      <c r="H30" s="60"/>
      <c r="I30" s="53"/>
    </row>
    <row r="31" spans="4:9" x14ac:dyDescent="0.25">
      <c r="D31" s="33"/>
      <c r="E31" s="33"/>
      <c r="F31" s="33"/>
      <c r="G31" s="33"/>
      <c r="H31" s="33"/>
      <c r="I31" s="33"/>
    </row>
    <row r="32" spans="4:9" ht="13" x14ac:dyDescent="0.25">
      <c r="D32" s="41"/>
      <c r="E32" s="41"/>
      <c r="F32" s="42"/>
      <c r="G32" s="43"/>
      <c r="H32" s="44"/>
      <c r="I32" s="45"/>
    </row>
    <row r="33" spans="4:11" ht="13" x14ac:dyDescent="0.25">
      <c r="D33" s="257" t="s">
        <v>29</v>
      </c>
      <c r="E33" s="257"/>
      <c r="F33" s="257"/>
      <c r="G33" s="257"/>
      <c r="H33" s="257"/>
      <c r="I33" s="257"/>
    </row>
    <row r="34" spans="4:11" ht="13" x14ac:dyDescent="0.25">
      <c r="D34" s="41"/>
      <c r="E34" s="41"/>
      <c r="F34" s="42"/>
      <c r="G34" s="43"/>
      <c r="H34" s="44"/>
      <c r="I34" s="45"/>
    </row>
    <row r="35" spans="4:11" ht="13.5" customHeight="1" x14ac:dyDescent="0.25">
      <c r="D35" s="63" t="s">
        <v>27</v>
      </c>
      <c r="E35" s="63" t="s">
        <v>28</v>
      </c>
      <c r="F35" s="2" t="s">
        <v>2</v>
      </c>
      <c r="G35" s="2"/>
      <c r="H35" s="2"/>
      <c r="I35" s="2"/>
      <c r="J35" s="61"/>
      <c r="K35" s="61"/>
    </row>
    <row r="36" spans="4:11" ht="56.25" customHeight="1" x14ac:dyDescent="0.25">
      <c r="D36" s="64" t="s">
        <v>1031</v>
      </c>
      <c r="E36" s="65">
        <v>46003</v>
      </c>
      <c r="F36" s="254" t="s">
        <v>1032</v>
      </c>
      <c r="G36" s="255"/>
      <c r="H36" s="255"/>
      <c r="I36" s="256"/>
      <c r="J36" s="62"/>
      <c r="K36" s="62"/>
    </row>
    <row r="37" spans="4:11" x14ac:dyDescent="0.25">
      <c r="D37" s="64"/>
      <c r="E37" s="66"/>
      <c r="F37" s="254"/>
      <c r="G37" s="255"/>
      <c r="H37" s="255"/>
      <c r="I37" s="256"/>
      <c r="J37" s="62"/>
      <c r="K37" s="62"/>
    </row>
    <row r="38" spans="4:11" x14ac:dyDescent="0.25">
      <c r="D38" s="64"/>
      <c r="E38" s="66"/>
      <c r="F38" s="243"/>
      <c r="G38" s="243"/>
      <c r="H38" s="243"/>
      <c r="I38" s="243"/>
      <c r="J38" s="62"/>
      <c r="K38" s="62"/>
    </row>
    <row r="39" spans="4:11" x14ac:dyDescent="0.25">
      <c r="D39" s="64"/>
      <c r="E39" s="66"/>
      <c r="F39" s="243"/>
      <c r="G39" s="243"/>
      <c r="H39" s="243"/>
      <c r="I39" s="243"/>
      <c r="J39" s="62"/>
      <c r="K39" s="62"/>
    </row>
    <row r="40" spans="4:11" x14ac:dyDescent="0.25">
      <c r="D40" s="64"/>
      <c r="E40" s="66"/>
      <c r="F40" s="243"/>
      <c r="G40" s="243"/>
      <c r="H40" s="243"/>
      <c r="I40" s="243"/>
      <c r="J40" s="62"/>
      <c r="K40" s="62"/>
    </row>
    <row r="41" spans="4:11" x14ac:dyDescent="0.25">
      <c r="D41" s="64"/>
      <c r="E41" s="66"/>
      <c r="F41" s="243"/>
      <c r="G41" s="243"/>
      <c r="H41" s="243"/>
      <c r="I41" s="243"/>
    </row>
    <row r="42" spans="4:11" ht="39" customHeight="1" x14ac:dyDescent="0.25">
      <c r="D42" s="250" t="s">
        <v>273</v>
      </c>
      <c r="E42" s="251"/>
      <c r="F42" s="258" t="s">
        <v>22</v>
      </c>
      <c r="G42" s="258"/>
      <c r="H42" s="46" t="s">
        <v>21</v>
      </c>
      <c r="I42" s="46" t="s">
        <v>14</v>
      </c>
    </row>
    <row r="43" spans="4:11" ht="20" x14ac:dyDescent="0.25">
      <c r="D43" s="252" t="str">
        <f>E13</f>
        <v>DM17F (CD LVDS)</v>
      </c>
      <c r="E43" s="253"/>
      <c r="F43" s="259" t="s">
        <v>1036</v>
      </c>
      <c r="G43" s="259"/>
      <c r="H43" s="47" t="s">
        <v>1031</v>
      </c>
      <c r="I43" s="48" t="s">
        <v>15</v>
      </c>
    </row>
    <row r="44" spans="4:11" ht="20" x14ac:dyDescent="0.25">
      <c r="D44" s="106"/>
      <c r="E44" s="107"/>
      <c r="F44" s="46" t="s">
        <v>18</v>
      </c>
      <c r="G44" s="46" t="s">
        <v>16</v>
      </c>
      <c r="H44" s="46" t="s">
        <v>19</v>
      </c>
      <c r="I44" s="46" t="s">
        <v>20</v>
      </c>
    </row>
    <row r="45" spans="4:11" ht="23" x14ac:dyDescent="0.25">
      <c r="D45" s="108"/>
      <c r="E45" s="109"/>
      <c r="F45" s="47" t="s">
        <v>17</v>
      </c>
      <c r="G45" s="49" t="s">
        <v>26</v>
      </c>
      <c r="H45" s="67" t="s">
        <v>123</v>
      </c>
      <c r="I45" s="50" t="s">
        <v>26</v>
      </c>
    </row>
    <row r="46" spans="4:11" ht="13" x14ac:dyDescent="0.25">
      <c r="D46" s="41"/>
      <c r="E46" s="41"/>
      <c r="F46" s="42"/>
      <c r="G46" s="43"/>
      <c r="H46" s="44"/>
      <c r="I46" s="45"/>
    </row>
    <row r="47" spans="4:11" ht="21" customHeight="1" x14ac:dyDescent="0.25">
      <c r="D47" s="244" t="s">
        <v>290</v>
      </c>
      <c r="E47" s="245"/>
      <c r="F47" s="245"/>
      <c r="G47" s="245"/>
      <c r="H47" s="245"/>
      <c r="I47" s="245"/>
    </row>
  </sheetData>
  <mergeCells count="40">
    <mergeCell ref="F40:I40"/>
    <mergeCell ref="D47:I47"/>
    <mergeCell ref="H18:I18"/>
    <mergeCell ref="F18:G18"/>
    <mergeCell ref="D18:E18"/>
    <mergeCell ref="F19:G19"/>
    <mergeCell ref="D42:E42"/>
    <mergeCell ref="D43:E43"/>
    <mergeCell ref="F39:I39"/>
    <mergeCell ref="F41:I41"/>
    <mergeCell ref="F36:I36"/>
    <mergeCell ref="D33:I33"/>
    <mergeCell ref="F37:I37"/>
    <mergeCell ref="F38:I38"/>
    <mergeCell ref="F42:G42"/>
    <mergeCell ref="F43:G43"/>
    <mergeCell ref="D24:E24"/>
    <mergeCell ref="H19:I19"/>
    <mergeCell ref="D1:E1"/>
    <mergeCell ref="D3:E3"/>
    <mergeCell ref="D4:E4"/>
    <mergeCell ref="D5:E5"/>
    <mergeCell ref="D6:E6"/>
    <mergeCell ref="D2:E2"/>
    <mergeCell ref="F35:I35"/>
    <mergeCell ref="D17:E17"/>
    <mergeCell ref="F17:G17"/>
    <mergeCell ref="G4:I6"/>
    <mergeCell ref="H24:I24"/>
    <mergeCell ref="D19:E19"/>
    <mergeCell ref="D26:E26"/>
    <mergeCell ref="F25:G25"/>
    <mergeCell ref="D25:E25"/>
    <mergeCell ref="H25:I25"/>
    <mergeCell ref="H17:I17"/>
    <mergeCell ref="F26:G26"/>
    <mergeCell ref="H26:I26"/>
    <mergeCell ref="E13:H14"/>
    <mergeCell ref="E10:H12"/>
    <mergeCell ref="F24:G24"/>
  </mergeCells>
  <phoneticPr fontId="4"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filterMode="1">
    <outlinePr applyStyles="1" summaryBelow="0" summaryRight="0"/>
  </sheetPr>
  <dimension ref="A1:V373"/>
  <sheetViews>
    <sheetView tabSelected="1" zoomScale="70" zoomScaleNormal="70" workbookViewId="0">
      <pane xSplit="3" ySplit="36" topLeftCell="D37" activePane="bottomRight" state="frozenSplit"/>
      <selection activeCell="A24" sqref="A24"/>
      <selection pane="topRight" activeCell="D24" sqref="D24"/>
      <selection pane="bottomLeft" activeCell="A36" sqref="A36"/>
      <selection pane="bottomRight" activeCell="J127" sqref="J127"/>
    </sheetView>
  </sheetViews>
  <sheetFormatPr defaultColWidth="11.453125" defaultRowHeight="13" outlineLevelCol="1" x14ac:dyDescent="0.25"/>
  <cols>
    <col min="1" max="1" width="66.453125" style="115" bestFit="1" customWidth="1"/>
    <col min="2" max="2" width="21" style="115" customWidth="1"/>
    <col min="3" max="3" width="32.1796875" style="117" bestFit="1" customWidth="1"/>
    <col min="4" max="4" width="19.7265625" style="110" customWidth="1"/>
    <col min="5" max="5" width="27" style="110" customWidth="1"/>
    <col min="6" max="6" width="3.26953125" style="112" customWidth="1"/>
    <col min="7" max="7" width="19.1796875" style="212" customWidth="1"/>
    <col min="8" max="8" width="29" style="208" customWidth="1" outlineLevel="1"/>
    <col min="9" max="11" width="12.81640625" style="137" customWidth="1" outlineLevel="1"/>
    <col min="12" max="12" width="12.81640625" style="136" customWidth="1" outlineLevel="1"/>
    <col min="13" max="15" width="12.81640625" style="137" customWidth="1"/>
    <col min="16" max="16" width="12.81640625" style="136" customWidth="1"/>
    <col min="17" max="18" width="7.1796875" style="115" customWidth="1"/>
    <col min="19" max="16384" width="11.453125" style="115"/>
  </cols>
  <sheetData>
    <row r="1" spans="1:22" ht="12.75" hidden="1" customHeight="1" x14ac:dyDescent="0.25">
      <c r="A1" s="116" t="s">
        <v>270</v>
      </c>
      <c r="F1" s="111" t="s">
        <v>121</v>
      </c>
      <c r="G1" s="209"/>
      <c r="H1" s="118"/>
      <c r="I1" s="119"/>
      <c r="J1" s="118"/>
      <c r="K1" s="119"/>
      <c r="L1" s="118"/>
      <c r="M1" s="114" t="s">
        <v>124</v>
      </c>
      <c r="N1" s="110"/>
      <c r="O1" s="119"/>
      <c r="P1" s="119"/>
      <c r="Q1" s="119"/>
      <c r="R1" s="118"/>
      <c r="S1" s="119"/>
      <c r="T1" s="119"/>
      <c r="U1" s="119"/>
      <c r="V1" s="118"/>
    </row>
    <row r="2" spans="1:22" ht="12.75" hidden="1" customHeight="1" x14ac:dyDescent="0.25">
      <c r="A2" s="120" t="s">
        <v>44</v>
      </c>
      <c r="B2" s="120"/>
      <c r="C2" s="121" t="s">
        <v>99</v>
      </c>
      <c r="D2" s="113"/>
      <c r="G2" s="209"/>
      <c r="H2" s="118"/>
      <c r="I2" s="119"/>
      <c r="J2" s="118"/>
      <c r="K2" s="119"/>
      <c r="L2" s="118"/>
      <c r="M2" s="114"/>
      <c r="N2" s="110"/>
      <c r="O2" s="119"/>
      <c r="P2" s="119"/>
      <c r="Q2" s="119"/>
      <c r="R2" s="118"/>
      <c r="S2" s="119"/>
      <c r="T2" s="119"/>
      <c r="U2" s="119"/>
      <c r="V2" s="118"/>
    </row>
    <row r="3" spans="1:22" ht="12.75" hidden="1" customHeight="1" x14ac:dyDescent="0.25">
      <c r="A3" s="120" t="s">
        <v>45</v>
      </c>
      <c r="B3" s="120"/>
      <c r="C3" s="121" t="s">
        <v>100</v>
      </c>
      <c r="D3" s="113"/>
      <c r="G3" s="209"/>
      <c r="H3" s="118"/>
      <c r="I3" s="119"/>
      <c r="J3" s="118"/>
      <c r="K3" s="119"/>
      <c r="L3" s="118"/>
      <c r="M3" s="114"/>
      <c r="N3" s="110"/>
      <c r="O3" s="119"/>
      <c r="P3" s="119"/>
      <c r="Q3" s="119"/>
      <c r="R3" s="118"/>
      <c r="S3" s="119"/>
      <c r="T3" s="119"/>
      <c r="U3" s="119"/>
      <c r="V3" s="118"/>
    </row>
    <row r="4" spans="1:22" ht="12.75" hidden="1" customHeight="1" x14ac:dyDescent="0.25">
      <c r="A4" s="166" t="s">
        <v>276</v>
      </c>
      <c r="B4" s="120"/>
      <c r="C4" s="121" t="s">
        <v>101</v>
      </c>
      <c r="D4" s="113"/>
      <c r="G4" s="209"/>
      <c r="H4" s="118"/>
      <c r="I4" s="119"/>
      <c r="J4" s="118"/>
      <c r="K4" s="119"/>
      <c r="L4" s="118"/>
      <c r="M4" s="114"/>
      <c r="N4" s="110"/>
      <c r="O4" s="119"/>
      <c r="P4" s="119"/>
      <c r="Q4" s="119"/>
      <c r="R4" s="118"/>
      <c r="S4" s="119"/>
      <c r="T4" s="119"/>
      <c r="U4" s="119"/>
      <c r="V4" s="118"/>
    </row>
    <row r="5" spans="1:22" ht="12.75" hidden="1" customHeight="1" x14ac:dyDescent="0.25">
      <c r="A5" s="120" t="s">
        <v>119</v>
      </c>
      <c r="B5" s="120"/>
      <c r="C5" s="121"/>
      <c r="D5" s="113"/>
      <c r="G5" s="209"/>
      <c r="H5" s="118"/>
      <c r="I5" s="119"/>
      <c r="J5" s="118"/>
      <c r="K5" s="119"/>
      <c r="L5" s="118"/>
      <c r="M5" s="114"/>
      <c r="N5" s="110"/>
      <c r="O5" s="119"/>
      <c r="P5" s="119"/>
      <c r="Q5" s="119"/>
      <c r="R5" s="118"/>
      <c r="S5" s="119"/>
      <c r="T5" s="119"/>
      <c r="U5" s="119"/>
      <c r="V5" s="118"/>
    </row>
    <row r="6" spans="1:22" ht="12.75" hidden="1" customHeight="1" x14ac:dyDescent="0.25">
      <c r="A6" s="120" t="s">
        <v>91</v>
      </c>
      <c r="B6" s="120"/>
      <c r="C6" s="121" t="s">
        <v>102</v>
      </c>
      <c r="D6" s="113"/>
      <c r="G6" s="209"/>
      <c r="H6" s="118"/>
      <c r="I6" s="119"/>
      <c r="J6" s="118"/>
      <c r="K6" s="119"/>
      <c r="L6" s="118"/>
      <c r="M6" s="114"/>
      <c r="N6" s="110"/>
      <c r="O6" s="119"/>
      <c r="P6" s="119"/>
      <c r="Q6" s="119"/>
      <c r="R6" s="118"/>
      <c r="S6" s="119"/>
      <c r="T6" s="119"/>
      <c r="U6" s="119"/>
      <c r="V6" s="118"/>
    </row>
    <row r="7" spans="1:22" ht="25.5" hidden="1" customHeight="1" x14ac:dyDescent="0.25">
      <c r="A7" s="120"/>
      <c r="B7" s="120"/>
      <c r="C7" s="121" t="s">
        <v>103</v>
      </c>
      <c r="D7" s="113"/>
      <c r="G7" s="209"/>
      <c r="H7" s="118"/>
      <c r="I7" s="119"/>
      <c r="J7" s="118"/>
      <c r="K7" s="119"/>
      <c r="L7" s="118"/>
      <c r="M7" s="114"/>
      <c r="N7" s="110"/>
      <c r="O7" s="119"/>
      <c r="P7" s="119"/>
      <c r="Q7" s="119"/>
      <c r="R7" s="118"/>
      <c r="S7" s="119"/>
      <c r="T7" s="119"/>
      <c r="U7" s="119"/>
      <c r="V7" s="118"/>
    </row>
    <row r="8" spans="1:22" ht="12.75" hidden="1" customHeight="1" x14ac:dyDescent="0.25">
      <c r="A8" s="122" t="s">
        <v>260</v>
      </c>
      <c r="B8" s="120"/>
      <c r="C8" s="121" t="s">
        <v>104</v>
      </c>
      <c r="D8" s="113"/>
      <c r="G8" s="209"/>
      <c r="H8" s="118"/>
      <c r="I8" s="119"/>
      <c r="J8" s="118"/>
      <c r="K8" s="119"/>
      <c r="L8" s="118"/>
      <c r="M8" s="114"/>
      <c r="N8" s="110"/>
      <c r="O8" s="119"/>
      <c r="P8" s="119"/>
      <c r="Q8" s="119"/>
      <c r="R8" s="118"/>
      <c r="S8" s="119"/>
      <c r="T8" s="119"/>
      <c r="U8" s="119"/>
      <c r="V8" s="118"/>
    </row>
    <row r="9" spans="1:22" ht="12.75" hidden="1" customHeight="1" x14ac:dyDescent="0.25">
      <c r="A9" s="122" t="s">
        <v>258</v>
      </c>
      <c r="B9" s="120"/>
      <c r="C9" s="121" t="s">
        <v>105</v>
      </c>
      <c r="D9" s="113"/>
      <c r="G9" s="209"/>
      <c r="H9" s="118"/>
      <c r="I9" s="119"/>
      <c r="J9" s="118"/>
      <c r="K9" s="119"/>
      <c r="L9" s="118"/>
      <c r="M9" s="114"/>
      <c r="N9" s="110"/>
      <c r="O9" s="119"/>
      <c r="P9" s="119"/>
      <c r="Q9" s="119"/>
      <c r="R9" s="118"/>
      <c r="S9" s="119"/>
      <c r="T9" s="119"/>
      <c r="U9" s="119"/>
      <c r="V9" s="118"/>
    </row>
    <row r="10" spans="1:22" ht="12.75" hidden="1" customHeight="1" x14ac:dyDescent="0.25">
      <c r="A10" s="122" t="s">
        <v>261</v>
      </c>
      <c r="B10" s="120"/>
      <c r="C10" s="121" t="s">
        <v>106</v>
      </c>
      <c r="D10" s="122"/>
      <c r="G10" s="209"/>
      <c r="H10" s="118"/>
      <c r="I10" s="119"/>
      <c r="J10" s="118"/>
      <c r="K10" s="119"/>
      <c r="L10" s="118"/>
      <c r="M10" s="114"/>
      <c r="N10" s="110"/>
      <c r="O10" s="119"/>
      <c r="P10" s="119"/>
      <c r="Q10" s="119"/>
      <c r="R10" s="118"/>
      <c r="S10" s="119"/>
      <c r="T10" s="119"/>
      <c r="U10" s="119"/>
      <c r="V10" s="118"/>
    </row>
    <row r="11" spans="1:22" ht="25.5" hidden="1" customHeight="1" x14ac:dyDescent="0.25">
      <c r="A11" s="122" t="s">
        <v>262</v>
      </c>
      <c r="B11" s="120"/>
      <c r="C11" s="121" t="s">
        <v>108</v>
      </c>
      <c r="D11" s="122"/>
      <c r="G11" s="209"/>
      <c r="H11" s="118"/>
      <c r="I11" s="119"/>
      <c r="J11" s="118"/>
      <c r="K11" s="119"/>
      <c r="L11" s="118"/>
      <c r="M11" s="114"/>
      <c r="N11" s="110"/>
      <c r="O11" s="119"/>
      <c r="P11" s="119"/>
      <c r="Q11" s="119"/>
      <c r="R11" s="118"/>
      <c r="S11" s="119"/>
      <c r="T11" s="119"/>
      <c r="U11" s="119"/>
      <c r="V11" s="118"/>
    </row>
    <row r="12" spans="1:22" ht="25.5" hidden="1" customHeight="1" x14ac:dyDescent="0.25">
      <c r="A12" s="122" t="s">
        <v>266</v>
      </c>
      <c r="B12" s="120"/>
      <c r="C12" s="121" t="s">
        <v>109</v>
      </c>
      <c r="D12" s="122"/>
      <c r="G12" s="209"/>
      <c r="H12" s="118"/>
      <c r="I12" s="119"/>
      <c r="J12" s="118"/>
      <c r="K12" s="119"/>
      <c r="L12" s="118"/>
      <c r="M12" s="114"/>
      <c r="N12" s="110"/>
      <c r="O12" s="119"/>
      <c r="P12" s="119"/>
      <c r="Q12" s="119"/>
      <c r="R12" s="118"/>
      <c r="S12" s="119"/>
      <c r="T12" s="119"/>
      <c r="U12" s="119"/>
      <c r="V12" s="118"/>
    </row>
    <row r="13" spans="1:22" ht="12.75" hidden="1" customHeight="1" x14ac:dyDescent="0.25">
      <c r="A13" s="122"/>
      <c r="B13" s="120"/>
      <c r="C13" s="121" t="s">
        <v>110</v>
      </c>
      <c r="D13" s="122"/>
      <c r="G13" s="209"/>
      <c r="H13" s="118"/>
      <c r="I13" s="119"/>
      <c r="J13" s="118"/>
      <c r="K13" s="119"/>
      <c r="L13" s="118"/>
      <c r="M13" s="114"/>
      <c r="N13" s="110"/>
      <c r="O13" s="119"/>
      <c r="P13" s="119"/>
      <c r="Q13" s="119"/>
      <c r="R13" s="118"/>
      <c r="S13" s="119"/>
      <c r="T13" s="119"/>
      <c r="U13" s="119"/>
      <c r="V13" s="118"/>
    </row>
    <row r="14" spans="1:22" ht="25.5" hidden="1" customHeight="1" x14ac:dyDescent="0.25">
      <c r="A14" s="122" t="s">
        <v>260</v>
      </c>
      <c r="B14" s="120"/>
      <c r="C14" s="121" t="s">
        <v>111</v>
      </c>
      <c r="D14" s="122"/>
      <c r="G14" s="209"/>
      <c r="H14" s="118"/>
      <c r="I14" s="119"/>
      <c r="J14" s="118"/>
      <c r="K14" s="119"/>
      <c r="L14" s="118"/>
      <c r="M14" s="114"/>
      <c r="N14" s="110"/>
      <c r="O14" s="119"/>
      <c r="P14" s="119"/>
      <c r="Q14" s="119"/>
      <c r="R14" s="118"/>
      <c r="S14" s="119"/>
      <c r="T14" s="119"/>
      <c r="U14" s="119"/>
      <c r="V14" s="118"/>
    </row>
    <row r="15" spans="1:22" ht="12.75" hidden="1" customHeight="1" x14ac:dyDescent="0.25">
      <c r="A15" s="122" t="s">
        <v>257</v>
      </c>
      <c r="B15" s="120"/>
      <c r="C15" s="121" t="s">
        <v>112</v>
      </c>
      <c r="D15" s="122"/>
      <c r="G15" s="209"/>
      <c r="H15" s="118"/>
      <c r="I15" s="119"/>
      <c r="J15" s="118"/>
      <c r="K15" s="119"/>
      <c r="L15" s="118"/>
      <c r="M15" s="114"/>
      <c r="N15" s="110"/>
      <c r="O15" s="119"/>
      <c r="P15" s="119"/>
      <c r="Q15" s="119"/>
      <c r="R15" s="118"/>
      <c r="S15" s="119"/>
      <c r="T15" s="119"/>
      <c r="U15" s="119"/>
      <c r="V15" s="118"/>
    </row>
    <row r="16" spans="1:22" ht="25.5" hidden="1" customHeight="1" x14ac:dyDescent="0.25">
      <c r="A16" s="122" t="s">
        <v>267</v>
      </c>
      <c r="B16" s="120"/>
      <c r="C16" s="121" t="s">
        <v>113</v>
      </c>
      <c r="D16" s="122"/>
      <c r="G16" s="209"/>
      <c r="H16" s="118"/>
      <c r="I16" s="119"/>
      <c r="J16" s="118"/>
      <c r="K16" s="119"/>
      <c r="L16" s="118"/>
      <c r="M16" s="114"/>
      <c r="N16" s="110"/>
      <c r="O16" s="119"/>
      <c r="P16" s="119"/>
      <c r="Q16" s="119"/>
      <c r="R16" s="118"/>
      <c r="S16" s="119"/>
      <c r="T16" s="119"/>
      <c r="U16" s="119"/>
      <c r="V16" s="118"/>
    </row>
    <row r="17" spans="1:22" ht="12.75" hidden="1" customHeight="1" x14ac:dyDescent="0.25">
      <c r="A17" s="122" t="s">
        <v>256</v>
      </c>
      <c r="B17" s="120"/>
      <c r="C17" s="121" t="s">
        <v>107</v>
      </c>
      <c r="D17" s="122"/>
      <c r="G17" s="209"/>
      <c r="H17" s="118"/>
      <c r="I17" s="119"/>
      <c r="J17" s="118"/>
      <c r="K17" s="119"/>
      <c r="L17" s="118"/>
      <c r="M17" s="114"/>
      <c r="N17" s="110"/>
      <c r="O17" s="119"/>
      <c r="P17" s="119"/>
      <c r="Q17" s="119"/>
      <c r="R17" s="118"/>
      <c r="S17" s="119"/>
      <c r="T17" s="119"/>
      <c r="U17" s="119"/>
      <c r="V17" s="118"/>
    </row>
    <row r="18" spans="1:22" ht="25.5" hidden="1" customHeight="1" x14ac:dyDescent="0.25">
      <c r="A18" s="122" t="s">
        <v>261</v>
      </c>
      <c r="B18" s="120"/>
      <c r="C18" s="123" t="s">
        <v>114</v>
      </c>
      <c r="D18" s="122"/>
      <c r="G18" s="209"/>
      <c r="H18" s="118"/>
      <c r="I18" s="119"/>
      <c r="J18" s="118"/>
      <c r="K18" s="119"/>
      <c r="L18" s="118"/>
      <c r="M18" s="114"/>
      <c r="N18" s="110"/>
      <c r="O18" s="119"/>
      <c r="P18" s="119"/>
      <c r="Q18" s="119"/>
      <c r="R18" s="118"/>
      <c r="S18" s="119"/>
      <c r="T18" s="119"/>
      <c r="U18" s="119"/>
      <c r="V18" s="118"/>
    </row>
    <row r="19" spans="1:22" ht="25.5" hidden="1" customHeight="1" x14ac:dyDescent="0.25">
      <c r="A19" s="122" t="s">
        <v>265</v>
      </c>
      <c r="B19" s="120"/>
      <c r="C19" s="123" t="s">
        <v>115</v>
      </c>
      <c r="D19" s="122"/>
      <c r="G19" s="209"/>
      <c r="H19" s="118"/>
      <c r="I19" s="119"/>
      <c r="J19" s="118"/>
      <c r="K19" s="119"/>
      <c r="L19" s="118"/>
      <c r="M19" s="114"/>
      <c r="N19" s="110"/>
      <c r="O19" s="119"/>
      <c r="P19" s="119"/>
      <c r="Q19" s="119"/>
      <c r="R19" s="118"/>
      <c r="S19" s="119"/>
      <c r="T19" s="119"/>
      <c r="U19" s="119"/>
      <c r="V19" s="118"/>
    </row>
    <row r="20" spans="1:22" ht="25.5" hidden="1" customHeight="1" x14ac:dyDescent="0.25">
      <c r="A20" s="122" t="s">
        <v>266</v>
      </c>
      <c r="B20" s="120"/>
      <c r="C20" s="123" t="s">
        <v>116</v>
      </c>
      <c r="D20" s="122"/>
      <c r="G20" s="209"/>
      <c r="H20" s="118"/>
      <c r="I20" s="119"/>
      <c r="J20" s="118"/>
      <c r="K20" s="119"/>
      <c r="L20" s="118"/>
      <c r="M20" s="114"/>
      <c r="N20" s="110"/>
      <c r="O20" s="119"/>
      <c r="P20" s="119"/>
      <c r="Q20" s="119"/>
      <c r="R20" s="118"/>
      <c r="S20" s="119"/>
      <c r="T20" s="119"/>
      <c r="U20" s="119"/>
      <c r="V20" s="118"/>
    </row>
    <row r="21" spans="1:22" ht="12.75" hidden="1" customHeight="1" x14ac:dyDescent="0.25">
      <c r="A21" s="122" t="s">
        <v>268</v>
      </c>
      <c r="B21" s="120"/>
      <c r="C21" s="123" t="s">
        <v>117</v>
      </c>
      <c r="D21" s="113"/>
      <c r="G21" s="209"/>
      <c r="H21" s="118"/>
      <c r="I21" s="119"/>
      <c r="J21" s="118"/>
      <c r="K21" s="119"/>
      <c r="L21" s="118"/>
      <c r="M21" s="114"/>
      <c r="N21" s="110"/>
      <c r="O21" s="119"/>
      <c r="P21" s="119"/>
      <c r="Q21" s="119"/>
      <c r="R21" s="118"/>
      <c r="S21" s="119"/>
      <c r="T21" s="119"/>
      <c r="U21" s="119"/>
      <c r="V21" s="118"/>
    </row>
    <row r="22" spans="1:22" ht="25.5" hidden="1" customHeight="1" x14ac:dyDescent="0.25">
      <c r="A22" s="122" t="s">
        <v>269</v>
      </c>
      <c r="B22" s="120"/>
      <c r="C22" s="123" t="s">
        <v>118</v>
      </c>
      <c r="D22" s="113"/>
      <c r="G22" s="209"/>
      <c r="H22" s="118"/>
      <c r="I22" s="119"/>
      <c r="J22" s="118"/>
      <c r="K22" s="119"/>
      <c r="L22" s="118"/>
      <c r="M22" s="114"/>
      <c r="N22" s="110"/>
      <c r="O22" s="119"/>
      <c r="P22" s="119"/>
      <c r="Q22" s="119"/>
      <c r="R22" s="118"/>
      <c r="S22" s="119"/>
      <c r="T22" s="119"/>
      <c r="U22" s="119"/>
      <c r="V22" s="118"/>
    </row>
    <row r="23" spans="1:22" ht="12.75" hidden="1" customHeight="1" x14ac:dyDescent="0.25">
      <c r="B23" s="120"/>
      <c r="C23" s="123"/>
      <c r="D23" s="113"/>
      <c r="G23" s="209"/>
      <c r="H23" s="118"/>
      <c r="I23" s="119"/>
      <c r="J23" s="118"/>
      <c r="K23" s="119"/>
      <c r="L23" s="118"/>
      <c r="M23" s="114"/>
      <c r="N23" s="110"/>
      <c r="O23" s="119"/>
      <c r="P23" s="119"/>
      <c r="Q23" s="119"/>
      <c r="R23" s="118"/>
      <c r="S23" s="119"/>
      <c r="T23" s="119"/>
      <c r="U23" s="119"/>
      <c r="V23" s="118"/>
    </row>
    <row r="24" spans="1:22" s="141" customFormat="1" ht="12.75" customHeight="1" x14ac:dyDescent="0.25">
      <c r="A24" s="138"/>
      <c r="B24" s="138"/>
      <c r="C24" s="139"/>
      <c r="D24" s="292" t="s">
        <v>1037</v>
      </c>
      <c r="E24" s="292"/>
      <c r="F24" s="293"/>
      <c r="G24" s="300" t="s">
        <v>354</v>
      </c>
      <c r="H24" s="301"/>
      <c r="I24" s="301"/>
      <c r="J24" s="301"/>
      <c r="K24" s="301"/>
      <c r="L24" s="302"/>
      <c r="M24" s="140"/>
      <c r="N24" s="298"/>
      <c r="O24" s="277" t="s">
        <v>286</v>
      </c>
      <c r="P24" s="277"/>
      <c r="Q24" s="277"/>
      <c r="R24" s="277"/>
      <c r="S24" s="278"/>
      <c r="T24" s="278"/>
      <c r="U24" s="278"/>
      <c r="V24" s="279"/>
    </row>
    <row r="25" spans="1:22" s="141" customFormat="1" x14ac:dyDescent="0.25">
      <c r="C25" s="142"/>
      <c r="D25" s="292"/>
      <c r="E25" s="292"/>
      <c r="F25" s="294"/>
      <c r="G25" s="303"/>
      <c r="H25" s="304"/>
      <c r="I25" s="304"/>
      <c r="J25" s="304"/>
      <c r="K25" s="304"/>
      <c r="L25" s="305"/>
      <c r="M25" s="140"/>
      <c r="N25" s="299"/>
      <c r="O25" s="280" t="s">
        <v>287</v>
      </c>
      <c r="P25" s="280"/>
      <c r="Q25" s="280"/>
      <c r="R25" s="280"/>
      <c r="S25" s="281"/>
      <c r="T25" s="281"/>
      <c r="U25" s="281"/>
      <c r="V25" s="282"/>
    </row>
    <row r="26" spans="1:22" s="141" customFormat="1" ht="25.5" customHeight="1" x14ac:dyDescent="0.25">
      <c r="A26" s="143" t="s">
        <v>159</v>
      </c>
      <c r="C26" s="142"/>
      <c r="D26" s="274" t="s">
        <v>356</v>
      </c>
      <c r="E26" s="291" t="s">
        <v>96</v>
      </c>
      <c r="F26" s="144"/>
      <c r="G26" s="306" t="s">
        <v>355</v>
      </c>
      <c r="H26" s="307"/>
      <c r="I26" s="307"/>
      <c r="J26" s="307"/>
      <c r="K26" s="307"/>
      <c r="L26" s="308"/>
      <c r="M26" s="140"/>
      <c r="N26" s="295" t="s">
        <v>259</v>
      </c>
      <c r="O26" s="283" t="s">
        <v>92</v>
      </c>
      <c r="P26" s="284"/>
      <c r="Q26" s="284"/>
      <c r="R26" s="285"/>
      <c r="S26" s="283" t="s">
        <v>93</v>
      </c>
      <c r="T26" s="284"/>
      <c r="U26" s="284"/>
      <c r="V26" s="285"/>
    </row>
    <row r="27" spans="1:22" s="141" customFormat="1" ht="12.75" customHeight="1" x14ac:dyDescent="0.25">
      <c r="A27" s="143"/>
      <c r="D27" s="275"/>
      <c r="E27" s="291"/>
      <c r="F27" s="144"/>
      <c r="G27" s="309" t="s">
        <v>127</v>
      </c>
      <c r="H27" s="260" t="s">
        <v>289</v>
      </c>
      <c r="I27" s="263" t="s">
        <v>285</v>
      </c>
      <c r="J27" s="264"/>
      <c r="K27" s="264"/>
      <c r="L27" s="265"/>
      <c r="M27" s="145"/>
      <c r="N27" s="296"/>
      <c r="O27" s="286"/>
      <c r="P27" s="287"/>
      <c r="Q27" s="287"/>
      <c r="R27" s="288"/>
      <c r="S27" s="286"/>
      <c r="T27" s="287"/>
      <c r="U27" s="287"/>
      <c r="V27" s="288"/>
    </row>
    <row r="28" spans="1:22" s="141" customFormat="1" ht="12.75" customHeight="1" x14ac:dyDescent="0.25">
      <c r="A28" s="142"/>
      <c r="D28" s="275"/>
      <c r="E28" s="291"/>
      <c r="F28" s="144"/>
      <c r="G28" s="310"/>
      <c r="H28" s="261"/>
      <c r="I28" s="263" t="s">
        <v>284</v>
      </c>
      <c r="J28" s="265"/>
      <c r="K28" s="192">
        <f>COUNTIFS(G37:G1048576,"&lt;&gt;",G37:G1048576,"&lt;&gt;NA")</f>
        <v>33</v>
      </c>
      <c r="L28" s="190">
        <f>SUM(L29:L31)</f>
        <v>1</v>
      </c>
      <c r="M28" s="146"/>
      <c r="N28" s="296"/>
      <c r="O28" s="289" t="s">
        <v>264</v>
      </c>
      <c r="P28" s="277"/>
      <c r="Q28" s="277"/>
      <c r="R28" s="290"/>
      <c r="S28" s="289" t="s">
        <v>264</v>
      </c>
      <c r="T28" s="277"/>
      <c r="U28" s="277"/>
      <c r="V28" s="290"/>
    </row>
    <row r="29" spans="1:22" s="141" customFormat="1" x14ac:dyDescent="0.25">
      <c r="D29" s="275"/>
      <c r="E29" s="291"/>
      <c r="F29" s="144"/>
      <c r="G29" s="310"/>
      <c r="H29" s="261"/>
      <c r="I29" s="266" t="s">
        <v>277</v>
      </c>
      <c r="J29" s="267"/>
      <c r="K29" s="184">
        <f>COUNTIFS(G37:G1048576,"&lt;&gt;",G37:G1048576,"&lt;&gt;NA",I37:I1048576,"NOK",K37:K1048576,"NOK")</f>
        <v>0</v>
      </c>
      <c r="L29" s="186">
        <f>K29/K$28</f>
        <v>0</v>
      </c>
      <c r="M29" s="146"/>
      <c r="N29" s="296"/>
      <c r="O29" s="283"/>
      <c r="P29" s="284"/>
      <c r="Q29" s="284"/>
      <c r="R29" s="285"/>
      <c r="S29" s="283"/>
      <c r="T29" s="284"/>
      <c r="U29" s="284"/>
      <c r="V29" s="285"/>
    </row>
    <row r="30" spans="1:22" s="141" customFormat="1" x14ac:dyDescent="0.25">
      <c r="D30" s="275"/>
      <c r="E30" s="291"/>
      <c r="F30" s="144"/>
      <c r="G30" s="310"/>
      <c r="H30" s="261"/>
      <c r="I30" s="268" t="s">
        <v>278</v>
      </c>
      <c r="J30" s="269"/>
      <c r="K30" s="185">
        <f>COUNTIFS(G37:G1048576,"&lt;&gt;",G37:G1048576,"&lt;&gt;NA",I37:I1048576,"OK",K37:K1048576,"NA")+
COUNTIFS(G37:G1048576,"&lt;&gt;",G37:G1048576,"&lt;&gt;NA",I37:I1048576,"OK",K37:K1048576,"OK")+
COUNTIFS(G37:G1048576,"&lt;&gt;",G37:G1048576,"&lt;&gt;NA",I37:I1048576,"NOK",K37:K1048576,"NA")+
COUNTIFS(G37:G1048576,"&lt;&gt;",G37:G1048576,"&lt;&gt;NA",I37:I1048576,"NOK",K37:K1048576,"DEVIATION")</f>
        <v>0</v>
      </c>
      <c r="L30" s="187">
        <f>K30/K$28</f>
        <v>0</v>
      </c>
      <c r="M30" s="146"/>
      <c r="N30" s="296"/>
      <c r="O30" s="283"/>
      <c r="P30" s="284"/>
      <c r="Q30" s="284"/>
      <c r="R30" s="285"/>
      <c r="S30" s="283"/>
      <c r="T30" s="284"/>
      <c r="U30" s="284"/>
      <c r="V30" s="285"/>
    </row>
    <row r="31" spans="1:22" s="141" customFormat="1" x14ac:dyDescent="0.25">
      <c r="D31" s="275"/>
      <c r="E31" s="291"/>
      <c r="F31" s="147"/>
      <c r="G31" s="310"/>
      <c r="H31" s="261"/>
      <c r="I31" s="270" t="s">
        <v>279</v>
      </c>
      <c r="J31" s="271"/>
      <c r="K31" s="183">
        <f>COUNTIFS(G37:G1048576,"&lt;&gt;",G37:G1048576,"&lt;&gt;NA",I37:I1048576,"OK",K37:K1048576,"NOK")+
COUNTIFS(G37:G1048576,"&lt;&gt;",G37:G1048576,"&lt;&gt;NA",I37:I1048576,"OK",K37:K1048576,"EN ATTENTE")+
COUNTIFS(G37:G1048576,"&lt;&gt;",G37:G1048576,"&lt;&gt;NA",I37:I1048576,"NOK",K37:K1048576,"EN ATTENTE")+
COUNTIFS(G37:G1048576,"&lt;&gt;",G37:G1048576,"&lt;&gt;NA",I37:I1048576,"=")+
COUNTIFS(G37:G1048576,"&lt;&gt;",G37:G1048576,"&lt;&gt;NA",I37:I1048576,"&lt;&gt;",K37:K1048576,"=")</f>
        <v>33</v>
      </c>
      <c r="L31" s="188">
        <f>K31/K$28</f>
        <v>1</v>
      </c>
      <c r="M31" s="146"/>
      <c r="N31" s="296"/>
      <c r="O31" s="283"/>
      <c r="P31" s="284"/>
      <c r="Q31" s="284"/>
      <c r="R31" s="285"/>
      <c r="S31" s="283"/>
      <c r="T31" s="284"/>
      <c r="U31" s="284"/>
      <c r="V31" s="285"/>
    </row>
    <row r="32" spans="1:22" s="141" customFormat="1" x14ac:dyDescent="0.25">
      <c r="D32" s="275"/>
      <c r="E32" s="291"/>
      <c r="F32" s="147"/>
      <c r="G32" s="310"/>
      <c r="H32" s="261"/>
      <c r="I32" s="272" t="s">
        <v>351</v>
      </c>
      <c r="J32" s="273"/>
      <c r="K32" s="206">
        <f>COUNTIFS(G37:G1048576,"&lt;&gt;",G37:G1048576,"&lt;&gt;NA",I37:I1048576,"&lt;&gt;",K37:K1048576,"=")</f>
        <v>33</v>
      </c>
      <c r="L32" s="207">
        <f>K32/K$28</f>
        <v>1</v>
      </c>
      <c r="M32" s="146"/>
      <c r="N32" s="296"/>
      <c r="O32" s="283"/>
      <c r="P32" s="284"/>
      <c r="Q32" s="284"/>
      <c r="R32" s="285"/>
      <c r="S32" s="283"/>
      <c r="T32" s="284"/>
      <c r="U32" s="284"/>
      <c r="V32" s="285"/>
    </row>
    <row r="33" spans="1:22" s="141" customFormat="1" x14ac:dyDescent="0.25">
      <c r="D33" s="276"/>
      <c r="E33" s="291"/>
      <c r="F33" s="147"/>
      <c r="G33" s="310"/>
      <c r="H33" s="261"/>
      <c r="I33" s="272" t="s">
        <v>353</v>
      </c>
      <c r="J33" s="273"/>
      <c r="K33" s="206">
        <f>COUNTIFS(G37:G1048576,"&lt;&gt;",G37:G1048576,"&lt;&gt;NA",I37:I1048576,"=")</f>
        <v>0</v>
      </c>
      <c r="L33" s="207">
        <f>K33/K$28</f>
        <v>0</v>
      </c>
      <c r="M33" s="146"/>
      <c r="N33" s="296"/>
      <c r="O33" s="286"/>
      <c r="P33" s="287"/>
      <c r="Q33" s="287"/>
      <c r="R33" s="288"/>
      <c r="S33" s="286"/>
      <c r="T33" s="287"/>
      <c r="U33" s="287"/>
      <c r="V33" s="288"/>
    </row>
    <row r="34" spans="1:22" s="141" customFormat="1" ht="51" x14ac:dyDescent="0.25">
      <c r="A34" s="148" t="s">
        <v>41</v>
      </c>
      <c r="B34" s="149"/>
      <c r="C34" s="149" t="s">
        <v>255</v>
      </c>
      <c r="D34" s="191" t="s">
        <v>76</v>
      </c>
      <c r="E34" s="291"/>
      <c r="F34" s="150"/>
      <c r="G34" s="311"/>
      <c r="H34" s="262"/>
      <c r="I34" s="151" t="s">
        <v>43</v>
      </c>
      <c r="J34" s="151" t="s">
        <v>42</v>
      </c>
      <c r="K34" s="205" t="s">
        <v>352</v>
      </c>
      <c r="L34" s="151" t="s">
        <v>42</v>
      </c>
      <c r="M34" s="146"/>
      <c r="N34" s="297"/>
      <c r="O34" s="152" t="s">
        <v>82</v>
      </c>
      <c r="P34" s="152" t="s">
        <v>46</v>
      </c>
      <c r="Q34" s="152" t="s">
        <v>47</v>
      </c>
      <c r="R34" s="153" t="s">
        <v>42</v>
      </c>
      <c r="S34" s="152" t="s">
        <v>82</v>
      </c>
      <c r="T34" s="152" t="s">
        <v>46</v>
      </c>
      <c r="U34" s="152" t="s">
        <v>47</v>
      </c>
      <c r="V34" s="153" t="s">
        <v>42</v>
      </c>
    </row>
    <row r="35" spans="1:22" s="160" customFormat="1" x14ac:dyDescent="0.25">
      <c r="A35" s="154" t="s">
        <v>120</v>
      </c>
      <c r="B35" s="155"/>
      <c r="C35" s="155"/>
      <c r="D35" s="156"/>
      <c r="E35" s="156"/>
      <c r="F35" s="156"/>
      <c r="G35" s="210"/>
      <c r="H35" s="157"/>
      <c r="I35" s="158"/>
      <c r="J35" s="158"/>
      <c r="K35" s="158"/>
      <c r="L35" s="158"/>
      <c r="M35" s="159"/>
      <c r="N35" s="156"/>
      <c r="O35" s="159"/>
      <c r="P35" s="159"/>
      <c r="Q35" s="158"/>
      <c r="R35" s="159"/>
      <c r="S35" s="159"/>
      <c r="T35" s="159"/>
      <c r="U35" s="158"/>
      <c r="V35" s="159"/>
    </row>
    <row r="36" spans="1:22" s="165" customFormat="1" ht="26" x14ac:dyDescent="0.25">
      <c r="A36" s="161" t="s">
        <v>1029</v>
      </c>
      <c r="B36" s="162"/>
      <c r="C36" s="162"/>
      <c r="D36" s="162"/>
      <c r="E36" s="124"/>
      <c r="F36" s="125" t="s">
        <v>263</v>
      </c>
      <c r="G36" s="210" t="s">
        <v>357</v>
      </c>
      <c r="H36" s="157"/>
      <c r="I36" s="158"/>
      <c r="J36" s="158"/>
      <c r="K36" s="158"/>
      <c r="L36" s="158"/>
      <c r="M36" s="125" t="s">
        <v>263</v>
      </c>
      <c r="N36" s="124"/>
      <c r="O36" s="163"/>
      <c r="P36" s="163"/>
      <c r="Q36" s="163"/>
      <c r="R36" s="164"/>
      <c r="S36" s="163"/>
      <c r="T36" s="163"/>
      <c r="U36" s="163"/>
      <c r="V36" s="164"/>
    </row>
    <row r="37" spans="1:22" ht="15" hidden="1" customHeight="1" x14ac:dyDescent="0.25">
      <c r="A37" s="126" t="s">
        <v>358</v>
      </c>
      <c r="B37" s="127"/>
      <c r="C37" s="128"/>
      <c r="D37" s="129" t="s">
        <v>359</v>
      </c>
      <c r="E37" s="213" t="s">
        <v>360</v>
      </c>
      <c r="F37" s="125"/>
      <c r="G37" s="211" t="s">
        <v>276</v>
      </c>
      <c r="H37" s="130"/>
      <c r="I37" s="189"/>
      <c r="J37" s="131"/>
      <c r="K37" s="167"/>
      <c r="L37" s="132"/>
      <c r="M37" s="125"/>
      <c r="N37" s="133"/>
      <c r="O37" s="134"/>
      <c r="P37" s="135"/>
      <c r="Q37" s="135"/>
      <c r="R37" s="134"/>
      <c r="S37" s="134"/>
      <c r="T37" s="135"/>
      <c r="U37" s="135"/>
      <c r="V37" s="134"/>
    </row>
    <row r="38" spans="1:22" ht="15" hidden="1" customHeight="1" x14ac:dyDescent="0.25">
      <c r="A38" s="126" t="s">
        <v>361</v>
      </c>
      <c r="B38" s="127"/>
      <c r="C38" s="128"/>
      <c r="D38" s="129" t="s">
        <v>362</v>
      </c>
      <c r="E38" s="213" t="s">
        <v>363</v>
      </c>
      <c r="F38" s="125"/>
      <c r="G38" s="211" t="s">
        <v>276</v>
      </c>
      <c r="H38" s="130"/>
      <c r="I38" s="189"/>
      <c r="J38" s="131"/>
      <c r="K38" s="167"/>
      <c r="L38" s="132"/>
      <c r="M38" s="125"/>
      <c r="N38" s="133"/>
      <c r="O38" s="134"/>
      <c r="P38" s="135"/>
      <c r="Q38" s="135"/>
      <c r="R38" s="134"/>
      <c r="S38" s="134"/>
      <c r="T38" s="135"/>
      <c r="U38" s="135"/>
      <c r="V38" s="134"/>
    </row>
    <row r="39" spans="1:22" ht="15" hidden="1" customHeight="1" x14ac:dyDescent="0.25">
      <c r="A39" s="126" t="s">
        <v>364</v>
      </c>
      <c r="B39" s="127"/>
      <c r="C39" s="128"/>
      <c r="D39" s="129" t="s">
        <v>365</v>
      </c>
      <c r="E39" s="213" t="s">
        <v>366</v>
      </c>
      <c r="F39" s="125"/>
      <c r="G39" s="211" t="s">
        <v>276</v>
      </c>
      <c r="H39" s="130"/>
      <c r="I39" s="189"/>
      <c r="J39" s="131"/>
      <c r="K39" s="167"/>
      <c r="L39" s="132"/>
      <c r="M39" s="125"/>
      <c r="N39" s="133"/>
      <c r="O39" s="134"/>
      <c r="P39" s="135"/>
      <c r="Q39" s="135"/>
      <c r="R39" s="134"/>
      <c r="S39" s="134"/>
      <c r="T39" s="135"/>
      <c r="U39" s="135"/>
      <c r="V39" s="134"/>
    </row>
    <row r="40" spans="1:22" ht="15" hidden="1" customHeight="1" x14ac:dyDescent="0.25">
      <c r="A40" s="126" t="s">
        <v>367</v>
      </c>
      <c r="B40" s="127"/>
      <c r="C40" s="128"/>
      <c r="D40" s="129" t="s">
        <v>368</v>
      </c>
      <c r="E40" s="213" t="s">
        <v>369</v>
      </c>
      <c r="F40" s="125"/>
      <c r="G40" s="211" t="s">
        <v>276</v>
      </c>
      <c r="H40" s="130"/>
      <c r="I40" s="189"/>
      <c r="J40" s="131"/>
      <c r="K40" s="167"/>
      <c r="L40" s="132"/>
      <c r="M40" s="125"/>
      <c r="N40" s="133"/>
      <c r="O40" s="134"/>
      <c r="P40" s="135"/>
      <c r="Q40" s="135"/>
      <c r="R40" s="134"/>
      <c r="S40" s="134"/>
      <c r="T40" s="135"/>
      <c r="U40" s="135"/>
      <c r="V40" s="134"/>
    </row>
    <row r="41" spans="1:22" ht="15" hidden="1" customHeight="1" x14ac:dyDescent="0.25">
      <c r="A41" s="126" t="s">
        <v>370</v>
      </c>
      <c r="B41" s="127"/>
      <c r="C41" s="128"/>
      <c r="D41" s="129" t="s">
        <v>368</v>
      </c>
      <c r="E41" s="213" t="s">
        <v>371</v>
      </c>
      <c r="F41" s="125"/>
      <c r="G41" s="211" t="s">
        <v>276</v>
      </c>
      <c r="H41" s="130"/>
      <c r="I41" s="189"/>
      <c r="J41" s="131"/>
      <c r="K41" s="167"/>
      <c r="L41" s="132"/>
      <c r="M41" s="125"/>
      <c r="N41" s="133"/>
      <c r="O41" s="134"/>
      <c r="P41" s="135"/>
      <c r="Q41" s="135"/>
      <c r="R41" s="134"/>
      <c r="S41" s="134"/>
      <c r="T41" s="135"/>
      <c r="U41" s="135"/>
      <c r="V41" s="134"/>
    </row>
    <row r="42" spans="1:22" ht="15" hidden="1" customHeight="1" x14ac:dyDescent="0.25">
      <c r="A42" s="126" t="s">
        <v>372</v>
      </c>
      <c r="B42" s="127"/>
      <c r="C42" s="128"/>
      <c r="D42" s="129" t="s">
        <v>365</v>
      </c>
      <c r="E42" s="213" t="s">
        <v>373</v>
      </c>
      <c r="F42" s="125"/>
      <c r="G42" s="211" t="s">
        <v>276</v>
      </c>
      <c r="H42" s="130"/>
      <c r="I42" s="189"/>
      <c r="J42" s="131"/>
      <c r="K42" s="167"/>
      <c r="L42" s="132"/>
      <c r="M42" s="125"/>
      <c r="N42" s="133"/>
      <c r="O42" s="134"/>
      <c r="P42" s="135"/>
      <c r="Q42" s="135"/>
      <c r="R42" s="134"/>
      <c r="S42" s="134"/>
      <c r="T42" s="135"/>
      <c r="U42" s="135"/>
      <c r="V42" s="134"/>
    </row>
    <row r="43" spans="1:22" ht="15" hidden="1" customHeight="1" x14ac:dyDescent="0.25">
      <c r="A43" s="126" t="s">
        <v>374</v>
      </c>
      <c r="B43" s="127"/>
      <c r="C43" s="128"/>
      <c r="D43" s="129" t="s">
        <v>368</v>
      </c>
      <c r="E43" s="213" t="s">
        <v>375</v>
      </c>
      <c r="F43" s="125"/>
      <c r="G43" s="211" t="s">
        <v>276</v>
      </c>
      <c r="H43" s="130"/>
      <c r="I43" s="189"/>
      <c r="J43" s="131"/>
      <c r="K43" s="167"/>
      <c r="L43" s="132"/>
      <c r="M43" s="125"/>
      <c r="N43" s="133"/>
      <c r="O43" s="134"/>
      <c r="P43" s="135"/>
      <c r="Q43" s="135"/>
      <c r="R43" s="134"/>
      <c r="S43" s="134"/>
      <c r="T43" s="135"/>
      <c r="U43" s="135"/>
      <c r="V43" s="134"/>
    </row>
    <row r="44" spans="1:22" ht="15" hidden="1" customHeight="1" x14ac:dyDescent="0.25">
      <c r="A44" s="126" t="s">
        <v>376</v>
      </c>
      <c r="B44" s="127"/>
      <c r="C44" s="128"/>
      <c r="D44" s="129" t="s">
        <v>377</v>
      </c>
      <c r="E44" s="213" t="s">
        <v>378</v>
      </c>
      <c r="F44" s="125"/>
      <c r="G44" s="211" t="s">
        <v>276</v>
      </c>
      <c r="H44" s="130"/>
      <c r="I44" s="189"/>
      <c r="J44" s="131"/>
      <c r="K44" s="167"/>
      <c r="L44" s="132"/>
      <c r="M44" s="125"/>
      <c r="N44" s="133"/>
      <c r="O44" s="134"/>
      <c r="P44" s="135"/>
      <c r="Q44" s="135"/>
      <c r="R44" s="134"/>
      <c r="S44" s="134"/>
      <c r="T44" s="135"/>
      <c r="U44" s="135"/>
      <c r="V44" s="134"/>
    </row>
    <row r="45" spans="1:22" ht="15" hidden="1" customHeight="1" x14ac:dyDescent="0.25">
      <c r="A45" s="126" t="s">
        <v>379</v>
      </c>
      <c r="B45" s="127"/>
      <c r="C45" s="128"/>
      <c r="D45" s="129" t="s">
        <v>368</v>
      </c>
      <c r="E45" s="213" t="s">
        <v>380</v>
      </c>
      <c r="F45" s="125"/>
      <c r="G45" s="211" t="s">
        <v>276</v>
      </c>
      <c r="H45" s="130"/>
      <c r="I45" s="189"/>
      <c r="J45" s="131"/>
      <c r="K45" s="167"/>
      <c r="L45" s="132"/>
      <c r="M45" s="125"/>
      <c r="N45" s="133"/>
      <c r="O45" s="134"/>
      <c r="P45" s="135"/>
      <c r="Q45" s="135"/>
      <c r="R45" s="134"/>
      <c r="S45" s="134"/>
      <c r="T45" s="135"/>
      <c r="U45" s="135"/>
      <c r="V45" s="134"/>
    </row>
    <row r="46" spans="1:22" ht="15" hidden="1" customHeight="1" x14ac:dyDescent="0.25">
      <c r="A46" s="126" t="s">
        <v>381</v>
      </c>
      <c r="B46" s="127"/>
      <c r="C46" s="128"/>
      <c r="D46" s="129" t="s">
        <v>368</v>
      </c>
      <c r="E46" s="213" t="s">
        <v>382</v>
      </c>
      <c r="F46" s="125"/>
      <c r="G46" s="211" t="s">
        <v>276</v>
      </c>
      <c r="H46" s="130"/>
      <c r="I46" s="189"/>
      <c r="J46" s="131"/>
      <c r="K46" s="167"/>
      <c r="L46" s="132"/>
      <c r="M46" s="125"/>
      <c r="N46" s="133"/>
      <c r="O46" s="134"/>
      <c r="P46" s="135"/>
      <c r="Q46" s="135"/>
      <c r="R46" s="134"/>
      <c r="S46" s="134"/>
      <c r="T46" s="135"/>
      <c r="U46" s="135"/>
      <c r="V46" s="134"/>
    </row>
    <row r="47" spans="1:22" ht="15" hidden="1" customHeight="1" x14ac:dyDescent="0.25">
      <c r="A47" s="126" t="s">
        <v>383</v>
      </c>
      <c r="B47" s="127"/>
      <c r="C47" s="128"/>
      <c r="D47" s="129" t="s">
        <v>377</v>
      </c>
      <c r="E47" s="213" t="s">
        <v>384</v>
      </c>
      <c r="F47" s="125"/>
      <c r="G47" s="211" t="s">
        <v>276</v>
      </c>
      <c r="H47" s="130"/>
      <c r="I47" s="189"/>
      <c r="J47" s="131"/>
      <c r="K47" s="167"/>
      <c r="L47" s="132"/>
      <c r="M47" s="125"/>
      <c r="N47" s="133"/>
      <c r="O47" s="134"/>
      <c r="P47" s="135"/>
      <c r="Q47" s="135"/>
      <c r="R47" s="134"/>
      <c r="S47" s="134"/>
      <c r="T47" s="135"/>
      <c r="U47" s="135"/>
      <c r="V47" s="134"/>
    </row>
    <row r="48" spans="1:22" ht="15" hidden="1" customHeight="1" x14ac:dyDescent="0.25">
      <c r="A48" s="126" t="s">
        <v>385</v>
      </c>
      <c r="B48" s="127"/>
      <c r="C48" s="128"/>
      <c r="D48" s="129" t="s">
        <v>377</v>
      </c>
      <c r="E48" s="213" t="s">
        <v>386</v>
      </c>
      <c r="F48" s="125"/>
      <c r="G48" s="211" t="s">
        <v>276</v>
      </c>
      <c r="H48" s="130"/>
      <c r="I48" s="189"/>
      <c r="J48" s="131"/>
      <c r="K48" s="167"/>
      <c r="L48" s="132"/>
      <c r="M48" s="125"/>
      <c r="N48" s="133"/>
      <c r="O48" s="134"/>
      <c r="P48" s="135"/>
      <c r="Q48" s="135"/>
      <c r="R48" s="134"/>
      <c r="S48" s="134"/>
      <c r="T48" s="135"/>
      <c r="U48" s="135"/>
      <c r="V48" s="134"/>
    </row>
    <row r="49" spans="1:22" ht="15" hidden="1" customHeight="1" x14ac:dyDescent="0.25">
      <c r="A49" s="126" t="s">
        <v>387</v>
      </c>
      <c r="B49" s="127"/>
      <c r="C49" s="128"/>
      <c r="D49" s="129" t="s">
        <v>365</v>
      </c>
      <c r="E49" s="213" t="s">
        <v>388</v>
      </c>
      <c r="F49" s="125"/>
      <c r="G49" s="211" t="s">
        <v>276</v>
      </c>
      <c r="H49" s="130"/>
      <c r="I49" s="189"/>
      <c r="J49" s="131"/>
      <c r="K49" s="167"/>
      <c r="L49" s="132"/>
      <c r="M49" s="125"/>
      <c r="N49" s="133"/>
      <c r="O49" s="134"/>
      <c r="P49" s="135"/>
      <c r="Q49" s="135"/>
      <c r="R49" s="134"/>
      <c r="S49" s="134"/>
      <c r="T49" s="135"/>
      <c r="U49" s="135"/>
      <c r="V49" s="134"/>
    </row>
    <row r="50" spans="1:22" ht="15" hidden="1" customHeight="1" x14ac:dyDescent="0.25">
      <c r="A50" s="126" t="s">
        <v>389</v>
      </c>
      <c r="B50" s="127"/>
      <c r="C50" s="128"/>
      <c r="D50" s="129" t="s">
        <v>365</v>
      </c>
      <c r="E50" s="213" t="s">
        <v>390</v>
      </c>
      <c r="F50" s="125"/>
      <c r="G50" s="211" t="s">
        <v>276</v>
      </c>
      <c r="H50" s="130"/>
      <c r="I50" s="189"/>
      <c r="J50" s="131"/>
      <c r="K50" s="167"/>
      <c r="L50" s="132"/>
      <c r="M50" s="125"/>
      <c r="N50" s="133"/>
      <c r="O50" s="134"/>
      <c r="P50" s="135"/>
      <c r="Q50" s="135"/>
      <c r="R50" s="134"/>
      <c r="S50" s="134"/>
      <c r="T50" s="135"/>
      <c r="U50" s="135"/>
      <c r="V50" s="134"/>
    </row>
    <row r="51" spans="1:22" ht="15" hidden="1" customHeight="1" x14ac:dyDescent="0.25">
      <c r="A51" s="126" t="s">
        <v>391</v>
      </c>
      <c r="B51" s="127"/>
      <c r="C51" s="128"/>
      <c r="D51" s="129" t="s">
        <v>365</v>
      </c>
      <c r="E51" s="213" t="s">
        <v>392</v>
      </c>
      <c r="F51" s="125"/>
      <c r="G51" s="211" t="s">
        <v>276</v>
      </c>
      <c r="H51" s="130"/>
      <c r="I51" s="189"/>
      <c r="J51" s="131"/>
      <c r="K51" s="167"/>
      <c r="L51" s="132"/>
      <c r="M51" s="125"/>
      <c r="N51" s="133"/>
      <c r="O51" s="134"/>
      <c r="P51" s="135"/>
      <c r="Q51" s="135"/>
      <c r="R51" s="134"/>
      <c r="S51" s="134"/>
      <c r="T51" s="135"/>
      <c r="U51" s="135"/>
      <c r="V51" s="134"/>
    </row>
    <row r="52" spans="1:22" ht="15" hidden="1" customHeight="1" x14ac:dyDescent="0.25">
      <c r="A52" s="126" t="s">
        <v>393</v>
      </c>
      <c r="B52" s="127"/>
      <c r="C52" s="128"/>
      <c r="D52" s="129" t="s">
        <v>365</v>
      </c>
      <c r="E52" s="213" t="s">
        <v>394</v>
      </c>
      <c r="F52" s="125"/>
      <c r="G52" s="211" t="s">
        <v>276</v>
      </c>
      <c r="H52" s="130"/>
      <c r="I52" s="189"/>
      <c r="J52" s="131"/>
      <c r="K52" s="167"/>
      <c r="L52" s="132"/>
      <c r="M52" s="125"/>
      <c r="N52" s="133"/>
      <c r="O52" s="134"/>
      <c r="P52" s="135"/>
      <c r="Q52" s="135"/>
      <c r="R52" s="134"/>
      <c r="S52" s="134"/>
      <c r="T52" s="135"/>
      <c r="U52" s="135"/>
      <c r="V52" s="134"/>
    </row>
    <row r="53" spans="1:22" ht="15" hidden="1" customHeight="1" x14ac:dyDescent="0.25">
      <c r="A53" s="126" t="s">
        <v>395</v>
      </c>
      <c r="B53" s="127"/>
      <c r="C53" s="128"/>
      <c r="D53" s="129" t="s">
        <v>365</v>
      </c>
      <c r="E53" s="213" t="s">
        <v>396</v>
      </c>
      <c r="F53" s="125"/>
      <c r="G53" s="211" t="s">
        <v>276</v>
      </c>
      <c r="H53" s="130"/>
      <c r="I53" s="189"/>
      <c r="J53" s="131"/>
      <c r="K53" s="167"/>
      <c r="L53" s="132"/>
      <c r="M53" s="125"/>
      <c r="N53" s="133"/>
      <c r="O53" s="134"/>
      <c r="P53" s="135"/>
      <c r="Q53" s="135"/>
      <c r="R53" s="134"/>
      <c r="S53" s="134"/>
      <c r="T53" s="135"/>
      <c r="U53" s="135"/>
      <c r="V53" s="134"/>
    </row>
    <row r="54" spans="1:22" ht="15" hidden="1" customHeight="1" x14ac:dyDescent="0.25">
      <c r="A54" s="126" t="s">
        <v>397</v>
      </c>
      <c r="B54" s="127"/>
      <c r="C54" s="128"/>
      <c r="D54" s="129" t="s">
        <v>398</v>
      </c>
      <c r="E54" s="213" t="s">
        <v>399</v>
      </c>
      <c r="F54" s="125"/>
      <c r="G54" s="211" t="s">
        <v>276</v>
      </c>
      <c r="H54" s="130"/>
      <c r="I54" s="189"/>
      <c r="J54" s="131"/>
      <c r="K54" s="167"/>
      <c r="L54" s="132"/>
      <c r="M54" s="125"/>
      <c r="N54" s="133"/>
      <c r="O54" s="134"/>
      <c r="P54" s="135"/>
      <c r="Q54" s="135"/>
      <c r="R54" s="134"/>
      <c r="S54" s="134"/>
      <c r="T54" s="135"/>
      <c r="U54" s="135"/>
      <c r="V54" s="134"/>
    </row>
    <row r="55" spans="1:22" ht="15" hidden="1" customHeight="1" x14ac:dyDescent="0.25">
      <c r="A55" s="126" t="s">
        <v>400</v>
      </c>
      <c r="B55" s="127"/>
      <c r="C55" s="128"/>
      <c r="D55" s="129" t="s">
        <v>365</v>
      </c>
      <c r="E55" s="213" t="s">
        <v>401</v>
      </c>
      <c r="F55" s="125"/>
      <c r="G55" s="211" t="s">
        <v>276</v>
      </c>
      <c r="H55" s="130"/>
      <c r="I55" s="189"/>
      <c r="J55" s="131"/>
      <c r="K55" s="167"/>
      <c r="L55" s="132"/>
      <c r="M55" s="125"/>
      <c r="N55" s="133"/>
      <c r="O55" s="134"/>
      <c r="P55" s="135"/>
      <c r="Q55" s="135"/>
      <c r="R55" s="134"/>
      <c r="S55" s="134"/>
      <c r="T55" s="135"/>
      <c r="U55" s="135"/>
      <c r="V55" s="134"/>
    </row>
    <row r="56" spans="1:22" ht="15" hidden="1" customHeight="1" x14ac:dyDescent="0.25">
      <c r="A56" s="126" t="s">
        <v>402</v>
      </c>
      <c r="B56" s="127"/>
      <c r="C56" s="128"/>
      <c r="D56" s="129" t="s">
        <v>398</v>
      </c>
      <c r="E56" s="213" t="s">
        <v>403</v>
      </c>
      <c r="F56" s="125"/>
      <c r="G56" s="211" t="s">
        <v>276</v>
      </c>
      <c r="H56" s="130"/>
      <c r="I56" s="189"/>
      <c r="J56" s="131"/>
      <c r="K56" s="167"/>
      <c r="L56" s="132"/>
      <c r="M56" s="125"/>
      <c r="N56" s="133"/>
      <c r="O56" s="134"/>
      <c r="P56" s="135"/>
      <c r="Q56" s="135"/>
      <c r="R56" s="134"/>
      <c r="S56" s="134"/>
      <c r="T56" s="135"/>
      <c r="U56" s="135"/>
      <c r="V56" s="134"/>
    </row>
    <row r="57" spans="1:22" ht="15" hidden="1" customHeight="1" x14ac:dyDescent="0.25">
      <c r="A57" s="126" t="s">
        <v>404</v>
      </c>
      <c r="B57" s="127"/>
      <c r="C57" s="128"/>
      <c r="D57" s="129" t="s">
        <v>359</v>
      </c>
      <c r="E57" s="213" t="s">
        <v>360</v>
      </c>
      <c r="F57" s="125"/>
      <c r="G57" s="211" t="s">
        <v>276</v>
      </c>
      <c r="H57" s="130"/>
      <c r="I57" s="189"/>
      <c r="J57" s="131"/>
      <c r="K57" s="167"/>
      <c r="L57" s="132"/>
      <c r="M57" s="125"/>
      <c r="N57" s="133"/>
      <c r="O57" s="134"/>
      <c r="P57" s="135"/>
      <c r="Q57" s="135"/>
      <c r="R57" s="134"/>
      <c r="S57" s="134"/>
      <c r="T57" s="135"/>
      <c r="U57" s="135"/>
      <c r="V57" s="134"/>
    </row>
    <row r="58" spans="1:22" ht="15" hidden="1" customHeight="1" x14ac:dyDescent="0.25">
      <c r="A58" s="126" t="s">
        <v>405</v>
      </c>
      <c r="B58" s="127"/>
      <c r="C58" s="128"/>
      <c r="D58" s="129" t="s">
        <v>362</v>
      </c>
      <c r="E58" s="213" t="s">
        <v>406</v>
      </c>
      <c r="F58" s="125"/>
      <c r="G58" s="211" t="s">
        <v>276</v>
      </c>
      <c r="H58" s="130"/>
      <c r="I58" s="189"/>
      <c r="J58" s="131"/>
      <c r="K58" s="167"/>
      <c r="L58" s="132"/>
      <c r="M58" s="125"/>
      <c r="N58" s="133"/>
      <c r="O58" s="134"/>
      <c r="P58" s="135"/>
      <c r="Q58" s="135"/>
      <c r="R58" s="134"/>
      <c r="S58" s="134"/>
      <c r="T58" s="135"/>
      <c r="U58" s="135"/>
      <c r="V58" s="134"/>
    </row>
    <row r="59" spans="1:22" ht="15" hidden="1" customHeight="1" x14ac:dyDescent="0.25">
      <c r="A59" s="126" t="s">
        <v>407</v>
      </c>
      <c r="B59" s="127"/>
      <c r="C59" s="128"/>
      <c r="D59" s="129" t="s">
        <v>362</v>
      </c>
      <c r="E59" s="213" t="s">
        <v>408</v>
      </c>
      <c r="F59" s="125"/>
      <c r="G59" s="211" t="s">
        <v>276</v>
      </c>
      <c r="H59" s="130"/>
      <c r="I59" s="189"/>
      <c r="J59" s="131"/>
      <c r="K59" s="167"/>
      <c r="L59" s="132"/>
      <c r="M59" s="125"/>
      <c r="N59" s="133"/>
      <c r="O59" s="134"/>
      <c r="P59" s="135"/>
      <c r="Q59" s="135"/>
      <c r="R59" s="134"/>
      <c r="S59" s="134"/>
      <c r="T59" s="135"/>
      <c r="U59" s="135"/>
      <c r="V59" s="134"/>
    </row>
    <row r="60" spans="1:22" ht="15" hidden="1" customHeight="1" x14ac:dyDescent="0.25">
      <c r="A60" s="126" t="s">
        <v>409</v>
      </c>
      <c r="B60" s="127"/>
      <c r="C60" s="128"/>
      <c r="D60" s="129" t="s">
        <v>377</v>
      </c>
      <c r="E60" s="213" t="s">
        <v>410</v>
      </c>
      <c r="F60" s="125"/>
      <c r="G60" s="211" t="s">
        <v>276</v>
      </c>
      <c r="H60" s="130"/>
      <c r="I60" s="189"/>
      <c r="J60" s="131"/>
      <c r="K60" s="167"/>
      <c r="L60" s="132"/>
      <c r="M60" s="125"/>
      <c r="N60" s="133"/>
      <c r="O60" s="134"/>
      <c r="P60" s="135"/>
      <c r="Q60" s="135"/>
      <c r="R60" s="134"/>
      <c r="S60" s="134"/>
      <c r="T60" s="135"/>
      <c r="U60" s="135"/>
      <c r="V60" s="134"/>
    </row>
    <row r="61" spans="1:22" ht="15" hidden="1" customHeight="1" x14ac:dyDescent="0.25">
      <c r="A61" s="126" t="s">
        <v>411</v>
      </c>
      <c r="B61" s="127"/>
      <c r="C61" s="128"/>
      <c r="D61" s="129" t="s">
        <v>377</v>
      </c>
      <c r="E61" s="213" t="s">
        <v>412</v>
      </c>
      <c r="F61" s="125"/>
      <c r="G61" s="211" t="s">
        <v>276</v>
      </c>
      <c r="H61" s="130"/>
      <c r="I61" s="189"/>
      <c r="J61" s="131"/>
      <c r="K61" s="167"/>
      <c r="L61" s="132"/>
      <c r="M61" s="125"/>
      <c r="N61" s="133"/>
      <c r="O61" s="134"/>
      <c r="P61" s="135"/>
      <c r="Q61" s="135"/>
      <c r="R61" s="134"/>
      <c r="S61" s="134"/>
      <c r="T61" s="135"/>
      <c r="U61" s="135"/>
      <c r="V61" s="134"/>
    </row>
    <row r="62" spans="1:22" ht="15" hidden="1" customHeight="1" x14ac:dyDescent="0.25">
      <c r="A62" s="126" t="s">
        <v>413</v>
      </c>
      <c r="B62" s="127"/>
      <c r="C62" s="128"/>
      <c r="D62" s="129" t="s">
        <v>377</v>
      </c>
      <c r="E62" s="213" t="s">
        <v>414</v>
      </c>
      <c r="F62" s="125"/>
      <c r="G62" s="211" t="s">
        <v>276</v>
      </c>
      <c r="H62" s="130"/>
      <c r="I62" s="189"/>
      <c r="J62" s="131"/>
      <c r="K62" s="167"/>
      <c r="L62" s="132"/>
      <c r="M62" s="125"/>
      <c r="N62" s="133"/>
      <c r="O62" s="134"/>
      <c r="P62" s="135"/>
      <c r="Q62" s="135"/>
      <c r="R62" s="134"/>
      <c r="S62" s="134"/>
      <c r="T62" s="135"/>
      <c r="U62" s="135"/>
      <c r="V62" s="134"/>
    </row>
    <row r="63" spans="1:22" ht="15" hidden="1" customHeight="1" x14ac:dyDescent="0.25">
      <c r="A63" s="126" t="s">
        <v>415</v>
      </c>
      <c r="B63" s="127"/>
      <c r="C63" s="128"/>
      <c r="D63" s="129" t="s">
        <v>416</v>
      </c>
      <c r="E63" s="213" t="s">
        <v>417</v>
      </c>
      <c r="F63" s="125"/>
      <c r="G63" s="211" t="s">
        <v>276</v>
      </c>
      <c r="H63" s="130"/>
      <c r="I63" s="189"/>
      <c r="J63" s="131"/>
      <c r="K63" s="167"/>
      <c r="L63" s="132"/>
      <c r="M63" s="125"/>
      <c r="N63" s="133"/>
      <c r="O63" s="134"/>
      <c r="P63" s="135"/>
      <c r="Q63" s="135"/>
      <c r="R63" s="134"/>
      <c r="S63" s="134"/>
      <c r="T63" s="135"/>
      <c r="U63" s="135"/>
      <c r="V63" s="134"/>
    </row>
    <row r="64" spans="1:22" ht="15" hidden="1" customHeight="1" x14ac:dyDescent="0.25">
      <c r="A64" s="126" t="s">
        <v>418</v>
      </c>
      <c r="B64" s="127"/>
      <c r="C64" s="128"/>
      <c r="D64" s="129" t="s">
        <v>377</v>
      </c>
      <c r="E64" s="213" t="s">
        <v>419</v>
      </c>
      <c r="F64" s="125"/>
      <c r="G64" s="211" t="s">
        <v>276</v>
      </c>
      <c r="H64" s="130"/>
      <c r="I64" s="189"/>
      <c r="J64" s="131"/>
      <c r="K64" s="167"/>
      <c r="L64" s="132"/>
      <c r="M64" s="125"/>
      <c r="N64" s="133"/>
      <c r="O64" s="134"/>
      <c r="P64" s="135"/>
      <c r="Q64" s="135"/>
      <c r="R64" s="134"/>
      <c r="S64" s="134"/>
      <c r="T64" s="135"/>
      <c r="U64" s="135"/>
      <c r="V64" s="134"/>
    </row>
    <row r="65" spans="1:22" ht="15" hidden="1" customHeight="1" x14ac:dyDescent="0.25">
      <c r="A65" s="126" t="s">
        <v>420</v>
      </c>
      <c r="B65" s="127"/>
      <c r="C65" s="128"/>
      <c r="D65" s="129" t="s">
        <v>362</v>
      </c>
      <c r="E65" s="213" t="s">
        <v>421</v>
      </c>
      <c r="F65" s="125"/>
      <c r="G65" s="211" t="s">
        <v>276</v>
      </c>
      <c r="H65" s="130"/>
      <c r="I65" s="189"/>
      <c r="J65" s="131"/>
      <c r="K65" s="167"/>
      <c r="L65" s="132"/>
      <c r="M65" s="125"/>
      <c r="N65" s="133"/>
      <c r="O65" s="134"/>
      <c r="P65" s="135"/>
      <c r="Q65" s="135"/>
      <c r="R65" s="134"/>
      <c r="S65" s="134"/>
      <c r="T65" s="135"/>
      <c r="U65" s="135"/>
      <c r="V65" s="134"/>
    </row>
    <row r="66" spans="1:22" ht="15" hidden="1" customHeight="1" x14ac:dyDescent="0.25">
      <c r="A66" s="126" t="s">
        <v>422</v>
      </c>
      <c r="B66" s="127"/>
      <c r="C66" s="128"/>
      <c r="D66" s="129" t="s">
        <v>359</v>
      </c>
      <c r="E66" s="213" t="s">
        <v>423</v>
      </c>
      <c r="F66" s="125"/>
      <c r="G66" s="211" t="s">
        <v>276</v>
      </c>
      <c r="H66" s="130"/>
      <c r="I66" s="189"/>
      <c r="J66" s="131"/>
      <c r="K66" s="167"/>
      <c r="L66" s="132"/>
      <c r="M66" s="125"/>
      <c r="N66" s="133"/>
      <c r="O66" s="134"/>
      <c r="P66" s="135"/>
      <c r="Q66" s="135"/>
      <c r="R66" s="134"/>
      <c r="S66" s="134"/>
      <c r="T66" s="135"/>
      <c r="U66" s="135"/>
      <c r="V66" s="134"/>
    </row>
    <row r="67" spans="1:22" ht="15" hidden="1" customHeight="1" x14ac:dyDescent="0.25">
      <c r="A67" s="126" t="s">
        <v>424</v>
      </c>
      <c r="B67" s="127"/>
      <c r="C67" s="128"/>
      <c r="D67" s="129" t="s">
        <v>359</v>
      </c>
      <c r="E67" s="213" t="s">
        <v>425</v>
      </c>
      <c r="F67" s="125"/>
      <c r="G67" s="211" t="s">
        <v>276</v>
      </c>
      <c r="H67" s="130"/>
      <c r="I67" s="189"/>
      <c r="J67" s="131"/>
      <c r="K67" s="167"/>
      <c r="L67" s="132"/>
      <c r="M67" s="125"/>
      <c r="N67" s="133"/>
      <c r="O67" s="134"/>
      <c r="P67" s="135"/>
      <c r="Q67" s="135"/>
      <c r="R67" s="134"/>
      <c r="S67" s="134"/>
      <c r="T67" s="135"/>
      <c r="U67" s="135"/>
      <c r="V67" s="134"/>
    </row>
    <row r="68" spans="1:22" ht="15" hidden="1" customHeight="1" x14ac:dyDescent="0.25">
      <c r="A68" s="126" t="s">
        <v>426</v>
      </c>
      <c r="B68" s="127"/>
      <c r="C68" s="128"/>
      <c r="D68" s="129" t="s">
        <v>359</v>
      </c>
      <c r="E68" s="213" t="s">
        <v>427</v>
      </c>
      <c r="F68" s="125"/>
      <c r="G68" s="211" t="s">
        <v>276</v>
      </c>
      <c r="H68" s="130"/>
      <c r="I68" s="189"/>
      <c r="J68" s="131"/>
      <c r="K68" s="167"/>
      <c r="L68" s="132"/>
      <c r="M68" s="125"/>
      <c r="N68" s="133"/>
      <c r="O68" s="134"/>
      <c r="P68" s="135"/>
      <c r="Q68" s="135"/>
      <c r="R68" s="134"/>
      <c r="S68" s="134"/>
      <c r="T68" s="135"/>
      <c r="U68" s="135"/>
      <c r="V68" s="134"/>
    </row>
    <row r="69" spans="1:22" ht="15" hidden="1" customHeight="1" x14ac:dyDescent="0.25">
      <c r="A69" s="126" t="s">
        <v>428</v>
      </c>
      <c r="B69" s="127"/>
      <c r="C69" s="128"/>
      <c r="D69" s="129" t="s">
        <v>359</v>
      </c>
      <c r="E69" s="213" t="s">
        <v>429</v>
      </c>
      <c r="F69" s="125"/>
      <c r="G69" s="211" t="s">
        <v>276</v>
      </c>
      <c r="H69" s="130"/>
      <c r="I69" s="189"/>
      <c r="J69" s="131"/>
      <c r="K69" s="167"/>
      <c r="L69" s="132"/>
      <c r="M69" s="125"/>
      <c r="N69" s="133"/>
      <c r="O69" s="134"/>
      <c r="P69" s="135"/>
      <c r="Q69" s="135"/>
      <c r="R69" s="134"/>
      <c r="S69" s="134"/>
      <c r="T69" s="135"/>
      <c r="U69" s="135"/>
      <c r="V69" s="134"/>
    </row>
    <row r="70" spans="1:22" ht="15" hidden="1" customHeight="1" x14ac:dyDescent="0.25">
      <c r="A70" s="126" t="s">
        <v>430</v>
      </c>
      <c r="B70" s="127"/>
      <c r="C70" s="128"/>
      <c r="D70" s="129" t="s">
        <v>377</v>
      </c>
      <c r="E70" s="213" t="s">
        <v>431</v>
      </c>
      <c r="F70" s="125"/>
      <c r="G70" s="211" t="s">
        <v>276</v>
      </c>
      <c r="H70" s="130"/>
      <c r="I70" s="189"/>
      <c r="J70" s="131"/>
      <c r="K70" s="167"/>
      <c r="L70" s="132"/>
      <c r="M70" s="125"/>
      <c r="N70" s="133"/>
      <c r="O70" s="134"/>
      <c r="P70" s="135"/>
      <c r="Q70" s="135"/>
      <c r="R70" s="134"/>
      <c r="S70" s="134"/>
      <c r="T70" s="135"/>
      <c r="U70" s="135"/>
      <c r="V70" s="134"/>
    </row>
    <row r="71" spans="1:22" ht="15" hidden="1" customHeight="1" x14ac:dyDescent="0.25">
      <c r="A71" s="126" t="s">
        <v>432</v>
      </c>
      <c r="B71" s="127"/>
      <c r="C71" s="128"/>
      <c r="D71" s="129" t="s">
        <v>377</v>
      </c>
      <c r="E71" s="213" t="s">
        <v>433</v>
      </c>
      <c r="F71" s="125"/>
      <c r="G71" s="211" t="s">
        <v>276</v>
      </c>
      <c r="H71" s="130"/>
      <c r="I71" s="189"/>
      <c r="J71" s="131"/>
      <c r="K71" s="167"/>
      <c r="L71" s="132"/>
      <c r="M71" s="125"/>
      <c r="N71" s="133"/>
      <c r="O71" s="134"/>
      <c r="P71" s="135"/>
      <c r="Q71" s="135"/>
      <c r="R71" s="134"/>
      <c r="S71" s="134"/>
      <c r="T71" s="135"/>
      <c r="U71" s="135"/>
      <c r="V71" s="134"/>
    </row>
    <row r="72" spans="1:22" ht="15" hidden="1" customHeight="1" x14ac:dyDescent="0.25">
      <c r="A72" s="126" t="s">
        <v>434</v>
      </c>
      <c r="B72" s="127"/>
      <c r="C72" s="128"/>
      <c r="D72" s="129" t="s">
        <v>435</v>
      </c>
      <c r="E72" s="213" t="s">
        <v>436</v>
      </c>
      <c r="F72" s="125"/>
      <c r="G72" s="211" t="s">
        <v>276</v>
      </c>
      <c r="H72" s="130"/>
      <c r="I72" s="189"/>
      <c r="J72" s="131"/>
      <c r="K72" s="167"/>
      <c r="L72" s="132"/>
      <c r="M72" s="125"/>
      <c r="N72" s="133"/>
      <c r="O72" s="134"/>
      <c r="P72" s="135"/>
      <c r="Q72" s="135"/>
      <c r="R72" s="134"/>
      <c r="S72" s="134"/>
      <c r="T72" s="135"/>
      <c r="U72" s="135"/>
      <c r="V72" s="134"/>
    </row>
    <row r="73" spans="1:22" ht="15" hidden="1" customHeight="1" x14ac:dyDescent="0.25">
      <c r="A73" s="126" t="s">
        <v>437</v>
      </c>
      <c r="B73" s="127"/>
      <c r="C73" s="128"/>
      <c r="D73" s="129" t="s">
        <v>365</v>
      </c>
      <c r="E73" s="213" t="s">
        <v>438</v>
      </c>
      <c r="F73" s="125"/>
      <c r="G73" s="211" t="s">
        <v>276</v>
      </c>
      <c r="H73" s="130"/>
      <c r="I73" s="189"/>
      <c r="J73" s="131"/>
      <c r="K73" s="167"/>
      <c r="L73" s="132"/>
      <c r="M73" s="125"/>
      <c r="N73" s="133"/>
      <c r="O73" s="134"/>
      <c r="P73" s="135"/>
      <c r="Q73" s="135"/>
      <c r="R73" s="134"/>
      <c r="S73" s="134"/>
      <c r="T73" s="135"/>
      <c r="U73" s="135"/>
      <c r="V73" s="134"/>
    </row>
    <row r="74" spans="1:22" ht="15" hidden="1" customHeight="1" x14ac:dyDescent="0.25">
      <c r="A74" s="126" t="s">
        <v>439</v>
      </c>
      <c r="B74" s="127"/>
      <c r="C74" s="128"/>
      <c r="D74" s="129" t="s">
        <v>377</v>
      </c>
      <c r="E74" s="213" t="s">
        <v>440</v>
      </c>
      <c r="F74" s="125"/>
      <c r="G74" s="211" t="s">
        <v>276</v>
      </c>
      <c r="H74" s="130"/>
      <c r="I74" s="189"/>
      <c r="J74" s="131"/>
      <c r="K74" s="167"/>
      <c r="L74" s="132"/>
      <c r="M74" s="125"/>
      <c r="N74" s="133"/>
      <c r="O74" s="134"/>
      <c r="P74" s="135"/>
      <c r="Q74" s="135"/>
      <c r="R74" s="134"/>
      <c r="S74" s="134"/>
      <c r="T74" s="135"/>
      <c r="U74" s="135"/>
      <c r="V74" s="134"/>
    </row>
    <row r="75" spans="1:22" ht="15" hidden="1" customHeight="1" x14ac:dyDescent="0.25">
      <c r="A75" s="126" t="s">
        <v>441</v>
      </c>
      <c r="B75" s="127"/>
      <c r="C75" s="128"/>
      <c r="D75" s="129" t="s">
        <v>377</v>
      </c>
      <c r="E75" s="213" t="s">
        <v>442</v>
      </c>
      <c r="F75" s="125"/>
      <c r="G75" s="211" t="s">
        <v>276</v>
      </c>
      <c r="H75" s="130"/>
      <c r="I75" s="189"/>
      <c r="J75" s="131"/>
      <c r="K75" s="167"/>
      <c r="L75" s="132"/>
      <c r="M75" s="125"/>
      <c r="N75" s="133"/>
      <c r="O75" s="134"/>
      <c r="P75" s="135"/>
      <c r="Q75" s="135"/>
      <c r="R75" s="134"/>
      <c r="S75" s="134"/>
      <c r="T75" s="135"/>
      <c r="U75" s="135"/>
      <c r="V75" s="134"/>
    </row>
    <row r="76" spans="1:22" ht="15" hidden="1" customHeight="1" x14ac:dyDescent="0.25">
      <c r="A76" s="126" t="s">
        <v>443</v>
      </c>
      <c r="B76" s="127"/>
      <c r="C76" s="128"/>
      <c r="D76" s="129" t="s">
        <v>368</v>
      </c>
      <c r="E76" s="213" t="s">
        <v>444</v>
      </c>
      <c r="F76" s="125"/>
      <c r="G76" s="211" t="s">
        <v>276</v>
      </c>
      <c r="H76" s="130"/>
      <c r="I76" s="189"/>
      <c r="J76" s="131"/>
      <c r="K76" s="167"/>
      <c r="L76" s="132"/>
      <c r="M76" s="125"/>
      <c r="N76" s="133"/>
      <c r="O76" s="134"/>
      <c r="P76" s="135"/>
      <c r="Q76" s="135"/>
      <c r="R76" s="134"/>
      <c r="S76" s="134"/>
      <c r="T76" s="135"/>
      <c r="U76" s="135"/>
      <c r="V76" s="134"/>
    </row>
    <row r="77" spans="1:22" ht="15" hidden="1" customHeight="1" x14ac:dyDescent="0.25">
      <c r="A77" s="126" t="s">
        <v>445</v>
      </c>
      <c r="B77" s="127"/>
      <c r="C77" s="128"/>
      <c r="D77" s="129" t="s">
        <v>368</v>
      </c>
      <c r="E77" s="213" t="s">
        <v>446</v>
      </c>
      <c r="F77" s="125"/>
      <c r="G77" s="211" t="s">
        <v>276</v>
      </c>
      <c r="H77" s="130"/>
      <c r="I77" s="189"/>
      <c r="J77" s="131"/>
      <c r="K77" s="167"/>
      <c r="L77" s="132"/>
      <c r="M77" s="125"/>
      <c r="N77" s="133"/>
      <c r="O77" s="134"/>
      <c r="P77" s="135"/>
      <c r="Q77" s="135"/>
      <c r="R77" s="134"/>
      <c r="S77" s="134"/>
      <c r="T77" s="135"/>
      <c r="U77" s="135"/>
      <c r="V77" s="134"/>
    </row>
    <row r="78" spans="1:22" ht="15" hidden="1" customHeight="1" x14ac:dyDescent="0.25">
      <c r="A78" s="126" t="s">
        <v>447</v>
      </c>
      <c r="B78" s="127"/>
      <c r="C78" s="128"/>
      <c r="D78" s="129" t="s">
        <v>368</v>
      </c>
      <c r="E78" s="213" t="s">
        <v>448</v>
      </c>
      <c r="F78" s="125"/>
      <c r="G78" s="211" t="s">
        <v>276</v>
      </c>
      <c r="H78" s="130"/>
      <c r="I78" s="189"/>
      <c r="J78" s="131"/>
      <c r="K78" s="167"/>
      <c r="L78" s="132"/>
      <c r="M78" s="125"/>
      <c r="N78" s="133"/>
      <c r="O78" s="134"/>
      <c r="P78" s="135"/>
      <c r="Q78" s="135"/>
      <c r="R78" s="134"/>
      <c r="S78" s="134"/>
      <c r="T78" s="135"/>
      <c r="U78" s="135"/>
      <c r="V78" s="134"/>
    </row>
    <row r="79" spans="1:22" ht="15" hidden="1" customHeight="1" x14ac:dyDescent="0.25">
      <c r="A79" s="126" t="s">
        <v>449</v>
      </c>
      <c r="B79" s="127"/>
      <c r="C79" s="128"/>
      <c r="D79" s="129" t="s">
        <v>368</v>
      </c>
      <c r="E79" s="213" t="s">
        <v>450</v>
      </c>
      <c r="F79" s="125"/>
      <c r="G79" s="211" t="s">
        <v>276</v>
      </c>
      <c r="H79" s="130"/>
      <c r="I79" s="189"/>
      <c r="J79" s="131"/>
      <c r="K79" s="167"/>
      <c r="L79" s="132"/>
      <c r="M79" s="125"/>
      <c r="N79" s="133"/>
      <c r="O79" s="134"/>
      <c r="P79" s="135"/>
      <c r="Q79" s="135"/>
      <c r="R79" s="134"/>
      <c r="S79" s="134"/>
      <c r="T79" s="135"/>
      <c r="U79" s="135"/>
      <c r="V79" s="134"/>
    </row>
    <row r="80" spans="1:22" ht="15" hidden="1" customHeight="1" x14ac:dyDescent="0.25">
      <c r="A80" s="126" t="s">
        <v>451</v>
      </c>
      <c r="B80" s="127"/>
      <c r="C80" s="128"/>
      <c r="D80" s="129" t="s">
        <v>362</v>
      </c>
      <c r="E80" s="213" t="s">
        <v>403</v>
      </c>
      <c r="F80" s="125"/>
      <c r="G80" s="211" t="s">
        <v>276</v>
      </c>
      <c r="H80" s="130"/>
      <c r="I80" s="189"/>
      <c r="J80" s="131"/>
      <c r="K80" s="167"/>
      <c r="L80" s="132"/>
      <c r="M80" s="125"/>
      <c r="N80" s="133"/>
      <c r="O80" s="134"/>
      <c r="P80" s="135"/>
      <c r="Q80" s="135"/>
      <c r="R80" s="134"/>
      <c r="S80" s="134"/>
      <c r="T80" s="135"/>
      <c r="U80" s="135"/>
      <c r="V80" s="134"/>
    </row>
    <row r="81" spans="1:22" ht="15" hidden="1" customHeight="1" x14ac:dyDescent="0.25">
      <c r="A81" s="126" t="s">
        <v>452</v>
      </c>
      <c r="B81" s="127"/>
      <c r="C81" s="128"/>
      <c r="D81" s="129" t="s">
        <v>368</v>
      </c>
      <c r="E81" s="213" t="s">
        <v>453</v>
      </c>
      <c r="F81" s="125"/>
      <c r="G81" s="211" t="s">
        <v>276</v>
      </c>
      <c r="H81" s="130"/>
      <c r="I81" s="189"/>
      <c r="J81" s="131"/>
      <c r="K81" s="167"/>
      <c r="L81" s="132"/>
      <c r="M81" s="125"/>
      <c r="N81" s="133"/>
      <c r="O81" s="134"/>
      <c r="P81" s="135"/>
      <c r="Q81" s="135"/>
      <c r="R81" s="134"/>
      <c r="S81" s="134"/>
      <c r="T81" s="135"/>
      <c r="U81" s="135"/>
      <c r="V81" s="134"/>
    </row>
    <row r="82" spans="1:22" ht="15" hidden="1" customHeight="1" x14ac:dyDescent="0.25">
      <c r="A82" s="126" t="s">
        <v>454</v>
      </c>
      <c r="B82" s="127"/>
      <c r="C82" s="128"/>
      <c r="D82" s="129" t="s">
        <v>368</v>
      </c>
      <c r="E82" s="213" t="s">
        <v>455</v>
      </c>
      <c r="F82" s="125"/>
      <c r="G82" s="211" t="s">
        <v>276</v>
      </c>
      <c r="H82" s="130"/>
      <c r="I82" s="189"/>
      <c r="J82" s="131"/>
      <c r="K82" s="167"/>
      <c r="L82" s="132"/>
      <c r="M82" s="125"/>
      <c r="N82" s="133"/>
      <c r="O82" s="134"/>
      <c r="P82" s="135"/>
      <c r="Q82" s="135"/>
      <c r="R82" s="134"/>
      <c r="S82" s="134"/>
      <c r="T82" s="135"/>
      <c r="U82" s="135"/>
      <c r="V82" s="134"/>
    </row>
    <row r="83" spans="1:22" ht="15" hidden="1" customHeight="1" x14ac:dyDescent="0.25">
      <c r="A83" s="126" t="s">
        <v>456</v>
      </c>
      <c r="B83" s="127"/>
      <c r="C83" s="128"/>
      <c r="D83" s="129" t="s">
        <v>368</v>
      </c>
      <c r="E83" s="213" t="s">
        <v>457</v>
      </c>
      <c r="F83" s="125"/>
      <c r="G83" s="211" t="s">
        <v>276</v>
      </c>
      <c r="H83" s="130"/>
      <c r="I83" s="189"/>
      <c r="J83" s="131"/>
      <c r="K83" s="167"/>
      <c r="L83" s="132"/>
      <c r="M83" s="125"/>
      <c r="N83" s="133"/>
      <c r="O83" s="134"/>
      <c r="P83" s="135"/>
      <c r="Q83" s="135"/>
      <c r="R83" s="134"/>
      <c r="S83" s="134"/>
      <c r="T83" s="135"/>
      <c r="U83" s="135"/>
      <c r="V83" s="134"/>
    </row>
    <row r="84" spans="1:22" ht="15" hidden="1" customHeight="1" x14ac:dyDescent="0.25">
      <c r="A84" s="126" t="s">
        <v>458</v>
      </c>
      <c r="B84" s="127"/>
      <c r="C84" s="128"/>
      <c r="D84" s="129" t="s">
        <v>368</v>
      </c>
      <c r="E84" s="213" t="s">
        <v>459</v>
      </c>
      <c r="F84" s="125"/>
      <c r="G84" s="211" t="s">
        <v>276</v>
      </c>
      <c r="H84" s="130"/>
      <c r="I84" s="189"/>
      <c r="J84" s="131"/>
      <c r="K84" s="167"/>
      <c r="L84" s="132"/>
      <c r="M84" s="125"/>
      <c r="N84" s="133"/>
      <c r="O84" s="134"/>
      <c r="P84" s="135"/>
      <c r="Q84" s="135"/>
      <c r="R84" s="134"/>
      <c r="S84" s="134"/>
      <c r="T84" s="135"/>
      <c r="U84" s="135"/>
      <c r="V84" s="134"/>
    </row>
    <row r="85" spans="1:22" ht="15" hidden="1" customHeight="1" x14ac:dyDescent="0.25">
      <c r="A85" s="126" t="s">
        <v>460</v>
      </c>
      <c r="B85" s="127"/>
      <c r="C85" s="128"/>
      <c r="D85" s="129" t="s">
        <v>368</v>
      </c>
      <c r="E85" s="213" t="s">
        <v>461</v>
      </c>
      <c r="F85" s="125"/>
      <c r="G85" s="211" t="s">
        <v>276</v>
      </c>
      <c r="H85" s="130"/>
      <c r="I85" s="189"/>
      <c r="J85" s="131"/>
      <c r="K85" s="167"/>
      <c r="L85" s="132"/>
      <c r="M85" s="125"/>
      <c r="N85" s="133"/>
      <c r="O85" s="134"/>
      <c r="P85" s="135"/>
      <c r="Q85" s="135"/>
      <c r="R85" s="134"/>
      <c r="S85" s="134"/>
      <c r="T85" s="135"/>
      <c r="U85" s="135"/>
      <c r="V85" s="134"/>
    </row>
    <row r="86" spans="1:22" ht="15" hidden="1" customHeight="1" x14ac:dyDescent="0.25">
      <c r="A86" s="126" t="s">
        <v>462</v>
      </c>
      <c r="B86" s="127"/>
      <c r="C86" s="128"/>
      <c r="D86" s="129" t="s">
        <v>365</v>
      </c>
      <c r="E86" s="213" t="s">
        <v>463</v>
      </c>
      <c r="F86" s="125"/>
      <c r="G86" s="211" t="s">
        <v>276</v>
      </c>
      <c r="H86" s="130"/>
      <c r="I86" s="189"/>
      <c r="J86" s="131"/>
      <c r="K86" s="167"/>
      <c r="L86" s="132"/>
      <c r="M86" s="125"/>
      <c r="N86" s="133"/>
      <c r="O86" s="134"/>
      <c r="P86" s="135"/>
      <c r="Q86" s="135"/>
      <c r="R86" s="134"/>
      <c r="S86" s="134"/>
      <c r="T86" s="135"/>
      <c r="U86" s="135"/>
      <c r="V86" s="134"/>
    </row>
    <row r="87" spans="1:22" ht="15" hidden="1" customHeight="1" x14ac:dyDescent="0.25">
      <c r="A87" s="126" t="s">
        <v>464</v>
      </c>
      <c r="B87" s="127"/>
      <c r="C87" s="128"/>
      <c r="D87" s="129" t="s">
        <v>365</v>
      </c>
      <c r="E87" s="213" t="s">
        <v>465</v>
      </c>
      <c r="F87" s="125"/>
      <c r="G87" s="211" t="s">
        <v>276</v>
      </c>
      <c r="H87" s="130"/>
      <c r="I87" s="189"/>
      <c r="J87" s="131"/>
      <c r="K87" s="167"/>
      <c r="L87" s="132"/>
      <c r="M87" s="125"/>
      <c r="N87" s="133"/>
      <c r="O87" s="134"/>
      <c r="P87" s="135"/>
      <c r="Q87" s="135"/>
      <c r="R87" s="134"/>
      <c r="S87" s="134"/>
      <c r="T87" s="135"/>
      <c r="U87" s="135"/>
      <c r="V87" s="134"/>
    </row>
    <row r="88" spans="1:22" ht="15" hidden="1" customHeight="1" x14ac:dyDescent="0.25">
      <c r="A88" s="126" t="s">
        <v>466</v>
      </c>
      <c r="B88" s="127"/>
      <c r="C88" s="128"/>
      <c r="D88" s="129" t="s">
        <v>368</v>
      </c>
      <c r="E88" s="213" t="s">
        <v>465</v>
      </c>
      <c r="F88" s="125"/>
      <c r="G88" s="211" t="s">
        <v>276</v>
      </c>
      <c r="H88" s="130"/>
      <c r="I88" s="189"/>
      <c r="J88" s="131"/>
      <c r="K88" s="167"/>
      <c r="L88" s="132"/>
      <c r="M88" s="125"/>
      <c r="N88" s="133"/>
      <c r="O88" s="134"/>
      <c r="P88" s="135"/>
      <c r="Q88" s="135"/>
      <c r="R88" s="134"/>
      <c r="S88" s="134"/>
      <c r="T88" s="135"/>
      <c r="U88" s="135"/>
      <c r="V88" s="134"/>
    </row>
    <row r="89" spans="1:22" ht="15" hidden="1" customHeight="1" x14ac:dyDescent="0.25">
      <c r="A89" s="126" t="s">
        <v>467</v>
      </c>
      <c r="B89" s="127"/>
      <c r="C89" s="128"/>
      <c r="D89" s="129" t="s">
        <v>365</v>
      </c>
      <c r="E89" s="213" t="s">
        <v>468</v>
      </c>
      <c r="F89" s="125"/>
      <c r="G89" s="211" t="s">
        <v>276</v>
      </c>
      <c r="H89" s="130"/>
      <c r="I89" s="189"/>
      <c r="J89" s="131"/>
      <c r="K89" s="167"/>
      <c r="L89" s="132"/>
      <c r="M89" s="125"/>
      <c r="N89" s="133"/>
      <c r="O89" s="134"/>
      <c r="P89" s="135"/>
      <c r="Q89" s="135"/>
      <c r="R89" s="134"/>
      <c r="S89" s="134"/>
      <c r="T89" s="135"/>
      <c r="U89" s="135"/>
      <c r="V89" s="134"/>
    </row>
    <row r="90" spans="1:22" ht="15" hidden="1" customHeight="1" x14ac:dyDescent="0.25">
      <c r="A90" s="126" t="s">
        <v>469</v>
      </c>
      <c r="B90" s="127"/>
      <c r="C90" s="128"/>
      <c r="D90" s="129" t="s">
        <v>368</v>
      </c>
      <c r="E90" s="213" t="s">
        <v>470</v>
      </c>
      <c r="F90" s="125"/>
      <c r="G90" s="211" t="s">
        <v>276</v>
      </c>
      <c r="H90" s="130"/>
      <c r="I90" s="189"/>
      <c r="J90" s="131"/>
      <c r="K90" s="167"/>
      <c r="L90" s="132"/>
      <c r="M90" s="125"/>
      <c r="N90" s="133"/>
      <c r="O90" s="134"/>
      <c r="P90" s="135"/>
      <c r="Q90" s="135"/>
      <c r="R90" s="134"/>
      <c r="S90" s="134"/>
      <c r="T90" s="135"/>
      <c r="U90" s="135"/>
      <c r="V90" s="134"/>
    </row>
    <row r="91" spans="1:22" ht="15" customHeight="1" x14ac:dyDescent="0.25">
      <c r="A91" s="126" t="s">
        <v>471</v>
      </c>
      <c r="B91" s="127"/>
      <c r="C91" s="128"/>
      <c r="D91" s="129" t="s">
        <v>368</v>
      </c>
      <c r="E91" s="213" t="s">
        <v>472</v>
      </c>
      <c r="F91" s="125"/>
      <c r="G91" s="211" t="s">
        <v>368</v>
      </c>
      <c r="H91" s="130"/>
      <c r="I91" s="189" t="s">
        <v>44</v>
      </c>
      <c r="J91" s="131"/>
      <c r="K91" s="167"/>
      <c r="L91" s="132"/>
      <c r="M91" s="125"/>
      <c r="N91" s="133"/>
      <c r="O91" s="134"/>
      <c r="P91" s="135"/>
      <c r="Q91" s="135"/>
      <c r="R91" s="134"/>
      <c r="S91" s="134"/>
      <c r="T91" s="135"/>
      <c r="U91" s="135"/>
      <c r="V91" s="134"/>
    </row>
    <row r="92" spans="1:22" ht="15" hidden="1" customHeight="1" x14ac:dyDescent="0.25">
      <c r="A92" s="126" t="s">
        <v>473</v>
      </c>
      <c r="B92" s="127"/>
      <c r="C92" s="128"/>
      <c r="D92" s="129" t="s">
        <v>365</v>
      </c>
      <c r="E92" s="213" t="s">
        <v>474</v>
      </c>
      <c r="F92" s="125"/>
      <c r="G92" s="211" t="s">
        <v>276</v>
      </c>
      <c r="H92" s="130"/>
      <c r="I92" s="189"/>
      <c r="J92" s="131"/>
      <c r="K92" s="167"/>
      <c r="L92" s="132"/>
      <c r="M92" s="125"/>
      <c r="N92" s="133"/>
      <c r="O92" s="134"/>
      <c r="P92" s="135"/>
      <c r="Q92" s="135"/>
      <c r="R92" s="134"/>
      <c r="S92" s="134"/>
      <c r="T92" s="135"/>
      <c r="U92" s="135"/>
      <c r="V92" s="134"/>
    </row>
    <row r="93" spans="1:22" ht="15" hidden="1" customHeight="1" x14ac:dyDescent="0.25">
      <c r="A93" s="126" t="s">
        <v>475</v>
      </c>
      <c r="B93" s="127"/>
      <c r="C93" s="128"/>
      <c r="D93" s="129" t="s">
        <v>365</v>
      </c>
      <c r="E93" s="213" t="s">
        <v>476</v>
      </c>
      <c r="F93" s="125"/>
      <c r="G93" s="211" t="s">
        <v>276</v>
      </c>
      <c r="H93" s="130"/>
      <c r="I93" s="189"/>
      <c r="J93" s="131"/>
      <c r="K93" s="167"/>
      <c r="L93" s="132"/>
      <c r="M93" s="125"/>
      <c r="N93" s="133"/>
      <c r="O93" s="134"/>
      <c r="P93" s="135"/>
      <c r="Q93" s="135"/>
      <c r="R93" s="134"/>
      <c r="S93" s="134"/>
      <c r="T93" s="135"/>
      <c r="U93" s="135"/>
      <c r="V93" s="134"/>
    </row>
    <row r="94" spans="1:22" ht="15" hidden="1" customHeight="1" x14ac:dyDescent="0.25">
      <c r="A94" s="126" t="s">
        <v>477</v>
      </c>
      <c r="B94" s="127"/>
      <c r="C94" s="128"/>
      <c r="D94" s="129" t="s">
        <v>362</v>
      </c>
      <c r="E94" s="213" t="s">
        <v>403</v>
      </c>
      <c r="F94" s="125"/>
      <c r="G94" s="211" t="s">
        <v>276</v>
      </c>
      <c r="H94" s="130"/>
      <c r="I94" s="189"/>
      <c r="J94" s="131"/>
      <c r="K94" s="167"/>
      <c r="L94" s="132"/>
      <c r="M94" s="125"/>
      <c r="N94" s="133"/>
      <c r="O94" s="134"/>
      <c r="P94" s="135"/>
      <c r="Q94" s="135"/>
      <c r="R94" s="134"/>
      <c r="S94" s="134"/>
      <c r="T94" s="135"/>
      <c r="U94" s="135"/>
      <c r="V94" s="134"/>
    </row>
    <row r="95" spans="1:22" ht="15" hidden="1" customHeight="1" x14ac:dyDescent="0.25">
      <c r="A95" s="126" t="s">
        <v>478</v>
      </c>
      <c r="B95" s="127"/>
      <c r="C95" s="128"/>
      <c r="D95" s="129" t="s">
        <v>362</v>
      </c>
      <c r="E95" s="213" t="s">
        <v>403</v>
      </c>
      <c r="F95" s="125"/>
      <c r="G95" s="211" t="s">
        <v>276</v>
      </c>
      <c r="H95" s="130"/>
      <c r="I95" s="189"/>
      <c r="J95" s="131"/>
      <c r="K95" s="167"/>
      <c r="L95" s="132"/>
      <c r="M95" s="125"/>
      <c r="N95" s="133"/>
      <c r="O95" s="134"/>
      <c r="P95" s="135"/>
      <c r="Q95" s="135"/>
      <c r="R95" s="134"/>
      <c r="S95" s="134"/>
      <c r="T95" s="135"/>
      <c r="U95" s="135"/>
      <c r="V95" s="134"/>
    </row>
    <row r="96" spans="1:22" ht="15" hidden="1" customHeight="1" x14ac:dyDescent="0.25">
      <c r="A96" s="126" t="s">
        <v>479</v>
      </c>
      <c r="B96" s="127"/>
      <c r="C96" s="128"/>
      <c r="D96" s="129" t="s">
        <v>362</v>
      </c>
      <c r="E96" s="213" t="s">
        <v>403</v>
      </c>
      <c r="F96" s="125"/>
      <c r="G96" s="211" t="s">
        <v>276</v>
      </c>
      <c r="H96" s="130"/>
      <c r="I96" s="189"/>
      <c r="J96" s="131"/>
      <c r="K96" s="167"/>
      <c r="L96" s="132"/>
      <c r="M96" s="125"/>
      <c r="N96" s="133"/>
      <c r="O96" s="134"/>
      <c r="P96" s="135"/>
      <c r="Q96" s="135"/>
      <c r="R96" s="134"/>
      <c r="S96" s="134"/>
      <c r="T96" s="135"/>
      <c r="U96" s="135"/>
      <c r="V96" s="134"/>
    </row>
    <row r="97" spans="1:22" ht="15" hidden="1" customHeight="1" x14ac:dyDescent="0.25">
      <c r="A97" s="126" t="s">
        <v>480</v>
      </c>
      <c r="B97" s="127"/>
      <c r="C97" s="128"/>
      <c r="D97" s="129" t="s">
        <v>368</v>
      </c>
      <c r="E97" s="213" t="s">
        <v>481</v>
      </c>
      <c r="F97" s="125"/>
      <c r="G97" s="211" t="s">
        <v>276</v>
      </c>
      <c r="H97" s="130"/>
      <c r="I97" s="189"/>
      <c r="J97" s="131"/>
      <c r="K97" s="167"/>
      <c r="L97" s="132"/>
      <c r="M97" s="125"/>
      <c r="N97" s="133"/>
      <c r="O97" s="134"/>
      <c r="P97" s="135"/>
      <c r="Q97" s="135"/>
      <c r="R97" s="134"/>
      <c r="S97" s="134"/>
      <c r="T97" s="135"/>
      <c r="U97" s="135"/>
      <c r="V97" s="134"/>
    </row>
    <row r="98" spans="1:22" ht="15" hidden="1" customHeight="1" x14ac:dyDescent="0.25">
      <c r="A98" s="126" t="s">
        <v>482</v>
      </c>
      <c r="B98" s="127"/>
      <c r="C98" s="128"/>
      <c r="D98" s="129" t="s">
        <v>368</v>
      </c>
      <c r="E98" s="213" t="s">
        <v>483</v>
      </c>
      <c r="F98" s="125"/>
      <c r="G98" s="211" t="s">
        <v>276</v>
      </c>
      <c r="H98" s="130"/>
      <c r="I98" s="189"/>
      <c r="J98" s="131"/>
      <c r="K98" s="167"/>
      <c r="L98" s="132"/>
      <c r="M98" s="125"/>
      <c r="N98" s="133"/>
      <c r="O98" s="134"/>
      <c r="P98" s="135"/>
      <c r="Q98" s="135"/>
      <c r="R98" s="134"/>
      <c r="S98" s="134"/>
      <c r="T98" s="135"/>
      <c r="U98" s="135"/>
      <c r="V98" s="134"/>
    </row>
    <row r="99" spans="1:22" ht="15" hidden="1" customHeight="1" x14ac:dyDescent="0.25">
      <c r="A99" s="126" t="s">
        <v>484</v>
      </c>
      <c r="B99" s="127"/>
      <c r="C99" s="128"/>
      <c r="D99" s="129" t="s">
        <v>377</v>
      </c>
      <c r="E99" s="213" t="s">
        <v>485</v>
      </c>
      <c r="F99" s="125"/>
      <c r="G99" s="211" t="s">
        <v>276</v>
      </c>
      <c r="H99" s="130"/>
      <c r="I99" s="189"/>
      <c r="J99" s="131"/>
      <c r="K99" s="167"/>
      <c r="L99" s="132"/>
      <c r="M99" s="125"/>
      <c r="N99" s="133"/>
      <c r="O99" s="134"/>
      <c r="P99" s="135"/>
      <c r="Q99" s="135"/>
      <c r="R99" s="134"/>
      <c r="S99" s="134"/>
      <c r="T99" s="135"/>
      <c r="U99" s="135"/>
      <c r="V99" s="134"/>
    </row>
    <row r="100" spans="1:22" ht="15" hidden="1" customHeight="1" x14ac:dyDescent="0.25">
      <c r="A100" s="126" t="s">
        <v>486</v>
      </c>
      <c r="B100" s="127"/>
      <c r="C100" s="128"/>
      <c r="D100" s="129" t="s">
        <v>365</v>
      </c>
      <c r="E100" s="213" t="s">
        <v>487</v>
      </c>
      <c r="F100" s="125"/>
      <c r="G100" s="211" t="s">
        <v>276</v>
      </c>
      <c r="H100" s="130"/>
      <c r="I100" s="189"/>
      <c r="J100" s="131"/>
      <c r="K100" s="167"/>
      <c r="L100" s="132"/>
      <c r="M100" s="125"/>
      <c r="N100" s="133"/>
      <c r="O100" s="134"/>
      <c r="P100" s="135"/>
      <c r="Q100" s="135"/>
      <c r="R100" s="134"/>
      <c r="S100" s="134"/>
      <c r="T100" s="135"/>
      <c r="U100" s="135"/>
      <c r="V100" s="134"/>
    </row>
    <row r="101" spans="1:22" ht="15" hidden="1" customHeight="1" x14ac:dyDescent="0.25">
      <c r="A101" s="126" t="s">
        <v>488</v>
      </c>
      <c r="B101" s="127"/>
      <c r="C101" s="128"/>
      <c r="D101" s="129" t="s">
        <v>368</v>
      </c>
      <c r="E101" s="213" t="s">
        <v>489</v>
      </c>
      <c r="F101" s="125"/>
      <c r="G101" s="211" t="s">
        <v>276</v>
      </c>
      <c r="H101" s="130"/>
      <c r="I101" s="189"/>
      <c r="J101" s="131"/>
      <c r="K101" s="167"/>
      <c r="L101" s="132"/>
      <c r="M101" s="125"/>
      <c r="N101" s="133"/>
      <c r="O101" s="134"/>
      <c r="P101" s="135"/>
      <c r="Q101" s="135"/>
      <c r="R101" s="134"/>
      <c r="S101" s="134"/>
      <c r="T101" s="135"/>
      <c r="U101" s="135"/>
      <c r="V101" s="134"/>
    </row>
    <row r="102" spans="1:22" ht="15" hidden="1" customHeight="1" x14ac:dyDescent="0.25">
      <c r="A102" s="126" t="s">
        <v>490</v>
      </c>
      <c r="B102" s="127"/>
      <c r="C102" s="128"/>
      <c r="D102" s="129" t="s">
        <v>377</v>
      </c>
      <c r="E102" s="213" t="s">
        <v>403</v>
      </c>
      <c r="F102" s="125"/>
      <c r="G102" s="211" t="s">
        <v>276</v>
      </c>
      <c r="H102" s="130"/>
      <c r="I102" s="189"/>
      <c r="J102" s="131"/>
      <c r="K102" s="167"/>
      <c r="L102" s="132"/>
      <c r="M102" s="125"/>
      <c r="N102" s="133"/>
      <c r="O102" s="134"/>
      <c r="P102" s="135"/>
      <c r="Q102" s="135"/>
      <c r="R102" s="134"/>
      <c r="S102" s="134"/>
      <c r="T102" s="135"/>
      <c r="U102" s="135"/>
      <c r="V102" s="134"/>
    </row>
    <row r="103" spans="1:22" ht="15" hidden="1" customHeight="1" x14ac:dyDescent="0.25">
      <c r="A103" s="126" t="s">
        <v>491</v>
      </c>
      <c r="B103" s="127"/>
      <c r="C103" s="128"/>
      <c r="D103" s="129" t="s">
        <v>377</v>
      </c>
      <c r="E103" s="213" t="s">
        <v>403</v>
      </c>
      <c r="F103" s="125"/>
      <c r="G103" s="211" t="s">
        <v>276</v>
      </c>
      <c r="H103" s="130"/>
      <c r="I103" s="189"/>
      <c r="J103" s="131"/>
      <c r="K103" s="167"/>
      <c r="L103" s="132"/>
      <c r="M103" s="125"/>
      <c r="N103" s="133"/>
      <c r="O103" s="134"/>
      <c r="P103" s="135"/>
      <c r="Q103" s="135"/>
      <c r="R103" s="134"/>
      <c r="S103" s="134"/>
      <c r="T103" s="135"/>
      <c r="U103" s="135"/>
      <c r="V103" s="134"/>
    </row>
    <row r="104" spans="1:22" ht="15" hidden="1" customHeight="1" x14ac:dyDescent="0.25">
      <c r="A104" s="126" t="s">
        <v>492</v>
      </c>
      <c r="B104" s="127"/>
      <c r="C104" s="128"/>
      <c r="D104" s="129" t="s">
        <v>377</v>
      </c>
      <c r="E104" s="213" t="s">
        <v>403</v>
      </c>
      <c r="F104" s="125"/>
      <c r="G104" s="211" t="s">
        <v>276</v>
      </c>
      <c r="H104" s="130"/>
      <c r="I104" s="189"/>
      <c r="J104" s="131"/>
      <c r="K104" s="167"/>
      <c r="L104" s="132"/>
      <c r="M104" s="125"/>
      <c r="N104" s="133"/>
      <c r="O104" s="134"/>
      <c r="P104" s="135"/>
      <c r="Q104" s="135"/>
      <c r="R104" s="134"/>
      <c r="S104" s="134"/>
      <c r="T104" s="135"/>
      <c r="U104" s="135"/>
      <c r="V104" s="134"/>
    </row>
    <row r="105" spans="1:22" ht="15" hidden="1" customHeight="1" x14ac:dyDescent="0.25">
      <c r="A105" s="126" t="s">
        <v>493</v>
      </c>
      <c r="B105" s="127"/>
      <c r="C105" s="128"/>
      <c r="D105" s="129" t="s">
        <v>377</v>
      </c>
      <c r="E105" s="213" t="s">
        <v>494</v>
      </c>
      <c r="F105" s="125"/>
      <c r="G105" s="211" t="s">
        <v>276</v>
      </c>
      <c r="H105" s="130"/>
      <c r="I105" s="189"/>
      <c r="J105" s="131"/>
      <c r="K105" s="167"/>
      <c r="L105" s="132"/>
      <c r="M105" s="125"/>
      <c r="N105" s="133"/>
      <c r="O105" s="134"/>
      <c r="P105" s="135"/>
      <c r="Q105" s="135"/>
      <c r="R105" s="134"/>
      <c r="S105" s="134"/>
      <c r="T105" s="135"/>
      <c r="U105" s="135"/>
      <c r="V105" s="134"/>
    </row>
    <row r="106" spans="1:22" ht="15" hidden="1" customHeight="1" x14ac:dyDescent="0.25">
      <c r="A106" s="126" t="s">
        <v>495</v>
      </c>
      <c r="B106" s="127"/>
      <c r="C106" s="128"/>
      <c r="D106" s="129" t="s">
        <v>377</v>
      </c>
      <c r="E106" s="213" t="s">
        <v>496</v>
      </c>
      <c r="F106" s="125"/>
      <c r="G106" s="211" t="s">
        <v>276</v>
      </c>
      <c r="H106" s="130"/>
      <c r="I106" s="189"/>
      <c r="J106" s="131"/>
      <c r="K106" s="167"/>
      <c r="L106" s="132"/>
      <c r="M106" s="125"/>
      <c r="N106" s="133"/>
      <c r="O106" s="134"/>
      <c r="P106" s="135"/>
      <c r="Q106" s="135"/>
      <c r="R106" s="134"/>
      <c r="S106" s="134"/>
      <c r="T106" s="135"/>
      <c r="U106" s="135"/>
      <c r="V106" s="134"/>
    </row>
    <row r="107" spans="1:22" ht="15" hidden="1" customHeight="1" x14ac:dyDescent="0.25">
      <c r="A107" s="126" t="s">
        <v>497</v>
      </c>
      <c r="B107" s="127"/>
      <c r="C107" s="128"/>
      <c r="D107" s="129" t="s">
        <v>377</v>
      </c>
      <c r="E107" s="213" t="s">
        <v>498</v>
      </c>
      <c r="F107" s="125"/>
      <c r="G107" s="211" t="s">
        <v>276</v>
      </c>
      <c r="H107" s="130"/>
      <c r="I107" s="189"/>
      <c r="J107" s="131"/>
      <c r="K107" s="167"/>
      <c r="L107" s="132"/>
      <c r="M107" s="125"/>
      <c r="N107" s="133"/>
      <c r="O107" s="134"/>
      <c r="P107" s="135"/>
      <c r="Q107" s="135"/>
      <c r="R107" s="134"/>
      <c r="S107" s="134"/>
      <c r="T107" s="135"/>
      <c r="U107" s="135"/>
      <c r="V107" s="134"/>
    </row>
    <row r="108" spans="1:22" ht="15" customHeight="1" x14ac:dyDescent="0.25">
      <c r="A108" s="126" t="s">
        <v>499</v>
      </c>
      <c r="B108" s="127"/>
      <c r="C108" s="128"/>
      <c r="D108" s="129" t="s">
        <v>377</v>
      </c>
      <c r="E108" s="213" t="s">
        <v>500</v>
      </c>
      <c r="F108" s="125"/>
      <c r="G108" s="211" t="s">
        <v>377</v>
      </c>
      <c r="H108" s="130"/>
      <c r="I108" s="189" t="s">
        <v>44</v>
      </c>
      <c r="J108" s="131"/>
      <c r="K108" s="167"/>
      <c r="L108" s="132"/>
      <c r="M108" s="125"/>
      <c r="N108" s="133"/>
      <c r="O108" s="134"/>
      <c r="P108" s="135"/>
      <c r="Q108" s="135"/>
      <c r="R108" s="134"/>
      <c r="S108" s="134"/>
      <c r="T108" s="135"/>
      <c r="U108" s="135"/>
      <c r="V108" s="134"/>
    </row>
    <row r="109" spans="1:22" ht="15" customHeight="1" x14ac:dyDescent="0.25">
      <c r="A109" s="126" t="s">
        <v>501</v>
      </c>
      <c r="B109" s="127"/>
      <c r="C109" s="128"/>
      <c r="D109" s="129" t="s">
        <v>377</v>
      </c>
      <c r="E109" s="213" t="s">
        <v>502</v>
      </c>
      <c r="F109" s="125"/>
      <c r="G109" s="211" t="s">
        <v>377</v>
      </c>
      <c r="H109" s="130"/>
      <c r="I109" s="189" t="s">
        <v>44</v>
      </c>
      <c r="J109" s="131" t="s">
        <v>1040</v>
      </c>
      <c r="K109" s="167"/>
      <c r="L109" s="132"/>
      <c r="M109" s="125"/>
      <c r="N109" s="133"/>
      <c r="O109" s="134"/>
      <c r="P109" s="135"/>
      <c r="Q109" s="135"/>
      <c r="R109" s="134"/>
      <c r="S109" s="134"/>
      <c r="T109" s="135"/>
      <c r="U109" s="135"/>
      <c r="V109" s="134"/>
    </row>
    <row r="110" spans="1:22" ht="15" customHeight="1" x14ac:dyDescent="0.25">
      <c r="A110" s="126" t="s">
        <v>503</v>
      </c>
      <c r="B110" s="127"/>
      <c r="C110" s="128"/>
      <c r="D110" s="129" t="s">
        <v>362</v>
      </c>
      <c r="E110" s="213" t="s">
        <v>504</v>
      </c>
      <c r="F110" s="125"/>
      <c r="G110" s="211" t="s">
        <v>362</v>
      </c>
      <c r="H110" s="130"/>
      <c r="I110" s="189" t="s">
        <v>44</v>
      </c>
      <c r="J110" s="131"/>
      <c r="K110" s="167"/>
      <c r="L110" s="132"/>
      <c r="M110" s="125"/>
      <c r="N110" s="133"/>
      <c r="O110" s="134"/>
      <c r="P110" s="135"/>
      <c r="Q110" s="135"/>
      <c r="R110" s="134"/>
      <c r="S110" s="134"/>
      <c r="T110" s="135"/>
      <c r="U110" s="135"/>
      <c r="V110" s="134"/>
    </row>
    <row r="111" spans="1:22" ht="15" customHeight="1" x14ac:dyDescent="0.25">
      <c r="A111" s="126" t="s">
        <v>505</v>
      </c>
      <c r="B111" s="127"/>
      <c r="C111" s="128"/>
      <c r="D111" s="129" t="s">
        <v>506</v>
      </c>
      <c r="E111" s="213" t="s">
        <v>507</v>
      </c>
      <c r="F111" s="125"/>
      <c r="G111" s="211" t="s">
        <v>506</v>
      </c>
      <c r="H111" s="130"/>
      <c r="I111" s="189" t="s">
        <v>44</v>
      </c>
      <c r="J111" s="131"/>
      <c r="K111" s="167"/>
      <c r="L111" s="132"/>
      <c r="M111" s="125"/>
      <c r="N111" s="133"/>
      <c r="O111" s="134"/>
      <c r="P111" s="135"/>
      <c r="Q111" s="135"/>
      <c r="R111" s="134"/>
      <c r="S111" s="134"/>
      <c r="T111" s="135"/>
      <c r="U111" s="135"/>
      <c r="V111" s="134"/>
    </row>
    <row r="112" spans="1:22" ht="15" customHeight="1" x14ac:dyDescent="0.25">
      <c r="A112" s="126" t="s">
        <v>508</v>
      </c>
      <c r="B112" s="127"/>
      <c r="C112" s="128"/>
      <c r="D112" s="129" t="s">
        <v>506</v>
      </c>
      <c r="E112" s="213" t="s">
        <v>509</v>
      </c>
      <c r="F112" s="125"/>
      <c r="G112" s="211" t="s">
        <v>506</v>
      </c>
      <c r="H112" s="130"/>
      <c r="I112" s="189" t="s">
        <v>44</v>
      </c>
      <c r="J112" s="131"/>
      <c r="K112" s="167"/>
      <c r="L112" s="132"/>
      <c r="M112" s="125"/>
      <c r="N112" s="133"/>
      <c r="O112" s="134"/>
      <c r="P112" s="135"/>
      <c r="Q112" s="135"/>
      <c r="R112" s="134"/>
      <c r="S112" s="134"/>
      <c r="T112" s="135"/>
      <c r="U112" s="135"/>
      <c r="V112" s="134"/>
    </row>
    <row r="113" spans="1:22" ht="15" customHeight="1" x14ac:dyDescent="0.25">
      <c r="A113" s="126" t="s">
        <v>510</v>
      </c>
      <c r="B113" s="127"/>
      <c r="C113" s="128"/>
      <c r="D113" s="129" t="s">
        <v>368</v>
      </c>
      <c r="E113" s="213" t="s">
        <v>511</v>
      </c>
      <c r="F113" s="125"/>
      <c r="G113" s="211" t="s">
        <v>368</v>
      </c>
      <c r="H113" s="130"/>
      <c r="I113" s="189" t="s">
        <v>44</v>
      </c>
      <c r="J113" s="131"/>
      <c r="K113" s="167"/>
      <c r="L113" s="132"/>
      <c r="M113" s="125"/>
      <c r="N113" s="133"/>
      <c r="O113" s="134"/>
      <c r="P113" s="135"/>
      <c r="Q113" s="135"/>
      <c r="R113" s="134"/>
      <c r="S113" s="134"/>
      <c r="T113" s="135"/>
      <c r="U113" s="135"/>
      <c r="V113" s="134"/>
    </row>
    <row r="114" spans="1:22" ht="15" customHeight="1" x14ac:dyDescent="0.25">
      <c r="A114" s="126" t="s">
        <v>512</v>
      </c>
      <c r="B114" s="127"/>
      <c r="C114" s="128"/>
      <c r="D114" s="129" t="s">
        <v>368</v>
      </c>
      <c r="E114" s="213" t="s">
        <v>513</v>
      </c>
      <c r="F114" s="125"/>
      <c r="G114" s="211" t="s">
        <v>368</v>
      </c>
      <c r="H114" s="130"/>
      <c r="I114" s="189" t="s">
        <v>44</v>
      </c>
      <c r="J114" s="131"/>
      <c r="K114" s="167"/>
      <c r="L114" s="132"/>
      <c r="M114" s="125"/>
      <c r="N114" s="133"/>
      <c r="O114" s="134"/>
      <c r="P114" s="135"/>
      <c r="Q114" s="135"/>
      <c r="R114" s="134"/>
      <c r="S114" s="134"/>
      <c r="T114" s="135"/>
      <c r="U114" s="135"/>
      <c r="V114" s="134"/>
    </row>
    <row r="115" spans="1:22" ht="15" customHeight="1" x14ac:dyDescent="0.25">
      <c r="A115" s="126" t="s">
        <v>514</v>
      </c>
      <c r="B115" s="127"/>
      <c r="C115" s="128"/>
      <c r="D115" s="129" t="s">
        <v>368</v>
      </c>
      <c r="E115" s="213" t="s">
        <v>515</v>
      </c>
      <c r="F115" s="125"/>
      <c r="G115" s="211" t="s">
        <v>368</v>
      </c>
      <c r="H115" s="130"/>
      <c r="I115" s="189" t="s">
        <v>44</v>
      </c>
      <c r="J115" s="131"/>
      <c r="K115" s="167"/>
      <c r="L115" s="132"/>
      <c r="M115" s="125"/>
      <c r="N115" s="133"/>
      <c r="O115" s="134"/>
      <c r="P115" s="135"/>
      <c r="Q115" s="135"/>
      <c r="R115" s="134"/>
      <c r="S115" s="134"/>
      <c r="T115" s="135"/>
      <c r="U115" s="135"/>
      <c r="V115" s="134"/>
    </row>
    <row r="116" spans="1:22" ht="15" customHeight="1" x14ac:dyDescent="0.25">
      <c r="A116" s="126" t="s">
        <v>516</v>
      </c>
      <c r="B116" s="127"/>
      <c r="C116" s="128"/>
      <c r="D116" s="129" t="s">
        <v>368</v>
      </c>
      <c r="E116" s="213" t="s">
        <v>517</v>
      </c>
      <c r="F116" s="125"/>
      <c r="G116" s="211" t="s">
        <v>368</v>
      </c>
      <c r="H116" s="130"/>
      <c r="I116" s="189" t="s">
        <v>44</v>
      </c>
      <c r="J116" s="131"/>
      <c r="K116" s="167"/>
      <c r="L116" s="132"/>
      <c r="M116" s="125"/>
      <c r="N116" s="133"/>
      <c r="O116" s="134"/>
      <c r="P116" s="135"/>
      <c r="Q116" s="135"/>
      <c r="R116" s="134"/>
      <c r="S116" s="134"/>
      <c r="T116" s="135"/>
      <c r="U116" s="135"/>
      <c r="V116" s="134"/>
    </row>
    <row r="117" spans="1:22" ht="15" customHeight="1" x14ac:dyDescent="0.25">
      <c r="A117" s="126" t="s">
        <v>518</v>
      </c>
      <c r="B117" s="127"/>
      <c r="C117" s="128"/>
      <c r="D117" s="129" t="s">
        <v>368</v>
      </c>
      <c r="E117" s="213" t="s">
        <v>519</v>
      </c>
      <c r="F117" s="125"/>
      <c r="G117" s="211" t="s">
        <v>368</v>
      </c>
      <c r="H117" s="130"/>
      <c r="I117" s="189" t="s">
        <v>44</v>
      </c>
      <c r="J117" s="131"/>
      <c r="K117" s="167"/>
      <c r="L117" s="132"/>
      <c r="M117" s="125"/>
      <c r="N117" s="133"/>
      <c r="O117" s="134"/>
      <c r="P117" s="135"/>
      <c r="Q117" s="135"/>
      <c r="R117" s="134"/>
      <c r="S117" s="134"/>
      <c r="T117" s="135"/>
      <c r="U117" s="135"/>
      <c r="V117" s="134"/>
    </row>
    <row r="118" spans="1:22" ht="15" customHeight="1" x14ac:dyDescent="0.25">
      <c r="A118" s="126" t="s">
        <v>520</v>
      </c>
      <c r="B118" s="127"/>
      <c r="C118" s="128"/>
      <c r="D118" s="129" t="s">
        <v>377</v>
      </c>
      <c r="E118" s="213" t="s">
        <v>511</v>
      </c>
      <c r="F118" s="125"/>
      <c r="G118" s="214" t="s">
        <v>377</v>
      </c>
      <c r="H118" s="130"/>
      <c r="I118" s="189" t="s">
        <v>44</v>
      </c>
      <c r="J118" s="131"/>
      <c r="K118" s="167"/>
      <c r="L118" s="132"/>
      <c r="M118" s="125"/>
      <c r="N118" s="133"/>
      <c r="O118" s="134"/>
      <c r="P118" s="135"/>
      <c r="Q118" s="135"/>
      <c r="R118" s="134"/>
      <c r="S118" s="134"/>
      <c r="T118" s="135"/>
      <c r="U118" s="135"/>
      <c r="V118" s="134"/>
    </row>
    <row r="119" spans="1:22" ht="15" customHeight="1" x14ac:dyDescent="0.25">
      <c r="A119" s="126" t="s">
        <v>521</v>
      </c>
      <c r="B119" s="127"/>
      <c r="C119" s="128"/>
      <c r="D119" s="129" t="s">
        <v>368</v>
      </c>
      <c r="E119" s="213" t="s">
        <v>522</v>
      </c>
      <c r="F119" s="125"/>
      <c r="G119" s="214" t="s">
        <v>368</v>
      </c>
      <c r="H119" s="130"/>
      <c r="I119" s="189" t="s">
        <v>44</v>
      </c>
      <c r="J119" s="131"/>
      <c r="K119" s="167"/>
      <c r="L119" s="132"/>
      <c r="M119" s="125"/>
      <c r="N119" s="133"/>
      <c r="O119" s="134"/>
      <c r="P119" s="135"/>
      <c r="Q119" s="135"/>
      <c r="R119" s="134"/>
      <c r="S119" s="134"/>
      <c r="T119" s="135"/>
      <c r="U119" s="135"/>
      <c r="V119" s="134"/>
    </row>
    <row r="120" spans="1:22" ht="15" customHeight="1" x14ac:dyDescent="0.25">
      <c r="A120" s="126" t="s">
        <v>523</v>
      </c>
      <c r="B120" s="127"/>
      <c r="C120" s="128"/>
      <c r="D120" s="129" t="s">
        <v>368</v>
      </c>
      <c r="E120" s="213" t="s">
        <v>524</v>
      </c>
      <c r="F120" s="125"/>
      <c r="G120" s="214" t="s">
        <v>368</v>
      </c>
      <c r="H120" s="130"/>
      <c r="I120" s="189" t="s">
        <v>44</v>
      </c>
      <c r="J120" s="131"/>
      <c r="K120" s="167"/>
      <c r="L120" s="132"/>
      <c r="M120" s="125"/>
      <c r="N120" s="133"/>
      <c r="O120" s="134"/>
      <c r="P120" s="135"/>
      <c r="Q120" s="135"/>
      <c r="R120" s="134"/>
      <c r="S120" s="134"/>
      <c r="T120" s="135"/>
      <c r="U120" s="135"/>
      <c r="V120" s="134"/>
    </row>
    <row r="121" spans="1:22" ht="15" customHeight="1" x14ac:dyDescent="0.25">
      <c r="A121" s="126" t="s">
        <v>525</v>
      </c>
      <c r="B121" s="127"/>
      <c r="C121" s="128"/>
      <c r="D121" s="129" t="s">
        <v>368</v>
      </c>
      <c r="E121" s="213" t="s">
        <v>526</v>
      </c>
      <c r="F121" s="125"/>
      <c r="G121" s="214" t="s">
        <v>368</v>
      </c>
      <c r="H121" s="130"/>
      <c r="I121" s="189" t="s">
        <v>44</v>
      </c>
      <c r="J121" s="131"/>
      <c r="K121" s="167"/>
      <c r="L121" s="132"/>
      <c r="M121" s="125"/>
      <c r="N121" s="133"/>
      <c r="O121" s="134"/>
      <c r="P121" s="135"/>
      <c r="Q121" s="135"/>
      <c r="R121" s="134"/>
      <c r="S121" s="134"/>
      <c r="T121" s="135"/>
      <c r="U121" s="135"/>
      <c r="V121" s="134"/>
    </row>
    <row r="122" spans="1:22" ht="15" customHeight="1" x14ac:dyDescent="0.25">
      <c r="A122" s="126" t="s">
        <v>527</v>
      </c>
      <c r="B122" s="127"/>
      <c r="C122" s="128"/>
      <c r="D122" s="129" t="s">
        <v>368</v>
      </c>
      <c r="E122" s="213" t="s">
        <v>528</v>
      </c>
      <c r="F122" s="125"/>
      <c r="G122" s="214" t="s">
        <v>368</v>
      </c>
      <c r="H122" s="130"/>
      <c r="I122" s="189" t="s">
        <v>44</v>
      </c>
      <c r="J122" s="131"/>
      <c r="K122" s="167"/>
      <c r="L122" s="132"/>
      <c r="M122" s="125"/>
      <c r="N122" s="133"/>
      <c r="O122" s="134"/>
      <c r="P122" s="135"/>
      <c r="Q122" s="135"/>
      <c r="R122" s="134"/>
      <c r="S122" s="134"/>
      <c r="T122" s="135"/>
      <c r="U122" s="135"/>
      <c r="V122" s="134"/>
    </row>
    <row r="123" spans="1:22" ht="15" customHeight="1" x14ac:dyDescent="0.25">
      <c r="A123" s="126" t="s">
        <v>529</v>
      </c>
      <c r="B123" s="127"/>
      <c r="C123" s="128"/>
      <c r="D123" s="129" t="s">
        <v>368</v>
      </c>
      <c r="E123" s="213" t="s">
        <v>530</v>
      </c>
      <c r="F123" s="125"/>
      <c r="G123" s="214" t="s">
        <v>368</v>
      </c>
      <c r="H123" s="130"/>
      <c r="I123" s="189" t="s">
        <v>44</v>
      </c>
      <c r="J123" s="131"/>
      <c r="K123" s="167"/>
      <c r="L123" s="132"/>
      <c r="M123" s="125"/>
      <c r="N123" s="133"/>
      <c r="O123" s="134"/>
      <c r="P123" s="135"/>
      <c r="Q123" s="135"/>
      <c r="R123" s="134"/>
      <c r="S123" s="134"/>
      <c r="T123" s="135"/>
      <c r="U123" s="135"/>
      <c r="V123" s="134"/>
    </row>
    <row r="124" spans="1:22" ht="15" customHeight="1" x14ac:dyDescent="0.25">
      <c r="A124" s="126" t="s">
        <v>531</v>
      </c>
      <c r="B124" s="127"/>
      <c r="C124" s="128"/>
      <c r="D124" s="129" t="s">
        <v>368</v>
      </c>
      <c r="E124" s="213" t="s">
        <v>532</v>
      </c>
      <c r="F124" s="125"/>
      <c r="G124" s="214" t="s">
        <v>368</v>
      </c>
      <c r="H124" s="130"/>
      <c r="I124" s="189" t="s">
        <v>44</v>
      </c>
      <c r="J124" s="131"/>
      <c r="K124" s="167"/>
      <c r="L124" s="132"/>
      <c r="M124" s="125"/>
      <c r="N124" s="133"/>
      <c r="O124" s="134"/>
      <c r="P124" s="135"/>
      <c r="Q124" s="135"/>
      <c r="R124" s="134"/>
      <c r="S124" s="134"/>
      <c r="T124" s="135"/>
      <c r="U124" s="135"/>
      <c r="V124" s="134"/>
    </row>
    <row r="125" spans="1:22" ht="15" customHeight="1" x14ac:dyDescent="0.25">
      <c r="A125" s="126" t="s">
        <v>533</v>
      </c>
      <c r="B125" s="127"/>
      <c r="C125" s="128"/>
      <c r="D125" s="129" t="s">
        <v>368</v>
      </c>
      <c r="E125" s="213" t="s">
        <v>534</v>
      </c>
      <c r="F125" s="125"/>
      <c r="G125" s="214" t="s">
        <v>368</v>
      </c>
      <c r="H125" s="130"/>
      <c r="I125" s="189" t="s">
        <v>44</v>
      </c>
      <c r="J125" s="131"/>
      <c r="K125" s="167"/>
      <c r="L125" s="132"/>
      <c r="M125" s="125"/>
      <c r="N125" s="133"/>
      <c r="O125" s="134"/>
      <c r="P125" s="135"/>
      <c r="Q125" s="135"/>
      <c r="R125" s="134"/>
      <c r="S125" s="134"/>
      <c r="T125" s="135"/>
      <c r="U125" s="135"/>
      <c r="V125" s="134"/>
    </row>
    <row r="126" spans="1:22" ht="15" customHeight="1" x14ac:dyDescent="0.25">
      <c r="A126" s="126" t="s">
        <v>535</v>
      </c>
      <c r="B126" s="127"/>
      <c r="C126" s="128"/>
      <c r="D126" s="129" t="s">
        <v>368</v>
      </c>
      <c r="E126" s="213" t="s">
        <v>536</v>
      </c>
      <c r="F126" s="125"/>
      <c r="G126" s="214" t="s">
        <v>368</v>
      </c>
      <c r="H126" s="130"/>
      <c r="I126" s="189" t="s">
        <v>44</v>
      </c>
      <c r="J126" s="131"/>
      <c r="K126" s="167"/>
      <c r="L126" s="132"/>
      <c r="M126" s="125"/>
      <c r="N126" s="133"/>
      <c r="O126" s="134"/>
      <c r="P126" s="135"/>
      <c r="Q126" s="135"/>
      <c r="R126" s="134"/>
      <c r="S126" s="134"/>
      <c r="T126" s="135"/>
      <c r="U126" s="135"/>
      <c r="V126" s="134"/>
    </row>
    <row r="127" spans="1:22" ht="15" customHeight="1" x14ac:dyDescent="0.25">
      <c r="A127" s="126" t="s">
        <v>537</v>
      </c>
      <c r="B127" s="127"/>
      <c r="C127" s="128"/>
      <c r="D127" s="129" t="s">
        <v>368</v>
      </c>
      <c r="E127" s="213" t="s">
        <v>538</v>
      </c>
      <c r="F127" s="125"/>
      <c r="G127" s="214" t="s">
        <v>368</v>
      </c>
      <c r="H127" s="130"/>
      <c r="I127" s="189" t="s">
        <v>44</v>
      </c>
      <c r="J127" s="131"/>
      <c r="K127" s="167"/>
      <c r="L127" s="132"/>
      <c r="M127" s="125"/>
      <c r="N127" s="133"/>
      <c r="O127" s="134"/>
      <c r="P127" s="135"/>
      <c r="Q127" s="135"/>
      <c r="R127" s="134"/>
      <c r="S127" s="134"/>
      <c r="T127" s="135"/>
      <c r="U127" s="135"/>
      <c r="V127" s="134"/>
    </row>
    <row r="128" spans="1:22" ht="15" customHeight="1" x14ac:dyDescent="0.25">
      <c r="A128" s="126" t="s">
        <v>539</v>
      </c>
      <c r="B128" s="127"/>
      <c r="C128" s="128"/>
      <c r="D128" s="129" t="s">
        <v>365</v>
      </c>
      <c r="E128" s="213" t="s">
        <v>511</v>
      </c>
      <c r="F128" s="125"/>
      <c r="G128" s="211" t="s">
        <v>365</v>
      </c>
      <c r="H128" s="130"/>
      <c r="I128" s="189" t="s">
        <v>44</v>
      </c>
      <c r="J128" s="131"/>
      <c r="K128" s="167"/>
      <c r="L128" s="132"/>
      <c r="M128" s="125"/>
      <c r="N128" s="133"/>
      <c r="O128" s="134"/>
      <c r="P128" s="135"/>
      <c r="Q128" s="135"/>
      <c r="R128" s="134"/>
      <c r="S128" s="134"/>
      <c r="T128" s="135"/>
      <c r="U128" s="135"/>
      <c r="V128" s="134"/>
    </row>
    <row r="129" spans="1:22" ht="15" customHeight="1" x14ac:dyDescent="0.25">
      <c r="A129" s="126" t="s">
        <v>540</v>
      </c>
      <c r="B129" s="127"/>
      <c r="C129" s="128"/>
      <c r="D129" s="129" t="s">
        <v>368</v>
      </c>
      <c r="E129" s="213" t="s">
        <v>541</v>
      </c>
      <c r="F129" s="125"/>
      <c r="G129" s="211" t="s">
        <v>368</v>
      </c>
      <c r="H129" s="130"/>
      <c r="I129" s="189" t="s">
        <v>44</v>
      </c>
      <c r="J129" s="131"/>
      <c r="K129" s="167"/>
      <c r="L129" s="132"/>
      <c r="M129" s="125"/>
      <c r="N129" s="133"/>
      <c r="O129" s="134"/>
      <c r="P129" s="135"/>
      <c r="Q129" s="135"/>
      <c r="R129" s="134"/>
      <c r="S129" s="134"/>
      <c r="T129" s="135"/>
      <c r="U129" s="135"/>
      <c r="V129" s="134"/>
    </row>
    <row r="130" spans="1:22" ht="15" customHeight="1" x14ac:dyDescent="0.25">
      <c r="A130" s="126" t="s">
        <v>542</v>
      </c>
      <c r="B130" s="127"/>
      <c r="C130" s="128"/>
      <c r="D130" s="129" t="s">
        <v>368</v>
      </c>
      <c r="E130" s="213" t="s">
        <v>543</v>
      </c>
      <c r="F130" s="125"/>
      <c r="G130" s="211" t="s">
        <v>368</v>
      </c>
      <c r="H130" s="130"/>
      <c r="I130" s="189" t="s">
        <v>44</v>
      </c>
      <c r="J130" s="131"/>
      <c r="K130" s="167"/>
      <c r="L130" s="132"/>
      <c r="M130" s="125"/>
      <c r="N130" s="133"/>
      <c r="O130" s="134"/>
      <c r="P130" s="135"/>
      <c r="Q130" s="135"/>
      <c r="R130" s="134"/>
      <c r="S130" s="134"/>
      <c r="T130" s="135"/>
      <c r="U130" s="135"/>
      <c r="V130" s="134"/>
    </row>
    <row r="131" spans="1:22" ht="15" customHeight="1" x14ac:dyDescent="0.25">
      <c r="A131" s="126" t="s">
        <v>544</v>
      </c>
      <c r="B131" s="127"/>
      <c r="C131" s="128"/>
      <c r="D131" s="129" t="s">
        <v>368</v>
      </c>
      <c r="E131" s="213" t="s">
        <v>545</v>
      </c>
      <c r="F131" s="125"/>
      <c r="G131" s="211" t="s">
        <v>368</v>
      </c>
      <c r="H131" s="130"/>
      <c r="I131" s="189" t="s">
        <v>44</v>
      </c>
      <c r="J131" s="131"/>
      <c r="K131" s="167"/>
      <c r="L131" s="132"/>
      <c r="M131" s="125"/>
      <c r="N131" s="133"/>
      <c r="O131" s="134"/>
      <c r="P131" s="135"/>
      <c r="Q131" s="135"/>
      <c r="R131" s="134"/>
      <c r="S131" s="134"/>
      <c r="T131" s="135"/>
      <c r="U131" s="135"/>
      <c r="V131" s="134"/>
    </row>
    <row r="132" spans="1:22" ht="15" customHeight="1" x14ac:dyDescent="0.25">
      <c r="A132" s="126" t="s">
        <v>546</v>
      </c>
      <c r="B132" s="127"/>
      <c r="C132" s="128"/>
      <c r="D132" s="129" t="s">
        <v>368</v>
      </c>
      <c r="E132" s="213" t="s">
        <v>547</v>
      </c>
      <c r="F132" s="125"/>
      <c r="G132" s="211" t="s">
        <v>368</v>
      </c>
      <c r="H132" s="130"/>
      <c r="I132" s="189" t="s">
        <v>44</v>
      </c>
      <c r="J132" s="131"/>
      <c r="K132" s="167"/>
      <c r="L132" s="132"/>
      <c r="M132" s="125"/>
      <c r="N132" s="133"/>
      <c r="O132" s="134"/>
      <c r="P132" s="135"/>
      <c r="Q132" s="135"/>
      <c r="R132" s="134"/>
      <c r="S132" s="134"/>
      <c r="T132" s="135"/>
      <c r="U132" s="135"/>
      <c r="V132" s="134"/>
    </row>
    <row r="133" spans="1:22" ht="15" customHeight="1" x14ac:dyDescent="0.25">
      <c r="A133" s="126" t="s">
        <v>548</v>
      </c>
      <c r="B133" s="127"/>
      <c r="C133" s="128"/>
      <c r="D133" s="129" t="s">
        <v>368</v>
      </c>
      <c r="E133" s="213" t="s">
        <v>549</v>
      </c>
      <c r="F133" s="125"/>
      <c r="G133" s="211" t="s">
        <v>368</v>
      </c>
      <c r="H133" s="130"/>
      <c r="I133" s="189" t="s">
        <v>44</v>
      </c>
      <c r="J133" s="131"/>
      <c r="K133" s="167"/>
      <c r="L133" s="132"/>
      <c r="M133" s="125"/>
      <c r="N133" s="133"/>
      <c r="O133" s="134"/>
      <c r="P133" s="135"/>
      <c r="Q133" s="135"/>
      <c r="R133" s="134"/>
      <c r="S133" s="134"/>
      <c r="T133" s="135"/>
      <c r="U133" s="135"/>
      <c r="V133" s="134"/>
    </row>
    <row r="134" spans="1:22" ht="15" hidden="1" customHeight="1" x14ac:dyDescent="0.25">
      <c r="A134" s="126" t="s">
        <v>550</v>
      </c>
      <c r="B134" s="127"/>
      <c r="C134" s="128"/>
      <c r="D134" s="129" t="s">
        <v>368</v>
      </c>
      <c r="E134" s="213" t="s">
        <v>403</v>
      </c>
      <c r="F134" s="125"/>
      <c r="G134" s="211" t="s">
        <v>276</v>
      </c>
      <c r="H134" s="130"/>
      <c r="I134" s="189"/>
      <c r="J134" s="131"/>
      <c r="K134" s="167"/>
      <c r="L134" s="132"/>
      <c r="M134" s="125"/>
      <c r="N134" s="133"/>
      <c r="O134" s="134"/>
      <c r="P134" s="135"/>
      <c r="Q134" s="135"/>
      <c r="R134" s="134"/>
      <c r="S134" s="134"/>
      <c r="T134" s="135"/>
      <c r="U134" s="135"/>
      <c r="V134" s="134"/>
    </row>
    <row r="135" spans="1:22" ht="15" customHeight="1" x14ac:dyDescent="0.25">
      <c r="A135" s="126" t="s">
        <v>551</v>
      </c>
      <c r="B135" s="127"/>
      <c r="C135" s="128"/>
      <c r="D135" s="129" t="s">
        <v>365</v>
      </c>
      <c r="E135" s="213" t="s">
        <v>552</v>
      </c>
      <c r="F135" s="125"/>
      <c r="G135" s="211" t="s">
        <v>365</v>
      </c>
      <c r="H135" s="130"/>
      <c r="I135" s="189" t="s">
        <v>44</v>
      </c>
      <c r="J135" s="131"/>
      <c r="K135" s="167"/>
      <c r="L135" s="132"/>
      <c r="M135" s="125"/>
      <c r="N135" s="133"/>
      <c r="O135" s="134"/>
      <c r="P135" s="135"/>
      <c r="Q135" s="135"/>
      <c r="R135" s="134"/>
      <c r="S135" s="134"/>
      <c r="T135" s="135"/>
      <c r="U135" s="135"/>
      <c r="V135" s="134"/>
    </row>
    <row r="136" spans="1:22" ht="15" customHeight="1" x14ac:dyDescent="0.25">
      <c r="A136" s="126" t="s">
        <v>553</v>
      </c>
      <c r="B136" s="127"/>
      <c r="C136" s="128"/>
      <c r="D136" s="129" t="s">
        <v>368</v>
      </c>
      <c r="E136" s="213" t="s">
        <v>554</v>
      </c>
      <c r="F136" s="125"/>
      <c r="G136" s="211" t="s">
        <v>368</v>
      </c>
      <c r="H136" s="130"/>
      <c r="I136" s="189" t="s">
        <v>44</v>
      </c>
      <c r="J136" s="131"/>
      <c r="K136" s="167"/>
      <c r="L136" s="132"/>
      <c r="M136" s="125"/>
      <c r="N136" s="133"/>
      <c r="O136" s="134"/>
      <c r="P136" s="135"/>
      <c r="Q136" s="135"/>
      <c r="R136" s="134"/>
      <c r="S136" s="134"/>
      <c r="T136" s="135"/>
      <c r="U136" s="135"/>
      <c r="V136" s="134"/>
    </row>
    <row r="137" spans="1:22" ht="15" hidden="1" customHeight="1" x14ac:dyDescent="0.25">
      <c r="A137" s="126" t="s">
        <v>555</v>
      </c>
      <c r="B137" s="127"/>
      <c r="C137" s="128"/>
      <c r="D137" s="129" t="s">
        <v>398</v>
      </c>
      <c r="E137" s="213" t="s">
        <v>556</v>
      </c>
      <c r="F137" s="125"/>
      <c r="G137" s="211" t="s">
        <v>276</v>
      </c>
      <c r="H137" s="130"/>
      <c r="I137" s="189"/>
      <c r="J137" s="131"/>
      <c r="K137" s="167"/>
      <c r="L137" s="132"/>
      <c r="M137" s="125"/>
      <c r="N137" s="133"/>
      <c r="O137" s="134"/>
      <c r="P137" s="135"/>
      <c r="Q137" s="135"/>
      <c r="R137" s="134"/>
      <c r="S137" s="134"/>
      <c r="T137" s="135"/>
      <c r="U137" s="135"/>
      <c r="V137" s="134"/>
    </row>
    <row r="138" spans="1:22" ht="15" hidden="1" customHeight="1" x14ac:dyDescent="0.25">
      <c r="A138" s="126" t="s">
        <v>557</v>
      </c>
      <c r="B138" s="127"/>
      <c r="C138" s="128"/>
      <c r="D138" s="129" t="s">
        <v>398</v>
      </c>
      <c r="E138" s="213" t="s">
        <v>558</v>
      </c>
      <c r="F138" s="125"/>
      <c r="G138" s="211" t="s">
        <v>276</v>
      </c>
      <c r="H138" s="130"/>
      <c r="I138" s="189"/>
      <c r="J138" s="131"/>
      <c r="K138" s="167"/>
      <c r="L138" s="132"/>
      <c r="M138" s="125"/>
      <c r="N138" s="133"/>
      <c r="O138" s="134"/>
      <c r="P138" s="135"/>
      <c r="Q138" s="135"/>
      <c r="R138" s="134"/>
      <c r="S138" s="134"/>
      <c r="T138" s="135"/>
      <c r="U138" s="135"/>
      <c r="V138" s="134"/>
    </row>
    <row r="139" spans="1:22" ht="15" hidden="1" customHeight="1" x14ac:dyDescent="0.25">
      <c r="A139" s="126" t="s">
        <v>559</v>
      </c>
      <c r="B139" s="127"/>
      <c r="C139" s="128"/>
      <c r="D139" s="129" t="s">
        <v>398</v>
      </c>
      <c r="E139" s="213" t="s">
        <v>560</v>
      </c>
      <c r="F139" s="125"/>
      <c r="G139" s="211" t="s">
        <v>276</v>
      </c>
      <c r="H139" s="130"/>
      <c r="I139" s="189"/>
      <c r="J139" s="131"/>
      <c r="K139" s="167"/>
      <c r="L139" s="132"/>
      <c r="M139" s="125"/>
      <c r="N139" s="133"/>
      <c r="O139" s="134"/>
      <c r="P139" s="135"/>
      <c r="Q139" s="135"/>
      <c r="R139" s="134"/>
      <c r="S139" s="134"/>
      <c r="T139" s="135"/>
      <c r="U139" s="135"/>
      <c r="V139" s="134"/>
    </row>
    <row r="140" spans="1:22" ht="15" hidden="1" customHeight="1" x14ac:dyDescent="0.25">
      <c r="A140" s="126" t="s">
        <v>561</v>
      </c>
      <c r="B140" s="127"/>
      <c r="C140" s="128"/>
      <c r="D140" s="129" t="s">
        <v>368</v>
      </c>
      <c r="E140" s="213" t="s">
        <v>562</v>
      </c>
      <c r="F140" s="125"/>
      <c r="G140" s="211" t="s">
        <v>276</v>
      </c>
      <c r="H140" s="130"/>
      <c r="I140" s="189"/>
      <c r="J140" s="131"/>
      <c r="K140" s="167"/>
      <c r="L140" s="132"/>
      <c r="M140" s="125"/>
      <c r="N140" s="133"/>
      <c r="O140" s="134"/>
      <c r="P140" s="135"/>
      <c r="Q140" s="135"/>
      <c r="R140" s="134"/>
      <c r="S140" s="134"/>
      <c r="T140" s="135"/>
      <c r="U140" s="135"/>
      <c r="V140" s="134"/>
    </row>
    <row r="141" spans="1:22" ht="15" hidden="1" customHeight="1" x14ac:dyDescent="0.25">
      <c r="A141" s="126" t="s">
        <v>563</v>
      </c>
      <c r="B141" s="127"/>
      <c r="C141" s="128"/>
      <c r="D141" s="129" t="s">
        <v>368</v>
      </c>
      <c r="E141" s="213" t="s">
        <v>564</v>
      </c>
      <c r="F141" s="125"/>
      <c r="G141" s="211" t="s">
        <v>276</v>
      </c>
      <c r="H141" s="130"/>
      <c r="I141" s="189"/>
      <c r="J141" s="131"/>
      <c r="K141" s="167"/>
      <c r="L141" s="132"/>
      <c r="M141" s="125"/>
      <c r="N141" s="133"/>
      <c r="O141" s="134"/>
      <c r="P141" s="135"/>
      <c r="Q141" s="135"/>
      <c r="R141" s="134"/>
      <c r="S141" s="134"/>
      <c r="T141" s="135"/>
      <c r="U141" s="135"/>
      <c r="V141" s="134"/>
    </row>
    <row r="142" spans="1:22" ht="15" hidden="1" customHeight="1" x14ac:dyDescent="0.25">
      <c r="A142" s="126" t="s">
        <v>565</v>
      </c>
      <c r="B142" s="127"/>
      <c r="C142" s="128"/>
      <c r="D142" s="129" t="s">
        <v>365</v>
      </c>
      <c r="E142" s="213" t="s">
        <v>566</v>
      </c>
      <c r="F142" s="125"/>
      <c r="G142" s="211" t="s">
        <v>276</v>
      </c>
      <c r="H142" s="130"/>
      <c r="I142" s="189"/>
      <c r="J142" s="131"/>
      <c r="K142" s="167"/>
      <c r="L142" s="132"/>
      <c r="M142" s="125"/>
      <c r="N142" s="133"/>
      <c r="O142" s="134"/>
      <c r="P142" s="135"/>
      <c r="Q142" s="135"/>
      <c r="R142" s="134"/>
      <c r="S142" s="134"/>
      <c r="T142" s="135"/>
      <c r="U142" s="135"/>
      <c r="V142" s="134"/>
    </row>
    <row r="143" spans="1:22" ht="15" hidden="1" customHeight="1" x14ac:dyDescent="0.25">
      <c r="A143" s="126" t="s">
        <v>567</v>
      </c>
      <c r="B143" s="127"/>
      <c r="C143" s="128"/>
      <c r="D143" s="129" t="s">
        <v>377</v>
      </c>
      <c r="E143" s="213" t="s">
        <v>568</v>
      </c>
      <c r="F143" s="125"/>
      <c r="G143" s="211" t="s">
        <v>276</v>
      </c>
      <c r="H143" s="130"/>
      <c r="I143" s="189"/>
      <c r="J143" s="131"/>
      <c r="K143" s="167"/>
      <c r="L143" s="132"/>
      <c r="M143" s="125"/>
      <c r="N143" s="133"/>
      <c r="O143" s="134"/>
      <c r="P143" s="135"/>
      <c r="Q143" s="135"/>
      <c r="R143" s="134"/>
      <c r="S143" s="134"/>
      <c r="T143" s="135"/>
      <c r="U143" s="135"/>
      <c r="V143" s="134"/>
    </row>
    <row r="144" spans="1:22" ht="15" hidden="1" customHeight="1" x14ac:dyDescent="0.25">
      <c r="A144" s="126" t="s">
        <v>569</v>
      </c>
      <c r="B144" s="127"/>
      <c r="C144" s="128"/>
      <c r="D144" s="129" t="s">
        <v>365</v>
      </c>
      <c r="E144" s="213" t="s">
        <v>570</v>
      </c>
      <c r="F144" s="125"/>
      <c r="G144" s="211" t="s">
        <v>276</v>
      </c>
      <c r="H144" s="130"/>
      <c r="I144" s="189"/>
      <c r="J144" s="131"/>
      <c r="K144" s="167"/>
      <c r="L144" s="132"/>
      <c r="M144" s="125"/>
      <c r="N144" s="133"/>
      <c r="O144" s="134"/>
      <c r="P144" s="135"/>
      <c r="Q144" s="135"/>
      <c r="R144" s="134"/>
      <c r="S144" s="134"/>
      <c r="T144" s="135"/>
      <c r="U144" s="135"/>
      <c r="V144" s="134"/>
    </row>
    <row r="145" spans="1:22" ht="15" hidden="1" customHeight="1" x14ac:dyDescent="0.25">
      <c r="A145" s="126" t="s">
        <v>571</v>
      </c>
      <c r="B145" s="127"/>
      <c r="C145" s="128"/>
      <c r="D145" s="129" t="s">
        <v>435</v>
      </c>
      <c r="E145" s="213" t="s">
        <v>572</v>
      </c>
      <c r="F145" s="125"/>
      <c r="G145" s="211" t="s">
        <v>276</v>
      </c>
      <c r="H145" s="130"/>
      <c r="I145" s="189"/>
      <c r="J145" s="131"/>
      <c r="K145" s="167"/>
      <c r="L145" s="132"/>
      <c r="M145" s="125"/>
      <c r="N145" s="133"/>
      <c r="O145" s="134"/>
      <c r="P145" s="135"/>
      <c r="Q145" s="135"/>
      <c r="R145" s="134"/>
      <c r="S145" s="134"/>
      <c r="T145" s="135"/>
      <c r="U145" s="135"/>
      <c r="V145" s="134"/>
    </row>
    <row r="146" spans="1:22" ht="15" hidden="1" customHeight="1" x14ac:dyDescent="0.25">
      <c r="A146" s="126" t="s">
        <v>573</v>
      </c>
      <c r="B146" s="127"/>
      <c r="C146" s="128"/>
      <c r="D146" s="129" t="s">
        <v>368</v>
      </c>
      <c r="E146" s="213" t="s">
        <v>574</v>
      </c>
      <c r="F146" s="125"/>
      <c r="G146" s="211" t="s">
        <v>276</v>
      </c>
      <c r="H146" s="130"/>
      <c r="I146" s="189"/>
      <c r="J146" s="131"/>
      <c r="K146" s="167"/>
      <c r="L146" s="132"/>
      <c r="M146" s="125"/>
      <c r="N146" s="133"/>
      <c r="O146" s="134"/>
      <c r="P146" s="135"/>
      <c r="Q146" s="135"/>
      <c r="R146" s="134"/>
      <c r="S146" s="134"/>
      <c r="T146" s="135"/>
      <c r="U146" s="135"/>
      <c r="V146" s="134"/>
    </row>
    <row r="147" spans="1:22" ht="15" hidden="1" customHeight="1" x14ac:dyDescent="0.25">
      <c r="A147" s="126" t="s">
        <v>575</v>
      </c>
      <c r="B147" s="127"/>
      <c r="C147" s="128"/>
      <c r="D147" s="129" t="s">
        <v>435</v>
      </c>
      <c r="E147" s="213" t="s">
        <v>576</v>
      </c>
      <c r="F147" s="125"/>
      <c r="G147" s="211" t="s">
        <v>276</v>
      </c>
      <c r="H147" s="130"/>
      <c r="I147" s="189"/>
      <c r="J147" s="131"/>
      <c r="K147" s="167"/>
      <c r="L147" s="132"/>
      <c r="M147" s="125"/>
      <c r="N147" s="133"/>
      <c r="O147" s="134"/>
      <c r="P147" s="135"/>
      <c r="Q147" s="135"/>
      <c r="R147" s="134"/>
      <c r="S147" s="134"/>
      <c r="T147" s="135"/>
      <c r="U147" s="135"/>
      <c r="V147" s="134"/>
    </row>
    <row r="148" spans="1:22" ht="15" hidden="1" customHeight="1" x14ac:dyDescent="0.25">
      <c r="A148" s="126" t="s">
        <v>577</v>
      </c>
      <c r="B148" s="127"/>
      <c r="C148" s="128"/>
      <c r="D148" s="129" t="s">
        <v>368</v>
      </c>
      <c r="E148" s="213" t="s">
        <v>578</v>
      </c>
      <c r="F148" s="125"/>
      <c r="G148" s="211" t="s">
        <v>276</v>
      </c>
      <c r="H148" s="130"/>
      <c r="I148" s="189"/>
      <c r="J148" s="131"/>
      <c r="K148" s="167"/>
      <c r="L148" s="132"/>
      <c r="M148" s="125"/>
      <c r="N148" s="133"/>
      <c r="O148" s="134"/>
      <c r="P148" s="135"/>
      <c r="Q148" s="135"/>
      <c r="R148" s="134"/>
      <c r="S148" s="134"/>
      <c r="T148" s="135"/>
      <c r="U148" s="135"/>
      <c r="V148" s="134"/>
    </row>
    <row r="149" spans="1:22" ht="15" hidden="1" customHeight="1" x14ac:dyDescent="0.25">
      <c r="A149" s="126" t="s">
        <v>579</v>
      </c>
      <c r="B149" s="127"/>
      <c r="C149" s="128"/>
      <c r="D149" s="129" t="s">
        <v>435</v>
      </c>
      <c r="E149" s="213" t="s">
        <v>580</v>
      </c>
      <c r="F149" s="125"/>
      <c r="G149" s="211" t="s">
        <v>276</v>
      </c>
      <c r="H149" s="130"/>
      <c r="I149" s="189"/>
      <c r="J149" s="131"/>
      <c r="K149" s="167"/>
      <c r="L149" s="132"/>
      <c r="M149" s="125"/>
      <c r="N149" s="133"/>
      <c r="O149" s="134"/>
      <c r="P149" s="135"/>
      <c r="Q149" s="135"/>
      <c r="R149" s="134"/>
      <c r="S149" s="134"/>
      <c r="T149" s="135"/>
      <c r="U149" s="135"/>
      <c r="V149" s="134"/>
    </row>
    <row r="150" spans="1:22" ht="15" hidden="1" customHeight="1" x14ac:dyDescent="0.25">
      <c r="A150" s="126" t="s">
        <v>581</v>
      </c>
      <c r="B150" s="127"/>
      <c r="C150" s="128"/>
      <c r="D150" s="129" t="s">
        <v>377</v>
      </c>
      <c r="E150" s="213" t="s">
        <v>582</v>
      </c>
      <c r="F150" s="125"/>
      <c r="G150" s="211" t="s">
        <v>276</v>
      </c>
      <c r="H150" s="130"/>
      <c r="I150" s="189"/>
      <c r="J150" s="131"/>
      <c r="K150" s="167"/>
      <c r="L150" s="132"/>
      <c r="M150" s="125"/>
      <c r="N150" s="133"/>
      <c r="O150" s="134"/>
      <c r="P150" s="135"/>
      <c r="Q150" s="135"/>
      <c r="R150" s="134"/>
      <c r="S150" s="134"/>
      <c r="T150" s="135"/>
      <c r="U150" s="135"/>
      <c r="V150" s="134"/>
    </row>
    <row r="151" spans="1:22" ht="15" hidden="1" customHeight="1" x14ac:dyDescent="0.25">
      <c r="A151" s="126" t="s">
        <v>583</v>
      </c>
      <c r="B151" s="127"/>
      <c r="C151" s="128"/>
      <c r="D151" s="129" t="s">
        <v>368</v>
      </c>
      <c r="E151" s="213" t="s">
        <v>584</v>
      </c>
      <c r="F151" s="125"/>
      <c r="G151" s="211" t="s">
        <v>276</v>
      </c>
      <c r="H151" s="130"/>
      <c r="I151" s="189"/>
      <c r="J151" s="131"/>
      <c r="K151" s="167"/>
      <c r="L151" s="132"/>
      <c r="M151" s="125"/>
      <c r="N151" s="133"/>
      <c r="O151" s="134"/>
      <c r="P151" s="135"/>
      <c r="Q151" s="135"/>
      <c r="R151" s="134"/>
      <c r="S151" s="134"/>
      <c r="T151" s="135"/>
      <c r="U151" s="135"/>
      <c r="V151" s="134"/>
    </row>
    <row r="152" spans="1:22" ht="15" hidden="1" customHeight="1" x14ac:dyDescent="0.25">
      <c r="A152" s="126" t="s">
        <v>585</v>
      </c>
      <c r="B152" s="127"/>
      <c r="C152" s="128"/>
      <c r="D152" s="129" t="s">
        <v>435</v>
      </c>
      <c r="E152" s="213" t="s">
        <v>586</v>
      </c>
      <c r="F152" s="125"/>
      <c r="G152" s="211" t="s">
        <v>276</v>
      </c>
      <c r="H152" s="130"/>
      <c r="I152" s="189"/>
      <c r="J152" s="131"/>
      <c r="K152" s="167"/>
      <c r="L152" s="132"/>
      <c r="M152" s="125"/>
      <c r="N152" s="133"/>
      <c r="O152" s="134"/>
      <c r="P152" s="135"/>
      <c r="Q152" s="135"/>
      <c r="R152" s="134"/>
      <c r="S152" s="134"/>
      <c r="T152" s="135"/>
      <c r="U152" s="135"/>
      <c r="V152" s="134"/>
    </row>
    <row r="153" spans="1:22" ht="15" hidden="1" customHeight="1" x14ac:dyDescent="0.25">
      <c r="A153" s="126" t="s">
        <v>587</v>
      </c>
      <c r="B153" s="127"/>
      <c r="C153" s="128"/>
      <c r="D153" s="129" t="s">
        <v>368</v>
      </c>
      <c r="E153" s="213" t="s">
        <v>588</v>
      </c>
      <c r="F153" s="125"/>
      <c r="G153" s="211" t="s">
        <v>276</v>
      </c>
      <c r="H153" s="130"/>
      <c r="I153" s="189"/>
      <c r="J153" s="131"/>
      <c r="K153" s="167"/>
      <c r="L153" s="132"/>
      <c r="M153" s="125"/>
      <c r="N153" s="133"/>
      <c r="O153" s="134"/>
      <c r="P153" s="135"/>
      <c r="Q153" s="135"/>
      <c r="R153" s="134"/>
      <c r="S153" s="134"/>
      <c r="T153" s="135"/>
      <c r="U153" s="135"/>
      <c r="V153" s="134"/>
    </row>
    <row r="154" spans="1:22" ht="15" hidden="1" customHeight="1" x14ac:dyDescent="0.25">
      <c r="A154" s="126" t="s">
        <v>589</v>
      </c>
      <c r="B154" s="127"/>
      <c r="C154" s="128"/>
      <c r="D154" s="129" t="s">
        <v>368</v>
      </c>
      <c r="E154" s="213" t="s">
        <v>590</v>
      </c>
      <c r="F154" s="125"/>
      <c r="G154" s="211" t="s">
        <v>276</v>
      </c>
      <c r="H154" s="130"/>
      <c r="I154" s="189"/>
      <c r="J154" s="131"/>
      <c r="K154" s="167"/>
      <c r="L154" s="132"/>
      <c r="M154" s="125"/>
      <c r="N154" s="133"/>
      <c r="O154" s="134"/>
      <c r="P154" s="135"/>
      <c r="Q154" s="135"/>
      <c r="R154" s="134"/>
      <c r="S154" s="134"/>
      <c r="T154" s="135"/>
      <c r="U154" s="135"/>
      <c r="V154" s="134"/>
    </row>
    <row r="155" spans="1:22" ht="15" hidden="1" customHeight="1" x14ac:dyDescent="0.25">
      <c r="A155" s="126" t="s">
        <v>591</v>
      </c>
      <c r="B155" s="127"/>
      <c r="C155" s="128"/>
      <c r="D155" s="129" t="s">
        <v>435</v>
      </c>
      <c r="E155" s="213" t="s">
        <v>592</v>
      </c>
      <c r="F155" s="125"/>
      <c r="G155" s="211" t="s">
        <v>276</v>
      </c>
      <c r="H155" s="130"/>
      <c r="I155" s="189"/>
      <c r="J155" s="131"/>
      <c r="K155" s="167"/>
      <c r="L155" s="132"/>
      <c r="M155" s="125"/>
      <c r="N155" s="133"/>
      <c r="O155" s="134"/>
      <c r="P155" s="135"/>
      <c r="Q155" s="135"/>
      <c r="R155" s="134"/>
      <c r="S155" s="134"/>
      <c r="T155" s="135"/>
      <c r="U155" s="135"/>
      <c r="V155" s="134"/>
    </row>
    <row r="156" spans="1:22" ht="15" hidden="1" customHeight="1" x14ac:dyDescent="0.25">
      <c r="A156" s="126" t="s">
        <v>593</v>
      </c>
      <c r="B156" s="127"/>
      <c r="C156" s="128"/>
      <c r="D156" s="129" t="s">
        <v>368</v>
      </c>
      <c r="E156" s="213" t="s">
        <v>594</v>
      </c>
      <c r="F156" s="125"/>
      <c r="G156" s="211" t="s">
        <v>276</v>
      </c>
      <c r="H156" s="130"/>
      <c r="I156" s="189"/>
      <c r="J156" s="131"/>
      <c r="K156" s="167"/>
      <c r="L156" s="132"/>
      <c r="M156" s="125"/>
      <c r="N156" s="133"/>
      <c r="O156" s="134"/>
      <c r="P156" s="135"/>
      <c r="Q156" s="135"/>
      <c r="R156" s="134"/>
      <c r="S156" s="134"/>
      <c r="T156" s="135"/>
      <c r="U156" s="135"/>
      <c r="V156" s="134"/>
    </row>
    <row r="157" spans="1:22" ht="15" hidden="1" customHeight="1" x14ac:dyDescent="0.25">
      <c r="A157" s="126" t="s">
        <v>595</v>
      </c>
      <c r="B157" s="127"/>
      <c r="C157" s="128"/>
      <c r="D157" s="129" t="s">
        <v>368</v>
      </c>
      <c r="E157" s="213" t="s">
        <v>596</v>
      </c>
      <c r="F157" s="125"/>
      <c r="G157" s="211" t="s">
        <v>276</v>
      </c>
      <c r="H157" s="130"/>
      <c r="I157" s="189"/>
      <c r="J157" s="131"/>
      <c r="K157" s="167"/>
      <c r="L157" s="132"/>
      <c r="M157" s="125"/>
      <c r="N157" s="133"/>
      <c r="O157" s="134"/>
      <c r="P157" s="135"/>
      <c r="Q157" s="135"/>
      <c r="R157" s="134"/>
      <c r="S157" s="134"/>
      <c r="T157" s="135"/>
      <c r="U157" s="135"/>
      <c r="V157" s="134"/>
    </row>
    <row r="158" spans="1:22" ht="15" hidden="1" customHeight="1" x14ac:dyDescent="0.25">
      <c r="A158" s="126" t="s">
        <v>597</v>
      </c>
      <c r="B158" s="127"/>
      <c r="C158" s="128"/>
      <c r="D158" s="129" t="s">
        <v>435</v>
      </c>
      <c r="E158" s="213" t="s">
        <v>598</v>
      </c>
      <c r="F158" s="125"/>
      <c r="G158" s="211" t="s">
        <v>276</v>
      </c>
      <c r="H158" s="130"/>
      <c r="I158" s="189"/>
      <c r="J158" s="131"/>
      <c r="K158" s="167"/>
      <c r="L158" s="132"/>
      <c r="M158" s="125"/>
      <c r="N158" s="133"/>
      <c r="O158" s="134"/>
      <c r="P158" s="135"/>
      <c r="Q158" s="135"/>
      <c r="R158" s="134"/>
      <c r="S158" s="134"/>
      <c r="T158" s="135"/>
      <c r="U158" s="135"/>
      <c r="V158" s="134"/>
    </row>
    <row r="159" spans="1:22" ht="15" hidden="1" customHeight="1" x14ac:dyDescent="0.25">
      <c r="A159" s="126" t="s">
        <v>599</v>
      </c>
      <c r="B159" s="127"/>
      <c r="C159" s="128"/>
      <c r="D159" s="129" t="s">
        <v>368</v>
      </c>
      <c r="E159" s="213" t="s">
        <v>600</v>
      </c>
      <c r="F159" s="125"/>
      <c r="G159" s="211" t="s">
        <v>276</v>
      </c>
      <c r="H159" s="130"/>
      <c r="I159" s="189"/>
      <c r="J159" s="131"/>
      <c r="K159" s="167"/>
      <c r="L159" s="132"/>
      <c r="M159" s="125"/>
      <c r="N159" s="133"/>
      <c r="O159" s="134"/>
      <c r="P159" s="135"/>
      <c r="Q159" s="135"/>
      <c r="R159" s="134"/>
      <c r="S159" s="134"/>
      <c r="T159" s="135"/>
      <c r="U159" s="135"/>
      <c r="V159" s="134"/>
    </row>
    <row r="160" spans="1:22" ht="15" hidden="1" customHeight="1" x14ac:dyDescent="0.25">
      <c r="A160" s="126" t="s">
        <v>601</v>
      </c>
      <c r="B160" s="127"/>
      <c r="C160" s="128"/>
      <c r="D160" s="129" t="s">
        <v>398</v>
      </c>
      <c r="E160" s="213" t="s">
        <v>602</v>
      </c>
      <c r="F160" s="125"/>
      <c r="G160" s="211" t="s">
        <v>276</v>
      </c>
      <c r="H160" s="130"/>
      <c r="I160" s="189"/>
      <c r="J160" s="131"/>
      <c r="K160" s="167"/>
      <c r="L160" s="132"/>
      <c r="M160" s="125"/>
      <c r="N160" s="133"/>
      <c r="O160" s="134"/>
      <c r="P160" s="135"/>
      <c r="Q160" s="135"/>
      <c r="R160" s="134"/>
      <c r="S160" s="134"/>
      <c r="T160" s="135"/>
      <c r="U160" s="135"/>
      <c r="V160" s="134"/>
    </row>
    <row r="161" spans="1:22" ht="15" hidden="1" customHeight="1" x14ac:dyDescent="0.25">
      <c r="A161" s="126" t="s">
        <v>603</v>
      </c>
      <c r="B161" s="127"/>
      <c r="C161" s="128"/>
      <c r="D161" s="129" t="s">
        <v>365</v>
      </c>
      <c r="E161" s="213" t="s">
        <v>604</v>
      </c>
      <c r="F161" s="125"/>
      <c r="G161" s="211" t="s">
        <v>276</v>
      </c>
      <c r="H161" s="130"/>
      <c r="I161" s="189"/>
      <c r="J161" s="131"/>
      <c r="K161" s="167"/>
      <c r="L161" s="132"/>
      <c r="M161" s="125"/>
      <c r="N161" s="133"/>
      <c r="O161" s="134"/>
      <c r="P161" s="135"/>
      <c r="Q161" s="135"/>
      <c r="R161" s="134"/>
      <c r="S161" s="134"/>
      <c r="T161" s="135"/>
      <c r="U161" s="135"/>
      <c r="V161" s="134"/>
    </row>
    <row r="162" spans="1:22" ht="15" hidden="1" customHeight="1" x14ac:dyDescent="0.25">
      <c r="A162" s="126" t="s">
        <v>605</v>
      </c>
      <c r="B162" s="127"/>
      <c r="C162" s="128"/>
      <c r="D162" s="129" t="s">
        <v>365</v>
      </c>
      <c r="E162" s="213" t="s">
        <v>606</v>
      </c>
      <c r="F162" s="125"/>
      <c r="G162" s="211" t="s">
        <v>276</v>
      </c>
      <c r="H162" s="130"/>
      <c r="I162" s="189"/>
      <c r="J162" s="131"/>
      <c r="K162" s="167"/>
      <c r="L162" s="132"/>
      <c r="M162" s="125"/>
      <c r="N162" s="133"/>
      <c r="O162" s="134"/>
      <c r="P162" s="135"/>
      <c r="Q162" s="135"/>
      <c r="R162" s="134"/>
      <c r="S162" s="134"/>
      <c r="T162" s="135"/>
      <c r="U162" s="135"/>
      <c r="V162" s="134"/>
    </row>
    <row r="163" spans="1:22" ht="15" hidden="1" customHeight="1" x14ac:dyDescent="0.25">
      <c r="A163" s="126" t="s">
        <v>607</v>
      </c>
      <c r="B163" s="127"/>
      <c r="C163" s="128"/>
      <c r="D163" s="129" t="s">
        <v>398</v>
      </c>
      <c r="E163" s="213" t="s">
        <v>608</v>
      </c>
      <c r="F163" s="125"/>
      <c r="G163" s="211" t="s">
        <v>276</v>
      </c>
      <c r="H163" s="130"/>
      <c r="I163" s="189"/>
      <c r="J163" s="131"/>
      <c r="K163" s="167"/>
      <c r="L163" s="132"/>
      <c r="M163" s="125"/>
      <c r="N163" s="133"/>
      <c r="O163" s="134"/>
      <c r="P163" s="135"/>
      <c r="Q163" s="135"/>
      <c r="R163" s="134"/>
      <c r="S163" s="134"/>
      <c r="T163" s="135"/>
      <c r="U163" s="135"/>
      <c r="V163" s="134"/>
    </row>
    <row r="164" spans="1:22" ht="15" hidden="1" customHeight="1" x14ac:dyDescent="0.25">
      <c r="A164" s="126" t="s">
        <v>609</v>
      </c>
      <c r="B164" s="127"/>
      <c r="C164" s="128"/>
      <c r="D164" s="129" t="s">
        <v>365</v>
      </c>
      <c r="E164" s="213" t="s">
        <v>610</v>
      </c>
      <c r="F164" s="125"/>
      <c r="G164" s="211" t="s">
        <v>276</v>
      </c>
      <c r="H164" s="130"/>
      <c r="I164" s="189"/>
      <c r="J164" s="131"/>
      <c r="K164" s="167"/>
      <c r="L164" s="132"/>
      <c r="M164" s="125"/>
      <c r="N164" s="133"/>
      <c r="O164" s="134"/>
      <c r="P164" s="135"/>
      <c r="Q164" s="135"/>
      <c r="R164" s="134"/>
      <c r="S164" s="134"/>
      <c r="T164" s="135"/>
      <c r="U164" s="135"/>
      <c r="V164" s="134"/>
    </row>
    <row r="165" spans="1:22" ht="15" hidden="1" customHeight="1" x14ac:dyDescent="0.25">
      <c r="A165" s="126" t="s">
        <v>611</v>
      </c>
      <c r="B165" s="127"/>
      <c r="C165" s="128"/>
      <c r="D165" s="129" t="s">
        <v>365</v>
      </c>
      <c r="E165" s="213" t="s">
        <v>612</v>
      </c>
      <c r="F165" s="125"/>
      <c r="G165" s="211" t="s">
        <v>276</v>
      </c>
      <c r="H165" s="130"/>
      <c r="I165" s="189"/>
      <c r="J165" s="131"/>
      <c r="K165" s="167"/>
      <c r="L165" s="132"/>
      <c r="M165" s="125"/>
      <c r="N165" s="133"/>
      <c r="O165" s="134"/>
      <c r="P165" s="135"/>
      <c r="Q165" s="135"/>
      <c r="R165" s="134"/>
      <c r="S165" s="134"/>
      <c r="T165" s="135"/>
      <c r="U165" s="135"/>
      <c r="V165" s="134"/>
    </row>
    <row r="166" spans="1:22" ht="15" hidden="1" customHeight="1" x14ac:dyDescent="0.25">
      <c r="A166" s="126" t="s">
        <v>613</v>
      </c>
      <c r="B166" s="127"/>
      <c r="C166" s="128"/>
      <c r="D166" s="129" t="s">
        <v>365</v>
      </c>
      <c r="E166" s="213" t="s">
        <v>614</v>
      </c>
      <c r="F166" s="125"/>
      <c r="G166" s="211" t="s">
        <v>276</v>
      </c>
      <c r="H166" s="130"/>
      <c r="I166" s="189"/>
      <c r="J166" s="131"/>
      <c r="K166" s="167"/>
      <c r="L166" s="132"/>
      <c r="M166" s="125"/>
      <c r="N166" s="133"/>
      <c r="O166" s="134"/>
      <c r="P166" s="135"/>
      <c r="Q166" s="135"/>
      <c r="R166" s="134"/>
      <c r="S166" s="134"/>
      <c r="T166" s="135"/>
      <c r="U166" s="135"/>
      <c r="V166" s="134"/>
    </row>
    <row r="167" spans="1:22" ht="15" hidden="1" customHeight="1" x14ac:dyDescent="0.25">
      <c r="A167" s="126" t="s">
        <v>615</v>
      </c>
      <c r="B167" s="127"/>
      <c r="C167" s="128"/>
      <c r="D167" s="129" t="s">
        <v>365</v>
      </c>
      <c r="E167" s="213" t="s">
        <v>616</v>
      </c>
      <c r="F167" s="125"/>
      <c r="G167" s="211" t="s">
        <v>276</v>
      </c>
      <c r="H167" s="130"/>
      <c r="I167" s="189"/>
      <c r="J167" s="131"/>
      <c r="K167" s="167"/>
      <c r="L167" s="132"/>
      <c r="M167" s="125"/>
      <c r="N167" s="133"/>
      <c r="O167" s="134"/>
      <c r="P167" s="135"/>
      <c r="Q167" s="135"/>
      <c r="R167" s="134"/>
      <c r="S167" s="134"/>
      <c r="T167" s="135"/>
      <c r="U167" s="135"/>
      <c r="V167" s="134"/>
    </row>
    <row r="168" spans="1:22" ht="15" hidden="1" customHeight="1" x14ac:dyDescent="0.25">
      <c r="A168" s="126" t="s">
        <v>617</v>
      </c>
      <c r="B168" s="127"/>
      <c r="C168" s="128"/>
      <c r="D168" s="129" t="s">
        <v>365</v>
      </c>
      <c r="E168" s="213" t="s">
        <v>618</v>
      </c>
      <c r="F168" s="125"/>
      <c r="G168" s="211" t="s">
        <v>276</v>
      </c>
      <c r="H168" s="130"/>
      <c r="I168" s="189"/>
      <c r="J168" s="131"/>
      <c r="K168" s="167"/>
      <c r="L168" s="132"/>
      <c r="M168" s="125"/>
      <c r="N168" s="133"/>
      <c r="O168" s="134"/>
      <c r="P168" s="135"/>
      <c r="Q168" s="135"/>
      <c r="R168" s="134"/>
      <c r="S168" s="134"/>
      <c r="T168" s="135"/>
      <c r="U168" s="135"/>
      <c r="V168" s="134"/>
    </row>
    <row r="169" spans="1:22" ht="15" hidden="1" customHeight="1" x14ac:dyDescent="0.25">
      <c r="A169" s="126" t="s">
        <v>619</v>
      </c>
      <c r="B169" s="127"/>
      <c r="C169" s="128"/>
      <c r="D169" s="129" t="s">
        <v>365</v>
      </c>
      <c r="E169" s="213" t="s">
        <v>620</v>
      </c>
      <c r="F169" s="125"/>
      <c r="G169" s="211" t="s">
        <v>276</v>
      </c>
      <c r="H169" s="130"/>
      <c r="I169" s="189"/>
      <c r="J169" s="131"/>
      <c r="K169" s="167"/>
      <c r="L169" s="132"/>
      <c r="M169" s="125"/>
      <c r="N169" s="133"/>
      <c r="O169" s="134"/>
      <c r="P169" s="135"/>
      <c r="Q169" s="135"/>
      <c r="R169" s="134"/>
      <c r="S169" s="134"/>
      <c r="T169" s="135"/>
      <c r="U169" s="135"/>
      <c r="V169" s="134"/>
    </row>
    <row r="170" spans="1:22" ht="15" hidden="1" customHeight="1" x14ac:dyDescent="0.25">
      <c r="A170" s="126" t="s">
        <v>621</v>
      </c>
      <c r="B170" s="127"/>
      <c r="C170" s="128"/>
      <c r="D170" s="129" t="s">
        <v>368</v>
      </c>
      <c r="E170" s="213" t="s">
        <v>622</v>
      </c>
      <c r="F170" s="125"/>
      <c r="G170" s="211" t="s">
        <v>276</v>
      </c>
      <c r="H170" s="130"/>
      <c r="I170" s="189"/>
      <c r="J170" s="131"/>
      <c r="K170" s="167"/>
      <c r="L170" s="132"/>
      <c r="M170" s="125"/>
      <c r="N170" s="133"/>
      <c r="O170" s="134"/>
      <c r="P170" s="135"/>
      <c r="Q170" s="135"/>
      <c r="R170" s="134"/>
      <c r="S170" s="134"/>
      <c r="T170" s="135"/>
      <c r="U170" s="135"/>
      <c r="V170" s="134"/>
    </row>
    <row r="171" spans="1:22" ht="15" hidden="1" customHeight="1" x14ac:dyDescent="0.25">
      <c r="A171" s="126" t="s">
        <v>623</v>
      </c>
      <c r="B171" s="127"/>
      <c r="C171" s="128"/>
      <c r="D171" s="129" t="s">
        <v>435</v>
      </c>
      <c r="E171" s="213" t="s">
        <v>624</v>
      </c>
      <c r="F171" s="125"/>
      <c r="G171" s="211" t="s">
        <v>276</v>
      </c>
      <c r="H171" s="130"/>
      <c r="I171" s="189"/>
      <c r="J171" s="131"/>
      <c r="K171" s="167"/>
      <c r="L171" s="132"/>
      <c r="M171" s="125"/>
      <c r="N171" s="133"/>
      <c r="O171" s="134"/>
      <c r="P171" s="135"/>
      <c r="Q171" s="135"/>
      <c r="R171" s="134"/>
      <c r="S171" s="134"/>
      <c r="T171" s="135"/>
      <c r="U171" s="135"/>
      <c r="V171" s="134"/>
    </row>
    <row r="172" spans="1:22" ht="15" hidden="1" customHeight="1" x14ac:dyDescent="0.25">
      <c r="A172" s="126" t="s">
        <v>625</v>
      </c>
      <c r="B172" s="127"/>
      <c r="C172" s="128"/>
      <c r="D172" s="129" t="s">
        <v>377</v>
      </c>
      <c r="E172" s="213" t="s">
        <v>626</v>
      </c>
      <c r="F172" s="125"/>
      <c r="G172" s="211" t="s">
        <v>276</v>
      </c>
      <c r="H172" s="130"/>
      <c r="I172" s="189"/>
      <c r="J172" s="131"/>
      <c r="K172" s="167"/>
      <c r="L172" s="132"/>
      <c r="M172" s="125"/>
      <c r="N172" s="133"/>
      <c r="O172" s="134"/>
      <c r="P172" s="135"/>
      <c r="Q172" s="135"/>
      <c r="R172" s="134"/>
      <c r="S172" s="134"/>
      <c r="T172" s="135"/>
      <c r="U172" s="135"/>
      <c r="V172" s="134"/>
    </row>
    <row r="173" spans="1:22" ht="15" hidden="1" customHeight="1" x14ac:dyDescent="0.25">
      <c r="A173" s="126" t="s">
        <v>627</v>
      </c>
      <c r="B173" s="127"/>
      <c r="C173" s="128"/>
      <c r="D173" s="129" t="s">
        <v>368</v>
      </c>
      <c r="E173" s="213" t="s">
        <v>628</v>
      </c>
      <c r="F173" s="125"/>
      <c r="G173" s="211" t="s">
        <v>276</v>
      </c>
      <c r="H173" s="130"/>
      <c r="I173" s="189"/>
      <c r="J173" s="131"/>
      <c r="K173" s="167"/>
      <c r="L173" s="132"/>
      <c r="M173" s="125"/>
      <c r="N173" s="133"/>
      <c r="O173" s="134"/>
      <c r="P173" s="135"/>
      <c r="Q173" s="135"/>
      <c r="R173" s="134"/>
      <c r="S173" s="134"/>
      <c r="T173" s="135"/>
      <c r="U173" s="135"/>
      <c r="V173" s="134"/>
    </row>
    <row r="174" spans="1:22" ht="15" hidden="1" customHeight="1" x14ac:dyDescent="0.25">
      <c r="A174" s="126" t="s">
        <v>629</v>
      </c>
      <c r="B174" s="127"/>
      <c r="C174" s="128"/>
      <c r="D174" s="129" t="s">
        <v>435</v>
      </c>
      <c r="E174" s="213" t="s">
        <v>630</v>
      </c>
      <c r="F174" s="125"/>
      <c r="G174" s="211" t="s">
        <v>276</v>
      </c>
      <c r="H174" s="130"/>
      <c r="I174" s="189"/>
      <c r="J174" s="131"/>
      <c r="K174" s="167"/>
      <c r="L174" s="132"/>
      <c r="M174" s="125"/>
      <c r="N174" s="133"/>
      <c r="O174" s="134"/>
      <c r="P174" s="135"/>
      <c r="Q174" s="135"/>
      <c r="R174" s="134"/>
      <c r="S174" s="134"/>
      <c r="T174" s="135"/>
      <c r="U174" s="135"/>
      <c r="V174" s="134"/>
    </row>
    <row r="175" spans="1:22" ht="15" hidden="1" customHeight="1" x14ac:dyDescent="0.25">
      <c r="A175" s="126" t="s">
        <v>631</v>
      </c>
      <c r="B175" s="127"/>
      <c r="C175" s="128"/>
      <c r="D175" s="129" t="s">
        <v>377</v>
      </c>
      <c r="E175" s="213" t="s">
        <v>632</v>
      </c>
      <c r="F175" s="125"/>
      <c r="G175" s="211" t="s">
        <v>276</v>
      </c>
      <c r="H175" s="130"/>
      <c r="I175" s="189"/>
      <c r="J175" s="131"/>
      <c r="K175" s="167"/>
      <c r="L175" s="132"/>
      <c r="M175" s="125"/>
      <c r="N175" s="133"/>
      <c r="O175" s="134"/>
      <c r="P175" s="135"/>
      <c r="Q175" s="135"/>
      <c r="R175" s="134"/>
      <c r="S175" s="134"/>
      <c r="T175" s="135"/>
      <c r="U175" s="135"/>
      <c r="V175" s="134"/>
    </row>
    <row r="176" spans="1:22" ht="15" hidden="1" customHeight="1" x14ac:dyDescent="0.25">
      <c r="A176" s="126" t="s">
        <v>633</v>
      </c>
      <c r="B176" s="127"/>
      <c r="C176" s="128"/>
      <c r="D176" s="129" t="s">
        <v>368</v>
      </c>
      <c r="E176" s="213" t="s">
        <v>634</v>
      </c>
      <c r="F176" s="125"/>
      <c r="G176" s="211" t="s">
        <v>276</v>
      </c>
      <c r="H176" s="130"/>
      <c r="I176" s="189"/>
      <c r="J176" s="131"/>
      <c r="K176" s="167"/>
      <c r="L176" s="132"/>
      <c r="M176" s="125"/>
      <c r="N176" s="133"/>
      <c r="O176" s="134"/>
      <c r="P176" s="135"/>
      <c r="Q176" s="135"/>
      <c r="R176" s="134"/>
      <c r="S176" s="134"/>
      <c r="T176" s="135"/>
      <c r="U176" s="135"/>
      <c r="V176" s="134"/>
    </row>
    <row r="177" spans="1:22" ht="15" hidden="1" customHeight="1" x14ac:dyDescent="0.25">
      <c r="A177" s="126" t="s">
        <v>635</v>
      </c>
      <c r="B177" s="127"/>
      <c r="C177" s="128"/>
      <c r="D177" s="129" t="s">
        <v>435</v>
      </c>
      <c r="E177" s="213" t="s">
        <v>636</v>
      </c>
      <c r="F177" s="125"/>
      <c r="G177" s="211" t="s">
        <v>276</v>
      </c>
      <c r="H177" s="130"/>
      <c r="I177" s="189"/>
      <c r="J177" s="131"/>
      <c r="K177" s="167"/>
      <c r="L177" s="132"/>
      <c r="M177" s="125"/>
      <c r="N177" s="133"/>
      <c r="O177" s="134"/>
      <c r="P177" s="135"/>
      <c r="Q177" s="135"/>
      <c r="R177" s="134"/>
      <c r="S177" s="134"/>
      <c r="T177" s="135"/>
      <c r="U177" s="135"/>
      <c r="V177" s="134"/>
    </row>
    <row r="178" spans="1:22" ht="15" hidden="1" customHeight="1" x14ac:dyDescent="0.25">
      <c r="A178" s="126" t="s">
        <v>637</v>
      </c>
      <c r="B178" s="127"/>
      <c r="C178" s="128"/>
      <c r="D178" s="129" t="s">
        <v>368</v>
      </c>
      <c r="E178" s="213" t="s">
        <v>638</v>
      </c>
      <c r="F178" s="125"/>
      <c r="G178" s="211" t="s">
        <v>276</v>
      </c>
      <c r="H178" s="130"/>
      <c r="I178" s="189"/>
      <c r="J178" s="131"/>
      <c r="K178" s="167"/>
      <c r="L178" s="132"/>
      <c r="M178" s="125"/>
      <c r="N178" s="133"/>
      <c r="O178" s="134"/>
      <c r="P178" s="135"/>
      <c r="Q178" s="135"/>
      <c r="R178" s="134"/>
      <c r="S178" s="134"/>
      <c r="T178" s="135"/>
      <c r="U178" s="135"/>
      <c r="V178" s="134"/>
    </row>
    <row r="179" spans="1:22" ht="15" hidden="1" customHeight="1" x14ac:dyDescent="0.25">
      <c r="A179" s="126" t="s">
        <v>639</v>
      </c>
      <c r="B179" s="127"/>
      <c r="C179" s="128"/>
      <c r="D179" s="129" t="s">
        <v>368</v>
      </c>
      <c r="E179" s="213" t="s">
        <v>640</v>
      </c>
      <c r="F179" s="125"/>
      <c r="G179" s="211" t="s">
        <v>276</v>
      </c>
      <c r="H179" s="130"/>
      <c r="I179" s="189"/>
      <c r="J179" s="131"/>
      <c r="K179" s="167"/>
      <c r="L179" s="132"/>
      <c r="M179" s="125"/>
      <c r="N179" s="133"/>
      <c r="O179" s="134"/>
      <c r="P179" s="135"/>
      <c r="Q179" s="135"/>
      <c r="R179" s="134"/>
      <c r="S179" s="134"/>
      <c r="T179" s="135"/>
      <c r="U179" s="135"/>
      <c r="V179" s="134"/>
    </row>
    <row r="180" spans="1:22" ht="15" hidden="1" customHeight="1" x14ac:dyDescent="0.25">
      <c r="A180" s="126" t="s">
        <v>641</v>
      </c>
      <c r="B180" s="127"/>
      <c r="C180" s="128"/>
      <c r="D180" s="129" t="s">
        <v>435</v>
      </c>
      <c r="E180" s="213" t="s">
        <v>642</v>
      </c>
      <c r="F180" s="125"/>
      <c r="G180" s="211" t="s">
        <v>276</v>
      </c>
      <c r="H180" s="130"/>
      <c r="I180" s="189"/>
      <c r="J180" s="131"/>
      <c r="K180" s="167"/>
      <c r="L180" s="132"/>
      <c r="M180" s="125"/>
      <c r="N180" s="133"/>
      <c r="O180" s="134"/>
      <c r="P180" s="135"/>
      <c r="Q180" s="135"/>
      <c r="R180" s="134"/>
      <c r="S180" s="134"/>
      <c r="T180" s="135"/>
      <c r="U180" s="135"/>
      <c r="V180" s="134"/>
    </row>
    <row r="181" spans="1:22" ht="15" hidden="1" customHeight="1" x14ac:dyDescent="0.25">
      <c r="A181" s="126" t="s">
        <v>643</v>
      </c>
      <c r="B181" s="127"/>
      <c r="C181" s="128"/>
      <c r="D181" s="129" t="s">
        <v>377</v>
      </c>
      <c r="E181" s="213" t="s">
        <v>644</v>
      </c>
      <c r="F181" s="125"/>
      <c r="G181" s="211" t="s">
        <v>276</v>
      </c>
      <c r="H181" s="130"/>
      <c r="I181" s="189"/>
      <c r="J181" s="131"/>
      <c r="K181" s="167"/>
      <c r="L181" s="132"/>
      <c r="M181" s="125"/>
      <c r="N181" s="133"/>
      <c r="O181" s="134"/>
      <c r="P181" s="135"/>
      <c r="Q181" s="135"/>
      <c r="R181" s="134"/>
      <c r="S181" s="134"/>
      <c r="T181" s="135"/>
      <c r="U181" s="135"/>
      <c r="V181" s="134"/>
    </row>
    <row r="182" spans="1:22" ht="15" hidden="1" customHeight="1" x14ac:dyDescent="0.25">
      <c r="A182" s="126" t="s">
        <v>645</v>
      </c>
      <c r="B182" s="127"/>
      <c r="C182" s="128"/>
      <c r="D182" s="129" t="s">
        <v>377</v>
      </c>
      <c r="E182" s="213" t="s">
        <v>646</v>
      </c>
      <c r="F182" s="125"/>
      <c r="G182" s="211" t="s">
        <v>276</v>
      </c>
      <c r="H182" s="130"/>
      <c r="I182" s="189"/>
      <c r="J182" s="131"/>
      <c r="K182" s="167"/>
      <c r="L182" s="132"/>
      <c r="M182" s="125"/>
      <c r="N182" s="133"/>
      <c r="O182" s="134"/>
      <c r="P182" s="135"/>
      <c r="Q182" s="135"/>
      <c r="R182" s="134"/>
      <c r="S182" s="134"/>
      <c r="T182" s="135"/>
      <c r="U182" s="135"/>
      <c r="V182" s="134"/>
    </row>
    <row r="183" spans="1:22" ht="15" hidden="1" customHeight="1" x14ac:dyDescent="0.25">
      <c r="A183" s="126" t="s">
        <v>647</v>
      </c>
      <c r="B183" s="127"/>
      <c r="C183" s="128"/>
      <c r="D183" s="129" t="s">
        <v>368</v>
      </c>
      <c r="E183" s="213" t="s">
        <v>648</v>
      </c>
      <c r="F183" s="125"/>
      <c r="G183" s="211" t="s">
        <v>276</v>
      </c>
      <c r="H183" s="130"/>
      <c r="I183" s="189"/>
      <c r="J183" s="131"/>
      <c r="K183" s="167"/>
      <c r="L183" s="132"/>
      <c r="M183" s="125"/>
      <c r="N183" s="133"/>
      <c r="O183" s="134"/>
      <c r="P183" s="135"/>
      <c r="Q183" s="135"/>
      <c r="R183" s="134"/>
      <c r="S183" s="134"/>
      <c r="T183" s="135"/>
      <c r="U183" s="135"/>
      <c r="V183" s="134"/>
    </row>
    <row r="184" spans="1:22" ht="15" hidden="1" customHeight="1" x14ac:dyDescent="0.25">
      <c r="A184" s="126" t="s">
        <v>649</v>
      </c>
      <c r="B184" s="127"/>
      <c r="C184" s="128"/>
      <c r="D184" s="129" t="s">
        <v>377</v>
      </c>
      <c r="E184" s="213" t="s">
        <v>650</v>
      </c>
      <c r="F184" s="125"/>
      <c r="G184" s="211" t="s">
        <v>276</v>
      </c>
      <c r="H184" s="130"/>
      <c r="I184" s="189"/>
      <c r="J184" s="131"/>
      <c r="K184" s="167"/>
      <c r="L184" s="132"/>
      <c r="M184" s="125"/>
      <c r="N184" s="133"/>
      <c r="O184" s="134"/>
      <c r="P184" s="135"/>
      <c r="Q184" s="135"/>
      <c r="R184" s="134"/>
      <c r="S184" s="134"/>
      <c r="T184" s="135"/>
      <c r="U184" s="135"/>
      <c r="V184" s="134"/>
    </row>
    <row r="185" spans="1:22" ht="15" hidden="1" customHeight="1" x14ac:dyDescent="0.25">
      <c r="A185" s="126" t="s">
        <v>651</v>
      </c>
      <c r="B185" s="127"/>
      <c r="C185" s="128"/>
      <c r="D185" s="129" t="s">
        <v>377</v>
      </c>
      <c r="E185" s="213" t="s">
        <v>652</v>
      </c>
      <c r="F185" s="125"/>
      <c r="G185" s="211" t="s">
        <v>276</v>
      </c>
      <c r="H185" s="130"/>
      <c r="I185" s="189"/>
      <c r="J185" s="131"/>
      <c r="K185" s="167"/>
      <c r="L185" s="132"/>
      <c r="M185" s="125"/>
      <c r="N185" s="133"/>
      <c r="O185" s="134"/>
      <c r="P185" s="135"/>
      <c r="Q185" s="135"/>
      <c r="R185" s="134"/>
      <c r="S185" s="134"/>
      <c r="T185" s="135"/>
      <c r="U185" s="135"/>
      <c r="V185" s="134"/>
    </row>
    <row r="186" spans="1:22" ht="15" hidden="1" customHeight="1" x14ac:dyDescent="0.25">
      <c r="A186" s="126" t="s">
        <v>653</v>
      </c>
      <c r="B186" s="127"/>
      <c r="C186" s="128"/>
      <c r="D186" s="129" t="s">
        <v>377</v>
      </c>
      <c r="E186" s="213" t="s">
        <v>654</v>
      </c>
      <c r="F186" s="125"/>
      <c r="G186" s="211" t="s">
        <v>276</v>
      </c>
      <c r="H186" s="130"/>
      <c r="I186" s="189"/>
      <c r="J186" s="131"/>
      <c r="K186" s="167"/>
      <c r="L186" s="132"/>
      <c r="M186" s="125"/>
      <c r="N186" s="133"/>
      <c r="O186" s="134"/>
      <c r="P186" s="135"/>
      <c r="Q186" s="135"/>
      <c r="R186" s="134"/>
      <c r="S186" s="134"/>
      <c r="T186" s="135"/>
      <c r="U186" s="135"/>
      <c r="V186" s="134"/>
    </row>
    <row r="187" spans="1:22" ht="15" hidden="1" customHeight="1" x14ac:dyDescent="0.25">
      <c r="A187" s="126" t="s">
        <v>655</v>
      </c>
      <c r="B187" s="127"/>
      <c r="C187" s="128"/>
      <c r="D187" s="129" t="s">
        <v>377</v>
      </c>
      <c r="E187" s="213" t="s">
        <v>656</v>
      </c>
      <c r="F187" s="125"/>
      <c r="G187" s="211" t="s">
        <v>276</v>
      </c>
      <c r="H187" s="130"/>
      <c r="I187" s="189"/>
      <c r="J187" s="131"/>
      <c r="K187" s="167"/>
      <c r="L187" s="132"/>
      <c r="M187" s="125"/>
      <c r="N187" s="133"/>
      <c r="O187" s="134"/>
      <c r="P187" s="135"/>
      <c r="Q187" s="135"/>
      <c r="R187" s="134"/>
      <c r="S187" s="134"/>
      <c r="T187" s="135"/>
      <c r="U187" s="135"/>
      <c r="V187" s="134"/>
    </row>
    <row r="188" spans="1:22" ht="15" hidden="1" customHeight="1" x14ac:dyDescent="0.25">
      <c r="A188" s="126" t="s">
        <v>657</v>
      </c>
      <c r="B188" s="127"/>
      <c r="C188" s="128"/>
      <c r="D188" s="129" t="s">
        <v>368</v>
      </c>
      <c r="E188" s="213" t="s">
        <v>658</v>
      </c>
      <c r="F188" s="125"/>
      <c r="G188" s="211" t="s">
        <v>276</v>
      </c>
      <c r="H188" s="130"/>
      <c r="I188" s="189"/>
      <c r="J188" s="131"/>
      <c r="K188" s="167"/>
      <c r="L188" s="132"/>
      <c r="M188" s="125"/>
      <c r="N188" s="133"/>
      <c r="O188" s="134"/>
      <c r="P188" s="135"/>
      <c r="Q188" s="135"/>
      <c r="R188" s="134"/>
      <c r="S188" s="134"/>
      <c r="T188" s="135"/>
      <c r="U188" s="135"/>
      <c r="V188" s="134"/>
    </row>
    <row r="189" spans="1:22" ht="15" hidden="1" customHeight="1" x14ac:dyDescent="0.25">
      <c r="A189" s="126" t="s">
        <v>659</v>
      </c>
      <c r="B189" s="127"/>
      <c r="C189" s="128"/>
      <c r="D189" s="129" t="s">
        <v>368</v>
      </c>
      <c r="E189" s="213" t="s">
        <v>660</v>
      </c>
      <c r="F189" s="125"/>
      <c r="G189" s="211" t="s">
        <v>276</v>
      </c>
      <c r="H189" s="130"/>
      <c r="I189" s="189"/>
      <c r="J189" s="131"/>
      <c r="K189" s="167"/>
      <c r="L189" s="132"/>
      <c r="M189" s="125"/>
      <c r="N189" s="133"/>
      <c r="O189" s="134"/>
      <c r="P189" s="135"/>
      <c r="Q189" s="135"/>
      <c r="R189" s="134"/>
      <c r="S189" s="134"/>
      <c r="T189" s="135"/>
      <c r="U189" s="135"/>
      <c r="V189" s="134"/>
    </row>
    <row r="190" spans="1:22" ht="15" hidden="1" customHeight="1" x14ac:dyDescent="0.25">
      <c r="A190" s="126" t="s">
        <v>661</v>
      </c>
      <c r="B190" s="127"/>
      <c r="C190" s="128"/>
      <c r="D190" s="129" t="s">
        <v>377</v>
      </c>
      <c r="E190" s="213" t="s">
        <v>662</v>
      </c>
      <c r="F190" s="125"/>
      <c r="G190" s="211" t="s">
        <v>276</v>
      </c>
      <c r="H190" s="130"/>
      <c r="I190" s="189"/>
      <c r="J190" s="131"/>
      <c r="K190" s="167"/>
      <c r="L190" s="132"/>
      <c r="M190" s="125"/>
      <c r="N190" s="133"/>
      <c r="O190" s="134"/>
      <c r="P190" s="135"/>
      <c r="Q190" s="135"/>
      <c r="R190" s="134"/>
      <c r="S190" s="134"/>
      <c r="T190" s="135"/>
      <c r="U190" s="135"/>
      <c r="V190" s="134"/>
    </row>
    <row r="191" spans="1:22" ht="15" hidden="1" customHeight="1" x14ac:dyDescent="0.25">
      <c r="A191" s="126" t="s">
        <v>663</v>
      </c>
      <c r="B191" s="127"/>
      <c r="C191" s="128"/>
      <c r="D191" s="129" t="s">
        <v>368</v>
      </c>
      <c r="E191" s="213" t="s">
        <v>664</v>
      </c>
      <c r="F191" s="125"/>
      <c r="G191" s="211" t="s">
        <v>276</v>
      </c>
      <c r="H191" s="130"/>
      <c r="I191" s="189"/>
      <c r="J191" s="131"/>
      <c r="K191" s="167"/>
      <c r="L191" s="132"/>
      <c r="M191" s="125"/>
      <c r="N191" s="133"/>
      <c r="O191" s="134"/>
      <c r="P191" s="135"/>
      <c r="Q191" s="135"/>
      <c r="R191" s="134"/>
      <c r="S191" s="134"/>
      <c r="T191" s="135"/>
      <c r="U191" s="135"/>
      <c r="V191" s="134"/>
    </row>
    <row r="192" spans="1:22" ht="15" hidden="1" customHeight="1" x14ac:dyDescent="0.25">
      <c r="A192" s="126" t="s">
        <v>665</v>
      </c>
      <c r="B192" s="127"/>
      <c r="C192" s="128"/>
      <c r="D192" s="129" t="s">
        <v>365</v>
      </c>
      <c r="E192" s="213" t="s">
        <v>666</v>
      </c>
      <c r="F192" s="125"/>
      <c r="G192" s="211" t="s">
        <v>276</v>
      </c>
      <c r="H192" s="130"/>
      <c r="I192" s="189"/>
      <c r="J192" s="131"/>
      <c r="K192" s="167"/>
      <c r="L192" s="132"/>
      <c r="M192" s="125"/>
      <c r="N192" s="133"/>
      <c r="O192" s="134"/>
      <c r="P192" s="135"/>
      <c r="Q192" s="135"/>
      <c r="R192" s="134"/>
      <c r="S192" s="134"/>
      <c r="T192" s="135"/>
      <c r="U192" s="135"/>
      <c r="V192" s="134"/>
    </row>
    <row r="193" spans="1:22" ht="15" hidden="1" customHeight="1" x14ac:dyDescent="0.25">
      <c r="A193" s="126" t="s">
        <v>667</v>
      </c>
      <c r="B193" s="127"/>
      <c r="C193" s="128"/>
      <c r="D193" s="129" t="s">
        <v>377</v>
      </c>
      <c r="E193" s="213" t="s">
        <v>668</v>
      </c>
      <c r="F193" s="125"/>
      <c r="G193" s="211" t="s">
        <v>276</v>
      </c>
      <c r="H193" s="130"/>
      <c r="I193" s="189"/>
      <c r="J193" s="131"/>
      <c r="K193" s="167"/>
      <c r="L193" s="132"/>
      <c r="M193" s="125"/>
      <c r="N193" s="133"/>
      <c r="O193" s="134"/>
      <c r="P193" s="135"/>
      <c r="Q193" s="135"/>
      <c r="R193" s="134"/>
      <c r="S193" s="134"/>
      <c r="T193" s="135"/>
      <c r="U193" s="135"/>
      <c r="V193" s="134"/>
    </row>
    <row r="194" spans="1:22" ht="15" hidden="1" customHeight="1" x14ac:dyDescent="0.25">
      <c r="A194" s="126" t="s">
        <v>669</v>
      </c>
      <c r="B194" s="127"/>
      <c r="C194" s="128"/>
      <c r="D194" s="129" t="s">
        <v>365</v>
      </c>
      <c r="E194" s="213" t="s">
        <v>670</v>
      </c>
      <c r="F194" s="125"/>
      <c r="G194" s="211" t="s">
        <v>276</v>
      </c>
      <c r="H194" s="130"/>
      <c r="I194" s="189"/>
      <c r="J194" s="131"/>
      <c r="K194" s="167"/>
      <c r="L194" s="132"/>
      <c r="M194" s="125"/>
      <c r="N194" s="133"/>
      <c r="O194" s="134"/>
      <c r="P194" s="135"/>
      <c r="Q194" s="135"/>
      <c r="R194" s="134"/>
      <c r="S194" s="134"/>
      <c r="T194" s="135"/>
      <c r="U194" s="135"/>
      <c r="V194" s="134"/>
    </row>
    <row r="195" spans="1:22" ht="15" hidden="1" customHeight="1" x14ac:dyDescent="0.25">
      <c r="A195" s="126" t="s">
        <v>671</v>
      </c>
      <c r="B195" s="127"/>
      <c r="C195" s="128"/>
      <c r="D195" s="129" t="s">
        <v>368</v>
      </c>
      <c r="E195" s="213" t="s">
        <v>672</v>
      </c>
      <c r="F195" s="125"/>
      <c r="G195" s="211" t="s">
        <v>276</v>
      </c>
      <c r="H195" s="130"/>
      <c r="I195" s="189"/>
      <c r="J195" s="131"/>
      <c r="K195" s="167"/>
      <c r="L195" s="132"/>
      <c r="M195" s="125"/>
      <c r="N195" s="133"/>
      <c r="O195" s="134"/>
      <c r="P195" s="135"/>
      <c r="Q195" s="135"/>
      <c r="R195" s="134"/>
      <c r="S195" s="134"/>
      <c r="T195" s="135"/>
      <c r="U195" s="135"/>
      <c r="V195" s="134"/>
    </row>
    <row r="196" spans="1:22" ht="15" hidden="1" customHeight="1" x14ac:dyDescent="0.25">
      <c r="A196" s="126" t="s">
        <v>673</v>
      </c>
      <c r="B196" s="127"/>
      <c r="C196" s="128"/>
      <c r="D196" s="129" t="s">
        <v>368</v>
      </c>
      <c r="E196" s="213" t="s">
        <v>674</v>
      </c>
      <c r="F196" s="125"/>
      <c r="G196" s="211" t="s">
        <v>276</v>
      </c>
      <c r="H196" s="130"/>
      <c r="I196" s="189"/>
      <c r="J196" s="131"/>
      <c r="K196" s="167"/>
      <c r="L196" s="132"/>
      <c r="M196" s="125"/>
      <c r="N196" s="133"/>
      <c r="O196" s="134"/>
      <c r="P196" s="135"/>
      <c r="Q196" s="135"/>
      <c r="R196" s="134"/>
      <c r="S196" s="134"/>
      <c r="T196" s="135"/>
      <c r="U196" s="135"/>
      <c r="V196" s="134"/>
    </row>
    <row r="197" spans="1:22" ht="15" hidden="1" customHeight="1" x14ac:dyDescent="0.25">
      <c r="A197" s="126" t="s">
        <v>675</v>
      </c>
      <c r="B197" s="127"/>
      <c r="C197" s="128"/>
      <c r="D197" s="129" t="s">
        <v>365</v>
      </c>
      <c r="E197" s="213" t="s">
        <v>676</v>
      </c>
      <c r="F197" s="125"/>
      <c r="G197" s="211" t="s">
        <v>276</v>
      </c>
      <c r="H197" s="130"/>
      <c r="I197" s="189"/>
      <c r="J197" s="131"/>
      <c r="K197" s="167"/>
      <c r="L197" s="132"/>
      <c r="M197" s="125"/>
      <c r="N197" s="133"/>
      <c r="O197" s="134"/>
      <c r="P197" s="135"/>
      <c r="Q197" s="135"/>
      <c r="R197" s="134"/>
      <c r="S197" s="134"/>
      <c r="T197" s="135"/>
      <c r="U197" s="135"/>
      <c r="V197" s="134"/>
    </row>
    <row r="198" spans="1:22" ht="15" hidden="1" customHeight="1" x14ac:dyDescent="0.25">
      <c r="A198" s="126" t="s">
        <v>677</v>
      </c>
      <c r="B198" s="127"/>
      <c r="C198" s="128"/>
      <c r="D198" s="129" t="s">
        <v>377</v>
      </c>
      <c r="E198" s="213" t="s">
        <v>678</v>
      </c>
      <c r="F198" s="125"/>
      <c r="G198" s="211" t="s">
        <v>276</v>
      </c>
      <c r="H198" s="130"/>
      <c r="I198" s="189"/>
      <c r="J198" s="131"/>
      <c r="K198" s="167"/>
      <c r="L198" s="132"/>
      <c r="M198" s="125"/>
      <c r="N198" s="133"/>
      <c r="O198" s="134"/>
      <c r="P198" s="135"/>
      <c r="Q198" s="135"/>
      <c r="R198" s="134"/>
      <c r="S198" s="134"/>
      <c r="T198" s="135"/>
      <c r="U198" s="135"/>
      <c r="V198" s="134"/>
    </row>
    <row r="199" spans="1:22" ht="15" hidden="1" customHeight="1" x14ac:dyDescent="0.25">
      <c r="A199" s="126" t="s">
        <v>679</v>
      </c>
      <c r="B199" s="127"/>
      <c r="C199" s="128"/>
      <c r="D199" s="129" t="s">
        <v>362</v>
      </c>
      <c r="E199" s="213" t="s">
        <v>680</v>
      </c>
      <c r="F199" s="125"/>
      <c r="G199" s="211" t="s">
        <v>276</v>
      </c>
      <c r="H199" s="130"/>
      <c r="I199" s="189"/>
      <c r="J199" s="131"/>
      <c r="K199" s="167"/>
      <c r="L199" s="132"/>
      <c r="M199" s="125"/>
      <c r="N199" s="133"/>
      <c r="O199" s="134"/>
      <c r="P199" s="135"/>
      <c r="Q199" s="135"/>
      <c r="R199" s="134"/>
      <c r="S199" s="134"/>
      <c r="T199" s="135"/>
      <c r="U199" s="135"/>
      <c r="V199" s="134"/>
    </row>
    <row r="200" spans="1:22" ht="15" hidden="1" customHeight="1" x14ac:dyDescent="0.25">
      <c r="A200" s="126" t="s">
        <v>681</v>
      </c>
      <c r="B200" s="127"/>
      <c r="C200" s="128"/>
      <c r="D200" s="129" t="s">
        <v>416</v>
      </c>
      <c r="E200" s="213" t="s">
        <v>682</v>
      </c>
      <c r="F200" s="125"/>
      <c r="G200" s="211" t="s">
        <v>276</v>
      </c>
      <c r="H200" s="130"/>
      <c r="I200" s="189"/>
      <c r="J200" s="131"/>
      <c r="K200" s="167"/>
      <c r="L200" s="132"/>
      <c r="M200" s="125"/>
      <c r="N200" s="133"/>
      <c r="O200" s="134"/>
      <c r="P200" s="135"/>
      <c r="Q200" s="135"/>
      <c r="R200" s="134"/>
      <c r="S200" s="134"/>
      <c r="T200" s="135"/>
      <c r="U200" s="135"/>
      <c r="V200" s="134"/>
    </row>
    <row r="201" spans="1:22" ht="15" hidden="1" customHeight="1" x14ac:dyDescent="0.25">
      <c r="A201" s="126" t="s">
        <v>683</v>
      </c>
      <c r="B201" s="127"/>
      <c r="C201" s="128"/>
      <c r="D201" s="129" t="s">
        <v>362</v>
      </c>
      <c r="E201" s="213" t="s">
        <v>684</v>
      </c>
      <c r="F201" s="125"/>
      <c r="G201" s="211" t="s">
        <v>276</v>
      </c>
      <c r="H201" s="130"/>
      <c r="I201" s="189"/>
      <c r="J201" s="131"/>
      <c r="K201" s="167"/>
      <c r="L201" s="132"/>
      <c r="M201" s="125"/>
      <c r="N201" s="133"/>
      <c r="O201" s="134"/>
      <c r="P201" s="135"/>
      <c r="Q201" s="135"/>
      <c r="R201" s="134"/>
      <c r="S201" s="134"/>
      <c r="T201" s="135"/>
      <c r="U201" s="135"/>
      <c r="V201" s="134"/>
    </row>
    <row r="202" spans="1:22" ht="15" hidden="1" customHeight="1" x14ac:dyDescent="0.25">
      <c r="A202" s="126" t="s">
        <v>685</v>
      </c>
      <c r="B202" s="127"/>
      <c r="C202" s="128"/>
      <c r="D202" s="129" t="s">
        <v>362</v>
      </c>
      <c r="E202" s="213" t="s">
        <v>686</v>
      </c>
      <c r="F202" s="125"/>
      <c r="G202" s="211" t="s">
        <v>276</v>
      </c>
      <c r="H202" s="130"/>
      <c r="I202" s="189"/>
      <c r="J202" s="131"/>
      <c r="K202" s="167"/>
      <c r="L202" s="132"/>
      <c r="M202" s="125"/>
      <c r="N202" s="133"/>
      <c r="O202" s="134"/>
      <c r="P202" s="135"/>
      <c r="Q202" s="135"/>
      <c r="R202" s="134"/>
      <c r="S202" s="134"/>
      <c r="T202" s="135"/>
      <c r="U202" s="135"/>
      <c r="V202" s="134"/>
    </row>
    <row r="203" spans="1:22" ht="15" hidden="1" customHeight="1" x14ac:dyDescent="0.25">
      <c r="A203" s="126" t="s">
        <v>687</v>
      </c>
      <c r="B203" s="127"/>
      <c r="C203" s="128"/>
      <c r="D203" s="129" t="s">
        <v>362</v>
      </c>
      <c r="E203" s="213" t="s">
        <v>688</v>
      </c>
      <c r="F203" s="125"/>
      <c r="G203" s="211" t="s">
        <v>276</v>
      </c>
      <c r="H203" s="130"/>
      <c r="I203" s="189"/>
      <c r="J203" s="131"/>
      <c r="K203" s="167"/>
      <c r="L203" s="132"/>
      <c r="M203" s="125"/>
      <c r="N203" s="133"/>
      <c r="O203" s="134"/>
      <c r="P203" s="135"/>
      <c r="Q203" s="135"/>
      <c r="R203" s="134"/>
      <c r="S203" s="134"/>
      <c r="T203" s="135"/>
      <c r="U203" s="135"/>
      <c r="V203" s="134"/>
    </row>
    <row r="204" spans="1:22" ht="15" hidden="1" customHeight="1" x14ac:dyDescent="0.25">
      <c r="A204" s="126" t="s">
        <v>689</v>
      </c>
      <c r="B204" s="127"/>
      <c r="C204" s="128"/>
      <c r="D204" s="129" t="s">
        <v>362</v>
      </c>
      <c r="E204" s="213" t="s">
        <v>690</v>
      </c>
      <c r="F204" s="125"/>
      <c r="G204" s="211" t="s">
        <v>276</v>
      </c>
      <c r="H204" s="130"/>
      <c r="I204" s="189"/>
      <c r="J204" s="131"/>
      <c r="K204" s="167"/>
      <c r="L204" s="132"/>
      <c r="M204" s="125"/>
      <c r="N204" s="133"/>
      <c r="O204" s="134"/>
      <c r="P204" s="135"/>
      <c r="Q204" s="135"/>
      <c r="R204" s="134"/>
      <c r="S204" s="134"/>
      <c r="T204" s="135"/>
      <c r="U204" s="135"/>
      <c r="V204" s="134"/>
    </row>
    <row r="205" spans="1:22" ht="15" hidden="1" customHeight="1" x14ac:dyDescent="0.25">
      <c r="A205" s="126" t="s">
        <v>691</v>
      </c>
      <c r="B205" s="127"/>
      <c r="C205" s="128"/>
      <c r="D205" s="129" t="s">
        <v>362</v>
      </c>
      <c r="E205" s="213" t="s">
        <v>692</v>
      </c>
      <c r="F205" s="125"/>
      <c r="G205" s="211" t="s">
        <v>276</v>
      </c>
      <c r="H205" s="130"/>
      <c r="I205" s="189"/>
      <c r="J205" s="131"/>
      <c r="K205" s="167"/>
      <c r="L205" s="132"/>
      <c r="M205" s="125"/>
      <c r="N205" s="133"/>
      <c r="O205" s="134"/>
      <c r="P205" s="135"/>
      <c r="Q205" s="135"/>
      <c r="R205" s="134"/>
      <c r="S205" s="134"/>
      <c r="T205" s="135"/>
      <c r="U205" s="135"/>
      <c r="V205" s="134"/>
    </row>
    <row r="206" spans="1:22" ht="15" hidden="1" customHeight="1" x14ac:dyDescent="0.25">
      <c r="A206" s="126" t="s">
        <v>693</v>
      </c>
      <c r="B206" s="127"/>
      <c r="C206" s="128"/>
      <c r="D206" s="129" t="s">
        <v>377</v>
      </c>
      <c r="E206" s="213" t="s">
        <v>694</v>
      </c>
      <c r="F206" s="125"/>
      <c r="G206" s="211" t="s">
        <v>276</v>
      </c>
      <c r="H206" s="130"/>
      <c r="I206" s="189"/>
      <c r="J206" s="131"/>
      <c r="K206" s="167"/>
      <c r="L206" s="132"/>
      <c r="M206" s="125"/>
      <c r="N206" s="133"/>
      <c r="O206" s="134"/>
      <c r="P206" s="135"/>
      <c r="Q206" s="135"/>
      <c r="R206" s="134"/>
      <c r="S206" s="134"/>
      <c r="T206" s="135"/>
      <c r="U206" s="135"/>
      <c r="V206" s="134"/>
    </row>
    <row r="207" spans="1:22" ht="15" hidden="1" customHeight="1" x14ac:dyDescent="0.25">
      <c r="A207" s="126" t="s">
        <v>695</v>
      </c>
      <c r="B207" s="127"/>
      <c r="C207" s="128"/>
      <c r="D207" s="129" t="s">
        <v>377</v>
      </c>
      <c r="E207" s="213" t="s">
        <v>696</v>
      </c>
      <c r="F207" s="125"/>
      <c r="G207" s="211" t="s">
        <v>276</v>
      </c>
      <c r="H207" s="130"/>
      <c r="I207" s="189"/>
      <c r="J207" s="131"/>
      <c r="K207" s="167"/>
      <c r="L207" s="132"/>
      <c r="M207" s="125"/>
      <c r="N207" s="133"/>
      <c r="O207" s="134"/>
      <c r="P207" s="135"/>
      <c r="Q207" s="135"/>
      <c r="R207" s="134"/>
      <c r="S207" s="134"/>
      <c r="T207" s="135"/>
      <c r="U207" s="135"/>
      <c r="V207" s="134"/>
    </row>
    <row r="208" spans="1:22" ht="15" hidden="1" customHeight="1" x14ac:dyDescent="0.25">
      <c r="A208" s="126" t="s">
        <v>697</v>
      </c>
      <c r="B208" s="127"/>
      <c r="C208" s="128"/>
      <c r="D208" s="129" t="s">
        <v>362</v>
      </c>
      <c r="E208" s="213" t="s">
        <v>698</v>
      </c>
      <c r="F208" s="125"/>
      <c r="G208" s="211" t="s">
        <v>276</v>
      </c>
      <c r="H208" s="130"/>
      <c r="I208" s="189"/>
      <c r="J208" s="131"/>
      <c r="K208" s="167"/>
      <c r="L208" s="132"/>
      <c r="M208" s="125"/>
      <c r="N208" s="133"/>
      <c r="O208" s="134"/>
      <c r="P208" s="135"/>
      <c r="Q208" s="135"/>
      <c r="R208" s="134"/>
      <c r="S208" s="134"/>
      <c r="T208" s="135"/>
      <c r="U208" s="135"/>
      <c r="V208" s="134"/>
    </row>
    <row r="209" spans="1:22" ht="15" hidden="1" customHeight="1" x14ac:dyDescent="0.25">
      <c r="A209" s="126" t="s">
        <v>699</v>
      </c>
      <c r="B209" s="127"/>
      <c r="C209" s="128"/>
      <c r="D209" s="129" t="s">
        <v>377</v>
      </c>
      <c r="E209" s="213" t="s">
        <v>700</v>
      </c>
      <c r="F209" s="125"/>
      <c r="G209" s="211" t="s">
        <v>276</v>
      </c>
      <c r="H209" s="130"/>
      <c r="I209" s="189"/>
      <c r="J209" s="131"/>
      <c r="K209" s="167"/>
      <c r="L209" s="132"/>
      <c r="M209" s="125"/>
      <c r="N209" s="133"/>
      <c r="O209" s="134"/>
      <c r="P209" s="135"/>
      <c r="Q209" s="135"/>
      <c r="R209" s="134"/>
      <c r="S209" s="134"/>
      <c r="T209" s="135"/>
      <c r="U209" s="135"/>
      <c r="V209" s="134"/>
    </row>
    <row r="210" spans="1:22" ht="15" hidden="1" customHeight="1" x14ac:dyDescent="0.25">
      <c r="A210" s="126" t="s">
        <v>701</v>
      </c>
      <c r="B210" s="127"/>
      <c r="C210" s="128"/>
      <c r="D210" s="129" t="s">
        <v>365</v>
      </c>
      <c r="E210" s="213" t="s">
        <v>702</v>
      </c>
      <c r="F210" s="125"/>
      <c r="G210" s="211" t="s">
        <v>276</v>
      </c>
      <c r="H210" s="130"/>
      <c r="I210" s="189"/>
      <c r="J210" s="131"/>
      <c r="K210" s="167"/>
      <c r="L210" s="132"/>
      <c r="M210" s="125"/>
      <c r="N210" s="133"/>
      <c r="O210" s="134"/>
      <c r="P210" s="135"/>
      <c r="Q210" s="135"/>
      <c r="R210" s="134"/>
      <c r="S210" s="134"/>
      <c r="T210" s="135"/>
      <c r="U210" s="135"/>
      <c r="V210" s="134"/>
    </row>
    <row r="211" spans="1:22" ht="15" hidden="1" customHeight="1" x14ac:dyDescent="0.25">
      <c r="A211" s="126" t="s">
        <v>703</v>
      </c>
      <c r="B211" s="127"/>
      <c r="C211" s="128"/>
      <c r="D211" s="129" t="s">
        <v>365</v>
      </c>
      <c r="E211" s="213" t="s">
        <v>704</v>
      </c>
      <c r="F211" s="125"/>
      <c r="G211" s="211" t="s">
        <v>276</v>
      </c>
      <c r="H211" s="130"/>
      <c r="I211" s="189"/>
      <c r="J211" s="131"/>
      <c r="K211" s="167"/>
      <c r="L211" s="132"/>
      <c r="M211" s="125"/>
      <c r="N211" s="133"/>
      <c r="O211" s="134"/>
      <c r="P211" s="135"/>
      <c r="Q211" s="135"/>
      <c r="R211" s="134"/>
      <c r="S211" s="134"/>
      <c r="T211" s="135"/>
      <c r="U211" s="135"/>
      <c r="V211" s="134"/>
    </row>
    <row r="212" spans="1:22" ht="15" hidden="1" customHeight="1" x14ac:dyDescent="0.25">
      <c r="A212" s="126" t="s">
        <v>705</v>
      </c>
      <c r="B212" s="127"/>
      <c r="C212" s="128"/>
      <c r="D212" s="129" t="s">
        <v>365</v>
      </c>
      <c r="E212" s="213" t="s">
        <v>706</v>
      </c>
      <c r="F212" s="125"/>
      <c r="G212" s="211" t="s">
        <v>276</v>
      </c>
      <c r="H212" s="130"/>
      <c r="I212" s="189"/>
      <c r="J212" s="131"/>
      <c r="K212" s="167"/>
      <c r="L212" s="132"/>
      <c r="M212" s="125"/>
      <c r="N212" s="133"/>
      <c r="O212" s="134"/>
      <c r="P212" s="135"/>
      <c r="Q212" s="135"/>
      <c r="R212" s="134"/>
      <c r="S212" s="134"/>
      <c r="T212" s="135"/>
      <c r="U212" s="135"/>
      <c r="V212" s="134"/>
    </row>
    <row r="213" spans="1:22" ht="15" hidden="1" customHeight="1" x14ac:dyDescent="0.25">
      <c r="A213" s="126" t="s">
        <v>707</v>
      </c>
      <c r="B213" s="127"/>
      <c r="C213" s="128"/>
      <c r="D213" s="129" t="s">
        <v>398</v>
      </c>
      <c r="E213" s="213" t="s">
        <v>708</v>
      </c>
      <c r="F213" s="125"/>
      <c r="G213" s="211" t="s">
        <v>276</v>
      </c>
      <c r="H213" s="130"/>
      <c r="I213" s="189"/>
      <c r="J213" s="131"/>
      <c r="K213" s="167"/>
      <c r="L213" s="132"/>
      <c r="M213" s="125"/>
      <c r="N213" s="133"/>
      <c r="O213" s="134"/>
      <c r="P213" s="135"/>
      <c r="Q213" s="135"/>
      <c r="R213" s="134"/>
      <c r="S213" s="134"/>
      <c r="T213" s="135"/>
      <c r="U213" s="135"/>
      <c r="V213" s="134"/>
    </row>
    <row r="214" spans="1:22" ht="15" hidden="1" customHeight="1" x14ac:dyDescent="0.25">
      <c r="A214" s="126" t="s">
        <v>709</v>
      </c>
      <c r="B214" s="127"/>
      <c r="C214" s="128"/>
      <c r="D214" s="129" t="s">
        <v>377</v>
      </c>
      <c r="E214" s="213" t="s">
        <v>710</v>
      </c>
      <c r="F214" s="125"/>
      <c r="G214" s="211" t="s">
        <v>276</v>
      </c>
      <c r="H214" s="130"/>
      <c r="I214" s="189"/>
      <c r="J214" s="131"/>
      <c r="K214" s="167"/>
      <c r="L214" s="132"/>
      <c r="M214" s="125"/>
      <c r="N214" s="133"/>
      <c r="O214" s="134"/>
      <c r="P214" s="135"/>
      <c r="Q214" s="135"/>
      <c r="R214" s="134"/>
      <c r="S214" s="134"/>
      <c r="T214" s="135"/>
      <c r="U214" s="135"/>
      <c r="V214" s="134"/>
    </row>
    <row r="215" spans="1:22" ht="15" hidden="1" customHeight="1" x14ac:dyDescent="0.25">
      <c r="A215" s="126" t="s">
        <v>711</v>
      </c>
      <c r="B215" s="127"/>
      <c r="C215" s="128"/>
      <c r="D215" s="129" t="s">
        <v>377</v>
      </c>
      <c r="E215" s="213" t="s">
        <v>712</v>
      </c>
      <c r="F215" s="125"/>
      <c r="G215" s="211" t="s">
        <v>276</v>
      </c>
      <c r="H215" s="130"/>
      <c r="I215" s="189"/>
      <c r="J215" s="131"/>
      <c r="K215" s="167"/>
      <c r="L215" s="132"/>
      <c r="M215" s="125"/>
      <c r="N215" s="133"/>
      <c r="O215" s="134"/>
      <c r="P215" s="135"/>
      <c r="Q215" s="135"/>
      <c r="R215" s="134"/>
      <c r="S215" s="134"/>
      <c r="T215" s="135"/>
      <c r="U215" s="135"/>
      <c r="V215" s="134"/>
    </row>
    <row r="216" spans="1:22" ht="15" hidden="1" customHeight="1" x14ac:dyDescent="0.25">
      <c r="A216" s="126" t="s">
        <v>713</v>
      </c>
      <c r="B216" s="127"/>
      <c r="C216" s="128"/>
      <c r="D216" s="129" t="s">
        <v>368</v>
      </c>
      <c r="E216" s="213" t="s">
        <v>714</v>
      </c>
      <c r="F216" s="125"/>
      <c r="G216" s="211" t="s">
        <v>276</v>
      </c>
      <c r="H216" s="130"/>
      <c r="I216" s="189"/>
      <c r="J216" s="131"/>
      <c r="K216" s="167"/>
      <c r="L216" s="132"/>
      <c r="M216" s="125"/>
      <c r="N216" s="133"/>
      <c r="O216" s="134"/>
      <c r="P216" s="135"/>
      <c r="Q216" s="135"/>
      <c r="R216" s="134"/>
      <c r="S216" s="134"/>
      <c r="T216" s="135"/>
      <c r="U216" s="135"/>
      <c r="V216" s="134"/>
    </row>
    <row r="217" spans="1:22" ht="15" hidden="1" customHeight="1" x14ac:dyDescent="0.25">
      <c r="A217" s="126" t="s">
        <v>715</v>
      </c>
      <c r="B217" s="127"/>
      <c r="C217" s="128"/>
      <c r="D217" s="129" t="s">
        <v>377</v>
      </c>
      <c r="E217" s="213" t="s">
        <v>716</v>
      </c>
      <c r="F217" s="125"/>
      <c r="G217" s="211" t="s">
        <v>276</v>
      </c>
      <c r="H217" s="130"/>
      <c r="I217" s="189"/>
      <c r="J217" s="131"/>
      <c r="K217" s="167"/>
      <c r="L217" s="132"/>
      <c r="M217" s="125"/>
      <c r="N217" s="133"/>
      <c r="O217" s="134"/>
      <c r="P217" s="135"/>
      <c r="Q217" s="135"/>
      <c r="R217" s="134"/>
      <c r="S217" s="134"/>
      <c r="T217" s="135"/>
      <c r="U217" s="135"/>
      <c r="V217" s="134"/>
    </row>
    <row r="218" spans="1:22" ht="15" hidden="1" customHeight="1" x14ac:dyDescent="0.25">
      <c r="A218" s="126" t="s">
        <v>717</v>
      </c>
      <c r="B218" s="127"/>
      <c r="C218" s="128"/>
      <c r="D218" s="129" t="s">
        <v>362</v>
      </c>
      <c r="E218" s="213" t="s">
        <v>718</v>
      </c>
      <c r="F218" s="125"/>
      <c r="G218" s="211" t="s">
        <v>276</v>
      </c>
      <c r="H218" s="130"/>
      <c r="I218" s="189"/>
      <c r="J218" s="131"/>
      <c r="K218" s="167"/>
      <c r="L218" s="132"/>
      <c r="M218" s="125"/>
      <c r="N218" s="133"/>
      <c r="O218" s="134"/>
      <c r="P218" s="135"/>
      <c r="Q218" s="135"/>
      <c r="R218" s="134"/>
      <c r="S218" s="134"/>
      <c r="T218" s="135"/>
      <c r="U218" s="135"/>
      <c r="V218" s="134"/>
    </row>
    <row r="219" spans="1:22" ht="15" hidden="1" customHeight="1" x14ac:dyDescent="0.25">
      <c r="A219" s="126" t="s">
        <v>719</v>
      </c>
      <c r="B219" s="127"/>
      <c r="C219" s="128"/>
      <c r="D219" s="129" t="s">
        <v>362</v>
      </c>
      <c r="E219" s="213" t="s">
        <v>720</v>
      </c>
      <c r="F219" s="125"/>
      <c r="G219" s="211" t="s">
        <v>276</v>
      </c>
      <c r="H219" s="130"/>
      <c r="I219" s="189"/>
      <c r="J219" s="131"/>
      <c r="K219" s="167"/>
      <c r="L219" s="132"/>
      <c r="M219" s="125"/>
      <c r="N219" s="133"/>
      <c r="O219" s="134"/>
      <c r="P219" s="135"/>
      <c r="Q219" s="135"/>
      <c r="R219" s="134"/>
      <c r="S219" s="134"/>
      <c r="T219" s="135"/>
      <c r="U219" s="135"/>
      <c r="V219" s="134"/>
    </row>
    <row r="220" spans="1:22" ht="15" hidden="1" customHeight="1" x14ac:dyDescent="0.25">
      <c r="A220" s="126" t="s">
        <v>721</v>
      </c>
      <c r="B220" s="127"/>
      <c r="C220" s="128"/>
      <c r="D220" s="129" t="s">
        <v>362</v>
      </c>
      <c r="E220" s="213" t="s">
        <v>722</v>
      </c>
      <c r="F220" s="125"/>
      <c r="G220" s="211" t="s">
        <v>276</v>
      </c>
      <c r="H220" s="130"/>
      <c r="I220" s="189"/>
      <c r="J220" s="131"/>
      <c r="K220" s="167"/>
      <c r="L220" s="132"/>
      <c r="M220" s="125"/>
      <c r="N220" s="133"/>
      <c r="O220" s="134"/>
      <c r="P220" s="135"/>
      <c r="Q220" s="135"/>
      <c r="R220" s="134"/>
      <c r="S220" s="134"/>
      <c r="T220" s="135"/>
      <c r="U220" s="135"/>
      <c r="V220" s="134"/>
    </row>
    <row r="221" spans="1:22" ht="15" hidden="1" customHeight="1" x14ac:dyDescent="0.25">
      <c r="A221" s="126" t="s">
        <v>723</v>
      </c>
      <c r="B221" s="127"/>
      <c r="C221" s="128"/>
      <c r="D221" s="129" t="s">
        <v>362</v>
      </c>
      <c r="E221" s="213" t="s">
        <v>724</v>
      </c>
      <c r="F221" s="125"/>
      <c r="G221" s="211" t="s">
        <v>276</v>
      </c>
      <c r="H221" s="130"/>
      <c r="I221" s="189"/>
      <c r="J221" s="131"/>
      <c r="K221" s="167"/>
      <c r="L221" s="132"/>
      <c r="M221" s="125"/>
      <c r="N221" s="133"/>
      <c r="O221" s="134"/>
      <c r="P221" s="135"/>
      <c r="Q221" s="135"/>
      <c r="R221" s="134"/>
      <c r="S221" s="134"/>
      <c r="T221" s="135"/>
      <c r="U221" s="135"/>
      <c r="V221" s="134"/>
    </row>
    <row r="222" spans="1:22" ht="15" hidden="1" customHeight="1" x14ac:dyDescent="0.25">
      <c r="A222" s="126" t="s">
        <v>725</v>
      </c>
      <c r="B222" s="127"/>
      <c r="C222" s="128"/>
      <c r="D222" s="129" t="s">
        <v>368</v>
      </c>
      <c r="E222" s="213" t="s">
        <v>726</v>
      </c>
      <c r="F222" s="125"/>
      <c r="G222" s="211" t="s">
        <v>276</v>
      </c>
      <c r="H222" s="130"/>
      <c r="I222" s="189"/>
      <c r="J222" s="131"/>
      <c r="K222" s="167"/>
      <c r="L222" s="132"/>
      <c r="M222" s="125"/>
      <c r="N222" s="133"/>
      <c r="O222" s="134"/>
      <c r="P222" s="135"/>
      <c r="Q222" s="135"/>
      <c r="R222" s="134"/>
      <c r="S222" s="134"/>
      <c r="T222" s="135"/>
      <c r="U222" s="135"/>
      <c r="V222" s="134"/>
    </row>
    <row r="223" spans="1:22" ht="15" hidden="1" customHeight="1" x14ac:dyDescent="0.25">
      <c r="A223" s="126" t="s">
        <v>727</v>
      </c>
      <c r="B223" s="127"/>
      <c r="C223" s="128"/>
      <c r="D223" s="129" t="s">
        <v>368</v>
      </c>
      <c r="E223" s="213" t="s">
        <v>728</v>
      </c>
      <c r="F223" s="125"/>
      <c r="G223" s="211" t="s">
        <v>276</v>
      </c>
      <c r="H223" s="130"/>
      <c r="I223" s="189"/>
      <c r="J223" s="131"/>
      <c r="K223" s="167"/>
      <c r="L223" s="132"/>
      <c r="M223" s="125"/>
      <c r="N223" s="133"/>
      <c r="O223" s="134"/>
      <c r="P223" s="135"/>
      <c r="Q223" s="135"/>
      <c r="R223" s="134"/>
      <c r="S223" s="134"/>
      <c r="T223" s="135"/>
      <c r="U223" s="135"/>
      <c r="V223" s="134"/>
    </row>
    <row r="224" spans="1:22" ht="15" hidden="1" customHeight="1" x14ac:dyDescent="0.25">
      <c r="A224" s="126" t="s">
        <v>729</v>
      </c>
      <c r="B224" s="127"/>
      <c r="C224" s="128"/>
      <c r="D224" s="129" t="s">
        <v>377</v>
      </c>
      <c r="E224" s="213" t="s">
        <v>730</v>
      </c>
      <c r="F224" s="125"/>
      <c r="G224" s="211" t="s">
        <v>276</v>
      </c>
      <c r="H224" s="130"/>
      <c r="I224" s="189"/>
      <c r="J224" s="131"/>
      <c r="K224" s="167"/>
      <c r="L224" s="132"/>
      <c r="M224" s="125"/>
      <c r="N224" s="133"/>
      <c r="O224" s="134"/>
      <c r="P224" s="135"/>
      <c r="Q224" s="135"/>
      <c r="R224" s="134"/>
      <c r="S224" s="134"/>
      <c r="T224" s="135"/>
      <c r="U224" s="135"/>
      <c r="V224" s="134"/>
    </row>
    <row r="225" spans="1:22" ht="15" hidden="1" customHeight="1" x14ac:dyDescent="0.25">
      <c r="A225" s="126" t="s">
        <v>731</v>
      </c>
      <c r="B225" s="127"/>
      <c r="C225" s="128"/>
      <c r="D225" s="129" t="s">
        <v>368</v>
      </c>
      <c r="E225" s="213" t="s">
        <v>732</v>
      </c>
      <c r="F225" s="125"/>
      <c r="G225" s="211" t="s">
        <v>276</v>
      </c>
      <c r="H225" s="130"/>
      <c r="I225" s="189"/>
      <c r="J225" s="131"/>
      <c r="K225" s="167"/>
      <c r="L225" s="132"/>
      <c r="M225" s="125"/>
      <c r="N225" s="133"/>
      <c r="O225" s="134"/>
      <c r="P225" s="135"/>
      <c r="Q225" s="135"/>
      <c r="R225" s="134"/>
      <c r="S225" s="134"/>
      <c r="T225" s="135"/>
      <c r="U225" s="135"/>
      <c r="V225" s="134"/>
    </row>
    <row r="226" spans="1:22" ht="15" hidden="1" customHeight="1" x14ac:dyDescent="0.25">
      <c r="A226" s="126" t="s">
        <v>733</v>
      </c>
      <c r="B226" s="127"/>
      <c r="C226" s="128"/>
      <c r="D226" s="129" t="s">
        <v>368</v>
      </c>
      <c r="E226" s="213" t="s">
        <v>734</v>
      </c>
      <c r="F226" s="125"/>
      <c r="G226" s="211" t="s">
        <v>276</v>
      </c>
      <c r="H226" s="130"/>
      <c r="I226" s="189"/>
      <c r="J226" s="131"/>
      <c r="K226" s="167"/>
      <c r="L226" s="132"/>
      <c r="M226" s="125"/>
      <c r="N226" s="133"/>
      <c r="O226" s="134"/>
      <c r="P226" s="135"/>
      <c r="Q226" s="135"/>
      <c r="R226" s="134"/>
      <c r="S226" s="134"/>
      <c r="T226" s="135"/>
      <c r="U226" s="135"/>
      <c r="V226" s="134"/>
    </row>
    <row r="227" spans="1:22" ht="15" hidden="1" customHeight="1" x14ac:dyDescent="0.25">
      <c r="A227" s="126" t="s">
        <v>735</v>
      </c>
      <c r="B227" s="127"/>
      <c r="C227" s="128"/>
      <c r="D227" s="129" t="s">
        <v>368</v>
      </c>
      <c r="E227" s="213" t="s">
        <v>736</v>
      </c>
      <c r="F227" s="125"/>
      <c r="G227" s="211" t="s">
        <v>276</v>
      </c>
      <c r="H227" s="130"/>
      <c r="I227" s="189"/>
      <c r="J227" s="131"/>
      <c r="K227" s="167"/>
      <c r="L227" s="132"/>
      <c r="M227" s="125"/>
      <c r="N227" s="133"/>
      <c r="O227" s="134"/>
      <c r="P227" s="135"/>
      <c r="Q227" s="135"/>
      <c r="R227" s="134"/>
      <c r="S227" s="134"/>
      <c r="T227" s="135"/>
      <c r="U227" s="135"/>
      <c r="V227" s="134"/>
    </row>
    <row r="228" spans="1:22" ht="15" hidden="1" customHeight="1" x14ac:dyDescent="0.25">
      <c r="A228" s="126" t="s">
        <v>737</v>
      </c>
      <c r="B228" s="127"/>
      <c r="C228" s="128"/>
      <c r="D228" s="129" t="s">
        <v>368</v>
      </c>
      <c r="E228" s="213" t="s">
        <v>738</v>
      </c>
      <c r="F228" s="125"/>
      <c r="G228" s="211" t="s">
        <v>276</v>
      </c>
      <c r="H228" s="130"/>
      <c r="I228" s="189"/>
      <c r="J228" s="131"/>
      <c r="K228" s="167"/>
      <c r="L228" s="132"/>
      <c r="M228" s="125"/>
      <c r="N228" s="133"/>
      <c r="O228" s="134"/>
      <c r="P228" s="135"/>
      <c r="Q228" s="135"/>
      <c r="R228" s="134"/>
      <c r="S228" s="134"/>
      <c r="T228" s="135"/>
      <c r="U228" s="135"/>
      <c r="V228" s="134"/>
    </row>
    <row r="229" spans="1:22" ht="15" hidden="1" customHeight="1" x14ac:dyDescent="0.25">
      <c r="A229" s="126" t="s">
        <v>739</v>
      </c>
      <c r="B229" s="127"/>
      <c r="C229" s="128"/>
      <c r="D229" s="129" t="s">
        <v>368</v>
      </c>
      <c r="E229" s="213" t="s">
        <v>740</v>
      </c>
      <c r="F229" s="125"/>
      <c r="G229" s="211" t="s">
        <v>276</v>
      </c>
      <c r="H229" s="130"/>
      <c r="I229" s="189"/>
      <c r="J229" s="131"/>
      <c r="K229" s="167"/>
      <c r="L229" s="132"/>
      <c r="M229" s="125"/>
      <c r="N229" s="133"/>
      <c r="O229" s="134"/>
      <c r="P229" s="135"/>
      <c r="Q229" s="135"/>
      <c r="R229" s="134"/>
      <c r="S229" s="134"/>
      <c r="T229" s="135"/>
      <c r="U229" s="135"/>
      <c r="V229" s="134"/>
    </row>
    <row r="230" spans="1:22" ht="15" hidden="1" customHeight="1" x14ac:dyDescent="0.25">
      <c r="A230" s="126" t="s">
        <v>741</v>
      </c>
      <c r="B230" s="127"/>
      <c r="C230" s="128"/>
      <c r="D230" s="129" t="s">
        <v>368</v>
      </c>
      <c r="E230" s="213" t="s">
        <v>742</v>
      </c>
      <c r="F230" s="125"/>
      <c r="G230" s="211" t="s">
        <v>276</v>
      </c>
      <c r="H230" s="130"/>
      <c r="I230" s="189"/>
      <c r="J230" s="131"/>
      <c r="K230" s="167"/>
      <c r="L230" s="132"/>
      <c r="M230" s="125"/>
      <c r="N230" s="133"/>
      <c r="O230" s="134"/>
      <c r="P230" s="135"/>
      <c r="Q230" s="135"/>
      <c r="R230" s="134"/>
      <c r="S230" s="134"/>
      <c r="T230" s="135"/>
      <c r="U230" s="135"/>
      <c r="V230" s="134"/>
    </row>
    <row r="231" spans="1:22" ht="15" hidden="1" customHeight="1" x14ac:dyDescent="0.25">
      <c r="A231" s="126" t="s">
        <v>743</v>
      </c>
      <c r="B231" s="127"/>
      <c r="C231" s="128"/>
      <c r="D231" s="129" t="s">
        <v>368</v>
      </c>
      <c r="E231" s="213" t="s">
        <v>744</v>
      </c>
      <c r="F231" s="125"/>
      <c r="G231" s="211" t="s">
        <v>276</v>
      </c>
      <c r="H231" s="130"/>
      <c r="I231" s="189"/>
      <c r="J231" s="131"/>
      <c r="K231" s="167"/>
      <c r="L231" s="132"/>
      <c r="M231" s="125"/>
      <c r="N231" s="133"/>
      <c r="O231" s="134"/>
      <c r="P231" s="135"/>
      <c r="Q231" s="135"/>
      <c r="R231" s="134"/>
      <c r="S231" s="134"/>
      <c r="T231" s="135"/>
      <c r="U231" s="135"/>
      <c r="V231" s="134"/>
    </row>
    <row r="232" spans="1:22" ht="15" hidden="1" customHeight="1" x14ac:dyDescent="0.25">
      <c r="A232" s="126" t="s">
        <v>745</v>
      </c>
      <c r="B232" s="127"/>
      <c r="C232" s="128"/>
      <c r="D232" s="129" t="s">
        <v>368</v>
      </c>
      <c r="E232" s="213" t="s">
        <v>746</v>
      </c>
      <c r="F232" s="125"/>
      <c r="G232" s="211" t="s">
        <v>276</v>
      </c>
      <c r="H232" s="130"/>
      <c r="I232" s="189"/>
      <c r="J232" s="131"/>
      <c r="K232" s="167"/>
      <c r="L232" s="132"/>
      <c r="M232" s="125"/>
      <c r="N232" s="133"/>
      <c r="O232" s="134"/>
      <c r="P232" s="135"/>
      <c r="Q232" s="135"/>
      <c r="R232" s="134"/>
      <c r="S232" s="134"/>
      <c r="T232" s="135"/>
      <c r="U232" s="135"/>
      <c r="V232" s="134"/>
    </row>
    <row r="233" spans="1:22" ht="15" hidden="1" customHeight="1" x14ac:dyDescent="0.25">
      <c r="A233" s="126" t="s">
        <v>747</v>
      </c>
      <c r="B233" s="127"/>
      <c r="C233" s="128"/>
      <c r="D233" s="129" t="s">
        <v>368</v>
      </c>
      <c r="E233" s="213" t="s">
        <v>748</v>
      </c>
      <c r="F233" s="125"/>
      <c r="G233" s="211" t="s">
        <v>276</v>
      </c>
      <c r="H233" s="130"/>
      <c r="I233" s="189"/>
      <c r="J233" s="131"/>
      <c r="K233" s="167"/>
      <c r="L233" s="132"/>
      <c r="M233" s="125"/>
      <c r="N233" s="133"/>
      <c r="O233" s="134"/>
      <c r="P233" s="135"/>
      <c r="Q233" s="135"/>
      <c r="R233" s="134"/>
      <c r="S233" s="134"/>
      <c r="T233" s="135"/>
      <c r="U233" s="135"/>
      <c r="V233" s="134"/>
    </row>
    <row r="234" spans="1:22" ht="15" hidden="1" customHeight="1" x14ac:dyDescent="0.25">
      <c r="A234" s="126" t="s">
        <v>749</v>
      </c>
      <c r="B234" s="127"/>
      <c r="C234" s="128"/>
      <c r="D234" s="129" t="s">
        <v>368</v>
      </c>
      <c r="E234" s="213" t="s">
        <v>750</v>
      </c>
      <c r="F234" s="125"/>
      <c r="G234" s="211" t="s">
        <v>276</v>
      </c>
      <c r="H234" s="130"/>
      <c r="I234" s="189"/>
      <c r="J234" s="131"/>
      <c r="K234" s="167"/>
      <c r="L234" s="132"/>
      <c r="M234" s="125"/>
      <c r="N234" s="133"/>
      <c r="O234" s="134"/>
      <c r="P234" s="135"/>
      <c r="Q234" s="135"/>
      <c r="R234" s="134"/>
      <c r="S234" s="134"/>
      <c r="T234" s="135"/>
      <c r="U234" s="135"/>
      <c r="V234" s="134"/>
    </row>
    <row r="235" spans="1:22" ht="15" hidden="1" customHeight="1" x14ac:dyDescent="0.25">
      <c r="A235" s="126" t="s">
        <v>751</v>
      </c>
      <c r="B235" s="127"/>
      <c r="C235" s="128"/>
      <c r="D235" s="129" t="s">
        <v>368</v>
      </c>
      <c r="E235" s="213" t="s">
        <v>752</v>
      </c>
      <c r="F235" s="125"/>
      <c r="G235" s="211" t="s">
        <v>276</v>
      </c>
      <c r="H235" s="130"/>
      <c r="I235" s="189"/>
      <c r="J235" s="131"/>
      <c r="K235" s="167"/>
      <c r="L235" s="132"/>
      <c r="M235" s="125"/>
      <c r="N235" s="133"/>
      <c r="O235" s="134"/>
      <c r="P235" s="135"/>
      <c r="Q235" s="135"/>
      <c r="R235" s="134"/>
      <c r="S235" s="134"/>
      <c r="T235" s="135"/>
      <c r="U235" s="135"/>
      <c r="V235" s="134"/>
    </row>
    <row r="236" spans="1:22" ht="15" hidden="1" customHeight="1" x14ac:dyDescent="0.25">
      <c r="A236" s="126" t="s">
        <v>753</v>
      </c>
      <c r="B236" s="127"/>
      <c r="C236" s="128"/>
      <c r="D236" s="129" t="s">
        <v>368</v>
      </c>
      <c r="E236" s="213" t="s">
        <v>754</v>
      </c>
      <c r="F236" s="125"/>
      <c r="G236" s="211" t="s">
        <v>276</v>
      </c>
      <c r="H236" s="130"/>
      <c r="I236" s="189"/>
      <c r="J236" s="131"/>
      <c r="K236" s="167"/>
      <c r="L236" s="132"/>
      <c r="M236" s="125"/>
      <c r="N236" s="133"/>
      <c r="O236" s="134"/>
      <c r="P236" s="135"/>
      <c r="Q236" s="135"/>
      <c r="R236" s="134"/>
      <c r="S236" s="134"/>
      <c r="T236" s="135"/>
      <c r="U236" s="135"/>
      <c r="V236" s="134"/>
    </row>
    <row r="237" spans="1:22" ht="15" hidden="1" customHeight="1" x14ac:dyDescent="0.25">
      <c r="A237" s="126" t="s">
        <v>755</v>
      </c>
      <c r="B237" s="127"/>
      <c r="C237" s="128"/>
      <c r="D237" s="129" t="s">
        <v>368</v>
      </c>
      <c r="E237" s="213" t="s">
        <v>756</v>
      </c>
      <c r="F237" s="125"/>
      <c r="G237" s="211" t="s">
        <v>276</v>
      </c>
      <c r="H237" s="130"/>
      <c r="I237" s="189"/>
      <c r="J237" s="131"/>
      <c r="K237" s="167"/>
      <c r="L237" s="132"/>
      <c r="M237" s="125"/>
      <c r="N237" s="133"/>
      <c r="O237" s="134"/>
      <c r="P237" s="135"/>
      <c r="Q237" s="135"/>
      <c r="R237" s="134"/>
      <c r="S237" s="134"/>
      <c r="T237" s="135"/>
      <c r="U237" s="135"/>
      <c r="V237" s="134"/>
    </row>
    <row r="238" spans="1:22" ht="15" hidden="1" customHeight="1" x14ac:dyDescent="0.25">
      <c r="A238" s="126" t="s">
        <v>757</v>
      </c>
      <c r="B238" s="127"/>
      <c r="C238" s="128"/>
      <c r="D238" s="129" t="s">
        <v>368</v>
      </c>
      <c r="E238" s="213" t="s">
        <v>758</v>
      </c>
      <c r="F238" s="125"/>
      <c r="G238" s="211" t="s">
        <v>276</v>
      </c>
      <c r="H238" s="130"/>
      <c r="I238" s="189"/>
      <c r="J238" s="131"/>
      <c r="K238" s="167"/>
      <c r="L238" s="132"/>
      <c r="M238" s="125"/>
      <c r="N238" s="133"/>
      <c r="O238" s="134"/>
      <c r="P238" s="135"/>
      <c r="Q238" s="135"/>
      <c r="R238" s="134"/>
      <c r="S238" s="134"/>
      <c r="T238" s="135"/>
      <c r="U238" s="135"/>
      <c r="V238" s="134"/>
    </row>
    <row r="239" spans="1:22" ht="15" hidden="1" customHeight="1" x14ac:dyDescent="0.25">
      <c r="A239" s="126" t="s">
        <v>759</v>
      </c>
      <c r="B239" s="127"/>
      <c r="C239" s="128"/>
      <c r="D239" s="129" t="s">
        <v>368</v>
      </c>
      <c r="E239" s="213" t="s">
        <v>760</v>
      </c>
      <c r="F239" s="125"/>
      <c r="G239" s="211" t="s">
        <v>276</v>
      </c>
      <c r="H239" s="130"/>
      <c r="I239" s="189"/>
      <c r="J239" s="131"/>
      <c r="K239" s="167"/>
      <c r="L239" s="132"/>
      <c r="M239" s="125"/>
      <c r="N239" s="133"/>
      <c r="O239" s="134"/>
      <c r="P239" s="135"/>
      <c r="Q239" s="135"/>
      <c r="R239" s="134"/>
      <c r="S239" s="134"/>
      <c r="T239" s="135"/>
      <c r="U239" s="135"/>
      <c r="V239" s="134"/>
    </row>
    <row r="240" spans="1:22" ht="15" hidden="1" customHeight="1" x14ac:dyDescent="0.25">
      <c r="A240" s="126" t="s">
        <v>761</v>
      </c>
      <c r="B240" s="127"/>
      <c r="C240" s="128"/>
      <c r="D240" s="129" t="s">
        <v>368</v>
      </c>
      <c r="E240" s="213" t="s">
        <v>762</v>
      </c>
      <c r="F240" s="125"/>
      <c r="G240" s="211" t="s">
        <v>276</v>
      </c>
      <c r="H240" s="130"/>
      <c r="I240" s="189"/>
      <c r="J240" s="131"/>
      <c r="K240" s="167"/>
      <c r="L240" s="132"/>
      <c r="M240" s="125"/>
      <c r="N240" s="133"/>
      <c r="O240" s="134"/>
      <c r="P240" s="135"/>
      <c r="Q240" s="135"/>
      <c r="R240" s="134"/>
      <c r="S240" s="134"/>
      <c r="T240" s="135"/>
      <c r="U240" s="135"/>
      <c r="V240" s="134"/>
    </row>
    <row r="241" spans="1:22" ht="15" hidden="1" customHeight="1" x14ac:dyDescent="0.25">
      <c r="A241" s="126" t="s">
        <v>763</v>
      </c>
      <c r="B241" s="127"/>
      <c r="C241" s="128"/>
      <c r="D241" s="129" t="s">
        <v>368</v>
      </c>
      <c r="E241" s="213" t="s">
        <v>764</v>
      </c>
      <c r="F241" s="125"/>
      <c r="G241" s="211" t="s">
        <v>276</v>
      </c>
      <c r="H241" s="130"/>
      <c r="I241" s="189"/>
      <c r="J241" s="131"/>
      <c r="K241" s="167"/>
      <c r="L241" s="132"/>
      <c r="M241" s="125"/>
      <c r="N241" s="133"/>
      <c r="O241" s="134"/>
      <c r="P241" s="135"/>
      <c r="Q241" s="135"/>
      <c r="R241" s="134"/>
      <c r="S241" s="134"/>
      <c r="T241" s="135"/>
      <c r="U241" s="135"/>
      <c r="V241" s="134"/>
    </row>
    <row r="242" spans="1:22" ht="15" hidden="1" customHeight="1" x14ac:dyDescent="0.25">
      <c r="A242" s="126" t="s">
        <v>765</v>
      </c>
      <c r="B242" s="127"/>
      <c r="C242" s="128"/>
      <c r="D242" s="129" t="s">
        <v>368</v>
      </c>
      <c r="E242" s="213" t="s">
        <v>766</v>
      </c>
      <c r="F242" s="125"/>
      <c r="G242" s="211" t="s">
        <v>276</v>
      </c>
      <c r="H242" s="130"/>
      <c r="I242" s="189"/>
      <c r="J242" s="131"/>
      <c r="K242" s="167"/>
      <c r="L242" s="132"/>
      <c r="M242" s="125"/>
      <c r="N242" s="133"/>
      <c r="O242" s="134"/>
      <c r="P242" s="135"/>
      <c r="Q242" s="135"/>
      <c r="R242" s="134"/>
      <c r="S242" s="134"/>
      <c r="T242" s="135"/>
      <c r="U242" s="135"/>
      <c r="V242" s="134"/>
    </row>
    <row r="243" spans="1:22" ht="15" hidden="1" customHeight="1" x14ac:dyDescent="0.25">
      <c r="A243" s="126" t="s">
        <v>767</v>
      </c>
      <c r="B243" s="127"/>
      <c r="C243" s="128"/>
      <c r="D243" s="129" t="s">
        <v>368</v>
      </c>
      <c r="E243" s="213" t="s">
        <v>768</v>
      </c>
      <c r="F243" s="125"/>
      <c r="G243" s="211" t="s">
        <v>276</v>
      </c>
      <c r="H243" s="130"/>
      <c r="I243" s="189"/>
      <c r="J243" s="131"/>
      <c r="K243" s="167"/>
      <c r="L243" s="132"/>
      <c r="M243" s="125"/>
      <c r="N243" s="133"/>
      <c r="O243" s="134"/>
      <c r="P243" s="135"/>
      <c r="Q243" s="135"/>
      <c r="R243" s="134"/>
      <c r="S243" s="134"/>
      <c r="T243" s="135"/>
      <c r="U243" s="135"/>
      <c r="V243" s="134"/>
    </row>
    <row r="244" spans="1:22" ht="15" hidden="1" customHeight="1" x14ac:dyDescent="0.25">
      <c r="A244" s="126" t="s">
        <v>769</v>
      </c>
      <c r="B244" s="127"/>
      <c r="C244" s="128"/>
      <c r="D244" s="129" t="s">
        <v>368</v>
      </c>
      <c r="E244" s="213" t="s">
        <v>770</v>
      </c>
      <c r="F244" s="125"/>
      <c r="G244" s="211" t="s">
        <v>276</v>
      </c>
      <c r="H244" s="130"/>
      <c r="I244" s="189"/>
      <c r="J244" s="131"/>
      <c r="K244" s="167"/>
      <c r="L244" s="132"/>
      <c r="M244" s="125"/>
      <c r="N244" s="133"/>
      <c r="O244" s="134"/>
      <c r="P244" s="135"/>
      <c r="Q244" s="135"/>
      <c r="R244" s="134"/>
      <c r="S244" s="134"/>
      <c r="T244" s="135"/>
      <c r="U244" s="135"/>
      <c r="V244" s="134"/>
    </row>
    <row r="245" spans="1:22" ht="15" hidden="1" customHeight="1" x14ac:dyDescent="0.25">
      <c r="A245" s="126" t="s">
        <v>771</v>
      </c>
      <c r="B245" s="127"/>
      <c r="C245" s="128"/>
      <c r="D245" s="129" t="s">
        <v>368</v>
      </c>
      <c r="E245" s="213" t="s">
        <v>772</v>
      </c>
      <c r="F245" s="125"/>
      <c r="G245" s="211" t="s">
        <v>276</v>
      </c>
      <c r="H245" s="130"/>
      <c r="I245" s="189"/>
      <c r="J245" s="131"/>
      <c r="K245" s="167"/>
      <c r="L245" s="132"/>
      <c r="M245" s="125"/>
      <c r="N245" s="133"/>
      <c r="O245" s="134"/>
      <c r="P245" s="135"/>
      <c r="Q245" s="135"/>
      <c r="R245" s="134"/>
      <c r="S245" s="134"/>
      <c r="T245" s="135"/>
      <c r="U245" s="135"/>
      <c r="V245" s="134"/>
    </row>
    <row r="246" spans="1:22" ht="15" hidden="1" customHeight="1" x14ac:dyDescent="0.25">
      <c r="A246" s="126" t="s">
        <v>773</v>
      </c>
      <c r="B246" s="127"/>
      <c r="C246" s="128"/>
      <c r="D246" s="129" t="s">
        <v>368</v>
      </c>
      <c r="E246" s="213" t="s">
        <v>774</v>
      </c>
      <c r="F246" s="125"/>
      <c r="G246" s="211" t="s">
        <v>276</v>
      </c>
      <c r="H246" s="130"/>
      <c r="I246" s="189"/>
      <c r="J246" s="131"/>
      <c r="K246" s="167"/>
      <c r="L246" s="132"/>
      <c r="M246" s="125"/>
      <c r="N246" s="133"/>
      <c r="O246" s="134"/>
      <c r="P246" s="135"/>
      <c r="Q246" s="135"/>
      <c r="R246" s="134"/>
      <c r="S246" s="134"/>
      <c r="T246" s="135"/>
      <c r="U246" s="135"/>
      <c r="V246" s="134"/>
    </row>
    <row r="247" spans="1:22" ht="15" hidden="1" customHeight="1" x14ac:dyDescent="0.25">
      <c r="A247" s="126" t="s">
        <v>775</v>
      </c>
      <c r="B247" s="127"/>
      <c r="C247" s="128"/>
      <c r="D247" s="129" t="s">
        <v>368</v>
      </c>
      <c r="E247" s="213" t="s">
        <v>776</v>
      </c>
      <c r="F247" s="125"/>
      <c r="G247" s="211" t="s">
        <v>276</v>
      </c>
      <c r="H247" s="130"/>
      <c r="I247" s="189"/>
      <c r="J247" s="131"/>
      <c r="K247" s="167"/>
      <c r="L247" s="132"/>
      <c r="M247" s="125"/>
      <c r="N247" s="133"/>
      <c r="O247" s="134"/>
      <c r="P247" s="135"/>
      <c r="Q247" s="135"/>
      <c r="R247" s="134"/>
      <c r="S247" s="134"/>
      <c r="T247" s="135"/>
      <c r="U247" s="135"/>
      <c r="V247" s="134"/>
    </row>
    <row r="248" spans="1:22" ht="15" hidden="1" customHeight="1" x14ac:dyDescent="0.25">
      <c r="A248" s="126" t="s">
        <v>777</v>
      </c>
      <c r="B248" s="127"/>
      <c r="C248" s="128"/>
      <c r="D248" s="129" t="s">
        <v>368</v>
      </c>
      <c r="E248" s="213" t="s">
        <v>778</v>
      </c>
      <c r="F248" s="125"/>
      <c r="G248" s="211" t="s">
        <v>276</v>
      </c>
      <c r="H248" s="130"/>
      <c r="I248" s="189"/>
      <c r="J248" s="131"/>
      <c r="K248" s="167"/>
      <c r="L248" s="132"/>
      <c r="M248" s="125"/>
      <c r="N248" s="133"/>
      <c r="O248" s="134"/>
      <c r="P248" s="135"/>
      <c r="Q248" s="135"/>
      <c r="R248" s="134"/>
      <c r="S248" s="134"/>
      <c r="T248" s="135"/>
      <c r="U248" s="135"/>
      <c r="V248" s="134"/>
    </row>
    <row r="249" spans="1:22" ht="15" hidden="1" customHeight="1" x14ac:dyDescent="0.25">
      <c r="A249" s="126" t="s">
        <v>779</v>
      </c>
      <c r="B249" s="127"/>
      <c r="C249" s="128"/>
      <c r="D249" s="129" t="s">
        <v>368</v>
      </c>
      <c r="E249" s="213" t="s">
        <v>780</v>
      </c>
      <c r="F249" s="125"/>
      <c r="G249" s="211" t="s">
        <v>276</v>
      </c>
      <c r="H249" s="130"/>
      <c r="I249" s="189"/>
      <c r="J249" s="131"/>
      <c r="K249" s="167"/>
      <c r="L249" s="132"/>
      <c r="M249" s="125"/>
      <c r="N249" s="133"/>
      <c r="O249" s="134"/>
      <c r="P249" s="135"/>
      <c r="Q249" s="135"/>
      <c r="R249" s="134"/>
      <c r="S249" s="134"/>
      <c r="T249" s="135"/>
      <c r="U249" s="135"/>
      <c r="V249" s="134"/>
    </row>
    <row r="250" spans="1:22" ht="15" hidden="1" customHeight="1" x14ac:dyDescent="0.25">
      <c r="A250" s="126" t="s">
        <v>781</v>
      </c>
      <c r="B250" s="127"/>
      <c r="C250" s="128"/>
      <c r="D250" s="129" t="s">
        <v>368</v>
      </c>
      <c r="E250" s="213" t="s">
        <v>782</v>
      </c>
      <c r="F250" s="125"/>
      <c r="G250" s="211" t="s">
        <v>276</v>
      </c>
      <c r="H250" s="130"/>
      <c r="I250" s="189"/>
      <c r="J250" s="131"/>
      <c r="K250" s="167"/>
      <c r="L250" s="132"/>
      <c r="M250" s="125"/>
      <c r="N250" s="133"/>
      <c r="O250" s="134"/>
      <c r="P250" s="135"/>
      <c r="Q250" s="135"/>
      <c r="R250" s="134"/>
      <c r="S250" s="134"/>
      <c r="T250" s="135"/>
      <c r="U250" s="135"/>
      <c r="V250" s="134"/>
    </row>
    <row r="251" spans="1:22" ht="15" hidden="1" customHeight="1" x14ac:dyDescent="0.25">
      <c r="A251" s="126" t="s">
        <v>783</v>
      </c>
      <c r="B251" s="127"/>
      <c r="C251" s="128"/>
      <c r="D251" s="129" t="s">
        <v>368</v>
      </c>
      <c r="E251" s="213" t="s">
        <v>784</v>
      </c>
      <c r="F251" s="125"/>
      <c r="G251" s="211" t="s">
        <v>276</v>
      </c>
      <c r="H251" s="130"/>
      <c r="I251" s="189"/>
      <c r="J251" s="131"/>
      <c r="K251" s="167"/>
      <c r="L251" s="132"/>
      <c r="M251" s="125"/>
      <c r="N251" s="133"/>
      <c r="O251" s="134"/>
      <c r="P251" s="135"/>
      <c r="Q251" s="135"/>
      <c r="R251" s="134"/>
      <c r="S251" s="134"/>
      <c r="T251" s="135"/>
      <c r="U251" s="135"/>
      <c r="V251" s="134"/>
    </row>
    <row r="252" spans="1:22" ht="15" hidden="1" customHeight="1" x14ac:dyDescent="0.25">
      <c r="A252" s="126" t="s">
        <v>785</v>
      </c>
      <c r="B252" s="127"/>
      <c r="C252" s="128"/>
      <c r="D252" s="129" t="s">
        <v>368</v>
      </c>
      <c r="E252" s="213" t="s">
        <v>786</v>
      </c>
      <c r="F252" s="125"/>
      <c r="G252" s="211" t="s">
        <v>276</v>
      </c>
      <c r="H252" s="130"/>
      <c r="I252" s="189"/>
      <c r="J252" s="131"/>
      <c r="K252" s="167"/>
      <c r="L252" s="132"/>
      <c r="M252" s="125"/>
      <c r="N252" s="133"/>
      <c r="O252" s="134"/>
      <c r="P252" s="135"/>
      <c r="Q252" s="135"/>
      <c r="R252" s="134"/>
      <c r="S252" s="134"/>
      <c r="T252" s="135"/>
      <c r="U252" s="135"/>
      <c r="V252" s="134"/>
    </row>
    <row r="253" spans="1:22" ht="15" hidden="1" customHeight="1" x14ac:dyDescent="0.25">
      <c r="A253" s="126" t="s">
        <v>787</v>
      </c>
      <c r="B253" s="127"/>
      <c r="C253" s="128"/>
      <c r="D253" s="129" t="s">
        <v>368</v>
      </c>
      <c r="E253" s="213" t="s">
        <v>788</v>
      </c>
      <c r="F253" s="125"/>
      <c r="G253" s="211" t="s">
        <v>276</v>
      </c>
      <c r="H253" s="130"/>
      <c r="I253" s="189"/>
      <c r="J253" s="131"/>
      <c r="K253" s="167"/>
      <c r="L253" s="132"/>
      <c r="M253" s="125"/>
      <c r="N253" s="133"/>
      <c r="O253" s="134"/>
      <c r="P253" s="135"/>
      <c r="Q253" s="135"/>
      <c r="R253" s="134"/>
      <c r="S253" s="134"/>
      <c r="T253" s="135"/>
      <c r="U253" s="135"/>
      <c r="V253" s="134"/>
    </row>
    <row r="254" spans="1:22" ht="15" hidden="1" customHeight="1" x14ac:dyDescent="0.25">
      <c r="A254" s="126" t="s">
        <v>789</v>
      </c>
      <c r="B254" s="127"/>
      <c r="C254" s="128"/>
      <c r="D254" s="129" t="s">
        <v>368</v>
      </c>
      <c r="E254" s="213" t="s">
        <v>790</v>
      </c>
      <c r="F254" s="125"/>
      <c r="G254" s="211" t="s">
        <v>276</v>
      </c>
      <c r="H254" s="130"/>
      <c r="I254" s="189"/>
      <c r="J254" s="131"/>
      <c r="K254" s="167"/>
      <c r="L254" s="132"/>
      <c r="M254" s="125"/>
      <c r="N254" s="133"/>
      <c r="O254" s="134"/>
      <c r="P254" s="135"/>
      <c r="Q254" s="135"/>
      <c r="R254" s="134"/>
      <c r="S254" s="134"/>
      <c r="T254" s="135"/>
      <c r="U254" s="135"/>
      <c r="V254" s="134"/>
    </row>
    <row r="255" spans="1:22" ht="15" hidden="1" customHeight="1" x14ac:dyDescent="0.25">
      <c r="A255" s="126" t="s">
        <v>791</v>
      </c>
      <c r="B255" s="127"/>
      <c r="C255" s="128"/>
      <c r="D255" s="129" t="s">
        <v>368</v>
      </c>
      <c r="E255" s="213" t="s">
        <v>792</v>
      </c>
      <c r="F255" s="125"/>
      <c r="G255" s="211" t="s">
        <v>276</v>
      </c>
      <c r="H255" s="130"/>
      <c r="I255" s="189"/>
      <c r="J255" s="131"/>
      <c r="K255" s="167"/>
      <c r="L255" s="132"/>
      <c r="M255" s="125"/>
      <c r="N255" s="133"/>
      <c r="O255" s="134"/>
      <c r="P255" s="135"/>
      <c r="Q255" s="135"/>
      <c r="R255" s="134"/>
      <c r="S255" s="134"/>
      <c r="T255" s="135"/>
      <c r="U255" s="135"/>
      <c r="V255" s="134"/>
    </row>
    <row r="256" spans="1:22" ht="15" hidden="1" customHeight="1" x14ac:dyDescent="0.25">
      <c r="A256" s="126" t="s">
        <v>793</v>
      </c>
      <c r="B256" s="127"/>
      <c r="C256" s="128"/>
      <c r="D256" s="129" t="s">
        <v>368</v>
      </c>
      <c r="E256" s="213" t="s">
        <v>794</v>
      </c>
      <c r="F256" s="125"/>
      <c r="G256" s="211" t="s">
        <v>276</v>
      </c>
      <c r="H256" s="130"/>
      <c r="I256" s="189"/>
      <c r="J256" s="131"/>
      <c r="K256" s="167"/>
      <c r="L256" s="132"/>
      <c r="M256" s="125"/>
      <c r="N256" s="133"/>
      <c r="O256" s="134"/>
      <c r="P256" s="135"/>
      <c r="Q256" s="135"/>
      <c r="R256" s="134"/>
      <c r="S256" s="134"/>
      <c r="T256" s="135"/>
      <c r="U256" s="135"/>
      <c r="V256" s="134"/>
    </row>
    <row r="257" spans="1:22" ht="15" hidden="1" customHeight="1" x14ac:dyDescent="0.25">
      <c r="A257" s="126" t="s">
        <v>795</v>
      </c>
      <c r="B257" s="127"/>
      <c r="C257" s="128"/>
      <c r="D257" s="129" t="s">
        <v>368</v>
      </c>
      <c r="E257" s="213" t="s">
        <v>796</v>
      </c>
      <c r="F257" s="125"/>
      <c r="G257" s="211" t="s">
        <v>276</v>
      </c>
      <c r="H257" s="130"/>
      <c r="I257" s="189"/>
      <c r="J257" s="131"/>
      <c r="K257" s="167"/>
      <c r="L257" s="132"/>
      <c r="M257" s="125"/>
      <c r="N257" s="133"/>
      <c r="O257" s="134"/>
      <c r="P257" s="135"/>
      <c r="Q257" s="135"/>
      <c r="R257" s="134"/>
      <c r="S257" s="134"/>
      <c r="T257" s="135"/>
      <c r="U257" s="135"/>
      <c r="V257" s="134"/>
    </row>
    <row r="258" spans="1:22" ht="15" hidden="1" customHeight="1" x14ac:dyDescent="0.25">
      <c r="A258" s="126" t="s">
        <v>797</v>
      </c>
      <c r="B258" s="127"/>
      <c r="C258" s="128"/>
      <c r="D258" s="129" t="s">
        <v>368</v>
      </c>
      <c r="E258" s="213" t="s">
        <v>798</v>
      </c>
      <c r="F258" s="125"/>
      <c r="G258" s="211" t="s">
        <v>276</v>
      </c>
      <c r="H258" s="130"/>
      <c r="I258" s="189"/>
      <c r="J258" s="131"/>
      <c r="K258" s="167"/>
      <c r="L258" s="132"/>
      <c r="M258" s="125"/>
      <c r="N258" s="133"/>
      <c r="O258" s="134"/>
      <c r="P258" s="135"/>
      <c r="Q258" s="135"/>
      <c r="R258" s="134"/>
      <c r="S258" s="134"/>
      <c r="T258" s="135"/>
      <c r="U258" s="135"/>
      <c r="V258" s="134"/>
    </row>
    <row r="259" spans="1:22" ht="15" hidden="1" customHeight="1" x14ac:dyDescent="0.25">
      <c r="A259" s="126" t="s">
        <v>799</v>
      </c>
      <c r="B259" s="127"/>
      <c r="C259" s="128"/>
      <c r="D259" s="129" t="s">
        <v>368</v>
      </c>
      <c r="E259" s="213" t="s">
        <v>800</v>
      </c>
      <c r="F259" s="125"/>
      <c r="G259" s="211" t="s">
        <v>276</v>
      </c>
      <c r="H259" s="130"/>
      <c r="I259" s="189"/>
      <c r="J259" s="131"/>
      <c r="K259" s="167"/>
      <c r="L259" s="132"/>
      <c r="M259" s="125"/>
      <c r="N259" s="133"/>
      <c r="O259" s="134"/>
      <c r="P259" s="135"/>
      <c r="Q259" s="135"/>
      <c r="R259" s="134"/>
      <c r="S259" s="134"/>
      <c r="T259" s="135"/>
      <c r="U259" s="135"/>
      <c r="V259" s="134"/>
    </row>
    <row r="260" spans="1:22" ht="15" hidden="1" customHeight="1" x14ac:dyDescent="0.25">
      <c r="A260" s="126" t="s">
        <v>801</v>
      </c>
      <c r="B260" s="127"/>
      <c r="C260" s="128"/>
      <c r="D260" s="129" t="s">
        <v>368</v>
      </c>
      <c r="E260" s="213" t="s">
        <v>802</v>
      </c>
      <c r="F260" s="125"/>
      <c r="G260" s="211" t="s">
        <v>276</v>
      </c>
      <c r="H260" s="130"/>
      <c r="I260" s="189"/>
      <c r="J260" s="131"/>
      <c r="K260" s="167"/>
      <c r="L260" s="132"/>
      <c r="M260" s="125"/>
      <c r="N260" s="133"/>
      <c r="O260" s="134"/>
      <c r="P260" s="135"/>
      <c r="Q260" s="135"/>
      <c r="R260" s="134"/>
      <c r="S260" s="134"/>
      <c r="T260" s="135"/>
      <c r="U260" s="135"/>
      <c r="V260" s="134"/>
    </row>
    <row r="261" spans="1:22" ht="15" hidden="1" customHeight="1" x14ac:dyDescent="0.25">
      <c r="A261" s="126" t="s">
        <v>803</v>
      </c>
      <c r="B261" s="127"/>
      <c r="C261" s="128"/>
      <c r="D261" s="129" t="s">
        <v>368</v>
      </c>
      <c r="E261" s="213" t="s">
        <v>804</v>
      </c>
      <c r="F261" s="125"/>
      <c r="G261" s="211" t="s">
        <v>276</v>
      </c>
      <c r="H261" s="130"/>
      <c r="I261" s="189"/>
      <c r="J261" s="131"/>
      <c r="K261" s="167"/>
      <c r="L261" s="132"/>
      <c r="M261" s="125"/>
      <c r="N261" s="133"/>
      <c r="O261" s="134"/>
      <c r="P261" s="135"/>
      <c r="Q261" s="135"/>
      <c r="R261" s="134"/>
      <c r="S261" s="134"/>
      <c r="T261" s="135"/>
      <c r="U261" s="135"/>
      <c r="V261" s="134"/>
    </row>
    <row r="262" spans="1:22" ht="15" hidden="1" customHeight="1" x14ac:dyDescent="0.25">
      <c r="A262" s="126" t="s">
        <v>805</v>
      </c>
      <c r="B262" s="127"/>
      <c r="C262" s="128"/>
      <c r="D262" s="129" t="s">
        <v>368</v>
      </c>
      <c r="E262" s="213" t="s">
        <v>806</v>
      </c>
      <c r="F262" s="125"/>
      <c r="G262" s="211" t="s">
        <v>276</v>
      </c>
      <c r="H262" s="130"/>
      <c r="I262" s="189"/>
      <c r="J262" s="131"/>
      <c r="K262" s="167"/>
      <c r="L262" s="132"/>
      <c r="M262" s="125"/>
      <c r="N262" s="133"/>
      <c r="O262" s="134"/>
      <c r="P262" s="135"/>
      <c r="Q262" s="135"/>
      <c r="R262" s="134"/>
      <c r="S262" s="134"/>
      <c r="T262" s="135"/>
      <c r="U262" s="135"/>
      <c r="V262" s="134"/>
    </row>
    <row r="263" spans="1:22" ht="15" hidden="1" customHeight="1" x14ac:dyDescent="0.25">
      <c r="A263" s="126" t="s">
        <v>807</v>
      </c>
      <c r="B263" s="127"/>
      <c r="C263" s="128"/>
      <c r="D263" s="129" t="s">
        <v>368</v>
      </c>
      <c r="E263" s="213" t="s">
        <v>808</v>
      </c>
      <c r="F263" s="125"/>
      <c r="G263" s="211" t="s">
        <v>276</v>
      </c>
      <c r="H263" s="130"/>
      <c r="I263" s="189"/>
      <c r="J263" s="131"/>
      <c r="K263" s="167"/>
      <c r="L263" s="132"/>
      <c r="M263" s="125"/>
      <c r="N263" s="133"/>
      <c r="O263" s="134"/>
      <c r="P263" s="135"/>
      <c r="Q263" s="135"/>
      <c r="R263" s="134"/>
      <c r="S263" s="134"/>
      <c r="T263" s="135"/>
      <c r="U263" s="135"/>
      <c r="V263" s="134"/>
    </row>
    <row r="264" spans="1:22" ht="15" hidden="1" customHeight="1" x14ac:dyDescent="0.25">
      <c r="A264" s="126" t="s">
        <v>809</v>
      </c>
      <c r="B264" s="127"/>
      <c r="C264" s="128"/>
      <c r="D264" s="129" t="s">
        <v>368</v>
      </c>
      <c r="E264" s="213" t="s">
        <v>810</v>
      </c>
      <c r="F264" s="125"/>
      <c r="G264" s="211" t="s">
        <v>276</v>
      </c>
      <c r="H264" s="130"/>
      <c r="I264" s="189"/>
      <c r="J264" s="131"/>
      <c r="K264" s="167"/>
      <c r="L264" s="132"/>
      <c r="M264" s="125"/>
      <c r="N264" s="133"/>
      <c r="O264" s="134"/>
      <c r="P264" s="135"/>
      <c r="Q264" s="135"/>
      <c r="R264" s="134"/>
      <c r="S264" s="134"/>
      <c r="T264" s="135"/>
      <c r="U264" s="135"/>
      <c r="V264" s="134"/>
    </row>
    <row r="265" spans="1:22" ht="15" hidden="1" customHeight="1" x14ac:dyDescent="0.25">
      <c r="A265" s="126" t="s">
        <v>811</v>
      </c>
      <c r="B265" s="127"/>
      <c r="C265" s="128"/>
      <c r="D265" s="129" t="s">
        <v>368</v>
      </c>
      <c r="E265" s="213" t="s">
        <v>812</v>
      </c>
      <c r="F265" s="125"/>
      <c r="G265" s="211" t="s">
        <v>276</v>
      </c>
      <c r="H265" s="130"/>
      <c r="I265" s="189"/>
      <c r="J265" s="131"/>
      <c r="K265" s="167"/>
      <c r="L265" s="132"/>
      <c r="M265" s="125"/>
      <c r="N265" s="133"/>
      <c r="O265" s="134"/>
      <c r="P265" s="135"/>
      <c r="Q265" s="135"/>
      <c r="R265" s="134"/>
      <c r="S265" s="134"/>
      <c r="T265" s="135"/>
      <c r="U265" s="135"/>
      <c r="V265" s="134"/>
    </row>
    <row r="266" spans="1:22" ht="15" hidden="1" customHeight="1" x14ac:dyDescent="0.25">
      <c r="A266" s="126" t="s">
        <v>813</v>
      </c>
      <c r="B266" s="127"/>
      <c r="C266" s="128"/>
      <c r="D266" s="129" t="s">
        <v>368</v>
      </c>
      <c r="E266" s="213" t="s">
        <v>814</v>
      </c>
      <c r="F266" s="125"/>
      <c r="G266" s="211" t="s">
        <v>276</v>
      </c>
      <c r="H266" s="130"/>
      <c r="I266" s="189"/>
      <c r="J266" s="131"/>
      <c r="K266" s="167"/>
      <c r="L266" s="132"/>
      <c r="M266" s="125"/>
      <c r="N266" s="133"/>
      <c r="O266" s="134"/>
      <c r="P266" s="135"/>
      <c r="Q266" s="135"/>
      <c r="R266" s="134"/>
      <c r="S266" s="134"/>
      <c r="T266" s="135"/>
      <c r="U266" s="135"/>
      <c r="V266" s="134"/>
    </row>
    <row r="267" spans="1:22" ht="15" hidden="1" customHeight="1" x14ac:dyDescent="0.25">
      <c r="A267" s="126" t="s">
        <v>815</v>
      </c>
      <c r="B267" s="127"/>
      <c r="C267" s="128"/>
      <c r="D267" s="129" t="s">
        <v>368</v>
      </c>
      <c r="E267" s="213" t="s">
        <v>816</v>
      </c>
      <c r="F267" s="125"/>
      <c r="G267" s="211" t="s">
        <v>276</v>
      </c>
      <c r="H267" s="130"/>
      <c r="I267" s="189"/>
      <c r="J267" s="131"/>
      <c r="K267" s="167"/>
      <c r="L267" s="132"/>
      <c r="M267" s="125"/>
      <c r="N267" s="133"/>
      <c r="O267" s="134"/>
      <c r="P267" s="135"/>
      <c r="Q267" s="135"/>
      <c r="R267" s="134"/>
      <c r="S267" s="134"/>
      <c r="T267" s="135"/>
      <c r="U267" s="135"/>
      <c r="V267" s="134"/>
    </row>
    <row r="268" spans="1:22" ht="15" hidden="1" customHeight="1" x14ac:dyDescent="0.25">
      <c r="A268" s="126" t="s">
        <v>817</v>
      </c>
      <c r="B268" s="127"/>
      <c r="C268" s="128"/>
      <c r="D268" s="129" t="s">
        <v>368</v>
      </c>
      <c r="E268" s="213" t="s">
        <v>818</v>
      </c>
      <c r="F268" s="125"/>
      <c r="G268" s="211" t="s">
        <v>276</v>
      </c>
      <c r="H268" s="130"/>
      <c r="I268" s="189"/>
      <c r="J268" s="131"/>
      <c r="K268" s="167"/>
      <c r="L268" s="132"/>
      <c r="M268" s="125"/>
      <c r="N268" s="133"/>
      <c r="O268" s="134"/>
      <c r="P268" s="135"/>
      <c r="Q268" s="135"/>
      <c r="R268" s="134"/>
      <c r="S268" s="134"/>
      <c r="T268" s="135"/>
      <c r="U268" s="135"/>
      <c r="V268" s="134"/>
    </row>
    <row r="269" spans="1:22" ht="15" hidden="1" customHeight="1" x14ac:dyDescent="0.25">
      <c r="A269" s="126" t="s">
        <v>819</v>
      </c>
      <c r="B269" s="127"/>
      <c r="C269" s="128"/>
      <c r="D269" s="129" t="s">
        <v>368</v>
      </c>
      <c r="E269" s="213" t="s">
        <v>820</v>
      </c>
      <c r="F269" s="125"/>
      <c r="G269" s="211" t="s">
        <v>276</v>
      </c>
      <c r="H269" s="130"/>
      <c r="I269" s="189"/>
      <c r="J269" s="131"/>
      <c r="K269" s="167"/>
      <c r="L269" s="132"/>
      <c r="M269" s="125"/>
      <c r="N269" s="133"/>
      <c r="O269" s="134"/>
      <c r="P269" s="135"/>
      <c r="Q269" s="135"/>
      <c r="R269" s="134"/>
      <c r="S269" s="134"/>
      <c r="T269" s="135"/>
      <c r="U269" s="135"/>
      <c r="V269" s="134"/>
    </row>
    <row r="270" spans="1:22" ht="15" hidden="1" customHeight="1" x14ac:dyDescent="0.25">
      <c r="A270" s="126" t="s">
        <v>821</v>
      </c>
      <c r="B270" s="127"/>
      <c r="C270" s="128"/>
      <c r="D270" s="129" t="s">
        <v>368</v>
      </c>
      <c r="E270" s="213" t="s">
        <v>822</v>
      </c>
      <c r="F270" s="125"/>
      <c r="G270" s="211" t="s">
        <v>276</v>
      </c>
      <c r="H270" s="130"/>
      <c r="I270" s="189"/>
      <c r="J270" s="131"/>
      <c r="K270" s="167"/>
      <c r="L270" s="132"/>
      <c r="M270" s="125"/>
      <c r="N270" s="133"/>
      <c r="O270" s="134"/>
      <c r="P270" s="135"/>
      <c r="Q270" s="135"/>
      <c r="R270" s="134"/>
      <c r="S270" s="134"/>
      <c r="T270" s="135"/>
      <c r="U270" s="135"/>
      <c r="V270" s="134"/>
    </row>
    <row r="271" spans="1:22" ht="15" hidden="1" customHeight="1" x14ac:dyDescent="0.25">
      <c r="A271" s="126" t="s">
        <v>823</v>
      </c>
      <c r="B271" s="127"/>
      <c r="C271" s="128"/>
      <c r="D271" s="129" t="s">
        <v>368</v>
      </c>
      <c r="E271" s="213" t="s">
        <v>824</v>
      </c>
      <c r="F271" s="125"/>
      <c r="G271" s="211" t="s">
        <v>276</v>
      </c>
      <c r="H271" s="130"/>
      <c r="I271" s="189"/>
      <c r="J271" s="131"/>
      <c r="K271" s="167"/>
      <c r="L271" s="132"/>
      <c r="M271" s="125"/>
      <c r="N271" s="133"/>
      <c r="O271" s="134"/>
      <c r="P271" s="135"/>
      <c r="Q271" s="135"/>
      <c r="R271" s="134"/>
      <c r="S271" s="134"/>
      <c r="T271" s="135"/>
      <c r="U271" s="135"/>
      <c r="V271" s="134"/>
    </row>
    <row r="272" spans="1:22" ht="15" hidden="1" customHeight="1" x14ac:dyDescent="0.25">
      <c r="A272" s="126" t="s">
        <v>825</v>
      </c>
      <c r="B272" s="127"/>
      <c r="C272" s="128"/>
      <c r="D272" s="129" t="s">
        <v>368</v>
      </c>
      <c r="E272" s="213" t="s">
        <v>826</v>
      </c>
      <c r="F272" s="125"/>
      <c r="G272" s="211" t="s">
        <v>276</v>
      </c>
      <c r="H272" s="130"/>
      <c r="I272" s="189"/>
      <c r="J272" s="131"/>
      <c r="K272" s="167"/>
      <c r="L272" s="132"/>
      <c r="M272" s="125"/>
      <c r="N272" s="133"/>
      <c r="O272" s="134"/>
      <c r="P272" s="135"/>
      <c r="Q272" s="135"/>
      <c r="R272" s="134"/>
      <c r="S272" s="134"/>
      <c r="T272" s="135"/>
      <c r="U272" s="135"/>
      <c r="V272" s="134"/>
    </row>
    <row r="273" spans="1:22" ht="15" hidden="1" customHeight="1" x14ac:dyDescent="0.25">
      <c r="A273" s="126" t="s">
        <v>827</v>
      </c>
      <c r="B273" s="127"/>
      <c r="C273" s="128"/>
      <c r="D273" s="129" t="s">
        <v>368</v>
      </c>
      <c r="E273" s="213" t="s">
        <v>828</v>
      </c>
      <c r="F273" s="125"/>
      <c r="G273" s="211" t="s">
        <v>276</v>
      </c>
      <c r="H273" s="130"/>
      <c r="I273" s="189"/>
      <c r="J273" s="131"/>
      <c r="K273" s="167"/>
      <c r="L273" s="132"/>
      <c r="M273" s="125"/>
      <c r="N273" s="133"/>
      <c r="O273" s="134"/>
      <c r="P273" s="135"/>
      <c r="Q273" s="135"/>
      <c r="R273" s="134"/>
      <c r="S273" s="134"/>
      <c r="T273" s="135"/>
      <c r="U273" s="135"/>
      <c r="V273" s="134"/>
    </row>
    <row r="274" spans="1:22" ht="15" hidden="1" customHeight="1" x14ac:dyDescent="0.25">
      <c r="A274" s="126" t="s">
        <v>829</v>
      </c>
      <c r="B274" s="127"/>
      <c r="C274" s="128"/>
      <c r="D274" s="129" t="s">
        <v>368</v>
      </c>
      <c r="E274" s="213" t="s">
        <v>830</v>
      </c>
      <c r="F274" s="125"/>
      <c r="G274" s="211" t="s">
        <v>276</v>
      </c>
      <c r="H274" s="130"/>
      <c r="I274" s="189"/>
      <c r="J274" s="131"/>
      <c r="K274" s="167"/>
      <c r="L274" s="132"/>
      <c r="M274" s="125"/>
      <c r="N274" s="133"/>
      <c r="O274" s="134"/>
      <c r="P274" s="135"/>
      <c r="Q274" s="135"/>
      <c r="R274" s="134"/>
      <c r="S274" s="134"/>
      <c r="T274" s="135"/>
      <c r="U274" s="135"/>
      <c r="V274" s="134"/>
    </row>
    <row r="275" spans="1:22" ht="15" hidden="1" customHeight="1" x14ac:dyDescent="0.25">
      <c r="A275" s="126" t="s">
        <v>831</v>
      </c>
      <c r="B275" s="127"/>
      <c r="C275" s="128"/>
      <c r="D275" s="129" t="s">
        <v>368</v>
      </c>
      <c r="E275" s="213" t="s">
        <v>832</v>
      </c>
      <c r="F275" s="125"/>
      <c r="G275" s="211" t="s">
        <v>276</v>
      </c>
      <c r="H275" s="130"/>
      <c r="I275" s="189"/>
      <c r="J275" s="131"/>
      <c r="K275" s="167"/>
      <c r="L275" s="132"/>
      <c r="M275" s="125"/>
      <c r="N275" s="133"/>
      <c r="O275" s="134"/>
      <c r="P275" s="135"/>
      <c r="Q275" s="135"/>
      <c r="R275" s="134"/>
      <c r="S275" s="134"/>
      <c r="T275" s="135"/>
      <c r="U275" s="135"/>
      <c r="V275" s="134"/>
    </row>
    <row r="276" spans="1:22" ht="15" hidden="1" customHeight="1" x14ac:dyDescent="0.25">
      <c r="A276" s="126" t="s">
        <v>833</v>
      </c>
      <c r="B276" s="127"/>
      <c r="C276" s="128"/>
      <c r="D276" s="129" t="s">
        <v>368</v>
      </c>
      <c r="E276" s="213" t="s">
        <v>834</v>
      </c>
      <c r="F276" s="125"/>
      <c r="G276" s="211" t="s">
        <v>276</v>
      </c>
      <c r="H276" s="130"/>
      <c r="I276" s="189"/>
      <c r="J276" s="131"/>
      <c r="K276" s="167"/>
      <c r="L276" s="132"/>
      <c r="M276" s="125"/>
      <c r="N276" s="133"/>
      <c r="O276" s="134"/>
      <c r="P276" s="135"/>
      <c r="Q276" s="135"/>
      <c r="R276" s="134"/>
      <c r="S276" s="134"/>
      <c r="T276" s="135"/>
      <c r="U276" s="135"/>
      <c r="V276" s="134"/>
    </row>
    <row r="277" spans="1:22" ht="15" hidden="1" customHeight="1" x14ac:dyDescent="0.25">
      <c r="A277" s="126" t="s">
        <v>835</v>
      </c>
      <c r="B277" s="127"/>
      <c r="C277" s="128"/>
      <c r="D277" s="129" t="s">
        <v>362</v>
      </c>
      <c r="E277" s="213" t="s">
        <v>836</v>
      </c>
      <c r="F277" s="125"/>
      <c r="G277" s="211" t="s">
        <v>276</v>
      </c>
      <c r="H277" s="130"/>
      <c r="I277" s="189"/>
      <c r="J277" s="131"/>
      <c r="K277" s="167"/>
      <c r="L277" s="132"/>
      <c r="M277" s="125"/>
      <c r="N277" s="133"/>
      <c r="O277" s="134"/>
      <c r="P277" s="135"/>
      <c r="Q277" s="135"/>
      <c r="R277" s="134"/>
      <c r="S277" s="134"/>
      <c r="T277" s="135"/>
      <c r="U277" s="135"/>
      <c r="V277" s="134"/>
    </row>
    <row r="278" spans="1:22" ht="15" hidden="1" customHeight="1" x14ac:dyDescent="0.25">
      <c r="A278" s="126" t="s">
        <v>837</v>
      </c>
      <c r="B278" s="127"/>
      <c r="C278" s="128"/>
      <c r="D278" s="129" t="s">
        <v>362</v>
      </c>
      <c r="E278" s="213" t="s">
        <v>838</v>
      </c>
      <c r="F278" s="125"/>
      <c r="G278" s="211" t="s">
        <v>276</v>
      </c>
      <c r="H278" s="130"/>
      <c r="I278" s="189"/>
      <c r="J278" s="131"/>
      <c r="K278" s="167"/>
      <c r="L278" s="132"/>
      <c r="M278" s="125"/>
      <c r="N278" s="133"/>
      <c r="O278" s="134"/>
      <c r="P278" s="135"/>
      <c r="Q278" s="135"/>
      <c r="R278" s="134"/>
      <c r="S278" s="134"/>
      <c r="T278" s="135"/>
      <c r="U278" s="135"/>
      <c r="V278" s="134"/>
    </row>
    <row r="279" spans="1:22" ht="15" hidden="1" customHeight="1" x14ac:dyDescent="0.25">
      <c r="A279" s="126" t="s">
        <v>839</v>
      </c>
      <c r="B279" s="127"/>
      <c r="C279" s="128"/>
      <c r="D279" s="129" t="s">
        <v>377</v>
      </c>
      <c r="E279" s="213" t="s">
        <v>840</v>
      </c>
      <c r="F279" s="125"/>
      <c r="G279" s="211" t="s">
        <v>276</v>
      </c>
      <c r="H279" s="130"/>
      <c r="I279" s="189"/>
      <c r="J279" s="131"/>
      <c r="K279" s="167"/>
      <c r="L279" s="132"/>
      <c r="M279" s="125"/>
      <c r="N279" s="133"/>
      <c r="O279" s="134"/>
      <c r="P279" s="135"/>
      <c r="Q279" s="135"/>
      <c r="R279" s="134"/>
      <c r="S279" s="134"/>
      <c r="T279" s="135"/>
      <c r="U279" s="135"/>
      <c r="V279" s="134"/>
    </row>
    <row r="280" spans="1:22" ht="15" hidden="1" customHeight="1" x14ac:dyDescent="0.25">
      <c r="A280" s="126" t="s">
        <v>841</v>
      </c>
      <c r="B280" s="127"/>
      <c r="C280" s="128"/>
      <c r="D280" s="129" t="s">
        <v>398</v>
      </c>
      <c r="E280" s="213" t="s">
        <v>842</v>
      </c>
      <c r="F280" s="125"/>
      <c r="G280" s="211" t="s">
        <v>276</v>
      </c>
      <c r="H280" s="130"/>
      <c r="I280" s="189"/>
      <c r="J280" s="131"/>
      <c r="K280" s="167"/>
      <c r="L280" s="132"/>
      <c r="M280" s="125"/>
      <c r="N280" s="133"/>
      <c r="O280" s="134"/>
      <c r="P280" s="135"/>
      <c r="Q280" s="135"/>
      <c r="R280" s="134"/>
      <c r="S280" s="134"/>
      <c r="T280" s="135"/>
      <c r="U280" s="135"/>
      <c r="V280" s="134"/>
    </row>
    <row r="281" spans="1:22" ht="15" hidden="1" customHeight="1" x14ac:dyDescent="0.25">
      <c r="A281" s="126" t="s">
        <v>843</v>
      </c>
      <c r="B281" s="127"/>
      <c r="C281" s="128"/>
      <c r="D281" s="129" t="s">
        <v>365</v>
      </c>
      <c r="E281" s="213" t="s">
        <v>844</v>
      </c>
      <c r="F281" s="125"/>
      <c r="G281" s="211" t="s">
        <v>276</v>
      </c>
      <c r="H281" s="130"/>
      <c r="I281" s="189"/>
      <c r="J281" s="131"/>
      <c r="K281" s="167"/>
      <c r="L281" s="132"/>
      <c r="M281" s="125"/>
      <c r="N281" s="133"/>
      <c r="O281" s="134"/>
      <c r="P281" s="135"/>
      <c r="Q281" s="135"/>
      <c r="R281" s="134"/>
      <c r="S281" s="134"/>
      <c r="T281" s="135"/>
      <c r="U281" s="135"/>
      <c r="V281" s="134"/>
    </row>
    <row r="282" spans="1:22" ht="15" hidden="1" customHeight="1" x14ac:dyDescent="0.25">
      <c r="A282" s="126" t="s">
        <v>845</v>
      </c>
      <c r="B282" s="127"/>
      <c r="C282" s="128"/>
      <c r="D282" s="129" t="s">
        <v>416</v>
      </c>
      <c r="E282" s="213" t="s">
        <v>846</v>
      </c>
      <c r="F282" s="125"/>
      <c r="G282" s="211" t="s">
        <v>276</v>
      </c>
      <c r="H282" s="130"/>
      <c r="I282" s="189"/>
      <c r="J282" s="131"/>
      <c r="K282" s="167"/>
      <c r="L282" s="132"/>
      <c r="M282" s="125"/>
      <c r="N282" s="133"/>
      <c r="O282" s="134"/>
      <c r="P282" s="135"/>
      <c r="Q282" s="135"/>
      <c r="R282" s="134"/>
      <c r="S282" s="134"/>
      <c r="T282" s="135"/>
      <c r="U282" s="135"/>
      <c r="V282" s="134"/>
    </row>
    <row r="283" spans="1:22" ht="15" hidden="1" customHeight="1" x14ac:dyDescent="0.25">
      <c r="A283" s="126" t="s">
        <v>847</v>
      </c>
      <c r="B283" s="127"/>
      <c r="C283" s="128"/>
      <c r="D283" s="129" t="s">
        <v>362</v>
      </c>
      <c r="E283" s="213" t="s">
        <v>848</v>
      </c>
      <c r="F283" s="125"/>
      <c r="G283" s="211" t="s">
        <v>276</v>
      </c>
      <c r="H283" s="130"/>
      <c r="I283" s="189"/>
      <c r="J283" s="131"/>
      <c r="K283" s="167"/>
      <c r="L283" s="132"/>
      <c r="M283" s="125"/>
      <c r="N283" s="133"/>
      <c r="O283" s="134"/>
      <c r="P283" s="135"/>
      <c r="Q283" s="135"/>
      <c r="R283" s="134"/>
      <c r="S283" s="134"/>
      <c r="T283" s="135"/>
      <c r="U283" s="135"/>
      <c r="V283" s="134"/>
    </row>
    <row r="284" spans="1:22" ht="15" hidden="1" customHeight="1" x14ac:dyDescent="0.25">
      <c r="A284" s="126" t="s">
        <v>849</v>
      </c>
      <c r="B284" s="127"/>
      <c r="C284" s="128"/>
      <c r="D284" s="129" t="s">
        <v>435</v>
      </c>
      <c r="E284" s="213" t="s">
        <v>850</v>
      </c>
      <c r="F284" s="125"/>
      <c r="G284" s="211" t="s">
        <v>276</v>
      </c>
      <c r="H284" s="130"/>
      <c r="I284" s="189"/>
      <c r="J284" s="131"/>
      <c r="K284" s="167"/>
      <c r="L284" s="132"/>
      <c r="M284" s="125"/>
      <c r="N284" s="133"/>
      <c r="O284" s="134"/>
      <c r="P284" s="135"/>
      <c r="Q284" s="135"/>
      <c r="R284" s="134"/>
      <c r="S284" s="134"/>
      <c r="T284" s="135"/>
      <c r="U284" s="135"/>
      <c r="V284" s="134"/>
    </row>
    <row r="285" spans="1:22" ht="15" hidden="1" customHeight="1" x14ac:dyDescent="0.25">
      <c r="A285" s="126" t="s">
        <v>851</v>
      </c>
      <c r="B285" s="127"/>
      <c r="C285" s="128"/>
      <c r="D285" s="129" t="s">
        <v>368</v>
      </c>
      <c r="E285" s="213" t="s">
        <v>852</v>
      </c>
      <c r="F285" s="125"/>
      <c r="G285" s="211" t="s">
        <v>276</v>
      </c>
      <c r="H285" s="130"/>
      <c r="I285" s="189"/>
      <c r="J285" s="131"/>
      <c r="K285" s="167"/>
      <c r="L285" s="132"/>
      <c r="M285" s="125"/>
      <c r="N285" s="133"/>
      <c r="O285" s="134"/>
      <c r="P285" s="135"/>
      <c r="Q285" s="135"/>
      <c r="R285" s="134"/>
      <c r="S285" s="134"/>
      <c r="T285" s="135"/>
      <c r="U285" s="135"/>
      <c r="V285" s="134"/>
    </row>
    <row r="286" spans="1:22" ht="15" hidden="1" customHeight="1" x14ac:dyDescent="0.25">
      <c r="A286" s="126" t="s">
        <v>853</v>
      </c>
      <c r="B286" s="127"/>
      <c r="C286" s="128"/>
      <c r="D286" s="129" t="s">
        <v>368</v>
      </c>
      <c r="E286" s="213" t="s">
        <v>854</v>
      </c>
      <c r="F286" s="125"/>
      <c r="G286" s="211" t="s">
        <v>276</v>
      </c>
      <c r="H286" s="130"/>
      <c r="I286" s="189"/>
      <c r="J286" s="131"/>
      <c r="K286" s="167"/>
      <c r="L286" s="132"/>
      <c r="M286" s="125"/>
      <c r="N286" s="133"/>
      <c r="O286" s="134"/>
      <c r="P286" s="135"/>
      <c r="Q286" s="135"/>
      <c r="R286" s="134"/>
      <c r="S286" s="134"/>
      <c r="T286" s="135"/>
      <c r="U286" s="135"/>
      <c r="V286" s="134"/>
    </row>
    <row r="287" spans="1:22" ht="15" hidden="1" customHeight="1" x14ac:dyDescent="0.25">
      <c r="A287" s="126" t="s">
        <v>855</v>
      </c>
      <c r="B287" s="127"/>
      <c r="C287" s="128"/>
      <c r="D287" s="129" t="s">
        <v>377</v>
      </c>
      <c r="E287" s="213" t="s">
        <v>856</v>
      </c>
      <c r="F287" s="125"/>
      <c r="G287" s="211" t="s">
        <v>276</v>
      </c>
      <c r="H287" s="130"/>
      <c r="I287" s="189"/>
      <c r="J287" s="131"/>
      <c r="K287" s="167"/>
      <c r="L287" s="132"/>
      <c r="M287" s="125"/>
      <c r="N287" s="133"/>
      <c r="O287" s="134"/>
      <c r="P287" s="135"/>
      <c r="Q287" s="135"/>
      <c r="R287" s="134"/>
      <c r="S287" s="134"/>
      <c r="T287" s="135"/>
      <c r="U287" s="135"/>
      <c r="V287" s="134"/>
    </row>
    <row r="288" spans="1:22" ht="15" hidden="1" customHeight="1" x14ac:dyDescent="0.25">
      <c r="A288" s="126" t="s">
        <v>857</v>
      </c>
      <c r="B288" s="127"/>
      <c r="C288" s="128"/>
      <c r="D288" s="129" t="s">
        <v>362</v>
      </c>
      <c r="E288" s="213" t="s">
        <v>858</v>
      </c>
      <c r="F288" s="125"/>
      <c r="G288" s="211" t="s">
        <v>276</v>
      </c>
      <c r="H288" s="130"/>
      <c r="I288" s="189"/>
      <c r="J288" s="131"/>
      <c r="K288" s="167"/>
      <c r="L288" s="132"/>
      <c r="M288" s="125"/>
      <c r="N288" s="133"/>
      <c r="O288" s="134"/>
      <c r="P288" s="135"/>
      <c r="Q288" s="135"/>
      <c r="R288" s="134"/>
      <c r="S288" s="134"/>
      <c r="T288" s="135"/>
      <c r="U288" s="135"/>
      <c r="V288" s="134"/>
    </row>
    <row r="289" spans="1:22" ht="15" hidden="1" customHeight="1" x14ac:dyDescent="0.25">
      <c r="A289" s="126" t="s">
        <v>859</v>
      </c>
      <c r="B289" s="127"/>
      <c r="C289" s="128"/>
      <c r="D289" s="129" t="s">
        <v>362</v>
      </c>
      <c r="E289" s="213" t="s">
        <v>860</v>
      </c>
      <c r="F289" s="125"/>
      <c r="G289" s="211" t="s">
        <v>276</v>
      </c>
      <c r="H289" s="130"/>
      <c r="I289" s="189"/>
      <c r="J289" s="131"/>
      <c r="K289" s="167"/>
      <c r="L289" s="132"/>
      <c r="M289" s="125"/>
      <c r="N289" s="133"/>
      <c r="O289" s="134"/>
      <c r="P289" s="135"/>
      <c r="Q289" s="135"/>
      <c r="R289" s="134"/>
      <c r="S289" s="134"/>
      <c r="T289" s="135"/>
      <c r="U289" s="135"/>
      <c r="V289" s="134"/>
    </row>
    <row r="290" spans="1:22" ht="15" hidden="1" customHeight="1" x14ac:dyDescent="0.25">
      <c r="A290" s="126" t="s">
        <v>861</v>
      </c>
      <c r="B290" s="127"/>
      <c r="C290" s="128"/>
      <c r="D290" s="129" t="s">
        <v>362</v>
      </c>
      <c r="E290" s="213" t="s">
        <v>862</v>
      </c>
      <c r="F290" s="125"/>
      <c r="G290" s="211" t="s">
        <v>276</v>
      </c>
      <c r="H290" s="130"/>
      <c r="I290" s="189"/>
      <c r="J290" s="131"/>
      <c r="K290" s="167"/>
      <c r="L290" s="132"/>
      <c r="M290" s="125"/>
      <c r="N290" s="133"/>
      <c r="O290" s="134"/>
      <c r="P290" s="135"/>
      <c r="Q290" s="135"/>
      <c r="R290" s="134"/>
      <c r="S290" s="134"/>
      <c r="T290" s="135"/>
      <c r="U290" s="135"/>
      <c r="V290" s="134"/>
    </row>
    <row r="291" spans="1:22" ht="15" hidden="1" customHeight="1" x14ac:dyDescent="0.25">
      <c r="A291" s="126" t="s">
        <v>863</v>
      </c>
      <c r="B291" s="127"/>
      <c r="C291" s="128"/>
      <c r="D291" s="129" t="s">
        <v>362</v>
      </c>
      <c r="E291" s="213" t="s">
        <v>864</v>
      </c>
      <c r="F291" s="125"/>
      <c r="G291" s="211" t="s">
        <v>276</v>
      </c>
      <c r="H291" s="130"/>
      <c r="I291" s="189"/>
      <c r="J291" s="131"/>
      <c r="K291" s="167"/>
      <c r="L291" s="132"/>
      <c r="M291" s="125"/>
      <c r="N291" s="133"/>
      <c r="O291" s="134"/>
      <c r="P291" s="135"/>
      <c r="Q291" s="135"/>
      <c r="R291" s="134"/>
      <c r="S291" s="134"/>
      <c r="T291" s="135"/>
      <c r="U291" s="135"/>
      <c r="V291" s="134"/>
    </row>
    <row r="292" spans="1:22" ht="15" hidden="1" customHeight="1" x14ac:dyDescent="0.25">
      <c r="A292" s="126" t="s">
        <v>865</v>
      </c>
      <c r="B292" s="127"/>
      <c r="C292" s="128"/>
      <c r="D292" s="129" t="s">
        <v>368</v>
      </c>
      <c r="E292" s="213" t="s">
        <v>866</v>
      </c>
      <c r="F292" s="125"/>
      <c r="G292" s="211" t="s">
        <v>276</v>
      </c>
      <c r="H292" s="130"/>
      <c r="I292" s="189"/>
      <c r="J292" s="131"/>
      <c r="K292" s="167"/>
      <c r="L292" s="132"/>
      <c r="M292" s="125"/>
      <c r="N292" s="133"/>
      <c r="O292" s="134"/>
      <c r="P292" s="135"/>
      <c r="Q292" s="135"/>
      <c r="R292" s="134"/>
      <c r="S292" s="134"/>
      <c r="T292" s="135"/>
      <c r="U292" s="135"/>
      <c r="V292" s="134"/>
    </row>
    <row r="293" spans="1:22" ht="15" hidden="1" customHeight="1" x14ac:dyDescent="0.25">
      <c r="A293" s="126" t="s">
        <v>867</v>
      </c>
      <c r="B293" s="127"/>
      <c r="C293" s="128"/>
      <c r="D293" s="129" t="s">
        <v>368</v>
      </c>
      <c r="E293" s="213" t="s">
        <v>868</v>
      </c>
      <c r="F293" s="125"/>
      <c r="G293" s="211" t="s">
        <v>276</v>
      </c>
      <c r="H293" s="130"/>
      <c r="I293" s="189"/>
      <c r="J293" s="131"/>
      <c r="K293" s="167"/>
      <c r="L293" s="132"/>
      <c r="M293" s="125"/>
      <c r="N293" s="133"/>
      <c r="O293" s="134"/>
      <c r="P293" s="135"/>
      <c r="Q293" s="135"/>
      <c r="R293" s="134"/>
      <c r="S293" s="134"/>
      <c r="T293" s="135"/>
      <c r="U293" s="135"/>
      <c r="V293" s="134"/>
    </row>
    <row r="294" spans="1:22" ht="15" hidden="1" customHeight="1" x14ac:dyDescent="0.25">
      <c r="A294" s="126" t="s">
        <v>869</v>
      </c>
      <c r="B294" s="127"/>
      <c r="C294" s="128"/>
      <c r="D294" s="129" t="s">
        <v>368</v>
      </c>
      <c r="E294" s="213" t="s">
        <v>870</v>
      </c>
      <c r="F294" s="125"/>
      <c r="G294" s="211" t="s">
        <v>276</v>
      </c>
      <c r="H294" s="130"/>
      <c r="I294" s="189"/>
      <c r="J294" s="131"/>
      <c r="K294" s="167"/>
      <c r="L294" s="132"/>
      <c r="M294" s="125"/>
      <c r="N294" s="133"/>
      <c r="O294" s="134"/>
      <c r="P294" s="135"/>
      <c r="Q294" s="135"/>
      <c r="R294" s="134"/>
      <c r="S294" s="134"/>
      <c r="T294" s="135"/>
      <c r="U294" s="135"/>
      <c r="V294" s="134"/>
    </row>
    <row r="295" spans="1:22" ht="15" hidden="1" customHeight="1" x14ac:dyDescent="0.25">
      <c r="A295" s="126" t="s">
        <v>871</v>
      </c>
      <c r="B295" s="127"/>
      <c r="C295" s="128"/>
      <c r="D295" s="129" t="s">
        <v>368</v>
      </c>
      <c r="E295" s="213" t="s">
        <v>872</v>
      </c>
      <c r="F295" s="125"/>
      <c r="G295" s="211" t="s">
        <v>276</v>
      </c>
      <c r="H295" s="130"/>
      <c r="I295" s="189"/>
      <c r="J295" s="131"/>
      <c r="K295" s="167"/>
      <c r="L295" s="132"/>
      <c r="M295" s="125"/>
      <c r="N295" s="133"/>
      <c r="O295" s="134"/>
      <c r="P295" s="135"/>
      <c r="Q295" s="135"/>
      <c r="R295" s="134"/>
      <c r="S295" s="134"/>
      <c r="T295" s="135"/>
      <c r="U295" s="135"/>
      <c r="V295" s="134"/>
    </row>
    <row r="296" spans="1:22" ht="15" hidden="1" customHeight="1" x14ac:dyDescent="0.25">
      <c r="A296" s="126" t="s">
        <v>873</v>
      </c>
      <c r="B296" s="127"/>
      <c r="C296" s="128"/>
      <c r="D296" s="129" t="s">
        <v>377</v>
      </c>
      <c r="E296" s="213" t="s">
        <v>874</v>
      </c>
      <c r="F296" s="125"/>
      <c r="G296" s="211" t="s">
        <v>276</v>
      </c>
      <c r="H296" s="130"/>
      <c r="I296" s="189"/>
      <c r="J296" s="131"/>
      <c r="K296" s="167"/>
      <c r="L296" s="132"/>
      <c r="M296" s="125"/>
      <c r="N296" s="133"/>
      <c r="O296" s="134"/>
      <c r="P296" s="135"/>
      <c r="Q296" s="135"/>
      <c r="R296" s="134"/>
      <c r="S296" s="134"/>
      <c r="T296" s="135"/>
      <c r="U296" s="135"/>
      <c r="V296" s="134"/>
    </row>
    <row r="297" spans="1:22" ht="15" hidden="1" customHeight="1" x14ac:dyDescent="0.25">
      <c r="A297" s="126" t="s">
        <v>875</v>
      </c>
      <c r="B297" s="127"/>
      <c r="C297" s="128"/>
      <c r="D297" s="129" t="s">
        <v>377</v>
      </c>
      <c r="E297" s="213" t="s">
        <v>876</v>
      </c>
      <c r="F297" s="125"/>
      <c r="G297" s="211" t="s">
        <v>276</v>
      </c>
      <c r="H297" s="130"/>
      <c r="I297" s="189"/>
      <c r="J297" s="131"/>
      <c r="K297" s="167"/>
      <c r="L297" s="132"/>
      <c r="M297" s="125"/>
      <c r="N297" s="133"/>
      <c r="O297" s="134"/>
      <c r="P297" s="135"/>
      <c r="Q297" s="135"/>
      <c r="R297" s="134"/>
      <c r="S297" s="134"/>
      <c r="T297" s="135"/>
      <c r="U297" s="135"/>
      <c r="V297" s="134"/>
    </row>
    <row r="298" spans="1:22" ht="15" hidden="1" customHeight="1" x14ac:dyDescent="0.25">
      <c r="A298" s="126" t="s">
        <v>877</v>
      </c>
      <c r="B298" s="127"/>
      <c r="C298" s="128"/>
      <c r="D298" s="129" t="s">
        <v>377</v>
      </c>
      <c r="E298" s="213" t="s">
        <v>878</v>
      </c>
      <c r="F298" s="125"/>
      <c r="G298" s="211" t="s">
        <v>276</v>
      </c>
      <c r="H298" s="130"/>
      <c r="I298" s="189"/>
      <c r="J298" s="131"/>
      <c r="K298" s="167"/>
      <c r="L298" s="132"/>
      <c r="M298" s="125"/>
      <c r="N298" s="133"/>
      <c r="O298" s="134"/>
      <c r="P298" s="135"/>
      <c r="Q298" s="135"/>
      <c r="R298" s="134"/>
      <c r="S298" s="134"/>
      <c r="T298" s="135"/>
      <c r="U298" s="135"/>
      <c r="V298" s="134"/>
    </row>
    <row r="299" spans="1:22" ht="15" hidden="1" customHeight="1" x14ac:dyDescent="0.25">
      <c r="A299" s="126" t="s">
        <v>879</v>
      </c>
      <c r="B299" s="127"/>
      <c r="C299" s="128"/>
      <c r="D299" s="129" t="s">
        <v>377</v>
      </c>
      <c r="E299" s="213" t="s">
        <v>880</v>
      </c>
      <c r="F299" s="125"/>
      <c r="G299" s="211" t="s">
        <v>276</v>
      </c>
      <c r="H299" s="130"/>
      <c r="I299" s="189"/>
      <c r="J299" s="131"/>
      <c r="K299" s="167"/>
      <c r="L299" s="132"/>
      <c r="M299" s="125"/>
      <c r="N299" s="133"/>
      <c r="O299" s="134"/>
      <c r="P299" s="135"/>
      <c r="Q299" s="135"/>
      <c r="R299" s="134"/>
      <c r="S299" s="134"/>
      <c r="T299" s="135"/>
      <c r="U299" s="135"/>
      <c r="V299" s="134"/>
    </row>
    <row r="300" spans="1:22" ht="15" hidden="1" customHeight="1" x14ac:dyDescent="0.25">
      <c r="A300" s="126" t="s">
        <v>881</v>
      </c>
      <c r="B300" s="127"/>
      <c r="C300" s="128"/>
      <c r="D300" s="129" t="s">
        <v>377</v>
      </c>
      <c r="E300" s="213" t="s">
        <v>882</v>
      </c>
      <c r="F300" s="125"/>
      <c r="G300" s="211" t="s">
        <v>276</v>
      </c>
      <c r="H300" s="130"/>
      <c r="I300" s="189"/>
      <c r="J300" s="131"/>
      <c r="K300" s="167"/>
      <c r="L300" s="132"/>
      <c r="M300" s="125"/>
      <c r="N300" s="133"/>
      <c r="O300" s="134"/>
      <c r="P300" s="135"/>
      <c r="Q300" s="135"/>
      <c r="R300" s="134"/>
      <c r="S300" s="134"/>
      <c r="T300" s="135"/>
      <c r="U300" s="135"/>
      <c r="V300" s="134"/>
    </row>
    <row r="301" spans="1:22" ht="15" hidden="1" customHeight="1" x14ac:dyDescent="0.25">
      <c r="A301" s="126" t="s">
        <v>883</v>
      </c>
      <c r="B301" s="127"/>
      <c r="C301" s="128"/>
      <c r="D301" s="129" t="s">
        <v>368</v>
      </c>
      <c r="E301" s="213" t="s">
        <v>884</v>
      </c>
      <c r="F301" s="125"/>
      <c r="G301" s="211" t="s">
        <v>276</v>
      </c>
      <c r="H301" s="130"/>
      <c r="I301" s="189"/>
      <c r="J301" s="131"/>
      <c r="K301" s="167"/>
      <c r="L301" s="132"/>
      <c r="M301" s="125"/>
      <c r="N301" s="133"/>
      <c r="O301" s="134"/>
      <c r="P301" s="135"/>
      <c r="Q301" s="135"/>
      <c r="R301" s="134"/>
      <c r="S301" s="134"/>
      <c r="T301" s="135"/>
      <c r="U301" s="135"/>
      <c r="V301" s="134"/>
    </row>
    <row r="302" spans="1:22" ht="15" hidden="1" customHeight="1" x14ac:dyDescent="0.25">
      <c r="A302" s="126" t="s">
        <v>885</v>
      </c>
      <c r="B302" s="127"/>
      <c r="C302" s="128"/>
      <c r="D302" s="129" t="s">
        <v>377</v>
      </c>
      <c r="E302" s="213" t="s">
        <v>886</v>
      </c>
      <c r="F302" s="125"/>
      <c r="G302" s="211" t="s">
        <v>276</v>
      </c>
      <c r="H302" s="130"/>
      <c r="I302" s="189"/>
      <c r="J302" s="131"/>
      <c r="K302" s="167"/>
      <c r="L302" s="132"/>
      <c r="M302" s="125"/>
      <c r="N302" s="133"/>
      <c r="O302" s="134"/>
      <c r="P302" s="135"/>
      <c r="Q302" s="135"/>
      <c r="R302" s="134"/>
      <c r="S302" s="134"/>
      <c r="T302" s="135"/>
      <c r="U302" s="135"/>
      <c r="V302" s="134"/>
    </row>
    <row r="303" spans="1:22" ht="15" hidden="1" customHeight="1" x14ac:dyDescent="0.25">
      <c r="A303" s="126" t="s">
        <v>887</v>
      </c>
      <c r="B303" s="127"/>
      <c r="C303" s="128"/>
      <c r="D303" s="129" t="s">
        <v>377</v>
      </c>
      <c r="E303" s="213" t="s">
        <v>888</v>
      </c>
      <c r="F303" s="125"/>
      <c r="G303" s="211" t="s">
        <v>276</v>
      </c>
      <c r="H303" s="130"/>
      <c r="I303" s="189"/>
      <c r="J303" s="131"/>
      <c r="K303" s="167"/>
      <c r="L303" s="132"/>
      <c r="M303" s="125"/>
      <c r="N303" s="133"/>
      <c r="O303" s="134"/>
      <c r="P303" s="135"/>
      <c r="Q303" s="135"/>
      <c r="R303" s="134"/>
      <c r="S303" s="134"/>
      <c r="T303" s="135"/>
      <c r="U303" s="135"/>
      <c r="V303" s="134"/>
    </row>
    <row r="304" spans="1:22" ht="15" hidden="1" customHeight="1" x14ac:dyDescent="0.25">
      <c r="A304" s="126" t="s">
        <v>889</v>
      </c>
      <c r="B304" s="127"/>
      <c r="C304" s="128"/>
      <c r="D304" s="129" t="s">
        <v>398</v>
      </c>
      <c r="E304" s="213" t="s">
        <v>890</v>
      </c>
      <c r="F304" s="125"/>
      <c r="G304" s="211" t="s">
        <v>276</v>
      </c>
      <c r="H304" s="130"/>
      <c r="I304" s="189"/>
      <c r="J304" s="131"/>
      <c r="K304" s="167"/>
      <c r="L304" s="132"/>
      <c r="M304" s="125"/>
      <c r="N304" s="133"/>
      <c r="O304" s="134"/>
      <c r="P304" s="135"/>
      <c r="Q304" s="135"/>
      <c r="R304" s="134"/>
      <c r="S304" s="134"/>
      <c r="T304" s="135"/>
      <c r="U304" s="135"/>
      <c r="V304" s="134"/>
    </row>
    <row r="305" spans="1:22" ht="15" hidden="1" customHeight="1" x14ac:dyDescent="0.25">
      <c r="A305" s="126" t="s">
        <v>891</v>
      </c>
      <c r="B305" s="127"/>
      <c r="C305" s="128"/>
      <c r="D305" s="129" t="s">
        <v>365</v>
      </c>
      <c r="E305" s="213" t="s">
        <v>892</v>
      </c>
      <c r="F305" s="125"/>
      <c r="G305" s="211" t="s">
        <v>276</v>
      </c>
      <c r="H305" s="130"/>
      <c r="I305" s="189"/>
      <c r="J305" s="131"/>
      <c r="K305" s="167"/>
      <c r="L305" s="132"/>
      <c r="M305" s="125"/>
      <c r="N305" s="133"/>
      <c r="O305" s="134"/>
      <c r="P305" s="135"/>
      <c r="Q305" s="135"/>
      <c r="R305" s="134"/>
      <c r="S305" s="134"/>
      <c r="T305" s="135"/>
      <c r="U305" s="135"/>
      <c r="V305" s="134"/>
    </row>
    <row r="306" spans="1:22" ht="15" hidden="1" customHeight="1" x14ac:dyDescent="0.25">
      <c r="A306" s="126" t="s">
        <v>893</v>
      </c>
      <c r="B306" s="127"/>
      <c r="C306" s="128"/>
      <c r="D306" s="129" t="s">
        <v>365</v>
      </c>
      <c r="E306" s="213" t="s">
        <v>894</v>
      </c>
      <c r="F306" s="125"/>
      <c r="G306" s="211" t="s">
        <v>276</v>
      </c>
      <c r="H306" s="130"/>
      <c r="I306" s="189"/>
      <c r="J306" s="131"/>
      <c r="K306" s="167"/>
      <c r="L306" s="132"/>
      <c r="M306" s="125"/>
      <c r="N306" s="133"/>
      <c r="O306" s="134"/>
      <c r="P306" s="135"/>
      <c r="Q306" s="135"/>
      <c r="R306" s="134"/>
      <c r="S306" s="134"/>
      <c r="T306" s="135"/>
      <c r="U306" s="135"/>
      <c r="V306" s="134"/>
    </row>
    <row r="307" spans="1:22" ht="15" hidden="1" customHeight="1" x14ac:dyDescent="0.25">
      <c r="A307" s="126" t="s">
        <v>895</v>
      </c>
      <c r="B307" s="127"/>
      <c r="C307" s="128"/>
      <c r="D307" s="129" t="s">
        <v>365</v>
      </c>
      <c r="E307" s="213" t="s">
        <v>896</v>
      </c>
      <c r="F307" s="125"/>
      <c r="G307" s="211" t="s">
        <v>276</v>
      </c>
      <c r="H307" s="130"/>
      <c r="I307" s="189"/>
      <c r="J307" s="131"/>
      <c r="K307" s="167"/>
      <c r="L307" s="132"/>
      <c r="M307" s="125"/>
      <c r="N307" s="133"/>
      <c r="O307" s="134"/>
      <c r="P307" s="135"/>
      <c r="Q307" s="135"/>
      <c r="R307" s="134"/>
      <c r="S307" s="134"/>
      <c r="T307" s="135"/>
      <c r="U307" s="135"/>
      <c r="V307" s="134"/>
    </row>
    <row r="308" spans="1:22" ht="15" hidden="1" customHeight="1" x14ac:dyDescent="0.25">
      <c r="A308" s="126" t="s">
        <v>897</v>
      </c>
      <c r="B308" s="127"/>
      <c r="C308" s="128"/>
      <c r="D308" s="129" t="s">
        <v>368</v>
      </c>
      <c r="E308" s="213" t="s">
        <v>898</v>
      </c>
      <c r="F308" s="125"/>
      <c r="G308" s="211" t="s">
        <v>276</v>
      </c>
      <c r="H308" s="130"/>
      <c r="I308" s="189"/>
      <c r="J308" s="131"/>
      <c r="K308" s="167"/>
      <c r="L308" s="132"/>
      <c r="M308" s="125"/>
      <c r="N308" s="133"/>
      <c r="O308" s="134"/>
      <c r="P308" s="135"/>
      <c r="Q308" s="135"/>
      <c r="R308" s="134"/>
      <c r="S308" s="134"/>
      <c r="T308" s="135"/>
      <c r="U308" s="135"/>
      <c r="V308" s="134"/>
    </row>
    <row r="309" spans="1:22" ht="15" hidden="1" customHeight="1" x14ac:dyDescent="0.25">
      <c r="A309" s="126" t="s">
        <v>899</v>
      </c>
      <c r="B309" s="127"/>
      <c r="C309" s="128"/>
      <c r="D309" s="129" t="s">
        <v>368</v>
      </c>
      <c r="E309" s="213" t="s">
        <v>900</v>
      </c>
      <c r="F309" s="125"/>
      <c r="G309" s="211" t="s">
        <v>276</v>
      </c>
      <c r="H309" s="130"/>
      <c r="I309" s="189"/>
      <c r="J309" s="131"/>
      <c r="K309" s="167"/>
      <c r="L309" s="132"/>
      <c r="M309" s="125"/>
      <c r="N309" s="133"/>
      <c r="O309" s="134"/>
      <c r="P309" s="135"/>
      <c r="Q309" s="135"/>
      <c r="R309" s="134"/>
      <c r="S309" s="134"/>
      <c r="T309" s="135"/>
      <c r="U309" s="135"/>
      <c r="V309" s="134"/>
    </row>
    <row r="310" spans="1:22" ht="15" hidden="1" customHeight="1" x14ac:dyDescent="0.25">
      <c r="A310" s="126" t="s">
        <v>901</v>
      </c>
      <c r="B310" s="127"/>
      <c r="C310" s="128"/>
      <c r="D310" s="129" t="s">
        <v>368</v>
      </c>
      <c r="E310" s="213" t="s">
        <v>902</v>
      </c>
      <c r="F310" s="125"/>
      <c r="G310" s="211" t="s">
        <v>276</v>
      </c>
      <c r="H310" s="130"/>
      <c r="I310" s="189"/>
      <c r="J310" s="131"/>
      <c r="K310" s="167"/>
      <c r="L310" s="132"/>
      <c r="M310" s="125"/>
      <c r="N310" s="133"/>
      <c r="O310" s="134"/>
      <c r="P310" s="135"/>
      <c r="Q310" s="135"/>
      <c r="R310" s="134"/>
      <c r="S310" s="134"/>
      <c r="T310" s="135"/>
      <c r="U310" s="135"/>
      <c r="V310" s="134"/>
    </row>
    <row r="311" spans="1:22" ht="15" hidden="1" customHeight="1" x14ac:dyDescent="0.25">
      <c r="A311" s="126" t="s">
        <v>903</v>
      </c>
      <c r="B311" s="127"/>
      <c r="C311" s="128"/>
      <c r="D311" s="129" t="s">
        <v>368</v>
      </c>
      <c r="E311" s="213" t="s">
        <v>904</v>
      </c>
      <c r="F311" s="125"/>
      <c r="G311" s="211" t="s">
        <v>276</v>
      </c>
      <c r="H311" s="130"/>
      <c r="I311" s="189"/>
      <c r="J311" s="131"/>
      <c r="K311" s="167"/>
      <c r="L311" s="132"/>
      <c r="M311" s="125"/>
      <c r="N311" s="133"/>
      <c r="O311" s="134"/>
      <c r="P311" s="135"/>
      <c r="Q311" s="135"/>
      <c r="R311" s="134"/>
      <c r="S311" s="134"/>
      <c r="T311" s="135"/>
      <c r="U311" s="135"/>
      <c r="V311" s="134"/>
    </row>
    <row r="312" spans="1:22" ht="15" hidden="1" customHeight="1" x14ac:dyDescent="0.25">
      <c r="A312" s="126" t="s">
        <v>905</v>
      </c>
      <c r="B312" s="127"/>
      <c r="C312" s="128"/>
      <c r="D312" s="129" t="s">
        <v>365</v>
      </c>
      <c r="E312" s="213" t="s">
        <v>906</v>
      </c>
      <c r="F312" s="125"/>
      <c r="G312" s="211" t="s">
        <v>276</v>
      </c>
      <c r="H312" s="130"/>
      <c r="I312" s="189"/>
      <c r="J312" s="131"/>
      <c r="K312" s="167"/>
      <c r="L312" s="132"/>
      <c r="M312" s="125"/>
      <c r="N312" s="133"/>
      <c r="O312" s="134"/>
      <c r="P312" s="135"/>
      <c r="Q312" s="135"/>
      <c r="R312" s="134"/>
      <c r="S312" s="134"/>
      <c r="T312" s="135"/>
      <c r="U312" s="135"/>
      <c r="V312" s="134"/>
    </row>
    <row r="313" spans="1:22" ht="15" hidden="1" customHeight="1" x14ac:dyDescent="0.25">
      <c r="A313" s="126" t="s">
        <v>907</v>
      </c>
      <c r="B313" s="127"/>
      <c r="C313" s="128"/>
      <c r="D313" s="129" t="s">
        <v>359</v>
      </c>
      <c r="E313" s="213" t="s">
        <v>908</v>
      </c>
      <c r="F313" s="125"/>
      <c r="G313" s="211" t="s">
        <v>276</v>
      </c>
      <c r="H313" s="130"/>
      <c r="I313" s="189"/>
      <c r="J313" s="131"/>
      <c r="K313" s="167"/>
      <c r="L313" s="132"/>
      <c r="M313" s="125"/>
      <c r="N313" s="133"/>
      <c r="O313" s="134"/>
      <c r="P313" s="135"/>
      <c r="Q313" s="135"/>
      <c r="R313" s="134"/>
      <c r="S313" s="134"/>
      <c r="T313" s="135"/>
      <c r="U313" s="135"/>
      <c r="V313" s="134"/>
    </row>
    <row r="314" spans="1:22" ht="15" hidden="1" customHeight="1" x14ac:dyDescent="0.25">
      <c r="A314" s="126" t="s">
        <v>909</v>
      </c>
      <c r="B314" s="127"/>
      <c r="C314" s="128"/>
      <c r="D314" s="129" t="s">
        <v>365</v>
      </c>
      <c r="E314" s="213" t="s">
        <v>910</v>
      </c>
      <c r="F314" s="125"/>
      <c r="G314" s="211" t="s">
        <v>276</v>
      </c>
      <c r="H314" s="130"/>
      <c r="I314" s="189"/>
      <c r="J314" s="131"/>
      <c r="K314" s="167"/>
      <c r="L314" s="132"/>
      <c r="M314" s="125"/>
      <c r="N314" s="133"/>
      <c r="O314" s="134"/>
      <c r="P314" s="135"/>
      <c r="Q314" s="135"/>
      <c r="R314" s="134"/>
      <c r="S314" s="134"/>
      <c r="T314" s="135"/>
      <c r="U314" s="135"/>
      <c r="V314" s="134"/>
    </row>
    <row r="315" spans="1:22" ht="15" hidden="1" customHeight="1" x14ac:dyDescent="0.25">
      <c r="A315" s="126" t="s">
        <v>911</v>
      </c>
      <c r="B315" s="127"/>
      <c r="C315" s="128"/>
      <c r="D315" s="129" t="s">
        <v>365</v>
      </c>
      <c r="E315" s="213" t="s">
        <v>912</v>
      </c>
      <c r="F315" s="125"/>
      <c r="G315" s="211" t="s">
        <v>276</v>
      </c>
      <c r="H315" s="130"/>
      <c r="I315" s="189"/>
      <c r="J315" s="131"/>
      <c r="K315" s="167"/>
      <c r="L315" s="132"/>
      <c r="M315" s="125"/>
      <c r="N315" s="133"/>
      <c r="O315" s="134"/>
      <c r="P315" s="135"/>
      <c r="Q315" s="135"/>
      <c r="R315" s="134"/>
      <c r="S315" s="134"/>
      <c r="T315" s="135"/>
      <c r="U315" s="135"/>
      <c r="V315" s="134"/>
    </row>
    <row r="316" spans="1:22" ht="15" hidden="1" customHeight="1" x14ac:dyDescent="0.25">
      <c r="A316" s="126" t="s">
        <v>913</v>
      </c>
      <c r="B316" s="127"/>
      <c r="C316" s="128"/>
      <c r="D316" s="129" t="s">
        <v>365</v>
      </c>
      <c r="E316" s="213" t="s">
        <v>914</v>
      </c>
      <c r="F316" s="125"/>
      <c r="G316" s="211" t="s">
        <v>276</v>
      </c>
      <c r="H316" s="130"/>
      <c r="I316" s="189"/>
      <c r="J316" s="131"/>
      <c r="K316" s="167"/>
      <c r="L316" s="132"/>
      <c r="M316" s="125"/>
      <c r="N316" s="133"/>
      <c r="O316" s="134"/>
      <c r="P316" s="135"/>
      <c r="Q316" s="135"/>
      <c r="R316" s="134"/>
      <c r="S316" s="134"/>
      <c r="T316" s="135"/>
      <c r="U316" s="135"/>
      <c r="V316" s="134"/>
    </row>
    <row r="317" spans="1:22" ht="15" hidden="1" customHeight="1" x14ac:dyDescent="0.25">
      <c r="A317" s="126" t="s">
        <v>915</v>
      </c>
      <c r="B317" s="127"/>
      <c r="C317" s="128"/>
      <c r="D317" s="129" t="s">
        <v>365</v>
      </c>
      <c r="E317" s="213" t="s">
        <v>916</v>
      </c>
      <c r="F317" s="125"/>
      <c r="G317" s="211" t="s">
        <v>276</v>
      </c>
      <c r="H317" s="130"/>
      <c r="I317" s="189"/>
      <c r="J317" s="131"/>
      <c r="K317" s="167"/>
      <c r="L317" s="132"/>
      <c r="M317" s="125"/>
      <c r="N317" s="133"/>
      <c r="O317" s="134"/>
      <c r="P317" s="135"/>
      <c r="Q317" s="135"/>
      <c r="R317" s="134"/>
      <c r="S317" s="134"/>
      <c r="T317" s="135"/>
      <c r="U317" s="135"/>
      <c r="V317" s="134"/>
    </row>
    <row r="318" spans="1:22" ht="15" hidden="1" customHeight="1" x14ac:dyDescent="0.25">
      <c r="A318" s="126" t="s">
        <v>917</v>
      </c>
      <c r="B318" s="127"/>
      <c r="C318" s="128"/>
      <c r="D318" s="129" t="s">
        <v>365</v>
      </c>
      <c r="E318" s="213" t="s">
        <v>918</v>
      </c>
      <c r="F318" s="125"/>
      <c r="G318" s="211" t="s">
        <v>276</v>
      </c>
      <c r="H318" s="130"/>
      <c r="I318" s="189"/>
      <c r="J318" s="131"/>
      <c r="K318" s="167"/>
      <c r="L318" s="132"/>
      <c r="M318" s="125"/>
      <c r="N318" s="133"/>
      <c r="O318" s="134"/>
      <c r="P318" s="135"/>
      <c r="Q318" s="135"/>
      <c r="R318" s="134"/>
      <c r="S318" s="134"/>
      <c r="T318" s="135"/>
      <c r="U318" s="135"/>
      <c r="V318" s="134"/>
    </row>
    <row r="319" spans="1:22" ht="15" hidden="1" customHeight="1" x14ac:dyDescent="0.25">
      <c r="A319" s="126" t="s">
        <v>919</v>
      </c>
      <c r="B319" s="127"/>
      <c r="C319" s="128"/>
      <c r="D319" s="129" t="s">
        <v>368</v>
      </c>
      <c r="E319" s="213" t="s">
        <v>920</v>
      </c>
      <c r="F319" s="125"/>
      <c r="G319" s="211" t="s">
        <v>276</v>
      </c>
      <c r="H319" s="130"/>
      <c r="I319" s="189"/>
      <c r="J319" s="131"/>
      <c r="K319" s="167"/>
      <c r="L319" s="132"/>
      <c r="M319" s="125"/>
      <c r="N319" s="133"/>
      <c r="O319" s="134"/>
      <c r="P319" s="135"/>
      <c r="Q319" s="135"/>
      <c r="R319" s="134"/>
      <c r="S319" s="134"/>
      <c r="T319" s="135"/>
      <c r="U319" s="135"/>
      <c r="V319" s="134"/>
    </row>
    <row r="320" spans="1:22" ht="15" hidden="1" customHeight="1" x14ac:dyDescent="0.25">
      <c r="A320" s="126" t="s">
        <v>921</v>
      </c>
      <c r="B320" s="127"/>
      <c r="C320" s="128"/>
      <c r="D320" s="129" t="s">
        <v>368</v>
      </c>
      <c r="E320" s="213" t="s">
        <v>922</v>
      </c>
      <c r="F320" s="125"/>
      <c r="G320" s="211" t="s">
        <v>276</v>
      </c>
      <c r="H320" s="130"/>
      <c r="I320" s="189"/>
      <c r="J320" s="131"/>
      <c r="K320" s="167"/>
      <c r="L320" s="132"/>
      <c r="M320" s="125"/>
      <c r="N320" s="133"/>
      <c r="O320" s="134"/>
      <c r="P320" s="135"/>
      <c r="Q320" s="135"/>
      <c r="R320" s="134"/>
      <c r="S320" s="134"/>
      <c r="T320" s="135"/>
      <c r="U320" s="135"/>
      <c r="V320" s="134"/>
    </row>
    <row r="321" spans="1:22" ht="15" hidden="1" customHeight="1" x14ac:dyDescent="0.25">
      <c r="A321" s="126" t="s">
        <v>923</v>
      </c>
      <c r="B321" s="127"/>
      <c r="C321" s="128"/>
      <c r="D321" s="129" t="s">
        <v>368</v>
      </c>
      <c r="E321" s="213" t="s">
        <v>924</v>
      </c>
      <c r="F321" s="125"/>
      <c r="G321" s="211" t="s">
        <v>276</v>
      </c>
      <c r="H321" s="130"/>
      <c r="I321" s="189"/>
      <c r="J321" s="131"/>
      <c r="K321" s="167"/>
      <c r="L321" s="132"/>
      <c r="M321" s="125"/>
      <c r="N321" s="133"/>
      <c r="O321" s="134"/>
      <c r="P321" s="135"/>
      <c r="Q321" s="135"/>
      <c r="R321" s="134"/>
      <c r="S321" s="134"/>
      <c r="T321" s="135"/>
      <c r="U321" s="135"/>
      <c r="V321" s="134"/>
    </row>
    <row r="322" spans="1:22" ht="15" hidden="1" customHeight="1" x14ac:dyDescent="0.25">
      <c r="A322" s="126" t="s">
        <v>925</v>
      </c>
      <c r="B322" s="127"/>
      <c r="C322" s="128"/>
      <c r="D322" s="129" t="s">
        <v>368</v>
      </c>
      <c r="E322" s="213" t="s">
        <v>926</v>
      </c>
      <c r="F322" s="125"/>
      <c r="G322" s="211" t="s">
        <v>276</v>
      </c>
      <c r="H322" s="130"/>
      <c r="I322" s="189"/>
      <c r="J322" s="131"/>
      <c r="K322" s="167"/>
      <c r="L322" s="132"/>
      <c r="M322" s="125"/>
      <c r="N322" s="133"/>
      <c r="O322" s="134"/>
      <c r="P322" s="135"/>
      <c r="Q322" s="135"/>
      <c r="R322" s="134"/>
      <c r="S322" s="134"/>
      <c r="T322" s="135"/>
      <c r="U322" s="135"/>
      <c r="V322" s="134"/>
    </row>
    <row r="323" spans="1:22" ht="15" hidden="1" customHeight="1" x14ac:dyDescent="0.25">
      <c r="A323" s="126" t="s">
        <v>927</v>
      </c>
      <c r="B323" s="127"/>
      <c r="C323" s="128"/>
      <c r="D323" s="129" t="s">
        <v>368</v>
      </c>
      <c r="E323" s="213" t="s">
        <v>928</v>
      </c>
      <c r="F323" s="125"/>
      <c r="G323" s="211" t="s">
        <v>276</v>
      </c>
      <c r="H323" s="130"/>
      <c r="I323" s="189"/>
      <c r="J323" s="131"/>
      <c r="K323" s="167"/>
      <c r="L323" s="132"/>
      <c r="M323" s="125"/>
      <c r="N323" s="133"/>
      <c r="O323" s="134"/>
      <c r="P323" s="135"/>
      <c r="Q323" s="135"/>
      <c r="R323" s="134"/>
      <c r="S323" s="134"/>
      <c r="T323" s="135"/>
      <c r="U323" s="135"/>
      <c r="V323" s="134"/>
    </row>
    <row r="324" spans="1:22" ht="15" hidden="1" customHeight="1" x14ac:dyDescent="0.25">
      <c r="A324" s="126" t="s">
        <v>929</v>
      </c>
      <c r="B324" s="127"/>
      <c r="C324" s="128"/>
      <c r="D324" s="129" t="s">
        <v>368</v>
      </c>
      <c r="E324" s="213" t="s">
        <v>930</v>
      </c>
      <c r="F324" s="125"/>
      <c r="G324" s="211" t="s">
        <v>276</v>
      </c>
      <c r="H324" s="130"/>
      <c r="I324" s="189"/>
      <c r="J324" s="131"/>
      <c r="K324" s="167"/>
      <c r="L324" s="132"/>
      <c r="M324" s="125"/>
      <c r="N324" s="133"/>
      <c r="O324" s="134"/>
      <c r="P324" s="135"/>
      <c r="Q324" s="135"/>
      <c r="R324" s="134"/>
      <c r="S324" s="134"/>
      <c r="T324" s="135"/>
      <c r="U324" s="135"/>
      <c r="V324" s="134"/>
    </row>
    <row r="325" spans="1:22" ht="15" hidden="1" customHeight="1" x14ac:dyDescent="0.25">
      <c r="A325" s="126" t="s">
        <v>931</v>
      </c>
      <c r="B325" s="127"/>
      <c r="C325" s="128"/>
      <c r="D325" s="129" t="s">
        <v>368</v>
      </c>
      <c r="E325" s="213" t="s">
        <v>932</v>
      </c>
      <c r="F325" s="125"/>
      <c r="G325" s="211" t="s">
        <v>276</v>
      </c>
      <c r="H325" s="130"/>
      <c r="I325" s="189"/>
      <c r="J325" s="131"/>
      <c r="K325" s="167"/>
      <c r="L325" s="132"/>
      <c r="M325" s="125"/>
      <c r="N325" s="133"/>
      <c r="O325" s="134"/>
      <c r="P325" s="135"/>
      <c r="Q325" s="135"/>
      <c r="R325" s="134"/>
      <c r="S325" s="134"/>
      <c r="T325" s="135"/>
      <c r="U325" s="135"/>
      <c r="V325" s="134"/>
    </row>
    <row r="326" spans="1:22" ht="15" hidden="1" customHeight="1" x14ac:dyDescent="0.25">
      <c r="A326" s="126" t="s">
        <v>933</v>
      </c>
      <c r="B326" s="127"/>
      <c r="C326" s="128"/>
      <c r="D326" s="129" t="s">
        <v>377</v>
      </c>
      <c r="E326" s="213" t="s">
        <v>934</v>
      </c>
      <c r="F326" s="125"/>
      <c r="G326" s="211" t="s">
        <v>276</v>
      </c>
      <c r="H326" s="130"/>
      <c r="I326" s="189"/>
      <c r="J326" s="131"/>
      <c r="K326" s="167"/>
      <c r="L326" s="132"/>
      <c r="M326" s="125"/>
      <c r="N326" s="133"/>
      <c r="O326" s="134"/>
      <c r="P326" s="135"/>
      <c r="Q326" s="135"/>
      <c r="R326" s="134"/>
      <c r="S326" s="134"/>
      <c r="T326" s="135"/>
      <c r="U326" s="135"/>
      <c r="V326" s="134"/>
    </row>
    <row r="327" spans="1:22" ht="15" hidden="1" customHeight="1" x14ac:dyDescent="0.25">
      <c r="A327" s="126" t="s">
        <v>935</v>
      </c>
      <c r="B327" s="127"/>
      <c r="C327" s="128"/>
      <c r="D327" s="129" t="s">
        <v>377</v>
      </c>
      <c r="E327" s="213" t="s">
        <v>936</v>
      </c>
      <c r="F327" s="125"/>
      <c r="G327" s="211" t="s">
        <v>276</v>
      </c>
      <c r="H327" s="130"/>
      <c r="I327" s="189"/>
      <c r="J327" s="131"/>
      <c r="K327" s="167"/>
      <c r="L327" s="132"/>
      <c r="M327" s="125"/>
      <c r="N327" s="133"/>
      <c r="O327" s="134"/>
      <c r="P327" s="135"/>
      <c r="Q327" s="135"/>
      <c r="R327" s="134"/>
      <c r="S327" s="134"/>
      <c r="T327" s="135"/>
      <c r="U327" s="135"/>
      <c r="V327" s="134"/>
    </row>
    <row r="328" spans="1:22" ht="15" hidden="1" customHeight="1" x14ac:dyDescent="0.25">
      <c r="A328" s="126" t="s">
        <v>937</v>
      </c>
      <c r="B328" s="127"/>
      <c r="C328" s="128"/>
      <c r="D328" s="129" t="s">
        <v>377</v>
      </c>
      <c r="E328" s="213" t="s">
        <v>938</v>
      </c>
      <c r="F328" s="125"/>
      <c r="G328" s="211" t="s">
        <v>276</v>
      </c>
      <c r="H328" s="130"/>
      <c r="I328" s="189"/>
      <c r="J328" s="131"/>
      <c r="K328" s="167"/>
      <c r="L328" s="132"/>
      <c r="M328" s="125"/>
      <c r="N328" s="133"/>
      <c r="O328" s="134"/>
      <c r="P328" s="135"/>
      <c r="Q328" s="135"/>
      <c r="R328" s="134"/>
      <c r="S328" s="134"/>
      <c r="T328" s="135"/>
      <c r="U328" s="135"/>
      <c r="V328" s="134"/>
    </row>
    <row r="329" spans="1:22" ht="15" hidden="1" customHeight="1" x14ac:dyDescent="0.25">
      <c r="A329" s="126" t="s">
        <v>939</v>
      </c>
      <c r="B329" s="127"/>
      <c r="C329" s="128"/>
      <c r="D329" s="129" t="s">
        <v>377</v>
      </c>
      <c r="E329" s="213" t="s">
        <v>940</v>
      </c>
      <c r="F329" s="125"/>
      <c r="G329" s="211" t="s">
        <v>276</v>
      </c>
      <c r="H329" s="130"/>
      <c r="I329" s="189"/>
      <c r="J329" s="131"/>
      <c r="K329" s="167"/>
      <c r="L329" s="132"/>
      <c r="M329" s="125"/>
      <c r="N329" s="133"/>
      <c r="O329" s="134"/>
      <c r="P329" s="135"/>
      <c r="Q329" s="135"/>
      <c r="R329" s="134"/>
      <c r="S329" s="134"/>
      <c r="T329" s="135"/>
      <c r="U329" s="135"/>
      <c r="V329" s="134"/>
    </row>
    <row r="330" spans="1:22" ht="15" hidden="1" customHeight="1" x14ac:dyDescent="0.25">
      <c r="A330" s="126" t="s">
        <v>941</v>
      </c>
      <c r="B330" s="127"/>
      <c r="C330" s="128"/>
      <c r="D330" s="129" t="s">
        <v>377</v>
      </c>
      <c r="E330" s="213" t="s">
        <v>942</v>
      </c>
      <c r="F330" s="125"/>
      <c r="G330" s="211" t="s">
        <v>276</v>
      </c>
      <c r="H330" s="130"/>
      <c r="I330" s="189"/>
      <c r="J330" s="131"/>
      <c r="K330" s="167"/>
      <c r="L330" s="132"/>
      <c r="M330" s="125"/>
      <c r="N330" s="133"/>
      <c r="O330" s="134"/>
      <c r="P330" s="135"/>
      <c r="Q330" s="135"/>
      <c r="R330" s="134"/>
      <c r="S330" s="134"/>
      <c r="T330" s="135"/>
      <c r="U330" s="135"/>
      <c r="V330" s="134"/>
    </row>
    <row r="331" spans="1:22" ht="15" hidden="1" customHeight="1" x14ac:dyDescent="0.25">
      <c r="A331" s="126" t="s">
        <v>943</v>
      </c>
      <c r="B331" s="127"/>
      <c r="C331" s="128"/>
      <c r="D331" s="129" t="s">
        <v>377</v>
      </c>
      <c r="E331" s="213" t="s">
        <v>944</v>
      </c>
      <c r="F331" s="125"/>
      <c r="G331" s="211" t="s">
        <v>276</v>
      </c>
      <c r="H331" s="130"/>
      <c r="I331" s="189"/>
      <c r="J331" s="131"/>
      <c r="K331" s="167"/>
      <c r="L331" s="132"/>
      <c r="M331" s="125"/>
      <c r="N331" s="133"/>
      <c r="O331" s="134"/>
      <c r="P331" s="135"/>
      <c r="Q331" s="135"/>
      <c r="R331" s="134"/>
      <c r="S331" s="134"/>
      <c r="T331" s="135"/>
      <c r="U331" s="135"/>
      <c r="V331" s="134"/>
    </row>
    <row r="332" spans="1:22" ht="15" customHeight="1" x14ac:dyDescent="0.25">
      <c r="A332" s="126" t="s">
        <v>945</v>
      </c>
      <c r="B332" s="127"/>
      <c r="C332" s="128"/>
      <c r="D332" s="129" t="s">
        <v>362</v>
      </c>
      <c r="E332" s="213" t="s">
        <v>946</v>
      </c>
      <c r="F332" s="125"/>
      <c r="G332" s="211" t="s">
        <v>362</v>
      </c>
      <c r="H332" s="130"/>
      <c r="I332" s="189" t="s">
        <v>44</v>
      </c>
      <c r="J332" s="131"/>
      <c r="K332" s="167"/>
      <c r="L332" s="132"/>
      <c r="M332" s="125"/>
      <c r="N332" s="133"/>
      <c r="O332" s="134"/>
      <c r="P332" s="135"/>
      <c r="Q332" s="135"/>
      <c r="R332" s="134"/>
      <c r="S332" s="134"/>
      <c r="T332" s="135"/>
      <c r="U332" s="135"/>
      <c r="V332" s="134"/>
    </row>
    <row r="333" spans="1:22" ht="15" customHeight="1" x14ac:dyDescent="0.25">
      <c r="A333" s="126" t="s">
        <v>947</v>
      </c>
      <c r="B333" s="127"/>
      <c r="C333" s="128"/>
      <c r="D333" s="129" t="s">
        <v>362</v>
      </c>
      <c r="E333" s="213" t="s">
        <v>948</v>
      </c>
      <c r="F333" s="125"/>
      <c r="G333" s="211" t="s">
        <v>362</v>
      </c>
      <c r="H333" s="130"/>
      <c r="I333" s="189" t="s">
        <v>44</v>
      </c>
      <c r="J333" s="131"/>
      <c r="K333" s="167"/>
      <c r="L333" s="132"/>
      <c r="M333" s="125"/>
      <c r="N333" s="133"/>
      <c r="O333" s="134"/>
      <c r="P333" s="135"/>
      <c r="Q333" s="135"/>
      <c r="R333" s="134"/>
      <c r="S333" s="134"/>
      <c r="T333" s="135"/>
      <c r="U333" s="135"/>
      <c r="V333" s="134"/>
    </row>
    <row r="334" spans="1:22" ht="15" hidden="1" customHeight="1" x14ac:dyDescent="0.25">
      <c r="A334" s="126" t="s">
        <v>949</v>
      </c>
      <c r="B334" s="127"/>
      <c r="C334" s="128"/>
      <c r="D334" s="129" t="s">
        <v>362</v>
      </c>
      <c r="E334" s="213" t="s">
        <v>950</v>
      </c>
      <c r="F334" s="125"/>
      <c r="G334" s="211" t="s">
        <v>276</v>
      </c>
      <c r="H334" s="130"/>
      <c r="I334" s="189"/>
      <c r="J334" s="131"/>
      <c r="K334" s="167"/>
      <c r="L334" s="132"/>
      <c r="M334" s="125"/>
      <c r="N334" s="133"/>
      <c r="O334" s="134"/>
      <c r="P334" s="135"/>
      <c r="Q334" s="135"/>
      <c r="R334" s="134"/>
      <c r="S334" s="134"/>
      <c r="T334" s="135"/>
      <c r="U334" s="135"/>
      <c r="V334" s="134"/>
    </row>
    <row r="335" spans="1:22" ht="15" hidden="1" customHeight="1" x14ac:dyDescent="0.25">
      <c r="A335" s="126" t="s">
        <v>951</v>
      </c>
      <c r="B335" s="127"/>
      <c r="C335" s="128"/>
      <c r="D335" s="129" t="s">
        <v>362</v>
      </c>
      <c r="E335" s="213" t="s">
        <v>952</v>
      </c>
      <c r="F335" s="125"/>
      <c r="G335" s="211" t="s">
        <v>276</v>
      </c>
      <c r="H335" s="130"/>
      <c r="I335" s="189"/>
      <c r="J335" s="131"/>
      <c r="K335" s="167"/>
      <c r="L335" s="132"/>
      <c r="M335" s="125"/>
      <c r="N335" s="133"/>
      <c r="O335" s="134"/>
      <c r="P335" s="135"/>
      <c r="Q335" s="135"/>
      <c r="R335" s="134"/>
      <c r="S335" s="134"/>
      <c r="T335" s="135"/>
      <c r="U335" s="135"/>
      <c r="V335" s="134"/>
    </row>
    <row r="336" spans="1:22" ht="15" hidden="1" customHeight="1" x14ac:dyDescent="0.25">
      <c r="A336" s="126" t="s">
        <v>953</v>
      </c>
      <c r="B336" s="127"/>
      <c r="C336" s="128"/>
      <c r="D336" s="129" t="s">
        <v>362</v>
      </c>
      <c r="E336" s="213" t="s">
        <v>954</v>
      </c>
      <c r="F336" s="125"/>
      <c r="G336" s="211" t="s">
        <v>276</v>
      </c>
      <c r="H336" s="130"/>
      <c r="I336" s="189"/>
      <c r="J336" s="131"/>
      <c r="K336" s="167"/>
      <c r="L336" s="132"/>
      <c r="M336" s="125"/>
      <c r="N336" s="133"/>
      <c r="O336" s="134"/>
      <c r="P336" s="135"/>
      <c r="Q336" s="135"/>
      <c r="R336" s="134"/>
      <c r="S336" s="134"/>
      <c r="T336" s="135"/>
      <c r="U336" s="135"/>
      <c r="V336" s="134"/>
    </row>
    <row r="337" spans="1:22" ht="15" hidden="1" customHeight="1" x14ac:dyDescent="0.25">
      <c r="A337" s="126" t="s">
        <v>955</v>
      </c>
      <c r="B337" s="127"/>
      <c r="C337" s="128"/>
      <c r="D337" s="129" t="s">
        <v>435</v>
      </c>
      <c r="E337" s="213" t="s">
        <v>956</v>
      </c>
      <c r="F337" s="125"/>
      <c r="G337" s="211" t="s">
        <v>276</v>
      </c>
      <c r="H337" s="130"/>
      <c r="I337" s="189"/>
      <c r="J337" s="131"/>
      <c r="K337" s="167"/>
      <c r="L337" s="132"/>
      <c r="M337" s="125"/>
      <c r="N337" s="133"/>
      <c r="O337" s="134"/>
      <c r="P337" s="135"/>
      <c r="Q337" s="135"/>
      <c r="R337" s="134"/>
      <c r="S337" s="134"/>
      <c r="T337" s="135"/>
      <c r="U337" s="135"/>
      <c r="V337" s="134"/>
    </row>
    <row r="338" spans="1:22" ht="15" hidden="1" customHeight="1" x14ac:dyDescent="0.25">
      <c r="A338" s="126" t="s">
        <v>957</v>
      </c>
      <c r="B338" s="127"/>
      <c r="C338" s="128"/>
      <c r="D338" s="129" t="s">
        <v>362</v>
      </c>
      <c r="E338" s="213" t="s">
        <v>958</v>
      </c>
      <c r="F338" s="125"/>
      <c r="G338" s="211" t="s">
        <v>276</v>
      </c>
      <c r="H338" s="130"/>
      <c r="I338" s="189"/>
      <c r="J338" s="131"/>
      <c r="K338" s="167"/>
      <c r="L338" s="132"/>
      <c r="M338" s="125"/>
      <c r="N338" s="133"/>
      <c r="O338" s="134"/>
      <c r="P338" s="135"/>
      <c r="Q338" s="135"/>
      <c r="R338" s="134"/>
      <c r="S338" s="134"/>
      <c r="T338" s="135"/>
      <c r="U338" s="135"/>
      <c r="V338" s="134"/>
    </row>
    <row r="339" spans="1:22" ht="15" hidden="1" customHeight="1" x14ac:dyDescent="0.25">
      <c r="A339" s="126" t="s">
        <v>959</v>
      </c>
      <c r="B339" s="127"/>
      <c r="C339" s="128"/>
      <c r="D339" s="129" t="s">
        <v>377</v>
      </c>
      <c r="E339" s="213" t="s">
        <v>960</v>
      </c>
      <c r="F339" s="125"/>
      <c r="G339" s="211" t="s">
        <v>276</v>
      </c>
      <c r="H339" s="130"/>
      <c r="I339" s="189"/>
      <c r="J339" s="131"/>
      <c r="K339" s="167"/>
      <c r="L339" s="132"/>
      <c r="M339" s="125"/>
      <c r="N339" s="133"/>
      <c r="O339" s="134"/>
      <c r="P339" s="135"/>
      <c r="Q339" s="135"/>
      <c r="R339" s="134"/>
      <c r="S339" s="134"/>
      <c r="T339" s="135"/>
      <c r="U339" s="135"/>
      <c r="V339" s="134"/>
    </row>
    <row r="340" spans="1:22" ht="15" hidden="1" customHeight="1" x14ac:dyDescent="0.25">
      <c r="A340" s="126" t="s">
        <v>961</v>
      </c>
      <c r="B340" s="127"/>
      <c r="C340" s="128"/>
      <c r="D340" s="129" t="s">
        <v>362</v>
      </c>
      <c r="E340" s="213" t="s">
        <v>962</v>
      </c>
      <c r="F340" s="125"/>
      <c r="G340" s="211" t="s">
        <v>276</v>
      </c>
      <c r="H340" s="130"/>
      <c r="I340" s="189"/>
      <c r="J340" s="131"/>
      <c r="K340" s="167"/>
      <c r="L340" s="132"/>
      <c r="M340" s="125"/>
      <c r="N340" s="133"/>
      <c r="O340" s="134"/>
      <c r="P340" s="135"/>
      <c r="Q340" s="135"/>
      <c r="R340" s="134"/>
      <c r="S340" s="134"/>
      <c r="T340" s="135"/>
      <c r="U340" s="135"/>
      <c r="V340" s="134"/>
    </row>
    <row r="341" spans="1:22" ht="15" customHeight="1" x14ac:dyDescent="0.25">
      <c r="A341" s="126" t="s">
        <v>963</v>
      </c>
      <c r="B341" s="127"/>
      <c r="C341" s="128"/>
      <c r="D341" s="129" t="s">
        <v>398</v>
      </c>
      <c r="E341" s="213" t="s">
        <v>964</v>
      </c>
      <c r="F341" s="125"/>
      <c r="G341" s="211" t="s">
        <v>398</v>
      </c>
      <c r="H341" s="130"/>
      <c r="I341" s="189" t="s">
        <v>44</v>
      </c>
      <c r="J341" s="131"/>
      <c r="K341" s="167"/>
      <c r="L341" s="132"/>
      <c r="M341" s="125"/>
      <c r="N341" s="133"/>
      <c r="O341" s="134"/>
      <c r="P341" s="135"/>
      <c r="Q341" s="135"/>
      <c r="R341" s="134"/>
      <c r="S341" s="134"/>
      <c r="T341" s="135"/>
      <c r="U341" s="135"/>
      <c r="V341" s="134"/>
    </row>
    <row r="342" spans="1:22" ht="15" hidden="1" customHeight="1" x14ac:dyDescent="0.25">
      <c r="A342" s="126" t="s">
        <v>965</v>
      </c>
      <c r="B342" s="127"/>
      <c r="C342" s="128"/>
      <c r="D342" s="129" t="s">
        <v>435</v>
      </c>
      <c r="E342" s="213" t="s">
        <v>966</v>
      </c>
      <c r="F342" s="125"/>
      <c r="G342" s="211" t="s">
        <v>276</v>
      </c>
      <c r="H342" s="130"/>
      <c r="I342" s="189"/>
      <c r="J342" s="131"/>
      <c r="K342" s="167"/>
      <c r="L342" s="132"/>
      <c r="M342" s="125"/>
      <c r="N342" s="133"/>
      <c r="O342" s="134"/>
      <c r="P342" s="135"/>
      <c r="Q342" s="135"/>
      <c r="R342" s="134"/>
      <c r="S342" s="134"/>
      <c r="T342" s="135"/>
      <c r="U342" s="135"/>
      <c r="V342" s="134"/>
    </row>
    <row r="343" spans="1:22" ht="15" hidden="1" customHeight="1" x14ac:dyDescent="0.25">
      <c r="A343" s="126" t="s">
        <v>967</v>
      </c>
      <c r="B343" s="127"/>
      <c r="C343" s="128"/>
      <c r="D343" s="129" t="s">
        <v>435</v>
      </c>
      <c r="E343" s="213" t="s">
        <v>968</v>
      </c>
      <c r="F343" s="125"/>
      <c r="G343" s="211" t="s">
        <v>276</v>
      </c>
      <c r="H343" s="130"/>
      <c r="I343" s="189"/>
      <c r="J343" s="131"/>
      <c r="K343" s="167"/>
      <c r="L343" s="132"/>
      <c r="M343" s="125"/>
      <c r="N343" s="133"/>
      <c r="O343" s="134"/>
      <c r="P343" s="135"/>
      <c r="Q343" s="135"/>
      <c r="R343" s="134"/>
      <c r="S343" s="134"/>
      <c r="T343" s="135"/>
      <c r="U343" s="135"/>
      <c r="V343" s="134"/>
    </row>
    <row r="344" spans="1:22" ht="15" hidden="1" customHeight="1" x14ac:dyDescent="0.25">
      <c r="A344" s="126" t="s">
        <v>969</v>
      </c>
      <c r="B344" s="127"/>
      <c r="C344" s="128"/>
      <c r="D344" s="129" t="s">
        <v>435</v>
      </c>
      <c r="E344" s="213" t="s">
        <v>970</v>
      </c>
      <c r="F344" s="125"/>
      <c r="G344" s="211" t="s">
        <v>276</v>
      </c>
      <c r="H344" s="130"/>
      <c r="I344" s="189"/>
      <c r="J344" s="131"/>
      <c r="K344" s="167"/>
      <c r="L344" s="132"/>
      <c r="M344" s="125"/>
      <c r="N344" s="133"/>
      <c r="O344" s="134"/>
      <c r="P344" s="135"/>
      <c r="Q344" s="135"/>
      <c r="R344" s="134"/>
      <c r="S344" s="134"/>
      <c r="T344" s="135"/>
      <c r="U344" s="135"/>
      <c r="V344" s="134"/>
    </row>
    <row r="345" spans="1:22" ht="15" hidden="1" customHeight="1" x14ac:dyDescent="0.25">
      <c r="A345" s="126" t="s">
        <v>971</v>
      </c>
      <c r="B345" s="127"/>
      <c r="C345" s="128"/>
      <c r="D345" s="129" t="s">
        <v>416</v>
      </c>
      <c r="E345" s="213" t="s">
        <v>972</v>
      </c>
      <c r="F345" s="125"/>
      <c r="G345" s="211" t="s">
        <v>276</v>
      </c>
      <c r="H345" s="130"/>
      <c r="I345" s="189"/>
      <c r="J345" s="131"/>
      <c r="K345" s="167"/>
      <c r="L345" s="132"/>
      <c r="M345" s="125"/>
      <c r="N345" s="133"/>
      <c r="O345" s="134"/>
      <c r="P345" s="135"/>
      <c r="Q345" s="135"/>
      <c r="R345" s="134"/>
      <c r="S345" s="134"/>
      <c r="T345" s="135"/>
      <c r="U345" s="135"/>
      <c r="V345" s="134"/>
    </row>
    <row r="346" spans="1:22" ht="15" hidden="1" customHeight="1" x14ac:dyDescent="0.25">
      <c r="A346" s="126" t="s">
        <v>973</v>
      </c>
      <c r="B346" s="127"/>
      <c r="C346" s="128"/>
      <c r="D346" s="129" t="s">
        <v>416</v>
      </c>
      <c r="E346" s="213" t="s">
        <v>974</v>
      </c>
      <c r="F346" s="125"/>
      <c r="G346" s="211" t="s">
        <v>276</v>
      </c>
      <c r="H346" s="130"/>
      <c r="I346" s="189"/>
      <c r="J346" s="131"/>
      <c r="K346" s="167"/>
      <c r="L346" s="132"/>
      <c r="M346" s="125"/>
      <c r="N346" s="133"/>
      <c r="O346" s="134"/>
      <c r="P346" s="135"/>
      <c r="Q346" s="135"/>
      <c r="R346" s="134"/>
      <c r="S346" s="134"/>
      <c r="T346" s="135"/>
      <c r="U346" s="135"/>
      <c r="V346" s="134"/>
    </row>
    <row r="347" spans="1:22" ht="15" hidden="1" customHeight="1" x14ac:dyDescent="0.25">
      <c r="A347" s="126" t="s">
        <v>975</v>
      </c>
      <c r="B347" s="127"/>
      <c r="C347" s="128"/>
      <c r="D347" s="129" t="s">
        <v>416</v>
      </c>
      <c r="E347" s="213" t="s">
        <v>976</v>
      </c>
      <c r="F347" s="125"/>
      <c r="G347" s="211" t="s">
        <v>276</v>
      </c>
      <c r="H347" s="130"/>
      <c r="I347" s="189"/>
      <c r="J347" s="131"/>
      <c r="K347" s="167"/>
      <c r="L347" s="132"/>
      <c r="M347" s="125"/>
      <c r="N347" s="133"/>
      <c r="O347" s="134"/>
      <c r="P347" s="135"/>
      <c r="Q347" s="135"/>
      <c r="R347" s="134"/>
      <c r="S347" s="134"/>
      <c r="T347" s="135"/>
      <c r="U347" s="135"/>
      <c r="V347" s="134"/>
    </row>
    <row r="348" spans="1:22" ht="15" hidden="1" customHeight="1" x14ac:dyDescent="0.25">
      <c r="A348" s="126" t="s">
        <v>977</v>
      </c>
      <c r="B348" s="127"/>
      <c r="C348" s="128"/>
      <c r="D348" s="129" t="s">
        <v>435</v>
      </c>
      <c r="E348" s="213" t="s">
        <v>978</v>
      </c>
      <c r="F348" s="125"/>
      <c r="G348" s="211" t="s">
        <v>276</v>
      </c>
      <c r="H348" s="130"/>
      <c r="I348" s="189"/>
      <c r="J348" s="131"/>
      <c r="K348" s="167"/>
      <c r="L348" s="132"/>
      <c r="M348" s="125"/>
      <c r="N348" s="133"/>
      <c r="O348" s="134"/>
      <c r="P348" s="135"/>
      <c r="Q348" s="135"/>
      <c r="R348" s="134"/>
      <c r="S348" s="134"/>
      <c r="T348" s="135"/>
      <c r="U348" s="135"/>
      <c r="V348" s="134"/>
    </row>
    <row r="349" spans="1:22" ht="15" hidden="1" customHeight="1" x14ac:dyDescent="0.25">
      <c r="A349" s="126" t="s">
        <v>979</v>
      </c>
      <c r="B349" s="127"/>
      <c r="C349" s="128"/>
      <c r="D349" s="129" t="s">
        <v>362</v>
      </c>
      <c r="E349" s="213" t="s">
        <v>980</v>
      </c>
      <c r="F349" s="125"/>
      <c r="G349" s="211" t="s">
        <v>276</v>
      </c>
      <c r="H349" s="130"/>
      <c r="I349" s="189"/>
      <c r="J349" s="131"/>
      <c r="K349" s="167"/>
      <c r="L349" s="132"/>
      <c r="M349" s="125"/>
      <c r="N349" s="133"/>
      <c r="O349" s="134"/>
      <c r="P349" s="135"/>
      <c r="Q349" s="135"/>
      <c r="R349" s="134"/>
      <c r="S349" s="134"/>
      <c r="T349" s="135"/>
      <c r="U349" s="135"/>
      <c r="V349" s="134"/>
    </row>
    <row r="350" spans="1:22" ht="15" hidden="1" customHeight="1" x14ac:dyDescent="0.25">
      <c r="A350" s="126" t="s">
        <v>981</v>
      </c>
      <c r="B350" s="127"/>
      <c r="C350" s="128"/>
      <c r="D350" s="129" t="s">
        <v>416</v>
      </c>
      <c r="E350" s="213" t="s">
        <v>982</v>
      </c>
      <c r="F350" s="125"/>
      <c r="G350" s="211" t="s">
        <v>276</v>
      </c>
      <c r="H350" s="130"/>
      <c r="I350" s="189"/>
      <c r="J350" s="131"/>
      <c r="K350" s="167"/>
      <c r="L350" s="132"/>
      <c r="M350" s="125"/>
      <c r="N350" s="133"/>
      <c r="O350" s="134"/>
      <c r="P350" s="135"/>
      <c r="Q350" s="135"/>
      <c r="R350" s="134"/>
      <c r="S350" s="134"/>
      <c r="T350" s="135"/>
      <c r="U350" s="135"/>
      <c r="V350" s="134"/>
    </row>
    <row r="351" spans="1:22" ht="15" hidden="1" customHeight="1" x14ac:dyDescent="0.25">
      <c r="A351" s="126" t="s">
        <v>983</v>
      </c>
      <c r="B351" s="127"/>
      <c r="C351" s="128"/>
      <c r="D351" s="129" t="s">
        <v>362</v>
      </c>
      <c r="E351" s="213" t="s">
        <v>984</v>
      </c>
      <c r="F351" s="125"/>
      <c r="G351" s="211" t="s">
        <v>276</v>
      </c>
      <c r="H351" s="130"/>
      <c r="I351" s="189"/>
      <c r="J351" s="131"/>
      <c r="K351" s="167"/>
      <c r="L351" s="132"/>
      <c r="M351" s="125"/>
      <c r="N351" s="133"/>
      <c r="O351" s="134"/>
      <c r="P351" s="135"/>
      <c r="Q351" s="135"/>
      <c r="R351" s="134"/>
      <c r="S351" s="134"/>
      <c r="T351" s="135"/>
      <c r="U351" s="135"/>
      <c r="V351" s="134"/>
    </row>
    <row r="352" spans="1:22" ht="15" hidden="1" customHeight="1" x14ac:dyDescent="0.25">
      <c r="A352" s="126" t="s">
        <v>985</v>
      </c>
      <c r="B352" s="127"/>
      <c r="C352" s="128"/>
      <c r="D352" s="129" t="s">
        <v>435</v>
      </c>
      <c r="E352" s="213" t="s">
        <v>986</v>
      </c>
      <c r="F352" s="125"/>
      <c r="G352" s="211" t="s">
        <v>276</v>
      </c>
      <c r="H352" s="130"/>
      <c r="I352" s="189"/>
      <c r="J352" s="131"/>
      <c r="K352" s="167"/>
      <c r="L352" s="132"/>
      <c r="M352" s="125"/>
      <c r="N352" s="133"/>
      <c r="O352" s="134"/>
      <c r="P352" s="135"/>
      <c r="Q352" s="135"/>
      <c r="R352" s="134"/>
      <c r="S352" s="134"/>
      <c r="T352" s="135"/>
      <c r="U352" s="135"/>
      <c r="V352" s="134"/>
    </row>
    <row r="353" spans="1:22" ht="15" hidden="1" customHeight="1" x14ac:dyDescent="0.25">
      <c r="A353" s="126" t="s">
        <v>987</v>
      </c>
      <c r="B353" s="127"/>
      <c r="C353" s="128"/>
      <c r="D353" s="129" t="s">
        <v>435</v>
      </c>
      <c r="E353" s="213" t="s">
        <v>988</v>
      </c>
      <c r="F353" s="125"/>
      <c r="G353" s="211" t="s">
        <v>276</v>
      </c>
      <c r="H353" s="130"/>
      <c r="I353" s="189"/>
      <c r="J353" s="131"/>
      <c r="K353" s="167"/>
      <c r="L353" s="132"/>
      <c r="M353" s="125"/>
      <c r="N353" s="133"/>
      <c r="O353" s="134"/>
      <c r="P353" s="135"/>
      <c r="Q353" s="135"/>
      <c r="R353" s="134"/>
      <c r="S353" s="134"/>
      <c r="T353" s="135"/>
      <c r="U353" s="135"/>
      <c r="V353" s="134"/>
    </row>
    <row r="354" spans="1:22" ht="15" hidden="1" customHeight="1" x14ac:dyDescent="0.25">
      <c r="A354" s="126" t="s">
        <v>989</v>
      </c>
      <c r="B354" s="127"/>
      <c r="C354" s="128"/>
      <c r="D354" s="129" t="s">
        <v>416</v>
      </c>
      <c r="E354" s="213" t="s">
        <v>990</v>
      </c>
      <c r="F354" s="125"/>
      <c r="G354" s="211" t="s">
        <v>276</v>
      </c>
      <c r="H354" s="130"/>
      <c r="I354" s="189"/>
      <c r="J354" s="131"/>
      <c r="K354" s="167"/>
      <c r="L354" s="132"/>
      <c r="M354" s="125"/>
      <c r="N354" s="133"/>
      <c r="O354" s="134"/>
      <c r="P354" s="135"/>
      <c r="Q354" s="135"/>
      <c r="R354" s="134"/>
      <c r="S354" s="134"/>
      <c r="T354" s="135"/>
      <c r="U354" s="135"/>
      <c r="V354" s="134"/>
    </row>
    <row r="355" spans="1:22" ht="15" hidden="1" customHeight="1" x14ac:dyDescent="0.25">
      <c r="A355" s="126" t="s">
        <v>991</v>
      </c>
      <c r="B355" s="127"/>
      <c r="C355" s="128"/>
      <c r="D355" s="129" t="s">
        <v>416</v>
      </c>
      <c r="E355" s="213" t="s">
        <v>992</v>
      </c>
      <c r="F355" s="125"/>
      <c r="G355" s="211" t="s">
        <v>276</v>
      </c>
      <c r="H355" s="130"/>
      <c r="I355" s="189"/>
      <c r="J355" s="131"/>
      <c r="K355" s="167"/>
      <c r="L355" s="132"/>
      <c r="M355" s="125"/>
      <c r="N355" s="133"/>
      <c r="O355" s="134"/>
      <c r="P355" s="135"/>
      <c r="Q355" s="135"/>
      <c r="R355" s="134"/>
      <c r="S355" s="134"/>
      <c r="T355" s="135"/>
      <c r="U355" s="135"/>
      <c r="V355" s="134"/>
    </row>
    <row r="356" spans="1:22" ht="15" hidden="1" customHeight="1" x14ac:dyDescent="0.25">
      <c r="A356" s="126" t="s">
        <v>993</v>
      </c>
      <c r="B356" s="127"/>
      <c r="C356" s="128"/>
      <c r="D356" s="129" t="s">
        <v>435</v>
      </c>
      <c r="E356" s="213" t="s">
        <v>882</v>
      </c>
      <c r="F356" s="125"/>
      <c r="G356" s="211" t="s">
        <v>276</v>
      </c>
      <c r="H356" s="130"/>
      <c r="I356" s="189"/>
      <c r="J356" s="131"/>
      <c r="K356" s="167"/>
      <c r="L356" s="132"/>
      <c r="M356" s="125"/>
      <c r="N356" s="133"/>
      <c r="O356" s="134"/>
      <c r="P356" s="135"/>
      <c r="Q356" s="135"/>
      <c r="R356" s="134"/>
      <c r="S356" s="134"/>
      <c r="T356" s="135"/>
      <c r="U356" s="135"/>
      <c r="V356" s="134"/>
    </row>
    <row r="357" spans="1:22" ht="15" hidden="1" customHeight="1" x14ac:dyDescent="0.25">
      <c r="A357" s="126" t="s">
        <v>994</v>
      </c>
      <c r="B357" s="127"/>
      <c r="C357" s="128"/>
      <c r="D357" s="129" t="s">
        <v>416</v>
      </c>
      <c r="E357" s="213" t="s">
        <v>995</v>
      </c>
      <c r="F357" s="125"/>
      <c r="G357" s="211" t="s">
        <v>276</v>
      </c>
      <c r="H357" s="130"/>
      <c r="I357" s="189"/>
      <c r="J357" s="131"/>
      <c r="K357" s="167"/>
      <c r="L357" s="132"/>
      <c r="M357" s="125"/>
      <c r="N357" s="133"/>
      <c r="O357" s="134"/>
      <c r="P357" s="135"/>
      <c r="Q357" s="135"/>
      <c r="R357" s="134"/>
      <c r="S357" s="134"/>
      <c r="T357" s="135"/>
      <c r="U357" s="135"/>
      <c r="V357" s="134"/>
    </row>
    <row r="358" spans="1:22" ht="15" hidden="1" customHeight="1" x14ac:dyDescent="0.25">
      <c r="A358" s="126" t="s">
        <v>996</v>
      </c>
      <c r="B358" s="127"/>
      <c r="C358" s="128"/>
      <c r="D358" s="129" t="s">
        <v>416</v>
      </c>
      <c r="E358" s="213" t="s">
        <v>997</v>
      </c>
      <c r="F358" s="125"/>
      <c r="G358" s="211" t="s">
        <v>276</v>
      </c>
      <c r="H358" s="130"/>
      <c r="I358" s="189"/>
      <c r="J358" s="131"/>
      <c r="K358" s="167"/>
      <c r="L358" s="132"/>
      <c r="M358" s="125"/>
      <c r="N358" s="133"/>
      <c r="O358" s="134"/>
      <c r="P358" s="135"/>
      <c r="Q358" s="135"/>
      <c r="R358" s="134"/>
      <c r="S358" s="134"/>
      <c r="T358" s="135"/>
      <c r="U358" s="135"/>
      <c r="V358" s="134"/>
    </row>
    <row r="359" spans="1:22" ht="15" hidden="1" customHeight="1" x14ac:dyDescent="0.25">
      <c r="A359" s="126" t="s">
        <v>998</v>
      </c>
      <c r="B359" s="127"/>
      <c r="C359" s="128"/>
      <c r="D359" s="129" t="s">
        <v>377</v>
      </c>
      <c r="E359" s="213" t="s">
        <v>999</v>
      </c>
      <c r="F359" s="125"/>
      <c r="G359" s="211" t="s">
        <v>276</v>
      </c>
      <c r="H359" s="130"/>
      <c r="I359" s="189"/>
      <c r="J359" s="131"/>
      <c r="K359" s="167"/>
      <c r="L359" s="132"/>
      <c r="M359" s="125"/>
      <c r="N359" s="133"/>
      <c r="O359" s="134"/>
      <c r="P359" s="135"/>
      <c r="Q359" s="135"/>
      <c r="R359" s="134"/>
      <c r="S359" s="134"/>
      <c r="T359" s="135"/>
      <c r="U359" s="135"/>
      <c r="V359" s="134"/>
    </row>
    <row r="360" spans="1:22" ht="15" hidden="1" customHeight="1" x14ac:dyDescent="0.25">
      <c r="A360" s="126" t="s">
        <v>1000</v>
      </c>
      <c r="B360" s="127"/>
      <c r="C360" s="128"/>
      <c r="D360" s="129" t="s">
        <v>377</v>
      </c>
      <c r="E360" s="213" t="s">
        <v>1001</v>
      </c>
      <c r="F360" s="125"/>
      <c r="G360" s="211" t="s">
        <v>276</v>
      </c>
      <c r="H360" s="130"/>
      <c r="I360" s="189"/>
      <c r="J360" s="131"/>
      <c r="K360" s="167"/>
      <c r="L360" s="132"/>
      <c r="M360" s="125"/>
      <c r="N360" s="133"/>
      <c r="O360" s="134"/>
      <c r="P360" s="135"/>
      <c r="Q360" s="135"/>
      <c r="R360" s="134"/>
      <c r="S360" s="134"/>
      <c r="T360" s="135"/>
      <c r="U360" s="135"/>
      <c r="V360" s="134"/>
    </row>
    <row r="361" spans="1:22" ht="15" hidden="1" customHeight="1" x14ac:dyDescent="0.25">
      <c r="A361" s="126" t="s">
        <v>1002</v>
      </c>
      <c r="B361" s="127"/>
      <c r="C361" s="128"/>
      <c r="D361" s="129" t="s">
        <v>377</v>
      </c>
      <c r="E361" s="213" t="s">
        <v>1003</v>
      </c>
      <c r="F361" s="125"/>
      <c r="G361" s="211" t="s">
        <v>276</v>
      </c>
      <c r="H361" s="130"/>
      <c r="I361" s="189"/>
      <c r="J361" s="131"/>
      <c r="K361" s="167"/>
      <c r="L361" s="132"/>
      <c r="M361" s="125"/>
      <c r="N361" s="133"/>
      <c r="O361" s="134"/>
      <c r="P361" s="135"/>
      <c r="Q361" s="135"/>
      <c r="R361" s="134"/>
      <c r="S361" s="134"/>
      <c r="T361" s="135"/>
      <c r="U361" s="135"/>
      <c r="V361" s="134"/>
    </row>
    <row r="362" spans="1:22" ht="15" hidden="1" customHeight="1" x14ac:dyDescent="0.25">
      <c r="A362" s="126" t="s">
        <v>1004</v>
      </c>
      <c r="B362" s="127"/>
      <c r="C362" s="128"/>
      <c r="D362" s="129" t="s">
        <v>377</v>
      </c>
      <c r="E362" s="213" t="s">
        <v>1005</v>
      </c>
      <c r="F362" s="125"/>
      <c r="G362" s="211" t="s">
        <v>276</v>
      </c>
      <c r="H362" s="130"/>
      <c r="I362" s="189"/>
      <c r="J362" s="131"/>
      <c r="K362" s="167"/>
      <c r="L362" s="132"/>
      <c r="M362" s="125"/>
      <c r="N362" s="133"/>
      <c r="O362" s="134"/>
      <c r="P362" s="135"/>
      <c r="Q362" s="135"/>
      <c r="R362" s="134"/>
      <c r="S362" s="134"/>
      <c r="T362" s="135"/>
      <c r="U362" s="135"/>
      <c r="V362" s="134"/>
    </row>
    <row r="363" spans="1:22" ht="15" hidden="1" customHeight="1" x14ac:dyDescent="0.25">
      <c r="A363" s="126" t="s">
        <v>1006</v>
      </c>
      <c r="B363" s="127"/>
      <c r="C363" s="128"/>
      <c r="D363" s="129" t="s">
        <v>377</v>
      </c>
      <c r="E363" s="213" t="s">
        <v>1007</v>
      </c>
      <c r="F363" s="125"/>
      <c r="G363" s="211" t="s">
        <v>276</v>
      </c>
      <c r="H363" s="130"/>
      <c r="I363" s="189"/>
      <c r="J363" s="131"/>
      <c r="K363" s="167"/>
      <c r="L363" s="132"/>
      <c r="M363" s="125"/>
      <c r="N363" s="133"/>
      <c r="O363" s="134"/>
      <c r="P363" s="135"/>
      <c r="Q363" s="135"/>
      <c r="R363" s="134"/>
      <c r="S363" s="134"/>
      <c r="T363" s="135"/>
      <c r="U363" s="135"/>
      <c r="V363" s="134"/>
    </row>
    <row r="364" spans="1:22" ht="15" hidden="1" customHeight="1" x14ac:dyDescent="0.25">
      <c r="A364" s="126" t="s">
        <v>1008</v>
      </c>
      <c r="B364" s="127"/>
      <c r="C364" s="128"/>
      <c r="D364" s="129" t="s">
        <v>377</v>
      </c>
      <c r="E364" s="213" t="s">
        <v>1009</v>
      </c>
      <c r="F364" s="125"/>
      <c r="G364" s="211" t="s">
        <v>276</v>
      </c>
      <c r="H364" s="130"/>
      <c r="I364" s="189"/>
      <c r="J364" s="131"/>
      <c r="K364" s="167"/>
      <c r="L364" s="132"/>
      <c r="M364" s="125"/>
      <c r="N364" s="133"/>
      <c r="O364" s="134"/>
      <c r="P364" s="135"/>
      <c r="Q364" s="135"/>
      <c r="R364" s="134"/>
      <c r="S364" s="134"/>
      <c r="T364" s="135"/>
      <c r="U364" s="135"/>
      <c r="V364" s="134"/>
    </row>
    <row r="365" spans="1:22" ht="15" hidden="1" customHeight="1" x14ac:dyDescent="0.25">
      <c r="A365" s="126" t="s">
        <v>1010</v>
      </c>
      <c r="B365" s="127"/>
      <c r="C365" s="128"/>
      <c r="D365" s="129" t="s">
        <v>377</v>
      </c>
      <c r="E365" s="213" t="s">
        <v>1011</v>
      </c>
      <c r="F365" s="125"/>
      <c r="G365" s="211" t="s">
        <v>276</v>
      </c>
      <c r="H365" s="130"/>
      <c r="I365" s="189"/>
      <c r="J365" s="131"/>
      <c r="K365" s="167"/>
      <c r="L365" s="132"/>
      <c r="M365" s="125"/>
      <c r="N365" s="133"/>
      <c r="O365" s="134"/>
      <c r="P365" s="135"/>
      <c r="Q365" s="135"/>
      <c r="R365" s="134"/>
      <c r="S365" s="134"/>
      <c r="T365" s="135"/>
      <c r="U365" s="135"/>
      <c r="V365" s="134"/>
    </row>
    <row r="366" spans="1:22" ht="15" hidden="1" customHeight="1" x14ac:dyDescent="0.25">
      <c r="A366" s="126" t="s">
        <v>1012</v>
      </c>
      <c r="B366" s="127"/>
      <c r="C366" s="128"/>
      <c r="D366" s="129" t="s">
        <v>377</v>
      </c>
      <c r="E366" s="213" t="s">
        <v>1013</v>
      </c>
      <c r="F366" s="125"/>
      <c r="G366" s="211" t="s">
        <v>276</v>
      </c>
      <c r="H366" s="130"/>
      <c r="I366" s="189"/>
      <c r="J366" s="131"/>
      <c r="K366" s="167"/>
      <c r="L366" s="132"/>
      <c r="M366" s="125"/>
      <c r="N366" s="133"/>
      <c r="O366" s="134"/>
      <c r="P366" s="135"/>
      <c r="Q366" s="135"/>
      <c r="R366" s="134"/>
      <c r="S366" s="134"/>
      <c r="T366" s="135"/>
      <c r="U366" s="135"/>
      <c r="V366" s="134"/>
    </row>
    <row r="367" spans="1:22" ht="15" hidden="1" customHeight="1" x14ac:dyDescent="0.25">
      <c r="A367" s="126" t="s">
        <v>1014</v>
      </c>
      <c r="B367" s="127"/>
      <c r="C367" s="128"/>
      <c r="D367" s="129" t="s">
        <v>377</v>
      </c>
      <c r="E367" s="213" t="s">
        <v>1015</v>
      </c>
      <c r="F367" s="125"/>
      <c r="G367" s="211" t="s">
        <v>276</v>
      </c>
      <c r="H367" s="130"/>
      <c r="I367" s="189"/>
      <c r="J367" s="131"/>
      <c r="K367" s="167"/>
      <c r="L367" s="132"/>
      <c r="M367" s="125"/>
      <c r="N367" s="133"/>
      <c r="O367" s="134"/>
      <c r="P367" s="135"/>
      <c r="Q367" s="135"/>
      <c r="R367" s="134"/>
      <c r="S367" s="134"/>
      <c r="T367" s="135"/>
      <c r="U367" s="135"/>
      <c r="V367" s="134"/>
    </row>
    <row r="368" spans="1:22" ht="15" hidden="1" customHeight="1" x14ac:dyDescent="0.25">
      <c r="A368" s="126" t="s">
        <v>1016</v>
      </c>
      <c r="B368" s="127"/>
      <c r="C368" s="128"/>
      <c r="D368" s="129" t="s">
        <v>377</v>
      </c>
      <c r="E368" s="213" t="s">
        <v>1017</v>
      </c>
      <c r="F368" s="125"/>
      <c r="G368" s="211" t="s">
        <v>276</v>
      </c>
      <c r="H368" s="130"/>
      <c r="I368" s="189"/>
      <c r="J368" s="131"/>
      <c r="K368" s="167"/>
      <c r="L368" s="132"/>
      <c r="M368" s="125"/>
      <c r="N368" s="133"/>
      <c r="O368" s="134"/>
      <c r="P368" s="135"/>
      <c r="Q368" s="135"/>
      <c r="R368" s="134"/>
      <c r="S368" s="134"/>
      <c r="T368" s="135"/>
      <c r="U368" s="135"/>
      <c r="V368" s="134"/>
    </row>
    <row r="369" spans="1:22" ht="15" customHeight="1" x14ac:dyDescent="0.25">
      <c r="A369" s="126" t="s">
        <v>1018</v>
      </c>
      <c r="B369" s="127"/>
      <c r="C369" s="128"/>
      <c r="D369" s="129" t="s">
        <v>377</v>
      </c>
      <c r="E369" s="213" t="s">
        <v>1019</v>
      </c>
      <c r="F369" s="125"/>
      <c r="G369" s="211" t="s">
        <v>377</v>
      </c>
      <c r="H369" s="130"/>
      <c r="I369" s="189" t="s">
        <v>44</v>
      </c>
      <c r="J369" s="131"/>
      <c r="K369" s="167"/>
      <c r="L369" s="132"/>
      <c r="M369" s="125"/>
      <c r="N369" s="133"/>
      <c r="O369" s="134"/>
      <c r="P369" s="135"/>
      <c r="Q369" s="135"/>
      <c r="R369" s="134"/>
      <c r="S369" s="134"/>
      <c r="T369" s="135"/>
      <c r="U369" s="135"/>
      <c r="V369" s="134"/>
    </row>
    <row r="370" spans="1:22" ht="15" hidden="1" customHeight="1" x14ac:dyDescent="0.25">
      <c r="A370" s="126" t="s">
        <v>1020</v>
      </c>
      <c r="B370" s="127"/>
      <c r="C370" s="128"/>
      <c r="D370" s="129" t="s">
        <v>377</v>
      </c>
      <c r="E370" s="213" t="s">
        <v>1021</v>
      </c>
      <c r="F370" s="125"/>
      <c r="G370" s="211" t="s">
        <v>276</v>
      </c>
      <c r="H370" s="130"/>
      <c r="I370" s="189"/>
      <c r="J370" s="131"/>
      <c r="K370" s="167"/>
      <c r="L370" s="132"/>
      <c r="M370" s="125"/>
      <c r="N370" s="133"/>
      <c r="O370" s="134"/>
      <c r="P370" s="135"/>
      <c r="Q370" s="135"/>
      <c r="R370" s="134"/>
      <c r="S370" s="134"/>
      <c r="T370" s="135"/>
      <c r="U370" s="135"/>
      <c r="V370" s="134"/>
    </row>
    <row r="371" spans="1:22" ht="15" hidden="1" customHeight="1" x14ac:dyDescent="0.25">
      <c r="A371" s="126" t="s">
        <v>1022</v>
      </c>
      <c r="B371" s="127"/>
      <c r="C371" s="128"/>
      <c r="D371" s="129" t="s">
        <v>368</v>
      </c>
      <c r="E371" s="213" t="s">
        <v>1023</v>
      </c>
      <c r="F371" s="125"/>
      <c r="G371" s="211" t="s">
        <v>276</v>
      </c>
      <c r="H371" s="130"/>
      <c r="I371" s="189"/>
      <c r="J371" s="131"/>
      <c r="K371" s="167"/>
      <c r="L371" s="132"/>
      <c r="M371" s="125"/>
      <c r="N371" s="133"/>
      <c r="O371" s="134"/>
      <c r="P371" s="135"/>
      <c r="Q371" s="135"/>
      <c r="R371" s="134"/>
      <c r="S371" s="134"/>
      <c r="T371" s="135"/>
      <c r="U371" s="135"/>
      <c r="V371" s="134"/>
    </row>
    <row r="372" spans="1:22" ht="15" hidden="1" customHeight="1" x14ac:dyDescent="0.25">
      <c r="A372" s="126" t="s">
        <v>1024</v>
      </c>
      <c r="B372" s="127"/>
      <c r="C372" s="128"/>
      <c r="D372" s="129" t="s">
        <v>377</v>
      </c>
      <c r="E372" s="213" t="s">
        <v>1025</v>
      </c>
      <c r="F372" s="125"/>
      <c r="G372" s="211" t="s">
        <v>276</v>
      </c>
      <c r="H372" s="130"/>
      <c r="I372" s="189"/>
      <c r="J372" s="131"/>
      <c r="K372" s="167"/>
      <c r="L372" s="132"/>
      <c r="M372" s="125"/>
      <c r="N372" s="133"/>
      <c r="O372" s="134"/>
      <c r="P372" s="135"/>
      <c r="Q372" s="135"/>
      <c r="R372" s="134"/>
      <c r="S372" s="134"/>
      <c r="T372" s="135"/>
      <c r="U372" s="135"/>
      <c r="V372" s="134"/>
    </row>
    <row r="373" spans="1:22" ht="15" hidden="1" customHeight="1" x14ac:dyDescent="0.25">
      <c r="A373" s="126" t="s">
        <v>1026</v>
      </c>
      <c r="B373" s="127"/>
      <c r="C373" s="128"/>
      <c r="D373" s="129" t="s">
        <v>1027</v>
      </c>
      <c r="E373" s="213" t="s">
        <v>1028</v>
      </c>
      <c r="F373" s="125"/>
      <c r="G373" s="211" t="s">
        <v>276</v>
      </c>
      <c r="H373" s="130"/>
      <c r="I373" s="189"/>
      <c r="J373" s="131"/>
      <c r="K373" s="167"/>
      <c r="L373" s="132"/>
      <c r="M373" s="125"/>
      <c r="N373" s="133"/>
      <c r="O373" s="134"/>
      <c r="P373" s="135"/>
      <c r="Q373" s="135"/>
      <c r="R373" s="134"/>
      <c r="S373" s="134"/>
      <c r="T373" s="135"/>
      <c r="U373" s="135"/>
      <c r="V373" s="134"/>
    </row>
  </sheetData>
  <sheetProtection autoFilter="0"/>
  <autoFilter ref="A36:R373">
    <filterColumn colId="6">
      <filters>
        <filter val="A"/>
        <filter val="D"/>
        <filter val="E"/>
        <filter val="F"/>
        <filter val="G"/>
        <filter val="H"/>
      </filters>
    </filterColumn>
  </autoFilter>
  <dataConsolidate/>
  <mergeCells count="23">
    <mergeCell ref="D26:D33"/>
    <mergeCell ref="O24:V24"/>
    <mergeCell ref="O25:V25"/>
    <mergeCell ref="O26:R27"/>
    <mergeCell ref="O28:R33"/>
    <mergeCell ref="S26:V27"/>
    <mergeCell ref="S28:V33"/>
    <mergeCell ref="E26:E34"/>
    <mergeCell ref="D24:E25"/>
    <mergeCell ref="F24:F25"/>
    <mergeCell ref="N26:N34"/>
    <mergeCell ref="N24:N25"/>
    <mergeCell ref="G24:L25"/>
    <mergeCell ref="G26:L26"/>
    <mergeCell ref="G27:G34"/>
    <mergeCell ref="H27:H34"/>
    <mergeCell ref="I27:L27"/>
    <mergeCell ref="I28:J28"/>
    <mergeCell ref="I29:J29"/>
    <mergeCell ref="I30:J30"/>
    <mergeCell ref="I31:J31"/>
    <mergeCell ref="I32:J32"/>
    <mergeCell ref="I33:J33"/>
  </mergeCells>
  <phoneticPr fontId="4" type="noConversion"/>
  <conditionalFormatting sqref="E36:E37 N36:N37">
    <cfRule type="cellIs" dxfId="48" priority="974" stopIfTrue="1" operator="greaterThan">
      <formula>#REF!</formula>
    </cfRule>
    <cfRule type="cellIs" dxfId="47" priority="975" stopIfTrue="1" operator="equal">
      <formula>""</formula>
    </cfRule>
    <cfRule type="cellIs" dxfId="46" priority="976" stopIfTrue="1" operator="lessThan">
      <formula>#REF!</formula>
    </cfRule>
  </conditionalFormatting>
  <conditionalFormatting sqref="Q37 U37">
    <cfRule type="cellIs" dxfId="45" priority="188" stopIfTrue="1" operator="equal">
      <formula>"NOK"</formula>
    </cfRule>
    <cfRule type="cellIs" dxfId="44" priority="189" stopIfTrue="1" operator="equal">
      <formula>"OK"</formula>
    </cfRule>
    <cfRule type="cellIs" dxfId="43" priority="190" stopIfTrue="1" operator="equal">
      <formula>"Partiel"</formula>
    </cfRule>
  </conditionalFormatting>
  <conditionalFormatting sqref="P37 T37">
    <cfRule type="cellIs" dxfId="42" priority="191" stopIfTrue="1" operator="equal">
      <formula>"Test NOK"</formula>
    </cfRule>
    <cfRule type="cellIs" dxfId="41" priority="192" stopIfTrue="1" operator="equal">
      <formula>"Test OK"</formula>
    </cfRule>
  </conditionalFormatting>
  <conditionalFormatting sqref="I37">
    <cfRule type="expression" priority="44" stopIfTrue="1">
      <formula>G37=""</formula>
    </cfRule>
    <cfRule type="cellIs" dxfId="40" priority="46" operator="equal">
      <formula>"NOK"</formula>
    </cfRule>
    <cfRule type="expression" dxfId="39" priority="59">
      <formula>G37&lt;&gt;"NA"</formula>
    </cfRule>
  </conditionalFormatting>
  <conditionalFormatting sqref="K37">
    <cfRule type="expression" dxfId="38" priority="47">
      <formula>AND(I37="NOK",K37="EN ATTENTE")</formula>
    </cfRule>
    <cfRule type="expression" dxfId="37" priority="48">
      <formula>AND(I37="NOK",K37="")</formula>
    </cfRule>
    <cfRule type="expression" dxfId="36" priority="49">
      <formula>AND(I37="OK",K37="")</formula>
    </cfRule>
    <cfRule type="expression" dxfId="35" priority="50">
      <formula>AND(I37="OK",K37="EN ATTENTE")</formula>
    </cfRule>
    <cfRule type="expression" dxfId="34" priority="51">
      <formula>AND(I37="OK",K37="NOK")</formula>
    </cfRule>
    <cfRule type="expression" dxfId="33" priority="52">
      <formula>AND(I37="NOK",K37="DEVIATION")</formula>
    </cfRule>
    <cfRule type="expression" dxfId="32" priority="53">
      <formula>AND(I37="NOK",K37="NA")</formula>
    </cfRule>
    <cfRule type="expression" dxfId="31" priority="54">
      <formula>AND(I37="OK",K37="OK")</formula>
    </cfRule>
    <cfRule type="expression" dxfId="30" priority="55">
      <formula>AND(I37="OK",K37="NA")</formula>
    </cfRule>
    <cfRule type="expression" dxfId="29" priority="56">
      <formula>AND(I37="NOK",K37="NOK")</formula>
    </cfRule>
  </conditionalFormatting>
  <conditionalFormatting sqref="I37">
    <cfRule type="cellIs" dxfId="28" priority="57" stopIfTrue="1" operator="equal">
      <formula>"NOK"</formula>
    </cfRule>
    <cfRule type="cellIs" dxfId="27" priority="58" stopIfTrue="1" operator="equal">
      <formula>"OK"</formula>
    </cfRule>
  </conditionalFormatting>
  <conditionalFormatting sqref="I37">
    <cfRule type="cellIs" dxfId="26" priority="45" operator="equal">
      <formula>"OK"</formula>
    </cfRule>
  </conditionalFormatting>
  <conditionalFormatting sqref="E38:E373 N38:N373">
    <cfRule type="cellIs" dxfId="25" priority="41" stopIfTrue="1" operator="greaterThan">
      <formula>#REF!</formula>
    </cfRule>
    <cfRule type="cellIs" dxfId="24" priority="42" stopIfTrue="1" operator="equal">
      <formula>""</formula>
    </cfRule>
    <cfRule type="cellIs" dxfId="23" priority="43" stopIfTrue="1" operator="lessThan">
      <formula>#REF!</formula>
    </cfRule>
  </conditionalFormatting>
  <conditionalFormatting sqref="Q38:Q373 U38:U373">
    <cfRule type="cellIs" dxfId="22" priority="35" stopIfTrue="1" operator="equal">
      <formula>"NOK"</formula>
    </cfRule>
    <cfRule type="cellIs" dxfId="21" priority="36" stopIfTrue="1" operator="equal">
      <formula>"OK"</formula>
    </cfRule>
    <cfRule type="cellIs" dxfId="20" priority="37" stopIfTrue="1" operator="equal">
      <formula>"Partiel"</formula>
    </cfRule>
  </conditionalFormatting>
  <conditionalFormatting sqref="P38:P373 T38:T373">
    <cfRule type="cellIs" dxfId="19" priority="38" stopIfTrue="1" operator="equal">
      <formula>"Test NOK"</formula>
    </cfRule>
    <cfRule type="cellIs" dxfId="18" priority="39" stopIfTrue="1" operator="equal">
      <formula>"Test OK"</formula>
    </cfRule>
  </conditionalFormatting>
  <conditionalFormatting sqref="I38:I373">
    <cfRule type="expression" priority="4" stopIfTrue="1">
      <formula>G38=""</formula>
    </cfRule>
    <cfRule type="cellIs" dxfId="17" priority="6" operator="equal">
      <formula>"NOK"</formula>
    </cfRule>
    <cfRule type="expression" dxfId="16" priority="19">
      <formula>G38&lt;&gt;"NA"</formula>
    </cfRule>
  </conditionalFormatting>
  <conditionalFormatting sqref="K38:K373">
    <cfRule type="expression" dxfId="15" priority="7">
      <formula>AND(I38="NOK",K38="EN ATTENTE")</formula>
    </cfRule>
    <cfRule type="expression" dxfId="14" priority="8">
      <formula>AND(I38="NOK",K38="")</formula>
    </cfRule>
    <cfRule type="expression" dxfId="13" priority="9">
      <formula>AND(I38="OK",K38="")</formula>
    </cfRule>
    <cfRule type="expression" dxfId="12" priority="10">
      <formula>AND(I38="OK",K38="EN ATTENTE")</formula>
    </cfRule>
    <cfRule type="expression" dxfId="11" priority="11">
      <formula>AND(I38="OK",K38="NOK")</formula>
    </cfRule>
    <cfRule type="expression" dxfId="10" priority="12">
      <formula>AND(I38="NOK",K38="DEVIATION")</formula>
    </cfRule>
    <cfRule type="expression" dxfId="9" priority="13">
      <formula>AND(I38="NOK",K38="NA")</formula>
    </cfRule>
    <cfRule type="expression" dxfId="8" priority="14">
      <formula>AND(I38="OK",K38="OK")</formula>
    </cfRule>
    <cfRule type="expression" dxfId="7" priority="15">
      <formula>AND(I38="OK",K38="NA")</formula>
    </cfRule>
    <cfRule type="expression" dxfId="6" priority="16">
      <formula>AND(I38="NOK",K38="NOK")</formula>
    </cfRule>
  </conditionalFormatting>
  <conditionalFormatting sqref="I38:I373">
    <cfRule type="cellIs" dxfId="5" priority="17" stopIfTrue="1" operator="equal">
      <formula>"NOK"</formula>
    </cfRule>
    <cfRule type="cellIs" dxfId="4" priority="18" stopIfTrue="1" operator="equal">
      <formula>"OK"</formula>
    </cfRule>
  </conditionalFormatting>
  <conditionalFormatting sqref="I38:I373">
    <cfRule type="cellIs" dxfId="3" priority="5" operator="equal">
      <formula>"OK"</formula>
    </cfRule>
  </conditionalFormatting>
  <conditionalFormatting sqref="D37:D373">
    <cfRule type="expression" dxfId="2" priority="3" stopIfTrue="1">
      <formula>D37&lt;&gt;#REF!</formula>
    </cfRule>
  </conditionalFormatting>
  <conditionalFormatting sqref="D37:D373">
    <cfRule type="expression" dxfId="1" priority="2" stopIfTrue="1">
      <formula>AND(#REF!= "",D37&lt;&gt;"")</formula>
    </cfRule>
  </conditionalFormatting>
  <conditionalFormatting sqref="G37:G373">
    <cfRule type="expression" dxfId="0" priority="1" stopIfTrue="1">
      <formula>OR(G37="",G37="NA")</formula>
    </cfRule>
  </conditionalFormatting>
  <dataValidations count="5">
    <dataValidation type="list" showInputMessage="1" showErrorMessage="1" sqref="I37:I373">
      <formula1>$A$2:$A$3</formula1>
    </dataValidation>
    <dataValidation showDropDown="1" showInputMessage="1" showErrorMessage="1" sqref="J37:J373"/>
    <dataValidation type="list" showInputMessage="1" showErrorMessage="1" sqref="U37:U373 Q37:Q373">
      <formula1>$A$1:$A$3</formula1>
    </dataValidation>
    <dataValidation type="list" showInputMessage="1" showErrorMessage="1" sqref="T37:T373 P37:P373">
      <formula1>#REF!</formula1>
    </dataValidation>
    <dataValidation type="list" allowBlank="1" showInputMessage="1" showErrorMessage="1" sqref="K37:K373">
      <formula1>IF(INDEX($1:$1048576,ROW(),COLUMN()-2)=$A$2,$A$2:$A$5,$A$3:$A$6)</formula1>
    </dataValidation>
  </dataValidations>
  <hyperlinks>
    <hyperlink ref="A9" r:id="rId1"/>
    <hyperlink ref="A10" r:id="rId2"/>
    <hyperlink ref="A8" r:id="rId3"/>
    <hyperlink ref="A11" r:id="rId4" display="ATT_RESP@SW"/>
    <hyperlink ref="A14" r:id="rId5"/>
    <hyperlink ref="A18" r:id="rId6"/>
    <hyperlink ref="A17" r:id="rId7"/>
    <hyperlink ref="A15" r:id="rId8"/>
    <hyperlink ref="A19" r:id="rId9" display="ATT_RESP@PTF"/>
    <hyperlink ref="A12" r:id="rId10"/>
    <hyperlink ref="A20" r:id="rId11"/>
    <hyperlink ref="A21" r:id="rId12"/>
    <hyperlink ref="A22" r:id="rId13" display="ATT_RESP@PTF"/>
  </hyperlinks>
  <pageMargins left="0.78740157499999996" right="0.78740157499999996" top="0.984251969" bottom="0.984251969" header="0.4921259845" footer="0.4921259845"/>
  <pageSetup paperSize="9" orientation="portrait" r:id="rId14"/>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C000"/>
  </sheetPr>
  <dimension ref="A1:AO20"/>
  <sheetViews>
    <sheetView workbookViewId="0">
      <selection activeCell="B17" sqref="B17"/>
    </sheetView>
  </sheetViews>
  <sheetFormatPr defaultColWidth="11.453125" defaultRowHeight="13.5" customHeight="1" x14ac:dyDescent="0.25"/>
  <cols>
    <col min="1" max="1" width="26.81640625" style="77" customWidth="1"/>
    <col min="2" max="2" width="17.453125" style="77" customWidth="1"/>
    <col min="3" max="3" width="18.453125" style="77" customWidth="1"/>
    <col min="4" max="4" width="28" style="77" customWidth="1"/>
    <col min="5" max="5" width="20" style="77" customWidth="1"/>
    <col min="6" max="6" width="16.26953125" style="77" customWidth="1"/>
    <col min="7" max="7" width="12.26953125" style="77" customWidth="1"/>
    <col min="8" max="8" width="9.26953125" style="77" customWidth="1"/>
    <col min="9" max="9" width="16.1796875" style="77" customWidth="1"/>
    <col min="10" max="13" width="6.81640625" style="77" customWidth="1"/>
    <col min="14" max="14" width="2.26953125" style="77" customWidth="1"/>
    <col min="15" max="16" width="10.7265625" style="77" customWidth="1"/>
    <col min="17" max="33" width="3.7265625" style="77" customWidth="1"/>
    <col min="34" max="16384" width="11.453125" style="77"/>
  </cols>
  <sheetData>
    <row r="1" spans="1:41" customFormat="1" ht="14" x14ac:dyDescent="0.25">
      <c r="A1" s="82"/>
      <c r="B1" s="82"/>
      <c r="C1" s="82"/>
      <c r="D1" s="82"/>
      <c r="E1" s="82"/>
      <c r="F1" s="82"/>
      <c r="G1" s="82"/>
      <c r="H1" s="82"/>
      <c r="I1" s="82"/>
      <c r="J1" s="80"/>
      <c r="K1" s="80"/>
      <c r="L1" s="80"/>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1" customFormat="1" ht="14" x14ac:dyDescent="0.25">
      <c r="A2" s="82"/>
      <c r="B2" s="82"/>
      <c r="C2" s="82"/>
      <c r="D2" s="82"/>
      <c r="E2" s="82"/>
      <c r="F2" s="82"/>
      <c r="G2" s="82"/>
      <c r="H2" s="82"/>
      <c r="I2" s="82"/>
      <c r="J2" s="81"/>
      <c r="K2" s="81"/>
      <c r="L2" s="81"/>
      <c r="M2" s="81"/>
      <c r="N2" s="81"/>
      <c r="O2" s="81"/>
      <c r="P2" s="81"/>
      <c r="Q2" s="81"/>
      <c r="R2" s="81"/>
      <c r="S2" s="81"/>
      <c r="T2" s="81"/>
      <c r="U2" s="81"/>
      <c r="V2" s="81"/>
      <c r="W2" s="81"/>
      <c r="X2" s="81"/>
      <c r="Y2" s="81"/>
      <c r="Z2" s="81"/>
      <c r="AA2" s="81"/>
      <c r="AB2" s="81"/>
      <c r="AC2" s="81"/>
      <c r="AD2" s="81"/>
      <c r="AE2" s="81"/>
      <c r="AF2" s="81"/>
      <c r="AG2" s="81"/>
      <c r="AH2" s="81"/>
      <c r="AI2" s="81"/>
      <c r="AJ2" s="81"/>
      <c r="AK2" s="81"/>
      <c r="AL2" s="81"/>
      <c r="AM2" s="81"/>
      <c r="AN2" s="81"/>
      <c r="AO2" s="81"/>
    </row>
    <row r="3" spans="1:41" customFormat="1" ht="14.5" thickBot="1" x14ac:dyDescent="0.3">
      <c r="A3" s="83"/>
      <c r="B3" s="83"/>
      <c r="C3" s="84"/>
      <c r="D3" s="81"/>
      <c r="E3" s="81"/>
      <c r="F3" s="81"/>
      <c r="G3" s="81"/>
      <c r="H3" s="81"/>
      <c r="I3" s="81"/>
      <c r="J3" s="81"/>
      <c r="K3" s="81"/>
      <c r="L3" s="81"/>
      <c r="M3" s="81"/>
      <c r="N3" s="81"/>
      <c r="O3" s="81"/>
      <c r="P3" s="81"/>
      <c r="Q3" s="81"/>
      <c r="R3" s="81"/>
      <c r="S3" s="81"/>
      <c r="T3" s="81"/>
      <c r="U3" s="81"/>
      <c r="V3" s="81"/>
      <c r="W3" s="81"/>
      <c r="X3" s="81"/>
      <c r="Y3" s="81"/>
      <c r="Z3" s="81"/>
      <c r="AA3" s="81"/>
      <c r="AB3" s="81"/>
      <c r="AC3" s="81"/>
      <c r="AD3" s="81"/>
      <c r="AE3" s="81"/>
      <c r="AF3" s="81"/>
      <c r="AG3" s="81"/>
      <c r="AH3" s="81"/>
      <c r="AI3" s="81"/>
      <c r="AJ3" s="81"/>
      <c r="AK3" s="81"/>
      <c r="AL3" s="81"/>
      <c r="AM3" s="81"/>
      <c r="AN3" s="81"/>
      <c r="AO3" s="81"/>
    </row>
    <row r="4" spans="1:41" s="92" customFormat="1" ht="39" customHeight="1" thickBot="1" x14ac:dyDescent="0.3">
      <c r="A4" s="85" t="s">
        <v>135</v>
      </c>
      <c r="B4" s="86"/>
      <c r="C4" s="87"/>
      <c r="D4" s="312" t="s">
        <v>136</v>
      </c>
      <c r="E4" s="313"/>
      <c r="F4" s="313"/>
      <c r="G4" s="313"/>
      <c r="H4" s="314"/>
      <c r="I4" s="315" t="s">
        <v>137</v>
      </c>
      <c r="J4" s="316"/>
      <c r="K4" s="316"/>
      <c r="L4" s="316"/>
      <c r="M4" s="317"/>
      <c r="N4" s="81"/>
      <c r="O4" s="88" t="s">
        <v>138</v>
      </c>
      <c r="P4" s="89"/>
      <c r="Q4" s="89"/>
      <c r="R4" s="90"/>
      <c r="S4" s="90"/>
      <c r="T4" s="90"/>
      <c r="U4" s="91"/>
      <c r="V4" s="81"/>
      <c r="W4" s="318" t="s">
        <v>139</v>
      </c>
      <c r="X4" s="319"/>
      <c r="Y4" s="319"/>
      <c r="Z4" s="319"/>
      <c r="AA4" s="320"/>
      <c r="AB4" s="81"/>
      <c r="AC4" s="318" t="s">
        <v>140</v>
      </c>
      <c r="AD4" s="319"/>
      <c r="AE4" s="319"/>
      <c r="AF4" s="319"/>
      <c r="AG4" s="320"/>
      <c r="AH4" s="81"/>
      <c r="AI4" s="81"/>
      <c r="AJ4" s="81"/>
      <c r="AK4" s="81"/>
      <c r="AL4" s="81"/>
      <c r="AM4" s="81"/>
      <c r="AN4" s="81"/>
      <c r="AO4" s="81"/>
    </row>
    <row r="5" spans="1:41" customFormat="1" ht="113.25" customHeight="1" x14ac:dyDescent="0.25">
      <c r="A5" s="93" t="s">
        <v>129</v>
      </c>
      <c r="B5" s="93" t="s">
        <v>130</v>
      </c>
      <c r="C5" s="93" t="s">
        <v>85</v>
      </c>
      <c r="D5" s="94" t="s">
        <v>132</v>
      </c>
      <c r="E5" s="95" t="s">
        <v>131</v>
      </c>
      <c r="F5" s="95" t="s">
        <v>141</v>
      </c>
      <c r="G5" s="95" t="s">
        <v>133</v>
      </c>
      <c r="H5" s="96" t="s">
        <v>134</v>
      </c>
      <c r="I5" s="97" t="s">
        <v>142</v>
      </c>
      <c r="J5" s="97" t="s">
        <v>143</v>
      </c>
      <c r="K5" s="97" t="s">
        <v>144</v>
      </c>
      <c r="L5" s="97" t="s">
        <v>145</v>
      </c>
      <c r="M5" s="98" t="s">
        <v>146</v>
      </c>
      <c r="N5" s="81"/>
      <c r="O5" s="99" t="s">
        <v>147</v>
      </c>
      <c r="P5" s="100" t="s">
        <v>148</v>
      </c>
      <c r="Q5" s="100" t="s">
        <v>149</v>
      </c>
      <c r="R5" s="100" t="s">
        <v>150</v>
      </c>
      <c r="S5" s="100" t="s">
        <v>151</v>
      </c>
      <c r="T5" s="100" t="s">
        <v>152</v>
      </c>
      <c r="U5" s="100" t="s">
        <v>153</v>
      </c>
      <c r="V5" s="81"/>
      <c r="W5" s="101" t="s">
        <v>154</v>
      </c>
      <c r="X5" s="100" t="s">
        <v>155</v>
      </c>
      <c r="Y5" s="100" t="s">
        <v>156</v>
      </c>
      <c r="Z5" s="102" t="s">
        <v>157</v>
      </c>
      <c r="AA5" s="103" t="s">
        <v>158</v>
      </c>
      <c r="AB5" s="81"/>
      <c r="AC5" s="101" t="s">
        <v>154</v>
      </c>
      <c r="AD5" s="100" t="s">
        <v>155</v>
      </c>
      <c r="AE5" s="100" t="s">
        <v>156</v>
      </c>
      <c r="AF5" s="102" t="s">
        <v>157</v>
      </c>
      <c r="AG5" s="103" t="s">
        <v>158</v>
      </c>
      <c r="AH5" s="81"/>
      <c r="AI5" s="81"/>
      <c r="AJ5" s="81"/>
      <c r="AK5" s="81"/>
      <c r="AL5" s="81"/>
      <c r="AM5" s="81"/>
      <c r="AN5" s="81"/>
      <c r="AO5" s="81"/>
    </row>
    <row r="6" spans="1:41" customFormat="1" ht="62.25" customHeight="1" x14ac:dyDescent="0.25">
      <c r="F6" s="105"/>
      <c r="J6" s="104"/>
      <c r="M6" s="104"/>
      <c r="O6" s="104"/>
      <c r="P6" s="104"/>
    </row>
    <row r="20" spans="5:5" ht="13.5" customHeight="1" x14ac:dyDescent="0.25">
      <c r="E20" s="79"/>
    </row>
  </sheetData>
  <mergeCells count="4">
    <mergeCell ref="D4:H4"/>
    <mergeCell ref="I4:M4"/>
    <mergeCell ref="W4:AA4"/>
    <mergeCell ref="AC4:AG4"/>
  </mergeCells>
  <phoneticPr fontId="7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indexed="33"/>
  </sheetPr>
  <dimension ref="A1"/>
  <sheetViews>
    <sheetView workbookViewId="0">
      <selection activeCell="H45" sqref="H45"/>
    </sheetView>
  </sheetViews>
  <sheetFormatPr defaultColWidth="10.90625" defaultRowHeight="12.5" x14ac:dyDescent="0.25"/>
  <sheetData/>
  <phoneticPr fontId="4" type="noConversion"/>
  <pageMargins left="0.78740157499999996" right="0.78740157499999996" top="0.984251969" bottom="0.984251969" header="0.4921259845" footer="0.492125984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N24"/>
  <sheetViews>
    <sheetView zoomScale="90" workbookViewId="0">
      <selection activeCell="J47" sqref="J47"/>
    </sheetView>
  </sheetViews>
  <sheetFormatPr defaultColWidth="11.453125" defaultRowHeight="12.5" x14ac:dyDescent="0.25"/>
  <cols>
    <col min="1" max="1" width="11.453125" style="6"/>
    <col min="2" max="2" width="13.1796875" style="6" customWidth="1"/>
    <col min="3" max="3" width="13.81640625" style="6" customWidth="1"/>
    <col min="4" max="8" width="11.453125" style="6"/>
    <col min="9" max="9" width="9" style="6" customWidth="1"/>
    <col min="10" max="13" width="11.453125" style="6"/>
    <col min="14" max="14" width="36.453125" style="6" customWidth="1"/>
    <col min="15" max="15" width="24.7265625" style="6" customWidth="1"/>
    <col min="16" max="16384" width="11.453125" style="6"/>
  </cols>
  <sheetData>
    <row r="1" spans="1:14" ht="12.75" customHeight="1" x14ac:dyDescent="0.25">
      <c r="A1" s="7" t="s">
        <v>48</v>
      </c>
      <c r="B1" s="8"/>
      <c r="C1" s="321" t="s">
        <v>49</v>
      </c>
      <c r="D1" s="321"/>
      <c r="E1" s="321"/>
      <c r="F1" s="321"/>
      <c r="G1" s="321"/>
      <c r="H1" s="9"/>
      <c r="I1" s="10"/>
      <c r="J1" s="11"/>
      <c r="K1" s="11"/>
    </row>
    <row r="2" spans="1:14" ht="15.75" customHeight="1" x14ac:dyDescent="0.25">
      <c r="A2" s="9"/>
      <c r="B2" s="12"/>
      <c r="C2" s="322"/>
      <c r="D2" s="322"/>
      <c r="E2" s="322"/>
      <c r="F2" s="322"/>
      <c r="G2" s="322"/>
      <c r="H2" s="10"/>
      <c r="I2" s="10"/>
      <c r="J2" s="11"/>
      <c r="K2" s="11"/>
    </row>
    <row r="4" spans="1:14" x14ac:dyDescent="0.25">
      <c r="A4" s="13" t="s">
        <v>53</v>
      </c>
      <c r="B4" s="13"/>
      <c r="C4" s="13"/>
      <c r="D4" s="13"/>
      <c r="E4" s="13"/>
      <c r="F4" s="13"/>
      <c r="G4" s="13"/>
      <c r="H4" s="13"/>
      <c r="I4" s="13"/>
      <c r="J4" s="13"/>
    </row>
    <row r="5" spans="1:14" ht="41.25" customHeight="1" x14ac:dyDescent="0.25">
      <c r="A5" s="324" t="s">
        <v>33</v>
      </c>
      <c r="B5" s="324"/>
      <c r="C5" s="324"/>
      <c r="D5" s="324"/>
      <c r="E5" s="324"/>
      <c r="F5" s="324"/>
      <c r="G5" s="324"/>
      <c r="H5" s="324"/>
      <c r="I5" s="324"/>
      <c r="J5" s="324"/>
      <c r="K5" s="27"/>
      <c r="L5" s="27"/>
      <c r="M5" s="27"/>
      <c r="N5" s="27"/>
    </row>
    <row r="6" spans="1:14" ht="27" customHeight="1" x14ac:dyDescent="0.3">
      <c r="A6" s="324" t="s">
        <v>34</v>
      </c>
      <c r="B6" s="324"/>
      <c r="C6" s="324"/>
      <c r="D6" s="324"/>
      <c r="E6" s="324"/>
      <c r="F6" s="324"/>
      <c r="G6" s="324"/>
      <c r="H6" s="324"/>
      <c r="I6" s="324"/>
      <c r="J6" s="324"/>
    </row>
    <row r="8" spans="1:14" x14ac:dyDescent="0.25">
      <c r="A8" s="13" t="s">
        <v>50</v>
      </c>
      <c r="B8" s="13"/>
      <c r="C8" s="13"/>
      <c r="D8" s="13"/>
      <c r="E8" s="13"/>
      <c r="F8" s="13"/>
      <c r="G8" s="13"/>
      <c r="H8" s="13"/>
      <c r="I8" s="13"/>
      <c r="J8" s="13"/>
    </row>
    <row r="9" spans="1:14" ht="13" x14ac:dyDescent="0.3">
      <c r="B9" s="14" t="s">
        <v>51</v>
      </c>
      <c r="C9" s="14"/>
      <c r="D9" s="14"/>
      <c r="E9" s="14"/>
      <c r="F9" s="14"/>
      <c r="G9" s="14"/>
      <c r="H9" s="14"/>
      <c r="I9" s="14"/>
      <c r="J9" s="14"/>
    </row>
    <row r="10" spans="1:14" ht="45" customHeight="1" x14ac:dyDescent="0.25">
      <c r="B10" s="324" t="s">
        <v>0</v>
      </c>
      <c r="C10" s="324"/>
      <c r="D10" s="324"/>
      <c r="E10" s="324"/>
      <c r="F10" s="324"/>
      <c r="G10" s="324"/>
      <c r="H10" s="324"/>
      <c r="I10" s="324"/>
      <c r="J10" s="324"/>
    </row>
    <row r="12" spans="1:14" ht="13" x14ac:dyDescent="0.3">
      <c r="B12" s="14" t="s">
        <v>52</v>
      </c>
      <c r="C12" s="14"/>
      <c r="D12" s="14"/>
      <c r="E12" s="14"/>
      <c r="F12" s="14"/>
      <c r="G12" s="14"/>
      <c r="H12" s="14"/>
      <c r="I12" s="14"/>
      <c r="J12" s="14"/>
    </row>
    <row r="13" spans="1:14" ht="43.5" customHeight="1" x14ac:dyDescent="0.25">
      <c r="B13" s="324" t="s">
        <v>1</v>
      </c>
      <c r="C13" s="324"/>
      <c r="D13" s="324"/>
      <c r="E13" s="324"/>
      <c r="F13" s="324"/>
      <c r="G13" s="324"/>
      <c r="H13" s="324"/>
      <c r="I13" s="324"/>
      <c r="J13" s="324"/>
    </row>
    <row r="16" spans="1:14" x14ac:dyDescent="0.25">
      <c r="C16" s="321" t="s">
        <v>58</v>
      </c>
      <c r="D16" s="321"/>
      <c r="E16" s="321"/>
      <c r="F16" s="321"/>
      <c r="G16" s="321"/>
    </row>
    <row r="17" spans="1:10" x14ac:dyDescent="0.25">
      <c r="C17" s="322"/>
      <c r="D17" s="322"/>
      <c r="E17" s="322"/>
      <c r="F17" s="322"/>
      <c r="G17" s="322"/>
    </row>
    <row r="19" spans="1:10" x14ac:dyDescent="0.25">
      <c r="A19" s="13" t="s">
        <v>54</v>
      </c>
      <c r="B19" s="13"/>
      <c r="C19" s="13"/>
      <c r="D19" s="13"/>
      <c r="E19" s="13"/>
      <c r="F19" s="13"/>
      <c r="G19" s="13"/>
      <c r="H19" s="13"/>
      <c r="I19" s="13"/>
      <c r="J19" s="13"/>
    </row>
    <row r="20" spans="1:10" x14ac:dyDescent="0.25">
      <c r="A20" s="6" t="s">
        <v>55</v>
      </c>
    </row>
    <row r="22" spans="1:10" x14ac:dyDescent="0.25">
      <c r="A22" s="13" t="s">
        <v>50</v>
      </c>
      <c r="B22" s="13"/>
      <c r="C22" s="13"/>
      <c r="D22" s="13"/>
      <c r="E22" s="13"/>
      <c r="F22" s="13"/>
      <c r="G22" s="13"/>
      <c r="H22" s="13"/>
      <c r="I22" s="13"/>
      <c r="J22" s="13"/>
    </row>
    <row r="23" spans="1:10" ht="12.75" customHeight="1" x14ac:dyDescent="0.25">
      <c r="B23" s="323" t="s">
        <v>3</v>
      </c>
      <c r="C23" s="323"/>
      <c r="D23" s="323"/>
      <c r="E23" s="323"/>
      <c r="F23" s="323"/>
      <c r="G23" s="323"/>
      <c r="H23" s="323"/>
      <c r="I23" s="323"/>
      <c r="J23" s="323"/>
    </row>
    <row r="24" spans="1:10" ht="12.75" customHeight="1" x14ac:dyDescent="0.25">
      <c r="B24" s="323"/>
      <c r="C24" s="323"/>
      <c r="D24" s="323"/>
      <c r="E24" s="323"/>
      <c r="F24" s="323"/>
      <c r="G24" s="323"/>
      <c r="H24" s="323"/>
      <c r="I24" s="323"/>
      <c r="J24" s="323"/>
    </row>
  </sheetData>
  <mergeCells count="7">
    <mergeCell ref="C1:G2"/>
    <mergeCell ref="C16:G17"/>
    <mergeCell ref="B23:J24"/>
    <mergeCell ref="A5:J5"/>
    <mergeCell ref="A6:J6"/>
    <mergeCell ref="B13:J13"/>
    <mergeCell ref="B10:J10"/>
  </mergeCells>
  <phoneticPr fontId="4" type="noConversion"/>
  <hyperlinks>
    <hyperlink ref="A1" location="'First page'!A1" display="Retour"/>
  </hyperlinks>
  <pageMargins left="0.78740157499999996" right="0.78740157499999996" top="0.984251969" bottom="0.984251969"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R43"/>
  <sheetViews>
    <sheetView showGridLines="0" topLeftCell="A25" zoomScale="90" workbookViewId="0">
      <selection activeCell="I12" sqref="I12"/>
    </sheetView>
  </sheetViews>
  <sheetFormatPr defaultColWidth="11.453125" defaultRowHeight="12.5" x14ac:dyDescent="0.25"/>
  <cols>
    <col min="1" max="1" width="11.453125" style="6"/>
    <col min="2" max="2" width="19.54296875" style="6" customWidth="1"/>
    <col min="3" max="5" width="11.453125" style="6"/>
    <col min="6" max="6" width="24.1796875" style="6" customWidth="1"/>
    <col min="7" max="7" width="22.81640625" style="6" customWidth="1"/>
    <col min="8" max="11" width="11.453125" style="6"/>
    <col min="12" max="12" width="34.26953125" customWidth="1"/>
    <col min="13" max="18" width="10.90625" customWidth="1"/>
    <col min="19" max="16384" width="11.453125" style="6"/>
  </cols>
  <sheetData>
    <row r="1" spans="1:18" ht="25" x14ac:dyDescent="0.25">
      <c r="A1" s="73" t="s">
        <v>48</v>
      </c>
      <c r="B1" s="8"/>
      <c r="C1" s="321" t="s">
        <v>59</v>
      </c>
      <c r="D1" s="321"/>
      <c r="E1" s="321"/>
      <c r="F1" s="321"/>
      <c r="G1" s="321"/>
      <c r="H1" s="9"/>
      <c r="I1" s="10"/>
      <c r="J1" s="72" t="s">
        <v>49</v>
      </c>
      <c r="K1" s="11"/>
    </row>
    <row r="2" spans="1:18" x14ac:dyDescent="0.25">
      <c r="A2" s="9"/>
      <c r="B2" s="12"/>
      <c r="C2" s="322"/>
      <c r="D2" s="322"/>
      <c r="E2" s="322"/>
      <c r="F2" s="322"/>
      <c r="G2" s="322"/>
      <c r="H2" s="10"/>
      <c r="I2" s="10"/>
      <c r="J2" s="11"/>
      <c r="K2" s="11"/>
    </row>
    <row r="4" spans="1:18" x14ac:dyDescent="0.25">
      <c r="A4" s="13" t="s">
        <v>60</v>
      </c>
      <c r="B4" s="13"/>
      <c r="C4" s="13"/>
      <c r="D4" s="13"/>
      <c r="E4" s="13"/>
      <c r="F4" s="13"/>
      <c r="G4" s="13"/>
      <c r="H4" s="13"/>
      <c r="I4" s="13"/>
      <c r="J4" s="13"/>
    </row>
    <row r="5" spans="1:18" x14ac:dyDescent="0.25">
      <c r="A5" s="324" t="s">
        <v>61</v>
      </c>
      <c r="B5" s="324"/>
      <c r="C5" s="324"/>
      <c r="D5" s="324"/>
      <c r="E5" s="324"/>
      <c r="F5" s="324"/>
      <c r="G5" s="324"/>
      <c r="H5" s="324"/>
      <c r="I5" s="324"/>
      <c r="J5" s="324"/>
    </row>
    <row r="6" spans="1:18" x14ac:dyDescent="0.25">
      <c r="A6" s="324" t="s">
        <v>274</v>
      </c>
      <c r="B6" s="324"/>
      <c r="C6" s="324"/>
      <c r="D6" s="324"/>
      <c r="E6" s="324"/>
      <c r="F6" s="324"/>
      <c r="G6" s="324"/>
      <c r="H6" s="324"/>
      <c r="I6" s="324"/>
      <c r="J6" s="324"/>
    </row>
    <row r="8" spans="1:18" x14ac:dyDescent="0.25">
      <c r="A8" s="13" t="s">
        <v>50</v>
      </c>
      <c r="B8" s="13"/>
      <c r="C8" s="13"/>
      <c r="D8" s="13"/>
      <c r="E8" s="13"/>
      <c r="F8" s="13"/>
      <c r="G8" s="13"/>
      <c r="H8" s="13"/>
      <c r="I8" s="13"/>
      <c r="J8" s="13"/>
    </row>
    <row r="10" spans="1:18" ht="13" x14ac:dyDescent="0.3">
      <c r="B10" s="71" t="s">
        <v>62</v>
      </c>
      <c r="C10" s="71"/>
      <c r="D10" s="71"/>
      <c r="E10" s="71"/>
      <c r="F10" s="71"/>
      <c r="G10" s="71"/>
      <c r="H10" s="71"/>
      <c r="I10" s="71"/>
      <c r="J10" s="71"/>
    </row>
    <row r="11" spans="1:18" ht="13" thickBot="1" x14ac:dyDescent="0.3"/>
    <row r="12" spans="1:18" x14ac:dyDescent="0.25">
      <c r="B12" s="15" t="s">
        <v>64</v>
      </c>
      <c r="C12" s="326" t="s">
        <v>65</v>
      </c>
      <c r="D12" s="327"/>
      <c r="E12" s="327"/>
      <c r="F12" s="328"/>
      <c r="G12" s="28" t="s">
        <v>90</v>
      </c>
      <c r="I12" s="182" t="s">
        <v>281</v>
      </c>
      <c r="J12" s="168"/>
      <c r="K12" s="168"/>
      <c r="L12" s="169"/>
      <c r="M12" s="169"/>
      <c r="N12" s="169"/>
      <c r="O12" s="169"/>
      <c r="P12" s="169"/>
      <c r="Q12" s="169"/>
      <c r="R12" s="170"/>
    </row>
    <row r="13" spans="1:18" x14ac:dyDescent="0.25">
      <c r="B13" s="18" t="s">
        <v>36</v>
      </c>
      <c r="C13" s="325" t="s">
        <v>87</v>
      </c>
      <c r="D13" s="325"/>
      <c r="E13" s="325"/>
      <c r="F13" s="325"/>
      <c r="G13" s="29"/>
      <c r="H13" s="16"/>
      <c r="I13" s="171"/>
      <c r="J13" s="172" t="s">
        <v>282</v>
      </c>
      <c r="K13" s="173"/>
      <c r="L13" s="174"/>
      <c r="M13" s="174"/>
      <c r="N13" s="174"/>
      <c r="O13" s="174"/>
      <c r="P13" s="174"/>
      <c r="Q13" s="174"/>
      <c r="R13" s="175"/>
    </row>
    <row r="14" spans="1:18" ht="22" x14ac:dyDescent="0.25">
      <c r="A14" s="9"/>
      <c r="B14" s="18" t="s">
        <v>39</v>
      </c>
      <c r="C14" s="329" t="s">
        <v>72</v>
      </c>
      <c r="D14" s="329"/>
      <c r="E14" s="329"/>
      <c r="F14" s="329"/>
      <c r="G14" s="29"/>
      <c r="H14" s="16"/>
      <c r="I14" s="171"/>
      <c r="J14" s="173"/>
      <c r="K14" s="173"/>
      <c r="L14" s="174"/>
      <c r="M14" s="174"/>
      <c r="N14" s="174"/>
      <c r="O14" s="174"/>
      <c r="P14" s="174"/>
      <c r="Q14" s="174"/>
      <c r="R14" s="175"/>
    </row>
    <row r="15" spans="1:18" x14ac:dyDescent="0.25">
      <c r="B15" s="18" t="s">
        <v>37</v>
      </c>
      <c r="C15" s="325" t="s">
        <v>4</v>
      </c>
      <c r="D15" s="325"/>
      <c r="E15" s="325"/>
      <c r="F15" s="325"/>
      <c r="G15" s="29"/>
      <c r="H15" s="16"/>
      <c r="I15" s="171"/>
      <c r="J15" s="173"/>
      <c r="K15" s="173"/>
      <c r="L15" s="174"/>
      <c r="M15" s="174"/>
      <c r="N15" s="174"/>
      <c r="O15" s="174"/>
      <c r="P15" s="174"/>
      <c r="Q15" s="174"/>
      <c r="R15" s="175"/>
    </row>
    <row r="16" spans="1:18" ht="22" x14ac:dyDescent="0.25">
      <c r="B16" s="18" t="s">
        <v>67</v>
      </c>
      <c r="C16" s="329" t="s">
        <v>68</v>
      </c>
      <c r="D16" s="329"/>
      <c r="E16" s="329"/>
      <c r="F16" s="329"/>
      <c r="G16" s="29"/>
      <c r="H16" s="19"/>
      <c r="I16" s="171"/>
      <c r="J16" s="173"/>
      <c r="K16" s="173"/>
      <c r="L16" s="174"/>
      <c r="M16" s="174"/>
      <c r="N16" s="174"/>
      <c r="O16" s="174"/>
      <c r="P16" s="174"/>
      <c r="Q16" s="174"/>
      <c r="R16" s="175"/>
    </row>
    <row r="17" spans="1:18" x14ac:dyDescent="0.25">
      <c r="A17" s="9"/>
      <c r="B17" s="18" t="s">
        <v>35</v>
      </c>
      <c r="C17" s="329" t="s">
        <v>71</v>
      </c>
      <c r="D17" s="329"/>
      <c r="E17" s="329"/>
      <c r="F17" s="329"/>
      <c r="G17" s="29"/>
      <c r="H17" s="16"/>
      <c r="I17" s="176"/>
      <c r="J17" s="173"/>
      <c r="K17" s="9"/>
      <c r="L17" s="174"/>
      <c r="M17" s="174"/>
      <c r="N17" s="174"/>
      <c r="O17" s="174"/>
      <c r="P17" s="174"/>
      <c r="Q17" s="174"/>
      <c r="R17" s="175"/>
    </row>
    <row r="18" spans="1:18" x14ac:dyDescent="0.25">
      <c r="B18" s="18" t="s">
        <v>38</v>
      </c>
      <c r="C18" s="325" t="s">
        <v>5</v>
      </c>
      <c r="D18" s="325"/>
      <c r="E18" s="325"/>
      <c r="F18" s="325"/>
      <c r="G18" s="29"/>
      <c r="H18" s="16"/>
      <c r="I18" s="171"/>
      <c r="J18" s="20" t="s">
        <v>283</v>
      </c>
      <c r="K18" s="173"/>
      <c r="L18" s="174"/>
      <c r="M18" s="174"/>
      <c r="N18" s="174"/>
      <c r="O18" s="174"/>
      <c r="P18" s="174"/>
      <c r="Q18" s="174"/>
      <c r="R18" s="175"/>
    </row>
    <row r="19" spans="1:18" x14ac:dyDescent="0.25">
      <c r="B19" s="18" t="s">
        <v>40</v>
      </c>
      <c r="C19" s="325" t="s">
        <v>66</v>
      </c>
      <c r="D19" s="325"/>
      <c r="E19" s="325"/>
      <c r="F19" s="325"/>
      <c r="G19" s="29"/>
      <c r="H19" s="16"/>
      <c r="I19" s="171"/>
      <c r="J19" s="173"/>
      <c r="K19" s="173"/>
      <c r="L19" s="174"/>
      <c r="M19" s="174"/>
      <c r="N19" s="174"/>
      <c r="O19" s="174"/>
      <c r="P19" s="174"/>
      <c r="Q19" s="174"/>
      <c r="R19" s="175"/>
    </row>
    <row r="20" spans="1:18" x14ac:dyDescent="0.25">
      <c r="A20" s="9"/>
      <c r="B20" s="17" t="s">
        <v>69</v>
      </c>
      <c r="C20" s="330" t="s">
        <v>70</v>
      </c>
      <c r="D20" s="331"/>
      <c r="E20" s="331"/>
      <c r="F20" s="332"/>
      <c r="G20" s="29"/>
      <c r="H20" s="16"/>
      <c r="I20" s="176"/>
      <c r="J20" s="9"/>
      <c r="K20" s="9"/>
      <c r="L20" s="174"/>
      <c r="M20" s="174"/>
      <c r="N20" s="174"/>
      <c r="O20" s="174"/>
      <c r="P20" s="174"/>
      <c r="Q20" s="174"/>
      <c r="R20" s="175"/>
    </row>
    <row r="21" spans="1:18" x14ac:dyDescent="0.25">
      <c r="A21" s="20"/>
      <c r="B21" s="21"/>
      <c r="C21" s="24"/>
      <c r="D21" s="25"/>
      <c r="E21" s="26"/>
      <c r="F21" s="26"/>
      <c r="G21" s="22"/>
      <c r="H21" s="23"/>
      <c r="I21" s="176"/>
      <c r="J21" s="20"/>
      <c r="K21" s="20"/>
      <c r="L21" s="174"/>
      <c r="M21" s="174"/>
      <c r="N21" s="174"/>
      <c r="O21" s="174"/>
      <c r="P21" s="174"/>
      <c r="Q21" s="174"/>
      <c r="R21" s="175"/>
    </row>
    <row r="22" spans="1:18" ht="13" x14ac:dyDescent="0.3">
      <c r="A22" s="20"/>
      <c r="B22" s="71" t="s">
        <v>63</v>
      </c>
      <c r="C22" s="71"/>
      <c r="D22" s="71"/>
      <c r="E22" s="71"/>
      <c r="F22" s="71"/>
      <c r="G22" s="71"/>
      <c r="H22" s="23"/>
      <c r="I22" s="176"/>
      <c r="J22" s="20"/>
      <c r="K22" s="20"/>
      <c r="L22" s="174"/>
      <c r="M22" s="174"/>
      <c r="N22" s="174"/>
      <c r="O22" s="174"/>
      <c r="P22" s="174"/>
      <c r="Q22" s="174"/>
      <c r="R22" s="175"/>
    </row>
    <row r="23" spans="1:18" x14ac:dyDescent="0.25">
      <c r="A23" s="20"/>
      <c r="H23" s="23"/>
      <c r="I23" s="176"/>
      <c r="J23" s="20"/>
      <c r="K23" s="173"/>
      <c r="L23" s="174"/>
      <c r="M23" s="174"/>
      <c r="N23" s="174"/>
      <c r="O23" s="174"/>
      <c r="P23" s="174"/>
      <c r="Q23" s="174"/>
      <c r="R23" s="175"/>
    </row>
    <row r="24" spans="1:18" x14ac:dyDescent="0.25">
      <c r="A24" s="20"/>
      <c r="B24" s="15" t="s">
        <v>56</v>
      </c>
      <c r="C24" s="326" t="s">
        <v>57</v>
      </c>
      <c r="D24" s="327"/>
      <c r="E24" s="327"/>
      <c r="F24" s="328"/>
      <c r="G24" s="28" t="s">
        <v>73</v>
      </c>
      <c r="H24" s="23"/>
      <c r="I24" s="176"/>
      <c r="J24" s="20"/>
      <c r="K24" s="20"/>
      <c r="L24" s="174"/>
      <c r="M24" s="174"/>
      <c r="N24" s="174"/>
      <c r="O24" s="174"/>
      <c r="P24" s="174"/>
      <c r="Q24" s="174"/>
      <c r="R24" s="175"/>
    </row>
    <row r="25" spans="1:18" ht="22" x14ac:dyDescent="0.25">
      <c r="A25" s="20"/>
      <c r="B25" s="18" t="s">
        <v>74</v>
      </c>
      <c r="C25" s="325" t="s">
        <v>77</v>
      </c>
      <c r="D25" s="325"/>
      <c r="E25" s="325"/>
      <c r="F25" s="325"/>
      <c r="G25" s="29" t="s">
        <v>75</v>
      </c>
      <c r="H25" s="23"/>
      <c r="I25" s="176"/>
      <c r="J25" s="20"/>
      <c r="K25" s="20"/>
      <c r="L25" s="174"/>
      <c r="M25" s="174"/>
      <c r="N25" s="174"/>
      <c r="O25" s="174"/>
      <c r="P25" s="174"/>
      <c r="Q25" s="174"/>
      <c r="R25" s="175"/>
    </row>
    <row r="26" spans="1:18" x14ac:dyDescent="0.25">
      <c r="A26" s="20"/>
      <c r="B26" s="18" t="s">
        <v>85</v>
      </c>
      <c r="C26" s="335" t="s">
        <v>86</v>
      </c>
      <c r="D26" s="336"/>
      <c r="E26" s="336"/>
      <c r="F26" s="337"/>
      <c r="G26" s="29" t="s">
        <v>75</v>
      </c>
      <c r="H26" s="23"/>
      <c r="I26" s="176"/>
      <c r="J26" s="20"/>
      <c r="K26" s="20"/>
      <c r="L26" s="174"/>
      <c r="M26" s="174"/>
      <c r="N26" s="174"/>
      <c r="O26" s="174"/>
      <c r="P26" s="174"/>
      <c r="Q26" s="174"/>
      <c r="R26" s="175"/>
    </row>
    <row r="27" spans="1:18" ht="22" x14ac:dyDescent="0.25">
      <c r="A27" s="20"/>
      <c r="B27" s="18" t="s">
        <v>94</v>
      </c>
      <c r="C27" s="335" t="s">
        <v>97</v>
      </c>
      <c r="D27" s="336"/>
      <c r="E27" s="336"/>
      <c r="F27" s="337"/>
      <c r="G27" s="29" t="s">
        <v>75</v>
      </c>
      <c r="H27" s="23"/>
      <c r="I27" s="176"/>
      <c r="J27" s="20"/>
      <c r="K27" s="20"/>
      <c r="L27" s="174"/>
      <c r="M27" s="174"/>
      <c r="N27" s="174"/>
      <c r="O27" s="174"/>
      <c r="P27" s="174"/>
      <c r="Q27" s="174"/>
      <c r="R27" s="175"/>
    </row>
    <row r="28" spans="1:18" x14ac:dyDescent="0.25">
      <c r="B28" s="18" t="s">
        <v>76</v>
      </c>
      <c r="C28" s="325" t="s">
        <v>6</v>
      </c>
      <c r="D28" s="325"/>
      <c r="E28" s="325"/>
      <c r="F28" s="325"/>
      <c r="G28" s="29" t="s">
        <v>75</v>
      </c>
      <c r="I28" s="176"/>
      <c r="J28" s="20"/>
      <c r="K28" s="20"/>
      <c r="L28" s="174"/>
      <c r="M28" s="174"/>
      <c r="N28" s="174"/>
      <c r="O28" s="174"/>
      <c r="P28" s="174"/>
      <c r="Q28" s="174"/>
      <c r="R28" s="175"/>
    </row>
    <row r="29" spans="1:18" ht="44" x14ac:dyDescent="0.25">
      <c r="B29" s="18" t="s">
        <v>95</v>
      </c>
      <c r="C29" s="335" t="s">
        <v>7</v>
      </c>
      <c r="D29" s="336"/>
      <c r="E29" s="336"/>
      <c r="F29" s="337"/>
      <c r="G29" s="29" t="s">
        <v>75</v>
      </c>
      <c r="I29" s="176"/>
      <c r="J29" s="20"/>
      <c r="K29" s="20"/>
      <c r="L29" s="174"/>
      <c r="M29" s="174"/>
      <c r="N29" s="174"/>
      <c r="O29" s="174"/>
      <c r="P29" s="174"/>
      <c r="Q29" s="174"/>
      <c r="R29" s="175"/>
    </row>
    <row r="30" spans="1:18" x14ac:dyDescent="0.25">
      <c r="B30" s="17" t="s">
        <v>78</v>
      </c>
      <c r="C30" s="329" t="s">
        <v>126</v>
      </c>
      <c r="D30" s="329"/>
      <c r="E30" s="329"/>
      <c r="F30" s="329"/>
      <c r="G30" s="29" t="s">
        <v>75</v>
      </c>
      <c r="I30" s="177"/>
      <c r="J30" s="20"/>
      <c r="K30" s="20"/>
      <c r="L30" s="174"/>
      <c r="M30" s="174"/>
      <c r="N30" s="174"/>
      <c r="O30" s="174"/>
      <c r="P30" s="174"/>
      <c r="Q30" s="174"/>
      <c r="R30" s="175"/>
    </row>
    <row r="31" spans="1:18" ht="48" customHeight="1" x14ac:dyDescent="0.25">
      <c r="B31" s="18" t="s">
        <v>79</v>
      </c>
      <c r="C31" s="334" t="s">
        <v>280</v>
      </c>
      <c r="D31" s="341"/>
      <c r="E31" s="341"/>
      <c r="F31" s="342"/>
      <c r="G31" s="29" t="s">
        <v>80</v>
      </c>
      <c r="I31" s="177"/>
      <c r="J31" s="20"/>
      <c r="K31" s="20"/>
      <c r="L31" s="174"/>
      <c r="M31" s="174"/>
      <c r="N31" s="174"/>
      <c r="O31" s="174"/>
      <c r="P31" s="174"/>
      <c r="Q31" s="174"/>
      <c r="R31" s="175"/>
    </row>
    <row r="32" spans="1:18" ht="62.25" customHeight="1" x14ac:dyDescent="0.25">
      <c r="B32" s="17" t="s">
        <v>81</v>
      </c>
      <c r="C32" s="334" t="s">
        <v>288</v>
      </c>
      <c r="D32" s="334"/>
      <c r="E32" s="334"/>
      <c r="F32" s="334"/>
      <c r="G32" s="29" t="s">
        <v>75</v>
      </c>
      <c r="I32" s="171"/>
      <c r="J32" s="173"/>
      <c r="K32" s="173"/>
      <c r="L32" s="174"/>
      <c r="M32" s="174"/>
      <c r="N32" s="174"/>
      <c r="O32" s="174"/>
      <c r="P32" s="174"/>
      <c r="Q32" s="174"/>
      <c r="R32" s="175"/>
    </row>
    <row r="33" spans="1:18" ht="54" customHeight="1" x14ac:dyDescent="0.25">
      <c r="B33" s="17" t="s">
        <v>83</v>
      </c>
      <c r="C33" s="329" t="s">
        <v>84</v>
      </c>
      <c r="D33" s="329"/>
      <c r="E33" s="329"/>
      <c r="F33" s="329"/>
      <c r="G33" s="29" t="s">
        <v>80</v>
      </c>
      <c r="I33" s="171"/>
      <c r="J33" s="173"/>
      <c r="K33" s="173"/>
      <c r="L33" s="174"/>
      <c r="M33" s="174"/>
      <c r="N33" s="174"/>
      <c r="O33" s="174"/>
      <c r="P33" s="174"/>
      <c r="Q33" s="174"/>
      <c r="R33" s="175"/>
    </row>
    <row r="34" spans="1:18" x14ac:dyDescent="0.25">
      <c r="I34" s="171"/>
      <c r="J34" s="173"/>
      <c r="K34" s="173"/>
      <c r="L34" s="174"/>
      <c r="M34" s="174"/>
      <c r="N34" s="174"/>
      <c r="O34" s="174"/>
      <c r="P34" s="174"/>
      <c r="Q34" s="174"/>
      <c r="R34" s="175"/>
    </row>
    <row r="35" spans="1:18" x14ac:dyDescent="0.25">
      <c r="B35" s="338" t="s">
        <v>125</v>
      </c>
      <c r="C35" s="339"/>
      <c r="D35" s="339"/>
      <c r="E35" s="339"/>
      <c r="F35" s="339"/>
      <c r="G35" s="340"/>
      <c r="I35" s="171"/>
      <c r="J35" s="173"/>
      <c r="K35" s="173"/>
      <c r="L35" s="174"/>
      <c r="M35" s="174"/>
      <c r="N35" s="174"/>
      <c r="O35" s="174"/>
      <c r="P35" s="174"/>
      <c r="Q35" s="174"/>
      <c r="R35" s="175"/>
    </row>
    <row r="36" spans="1:18" x14ac:dyDescent="0.25">
      <c r="B36" s="70"/>
      <c r="C36" s="333" t="s">
        <v>30</v>
      </c>
      <c r="D36" s="333"/>
      <c r="E36" s="333"/>
      <c r="F36" s="333"/>
      <c r="G36" s="333"/>
      <c r="I36" s="171"/>
      <c r="J36" s="173"/>
      <c r="K36" s="173"/>
      <c r="L36" s="174"/>
      <c r="M36" s="174"/>
      <c r="N36" s="174"/>
      <c r="O36" s="174"/>
      <c r="P36" s="174"/>
      <c r="Q36" s="174"/>
      <c r="R36" s="175"/>
    </row>
    <row r="37" spans="1:18" x14ac:dyDescent="0.25">
      <c r="B37" s="69"/>
      <c r="C37" s="333" t="s">
        <v>31</v>
      </c>
      <c r="D37" s="333"/>
      <c r="E37" s="333"/>
      <c r="F37" s="333"/>
      <c r="G37" s="333"/>
      <c r="I37" s="171"/>
      <c r="J37" s="173"/>
      <c r="K37" s="173"/>
      <c r="L37" s="174"/>
      <c r="M37" s="174"/>
      <c r="N37" s="174"/>
      <c r="O37" s="174"/>
      <c r="P37" s="174"/>
      <c r="Q37" s="174"/>
      <c r="R37" s="175"/>
    </row>
    <row r="38" spans="1:18" x14ac:dyDescent="0.25">
      <c r="B38" s="68"/>
      <c r="C38" s="333" t="s">
        <v>32</v>
      </c>
      <c r="D38" s="333"/>
      <c r="E38" s="333"/>
      <c r="F38" s="333"/>
      <c r="G38" s="333"/>
      <c r="I38" s="171"/>
      <c r="J38" s="173"/>
      <c r="K38" s="173"/>
      <c r="L38" s="174"/>
      <c r="M38" s="174"/>
      <c r="N38" s="174"/>
      <c r="O38" s="174"/>
      <c r="P38" s="174"/>
      <c r="Q38" s="174"/>
      <c r="R38" s="175"/>
    </row>
    <row r="39" spans="1:18" x14ac:dyDescent="0.25">
      <c r="I39" s="171"/>
      <c r="J39" s="173"/>
      <c r="K39" s="173"/>
      <c r="L39" s="174"/>
      <c r="M39" s="174"/>
      <c r="N39" s="174"/>
      <c r="O39" s="174"/>
      <c r="P39" s="174"/>
      <c r="Q39" s="174"/>
      <c r="R39" s="175"/>
    </row>
    <row r="40" spans="1:18" ht="13" thickBot="1" x14ac:dyDescent="0.3">
      <c r="C40" s="321" t="s">
        <v>88</v>
      </c>
      <c r="D40" s="321"/>
      <c r="E40" s="321"/>
      <c r="F40" s="321"/>
      <c r="G40" s="321"/>
      <c r="I40" s="178"/>
      <c r="J40" s="179"/>
      <c r="K40" s="179"/>
      <c r="L40" s="180"/>
      <c r="M40" s="180"/>
      <c r="N40" s="180"/>
      <c r="O40" s="180"/>
      <c r="P40" s="180"/>
      <c r="Q40" s="180"/>
      <c r="R40" s="181"/>
    </row>
    <row r="41" spans="1:18" x14ac:dyDescent="0.25">
      <c r="C41" s="322"/>
      <c r="D41" s="322"/>
      <c r="E41" s="322"/>
      <c r="F41" s="322"/>
      <c r="G41" s="322"/>
    </row>
    <row r="43" spans="1:18" x14ac:dyDescent="0.25">
      <c r="A43" s="324" t="s">
        <v>89</v>
      </c>
      <c r="B43" s="324"/>
      <c r="C43" s="324"/>
      <c r="D43" s="324"/>
      <c r="E43" s="324"/>
      <c r="F43" s="324"/>
      <c r="G43" s="324"/>
      <c r="H43" s="324"/>
      <c r="I43" s="324"/>
      <c r="J43" s="324"/>
    </row>
  </sheetData>
  <mergeCells count="28">
    <mergeCell ref="C38:G38"/>
    <mergeCell ref="C25:F25"/>
    <mergeCell ref="C24:F24"/>
    <mergeCell ref="C32:F32"/>
    <mergeCell ref="C27:F27"/>
    <mergeCell ref="B35:G35"/>
    <mergeCell ref="C36:G36"/>
    <mergeCell ref="C30:F30"/>
    <mergeCell ref="C31:F31"/>
    <mergeCell ref="C29:F29"/>
    <mergeCell ref="C26:F26"/>
    <mergeCell ref="C37:G37"/>
    <mergeCell ref="C40:G41"/>
    <mergeCell ref="A43:J43"/>
    <mergeCell ref="C1:G2"/>
    <mergeCell ref="C13:F13"/>
    <mergeCell ref="C15:F15"/>
    <mergeCell ref="C18:F18"/>
    <mergeCell ref="A5:J5"/>
    <mergeCell ref="A6:J6"/>
    <mergeCell ref="C12:F12"/>
    <mergeCell ref="C19:F19"/>
    <mergeCell ref="C17:F17"/>
    <mergeCell ref="C16:F16"/>
    <mergeCell ref="C14:F14"/>
    <mergeCell ref="C20:F20"/>
    <mergeCell ref="C33:F33"/>
    <mergeCell ref="C28:F28"/>
  </mergeCells>
  <phoneticPr fontId="70" type="noConversion"/>
  <hyperlinks>
    <hyperlink ref="J1" location="Help1!A1" display="Aide Générale"/>
    <hyperlink ref="A1" location="'First page'!A1" display="Retour"/>
    <hyperlink ref="I12" r:id="rId1"/>
  </hyperlinks>
  <pageMargins left="0.78740157499999996" right="0.78740157499999996" top="0.984251969" bottom="0.984251969" header="0.4921259845" footer="0.4921259845"/>
  <pageSetup paperSize="9" orientation="portrait" r:id="rId2"/>
  <headerFooter alignWithMargins="0"/>
  <drawing r:id="rId3"/>
  <legacyDrawing r:id="rId4"/>
  <oleObjects>
    <mc:AlternateContent xmlns:mc="http://schemas.openxmlformats.org/markup-compatibility/2006">
      <mc:Choice Requires="x14">
        <oleObject progId="Présentation" dvAspect="DVASPECT_ICON" shapeId="6145" r:id="rId5">
          <objectPr defaultSize="0" r:id="rId6">
            <anchor moveWithCells="1">
              <from>
                <xdr:col>9</xdr:col>
                <xdr:colOff>374650</xdr:colOff>
                <xdr:row>13</xdr:row>
                <xdr:rowOff>76200</xdr:rowOff>
              </from>
              <to>
                <xdr:col>10</xdr:col>
                <xdr:colOff>527050</xdr:colOff>
                <xdr:row>16</xdr:row>
                <xdr:rowOff>114300</xdr:rowOff>
              </to>
            </anchor>
          </objectPr>
        </oleObject>
      </mc:Choice>
      <mc:Fallback>
        <oleObject progId="Présentation" dvAspect="DVASPECT_ICON" shapeId="6145" r:id="rId5"/>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89"/>
  <sheetViews>
    <sheetView topLeftCell="A61" workbookViewId="0">
      <selection activeCell="C8" sqref="C8"/>
    </sheetView>
  </sheetViews>
  <sheetFormatPr defaultColWidth="68.81640625" defaultRowHeight="12.5" x14ac:dyDescent="0.25"/>
  <cols>
    <col min="1" max="1" width="5.54296875" customWidth="1"/>
  </cols>
  <sheetData>
    <row r="2" spans="2:3" ht="22" x14ac:dyDescent="0.25">
      <c r="B2" s="193" t="s">
        <v>291</v>
      </c>
    </row>
    <row r="3" spans="2:3" ht="13" x14ac:dyDescent="0.25">
      <c r="B3" s="194" t="s">
        <v>292</v>
      </c>
    </row>
    <row r="4" spans="2:3" ht="13" x14ac:dyDescent="0.25">
      <c r="B4" s="195">
        <v>0.65972222222222221</v>
      </c>
    </row>
    <row r="5" spans="2:3" ht="21" x14ac:dyDescent="0.25">
      <c r="B5" s="196" t="s">
        <v>293</v>
      </c>
    </row>
    <row r="6" spans="2:3" ht="15" thickBot="1" x14ac:dyDescent="0.3">
      <c r="B6" s="197"/>
    </row>
    <row r="7" spans="2:3" ht="15" thickBot="1" x14ac:dyDescent="0.3">
      <c r="B7" s="198" t="s">
        <v>294</v>
      </c>
      <c r="C7" s="199"/>
    </row>
    <row r="8" spans="2:3" ht="15" thickBot="1" x14ac:dyDescent="0.3">
      <c r="B8" s="199" t="s">
        <v>295</v>
      </c>
      <c r="C8" s="200" t="s">
        <v>296</v>
      </c>
    </row>
    <row r="9" spans="2:3" ht="15" thickBot="1" x14ac:dyDescent="0.3">
      <c r="B9" s="199" t="s">
        <v>297</v>
      </c>
      <c r="C9" s="200" t="s">
        <v>298</v>
      </c>
    </row>
    <row r="10" spans="2:3" ht="15" thickBot="1" x14ac:dyDescent="0.3">
      <c r="B10" s="199" t="s">
        <v>299</v>
      </c>
      <c r="C10" s="200" t="s">
        <v>298</v>
      </c>
    </row>
    <row r="11" spans="2:3" ht="15" thickBot="1" x14ac:dyDescent="0.3">
      <c r="B11" s="199" t="s">
        <v>300</v>
      </c>
      <c r="C11" s="200" t="s">
        <v>301</v>
      </c>
    </row>
    <row r="12" spans="2:3" ht="15" thickBot="1" x14ac:dyDescent="0.3">
      <c r="B12" s="199" t="s">
        <v>302</v>
      </c>
      <c r="C12" s="200" t="s">
        <v>303</v>
      </c>
    </row>
    <row r="13" spans="2:3" ht="14.5" x14ac:dyDescent="0.25">
      <c r="B13" s="197"/>
    </row>
    <row r="14" spans="2:3" ht="14.5" x14ac:dyDescent="0.25">
      <c r="B14" s="197"/>
    </row>
    <row r="15" spans="2:3" ht="17" x14ac:dyDescent="0.25">
      <c r="B15" s="201" t="s">
        <v>304</v>
      </c>
    </row>
    <row r="16" spans="2:3" ht="14.5" x14ac:dyDescent="0.25">
      <c r="B16" s="197" t="s">
        <v>305</v>
      </c>
    </row>
    <row r="17" spans="2:2" ht="14.5" x14ac:dyDescent="0.25">
      <c r="B17" s="197" t="s">
        <v>306</v>
      </c>
    </row>
    <row r="18" spans="2:2" ht="14.5" x14ac:dyDescent="0.25">
      <c r="B18" s="197" t="s">
        <v>307</v>
      </c>
    </row>
    <row r="19" spans="2:2" ht="14.5" x14ac:dyDescent="0.25">
      <c r="B19" s="197"/>
    </row>
    <row r="20" spans="2:2" ht="14.5" x14ac:dyDescent="0.25">
      <c r="B20" s="197" t="s">
        <v>308</v>
      </c>
    </row>
    <row r="21" spans="2:2" ht="14.5" x14ac:dyDescent="0.25">
      <c r="B21" s="197"/>
    </row>
    <row r="22" spans="2:2" ht="14.5" x14ac:dyDescent="0.25">
      <c r="B22" s="197" t="s">
        <v>309</v>
      </c>
    </row>
    <row r="23" spans="2:2" ht="14.5" x14ac:dyDescent="0.25">
      <c r="B23" s="197" t="s">
        <v>310</v>
      </c>
    </row>
    <row r="24" spans="2:2" ht="17" x14ac:dyDescent="0.25">
      <c r="B24" s="197" t="s">
        <v>311</v>
      </c>
    </row>
    <row r="25" spans="2:2" ht="14.5" x14ac:dyDescent="0.25">
      <c r="B25" s="197" t="s">
        <v>312</v>
      </c>
    </row>
    <row r="26" spans="2:2" ht="14.5" x14ac:dyDescent="0.25">
      <c r="B26" s="197" t="s">
        <v>313</v>
      </c>
    </row>
    <row r="27" spans="2:2" ht="14.5" x14ac:dyDescent="0.25">
      <c r="B27" s="197" t="s">
        <v>314</v>
      </c>
    </row>
    <row r="28" spans="2:2" ht="14.5" x14ac:dyDescent="0.25">
      <c r="B28" s="197"/>
    </row>
    <row r="29" spans="2:2" ht="17" x14ac:dyDescent="0.25">
      <c r="B29" s="201" t="s">
        <v>315</v>
      </c>
    </row>
    <row r="30" spans="2:2" ht="14.5" x14ac:dyDescent="0.25">
      <c r="B30" s="197" t="s">
        <v>316</v>
      </c>
    </row>
    <row r="31" spans="2:2" ht="14.5" x14ac:dyDescent="0.25">
      <c r="B31" s="197" t="s">
        <v>317</v>
      </c>
    </row>
    <row r="32" spans="2:2" ht="14.5" x14ac:dyDescent="0.25">
      <c r="B32" s="197"/>
    </row>
    <row r="33" spans="2:2" ht="21" x14ac:dyDescent="0.25">
      <c r="B33" s="196" t="s">
        <v>318</v>
      </c>
    </row>
    <row r="34" spans="2:2" ht="14.5" x14ac:dyDescent="0.25">
      <c r="B34" s="197" t="s">
        <v>319</v>
      </c>
    </row>
    <row r="35" spans="2:2" ht="14.5" x14ac:dyDescent="0.25">
      <c r="B35" s="197"/>
    </row>
    <row r="36" spans="2:2" ht="14.5" x14ac:dyDescent="0.25">
      <c r="B36" s="202" t="s">
        <v>320</v>
      </c>
    </row>
    <row r="37" spans="2:2" ht="14.5" x14ac:dyDescent="0.25">
      <c r="B37" s="203" t="s">
        <v>321</v>
      </c>
    </row>
    <row r="38" spans="2:2" ht="14.5" x14ac:dyDescent="0.25">
      <c r="B38" s="203" t="s">
        <v>322</v>
      </c>
    </row>
    <row r="39" spans="2:2" ht="14.5" x14ac:dyDescent="0.25">
      <c r="B39" s="203" t="s">
        <v>323</v>
      </c>
    </row>
    <row r="40" spans="2:2" ht="14.5" x14ac:dyDescent="0.25">
      <c r="B40" s="203" t="s">
        <v>324</v>
      </c>
    </row>
    <row r="41" spans="2:2" ht="14.5" x14ac:dyDescent="0.25">
      <c r="B41" s="203" t="s">
        <v>325</v>
      </c>
    </row>
    <row r="42" spans="2:2" ht="14.5" x14ac:dyDescent="0.25">
      <c r="B42" s="203" t="s">
        <v>326</v>
      </c>
    </row>
    <row r="43" spans="2:2" ht="14.5" x14ac:dyDescent="0.25">
      <c r="B43" s="203" t="s">
        <v>327</v>
      </c>
    </row>
    <row r="44" spans="2:2" ht="14.5" x14ac:dyDescent="0.25">
      <c r="B44" s="197"/>
    </row>
    <row r="45" spans="2:2" ht="14.5" x14ac:dyDescent="0.25">
      <c r="B45" s="202" t="s">
        <v>328</v>
      </c>
    </row>
    <row r="46" spans="2:2" ht="14.5" x14ac:dyDescent="0.25">
      <c r="B46" s="203" t="s">
        <v>329</v>
      </c>
    </row>
    <row r="47" spans="2:2" ht="14.5" x14ac:dyDescent="0.25">
      <c r="B47" s="203" t="s">
        <v>330</v>
      </c>
    </row>
    <row r="48" spans="2:2" ht="14.5" x14ac:dyDescent="0.25">
      <c r="B48" s="203" t="s">
        <v>331</v>
      </c>
    </row>
    <row r="49" spans="2:3" ht="14.5" x14ac:dyDescent="0.25">
      <c r="B49" s="203" t="s">
        <v>332</v>
      </c>
    </row>
    <row r="50" spans="2:3" ht="14.5" x14ac:dyDescent="0.25">
      <c r="B50" s="203" t="s">
        <v>333</v>
      </c>
    </row>
    <row r="51" spans="2:3" ht="14.5" x14ac:dyDescent="0.25">
      <c r="B51" s="197"/>
    </row>
    <row r="52" spans="2:3" ht="14.5" x14ac:dyDescent="0.25">
      <c r="B52" s="202" t="s">
        <v>334</v>
      </c>
    </row>
    <row r="53" spans="2:3" ht="14.5" x14ac:dyDescent="0.25">
      <c r="B53" s="203" t="s">
        <v>329</v>
      </c>
    </row>
    <row r="54" spans="2:3" ht="14.5" x14ac:dyDescent="0.25">
      <c r="B54" s="203" t="s">
        <v>335</v>
      </c>
    </row>
    <row r="55" spans="2:3" ht="14.5" x14ac:dyDescent="0.25">
      <c r="B55" s="203" t="s">
        <v>336</v>
      </c>
    </row>
    <row r="56" spans="2:3" ht="14.5" x14ac:dyDescent="0.25">
      <c r="B56" s="203" t="s">
        <v>337</v>
      </c>
    </row>
    <row r="57" spans="2:3" ht="14.5" x14ac:dyDescent="0.25">
      <c r="B57" s="203" t="s">
        <v>338</v>
      </c>
    </row>
    <row r="58" spans="2:3" ht="14.5" x14ac:dyDescent="0.25">
      <c r="B58" s="203" t="s">
        <v>339</v>
      </c>
    </row>
    <row r="59" spans="2:3" ht="14.5" x14ac:dyDescent="0.25">
      <c r="B59" s="203" t="s">
        <v>340</v>
      </c>
    </row>
    <row r="60" spans="2:3" ht="14.5" x14ac:dyDescent="0.25">
      <c r="B60" s="197"/>
    </row>
    <row r="61" spans="2:3" ht="14.5" x14ac:dyDescent="0.25">
      <c r="B61" s="202" t="s">
        <v>341</v>
      </c>
    </row>
    <row r="62" spans="2:3" ht="15" thickBot="1" x14ac:dyDescent="0.3">
      <c r="B62" s="203" t="s">
        <v>342</v>
      </c>
    </row>
    <row r="63" spans="2:3" ht="15" thickBot="1" x14ac:dyDescent="0.3">
      <c r="B63" s="199" t="s">
        <v>343</v>
      </c>
      <c r="C63" s="199" t="s">
        <v>344</v>
      </c>
    </row>
    <row r="64" spans="2:3" ht="15" thickBot="1" x14ac:dyDescent="0.3">
      <c r="B64" s="199" t="s">
        <v>44</v>
      </c>
      <c r="C64" s="199" t="s">
        <v>44</v>
      </c>
    </row>
    <row r="65" spans="2:3" ht="15" thickBot="1" x14ac:dyDescent="0.3">
      <c r="B65" s="199" t="s">
        <v>44</v>
      </c>
      <c r="C65" s="199" t="s">
        <v>345</v>
      </c>
    </row>
    <row r="66" spans="2:3" ht="15" thickBot="1" x14ac:dyDescent="0.3">
      <c r="B66" s="203" t="s">
        <v>346</v>
      </c>
    </row>
    <row r="67" spans="2:3" ht="15" thickBot="1" x14ac:dyDescent="0.3">
      <c r="B67" s="199" t="s">
        <v>343</v>
      </c>
      <c r="C67" s="199" t="s">
        <v>344</v>
      </c>
    </row>
    <row r="68" spans="2:3" ht="15" thickBot="1" x14ac:dyDescent="0.3">
      <c r="B68" s="199" t="s">
        <v>44</v>
      </c>
      <c r="C68" s="199" t="s">
        <v>119</v>
      </c>
    </row>
    <row r="69" spans="2:3" ht="15" thickBot="1" x14ac:dyDescent="0.3">
      <c r="B69" s="199" t="s">
        <v>45</v>
      </c>
      <c r="C69" s="199" t="s">
        <v>119</v>
      </c>
    </row>
    <row r="70" spans="2:3" ht="15" thickBot="1" x14ac:dyDescent="0.3">
      <c r="B70" s="199" t="s">
        <v>345</v>
      </c>
      <c r="C70" s="199" t="s">
        <v>119</v>
      </c>
    </row>
    <row r="71" spans="2:3" ht="14.5" x14ac:dyDescent="0.25">
      <c r="B71" s="197"/>
    </row>
    <row r="72" spans="2:3" ht="15" thickBot="1" x14ac:dyDescent="0.3">
      <c r="B72" s="203" t="s">
        <v>347</v>
      </c>
    </row>
    <row r="73" spans="2:3" ht="15" thickBot="1" x14ac:dyDescent="0.3">
      <c r="B73" s="199" t="s">
        <v>343</v>
      </c>
      <c r="C73" s="199" t="s">
        <v>344</v>
      </c>
    </row>
    <row r="74" spans="2:3" ht="15" thickBot="1" x14ac:dyDescent="0.3">
      <c r="B74" s="199" t="s">
        <v>45</v>
      </c>
      <c r="C74" s="199" t="s">
        <v>91</v>
      </c>
    </row>
    <row r="75" spans="2:3" ht="14.5" x14ac:dyDescent="0.25">
      <c r="B75" s="197"/>
    </row>
    <row r="76" spans="2:3" ht="15" thickBot="1" x14ac:dyDescent="0.3">
      <c r="B76" s="203" t="s">
        <v>348</v>
      </c>
    </row>
    <row r="77" spans="2:3" ht="15" thickBot="1" x14ac:dyDescent="0.3">
      <c r="B77" s="199" t="s">
        <v>343</v>
      </c>
      <c r="C77" s="199" t="s">
        <v>344</v>
      </c>
    </row>
    <row r="78" spans="2:3" ht="15" thickBot="1" x14ac:dyDescent="0.3">
      <c r="B78" s="199" t="s">
        <v>45</v>
      </c>
      <c r="C78" s="199" t="s">
        <v>45</v>
      </c>
    </row>
    <row r="79" spans="2:3" ht="14.5" x14ac:dyDescent="0.25">
      <c r="B79" s="197"/>
    </row>
    <row r="80" spans="2:3" ht="15" thickBot="1" x14ac:dyDescent="0.3">
      <c r="B80" s="203" t="s">
        <v>349</v>
      </c>
    </row>
    <row r="81" spans="2:3" ht="15" thickBot="1" x14ac:dyDescent="0.3">
      <c r="B81" s="199" t="s">
        <v>343</v>
      </c>
      <c r="C81" s="199" t="s">
        <v>344</v>
      </c>
    </row>
    <row r="82" spans="2:3" ht="15" thickBot="1" x14ac:dyDescent="0.3">
      <c r="B82" s="199" t="s">
        <v>44</v>
      </c>
      <c r="C82" s="199" t="s">
        <v>45</v>
      </c>
    </row>
    <row r="83" spans="2:3" ht="15" thickBot="1" x14ac:dyDescent="0.3">
      <c r="B83" s="199" t="s">
        <v>44</v>
      </c>
      <c r="C83" s="199" t="s">
        <v>91</v>
      </c>
    </row>
    <row r="84" spans="2:3" ht="15" thickBot="1" x14ac:dyDescent="0.3">
      <c r="B84" s="204" t="s">
        <v>345</v>
      </c>
      <c r="C84" s="199" t="s">
        <v>91</v>
      </c>
    </row>
    <row r="85" spans="2:3" ht="15" thickBot="1" x14ac:dyDescent="0.3">
      <c r="B85" s="199" t="s">
        <v>45</v>
      </c>
      <c r="C85" s="204" t="s">
        <v>345</v>
      </c>
    </row>
    <row r="86" spans="2:3" ht="15" thickBot="1" x14ac:dyDescent="0.3">
      <c r="B86" s="204" t="s">
        <v>350</v>
      </c>
      <c r="C86" s="199" t="s">
        <v>45</v>
      </c>
    </row>
    <row r="87" spans="2:3" ht="15" thickBot="1" x14ac:dyDescent="0.3">
      <c r="B87" s="204" t="s">
        <v>350</v>
      </c>
      <c r="C87" s="204" t="s">
        <v>345</v>
      </c>
    </row>
    <row r="88" spans="2:3" ht="15" thickBot="1" x14ac:dyDescent="0.3">
      <c r="B88" s="204" t="s">
        <v>350</v>
      </c>
      <c r="C88" s="199" t="s">
        <v>44</v>
      </c>
    </row>
    <row r="89" spans="2:3" ht="15" thickBot="1" x14ac:dyDescent="0.3">
      <c r="B89" s="199" t="s">
        <v>45</v>
      </c>
      <c r="C89" s="204" t="s">
        <v>350</v>
      </c>
    </row>
  </sheetData>
  <phoneticPr fontId="70" type="noConversion"/>
  <hyperlinks>
    <hyperlink ref="C8" r:id="rId1"/>
    <hyperlink ref="C9" r:id="rId2"/>
    <hyperlink ref="C10" r:id="rId3"/>
    <hyperlink ref="C11" r:id="rId4"/>
    <hyperlink ref="C12" r:id="rId5"/>
  </hyperlinks>
  <pageMargins left="0.7" right="0.7" top="0.75" bottom="0.75" header="0.3" footer="0.3"/>
  <pageSetup paperSize="9" orientation="portrait"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99"/>
  <sheetViews>
    <sheetView workbookViewId="0">
      <selection activeCell="A2" sqref="A2"/>
    </sheetView>
  </sheetViews>
  <sheetFormatPr defaultColWidth="11.453125" defaultRowHeight="14" x14ac:dyDescent="0.25"/>
  <cols>
    <col min="1" max="1" width="31.26953125" style="77" customWidth="1"/>
    <col min="2" max="2" width="24.1796875" style="77" customWidth="1"/>
    <col min="3" max="3" width="11.453125" style="77"/>
    <col min="4" max="4" width="20.453125" style="77" customWidth="1"/>
    <col min="5" max="5" width="3.1796875" style="77" customWidth="1"/>
    <col min="6" max="16384" width="11.453125" style="77"/>
  </cols>
  <sheetData>
    <row r="1" spans="1:4" s="76" customFormat="1" x14ac:dyDescent="0.25">
      <c r="A1" s="74" t="s">
        <v>128</v>
      </c>
      <c r="B1" s="74"/>
      <c r="C1" s="75"/>
      <c r="D1" s="75"/>
    </row>
    <row r="2" spans="1:4" x14ac:dyDescent="0.25">
      <c r="A2" s="77" t="s">
        <v>275</v>
      </c>
      <c r="B2" s="78"/>
      <c r="D2" s="78"/>
    </row>
    <row r="3" spans="1:4" x14ac:dyDescent="0.25">
      <c r="B3" s="78"/>
      <c r="D3" s="78"/>
    </row>
    <row r="4" spans="1:4" x14ac:dyDescent="0.25">
      <c r="B4" s="78"/>
      <c r="D4" s="78"/>
    </row>
    <row r="5" spans="1:4" x14ac:dyDescent="0.25">
      <c r="A5" s="77" t="s">
        <v>160</v>
      </c>
      <c r="B5" s="78"/>
    </row>
    <row r="6" spans="1:4" x14ac:dyDescent="0.25">
      <c r="A6" s="77" t="s">
        <v>161</v>
      </c>
      <c r="B6" s="78"/>
    </row>
    <row r="7" spans="1:4" x14ac:dyDescent="0.25">
      <c r="A7" s="77" t="s">
        <v>162</v>
      </c>
      <c r="B7" s="78"/>
    </row>
    <row r="8" spans="1:4" x14ac:dyDescent="0.25">
      <c r="A8" s="77" t="s">
        <v>163</v>
      </c>
      <c r="B8" s="78"/>
    </row>
    <row r="9" spans="1:4" x14ac:dyDescent="0.25">
      <c r="A9" s="77" t="s">
        <v>164</v>
      </c>
      <c r="B9" s="78"/>
    </row>
    <row r="10" spans="1:4" x14ac:dyDescent="0.25">
      <c r="A10" s="77" t="s">
        <v>165</v>
      </c>
      <c r="B10" s="78"/>
    </row>
    <row r="11" spans="1:4" x14ac:dyDescent="0.25">
      <c r="A11" s="77" t="s">
        <v>166</v>
      </c>
      <c r="B11" s="78"/>
      <c r="D11" s="78"/>
    </row>
    <row r="12" spans="1:4" x14ac:dyDescent="0.25">
      <c r="A12" s="77" t="s">
        <v>167</v>
      </c>
      <c r="B12" s="78"/>
      <c r="D12" s="78"/>
    </row>
    <row r="13" spans="1:4" x14ac:dyDescent="0.25">
      <c r="A13" s="77" t="s">
        <v>168</v>
      </c>
      <c r="B13" s="78"/>
      <c r="D13" s="78"/>
    </row>
    <row r="14" spans="1:4" x14ac:dyDescent="0.25">
      <c r="A14" s="77" t="s">
        <v>169</v>
      </c>
      <c r="B14" s="78"/>
      <c r="D14" s="78"/>
    </row>
    <row r="15" spans="1:4" x14ac:dyDescent="0.25">
      <c r="A15" s="77" t="s">
        <v>170</v>
      </c>
      <c r="B15" s="78"/>
      <c r="D15" s="78"/>
    </row>
    <row r="16" spans="1:4" x14ac:dyDescent="0.25">
      <c r="A16" s="77" t="s">
        <v>171</v>
      </c>
      <c r="B16" s="78"/>
      <c r="D16" s="78"/>
    </row>
    <row r="17" spans="1:4" x14ac:dyDescent="0.25">
      <c r="A17" s="77" t="s">
        <v>172</v>
      </c>
      <c r="B17" s="78"/>
      <c r="D17" s="78"/>
    </row>
    <row r="18" spans="1:4" x14ac:dyDescent="0.25">
      <c r="A18" s="77" t="s">
        <v>173</v>
      </c>
      <c r="B18" s="78"/>
      <c r="D18" s="78"/>
    </row>
    <row r="19" spans="1:4" x14ac:dyDescent="0.25">
      <c r="A19" s="77" t="s">
        <v>174</v>
      </c>
      <c r="B19" s="78"/>
      <c r="D19" s="78"/>
    </row>
    <row r="20" spans="1:4" x14ac:dyDescent="0.25">
      <c r="A20" s="77" t="s">
        <v>175</v>
      </c>
      <c r="B20" s="78"/>
      <c r="D20" s="78"/>
    </row>
    <row r="21" spans="1:4" x14ac:dyDescent="0.25">
      <c r="A21" s="77" t="s">
        <v>176</v>
      </c>
      <c r="B21" s="78"/>
      <c r="D21" s="78"/>
    </row>
    <row r="22" spans="1:4" x14ac:dyDescent="0.25">
      <c r="A22" s="77" t="s">
        <v>177</v>
      </c>
      <c r="B22" s="78"/>
      <c r="D22" s="78"/>
    </row>
    <row r="23" spans="1:4" x14ac:dyDescent="0.25">
      <c r="A23" s="77" t="s">
        <v>178</v>
      </c>
      <c r="B23" s="78"/>
      <c r="D23" s="78"/>
    </row>
    <row r="24" spans="1:4" x14ac:dyDescent="0.25">
      <c r="A24" s="77" t="s">
        <v>179</v>
      </c>
      <c r="B24" s="78"/>
      <c r="D24" s="78"/>
    </row>
    <row r="25" spans="1:4" x14ac:dyDescent="0.25">
      <c r="A25" s="77" t="s">
        <v>180</v>
      </c>
      <c r="B25" s="78"/>
      <c r="D25" s="78"/>
    </row>
    <row r="26" spans="1:4" x14ac:dyDescent="0.25">
      <c r="A26" s="77" t="s">
        <v>181</v>
      </c>
      <c r="B26" s="78"/>
      <c r="D26" s="78"/>
    </row>
    <row r="27" spans="1:4" x14ac:dyDescent="0.25">
      <c r="A27" s="77" t="s">
        <v>182</v>
      </c>
      <c r="B27" s="78"/>
    </row>
    <row r="28" spans="1:4" x14ac:dyDescent="0.25">
      <c r="A28" s="77" t="s">
        <v>183</v>
      </c>
      <c r="B28" s="78"/>
    </row>
    <row r="29" spans="1:4" x14ac:dyDescent="0.25">
      <c r="A29" s="77" t="s">
        <v>184</v>
      </c>
      <c r="B29" s="78"/>
    </row>
    <row r="30" spans="1:4" x14ac:dyDescent="0.25">
      <c r="A30" s="77" t="s">
        <v>185</v>
      </c>
      <c r="B30" s="78"/>
    </row>
    <row r="31" spans="1:4" x14ac:dyDescent="0.25">
      <c r="A31" s="77" t="s">
        <v>186</v>
      </c>
      <c r="B31" s="78"/>
    </row>
    <row r="32" spans="1:4" x14ac:dyDescent="0.25">
      <c r="A32" s="77" t="s">
        <v>187</v>
      </c>
      <c r="B32" s="78"/>
    </row>
    <row r="33" spans="1:2" x14ac:dyDescent="0.25">
      <c r="A33" s="77" t="s">
        <v>188</v>
      </c>
      <c r="B33" s="78"/>
    </row>
    <row r="34" spans="1:2" x14ac:dyDescent="0.25">
      <c r="A34" s="77" t="s">
        <v>189</v>
      </c>
    </row>
    <row r="35" spans="1:2" x14ac:dyDescent="0.25">
      <c r="A35" s="77" t="s">
        <v>190</v>
      </c>
    </row>
    <row r="36" spans="1:2" x14ac:dyDescent="0.25">
      <c r="A36" s="77" t="s">
        <v>191</v>
      </c>
    </row>
    <row r="37" spans="1:2" x14ac:dyDescent="0.25">
      <c r="A37" s="77" t="s">
        <v>192</v>
      </c>
    </row>
    <row r="38" spans="1:2" x14ac:dyDescent="0.25">
      <c r="A38" s="77" t="s">
        <v>193</v>
      </c>
    </row>
    <row r="39" spans="1:2" x14ac:dyDescent="0.25">
      <c r="A39" s="77" t="s">
        <v>194</v>
      </c>
    </row>
    <row r="40" spans="1:2" x14ac:dyDescent="0.25">
      <c r="A40" s="77" t="s">
        <v>195</v>
      </c>
    </row>
    <row r="41" spans="1:2" x14ac:dyDescent="0.25">
      <c r="A41" s="77" t="s">
        <v>196</v>
      </c>
    </row>
    <row r="42" spans="1:2" x14ac:dyDescent="0.25">
      <c r="A42" s="77" t="s">
        <v>197</v>
      </c>
    </row>
    <row r="43" spans="1:2" x14ac:dyDescent="0.25">
      <c r="A43" s="77" t="s">
        <v>198</v>
      </c>
    </row>
    <row r="44" spans="1:2" x14ac:dyDescent="0.25">
      <c r="A44" s="77" t="s">
        <v>199</v>
      </c>
    </row>
    <row r="45" spans="1:2" x14ac:dyDescent="0.25">
      <c r="A45" s="77" t="s">
        <v>200</v>
      </c>
    </row>
    <row r="46" spans="1:2" x14ac:dyDescent="0.25">
      <c r="A46" s="77" t="s">
        <v>201</v>
      </c>
    </row>
    <row r="47" spans="1:2" x14ac:dyDescent="0.25">
      <c r="A47" s="77" t="s">
        <v>202</v>
      </c>
    </row>
    <row r="48" spans="1:2" x14ac:dyDescent="0.25">
      <c r="A48" s="77" t="s">
        <v>203</v>
      </c>
    </row>
    <row r="49" spans="1:1" x14ac:dyDescent="0.25">
      <c r="A49" s="77" t="s">
        <v>204</v>
      </c>
    </row>
    <row r="50" spans="1:1" x14ac:dyDescent="0.25">
      <c r="A50" s="77" t="s">
        <v>205</v>
      </c>
    </row>
    <row r="51" spans="1:1" x14ac:dyDescent="0.25">
      <c r="A51" s="77" t="s">
        <v>206</v>
      </c>
    </row>
    <row r="52" spans="1:1" x14ac:dyDescent="0.25">
      <c r="A52" s="77" t="s">
        <v>207</v>
      </c>
    </row>
    <row r="53" spans="1:1" x14ac:dyDescent="0.25">
      <c r="A53" s="77" t="s">
        <v>208</v>
      </c>
    </row>
    <row r="54" spans="1:1" x14ac:dyDescent="0.25">
      <c r="A54" s="77" t="s">
        <v>209</v>
      </c>
    </row>
    <row r="55" spans="1:1" x14ac:dyDescent="0.25">
      <c r="A55" s="77" t="s">
        <v>210</v>
      </c>
    </row>
    <row r="56" spans="1:1" x14ac:dyDescent="0.25">
      <c r="A56" s="77" t="s">
        <v>211</v>
      </c>
    </row>
    <row r="57" spans="1:1" x14ac:dyDescent="0.25">
      <c r="A57" s="77" t="s">
        <v>212</v>
      </c>
    </row>
    <row r="58" spans="1:1" x14ac:dyDescent="0.25">
      <c r="A58" s="77" t="s">
        <v>213</v>
      </c>
    </row>
    <row r="59" spans="1:1" x14ac:dyDescent="0.25">
      <c r="A59" s="77" t="s">
        <v>214</v>
      </c>
    </row>
    <row r="60" spans="1:1" x14ac:dyDescent="0.25">
      <c r="A60" s="77" t="s">
        <v>215</v>
      </c>
    </row>
    <row r="61" spans="1:1" x14ac:dyDescent="0.25">
      <c r="A61" s="77" t="s">
        <v>216</v>
      </c>
    </row>
    <row r="62" spans="1:1" x14ac:dyDescent="0.25">
      <c r="A62" s="77" t="s">
        <v>217</v>
      </c>
    </row>
    <row r="63" spans="1:1" x14ac:dyDescent="0.25">
      <c r="A63" s="77" t="s">
        <v>218</v>
      </c>
    </row>
    <row r="64" spans="1:1" x14ac:dyDescent="0.25">
      <c r="A64" s="77" t="s">
        <v>219</v>
      </c>
    </row>
    <row r="65" spans="1:1" x14ac:dyDescent="0.25">
      <c r="A65" s="77" t="s">
        <v>220</v>
      </c>
    </row>
    <row r="66" spans="1:1" x14ac:dyDescent="0.25">
      <c r="A66" s="77" t="s">
        <v>221</v>
      </c>
    </row>
    <row r="67" spans="1:1" x14ac:dyDescent="0.25">
      <c r="A67" s="77" t="s">
        <v>222</v>
      </c>
    </row>
    <row r="68" spans="1:1" x14ac:dyDescent="0.25">
      <c r="A68" s="77" t="s">
        <v>223</v>
      </c>
    </row>
    <row r="69" spans="1:1" x14ac:dyDescent="0.25">
      <c r="A69" s="77" t="s">
        <v>224</v>
      </c>
    </row>
    <row r="70" spans="1:1" x14ac:dyDescent="0.25">
      <c r="A70" s="77" t="s">
        <v>225</v>
      </c>
    </row>
    <row r="71" spans="1:1" x14ac:dyDescent="0.25">
      <c r="A71" s="77" t="s">
        <v>227</v>
      </c>
    </row>
    <row r="72" spans="1:1" x14ac:dyDescent="0.25">
      <c r="A72" s="77" t="s">
        <v>228</v>
      </c>
    </row>
    <row r="73" spans="1:1" x14ac:dyDescent="0.25">
      <c r="A73" s="77" t="s">
        <v>229</v>
      </c>
    </row>
    <row r="74" spans="1:1" x14ac:dyDescent="0.25">
      <c r="A74" s="77" t="s">
        <v>230</v>
      </c>
    </row>
    <row r="75" spans="1:1" x14ac:dyDescent="0.25">
      <c r="A75" s="77" t="s">
        <v>231</v>
      </c>
    </row>
    <row r="76" spans="1:1" x14ac:dyDescent="0.25">
      <c r="A76" s="77" t="s">
        <v>232</v>
      </c>
    </row>
    <row r="77" spans="1:1" x14ac:dyDescent="0.25">
      <c r="A77" s="77" t="s">
        <v>233</v>
      </c>
    </row>
    <row r="78" spans="1:1" x14ac:dyDescent="0.25">
      <c r="A78" s="77" t="s">
        <v>234</v>
      </c>
    </row>
    <row r="79" spans="1:1" x14ac:dyDescent="0.25">
      <c r="A79" s="77" t="s">
        <v>235</v>
      </c>
    </row>
    <row r="80" spans="1:1" x14ac:dyDescent="0.25">
      <c r="A80" s="77" t="s">
        <v>236</v>
      </c>
    </row>
    <row r="81" spans="1:1" x14ac:dyDescent="0.25">
      <c r="A81" s="77" t="s">
        <v>237</v>
      </c>
    </row>
    <row r="82" spans="1:1" x14ac:dyDescent="0.25">
      <c r="A82" s="77" t="s">
        <v>238</v>
      </c>
    </row>
    <row r="83" spans="1:1" x14ac:dyDescent="0.25">
      <c r="A83" s="77" t="s">
        <v>239</v>
      </c>
    </row>
    <row r="84" spans="1:1" x14ac:dyDescent="0.25">
      <c r="A84" s="77" t="s">
        <v>240</v>
      </c>
    </row>
    <row r="85" spans="1:1" x14ac:dyDescent="0.25">
      <c r="A85" s="77" t="s">
        <v>241</v>
      </c>
    </row>
    <row r="86" spans="1:1" x14ac:dyDescent="0.25">
      <c r="A86" s="77" t="s">
        <v>242</v>
      </c>
    </row>
    <row r="87" spans="1:1" x14ac:dyDescent="0.25">
      <c r="A87" s="77" t="s">
        <v>243</v>
      </c>
    </row>
    <row r="88" spans="1:1" x14ac:dyDescent="0.25">
      <c r="A88" s="77" t="s">
        <v>244</v>
      </c>
    </row>
    <row r="89" spans="1:1" x14ac:dyDescent="0.25">
      <c r="A89" s="77" t="s">
        <v>245</v>
      </c>
    </row>
    <row r="90" spans="1:1" x14ac:dyDescent="0.25">
      <c r="A90" s="77" t="s">
        <v>246</v>
      </c>
    </row>
    <row r="91" spans="1:1" x14ac:dyDescent="0.25">
      <c r="A91" s="77" t="s">
        <v>247</v>
      </c>
    </row>
    <row r="92" spans="1:1" x14ac:dyDescent="0.25">
      <c r="A92" s="77" t="s">
        <v>248</v>
      </c>
    </row>
    <row r="93" spans="1:1" x14ac:dyDescent="0.25">
      <c r="A93" s="77" t="s">
        <v>249</v>
      </c>
    </row>
    <row r="94" spans="1:1" x14ac:dyDescent="0.25">
      <c r="A94" s="77" t="s">
        <v>250</v>
      </c>
    </row>
    <row r="95" spans="1:1" x14ac:dyDescent="0.25">
      <c r="A95" s="77" t="s">
        <v>251</v>
      </c>
    </row>
    <row r="96" spans="1:1" x14ac:dyDescent="0.25">
      <c r="A96" s="77" t="s">
        <v>252</v>
      </c>
    </row>
    <row r="97" spans="1:1" x14ac:dyDescent="0.25">
      <c r="A97" s="77" t="s">
        <v>253</v>
      </c>
    </row>
    <row r="98" spans="1:1" x14ac:dyDescent="0.25">
      <c r="A98" s="77" t="s">
        <v>226</v>
      </c>
    </row>
    <row r="99" spans="1:1" x14ac:dyDescent="0.25">
      <c r="A99" s="77" t="s">
        <v>254</v>
      </c>
    </row>
  </sheetData>
  <phoneticPr fontId="70" type="noConversion"/>
  <pageMargins left="0.7" right="0.7" top="0.75" bottom="0.75" header="0.3" footer="0.3"/>
  <pageSetup paperSize="9" orientation="portrait"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ée un document." ma:contentTypeScope="" ma:versionID="b64f3825dedef745799e815778a3a450">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be7a93383acc94020a60dce7576d233c"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03428B-488B-4949-84E9-F46413DDFE23}">
  <ds:schemaRefs>
    <ds:schemaRef ds:uri="http://schemas.microsoft.com/office/2006/metadata/properties"/>
    <ds:schemaRef ds:uri="http://schemas.microsoft.com/office/infopath/2007/PartnerControls"/>
    <ds:schemaRef ds:uri="4c2767fa-af50-448b-be2e-f65ce6607914"/>
  </ds:schemaRefs>
</ds:datastoreItem>
</file>

<file path=customXml/itemProps2.xml><?xml version="1.0" encoding="utf-8"?>
<ds:datastoreItem xmlns:ds="http://schemas.openxmlformats.org/officeDocument/2006/customXml" ds:itemID="{56B961B0-1E10-48E6-9E3C-D7934D123E9A}">
  <ds:schemaRefs>
    <ds:schemaRef ds:uri="http://schemas.microsoft.com/sharepoint/v3/contenttype/forms"/>
  </ds:schemaRefs>
</ds:datastoreItem>
</file>

<file path=customXml/itemProps3.xml><?xml version="1.0" encoding="utf-8"?>
<ds:datastoreItem xmlns:ds="http://schemas.openxmlformats.org/officeDocument/2006/customXml" ds:itemID="{C7A5B5D0-C26C-44F3-973B-BF1E772896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2767fa-af50-448b-be2e-f65ce6607914"/>
    <ds:schemaRef ds:uri="8919c726-fcca-4e26-901c-b5f9cceed7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First page</vt:lpstr>
      <vt:lpstr>Application &amp; Conformity matrix</vt:lpstr>
      <vt:lpstr>Check</vt:lpstr>
      <vt:lpstr>Specific Parameters</vt:lpstr>
      <vt:lpstr>Help1</vt:lpstr>
      <vt:lpstr>Help2</vt:lpstr>
      <vt:lpstr>Audit_MDC</vt:lpstr>
      <vt:lpstr>CONFIG</vt:lpstr>
    </vt:vector>
  </TitlesOfParts>
  <Company>PSA PEUGEOT CITROEN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p109688</dc:creator>
  <cp:lastModifiedBy>admin</cp:lastModifiedBy>
  <dcterms:created xsi:type="dcterms:W3CDTF">2008-01-17T20:12:26Z</dcterms:created>
  <dcterms:modified xsi:type="dcterms:W3CDTF">2026-04-24T01:32:01Z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APQP G1-01A Technical Specification</vt:lpwstr>
  </property>
  <property fmtid="{D5CDD505-2E9C-101B-9397-08002B2CF9AE}" pid="3" name="psa_reference">
    <vt:lpwstr>20931_26_00267</vt:lpwstr>
  </property>
  <property fmtid="{D5CDD505-2E9C-101B-9397-08002B2CF9AE}" pid="4" name="psa_date_modification">
    <vt:lpwstr>27/04/2026 13:56</vt:lpwstr>
  </property>
  <property fmtid="{D5CDD505-2E9C-101B-9397-08002B2CF9AE}" pid="5" name="psa_auteur">
    <vt:lpwstr>LE BLEGUET CHRISTOPHE - V178340 (TIANMA EUROPE GMBH) </vt:lpwstr>
  </property>
  <property fmtid="{D5CDD505-2E9C-101B-9397-08002B2CF9AE}" pid="6" name="psa_emetteur">
    <vt:lpwstr>LE BLEGUET CHRISTOPHE - V178340 (TIANMA EUROPE GMBH) </vt:lpwstr>
  </property>
  <property fmtid="{D5CDD505-2E9C-101B-9397-08002B2CF9AE}" pid="7" name="psa_version">
    <vt:lpwstr>0.2</vt:lpwstr>
  </property>
  <property fmtid="{D5CDD505-2E9C-101B-9397-08002B2CF9AE}" pid="8" name="psa_commentaire">
    <vt:lpwstr/>
  </property>
  <property fmtid="{D5CDD505-2E9C-101B-9397-08002B2CF9AE}" pid="9" name="psa_status">
    <vt:lpwstr>brouillon</vt:lpwstr>
  </property>
  <property fmtid="{D5CDD505-2E9C-101B-9397-08002B2CF9AE}" pid="10" name="psa_niveau_confidentialite">
    <vt:lpwstr>C1 - Public</vt:lpwstr>
  </property>
  <property fmtid="{D5CDD505-2E9C-101B-9397-08002B2CF9AE}" pid="11" name="psa_type_doc">
    <vt:lpwstr/>
  </property>
  <property fmtid="{D5CDD505-2E9C-101B-9397-08002B2CF9AE}" pid="12" name="psa_communaute">
    <vt:lpwstr>z - Ext amont Thème Conception et Développement 13</vt:lpwstr>
  </property>
  <property fmtid="{D5CDD505-2E9C-101B-9397-08002B2CF9AE}" pid="13" name="psa_lecteurs">
    <vt:lpwstr>FONTINHA FILIPE MIGUEL - E315261 (ALTEN), G_H_DRD-DSEE-MCSI-AISL_Elargi, Tous les collaborateurs PSA,</vt:lpwstr>
  </property>
  <property fmtid="{D5CDD505-2E9C-101B-9397-08002B2CF9AE}" pid="14" name="psa_classements">
    <vt:lpwstr>Afficheurs</vt:lpwstr>
  </property>
  <property fmtid="{D5CDD505-2E9C-101B-9397-08002B2CF9AE}" pid="15" name="psa_date_creation">
    <vt:lpwstr>14/04/2026 15:58</vt:lpwstr>
  </property>
  <property fmtid="{D5CDD505-2E9C-101B-9397-08002B2CF9AE}" pid="16" name="psa_langue_principale">
    <vt:lpwstr>Français</vt:lpwstr>
  </property>
  <property fmtid="{D5CDD505-2E9C-101B-9397-08002B2CF9AE}" pid="17" name="psa_confidentialite">
    <vt:lpwstr>A usage interne</vt:lpwstr>
  </property>
  <property fmtid="{D5CDD505-2E9C-101B-9397-08002B2CF9AE}" pid="18" name="psa_url_fiche">
    <vt:lpwstr>https://docinfogroupe.inetpsa.com/ead/doc/ref.20931_26_00267/v.0.2</vt:lpwstr>
  </property>
  <property fmtid="{D5CDD505-2E9C-101B-9397-08002B2CF9AE}" pid="19" name="psa_url_modification">
    <vt:lpwstr>https://docinfogroupe.inetpsa.com/ead/doc/modif/ref.20931_26_00267/fiche</vt:lpwstr>
  </property>
  <property fmtid="{D5CDD505-2E9C-101B-9397-08002B2CF9AE}" pid="20" name="psa_date_publication">
    <vt:lpwstr/>
  </property>
  <property fmtid="{D5CDD505-2E9C-101B-9397-08002B2CF9AE}" pid="21" name="_AdHocReviewCycleID">
    <vt:i4>619776642</vt:i4>
  </property>
  <property fmtid="{D5CDD505-2E9C-101B-9397-08002B2CF9AE}" pid="22" name="_NewReviewCycle">
    <vt:lpwstr/>
  </property>
  <property fmtid="{D5CDD505-2E9C-101B-9397-08002B2CF9AE}" pid="23" name="_EmailSubject">
    <vt:lpwstr>MDC standard</vt:lpwstr>
  </property>
  <property fmtid="{D5CDD505-2E9C-101B-9397-08002B2CF9AE}" pid="24" name="_AuthorEmail">
    <vt:lpwstr>fabrice.combredet@mpsa.com</vt:lpwstr>
  </property>
  <property fmtid="{D5CDD505-2E9C-101B-9397-08002B2CF9AE}" pid="25" name="_AuthorEmailDisplayName">
    <vt:lpwstr>FABRICE COMBREDET - U354086</vt:lpwstr>
  </property>
  <property fmtid="{D5CDD505-2E9C-101B-9397-08002B2CF9AE}" pid="26" name="_ReviewingToolsShownOnce">
    <vt:lpwstr/>
  </property>
  <property fmtid="{D5CDD505-2E9C-101B-9397-08002B2CF9AE}" pid="27" name="MSIP_Label_2fd53d93-3f4c-4b90-b511-bd6bdbb4fba9_Enabled">
    <vt:lpwstr>true</vt:lpwstr>
  </property>
  <property fmtid="{D5CDD505-2E9C-101B-9397-08002B2CF9AE}" pid="28" name="MSIP_Label_2fd53d93-3f4c-4b90-b511-bd6bdbb4fba9_SetDate">
    <vt:lpwstr>2021-01-29T08:57:38Z</vt:lpwstr>
  </property>
  <property fmtid="{D5CDD505-2E9C-101B-9397-08002B2CF9AE}" pid="29" name="MSIP_Label_2fd53d93-3f4c-4b90-b511-bd6bdbb4fba9_Method">
    <vt:lpwstr>Standard</vt:lpwstr>
  </property>
  <property fmtid="{D5CDD505-2E9C-101B-9397-08002B2CF9AE}" pid="30" name="MSIP_Label_2fd53d93-3f4c-4b90-b511-bd6bdbb4fba9_Name">
    <vt:lpwstr>2fd53d93-3f4c-4b90-b511-bd6bdbb4fba9</vt:lpwstr>
  </property>
  <property fmtid="{D5CDD505-2E9C-101B-9397-08002B2CF9AE}" pid="31" name="MSIP_Label_2fd53d93-3f4c-4b90-b511-bd6bdbb4fba9_SiteId">
    <vt:lpwstr>d852d5cd-724c-4128-8812-ffa5db3f8507</vt:lpwstr>
  </property>
  <property fmtid="{D5CDD505-2E9C-101B-9397-08002B2CF9AE}" pid="32" name="MSIP_Label_2fd53d93-3f4c-4b90-b511-bd6bdbb4fba9_ActionId">
    <vt:lpwstr>c63ce816-e75e-4629-9efa-a964dcddd422</vt:lpwstr>
  </property>
  <property fmtid="{D5CDD505-2E9C-101B-9397-08002B2CF9AE}" pid="33" name="MSIP_Label_2fd53d93-3f4c-4b90-b511-bd6bdbb4fba9_ContentBits">
    <vt:lpwstr>0</vt:lpwstr>
  </property>
  <property fmtid="{D5CDD505-2E9C-101B-9397-08002B2CF9AE}" pid="34" name="ContentTypeId">
    <vt:lpwstr>0x0101005A91980C5C918C4684F59D2494840182</vt:lpwstr>
  </property>
  <property fmtid="{D5CDD505-2E9C-101B-9397-08002B2CF9AE}" pid="35" name="MediaServiceImageTags">
    <vt:lpwstr/>
  </property>
</Properties>
</file>