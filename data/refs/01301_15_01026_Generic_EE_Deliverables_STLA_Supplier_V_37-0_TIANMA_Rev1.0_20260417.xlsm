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shiftup.sharepoint.com/sites/DMR2366-AdvanceStage/Shared Documents/Advance Stage/SOURCING/RFQ/DM12F/Supplier offer/Offer/TIANMA/"/>
    </mc:Choice>
  </mc:AlternateContent>
  <xr:revisionPtr revIDLastSave="55" documentId="11_D7C5BEE96E9129BE186DCEA868D451F9422665F0" xr6:coauthVersionLast="47" xr6:coauthVersionMax="47" xr10:uidLastSave="{3891975B-349D-408E-A59B-2704C9910C38}"/>
  <bookViews>
    <workbookView xWindow="28680" yWindow="-120" windowWidth="29040" windowHeight="17520" tabRatio="849" activeTab="7" xr2:uid="{00000000-000D-0000-FFFF-FFFF00000000}"/>
  </bookViews>
  <sheets>
    <sheet name="Cover - History" sheetId="121" r:id="rId1"/>
    <sheet name="Template History" sheetId="70" r:id="rId2"/>
    <sheet name="How to use" sheetId="2" r:id="rId3"/>
    <sheet name="EE Generic List" sheetId="1" r:id="rId4"/>
    <sheet name="SW Generic List" sheetId="120" r:id="rId5"/>
    <sheet name="Connector Generic List" sheetId="119" r:id="rId6"/>
    <sheet name="Design Generic List" sheetId="59" r:id="rId7"/>
    <sheet name="Development" sheetId="5" r:id="rId8"/>
    <sheet name="psa_docinfo" sheetId="161" state="hidden" r:id="rId9"/>
  </sheets>
  <externalReferences>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s>
  <definedNames>
    <definedName name="________REF5" localSheetId="0">'[1]Page de Garde'!#REF!</definedName>
    <definedName name="________REF5">'[1]Page de Garde'!#REF!</definedName>
    <definedName name="________REF6" localSheetId="0">'[1]Page de Garde'!#REF!</definedName>
    <definedName name="________REF6">'[1]Page de Garde'!#REF!</definedName>
    <definedName name="________REF7" localSheetId="0">'[1]Page de Garde'!#REF!</definedName>
    <definedName name="________REF7">'[1]Page de Garde'!#REF!</definedName>
    <definedName name="________REF8" localSheetId="0">'[1]Page de Garde'!#REF!</definedName>
    <definedName name="________REF8">'[1]Page de Garde'!#REF!</definedName>
    <definedName name="_______REF5" localSheetId="0">'[1]Page de Garde'!#REF!</definedName>
    <definedName name="_______REF5">'[1]Page de Garde'!#REF!</definedName>
    <definedName name="_______REF6">'[1]Page de Garde'!#REF!</definedName>
    <definedName name="_______REF7">'[1]Page de Garde'!#REF!</definedName>
    <definedName name="_______REF8">'[1]Page de Garde'!#REF!</definedName>
    <definedName name="______REF5">'[1]Page de Garde'!#REF!</definedName>
    <definedName name="______REF6">'[1]Page de Garde'!#REF!</definedName>
    <definedName name="______REF7">'[1]Page de Garde'!#REF!</definedName>
    <definedName name="______REF8">'[1]Page de Garde'!#REF!</definedName>
    <definedName name="_____REF5">'[1]Page de Garde'!#REF!</definedName>
    <definedName name="_____REF6">'[1]Page de Garde'!#REF!</definedName>
    <definedName name="_____REF7">'[1]Page de Garde'!#REF!</definedName>
    <definedName name="_____REF8">'[1]Page de Garde'!#REF!</definedName>
    <definedName name="____REF5">'[1]Page de Garde'!#REF!</definedName>
    <definedName name="____REF6">'[1]Page de Garde'!#REF!</definedName>
    <definedName name="____REF7">'[1]Page de Garde'!#REF!</definedName>
    <definedName name="____REF8">'[1]Page de Garde'!#REF!</definedName>
    <definedName name="___REF5">'[1]Page de Garde'!#REF!</definedName>
    <definedName name="___REF6">'[1]Page de Garde'!#REF!</definedName>
    <definedName name="___REF7">'[1]Page de Garde'!#REF!</definedName>
    <definedName name="___REF8">'[1]Page de Garde'!#REF!</definedName>
    <definedName name="__REF5">'[1]Page de Garde'!#REF!</definedName>
    <definedName name="__REF6">'[1]Page de Garde'!#REF!</definedName>
    <definedName name="__REF7">'[1]Page de Garde'!#REF!</definedName>
    <definedName name="__REF8">'[1]Page de Garde'!#REF!</definedName>
    <definedName name="_53751_560T0" localSheetId="0">#REF!</definedName>
    <definedName name="_53751_560T0">#REF!</definedName>
    <definedName name="_BQ4.1" hidden="1">[2]Requêtes!$E$2:$F$205</definedName>
    <definedName name="_BQ4.10" hidden="1">[2]Requêtes!$W$2:$X$91</definedName>
    <definedName name="_BQ4.11" hidden="1">[2]Requêtes!$Y$2:$Z$82</definedName>
    <definedName name="_BQ4.12" hidden="1">[2]Requêtes!$AA$2:$AB$236</definedName>
    <definedName name="_BQ4.13" hidden="1">[2]Requêtes!$AC$2:$AD$32</definedName>
    <definedName name="_BQ4.14" hidden="1">[2]Requêtes!$C$2:$D$237</definedName>
    <definedName name="_BQ4.15" hidden="1">[2]Requêtes!$A$2:$B$335</definedName>
    <definedName name="_BQ4.16" hidden="1">[2]Requêtes!$AF$2:$AG$11</definedName>
    <definedName name="_BQ4.17" hidden="1">[2]Requêtes!$AH$2:$AI$203</definedName>
    <definedName name="_BQ4.2" hidden="1">[2]Requêtes!$G$2:$H$192</definedName>
    <definedName name="_BQ4.3" hidden="1">[2]Requêtes!$O$2:$P$186</definedName>
    <definedName name="_BQ4.4" hidden="1">[2]Requêtes!$Q$2:$R$161</definedName>
    <definedName name="_BQ4.5" hidden="1">[2]Requêtes!$S$2:$T$127</definedName>
    <definedName name="_BQ4.6" hidden="1">[2]Requêtes!$U$2:$V$123</definedName>
    <definedName name="_BQ4.7" hidden="1">[2]Requêtes!$I$2:$J$197</definedName>
    <definedName name="_BQ4.8" hidden="1">[2]Requêtes!$K$2:$L$328</definedName>
    <definedName name="_BQ4.9" hidden="1">[2]Requêtes!$M$2:$N$236</definedName>
    <definedName name="_xlnm._FilterDatabase" localSheetId="5" hidden="1">'Connector Generic List'!$A$3:$R$69</definedName>
    <definedName name="_xlnm._FilterDatabase" localSheetId="6" hidden="1">'Design Generic List'!$A$2:$G$17</definedName>
    <definedName name="_xlnm._FilterDatabase" localSheetId="3" hidden="1">'EE Generic List'!$A$3:$S$56</definedName>
    <definedName name="_xlnm._FilterDatabase" localSheetId="4" hidden="1">'SW Generic List'!$A$3:$T$26</definedName>
    <definedName name="_old2" localSheetId="0" hidden="1">{"VHA1",#N/A,FALSE,"Indicateurs";"VHB1",#N/A,FALSE,"Indicateurs";"VHC1",#N/A,FALSE,"Indicateurs";"VHA2",#N/A,FALSE,"Indicateurs";"VHB2",#N/A,FALSE,"Indicateurs";"VHC2",#N/A,FALSE,"Indicateurs";"VHA3",#N/A,FALSE,"Indicateurs";"VHA4",#N/A,FALSE,"Indicateurs";"VHB4",#N/A,FALSE,"Indicateurs";"VHC4",#N/A,FALSE,"Indicateurs";"VVA1",#N/A,FALSE,"Indicateurs"}</definedName>
    <definedName name="_old2" hidden="1">{"VHA1",#N/A,FALSE,"Indicateurs";"VHB1",#N/A,FALSE,"Indicateurs";"VHC1",#N/A,FALSE,"Indicateurs";"VHA2",#N/A,FALSE,"Indicateurs";"VHB2",#N/A,FALSE,"Indicateurs";"VHC2",#N/A,FALSE,"Indicateurs";"VHA3",#N/A,FALSE,"Indicateurs";"VHA4",#N/A,FALSE,"Indicateurs";"VHB4",#N/A,FALSE,"Indicateurs";"VHC4",#N/A,FALSE,"Indicateurs";"VVA1",#N/A,FALSE,"Indicateurs"}</definedName>
    <definedName name="_REF5">'[1]Page de Garde'!#REF!</definedName>
    <definedName name="_REF6">'[1]Page de Garde'!#REF!</definedName>
    <definedName name="_REF7">'[1]Page de Garde'!#REF!</definedName>
    <definedName name="_REF8">'[1]Page de Garde'!#REF!</definedName>
    <definedName name="aa" localSheetId="0">#REF!</definedName>
    <definedName name="aa">#REF!</definedName>
    <definedName name="aaa" localSheetId="0">#REF!</definedName>
    <definedName name="aaa">#REF!</definedName>
    <definedName name="Act_C" localSheetId="0">#REF!</definedName>
    <definedName name="Act_C">#REF!</definedName>
    <definedName name="Act_EC" localSheetId="0">#REF!</definedName>
    <definedName name="Act_EC">#REF!</definedName>
    <definedName name="Act_R" localSheetId="0">#REF!</definedName>
    <definedName name="Act_R">#REF!</definedName>
    <definedName name="Async_Hp_Task_Load" localSheetId="0">#REF!</definedName>
    <definedName name="Async_Hp_Task_Load">#REF!</definedName>
    <definedName name="Async_Hp_Task_Load_0rpm" localSheetId="0">#REF!</definedName>
    <definedName name="Async_Hp_Task_Load_0rpm">#REF!</definedName>
    <definedName name="Async_Hp_Task_Load_2000rpm" localSheetId="0">#REF!</definedName>
    <definedName name="Async_Hp_Task_Load_2000rpm">#REF!</definedName>
    <definedName name="Async_Lp_Task_Load_0rpm" localSheetId="0">#REF!</definedName>
    <definedName name="Async_Lp_Task_Load_0rpm">#REF!</definedName>
    <definedName name="Async_Lp_Task_Load_2000rpm" localSheetId="0">#REF!</definedName>
    <definedName name="Async_Lp_Task_Load_2000rpm">#REF!</definedName>
    <definedName name="Base">[3]RVCV!$CV:$ER</definedName>
    <definedName name="champs_synchronisés" localSheetId="0">#REF!</definedName>
    <definedName name="champs_synchronisés">#REF!</definedName>
    <definedName name="CSEO_CSIV07_1580__2">[4]!_xlbgnm.A1</definedName>
    <definedName name="Declinaison">[5]bdmux!$U$4:$AH$5,[5]bdmux!$AJ$4:$DK$5</definedName>
    <definedName name="Données" localSheetId="0">#REF!</definedName>
    <definedName name="Données">#REF!</definedName>
    <definedName name="Données_207_Madrid" localSheetId="0">OFFSET(#REF!,0,0,1,MATCH(MAX(#REF!),#REF!,0))</definedName>
    <definedName name="Données_207_Madrid">OFFSET(#REF!,0,0,1,MATCH(MAX(#REF!),#REF!,0))</definedName>
    <definedName name="Données_207_Madrid_4SG" localSheetId="0">OFFSET(INDIRECT("Graphiques!L"&amp;MATCH("Résultats IQF+IQA 207 82",#REF!,0)&amp;"C"&amp;#REF!,0),0,0,1,MATCH(MAX(#REF!),#REF!,0)-#REF!+1)</definedName>
    <definedName name="Données_207_Madrid_4SG">OFFSET(INDIRECT("Graphiques!L"&amp;MATCH("Résultats IQF+IQA 207 82",#REF!,0)&amp;"C"&amp;#REF!,0),0,0,1,MATCH(MAX(#REF!),#REF!,0)-#REF!+1)</definedName>
    <definedName name="Données_207_Madrid_IQA_4SG" localSheetId="0">OFFSET(INDIRECT("Graphiques!L"&amp;MATCH("Résultats IQA 207 82",#REF!,0)&amp;"C"&amp;#REF!,0),0,0,1,MATCH(MAX(#REF!),#REF!,0)-#REF!+1)</definedName>
    <definedName name="Données_207_Madrid_IQA_4SG">OFFSET(INDIRECT("Graphiques!L"&amp;MATCH("Résultats IQA 207 82",#REF!,0)&amp;"C"&amp;#REF!,0),0,0,1,MATCH(MAX(#REF!),#REF!,0)-#REF!+1)</definedName>
    <definedName name="Données_207_Madrid_IQF_4SG" localSheetId="0">OFFSET(INDIRECT("Graphiques!L"&amp;MATCH("Résultats IQF 207 82",#REF!,0)&amp;"C"&amp;#REF!,0),0,0,1,MATCH(MAX(#REF!),#REF!,0)-#REF!+1)</definedName>
    <definedName name="Données_207_Madrid_IQF_4SG">OFFSET(INDIRECT("Graphiques!L"&amp;MATCH("Résultats IQF 207 82",#REF!,0)&amp;"C"&amp;#REF!,0),0,0,1,MATCH(MAX(#REF!),#REF!,0)-#REF!+1)</definedName>
    <definedName name="Données_207_Poissy">OFFSET(#REF!,0,0,1,MATCH(MAX(#REF!),#REF!,0))</definedName>
    <definedName name="Données_207_Poissy_4SG" localSheetId="0">OFFSET(INDIRECT("Graphiques!L"&amp;MATCH("Résultats IQF+IQA 207 81",#REF!,0)&amp;"C"&amp;#REF!,0),0,0,1,MATCH(MAX(#REF!),#REF!,0)-#REF!+1)</definedName>
    <definedName name="Données_207_Poissy_4SG">OFFSET(INDIRECT("Graphiques!L"&amp;MATCH("Résultats IQF+IQA 207 81",#REF!,0)&amp;"C"&amp;#REF!,0),0,0,1,MATCH(MAX(#REF!),#REF!,0)-#REF!+1)</definedName>
    <definedName name="Données_207_Poissy_IQA_4SG" localSheetId="0">OFFSET(INDIRECT("Graphiques!L"&amp;MATCH("Résultats IQA 207 81",#REF!,0)&amp;"C"&amp;#REF!,0),0,0,1,MATCH(MAX(#REF!),#REF!,0)-#REF!+1)</definedName>
    <definedName name="Données_207_Poissy_IQA_4SG">OFFSET(INDIRECT("Graphiques!L"&amp;MATCH("Résultats IQA 207 81",#REF!,0)&amp;"C"&amp;#REF!,0),0,0,1,MATCH(MAX(#REF!),#REF!,0)-#REF!+1)</definedName>
    <definedName name="Données_207_Poissy_IQF_4SG" localSheetId="0">OFFSET(INDIRECT("Graphiques!L"&amp;MATCH("Résultats IQF 207 81",#REF!,0)&amp;"C"&amp;#REF!,0),0,0,1,MATCH(MAX(#REF!),#REF!,0)-#REF!+1)</definedName>
    <definedName name="Données_207_Poissy_IQF_4SG">OFFSET(INDIRECT("Graphiques!L"&amp;MATCH("Résultats IQF 207 81",#REF!,0)&amp;"C"&amp;#REF!,0),0,0,1,MATCH(MAX(#REF!),#REF!,0)-#REF!+1)</definedName>
    <definedName name="Données_207_Tranava_4SG" localSheetId="0">OFFSET(INDIRECT("Graphiques!L"&amp;MATCH("Résultats IQF+IQA 207 76",#REF!,0)&amp;"C"&amp;#REF!,0),0,0,1,MATCH(MAX(#REF!),#REF!,0)-#REF!+1)</definedName>
    <definedName name="Données_207_Tranava_4SG">OFFSET(INDIRECT("Graphiques!L"&amp;MATCH("Résultats IQF+IQA 207 76",#REF!,0)&amp;"C"&amp;#REF!,0),0,0,1,MATCH(MAX(#REF!),#REF!,0)-#REF!+1)</definedName>
    <definedName name="Données_207_Tranava_IQA_4SG" localSheetId="0">OFFSET(INDIRECT("Graphiques!L"&amp;MATCH("Résultats IQA 207 76",#REF!,0)&amp;"C"&amp;#REF!,0),0,0,1,MATCH(MAX(#REF!),#REF!,0)-#REF!+1)</definedName>
    <definedName name="Données_207_Tranava_IQA_4SG">OFFSET(INDIRECT("Graphiques!L"&amp;MATCH("Résultats IQA 207 76",#REF!,0)&amp;"C"&amp;#REF!,0),0,0,1,MATCH(MAX(#REF!),#REF!,0)-#REF!+1)</definedName>
    <definedName name="Données_207_Tranava_IQF_4SG" localSheetId="0">OFFSET(INDIRECT("Graphiques!L"&amp;MATCH("Résultats IQF 207 76",#REF!,0)&amp;"C"&amp;#REF!,0),0,0,1,MATCH(MAX(#REF!),#REF!,0)-#REF!+1)</definedName>
    <definedName name="Données_207_Tranava_IQF_4SG">OFFSET(INDIRECT("Graphiques!L"&amp;MATCH("Résultats IQF 207 76",#REF!,0)&amp;"C"&amp;#REF!,0),0,0,1,MATCH(MAX(#REF!),#REF!,0)-#REF!+1)</definedName>
    <definedName name="DWG_DATE">#REF!</definedName>
    <definedName name="Evolution">[6]Var!$H$2:$H$4</definedName>
    <definedName name="Excel_BuiltIn_Print_Area_5">[7]Démarreur!#REF!</definedName>
    <definedName name="Excel_BuiltIn_Print_Area_6">[7]Alternateur!#REF!</definedName>
    <definedName name="Glissant" localSheetId="0">#REF!</definedName>
    <definedName name="Glissant">#REF!</definedName>
    <definedName name="Graphes_Mois">[8]IQA_IQF!$IG$36:$IG$47</definedName>
    <definedName name="Graphes_Semaines">[8]IQA_IQF!$IG$48:$IG$99</definedName>
    <definedName name="Identifiant_T">[4]Copie!$H$5</definedName>
    <definedName name="IS_ACQ_JDD_CAN_BSI_772" localSheetId="0">[0]!_R1388C2</definedName>
    <definedName name="IS_ACQ_JDD_CAN_BSI_772">[0]!_R1388C2</definedName>
    <definedName name="IS_CAL_VOL_7C0" localSheetId="0">[0]!_R1484C2</definedName>
    <definedName name="IS_CAL_VOL_7C0">[0]!_R1484C2</definedName>
    <definedName name="IS_CFD_BSI_BV_0B2" localSheetId="0">[0]!_R68C2</definedName>
    <definedName name="IS_CFD_BSI_BV_0B2">[0]!_R68C2</definedName>
    <definedName name="IS_CFD_BSI_CMM_0A8" localSheetId="0">[0]!_R34C2</definedName>
    <definedName name="IS_CFD_BSI_CMM_0A8">[0]!_R34C2</definedName>
    <definedName name="IS_CFD_ESP_CMM_0AD" localSheetId="0">[0]!_R52C2</definedName>
    <definedName name="IS_CFD_ESP_CMM_0AD">[0]!_R52C2</definedName>
    <definedName name="IS_CFD_UCC_CMM_0E0" localSheetId="0">[0]!_R80C2</definedName>
    <definedName name="IS_CFD_UCC_CMM_0E0">[0]!_R80C2</definedName>
    <definedName name="IS_CONF_EOBD_633" localSheetId="0">[0]!_R1277C2</definedName>
    <definedName name="IS_CONF_EOBD_633">[0]!_R1277C2</definedName>
    <definedName name="IS_CONTEXTE_1_7E2" localSheetId="0">[0]!_R1498C2</definedName>
    <definedName name="IS_CONTEXTE_1_7E2">[0]!_R1498C2</definedName>
    <definedName name="IS_CONTEXTE_1_7F2" localSheetId="0">[0]!_R1516C2</definedName>
    <definedName name="IS_CONTEXTE_1_7F2">[0]!_R1516C2</definedName>
    <definedName name="IS_DAT_ABR_50D" localSheetId="0">[0]!_R1053C2</definedName>
    <definedName name="IS_DAT_ABR_50D">[0]!_R1053C2</definedName>
    <definedName name="IS_DAT_ACCEL_339" localSheetId="0">[0]!_R475C2</definedName>
    <definedName name="IS_DAT_ACCEL_339">[0]!_R475C2</definedName>
    <definedName name="IS_DAT_AMVAR_511" localSheetId="0">[0]!_R1117C2</definedName>
    <definedName name="IS_DAT_AMVAR_511">[0]!_R1117C2</definedName>
    <definedName name="IS_DAT_ARTIV_4F6" localSheetId="0">[0]!_R1042C2</definedName>
    <definedName name="IS_DAT_ARTIV_4F6">[0]!_R1042C2</definedName>
    <definedName name="IS_DAT_BSI_412" localSheetId="0">[0]!_R789C2</definedName>
    <definedName name="IS_DAT_BSI_412">[0]!_R789C2</definedName>
    <definedName name="IS_DAT_BSI_432" localSheetId="0">[0]!_R838C2</definedName>
    <definedName name="IS_DAT_BSI_432">[0]!_R838C2</definedName>
    <definedName name="IS_DAT_BV_489" localSheetId="0">[0]!_R960C2</definedName>
    <definedName name="IS_DAT_BV_489">[0]!_R960C2</definedName>
    <definedName name="IS_DAT_CAAR_458" localSheetId="0">[0]!_R894C2</definedName>
    <definedName name="IS_DAT_CAAR_458">[0]!_R894C2</definedName>
    <definedName name="IS_DAT_CGPL_48C" localSheetId="0">[0]!_R1005C2</definedName>
    <definedName name="IS_DAT_CGPL_48C">[0]!_R1005C2</definedName>
    <definedName name="IS_DAT_CLIM_50E">#N/A</definedName>
    <definedName name="IS_DAT_CMM_488">#N/A</definedName>
    <definedName name="IS_DAT_CSS_510">#N/A</definedName>
    <definedName name="IS_DAT_DIRA_495" localSheetId="0">[0]!_R1020C2</definedName>
    <definedName name="IS_DAT_DIRA_495">[0]!_R1020C2</definedName>
    <definedName name="IS_DAT_EPB_513" localSheetId="0">[0]!_R1122C2</definedName>
    <definedName name="IS_DAT_EPB_513">[0]!_R1122C2</definedName>
    <definedName name="IS_DAT_HCU1_547">#N/A</definedName>
    <definedName name="IS_DAT_HCU1_5E7">#N/A</definedName>
    <definedName name="IS_DAT_PROJ_517">#N/A</definedName>
    <definedName name="IS_DAT_PTMU_4E7">#REF!</definedName>
    <definedName name="IS_DAT_SEL_ASR_PLUS_4FD">#N/A</definedName>
    <definedName name="IS_DAT_SUPERV_SCDT_482">#N/A</definedName>
    <definedName name="IS_DAT_V2_BV_489">#N/A</definedName>
    <definedName name="IS_DAT2_BV_5E9" localSheetId="0">[0]!_R1221C2</definedName>
    <definedName name="IS_DAT2_BV_5E9">[0]!_R1221C2</definedName>
    <definedName name="IS_DAT2_CAPT_ALG_579" localSheetId="0">[0]!_R1167C2</definedName>
    <definedName name="IS_DAT2_CAPT_ALG_579">[0]!_R1167C2</definedName>
    <definedName name="IS_DAT2_CMM_588" localSheetId="0">[0]!_R1179C2</definedName>
    <definedName name="IS_DAT2_CMM_588">[0]!_R1179C2</definedName>
    <definedName name="IS_DAT2_CSS_570" localSheetId="0">[0]!_R1165C2</definedName>
    <definedName name="IS_DAT2_CSS_570">[0]!_R1165C2</definedName>
    <definedName name="IS_DAT2_FRE_56D" localSheetId="0">[0]!_R1160C2</definedName>
    <definedName name="IS_DAT2_FRE_56D">[0]!_R1160C2</definedName>
    <definedName name="IS_DAT3_BSI_4F2" localSheetId="0">[0]!_R1030C2</definedName>
    <definedName name="IS_DAT3_BSI_4F2">[0]!_R1030C2</definedName>
    <definedName name="IS_DAT3_CMM_1E8" localSheetId="0">[0]!_R297C2</definedName>
    <definedName name="IS_DAT3_CMM_1E8">[0]!_R297C2</definedName>
    <definedName name="IS_DAT4_BSI_552" localSheetId="0">[0]!_R1156C2</definedName>
    <definedName name="IS_DAT4_BSI_552">[0]!_R1156C2</definedName>
    <definedName name="IS_DAT6_BSI_592" localSheetId="0">[0]!_R1203C2</definedName>
    <definedName name="IS_DAT6_BSI_592">[0]!_R1203C2</definedName>
    <definedName name="IS_DAT7_BSI_612" localSheetId="0">[0]!_R1255C2</definedName>
    <definedName name="IS_DAT7_BSI_612">[0]!_R1255C2</definedName>
    <definedName name="IS_DAT8_CMM_GAZ_428" localSheetId="0">[0]!_R827C2</definedName>
    <definedName name="IS_DAT8_CMM_GAZ_428">[0]!_R827C2</definedName>
    <definedName name="IS_DATA1_DSG_50F" localSheetId="0">[0]!_R1099C2</definedName>
    <definedName name="IS_DATA1_DSG_50F">[0]!_R1099C2</definedName>
    <definedName name="IS_DATA2_DSG_60F" localSheetId="0">[0]!_R1244C2</definedName>
    <definedName name="IS_DATA2_DSG_60F">[0]!_R1244C2</definedName>
    <definedName name="IS_DYN_ABR_38D">#N/A</definedName>
    <definedName name="IS_DYN_ACCEL_319">#N/A</definedName>
    <definedName name="IS_DYN_ACCEL_LONGI_359">#N/A</definedName>
    <definedName name="IS_DYN_BV_349">#N/A</definedName>
    <definedName name="IS_DYN_BV_389">#N/A</definedName>
    <definedName name="IS_DYN_BVAT6_349">#N/A</definedName>
    <definedName name="IS_DYN_BVMP_349">#N/A</definedName>
    <definedName name="IS_DYN_CARR_398">#N/A</definedName>
    <definedName name="IS_DYN_CCAD_342">#N/A</definedName>
    <definedName name="IS_DYN_CDS_34D">#N/A</definedName>
    <definedName name="IS_DYN_CGCCSS_370">#N/A</definedName>
    <definedName name="IS_DYN_CGCEHB_36D">#N/A</definedName>
    <definedName name="IS_DYN_CMM_208">#N/A</definedName>
    <definedName name="IS_DYN_CMM_388">#N/A</definedName>
    <definedName name="IS_DYN_CMM_HYB_148">#N/A</definedName>
    <definedName name="IS_DYN_CRBS_28D">#REF!</definedName>
    <definedName name="IS_DYN_EASY_MOVE_3AD">#N/A</definedName>
    <definedName name="IS_DYN_PTMU_216">#N/A</definedName>
    <definedName name="IS_DYN_REQ_BICPT_42D">#N/A</definedName>
    <definedName name="IS_DYN_SBW_40A">#N/A</definedName>
    <definedName name="IS_DYN_SSP_DAE_2F5">#N/A</definedName>
    <definedName name="IS_DYN_STT_BV_329">#N/A</definedName>
    <definedName name="IS_DYN_STT_CMM_3C8">#N/A</definedName>
    <definedName name="IS_DYN_SUPERV_SCDT_2C2">#N/A</definedName>
    <definedName name="IS_DYN_SUSP_451">#N/A</definedName>
    <definedName name="IS_DYN_SUSP2_350">#N/A</definedName>
    <definedName name="IS_DYN_TRICPTR_BOSCH_2F9">#N/A</definedName>
    <definedName name="IS_DYN_V2_BVA_349">#N/A</definedName>
    <definedName name="IS_DYN_V2_BVMP_349">#N/A</definedName>
    <definedName name="IS_DYN_VOL_305">#N/A</definedName>
    <definedName name="IS_DYN2_BVMP_3C9">#N/A</definedName>
    <definedName name="IS_DYN2_CMM_348">#N/A</definedName>
    <definedName name="IS_DYN2_FRE_3CD">#N/A</definedName>
    <definedName name="IS_DYN2_V2_BV_3C9">#N/A</definedName>
    <definedName name="IS_DYN3_CMM_468">#N/A</definedName>
    <definedName name="IS_DYN3_FRE_3ED">#N/A</definedName>
    <definedName name="IS_DYN4_CMM_308">#REF!</definedName>
    <definedName name="IS_DYN4_FRE_30D">#N/A</definedName>
    <definedName name="IS_DYN4_FRE_40D">#N/A</definedName>
    <definedName name="IS_DYN5_CMM_228">#N/A</definedName>
    <definedName name="IS_DYN5_FRE_26D">#N/A</definedName>
    <definedName name="IS_EAC_BV_CMM_0A9">#N/A</definedName>
    <definedName name="IS_EAC_CMM_BSI_072">#N/A</definedName>
    <definedName name="IS_EAC_CMM_UCC_0E8">#N/A</definedName>
    <definedName name="IS_EMIS_JDD_CAN_ARTIV_776">#N/A</definedName>
    <definedName name="IS_EMIS_JDD_CAN_ASR_PLUS_77D">#N/A</definedName>
    <definedName name="IS_EMIS_JDD_CAN_BEBA_77B">#N/A</definedName>
    <definedName name="IS_EMIS_JDD_CAN_BHI_771">#N/A</definedName>
    <definedName name="IS_EMIS_JDD_CAN_BV_769">#N/A</definedName>
    <definedName name="IS_EMIS_JDD_CAN_CAAR_778">#N/A</definedName>
    <definedName name="IS_EMIS_JDD_CAN_CMM_768">#N/A</definedName>
    <definedName name="IS_EMIS_JDD_CAN_CSS_770">#N/A</definedName>
    <definedName name="IS_EMIS_JDD_CAN_DIRA_775">#N/A</definedName>
    <definedName name="IS_EMIS_JDD_CAN_DSG_76F">#N/A</definedName>
    <definedName name="IS_EMIS_JDD_CAN_EPB_773">#N/A</definedName>
    <definedName name="IS_EMIS_JDD_CAN_PROJ_777">#N/A</definedName>
    <definedName name="IS_EMIS_JDD_CAN_SBW_76A">#N/A</definedName>
    <definedName name="IS_EMIS_JDD_CAN_SCDT_762">#N/A</definedName>
    <definedName name="IS_EMIS_JDD_CAN_UC_FREIN_76D">#N/A</definedName>
    <definedName name="IS_EOBD_CMM_608">#N/A</definedName>
    <definedName name="IS_ETAT_CRASH_4C8">#N/A</definedName>
    <definedName name="IS_GPL_CMM_368">#N/A</definedName>
    <definedName name="IS_INTE_ELECTRON_BSI_092">#N/A</definedName>
    <definedName name="IS_REP_DIAG_ON_CAN_682">#N/A</definedName>
    <definedName name="IS_REP_DIAG_ON_CAN_688">#N/A</definedName>
    <definedName name="IS_REP_DIAG_ON_CAN_689">#N/A</definedName>
    <definedName name="IS_REP_DIAG_ON_CAN_68A">#N/A</definedName>
    <definedName name="IS_REP_DIAG_ON_CAN_68C">#N/A</definedName>
    <definedName name="IS_REP_DIAG_ON_CAN_68D">#N/A</definedName>
    <definedName name="IS_REP_DIAG_ON_CAN_68F">#N/A</definedName>
    <definedName name="IS_REP_DIAG_ON_CAN_690">#N/A</definedName>
    <definedName name="IS_REP_DIAG_ON_CAN_691">#N/A</definedName>
    <definedName name="IS_REP_DIAG_ON_CAN_692">#N/A</definedName>
    <definedName name="IS_REP_DIAG_ON_CAN_693">#N/A</definedName>
    <definedName name="IS_REP_DIAG_ON_CAN_695">#N/A</definedName>
    <definedName name="IS_REP_DIAG_ON_CAN_696">#N/A</definedName>
    <definedName name="IS_REP_DIAG_ON_CAN_697">#N/A</definedName>
    <definedName name="IS_REP_DIAG_ON_CAN_698">#N/A</definedName>
    <definedName name="IS_REP_DIAG_ON_CAN_699">#N/A</definedName>
    <definedName name="IS_REP_DIAG_ON_CAN_69B">#N/A</definedName>
    <definedName name="IS_REP_DIAG_ON_CAN_69D">#N/A</definedName>
    <definedName name="IS_REP_EOBD_602">#N/A</definedName>
    <definedName name="IS_REP_EOBD_609">#N/A</definedName>
    <definedName name="IS_REP_EOBD_60C">#N/A</definedName>
    <definedName name="IS_REP_EOBD_ON_CAN_7E8">#N/A</definedName>
    <definedName name="IS_REP_EOBD_ON_CAN_7E9">#N/A</definedName>
    <definedName name="IS_REP_EOBD_ON_CAN_7EB">#N/A</definedName>
    <definedName name="IS_REP_EOBD_ON_CAN_7EC">#N/A</definedName>
    <definedName name="IS_REP_EOBD_ON_CAN_7ED">#N/A</definedName>
    <definedName name="IS_REP1_OUTIL_PRTCLE_CCP_7FD">#N/A</definedName>
    <definedName name="IS_REP2_OUTIL_PRTCLE_CCP_7FE">#N/A</definedName>
    <definedName name="IS_REP3_OUTIL_PRTCLE_CCP_7FF">#N/A</definedName>
    <definedName name="IS_REQ_DIAG_ON_CAN_6A2">#N/A</definedName>
    <definedName name="IS_REQ_DIAG_ON_CAN_6A8">#N/A</definedName>
    <definedName name="IS_REQ_DIAG_ON_CAN_6A9">#N/A</definedName>
    <definedName name="IS_REQ_DIAG_ON_CAN_6AA">#N/A</definedName>
    <definedName name="IS_REQ_DIAG_ON_CAN_6AC">#N/A</definedName>
    <definedName name="IS_REQ_DIAG_ON_CAN_6AD">#N/A</definedName>
    <definedName name="IS_REQ_DIAG_ON_CAN_6AF">#N/A</definedName>
    <definedName name="IS_REQ_DIAG_ON_CAN_6B0">#N/A</definedName>
    <definedName name="IS_REQ_DIAG_ON_CAN_6B1">#N/A</definedName>
    <definedName name="IS_REQ_DIAG_ON_CAN_6B2">#N/A</definedName>
    <definedName name="IS_REQ_DIAG_ON_CAN_6B3">#N/A</definedName>
    <definedName name="IS_REQ_DIAG_ON_CAN_6B5">#N/A</definedName>
    <definedName name="IS_REQ_DIAG_ON_CAN_6B6">#N/A</definedName>
    <definedName name="IS_REQ_DIAG_ON_CAN_6B7">#N/A</definedName>
    <definedName name="IS_REQ_DIAG_ON_CAN_6B8">#N/A</definedName>
    <definedName name="IS_REQ_DIAG_ON_CAN_6B9">#N/A</definedName>
    <definedName name="IS_REQ_DIAG_ON_CAN_6BB">#N/A</definedName>
    <definedName name="IS_REQ_DIAG_ON_CAN_6BD">#N/A</definedName>
    <definedName name="IS_REQ_EOBD_633">#N/A</definedName>
    <definedName name="IS_REQ_EOBD_ON_CAN_7DF">#N/A</definedName>
    <definedName name="IS_REQ_EOBD_ON_CAN_7E0">#N/A</definedName>
    <definedName name="IS_REQ_EOBD_ON_CAN_7E1">#N/A</definedName>
    <definedName name="IS_REQ_EOBD_ON_CAN_7E3">#N/A</definedName>
    <definedName name="IS_REQ_EOBD_ON_CAN_7E4">#N/A</definedName>
    <definedName name="IS_REQ_EOBD_ON_CAN_7E5">#N/A</definedName>
    <definedName name="IS_RQD_BV_BSI_0A9">#N/A</definedName>
    <definedName name="IS_RQD_CMEL_0F2">#N/A</definedName>
    <definedName name="IS_RQD_CMM_BSI_072">#N/A</definedName>
    <definedName name="IS_RQD_CMM_ESP_0C8">#N/A</definedName>
    <definedName name="IS_RQD_CMM_UCC_0E8">#N/A</definedName>
    <definedName name="IS_SUPV_ABR_78D">#N/A</definedName>
    <definedName name="IS_SUPV_ARTIV_796">#N/A</definedName>
    <definedName name="IS_SUPV_ASR_PLUS_79D">#N/A</definedName>
    <definedName name="IS_SUPV_BEBA_79B">#N/A</definedName>
    <definedName name="IS_SUPV_BSI_792">#N/A</definedName>
    <definedName name="IS_SUPV_BV_789">#N/A</definedName>
    <definedName name="IS_SUPV_CAAR_798">#N/A</definedName>
    <definedName name="IS_SUPV_CGPL_78C">#N/A</definedName>
    <definedName name="IS_SUPV_CMM_788">#N/A</definedName>
    <definedName name="IS_SUPV_CSS_790">#N/A</definedName>
    <definedName name="IS_SUPV_DIRA_795">#N/A</definedName>
    <definedName name="IS_SUPV_DSG_78F">#N/A</definedName>
    <definedName name="IS_SUPV_EPB_793">#N/A</definedName>
    <definedName name="IS_SUPV_PROJ_797">#N/A</definedName>
    <definedName name="IS_SUPV_PTMU_787">#N/A</definedName>
    <definedName name="IS_SUPV_SBW_78A">#N/A</definedName>
    <definedName name="IS_SUPV_SCDT_782">#N/A</definedName>
    <definedName name="IS_SUPV_SUSP_791" localSheetId="0">[0]!_R1446C2</definedName>
    <definedName name="IS_SUPV_SUSP_791">[0]!_R1446C2</definedName>
    <definedName name="IS_SYNCHRO_CMM_AR2S_048">#N/A</definedName>
    <definedName name="IS_VERS_ABR_10D">#N/A</definedName>
    <definedName name="IS_VERS_ACCEL_119">#N/A</definedName>
    <definedName name="IS_VERS_ARTIV_116">#N/A</definedName>
    <definedName name="IS_VERS_ASR_PLUS_11D">#N/A</definedName>
    <definedName name="IS_VERS_BEBA_11B">#N/A</definedName>
    <definedName name="IS_VERS_BSI_112">#N/A</definedName>
    <definedName name="IS_VERS_BV_109">#N/A</definedName>
    <definedName name="IS_VERS_CAAR_118">#N/A</definedName>
    <definedName name="IS_VERS_CGPL_10C">#N/A</definedName>
    <definedName name="IS_VERS_CMM_108">#N/A</definedName>
    <definedName name="IS_VERS_CSS_110">#N/A</definedName>
    <definedName name="IS_VERS_DIRA_115">#N/A</definedName>
    <definedName name="IS_VERS_DSG_10F">#N/A</definedName>
    <definedName name="IS_VERS_EPB_113">#N/A</definedName>
    <definedName name="IS_VERS_PROJ_117">#N/A</definedName>
    <definedName name="IS_VERS_PTMU_107">#N/A</definedName>
    <definedName name="IS_VERS_SBW_10A">#N/A</definedName>
    <definedName name="IS_VERS_SCDT_102">#N/A</definedName>
    <definedName name="IS_VERS_SUSP_111" localSheetId="0">[0]!_R191C2</definedName>
    <definedName name="IS_VERS_SUSP_111">[0]!_R191C2</definedName>
    <definedName name="IS_VERS_VOL_105">#N/A</definedName>
    <definedName name="IS_VROUES_ABR_44D">#N/A</definedName>
    <definedName name="Liste_classification_défauts">'[9]Tableau IQA-IQF du mois'!$BA$6:$BA$11</definedName>
    <definedName name="Liste_habilitations">'[9]Tableau IQA-IQF du mois'!$AZ$6:$AZ$10</definedName>
    <definedName name="Liste_nom_tournées">'[9]Tableau IQA-IQF du mois'!$AY$6:$AY$7</definedName>
    <definedName name="Liste_postes_CVT">[9]Analyse!$E$6:$E$23</definedName>
    <definedName name="Liste_RE" localSheetId="0">#REF!</definedName>
    <definedName name="Liste_RE">#REF!</definedName>
    <definedName name="MAP_DEBUG_FSE_1_453">#N/A</definedName>
    <definedName name="MAP_DEBUG_FSE_2_473">#N/A</definedName>
    <definedName name="MmExcelLinker_3C139C40_41D2_4224_A671_A14A1C4C55D9" localSheetId="0">Objet du [10]doc!$C$30:$C$30</definedName>
    <definedName name="MmExcelLinker_3C139C40_41D2_4224_A671_A14A1C4C55D9">Objet du [10]doc!$C$30:$C$30</definedName>
    <definedName name="Mnemonique_T">#REF!</definedName>
    <definedName name="ModuleName">'[11]Front Page'!$B$5</definedName>
    <definedName name="Nom_du_pair" localSheetId="0">#REF!</definedName>
    <definedName name="Nom_du_pair">#REF!</definedName>
    <definedName name="Nom_PIA">[12]Var!$D$2:$D$9</definedName>
    <definedName name="OBJECTIF">[13]Header!#REF!</definedName>
    <definedName name="OBJECTIVE">[13]Header!#REF!</definedName>
    <definedName name="OK">'[8]Données Jour par jour'!$A$1:$A$2</definedName>
    <definedName name="old" localSheetId="0" hidden="1">{"VHA1",#N/A,FALSE,"Ind_Av";"VHB1",#N/A,FALSE,"Ind_Av";"VHC1",#N/A,FALSE,"Ind_Av";"VHA3",#N/A,FALSE,"Ind_Av";"VHB3",#N/A,FALSE,"Ind_Av";"VHA4",#N/A,FALSE,"Ind_Av";"VHB4",#N/A,FALSE,"Ind_Av";"VVA1",#N/A,FALSE,"Ind_Av";"VVB1",#N/A,FALSE,"Ind_Av"}</definedName>
    <definedName name="old" hidden="1">{"VHA1",#N/A,FALSE,"Ind_Av";"VHB1",#N/A,FALSE,"Ind_Av";"VHC1",#N/A,FALSE,"Ind_Av";"VHA3",#N/A,FALSE,"Ind_Av";"VHB3",#N/A,FALSE,"Ind_Av";"VHA4",#N/A,FALSE,"Ind_Av";"VHB4",#N/A,FALSE,"Ind_Av";"VVA1",#N/A,FALSE,"Ind_Av";"VVB1",#N/A,FALSE,"Ind_Av"}</definedName>
    <definedName name="Participants">[14]Participants!$A$2:$A$14</definedName>
    <definedName name="Planning_inno">[12]Var!$H$2:$H$13</definedName>
    <definedName name="PROJECT_AND_SW" localSheetId="0">#REF!</definedName>
    <definedName name="PROJECT_AND_SW">#REF!</definedName>
    <definedName name="PROTO_DEV1_CMM_7A9" localSheetId="0">#REF!</definedName>
    <definedName name="PROTO_DEV1_CMM_7A9">#REF!</definedName>
    <definedName name="PROTO_DEV2_ALT_PILOTE_7A5" localSheetId="0">#REF!</definedName>
    <definedName name="PROTO_DEV2_ALT_PILOTE_7A5">#REF!</definedName>
    <definedName name="PROTO_DEV2_CMM_7AA">#N/A</definedName>
    <definedName name="PROTO_IS_ACQ_PUSCH_7A0" localSheetId="0">#REF!</definedName>
    <definedName name="PROTO_IS_ACQ_PUSCH_7A0">#REF!</definedName>
    <definedName name="PROTO_IS_CAL_VOL_CTH_7C0" localSheetId="0">#REF!</definedName>
    <definedName name="PROTO_IS_CAL_VOL_CTH_7C0">#REF!</definedName>
    <definedName name="PROTO_IS_CFD_BSI_0A6">#N/A</definedName>
    <definedName name="PROTO_IS_DAT_ACC_516" localSheetId="0">#REF!</definedName>
    <definedName name="PROTO_IS_DAT_ACC_516">#REF!</definedName>
    <definedName name="PROTO_IS_DAT_BAT_HT_514" localSheetId="0">#REF!</definedName>
    <definedName name="PROTO_IS_DAT_BAT_HT_514">#REF!</definedName>
    <definedName name="PROTO_IS_DAT_BEP_489" localSheetId="0">#REF!</definedName>
    <definedName name="PROTO_IS_DAT_BEP_489">#REF!</definedName>
    <definedName name="PROTO_IS_DAT_CC2S_7B2" localSheetId="0">#REF!</definedName>
    <definedName name="PROTO_IS_DAT_CC2S_7B2">#REF!</definedName>
    <definedName name="PROTO_IS_DAT_CLIM_50E" localSheetId="0">#REF!</definedName>
    <definedName name="PROTO_IS_DAT_CLIM_50E">#REF!</definedName>
    <definedName name="PROTO_IS_DAT_MEL_506" localSheetId="0">#REF!</definedName>
    <definedName name="PROTO_IS_DAT_MEL_506">#REF!</definedName>
    <definedName name="PROTO_IS_DAT2_SUPERV_SCDT_502" localSheetId="0">#REF!</definedName>
    <definedName name="PROTO_IS_DAT2_SUPERV_SCDT_502">#REF!</definedName>
    <definedName name="PROTO_IS_DAT3_CMM_SCR1_1A8">#N/A</definedName>
    <definedName name="PROTO_IS_DAT4_CMM_SCR2_1C8">#N/A</definedName>
    <definedName name="PROTO_IS_DAT5_BSI_652">#N/A</definedName>
    <definedName name="PROTO_IS_DEV_DYN_MAQ_AR2S_7B8" localSheetId="0">#REF!</definedName>
    <definedName name="PROTO_IS_DEV_DYN_MAQ_AR2S_7B8">#REF!</definedName>
    <definedName name="PROTO_IS_DEV_DYN_MAQ_ATX_7B9" localSheetId="0">#REF!</definedName>
    <definedName name="PROTO_IS_DEV_DYN_MAQ_ATX_7B9">#REF!</definedName>
    <definedName name="PROTO_IS_DYN_ACC_336" localSheetId="0">#REF!</definedName>
    <definedName name="PROTO_IS_DYN_ACC_336">#REF!</definedName>
    <definedName name="PROTO_IS_DYN_BEP_309">#N/A</definedName>
    <definedName name="PROTO_IS_DYN_BV_HYB_209" localSheetId="0">#REF!</definedName>
    <definedName name="PROTO_IS_DYN_BV_HYB_209">#REF!</definedName>
    <definedName name="PROTO_IS_DYN_CC2S_7A2" localSheetId="0">#REF!</definedName>
    <definedName name="PROTO_IS_DYN_CC2S_7A2">#REF!</definedName>
    <definedName name="PROTO_IS_DYN_CMAD_346" localSheetId="0">#REF!</definedName>
    <definedName name="PROTO_IS_DYN_CMAD_346">#REF!</definedName>
    <definedName name="PROTO_IS_DYN_CMM_208" localSheetId="0">#REF!</definedName>
    <definedName name="PROTO_IS_DYN_CMM_208">#REF!</definedName>
    <definedName name="PROTO_IS_DYN_CPLE_ELEV_CMM_208" localSheetId="0">#REF!</definedName>
    <definedName name="PROTO_IS_DYN_CPLE_ELEV_CMM_208">#REF!</definedName>
    <definedName name="PROTO_IS_DYN_DIRA_315">#N/A</definedName>
    <definedName name="PROTO_IS_DYN_MEL_306">#N/A</definedName>
    <definedName name="PROTO_IS_DYN_PTMU_ESP_207">#N/A</definedName>
    <definedName name="PROTO_IS_DYN_PTMU1_207" localSheetId="0">#REF!</definedName>
    <definedName name="PROTO_IS_DYN_PTMU1_207">#REF!</definedName>
    <definedName name="PROTO_IS_DYN_PTMU2_227" localSheetId="0">#REF!</definedName>
    <definedName name="PROTO_IS_DYN_PTMU2_227">#REF!</definedName>
    <definedName name="PROTO_IS_DYN_PTMU3_247" localSheetId="0">#REF!</definedName>
    <definedName name="PROTO_IS_DYN_PTMU3_247">#REF!</definedName>
    <definedName name="PROTO_IS_DYN_TBMU_354" localSheetId="0">#REF!</definedName>
    <definedName name="PROTO_IS_DYN_TBMU_354">#REF!</definedName>
    <definedName name="PROTO_IS_DYN2_MEL_406" localSheetId="0">#REF!</definedName>
    <definedName name="PROTO_IS_DYN2_MEL_406">#REF!</definedName>
    <definedName name="PROTO_IS_DYN2_SUPERV_SCDT_282" localSheetId="0">#REF!</definedName>
    <definedName name="PROTO_IS_DYN2_SUPERV_SCDT_282">#REF!</definedName>
    <definedName name="PROTO_IS_DYN2_SUSP_311" localSheetId="0">#REF!</definedName>
    <definedName name="PROTO_IS_DYN2_SUSP_311">#REF!</definedName>
    <definedName name="PROTO_IS_DYN3_SCDT_302" localSheetId="0">#REF!</definedName>
    <definedName name="PROTO_IS_DYN3_SCDT_302">#REF!</definedName>
    <definedName name="PROTO_IS_DYN4_CMM_328">#N/A</definedName>
    <definedName name="PROTO_IS_DYN4_SCDT_242" localSheetId="0">#REF!</definedName>
    <definedName name="PROTO_IS_DYN4_SCDT_242">#REF!</definedName>
    <definedName name="PROTO_IS_DYN6_CMM_248" localSheetId="0">#REF!</definedName>
    <definedName name="PROTO_IS_DYN6_CMM_248">#REF!</definedName>
    <definedName name="PROTO_IS_ESP_PTMU_REAR_ASR_28D">#N/A</definedName>
    <definedName name="PROTO_IS_ESP_PTMU_TORQUE_2CD">#N/A</definedName>
    <definedName name="PROTO_IS_MAP1_BSI_7D2">#N/A</definedName>
    <definedName name="PROTO_IS_MAP1_CCAD_7D3" localSheetId="0">#REF!</definedName>
    <definedName name="PROTO_IS_MAP1_CCAD_7D3">#REF!</definedName>
    <definedName name="PROTO_IS_MAP1_CMAD_7D0" localSheetId="0">#REF!</definedName>
    <definedName name="PROTO_IS_MAP1_CMAD_7D0">#REF!</definedName>
    <definedName name="PROTO_IS_MAP2_CMAD_7D1" localSheetId="0">#REF!</definedName>
    <definedName name="PROTO_IS_MAP2_CMAD_7D1">#REF!</definedName>
    <definedName name="PROTO_IS_REP_DIAG_ON_CAN_686" localSheetId="0">#REF!</definedName>
    <definedName name="PROTO_IS_REP_DIAG_ON_CAN_686">#REF!</definedName>
    <definedName name="PROTO_IS_REP_DIAG_ON_CAN_694" localSheetId="0">#REF!</definedName>
    <definedName name="PROTO_IS_REP_DIAG_ON_CAN_694">#REF!</definedName>
    <definedName name="PROTO_IS_REQ_DIAG_ON_CAN_6A6">#N/A</definedName>
    <definedName name="PROTO_IS_REQ_DIAG_ON_CAN_6B4">#N/A</definedName>
    <definedName name="PROTO_IS_SUPV_CMAD_786" localSheetId="0">#REF!</definedName>
    <definedName name="PROTO_IS_SUPV_CMAD_786">#REF!</definedName>
    <definedName name="PROTO_IS_SUPV_TBMU_794" localSheetId="0">#REF!</definedName>
    <definedName name="PROTO_IS_SUPV_TBMU_794">#REF!</definedName>
    <definedName name="PROTO_IS_VERS_CMAD_106" localSheetId="0">#REF!</definedName>
    <definedName name="PROTO_IS_VERS_CMAD_106">#REF!</definedName>
    <definedName name="PROTO_IS_VERS_CMEL_106" localSheetId="0">#REF!</definedName>
    <definedName name="PROTO_IS_VERS_CMEL_106">#REF!</definedName>
    <definedName name="PROTO_IS_VERS_TBMU_114" localSheetId="0">#REF!</definedName>
    <definedName name="PROTO_IS_VERS_TBMU_114">#REF!</definedName>
    <definedName name="PROTO_PR_CAL_VOL_7C1">#N/A</definedName>
    <definedName name="PROTO_YLS_DRIVE_046">#N/A</definedName>
    <definedName name="PROTO_YLS_SENSOR_0AF">#N/A</definedName>
    <definedName name="psa_auteur" localSheetId="5">[15]psa_docinfo!$B$5</definedName>
    <definedName name="psa_auteur" localSheetId="6">[15]psa_docinfo!$B$5</definedName>
    <definedName name="psa_auteur">psa_docinfo!$B$5</definedName>
    <definedName name="psa_classements" localSheetId="0">[16]psa_docinfo!$B$13</definedName>
    <definedName name="psa_classements" localSheetId="4">[16]psa_docinfo!$B$13</definedName>
    <definedName name="psa_classements">[17]psa_docinfo!$B$13</definedName>
    <definedName name="psa_commentaire" localSheetId="5">[15]psa_docinfo!$B$8</definedName>
    <definedName name="psa_commentaire" localSheetId="6">[15]psa_docinfo!$B$8</definedName>
    <definedName name="psa_commentaire">psa_docinfo!$B$8</definedName>
    <definedName name="psa_communaute" localSheetId="5">[15]psa_docinfo!$B$12</definedName>
    <definedName name="psa_communaute" localSheetId="6">[15]psa_docinfo!$B$12</definedName>
    <definedName name="psa_communaute">psa_docinfo!$B$12</definedName>
    <definedName name="psa_date_creation" localSheetId="5">[15]psa_docinfo!$B$3</definedName>
    <definedName name="psa_date_creation" localSheetId="6">[15]psa_docinfo!$B$3</definedName>
    <definedName name="psa_date_creation">psa_docinfo!$B$3</definedName>
    <definedName name="psa_date_modification" localSheetId="5">[15]psa_docinfo!$B$4</definedName>
    <definedName name="psa_date_modification" localSheetId="6">[15]psa_docinfo!$B$4</definedName>
    <definedName name="psa_date_modification">psa_docinfo!$B$4</definedName>
    <definedName name="psa_date_publication">psa_docinfo!$B$16</definedName>
    <definedName name="psa_emetteur">psa_docinfo!$B$6</definedName>
    <definedName name="psa_langue_principale">psa_docinfo!$B$9</definedName>
    <definedName name="psa_lecteurs" localSheetId="0">[16]psa_docinfo!$B$12</definedName>
    <definedName name="psa_lecteurs" localSheetId="4">[16]psa_docinfo!$B$12</definedName>
    <definedName name="psa_lecteurs">[17]psa_docinfo!$B$12</definedName>
    <definedName name="psa_niveau_confidentialite" localSheetId="5">[15]psa_docinfo!$B$13</definedName>
    <definedName name="psa_niveau_confidentialite" localSheetId="6">[15]psa_docinfo!$B$13</definedName>
    <definedName name="psa_niveau_confidentialite">psa_docinfo!$B$13</definedName>
    <definedName name="psa_reference" localSheetId="5">[15]psa_docinfo!$B$2</definedName>
    <definedName name="psa_reference" localSheetId="6">[15]psa_docinfo!$B$2</definedName>
    <definedName name="psa_reference">psa_docinfo!$B$2</definedName>
    <definedName name="psa_status" localSheetId="5">[15]psa_docinfo!$B$10</definedName>
    <definedName name="psa_status" localSheetId="6">[15]psa_docinfo!$B$10</definedName>
    <definedName name="psa_status">psa_docinfo!$B$10</definedName>
    <definedName name="psa_titre" localSheetId="5">[15]psa_docinfo!$B$1</definedName>
    <definedName name="psa_titre" localSheetId="6">[15]psa_docinfo!$B$1</definedName>
    <definedName name="psa_titre">psa_docinfo!$B$1</definedName>
    <definedName name="psa_type_doc" localSheetId="5">[15]psa_docinfo!$B$11</definedName>
    <definedName name="psa_type_doc" localSheetId="6">[15]psa_docinfo!$B$11</definedName>
    <definedName name="psa_type_doc">psa_docinfo!$B$11</definedName>
    <definedName name="psa_url_fiche">psa_docinfo!$B$14</definedName>
    <definedName name="psa_url_modification">psa_docinfo!$B$15</definedName>
    <definedName name="psa_urlFiche">psa_docinfo!$B$25</definedName>
    <definedName name="psa_version" localSheetId="5">[15]psa_docinfo!$B$7</definedName>
    <definedName name="psa_version" localSheetId="6">[15]psa_docinfo!$B$7</definedName>
    <definedName name="psa_version">psa_docinfo!$B$7</definedName>
    <definedName name="Q_U7HINBAN_0_5_" localSheetId="0">#REF!</definedName>
    <definedName name="Q_U7HINBAN_0_5_">#REF!</definedName>
    <definedName name="Q_U7HINBAN_6__" localSheetId="0">#REF!</definedName>
    <definedName name="Q_U7HINBAN_6__">#REF!</definedName>
    <definedName name="R_PC" localSheetId="0">#REF!</definedName>
    <definedName name="R_PC">#REF!</definedName>
    <definedName name="R_PS" localSheetId="0">#REF!</definedName>
    <definedName name="R_PS">#REF!</definedName>
    <definedName name="R_RB" localSheetId="0">#REF!</definedName>
    <definedName name="R_RB">#REF!</definedName>
    <definedName name="R_TB" localSheetId="0">#REF!</definedName>
    <definedName name="R_TB">#REF!</definedName>
    <definedName name="Regroupements">INDIRECT("'Regroupements'!B3:F" &amp; COUNTA([18]Regroupements!$D:$D)+1)</definedName>
    <definedName name="Rpm_Value">#REF!</definedName>
    <definedName name="Semaines">OFFSET(#REF!,0,0,1,MAX(#REF!))</definedName>
    <definedName name="Semaines_4SG" localSheetId="0">OFFSET(INDIRECT("Graphiques!L58C"&amp;#REF!,0),0,0,1,MATCH(MAX(#REF!),#REF!,0)-#REF!+1)</definedName>
    <definedName name="Semaines_4SG">OFFSET(INDIRECT("Graphiques!L58C"&amp;#REF!,0),0,0,1,MATCH(MAX(#REF!),#REF!,0)-#REF!+1)</definedName>
    <definedName name="STATUS_TR2E">[19]guide!$A$13:$A$18</definedName>
    <definedName name="SUPPLIER">[13]Header!#REF!</definedName>
    <definedName name="Sync_Hp_Task_Load_0rpm" localSheetId="0">#REF!</definedName>
    <definedName name="Sync_Hp_Task_Load_0rpm">#REF!</definedName>
    <definedName name="Sync_Hp_Task_Load_2000rpm" localSheetId="0">#REF!</definedName>
    <definedName name="Sync_Hp_Task_Load_2000rpm">#REF!</definedName>
    <definedName name="Sync_Lp_Task_Load_0rpm" localSheetId="0">#REF!</definedName>
    <definedName name="Sync_Lp_Task_Load_0rpm">#REF!</definedName>
    <definedName name="Sync_Lp_Task_Load_2000rpm" localSheetId="0">#REF!</definedName>
    <definedName name="Sync_Lp_Task_Load_2000rpm">#REF!</definedName>
    <definedName name="Tendance" localSheetId="0">#REF!</definedName>
    <definedName name="Tendance">#REF!</definedName>
    <definedName name="TITLE" localSheetId="0">#REF!</definedName>
    <definedName name="TITLE">#REF!</definedName>
    <definedName name="Track_access" localSheetId="0">'[1]Page de Garde'!#REF!</definedName>
    <definedName name="Track_access">'[1]Page de Garde'!#REF!</definedName>
    <definedName name="Track_Date" localSheetId="0">'[1]Page de Garde'!#REF!</definedName>
    <definedName name="Track_Date">'[1]Page de Garde'!#REF!</definedName>
    <definedName name="Track_user" localSheetId="0">'[1]Page de Garde'!#REF!</definedName>
    <definedName name="Track_user">'[1]Page de Garde'!#REF!</definedName>
    <definedName name="TypesCritères">INDIRECT("'Critères par type'!A2:B" &amp; COUNTA('[18]Critères par type'!$B:$B))</definedName>
    <definedName name="Version">#REF!</definedName>
    <definedName name="wrn.CRAL_Ind_Av." localSheetId="0" hidden="1">{"VHA1",#N/A,FALSE,"Ind_Av";"VHB1",#N/A,FALSE,"Ind_Av";"VHC1",#N/A,FALSE,"Ind_Av";"VHA3",#N/A,FALSE,"Ind_Av";"VHB3",#N/A,FALSE,"Ind_Av";"VHA4",#N/A,FALSE,"Ind_Av";"VHB4",#N/A,FALSE,"Ind_Av";"VVA1",#N/A,FALSE,"Ind_Av";"VVB1",#N/A,FALSE,"Ind_Av"}</definedName>
    <definedName name="wrn.CRAL_Ind_Av." hidden="1">{"VHA1",#N/A,FALSE,"Ind_Av";"VHB1",#N/A,FALSE,"Ind_Av";"VHC1",#N/A,FALSE,"Ind_Av";"VHA3",#N/A,FALSE,"Ind_Av";"VHB3",#N/A,FALSE,"Ind_Av";"VHA4",#N/A,FALSE,"Ind_Av";"VHB4",#N/A,FALSE,"Ind_Av";"VVA1",#N/A,FALSE,"Ind_Av";"VVB1",#N/A,FALSE,"Ind_Av"}</definedName>
    <definedName name="wrn.CRAL_Indicateurs." localSheetId="0" hidden="1">{"VHA1",#N/A,FALSE,"Indicateurs";"VHB1",#N/A,FALSE,"Indicateurs";"VHC1",#N/A,FALSE,"Indicateurs";"VHA2",#N/A,FALSE,"Indicateurs";"VHB2",#N/A,FALSE,"Indicateurs";"VHC2",#N/A,FALSE,"Indicateurs";"VHA3",#N/A,FALSE,"Indicateurs";"VHA4",#N/A,FALSE,"Indicateurs";"VHB4",#N/A,FALSE,"Indicateurs";"VHC4",#N/A,FALSE,"Indicateurs";"VVA1",#N/A,FALSE,"Indicateurs"}</definedName>
    <definedName name="wrn.CRAL_Indicateurs." hidden="1">{"VHA1",#N/A,FALSE,"Indicateurs";"VHB1",#N/A,FALSE,"Indicateurs";"VHC1",#N/A,FALSE,"Indicateurs";"VHA2",#N/A,FALSE,"Indicateurs";"VHB2",#N/A,FALSE,"Indicateurs";"VHC2",#N/A,FALSE,"Indicateurs";"VHA3",#N/A,FALSE,"Indicateurs";"VHA4",#N/A,FALSE,"Indicateurs";"VHB4",#N/A,FALSE,"Indicateurs";"VHC4",#N/A,FALSE,"Indicateurs";"VVA1",#N/A,FALSE,"Indicateurs"}</definedName>
    <definedName name="wrn.Données_CRAL." localSheetId="0" hidden="1">{#N/A,#N/A,TRUE,"Config";#N/A,#N/A,TRUE,"Plan de charge";#N/A,#N/A,TRUE,"Coûts";#N/A,#N/A,TRUE,"Jalons";#N/A,#N/A,TRUE,"Risques";#N/A,#N/A,TRUE,"Rscr";#N/A,#N/A,TRUE,"Exi";#N/A,#N/A,TRUE,"Qualité";#N/A,#N/A,TRUE,"Taille"}</definedName>
    <definedName name="wrn.Données_CRAL." hidden="1">{#N/A,#N/A,TRUE,"Config";#N/A,#N/A,TRUE,"Plan de charge";#N/A,#N/A,TRUE,"Coûts";#N/A,#N/A,TRUE,"Jalons";#N/A,#N/A,TRUE,"Risques";#N/A,#N/A,TRUE,"Rscr";#N/A,#N/A,TRUE,"Exi";#N/A,#N/A,TRUE,"Qualité";#N/A,#N/A,TRUE,"Taille"}</definedName>
    <definedName name="ZONE_CONFIRMATION">[13]Header!#REF!</definedName>
    <definedName name="_xlnm.Print_Area" localSheetId="0">'Cover - History'!$B:$I</definedName>
    <definedName name="ZONE_FREEZE">[13]Header!#REF!</definedName>
    <definedName name="ZONE_KICKOFF">[13]Header!#REF!</definedName>
    <definedName name="Zone_Menus">[20]MeP!#REF!</definedName>
    <definedName name="ZONE_PREACCEPTANCE">[13]Header!#REF!</definedName>
    <definedName name="ZONE_PURCHASING">[13]Header!#REF!</definedName>
    <definedName name="zzz">[13]Header!#REF!</definedName>
    <definedName name="目次付与ｿ_ﾄ" localSheetId="0">#REF!</definedName>
    <definedName name="目次付与ｿ_ﾄ">#REF!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3" i="5" l="1"/>
  <c r="D20" i="5"/>
  <c r="D18" i="5"/>
  <c r="D17" i="5"/>
  <c r="D16" i="5"/>
  <c r="G14" i="5"/>
  <c r="D14" i="5"/>
  <c r="G13" i="5"/>
  <c r="D13" i="5"/>
  <c r="G12" i="5"/>
  <c r="D12" i="5"/>
</calcChain>
</file>

<file path=xl/sharedStrings.xml><?xml version="1.0" encoding="utf-8"?>
<sst xmlns="http://schemas.openxmlformats.org/spreadsheetml/2006/main" count="1153" uniqueCount="593">
  <si>
    <t>PPAP approved</t>
  </si>
  <si>
    <t>Generic EE Deliverables</t>
  </si>
  <si>
    <t>Fields</t>
  </si>
  <si>
    <t>Livrables  /  Deliverables</t>
  </si>
  <si>
    <t>psa_titre</t>
  </si>
  <si>
    <t>psa_reference</t>
  </si>
  <si>
    <t>01301_15_01026</t>
  </si>
  <si>
    <t>psa_date_creation</t>
  </si>
  <si>
    <t>psa_date_modification</t>
  </si>
  <si>
    <t>psa_auteur</t>
  </si>
  <si>
    <t>psa_emetteur</t>
  </si>
  <si>
    <t>psa_version</t>
  </si>
  <si>
    <t>psa_commentaire</t>
  </si>
  <si>
    <t>psa_langue_principale</t>
  </si>
  <si>
    <t>Français</t>
  </si>
  <si>
    <t>psa_status</t>
  </si>
  <si>
    <t>psa_type_doc</t>
  </si>
  <si>
    <t>psa_communaute</t>
  </si>
  <si>
    <t>psa_niveau_confidentialite</t>
  </si>
  <si>
    <t>psa_url_fiche</t>
  </si>
  <si>
    <t>psa_url_modification</t>
  </si>
  <si>
    <t>psa_date_publication</t>
  </si>
  <si>
    <t>psa_urlFiche</t>
  </si>
  <si>
    <t>Lien Fiche documentaire</t>
  </si>
  <si>
    <t>Référence :</t>
  </si>
  <si>
    <t>Version :</t>
  </si>
  <si>
    <t>Titre :</t>
  </si>
  <si>
    <t>Statut :</t>
  </si>
  <si>
    <t>Communaute :</t>
  </si>
  <si>
    <t>Type :</t>
  </si>
  <si>
    <t>Auteur</t>
  </si>
  <si>
    <t>Date de creation</t>
  </si>
  <si>
    <t>Date de modification</t>
  </si>
  <si>
    <t>Confidentialite</t>
  </si>
  <si>
    <t>Lecteurs</t>
  </si>
  <si>
    <t>Commentaire</t>
  </si>
  <si>
    <t>Classements</t>
  </si>
  <si>
    <t xml:space="preserve">Document index :  </t>
  </si>
  <si>
    <t xml:space="preserve">Supplier : </t>
  </si>
  <si>
    <t>j50</t>
  </si>
  <si>
    <t>N</t>
  </si>
  <si>
    <t>RFQ</t>
  </si>
  <si>
    <t>Product validation</t>
  </si>
  <si>
    <t>Project management</t>
  </si>
  <si>
    <t>Design Validation Plan and results</t>
  </si>
  <si>
    <t>Product design justification file (Design FMEA, etc...)</t>
  </si>
  <si>
    <t>Customer-Specific requirements</t>
  </si>
  <si>
    <t>Appearance Approval Report</t>
  </si>
  <si>
    <t>Control Plan</t>
  </si>
  <si>
    <t>Product design file</t>
  </si>
  <si>
    <t>RFQ SUPPLIER'S ANSWER</t>
  </si>
  <si>
    <t>Status</t>
  </si>
  <si>
    <t>Justification</t>
  </si>
  <si>
    <t>Proposals</t>
  </si>
  <si>
    <t>Pilot Response</t>
  </si>
  <si>
    <t>Comments</t>
  </si>
  <si>
    <t>GEED-RI09-01(0)</t>
  </si>
  <si>
    <t>GEED-RI09-02(0)</t>
  </si>
  <si>
    <t>GEED-RI09-03(0)</t>
  </si>
  <si>
    <t>GEED-RI09-04(0)</t>
  </si>
  <si>
    <t>GEED-RI09-05(0)</t>
  </si>
  <si>
    <t>GEED-RI09-06(0)</t>
  </si>
  <si>
    <t>GEED-RI09-07(0)</t>
  </si>
  <si>
    <t>GEED-RI09-08(0)</t>
  </si>
  <si>
    <t>GEED-VD12-01(0)</t>
  </si>
  <si>
    <t>GEED-VD12-02(0)</t>
  </si>
  <si>
    <t>GEED-VD12-03(0)</t>
  </si>
  <si>
    <t>GEED-VD12-04(0)</t>
  </si>
  <si>
    <t>GEED-VD12-05(0)</t>
  </si>
  <si>
    <t>GEED-VD12-06(0)</t>
  </si>
  <si>
    <t>GEED-VD12-07(0)</t>
  </si>
  <si>
    <t>GEED-VD12-08(0)</t>
  </si>
  <si>
    <t>GEED-VD12-09(0)</t>
  </si>
  <si>
    <t>GEED-VD12-10(0)</t>
  </si>
  <si>
    <t>GEED-VD12-11(0)</t>
  </si>
  <si>
    <t>GEED-VD12-12(0)</t>
  </si>
  <si>
    <t>GEED-VD12-13(0)</t>
  </si>
  <si>
    <t>GEED-VD12-14(0)</t>
  </si>
  <si>
    <t>GEED-VD12-15(0)</t>
  </si>
  <si>
    <t>GEED-IOD13-01(0)</t>
  </si>
  <si>
    <t>GEED-IOD13-02(0)</t>
  </si>
  <si>
    <t>GEED-PPAP17-01(0)</t>
  </si>
  <si>
    <t>GEED-PPAP17-02(0)</t>
  </si>
  <si>
    <t>GEED-PPAP17-03(0)</t>
  </si>
  <si>
    <t>GEED-PPAP17-04(0)</t>
  </si>
  <si>
    <t>GEED-PPAP17-05(0)</t>
  </si>
  <si>
    <t>Expected GEED</t>
  </si>
  <si>
    <t xml:space="preserve"> Product design file</t>
  </si>
  <si>
    <t>GEED-RI09-10(0)</t>
  </si>
  <si>
    <t>GEED-IOD13-03(0)</t>
  </si>
  <si>
    <t>COMTEC procedure</t>
  </si>
  <si>
    <t>GEED-RI09-09(0)</t>
  </si>
  <si>
    <t xml:space="preserve">Certification </t>
  </si>
  <si>
    <t>GEED-RI09-11(0)</t>
  </si>
  <si>
    <t>GEED-VD12-17(0)</t>
  </si>
  <si>
    <t>GEED-IOD06-01(0)</t>
  </si>
  <si>
    <t>GEED-IOD13-04(0)</t>
  </si>
  <si>
    <t>GEED-PPAP17-06(0)</t>
  </si>
  <si>
    <t>GEED-RI09-12(0)</t>
  </si>
  <si>
    <t>GEED-VD12-18(0)</t>
  </si>
  <si>
    <t>GEED-IOD13-05(0)</t>
  </si>
  <si>
    <t>GEED-PPAP17-07(0)</t>
  </si>
  <si>
    <t>Ajout de la demande (CELINE PERICHON) sur la mise en place du  "Supplier MONITORING A3 DASHBOARD"</t>
  </si>
  <si>
    <r>
      <t xml:space="preserve">Le fournisseur s’engage à livrer à Stellantis l’état de qualification des pièces de la BOM liste
</t>
    </r>
    <r>
      <rPr>
        <b/>
        <i/>
        <sz val="12"/>
        <color theme="3" tint="0.39997558519241921"/>
        <rFont val="Calibri"/>
        <family val="2"/>
        <scheme val="minor"/>
      </rPr>
      <t>The supplier agrees to deliver to Stellantis the qualification status of the parts from the BOM list</t>
    </r>
  </si>
  <si>
    <r>
      <t xml:space="preserve">Le fournisseur s’engage à livrer à Stellantis le planning Hardware (des différents composants du produit)
</t>
    </r>
    <r>
      <rPr>
        <b/>
        <i/>
        <sz val="12"/>
        <color theme="3" tint="0.39997558519241921"/>
        <rFont val="Calibri"/>
        <family val="2"/>
        <scheme val="minor"/>
      </rPr>
      <t>The supplier agrees to deliver to Stellantis the Hardware planning (Parts of the Product))</t>
    </r>
  </si>
  <si>
    <r>
      <t xml:space="preserve">Le fournisseur s’engage à livrer à Stellantis le rapport d'essais CCA (Court Circuit Agravé) (vidéo)
</t>
    </r>
    <r>
      <rPr>
        <b/>
        <i/>
        <sz val="12"/>
        <color theme="3" tint="0.39997558519241921"/>
        <rFont val="Calibri"/>
        <family val="2"/>
        <scheme val="minor"/>
      </rPr>
      <t>The supplier agrees to deliver the CCA (Court Circuit Agravé) test report to Stellantis (video</t>
    </r>
    <r>
      <rPr>
        <i/>
        <sz val="12"/>
        <color theme="1"/>
        <rFont val="Calibri"/>
        <family val="2"/>
        <scheme val="minor"/>
      </rPr>
      <t>)</t>
    </r>
  </si>
  <si>
    <r>
      <t xml:space="preserve">Le fournisseur s’engage à livrer à Stellantis la liste des modifications par rapport à la version précédente
</t>
    </r>
    <r>
      <rPr>
        <b/>
        <i/>
        <sz val="12"/>
        <color theme="3" tint="0.39997558519241921"/>
        <rFont val="Calibri"/>
        <family val="2"/>
        <scheme val="minor"/>
      </rPr>
      <t>The supplier agrees to deliver to Stellantis the list of changes from the previous release</t>
    </r>
  </si>
  <si>
    <r>
      <t xml:space="preserve">Le fournisseur s’engage à livrer à Stellantis le planning mécanique (des différents composants du Produit)
</t>
    </r>
    <r>
      <rPr>
        <b/>
        <i/>
        <sz val="12"/>
        <color theme="3" tint="0.39997558519241921"/>
        <rFont val="Calibri"/>
        <family val="2"/>
        <scheme val="minor"/>
      </rPr>
      <t>The supplier agrees to deliver to Stellantis mechanical planning (Parts of  Product))</t>
    </r>
  </si>
  <si>
    <t>LP Duarte</t>
  </si>
  <si>
    <t>Evolutions : "Liste Générique Faisceaux" . Ajout des exigences "EE-CPPC-CON 53" à "EE-CPPC-CON 58"</t>
  </si>
  <si>
    <t>applicatif Y/N</t>
  </si>
  <si>
    <t>Y</t>
  </si>
  <si>
    <t xml:space="preserve">Update  GEED-VD12-11 .
Removal  : GEED-VD12-12 et GEED-VD12-13. </t>
  </si>
  <si>
    <t>Modifier</t>
  </si>
  <si>
    <t>Added Design Generic List (JORGE FILIPE CARVALHO; LAURENT LE GUEN; BRUNO MASSY)</t>
  </si>
  <si>
    <t>Added request (JEAN MARC DHAINAUT) to have the list of parts at each milestone : Template: 00948_10_01583 (BOM)</t>
  </si>
  <si>
    <t>Supplier date
Schedule</t>
  </si>
  <si>
    <t>jalon /
Milestone</t>
  </si>
  <si>
    <t>Changes</t>
  </si>
  <si>
    <t>Remarks</t>
  </si>
  <si>
    <t>C1 - Public</t>
  </si>
  <si>
    <t>Gestion documentaire</t>
  </si>
  <si>
    <t>Remarques / Remarks</t>
  </si>
  <si>
    <t>RFQ Stellantis POSITION</t>
  </si>
  <si>
    <t xml:space="preserve">Stellantis development name : </t>
  </si>
  <si>
    <t xml:space="preserve">Stellantis technical pilot : </t>
  </si>
  <si>
    <t>Application</t>
  </si>
  <si>
    <t>The GEED is one of the deliverables in  the RFQ package.</t>
  </si>
  <si>
    <t>Note 1: It's the GEED resulting from the RFQ phase, which must be integrated into the APQP grid</t>
  </si>
  <si>
    <t>RFQ phase :</t>
  </si>
  <si>
    <t>GEED-G1-17E_ENG-10(0)</t>
  </si>
  <si>
    <t>GEED-G1-17E_ENG-02(0)</t>
  </si>
  <si>
    <t>GEED-G1-17E_ENG-03(0)</t>
  </si>
  <si>
    <t>GEED-G1-17E_ENG-04(0)</t>
  </si>
  <si>
    <t>GEED-G1-17E_ENG-05(0)</t>
  </si>
  <si>
    <t>GEED-G1-17E_ENG-06(0)</t>
  </si>
  <si>
    <t>GEED-G1-17E_ENG-07(0)</t>
  </si>
  <si>
    <t>GEED-G1-17E_ENG-08(0)</t>
  </si>
  <si>
    <t>GEED-G1-17E_ENG-09(0)</t>
  </si>
  <si>
    <t>GEED-G1-17E_ENG-11(0)</t>
  </si>
  <si>
    <t>GEED-G1-17E_ENG-12(0)</t>
  </si>
  <si>
    <t>GEED-G1-17E_ENG-01(0)</t>
  </si>
  <si>
    <t>GEED-G3-17E_ENG-01(0)</t>
  </si>
  <si>
    <t>GEED-G3-17E_ENG-02(0)</t>
  </si>
  <si>
    <t>GEED-G3-17E_ENG-04(0)</t>
  </si>
  <si>
    <t>GEED-G3-17E_ENG-05(0)</t>
  </si>
  <si>
    <t>GEED-G3-17E_ENG-03(0)</t>
  </si>
  <si>
    <t>GEED-G2-17E_ENG-02(0)</t>
  </si>
  <si>
    <t>GEED-G2-17E_ENG-03(0)</t>
  </si>
  <si>
    <t>GEED-G2-17E_ENG-04(0)</t>
  </si>
  <si>
    <t>GEED-G2-17E_ENG-05(0)</t>
  </si>
  <si>
    <t>GEED-G2-17E_ENG-06(0)</t>
  </si>
  <si>
    <t>GEED-G2-17E_ENG-07(0)</t>
  </si>
  <si>
    <t>GEED-G2-17E_ENG-08(0)</t>
  </si>
  <si>
    <t>GEED-G2-17E_ENG-09(0)</t>
  </si>
  <si>
    <t>GEED-G2-17E_ENG-10(0)</t>
  </si>
  <si>
    <t>GEED-G2-17E_ENG-11(0)</t>
  </si>
  <si>
    <t>GEED-G2-17E_ENG-12(0)</t>
  </si>
  <si>
    <t>GEED-G2-17E_ENG-13(0)</t>
  </si>
  <si>
    <t>GEED-G2-17E_ENG-14(0)</t>
  </si>
  <si>
    <t>GEED-G2-17E_ENG-15(0)</t>
  </si>
  <si>
    <t>GEED-G2-17E_ENG-17(0)</t>
  </si>
  <si>
    <t>GEED-G2-17E_ENG-18(0)</t>
  </si>
  <si>
    <t>GEED-G2-17E_ENG-01(0)</t>
  </si>
  <si>
    <t>GEED-G4-17E_ENG-01(0)</t>
  </si>
  <si>
    <t>GEED-G4-17E_ENG-02(0)</t>
  </si>
  <si>
    <t>GEED-G4-17E_ENG-03(0)</t>
  </si>
  <si>
    <t>GEED-G4-17E_ENG-04(0)</t>
  </si>
  <si>
    <t>GEED-G4-17E_ENG-05(0)</t>
  </si>
  <si>
    <t>GEED-G4-17E_ENG-06(0)</t>
  </si>
  <si>
    <t>GEED-G4-17E_ENG-07(0)</t>
  </si>
  <si>
    <t>GEED-G3-150 -01(0)</t>
  </si>
  <si>
    <t xml:space="preserve">Design Freeze </t>
  </si>
  <si>
    <t xml:space="preserve">Off tool parts release </t>
  </si>
  <si>
    <t>Kick off meeting</t>
  </si>
  <si>
    <t>Off tool parts release</t>
  </si>
  <si>
    <t xml:space="preserve">Revues de conception électroniques 
/ Elec design review
</t>
  </si>
  <si>
    <t>Revues de conception mécaniques,
/  Mechanical Design Reviews</t>
  </si>
  <si>
    <t>Theme / Topic</t>
  </si>
  <si>
    <t>Ref Livrable / 
Deliverable Ref</t>
  </si>
  <si>
    <t>Ref Livrable
/Deliverable Ref</t>
  </si>
  <si>
    <t xml:space="preserve">Update : 
"How to use" updated with RFQ/GEED/APQP process explanation  </t>
  </si>
  <si>
    <t>Création du document</t>
  </si>
  <si>
    <t>Update : SEMICO Review Process  ( GEED-RI09-12 ; GEED-VD12-18; GEED-IOD13-05 ; GEED-PPAP17-07 )</t>
  </si>
  <si>
    <t xml:space="preserve">Updates :
"Reference Deliverables" and "Milestone" fields update:
New column for "APQP: STLA" deliverables Ref,  to be compliant with new APQP STLA requirements numbers
</t>
  </si>
  <si>
    <t>SEMICO Review deliverables update with " In accordance with what is requested in the Supplementum " request</t>
  </si>
  <si>
    <t xml:space="preserve">Updates :
"How to use" clarification regarding the harness perimeter .
New name for "Harnesses Generic List " sheet  changed to "Connectic Generic List".
Updated "Milestone" field  with new names in this sheet.
</t>
  </si>
  <si>
    <t>GEED-RI09-13(0)</t>
  </si>
  <si>
    <t>GEED-VD12-19(0)</t>
  </si>
  <si>
    <t>GEED-IOD13-06(0)</t>
  </si>
  <si>
    <t>GEED-G1-17E_ENG-13(0)</t>
  </si>
  <si>
    <t>GEED-G2-17E_ENG-19(0)</t>
  </si>
  <si>
    <t>GEED-G3-17E_ENG-06(0)</t>
  </si>
  <si>
    <t>GEED-G4-17E_ENG-08(0)</t>
  </si>
  <si>
    <t>GEED-PPAP17-08(0)</t>
  </si>
  <si>
    <t>Carbon Net Zero</t>
  </si>
  <si>
    <t xml:space="preserve">Update :
- GEED-G1-17E_ENG-06(0) / GEED-G1-17E_ENG-07(0)/GEED-G4-17E_ENG-03(0) :
       " SSC Risk Assessment for EEE" replaced by "Electrical Thermal Incident (ETI)" methodology  reference.
New topic :
- 4 items added for " Carbon Net Zero" follow-up
</t>
  </si>
  <si>
    <t xml:space="preserve">GEED-RI09-02 : (SW-guidelines) same req Num '02" as next req  (COMTEC) ) , renamed to GEED-RI09-00
</t>
  </si>
  <si>
    <r>
      <t xml:space="preserve">Le fournisseur s’engage à livrer à Stellantis le rapport des essais B21 711x, dont le contenu minimal est précisé dans le CdC instancié de la fourniture (basé sur le Template: DMOV_ELE05_0110), § 5.6.2.2 Essais de tenue électrique [N41] et [N45].
</t>
    </r>
    <r>
      <rPr>
        <b/>
        <i/>
        <sz val="12"/>
        <color theme="3" tint="0.39997558519241921"/>
        <rFont val="Calibri"/>
        <family val="2"/>
        <scheme val="minor"/>
      </rPr>
      <t>The supplier agrees to deliver to Stellantis the B21 711x test report, requested in the instantiated Technical Specification  (based on the Template: DMOV_ELE05_0110), § 5.4.8 Document requirements</t>
    </r>
  </si>
  <si>
    <r>
      <t xml:space="preserve">Le fournisseur s’engage à livrer à Stellantis un dossier technique mécanique, dont le contenu minimal est précisé dans le CdC instancié de la fourniture (basé sur le Template: DMOV_ELE05_0110),  § 5.4.8 Exigences documentaires.
</t>
    </r>
    <r>
      <rPr>
        <b/>
        <i/>
        <sz val="12"/>
        <color theme="3" tint="0.39997558519241921"/>
        <rFont val="Calibri"/>
        <family val="2"/>
        <scheme val="minor"/>
      </rPr>
      <t>The supplier agrees to deliver to Stellantis a mechanical technical file.  The minimum content  is specified in the instantiated Technical Specification  (based on the Template: DMOV_ELE05_0110), § 5.4.8 Document requirements</t>
    </r>
  </si>
  <si>
    <r>
      <t xml:space="preserve">Le fournisseur s’engage à livrer à Stellantis un dossier technique électronique dont le contenu minimal est précisé dans le CdC instancié de la fourniture (basé sur le Template: DMOV_ELE05_0110),  § 5.4.8 Exigences documentaires.
</t>
    </r>
    <r>
      <rPr>
        <b/>
        <i/>
        <sz val="12"/>
        <color theme="3" tint="0.39997558519241921"/>
        <rFont val="Calibri"/>
        <family val="2"/>
        <scheme val="minor"/>
      </rPr>
      <t>The supplier agrees to deliver to Stellantis an electronic technical file. The minimum content is specified in the instantiated Technical Specification  (based on the Template: DMOV_ELE05_0110), § 5.4.8 Document requirements</t>
    </r>
    <r>
      <rPr>
        <sz val="12"/>
        <color theme="1"/>
        <rFont val="Calibri"/>
        <family val="2"/>
        <scheme val="minor"/>
      </rPr>
      <t xml:space="preserve">
</t>
    </r>
  </si>
  <si>
    <t>Updates :
 "Design Generic List" : clarifications (lines 3,7,9) concerning the use of the instantiated model of the Technical Specification DMOV.</t>
  </si>
  <si>
    <t>Release Date</t>
  </si>
  <si>
    <t>V 30</t>
  </si>
  <si>
    <t>V 31</t>
  </si>
  <si>
    <t>V 32</t>
  </si>
  <si>
    <t>Document Release</t>
  </si>
  <si>
    <t>V 33</t>
  </si>
  <si>
    <t xml:space="preserve">Update :
 Version number added in the Excel name of this file 
</t>
  </si>
  <si>
    <t>Gate /
Milestone</t>
  </si>
  <si>
    <t>Design</t>
  </si>
  <si>
    <t>EE-CON 01</t>
  </si>
  <si>
    <t>The impact of an product evolution on the wiring harness test counterparts during the development phase need to be evaluated</t>
  </si>
  <si>
    <t>All Gate</t>
  </si>
  <si>
    <t>EE-CON 02</t>
  </si>
  <si>
    <t xml:space="preserve">Rheology studies of all plastic components are done for the prototype tooling as well for the serial. A synthesis of those studies is presented to Stellantis with understandable color code to assess the result ( OK = GREEN  - NOT OK = RED ) </t>
  </si>
  <si>
    <t xml:space="preserve"> G1 / G2</t>
  </si>
  <si>
    <t>EE-CON 03</t>
  </si>
  <si>
    <t>Tolerance studies associated to the principal functions is forwarded to STLA. It is composed of at least the following elements:
- List of all the tolerance studies made by the supplier
- The tolerance study for minimum contact overlap
- The tolerance study showing the security of non contact
- The tolerance study of the pre guiding before coupling
- The tolerance studies of the terminal to terminal guidance during the coupling (Entry chamfers)
- The tolerance studies for teh insertion, the terminal to cavity fixation and the retention (For new contacts and/or new cavities).
The above list is not exhautive. It will be enriched depending on the supplier product design proposals.</t>
  </si>
  <si>
    <t xml:space="preserve"> G1 / G2 /  G4</t>
  </si>
  <si>
    <t>EE-CON 04</t>
  </si>
  <si>
    <t>The simulations, such as Finite Element Analysis (FEA) on the main functions and thermal simulations (not exhaustive) are performed by teh supplier. The reports and results are forwarded to STLA.</t>
  </si>
  <si>
    <t>EE-CON 05</t>
  </si>
  <si>
    <t>The list of awarded (under contract) tier-n suppliers for the serial phase is given to STLA. It includes at least the types of supplier / subcontractor listed below:
1) Internal mold makers
2) External mold makers
3) Seal suppliers
4) Molding subcontractors (mfg.)
5) Stamping die makers
6) Stamping subcontractors (mfg.)
7) Plating subcontractors (mfg.)
8) Assy tooling makers
9) Assy subcontrators (mfg.)
10) Plastic material and colourant suppliers
11) Metalic material suppliers</t>
  </si>
  <si>
    <t>G1</t>
  </si>
  <si>
    <t>EE-CON 06</t>
  </si>
  <si>
    <t>The supplier provides to STLA the patent synthesis.</t>
  </si>
  <si>
    <t>G2</t>
  </si>
  <si>
    <t>EE-CON 07</t>
  </si>
  <si>
    <t>The suppliers' part number reference must change between prototype  and serial phases.</t>
  </si>
  <si>
    <t>Dimensional check</t>
  </si>
  <si>
    <t>EE-CON 08</t>
  </si>
  <si>
    <t xml:space="preserve">The supplier provides the products dimensional report for all the tooling cavities. The measurements method used for the control of the counterparts conformity is to be specified.  </t>
  </si>
  <si>
    <t>Drawings</t>
  </si>
  <si>
    <t>EE-CON 09</t>
  </si>
  <si>
    <t>The supplier must indicate the following information on the customer drawing:
• Temperature class
• Vibration class
• Sealing class
• Special requirements
• List of materials used 
• The maximum regrind ratio used and validated
• The estimated material weight</t>
  </si>
  <si>
    <t>DFE / OT drawing release
and OCM / OTOP drawing release</t>
  </si>
  <si>
    <t>EE-CON 10</t>
  </si>
  <si>
    <t>The critical functional features and all constructive dimensions of the product including the SPC ( Statistical Process Control )  and its capability must be identified on the drawings.</t>
  </si>
  <si>
    <t>EE-CON 11</t>
  </si>
  <si>
    <t>The dimensions of the drawings must be numbered to ease the reading of the mesurement reports. Also, the location of mesurment points must be defined.
The drawing must be compliant to ASME Y14.5-2018 format</t>
  </si>
  <si>
    <t>EE-CON 12</t>
  </si>
  <si>
    <r>
      <rPr>
        <b/>
        <u/>
        <sz val="10"/>
        <rFont val="Encode Sans"/>
      </rPr>
      <t>Terminal drawings</t>
    </r>
    <r>
      <rPr>
        <sz val="10"/>
        <rFont val="Encode Sans"/>
      </rPr>
      <t xml:space="preserve">
The drawing must include :
• Derating current value or reference to supplier document in which is documented
• Test report reference
• Functionnal and constructive dimensions
•  SPC (Statistical Process Control) dimensions and capability
•  The selected materials which must be complaint with 
• The temperature class according PF.90512
• The vibration class according PF.90512
•  The coatings surface and its tickness 
• The areas of specifique coatings and the thickness mesurement points 
</t>
    </r>
    <r>
      <rPr>
        <b/>
        <sz val="10"/>
        <color rgb="FFFF0000"/>
        <rFont val="Encode Sans"/>
      </rPr>
      <t>•</t>
    </r>
    <r>
      <rPr>
        <sz val="10"/>
        <rFont val="Encode Sans"/>
      </rPr>
      <t xml:space="preserve"> The conformity according to chapter Contacts 8.10.6 of the DESIGN TECHNICAL SPECIFICATION FOR  ELECTRICAL CONNECTION SYSTEM of the specific product  ( 00893_24_02378 template ) 
• The supplier and Stellantis reference number of the single wire seals
• The supplier and Stellantis reference number of the terminal
• The markings of at least one charater to identify the material and/or the coating.
• A table linking the product characteristics the required perfomance CTF/CS/CSE.
• The male to female terminal maximum and average insertion force
•  the toleranced dimension of the gap.
• The mass of the terminal
•  The modification table with tracability
•  The CO2 footprint value
•  The compatibility with cavity drawing </t>
    </r>
  </si>
  <si>
    <t>EE-CON 13</t>
  </si>
  <si>
    <r>
      <rPr>
        <b/>
        <sz val="10"/>
        <rFont val="Encode Sans"/>
      </rPr>
      <t>Definition drawing of a male or female connector.</t>
    </r>
    <r>
      <rPr>
        <sz val="10"/>
        <rFont val="Encode Sans"/>
      </rPr>
      <t xml:space="preserve">
</t>
    </r>
    <r>
      <rPr>
        <b/>
        <sz val="10"/>
        <rFont val="Encode Sans"/>
      </rPr>
      <t>Sheet 1  - Cavity definition includes:</t>
    </r>
    <r>
      <rPr>
        <sz val="10"/>
        <rFont val="Encode Sans"/>
      </rPr>
      <t xml:space="preserve">
• Functional dimensionsincluding the recommended primary and secondary locking features.
• The recommended material and its minimum elastic module
• The modification table with tracability</t>
    </r>
  </si>
  <si>
    <t>EE-CON 14</t>
  </si>
  <si>
    <r>
      <rPr>
        <b/>
        <sz val="10"/>
        <rFont val="Encode Sans"/>
      </rPr>
      <t xml:space="preserve">Definition drawing of a male or female connector.
</t>
    </r>
    <r>
      <rPr>
        <sz val="10"/>
        <rFont val="Encode Sans"/>
      </rPr>
      <t xml:space="preserve">
</t>
    </r>
    <r>
      <rPr>
        <b/>
        <sz val="10"/>
        <rFont val="Encode Sans"/>
      </rPr>
      <t xml:space="preserve">Sheet 2 : Interface drawing definition:
</t>
    </r>
    <r>
      <rPr>
        <sz val="10"/>
        <rFont val="Encode Sans"/>
      </rPr>
      <t xml:space="preserve">• The Environmental classification ( vibration , seal, temperature.... )
• The external dimensions in the 3 axes
• The functional and constructive dimensions from the definition file (Essential charateristic heirarchy)
• The reference plan sfor geometric tolerancing
• The dimensions of allowed deformation : Flatness, squarness .....
• The pin numbering
• The dimensions the pins according constructive drawings
• The toleranced height of the pins 
• The mechanical resistance the the pins 
• The position of the pins according to the 3 reference plans
• The dimensions of the mechanical/colour keys according to the reference plans is clearly identified.
• The dimensions of the stamped band with the size and orientation of the allowed burrs, radii, minimum flat area.
• The volume to leave free (hatched) for the connector assembly on the counter part (including use of tools) and for accesability (connectors side by side)
• The volume after assembly with the counter part.
• The recommended materials of the terminals of the header and the coating 
• The area of the coating and its thickness
• The dimensions of the sealing area
• The surface definition (Ra) of the sealing area
• The maximum flash allowed in the closing joints of the tool.
•  The reference of the th file used to define the functional dimensions and geometry.
• The tracability indications : material, injection date, assembly date, part revision, mould cavity
• The reference of the connector specification ( ex. PF90512 , USCAR 2 etc ) 
• The table of modifications
• The dimensions must be numbered to ease the analysis of the mesurement reports compliant with ASME Y14.5-2009
• The recommended material of the counterpart
• The table linking the product characteristics to the required functions CTF/CS/CSE
• The C02 footprint if applicable 
</t>
    </r>
  </si>
  <si>
    <t>EE-CON 15</t>
  </si>
  <si>
    <t>Definition drawing of a male or female connector.
Sheet 3 :delivered product definition includes :
• The functional dimensions. Note : Do not include dimensions already defined on sheets 1 or 2.
 Indicate "Cavity according to Stellantis 96 XXX XXX 99" and "Cavity position according to Stellantis 96 XXX XXX 99"
• The positions of the markings that are according to Stellantis standard
• A perspective view of the volume of the connector.
• The free zone to assure the connector assembly
• The 3D according to Stellantiss' current CAD conventions  
• The supplier reference of the connectors' user manuel 
• The supplier reference of the differnet pars of the connector (Nomenclature of parts)
• The supplier reference of sealing plugs and plug seals.
• The supplier reference of terminals or the compatability matrix if it exists
• The minimum and maximum insulation diameter of compatible wires.
• The recommended materials
• The modification table incuding the tracability.
• The products' weight
• All the SPC dimensions
• The table linking the product characteristics to the required functions CTF/CS/CSE
• The maximum allowable connection force and the average measured value
• the numbering of dimensions and pin number</t>
  </si>
  <si>
    <t>EE-CON 16</t>
  </si>
  <si>
    <t xml:space="preserve">The references must be clearly defined on all views and in correlation to one another. </t>
  </si>
  <si>
    <t>EE-CON 17</t>
  </si>
  <si>
    <t>A table that links the specifications of the interface to the expected product services must be integrated in the interface drawing.</t>
  </si>
  <si>
    <t>EE-CON 18</t>
  </si>
  <si>
    <t>The connectors application specification (A4 format) must contain all information required for the application of the delivered product  and contain the interface definition for the test counter parts.
It must be written in English
The products storage and unpacking conditions are defined in the application specification.</t>
  </si>
  <si>
    <t>EE-CON 19</t>
  </si>
  <si>
    <t>The supplier must commit  to respect the cavity drawing</t>
  </si>
  <si>
    <t>EE-CON 20</t>
  </si>
  <si>
    <t>In case of request from Stellantis the supplyer must provide simplified 3D model for development of neutralization pieces</t>
  </si>
  <si>
    <t>EE-CON 21</t>
  </si>
  <si>
    <t>The 3D model of the connector/component will be deliver to Stellantis in accordance to Stellantis 3D format that will be communicated and detailed in the 3D drawing requirements and conformity matrix</t>
  </si>
  <si>
    <t>EE-CON 22</t>
  </si>
  <si>
    <t xml:space="preserve">The supplier must provide a rear view of the connector including the cavity numbering </t>
  </si>
  <si>
    <t>EE-CON 23</t>
  </si>
  <si>
    <t>In the case of development of a connector fixed on a support, the supplier must provide a mechanical interface drawing for fixing on the support structure as well as the 3D associated with the nominal and identifying the face on the insertion side of the connector.</t>
  </si>
  <si>
    <t>EE-CON 24</t>
  </si>
  <si>
    <t>For the development of a male/female interconnection, the supplier commits to define the interface drawing and validate it on counterparts made by the supplier.</t>
  </si>
  <si>
    <t>EE-CON 25</t>
  </si>
  <si>
    <t>In the case of a new development, the supplier must give the interface drawing for a rear cover to Stellantis or include the reference of the existing rear cover interface if it is used.</t>
  </si>
  <si>
    <t>EE-CON 26</t>
  </si>
  <si>
    <t>All changes must be clearly identified in the modifications table and the change strategy ( index or change part number ) will be agreed with Stellantis</t>
  </si>
  <si>
    <t>EE-CON 27</t>
  </si>
  <si>
    <t>The supplier must respect Stellantis existing CAO exchange agreement and must be compliant to all Stellantis drawing tools</t>
  </si>
  <si>
    <t>Packaging / Logistic / Delivery</t>
  </si>
  <si>
    <t>EE-CON 28</t>
  </si>
  <si>
    <t xml:space="preserve">The product sampling described in the measurement plan meets the below listed requirements:
1) All the product &amp; process versions (ex: connector codings, mold cavities) are measured.
2) 5 measures per CTF and SPC (minimum)
3) 1 measure per other characteristic (minimum)
4) CTF dimensions resulting from an assembling of components: supplier proposes a suitable scenario allowing the measurement of assemblies made with components coming from all the mold cavities at least once per mold cavity (for any component).
5) As soon as a characteristic, despite the same (on the drawing) for several versions of the same product, comes from different tools or processes, it is measured for all the versions. </t>
  </si>
  <si>
    <t>G2 / G3 / G4</t>
  </si>
  <si>
    <t>EE-CON 29</t>
  </si>
  <si>
    <t xml:space="preserve">The packaging drop test report must be transmitted to Stellantis Logistic team </t>
  </si>
  <si>
    <t>G3/G4</t>
  </si>
  <si>
    <t>EE-CON 30</t>
  </si>
  <si>
    <t>The connector supplier must provide at least 5 stereo or proto sample for free before the design freeze</t>
  </si>
  <si>
    <t>EE-CON 31</t>
  </si>
  <si>
    <t xml:space="preserve">The connector supplier must provide for free 10 samples scale 1:1 with dimensions according to the drawing for each product before the DFE/OT launch </t>
  </si>
  <si>
    <t>EE-CON 32</t>
  </si>
  <si>
    <t>The connector supplier must provide for free 200 standard interfaces for each version (Delays to be confirmed depending on requirements and product evolutions):</t>
  </si>
  <si>
    <t>G3 / G4</t>
  </si>
  <si>
    <t>EE-CON 33</t>
  </si>
  <si>
    <t>The connector supplier must provide for free 200 off tool ( OT )  male and female connectors of each version including CPA freely (Delays to be confirmed depending on requirements and product evolutions):</t>
  </si>
  <si>
    <t>G3</t>
  </si>
  <si>
    <t>EE-CON 34</t>
  </si>
  <si>
    <t>The connector supplier must provide for free 200 serial (OTOP ) male and female connectors of each version including CPA freely (Delays to be confirmed depending on requirements and product evolutions):</t>
  </si>
  <si>
    <t>G4</t>
  </si>
  <si>
    <t>EE-CON 35</t>
  </si>
  <si>
    <t>The connector supplier must provide for free 5 conformity calibers of the interface for each version freely (Delays to be confirmed depending on requirements and product evolutions)</t>
  </si>
  <si>
    <t>EE-CON 36</t>
  </si>
  <si>
    <t>The connector supplier must provide for free 5 sets of dis-assebly tools freely (Delays to be confirmed depending on requirements and product evolutions)</t>
  </si>
  <si>
    <t>EE-CON 37</t>
  </si>
  <si>
    <t>The packaging must be designed in according Stellantis specification compliant to all requirements of all regions in the world</t>
  </si>
  <si>
    <t>EE-CON 38</t>
  </si>
  <si>
    <t>For the "AVS sur table" meeting with Stellantis supplier quality  (product presentation and useability assessment meeting), the supplier prepares and brings the mass production packaging design presentation. This document is presented during the meeting.The following details are given (nonexhaustive list)
1) Type and size of the conditionning
2) Quantity of parts per packaging unit
3) Weight of the packaging unit
4) Labelling
5) Structure: sub-packaging, thermoformed trays, separators, number of layers, quantity of parts per layer / tray, position of the part on the layer / tray...
6) Palettisation information</t>
  </si>
  <si>
    <t>G2/G3/G4</t>
  </si>
  <si>
    <t>EE-CON 39</t>
  </si>
  <si>
    <t xml:space="preserve"> For a Tier-2 product, this item deals with the packaging used for deliveries to the Tier-1.  3 types of assessments are performed (validation and integration):
1) packaging drop tests.
2) real conditions shipping tests (mass production and express deliveries)
3) Pilot harness maker useability assessment
THese will be evaluated from Stellantis supplier quality </t>
  </si>
  <si>
    <t>G2 / G4</t>
  </si>
  <si>
    <t>EE-CON 40</t>
  </si>
  <si>
    <t>Definition document for crimping must be according USCAR 21 ( last revision )</t>
  </si>
  <si>
    <t>DV/PV</t>
  </si>
  <si>
    <t>EE-CON 41</t>
  </si>
  <si>
    <t>The reference of the used material, specified on the interface drawing is documented in the test report. 
The reference of sample used in the test report ( including part number ) it is reported in test report</t>
  </si>
  <si>
    <t>EE-CON 42</t>
  </si>
  <si>
    <t>All the deviation must be documented in the test report as described in the PF.90512 chapter 1.6</t>
  </si>
  <si>
    <t>EE-CON 43</t>
  </si>
  <si>
    <t>The prototype phase approval must be include among other Stellantis request :
- Mesurement report for all tooling cavities according to the official Stellantis DFE / OT drawing 
-  The official drawing at its' latest level according Stellantis specification 
- The complete test rapport according to the Stellantis product specification.
-  The application specification (User manual for the assembly plant + wiring harness supplier assembly instruction)
- The materials' conformity certificate.
- 10 male/female connecteurs + modules + associated terminals to be supplied to Stellantis technical team (OT production)</t>
  </si>
  <si>
    <t>EE-CON 44</t>
  </si>
  <si>
    <t>The serial phase approval must be include among other Stellantis request :
- Mesurement rapport for all tooling cavities according to the official Stellantis OCM/OTOP serial drawing 
-  The official drawing at its' latest level according Stellantis specification 
- The complete test rapport according to the Stellantis product specification.
-  The application specification (User manual for the assembly plant + wiring harness supplier assembly instruction)
-  The materials' conformity certificate.
- 10 male/female connecteurs + modules + associated terminals to be supplied to Stellantis technical team (OTOP production)</t>
  </si>
  <si>
    <t>EE-CON 45</t>
  </si>
  <si>
    <t xml:space="preserve">The realisation of prototype headers in conformity with the interface drawing must allow the validation of the interface as well as the prototype female housing. </t>
  </si>
  <si>
    <t>EE-CON 46</t>
  </si>
  <si>
    <t xml:space="preserve">The use of a controlled rate of regrind is authorised in condition that the samples used during the validation tests are produced using the maximum regrind ratio. The supplier must provide the tests results with and without the regrind. </t>
  </si>
  <si>
    <t>EE-CON 47</t>
  </si>
  <si>
    <t>The supply of the parts , the laboratory and equipment for the validation tests is under the supplier who develops the connectors system</t>
  </si>
  <si>
    <t>EE-CON 48</t>
  </si>
  <si>
    <t>Supplier assures the conformity of the crimped terminal samples (terminals, crimping, wires, single-wire seals....) that will be used for the product validation tests.
This requirement includes the terminals that are not manufactured by the supplier. Supplier shares the sample conformity status with STLA for the different types of samples before starting the product validation tests.</t>
  </si>
  <si>
    <t>EE-CON 49</t>
  </si>
  <si>
    <t>The product validation tests are performed with terminals crimped in mass-production conditions. The supplier presents the supply means and the information is noted in the validation program.</t>
  </si>
  <si>
    <t>EE-CON 50</t>
  </si>
  <si>
    <t>When the supplier makes a header for connector validation test purposes, they have to submit to STLA the associated part inspection and control report. This is done for all the characteristics listed on the interface drawing: on 5 parts for the SPC and CTF related characteristics, on 1 part for any other dimensions. Report is submitted before the part validation tests.</t>
  </si>
  <si>
    <t>G2/G3</t>
  </si>
  <si>
    <t>EE-CON 51</t>
  </si>
  <si>
    <t>Supplier submits a process/product requalification plan which aims at managing the serial life process/product changes. This plan has to comply with STLA standard ( Supplier quality manual ) SQM PR0.00109 - 01276_22_00061 
List of test will decided from Stellantis according to PF.90512 and all other relevant standard associated to connection system which can be integrated based on connection system</t>
  </si>
  <si>
    <t>EE-CON 52</t>
  </si>
  <si>
    <t>In case of modification, of its responsibility, of the definition of the serial part beyond the date of delivery of the parts for the realization of the counterpart of test, the supplier will have to support all the technical and economic impacts</t>
  </si>
  <si>
    <t>EE-CON 53</t>
  </si>
  <si>
    <t>In the event of modification of the definition of the series product, of its responsibility, the supplier must bear all the technical and economic impacts linked to the necessary evolution of the devices (components)</t>
  </si>
  <si>
    <t>Quality</t>
  </si>
  <si>
    <t>EE-CON 54</t>
  </si>
  <si>
    <t>The quality targets defined from Stellantis CX dept must be respected.
The procedure to follow is defined and attached to the enquiry package.</t>
  </si>
  <si>
    <t>EE-CON 55</t>
  </si>
  <si>
    <t>0 Km quality : 
The product process design must aim to reach zero start of life quality defects. In case of delivery at Stellantis (Tier 1 supply) and according to §3.2 of SQM (Supplier quality manual), target and performance measurement are defined year by year. For any other case (Eg. “directed buy” components), supplier defines customer specific quality target with each of his direct customers.</t>
  </si>
  <si>
    <t>EE-CON 56</t>
  </si>
  <si>
    <t>The defect rate is fixed at 1ppm per terminal pair (Male/female) for all defects from 0 to 1 year of on the road use with 1ppm for the supplier and 1ppm for Stellantis.</t>
  </si>
  <si>
    <t>EE-CON 57</t>
  </si>
  <si>
    <t>The defect rate is fixed at 1ppm per terminal pair (Male/female) for all defects from 0 to 2 years of on the road use with 1ppm for the supplier and 1ppm for Stellantis.</t>
  </si>
  <si>
    <t>EE-CON 58</t>
  </si>
  <si>
    <t>The connector supplier shall deliver all document requested in the APQP 01276_22_00038</t>
  </si>
  <si>
    <t>EE-CON 59</t>
  </si>
  <si>
    <t xml:space="preserve">In the case of a second source or for any modifications after X1 phase, the connectors supplier is responsible for the financial impacts linked to the modification of serial test counterparts
</t>
  </si>
  <si>
    <t>EE-CON 60</t>
  </si>
  <si>
    <t>In the case of a second source, the supplier must assure the compatibility of the new products with the existing serial interfaces or those in development by Stellantis and demonstrate the compatibility through validation test and all request which will be defined by Stellantis</t>
  </si>
  <si>
    <t>EE-CON 61</t>
  </si>
  <si>
    <t xml:space="preserve">In compliance with Directive 2000/53/CE, all depollution elements at teh end end of life of the vehicle must be able to be treated, whether it is through disassembly, neutralisation or extraction. Finally, the depollution  of the vehicle must be possible.
Parts need to be compliant with 01378_20_01040 </t>
  </si>
  <si>
    <t>Tools</t>
  </si>
  <si>
    <t>EE-CON 62</t>
  </si>
  <si>
    <t>The transfer modalities of the tools to the mass production site must be defined, with the transfer plan included with Stellantis supplier quality</t>
  </si>
  <si>
    <t>EE-CON 63</t>
  </si>
  <si>
    <t xml:space="preserve">The definition of OTOP parts for mass production and PV validation must be agreed and certified with Stellantis supplier quality team </t>
  </si>
  <si>
    <t>EE-CON 64</t>
  </si>
  <si>
    <t xml:space="preserve">The number  and composition (number of cavities,…) have to be communicated to Stellantis supplier quality </t>
  </si>
  <si>
    <t>EE-CON 65</t>
  </si>
  <si>
    <t>The supplier has to give results of the capability of the mould to Stellantis supplier quality</t>
  </si>
  <si>
    <t>EE-CON 66</t>
  </si>
  <si>
    <t>The means of the series control are operational and approved, the conformity reports have been presented to Stellantis supplier quality</t>
  </si>
  <si>
    <t>V 34</t>
  </si>
  <si>
    <t xml:space="preserve">Update : Connectivity Tab overhaul
</t>
  </si>
  <si>
    <t>V 35</t>
  </si>
  <si>
    <t>RFQ Phase</t>
  </si>
  <si>
    <t>During the Developpement</t>
  </si>
  <si>
    <t>SUPPLIER'S RESPONSE</t>
  </si>
  <si>
    <t>STLA's ANSWER</t>
  </si>
  <si>
    <t>Milestone Response</t>
  </si>
  <si>
    <t>Proposal</t>
  </si>
  <si>
    <t>Milestone Status</t>
  </si>
  <si>
    <t>SW Guidelines</t>
  </si>
  <si>
    <t>FOSS (Free and Open Source Software)</t>
  </si>
  <si>
    <t>SWG_0800(0)</t>
  </si>
  <si>
    <t>Before using any FOSS, it must have a formal agreement.</t>
  </si>
  <si>
    <t>SWG_0810(0)</t>
  </si>
  <si>
    <t>Provide the detailed list of FOSS that are planned to be used, including in particular:
- the name of each FOSS;
- the version or revision numbers;
- the indication of origin (for instance, the original download URL);
- a copy of the applicable Open Source Licences;
- the foreseen impact the usage of this Open Source will generate.
Note: FOSS with GPL V3 licence is strictly forbidden.</t>
  </si>
  <si>
    <t>SWG_0820(0)</t>
  </si>
  <si>
    <t>Provide before delivery a document containing:
- a comprehensive description of the constraints and obligations related  to the Open Source Licences;
- a proof of compliance with the Open Source Licences used;
- a check and demonstration that used licences are compatible.</t>
  </si>
  <si>
    <t>SWG_0830(0)</t>
  </si>
  <si>
    <t>Provide before delivery a report identifying the FOSS and Open Source Licences used resulting from the use of a FOSS audit tool (such as Black Duck or Palamida).</t>
  </si>
  <si>
    <t>Semi-Co</t>
  </si>
  <si>
    <t>Standard Essential Patent</t>
  </si>
  <si>
    <r>
      <t>The supplier delivers a detailed list of the Standard Essential Patents. He is responsible for completing this list</t>
    </r>
    <r>
      <rPr>
        <sz val="12"/>
        <color rgb="FF000000"/>
        <rFont val="Calibri"/>
        <family val="2"/>
        <scheme val="minor"/>
      </rPr>
      <t xml:space="preserve"> with SEP necessary for the functioning of the parts by adding the missing ones</t>
    </r>
    <r>
      <rPr>
        <sz val="10"/>
        <color theme="1"/>
        <rFont val="Verdana"/>
        <family val="2"/>
      </rPr>
      <t xml:space="preserve">
Template : 01536_24_00323 (Intellectual Property SEP List)</t>
    </r>
  </si>
  <si>
    <t xml:space="preserve">Docinfo Ref : </t>
  </si>
  <si>
    <t>Project Document</t>
  </si>
  <si>
    <t>&lt;fill doc ref here&gt;</t>
  </si>
  <si>
    <t>Template Document</t>
  </si>
  <si>
    <r>
      <rPr>
        <b/>
        <sz val="11"/>
        <rFont val="Arial"/>
        <family val="2"/>
      </rPr>
      <t>Project :</t>
    </r>
    <r>
      <rPr>
        <sz val="11"/>
        <rFont val="Arial"/>
        <family val="2"/>
      </rPr>
      <t xml:space="preserve"> </t>
    </r>
  </si>
  <si>
    <t>&lt;Fill project name here&gt;</t>
  </si>
  <si>
    <t>Supply</t>
  </si>
  <si>
    <t>&lt;Fill supply name here&gt;</t>
  </si>
  <si>
    <t>Supplier :</t>
  </si>
  <si>
    <t>&lt;Fill Supplier name here&gt;</t>
  </si>
  <si>
    <t>The list of deliverables for Electric Electronic parts
is approved during the RFQ phase
and checked at each milestones during the development</t>
  </si>
  <si>
    <t>Document History</t>
  </si>
  <si>
    <t>Project Team</t>
  </si>
  <si>
    <t>Version</t>
  </si>
  <si>
    <t>Date</t>
  </si>
  <si>
    <t>Author</t>
  </si>
  <si>
    <t>Modifications</t>
  </si>
  <si>
    <t>example</t>
  </si>
  <si>
    <t>1.0</t>
  </si>
  <si>
    <t>2.0</t>
  </si>
  <si>
    <t>Kick Off milestone</t>
  </si>
  <si>
    <t>3.0</t>
  </si>
  <si>
    <t>Design Freeze</t>
  </si>
  <si>
    <r>
      <t>The supplier delivers an updated list of the Standard Essential Patents. He is responsible for completing this list</t>
    </r>
    <r>
      <rPr>
        <sz val="12"/>
        <color rgb="FF000000"/>
        <rFont val="Calibri"/>
        <family val="2"/>
        <scheme val="minor"/>
      </rPr>
      <t xml:space="preserve"> with SEP necessary for the functioning of the parts by adding the missing ones</t>
    </r>
    <r>
      <rPr>
        <sz val="10"/>
        <color theme="1"/>
        <rFont val="Verdana"/>
        <family val="2"/>
      </rPr>
      <t xml:space="preserve">
Template : 01536_24_00323 (Intellectual Property SEP List)</t>
    </r>
  </si>
  <si>
    <r>
      <t>The supplier delivers an updated list of the Standard Essential Patents. He is responsible for completing this list</t>
    </r>
    <r>
      <rPr>
        <sz val="12"/>
        <color rgb="FF000000"/>
        <rFont val="Calibri"/>
        <family val="2"/>
        <scheme val="minor"/>
      </rPr>
      <t xml:space="preserve"> with SEP necessary for the functioning of the parts by adding the missing ones</t>
    </r>
    <r>
      <rPr>
        <sz val="10"/>
        <color theme="1"/>
        <rFont val="Verdana"/>
        <family val="2"/>
      </rPr>
      <t xml:space="preserve">
Template : </t>
    </r>
    <r>
      <rPr>
        <sz val="10"/>
        <rFont val="Verdana"/>
        <family val="2"/>
      </rPr>
      <t>01536_24_00323</t>
    </r>
    <r>
      <rPr>
        <sz val="10"/>
        <color theme="1"/>
        <rFont val="Verdana"/>
        <family val="2"/>
      </rPr>
      <t xml:space="preserve"> (Intellectual Property SEP List)</t>
    </r>
  </si>
  <si>
    <t>GEED-G4-17E_ENG-09(0)</t>
  </si>
  <si>
    <t>GEED-PPAP17-09(0)</t>
  </si>
  <si>
    <t xml:space="preserve">Updates : 
New "Cover - History" Tab
New" SW Generic List" Tab
"EE Generic List" modifications :
 New "Theme/Topic " choice
 New "During the Developpement" columns
 New "Standard Essential Patent"  deliverables
</t>
  </si>
  <si>
    <t>Action Plan</t>
  </si>
  <si>
    <t>OK</t>
  </si>
  <si>
    <t>Supplier is hereby made aware of the specific intellectual property issue of Standard Essential Patents (SEPs). The guarantee defined in the General Terms and Conditions (legal document) is applicable for such SEPs.</t>
  </si>
  <si>
    <t>SW Ref</t>
  </si>
  <si>
    <t>If not updated in "EE Generic List"</t>
  </si>
  <si>
    <t>If not updated in "SW Generic List"</t>
  </si>
  <si>
    <t>GEED-G1-17E_ENG-14(0)</t>
  </si>
  <si>
    <t>GEED-G1-17E_ENG-15(0)</t>
  </si>
  <si>
    <t xml:space="preserve">The supplier delivers data requested by SW guidelines document ref : 00949_14_05687 </t>
  </si>
  <si>
    <t xml:space="preserve">
The supplier delivers a 3D CATIA DFN  model during the RFQ phase , before choice, for each product diversity</t>
  </si>
  <si>
    <t xml:space="preserve">The supplier shall be compliant to generic specification for Radio-Frequency components certification: specification number 02017_19_02377.
</t>
  </si>
  <si>
    <t xml:space="preserve">
The supplier agrees to deliver to Stellantis the Carbon Footprint &amp; Green Materials content report (01378_22_00844).</t>
  </si>
  <si>
    <t xml:space="preserve">
LR_02: recommendation of the supplier
Electrical Thermal Incident (ETI)  Methodology - (ref : 01552_13_01824)
</t>
  </si>
  <si>
    <t xml:space="preserve">
LR_03: conformity matrix SSC focus
Electrical Thermal Incident (ETI) - Methodology - (ref : 01552_13_01824)
</t>
  </si>
  <si>
    <r>
      <t>Lifetime expectation: Strength of the component.
During the RFQ : The supplier shall provide the lifetime characteristic</t>
    </r>
    <r>
      <rPr>
        <sz val="10"/>
        <color rgb="FFFF0000"/>
        <rFont val="Verdana"/>
        <family val="2"/>
      </rPr>
      <t xml:space="preserve"> </t>
    </r>
    <r>
      <rPr>
        <sz val="10"/>
        <rFont val="Verdana"/>
        <family val="2"/>
      </rPr>
      <t xml:space="preserve">of its product with regards to each main failure mode (for example : Stress – life curves, Time to failure Weibull distribution,…)  
This characterization may be justified by experience feedback or reliability tests, for the embedded technology.
For example: The strength of a contact may be characterize by leading an activation endurance kill test. If the test is conducted on a sufficient number of samples (6, 12…), the standard deviation on the results will give a reliability prediction (ppm calculation).
</t>
    </r>
  </si>
  <si>
    <t xml:space="preserve">Lifetime expectation: Failure mode list.
During the RFQ : the supplier shall provide the list of main failure mechanisms and the related damage parameters of the product or similar product.
This list shall be constructed from its field data experience and design- FMEA.  
The supplier may propose its own method, nevertheless the supplier has the possibility to apply the Stellantis file: 02013_17_00043: RAMS and durability table : example for EE component. 
</t>
  </si>
  <si>
    <t>The supplier shall fullfill the RAMS Customer Requirements applicable for its supply among the generic ones specified in document ref 02033_17_00001</t>
  </si>
  <si>
    <t xml:space="preserve">The supplier shall be compliant to generic specification "Supplier MONITORING A3 DASHBOARD "  (01536_20_00424) 
</t>
  </si>
  <si>
    <r>
      <rPr>
        <b/>
        <sz val="10"/>
        <color theme="1"/>
        <rFont val="Verdana"/>
        <family val="2"/>
      </rPr>
      <t xml:space="preserve">
</t>
    </r>
    <r>
      <rPr>
        <sz val="10"/>
        <color theme="1"/>
        <rFont val="Verdana"/>
        <family val="2"/>
      </rPr>
      <t>In accordance with what is requested in the Supplementum (01505_21_01349):</t>
    </r>
    <r>
      <rPr>
        <b/>
        <sz val="10"/>
        <color theme="1"/>
        <rFont val="Verdana"/>
        <family val="2"/>
      </rPr>
      <t xml:space="preserve">
</t>
    </r>
    <r>
      <rPr>
        <sz val="10"/>
        <color theme="1"/>
        <rFont val="Verdana"/>
        <family val="2"/>
      </rPr>
      <t xml:space="preserve">The supplier delivers the final  list of its components (production BOM)
Template : 00948_10_01583 (Sheet "BOM EE")  
Confirm secure components supply for all components.
Confirm product &amp; process validation
</t>
    </r>
  </si>
  <si>
    <r>
      <rPr>
        <b/>
        <sz val="10"/>
        <color theme="1"/>
        <rFont val="Verdana"/>
        <family val="2"/>
      </rPr>
      <t xml:space="preserve">
</t>
    </r>
    <r>
      <rPr>
        <sz val="10"/>
        <color theme="1"/>
        <rFont val="Verdana"/>
        <family val="2"/>
      </rPr>
      <t xml:space="preserve">In accordance with what is requested in the Supplementum (01505_21_01349):
The supplier delivers a detailed list of its internal components
Template : 00948_10_01583 (Sheet "BOM EE")  
Review of all  critical components according to RFQ request. 
Complete  Assessment about the strategy to secure component supply, all suppliers selected. 
100% secured BOM
Design validation completed on all multiple sources.
</t>
    </r>
  </si>
  <si>
    <r>
      <rPr>
        <b/>
        <sz val="10"/>
        <color theme="1"/>
        <rFont val="Verdana"/>
        <family val="2"/>
      </rPr>
      <t xml:space="preserve">
</t>
    </r>
    <r>
      <rPr>
        <sz val="10"/>
        <color theme="1"/>
        <rFont val="Verdana"/>
        <family val="2"/>
      </rPr>
      <t xml:space="preserve">In accordance with what is requested in the Supplementum (01505_21_01349):
The supplier delivers a detailed list of its internal components
Template : 00948_10_01583 (Sheet "BOM EE")  
Review of all  critical components according to RFQ request. 
Complete  Assessment about the strategy to secure component supply, all suppliers selected. 
100% covered by action plan.
Design validation strategy defined and agreed  for components with  multiple sources.
</t>
    </r>
  </si>
  <si>
    <t xml:space="preserve">
In accordance with what is requested in the Supplementum (01505_21_01349):
The supplier delivers a detailed list of its internal components
Template : 00948_10_01583 (Sheet "BOM EE")  
Review of 20 most critical components according to RFQ request. 
First Assessment about the strategy to secure component supply (including stock commitment).
</t>
  </si>
  <si>
    <t xml:space="preserve">
The supplier shall be compliant to generic specification "Supplier MONITORING A3 DASHBOARD "  (01536_20_00424)
</t>
  </si>
  <si>
    <t xml:space="preserve">
The supplier shall be compliant to generic specification "Supplier MONITORING A3 DASHBOARD "  (01536_20_00424) 
</t>
  </si>
  <si>
    <t xml:space="preserve">
The SUPPLIER delivers the final EDS sheet 
Target : with IOD sample</t>
  </si>
  <si>
    <r>
      <t xml:space="preserve">
</t>
    </r>
    <r>
      <rPr>
        <sz val="10"/>
        <rFont val="Verdana"/>
        <family val="2"/>
      </rPr>
      <t xml:space="preserve">For the CAD data (3D) DFNu C delivery, the supplier shall provide a CAD Data (3D) which shows the design of the UCE (including internal parts), according to Stellantis last entry data (styling volume, mechanical interfaces with Instrument Panel...).
</t>
    </r>
    <r>
      <rPr>
        <b/>
        <sz val="10"/>
        <rFont val="Verdana"/>
        <family val="2"/>
      </rPr>
      <t xml:space="preserve">
</t>
    </r>
  </si>
  <si>
    <t xml:space="preserve">
"WP_Safety_1.019 - The supplier perform and provides detailed pin-out FMEA."
</t>
  </si>
  <si>
    <t xml:space="preserve">
The SUPPLIER applies the activities Durability activities defined described in the guide.
Guide : 00994_09_00041  
</t>
  </si>
  <si>
    <r>
      <t>Lifetime expectation: Failure model
If there are several stresses, the relation between these constraints and the damage (criterion that allows comparing the customers in terms of severity) shall be provided by the supplier. If the criterion is unknown, the supplier shall build it by tests. This criterion will be the same to use for the accelerated tests.</t>
    </r>
    <r>
      <rPr>
        <sz val="10"/>
        <color rgb="FFFF0000"/>
        <rFont val="Verdana"/>
        <family val="2"/>
      </rPr>
      <t xml:space="preserve"> </t>
    </r>
    <r>
      <rPr>
        <sz val="10"/>
        <rFont val="Verdana"/>
        <family val="2"/>
      </rPr>
      <t xml:space="preserve">
</t>
    </r>
  </si>
  <si>
    <t xml:space="preserve">
The supplier delivers the Justification of the electrical and mechanical design (Calculations of dimensioning with thermal tolerances, simulations, design to choice, tolerance analysis (Stack-up)
Target : Definition validation Milestone</t>
  </si>
  <si>
    <t xml:space="preserve">
Final HW design freeze :
The supplier provides to STLA the PCB layout, the Electronic diagram, block diagram, the Mounting of the components drawing, the bill of material and the supplier components datasheets.
Templates : 00948_10_01583 (BOM) </t>
  </si>
  <si>
    <t xml:space="preserve">
LR_DJ: Dossier de justification SSC
Electrical Thermal Incident (ETI) - Methodology -  (ref : 01552_13_01824)</t>
  </si>
  <si>
    <t xml:space="preserve">
The supplier should make the deliveries according to the Low layers documents deliveries requirement (tag : LL_XX) in the document 02016_15_06111 / RSP-0008155.</t>
  </si>
  <si>
    <t xml:space="preserve">
The supplier delivers the final functional model (AMESIM + simulink)</t>
  </si>
  <si>
    <t xml:space="preserve">
The Supplier tests plan are finalised and analyzed by Stellantis (CEM, network, functional, etc…)
Target : system integration and testing plan are finalised for Proto B</t>
  </si>
  <si>
    <t xml:space="preserve">Process validation (PV): the supplier shall justify the reliability requirements, by justification or / and by running all tests which are impacted by the process, before milestone PPAP approved.
Tests shall be run off-tool parts with the final assembly process.
</t>
  </si>
  <si>
    <t xml:space="preserve">Serial tools validation (pré-PV): the supplier shall justify the reliability requirements, by justification or / and by running all environmental and endurance tests, before milestone Off-tool delivery.
Tests shall be run off-tool parts with serial raw materials.
</t>
  </si>
  <si>
    <t xml:space="preserve">Design validation results shall be available for Design freeze milestone (tooling kick off or Validation definition).
If not, a risk analysis shall be provide, which highlight the planning impact (on PPAP) for the main weakness, which may be revealed during the DV.
</t>
  </si>
  <si>
    <t xml:space="preserve">
The Industrial test coverage analysis matrix methodology is shared with STLA and described in the development plan 
Template : 01454_10_00213
</t>
  </si>
  <si>
    <t xml:space="preserve">
Presentation of electroerosion electrodes for stylistic parts
Target : the supplier must be able to deliver EL2 parts with final surface aspect</t>
  </si>
  <si>
    <r>
      <rPr>
        <sz val="10"/>
        <rFont val="Verdana"/>
        <family val="2"/>
      </rPr>
      <t>Masking Rules :</t>
    </r>
    <r>
      <rPr>
        <sz val="9"/>
        <rFont val="Verdana"/>
        <family val="2"/>
      </rPr>
      <t xml:space="preserve">
I</t>
    </r>
    <r>
      <rPr>
        <sz val="10"/>
        <rFont val="Verdana"/>
        <family val="2"/>
      </rPr>
      <t>n case of masking, for a microcontroller, the Low-layer justification file Protocol Management is updated.
The supplier validates requirements from Life phases and communication rules, even in case of no recompilation.
If last low layer validation was not performed on Flash variant master for masking, or if modifications are applied on masked variant, then the supplier must validate the requirements from Life Phase and communication rules specifications.
The validation of Physical Layer specification requirements is to be realized in function of results assessment from modification impacts.</t>
    </r>
  </si>
  <si>
    <t xml:space="preserve">
The supplier agrees to deliver to Stellantis the Carbon Footprint &amp; Green Materials content report (01378_22_00844). </t>
  </si>
  <si>
    <r>
      <rPr>
        <b/>
        <sz val="10"/>
        <color theme="1"/>
        <rFont val="Verdana"/>
        <family val="2"/>
      </rPr>
      <t xml:space="preserve">
</t>
    </r>
    <r>
      <rPr>
        <sz val="10"/>
        <color theme="1"/>
        <rFont val="Verdana"/>
        <family val="2"/>
      </rPr>
      <t xml:space="preserve">The supplier agrees to deliver to Stellantis the Carbon Footprint &amp; Green Materials content report (01378_22_00844). 
</t>
    </r>
  </si>
  <si>
    <t xml:space="preserve">Design validation (DV): the supplier shall justify the reliability requirements, defined in the technical specification, by justification or / and by running all environmental and endurance tests on representative prototypes, identical to the serial version (including serial raw materials).
</t>
  </si>
  <si>
    <r>
      <t xml:space="preserve">
23/02/22 : REPLACED</t>
    </r>
    <r>
      <rPr>
        <b/>
        <sz val="10"/>
        <color theme="1"/>
        <rFont val="Verdana"/>
        <family val="2"/>
      </rPr>
      <t xml:space="preserve"> </t>
    </r>
  </si>
  <si>
    <t xml:space="preserve">
12/03/2025 : REPLACED
</t>
  </si>
  <si>
    <t>The supplier delivers data requested by SW guidelines document  ref : 00949_14_05687</t>
  </si>
  <si>
    <r>
      <t xml:space="preserve">
</t>
    </r>
    <r>
      <rPr>
        <sz val="10"/>
        <color theme="1"/>
        <rFont val="Verdana"/>
        <family val="2"/>
      </rPr>
      <t>12/03/2025 : DELETED</t>
    </r>
  </si>
  <si>
    <r>
      <t xml:space="preserve">Ref Livrable / 
Deliverable Ref
</t>
    </r>
    <r>
      <rPr>
        <b/>
        <sz val="10"/>
        <rFont val="Verdana"/>
        <family val="2"/>
      </rPr>
      <t>APQP : STLA "BUY"</t>
    </r>
  </si>
  <si>
    <t>GEED-G2-17E_ENG-20(0)</t>
  </si>
  <si>
    <t>PCB assembled must be class 3 according to IPC-A-610 standard. 
Any gap from this class 3 ranking must be identified and notified to STLA through an analysis report.</t>
  </si>
  <si>
    <t>G</t>
  </si>
  <si>
    <t>Agree</t>
  </si>
  <si>
    <t>Applicable Y/N/Mandatory</t>
  </si>
  <si>
    <r>
      <t xml:space="preserve">Ref Livrable / 
Deliverable Ref
</t>
    </r>
    <r>
      <rPr>
        <b/>
        <sz val="10"/>
        <rFont val="Verdana"/>
        <family val="2"/>
      </rPr>
      <t>APQP SW Grid "MAKE"</t>
    </r>
  </si>
  <si>
    <r>
      <t xml:space="preserve">Ref Livrable / 
Deliverable Ref
</t>
    </r>
    <r>
      <rPr>
        <b/>
        <sz val="10"/>
        <rFont val="Verdana"/>
        <family val="2"/>
      </rPr>
      <t>APQP : old grid</t>
    </r>
  </si>
  <si>
    <t>War room</t>
  </si>
  <si>
    <t>Supplier is hereby made aware of the specific Technical progress reviews called war room and described in :
QRS Quality Requirements for Supplier (DocInfo ref. 01276_22_00061) 
or 
QRS Addendum (DocInfo ref. 01536_25_00095) 
as applicable.</t>
  </si>
  <si>
    <t>GEED-RI09-14(0)</t>
  </si>
  <si>
    <t>V 36</t>
  </si>
  <si>
    <t xml:space="preserve">Updates : 
"War room" item added in  "EE Generic List"  and  " SW Generic List" Tabs
</t>
  </si>
  <si>
    <r>
      <rPr>
        <b/>
        <sz val="10"/>
        <rFont val="Verdana"/>
        <family val="2"/>
      </rPr>
      <t xml:space="preserve">
</t>
    </r>
    <r>
      <rPr>
        <sz val="10"/>
        <rFont val="Verdana"/>
        <family val="2"/>
      </rPr>
      <t xml:space="preserve">The supplier answers to the after-sales requirements by using the DSEE transversal COMTEC document : 
https://docinfogroupe.stellantis.com/ead/doc/ref.00827_19_01162/v.dp/fiche
</t>
    </r>
    <r>
      <rPr>
        <b/>
        <sz val="10"/>
        <rFont val="Verdana"/>
        <family val="2"/>
      </rPr>
      <t xml:space="preserve">
</t>
    </r>
    <r>
      <rPr>
        <sz val="10"/>
        <rFont val="Verdana"/>
        <family val="2"/>
      </rPr>
      <t xml:space="preserve">
</t>
    </r>
  </si>
  <si>
    <t xml:space="preserve">The supplier shall respect and create the COMTEC analysis for the RFQ part following generic COMTEC procedure 00827_19_01162
</t>
  </si>
  <si>
    <t>V 36_01</t>
  </si>
  <si>
    <t>Update :
Change of the COMTEC document reference (EE Generic List Tab): 
  Old : 02017_19_01094  ( STLA internal document)
  New : 00827_19_01162 (Supplier applicable document)</t>
  </si>
  <si>
    <t>V 36_02</t>
  </si>
  <si>
    <t>GEED-RI09-15(0)</t>
  </si>
  <si>
    <t>GEED-VD12-20(0)</t>
  </si>
  <si>
    <t>Development phase and APQP Follow-up :</t>
  </si>
  <si>
    <t>The Profession tracks deliverables based on the relevant milestones, in the dedicated tracking fields.
The GEED must be integrated into the APQP grid at RI09 or G1-17E ENG, during the first update of Gate 1</t>
  </si>
  <si>
    <t>The supplier shall deliver :
   - a PCB layout and
   - PCB footprints dimensions, compatible with surface-mount technology (SMT) parameters for soldering process, and
   - recommended soldering footprints datasheet,
in alignment with CS.00119 requirement paragraph 5.14.
In case of not compatibility due to process specific limitation, the footprint design must be calibrated accordingly. Dedicated report must be submitted to engineering department.”</t>
  </si>
  <si>
    <t>The supplier shall deliver :
   - a frozen PCB layout and
   - PCB footprints dimensions, compatible with surface-mount technology (SMT) parameters for soldering process, and
   - recommended soldering footprints datasheet,
in alignment with CS.00119 requirement paragraph 5.14.
In case of not compatibility due to process specific limitation, the footprint design must be calibrated accordingly. Dedicated report must be submitted to engineering department.”</t>
  </si>
  <si>
    <t>V37</t>
  </si>
  <si>
    <t xml:space="preserve">Update :
Workflow added in "How tu use" tab
</t>
  </si>
  <si>
    <t>The requirements to be made applicable by the supplier must be selected for the RFQ.</t>
  </si>
  <si>
    <r>
      <rPr>
        <i/>
        <sz val="14"/>
        <color theme="1"/>
        <rFont val="Calibri"/>
        <family val="2"/>
        <scheme val="minor"/>
      </rPr>
      <t>Deliverable reference</t>
    </r>
    <r>
      <rPr>
        <sz val="14"/>
        <color theme="1"/>
        <rFont val="Calibri"/>
        <family val="2"/>
        <scheme val="minor"/>
      </rPr>
      <t xml:space="preserve"> : APQP reference</t>
    </r>
  </si>
  <si>
    <r>
      <rPr>
        <i/>
        <sz val="14"/>
        <color theme="1"/>
        <rFont val="Calibri"/>
        <family val="2"/>
        <scheme val="minor"/>
      </rPr>
      <t>Deliverables</t>
    </r>
    <r>
      <rPr>
        <sz val="14"/>
        <color theme="1"/>
        <rFont val="Calibri"/>
        <family val="2"/>
        <scheme val="minor"/>
      </rPr>
      <t xml:space="preserve"> : expected deliverable wih expected date to be negociated before kick Off Milestone</t>
    </r>
  </si>
  <si>
    <r>
      <rPr>
        <i/>
        <sz val="14"/>
        <color theme="1"/>
        <rFont val="Calibri"/>
        <family val="2"/>
        <scheme val="minor"/>
      </rPr>
      <t>Milestone</t>
    </r>
    <r>
      <rPr>
        <sz val="14"/>
        <color theme="1"/>
        <rFont val="Calibri"/>
        <family val="2"/>
        <scheme val="minor"/>
      </rPr>
      <t xml:space="preserve"> : APQP grid milestone : specific deliverables are progressively realised and are registered in Kick Off directory and PPAP directory</t>
    </r>
  </si>
  <si>
    <r>
      <rPr>
        <i/>
        <sz val="14"/>
        <color theme="1"/>
        <rFont val="Calibri"/>
        <family val="2"/>
        <scheme val="minor"/>
      </rPr>
      <t>Supplier schedule</t>
    </r>
    <r>
      <rPr>
        <sz val="14"/>
        <color theme="1"/>
        <rFont val="Calibri"/>
        <family val="2"/>
        <scheme val="minor"/>
      </rPr>
      <t xml:space="preserve"> : indicative proposed date to be replace by delivery date accepted by the supplier</t>
    </r>
  </si>
  <si>
    <r>
      <rPr>
        <i/>
        <sz val="14"/>
        <color theme="1"/>
        <rFont val="Calibri"/>
        <family val="2"/>
        <scheme val="minor"/>
      </rPr>
      <t>Remarks</t>
    </r>
    <r>
      <rPr>
        <sz val="14"/>
        <color theme="1"/>
        <rFont val="Calibri"/>
        <family val="2"/>
        <scheme val="minor"/>
      </rPr>
      <t xml:space="preserve"> : deliverable analysis </t>
    </r>
  </si>
  <si>
    <r>
      <rPr>
        <i/>
        <sz val="14"/>
        <color theme="1"/>
        <rFont val="Calibri"/>
        <family val="2"/>
        <scheme val="minor"/>
      </rPr>
      <t>RFQ SUPPLIER'S ANSWER / Status :</t>
    </r>
    <r>
      <rPr>
        <sz val="14"/>
        <color theme="1"/>
        <rFont val="Calibri"/>
        <family val="2"/>
        <scheme val="minor"/>
      </rPr>
      <t xml:space="preserve"> Supplier status regarding list (Agree; Agree with reserves; Disagree; Not applicable)</t>
    </r>
  </si>
  <si>
    <r>
      <rPr>
        <i/>
        <sz val="14"/>
        <color theme="1"/>
        <rFont val="Calibri"/>
        <family val="2"/>
        <scheme val="minor"/>
      </rPr>
      <t>RFQ SUPPLIER'S ANSWER / Justification</t>
    </r>
    <r>
      <rPr>
        <sz val="14"/>
        <color theme="1"/>
        <rFont val="Calibri"/>
        <family val="2"/>
        <scheme val="minor"/>
      </rPr>
      <t xml:space="preserve"> : Explaination of Supplier anwer</t>
    </r>
  </si>
  <si>
    <r>
      <rPr>
        <i/>
        <sz val="14"/>
        <color theme="1"/>
        <rFont val="Calibri"/>
        <family val="2"/>
        <scheme val="minor"/>
      </rPr>
      <t>RFQ SUPPLIER'S ANSWER /Proposals</t>
    </r>
    <r>
      <rPr>
        <sz val="14"/>
        <color theme="1"/>
        <rFont val="Calibri"/>
        <family val="2"/>
        <scheme val="minor"/>
      </rPr>
      <t xml:space="preserve"> : Supplier proposal</t>
    </r>
  </si>
  <si>
    <r>
      <rPr>
        <i/>
        <sz val="14"/>
        <color theme="1"/>
        <rFont val="Calibri"/>
        <family val="2"/>
        <scheme val="minor"/>
      </rPr>
      <t>RFQ Stellantis POSITION / Pilot Response</t>
    </r>
    <r>
      <rPr>
        <sz val="14"/>
        <color theme="1"/>
        <rFont val="Calibri"/>
        <family val="2"/>
        <scheme val="minor"/>
      </rPr>
      <t xml:space="preserve"> :  Person who gave the Stellantis status</t>
    </r>
  </si>
  <si>
    <r>
      <rPr>
        <i/>
        <sz val="14"/>
        <color theme="1"/>
        <rFont val="Calibri"/>
        <family val="2"/>
        <scheme val="minor"/>
      </rPr>
      <t>RFQ Stellantis POSITION / Satus</t>
    </r>
    <r>
      <rPr>
        <sz val="14"/>
        <color theme="1"/>
        <rFont val="Calibri"/>
        <family val="2"/>
        <scheme val="minor"/>
      </rPr>
      <t xml:space="preserve"> : Stellantis status</t>
    </r>
  </si>
  <si>
    <r>
      <rPr>
        <i/>
        <sz val="14"/>
        <color theme="1"/>
        <rFont val="Calibri"/>
        <family val="2"/>
        <scheme val="minor"/>
      </rPr>
      <t>RFQ Stellantis POSITION / Comments</t>
    </r>
    <r>
      <rPr>
        <sz val="14"/>
        <color theme="1"/>
        <rFont val="Calibri"/>
        <family val="2"/>
        <scheme val="minor"/>
      </rPr>
      <t xml:space="preserve"> : Stellantis comments</t>
    </r>
  </si>
  <si>
    <r>
      <rPr>
        <i/>
        <sz val="14"/>
        <color theme="1"/>
        <rFont val="Calibri"/>
        <family val="2"/>
        <scheme val="minor"/>
      </rPr>
      <t>SUPPLIER'S RESPONSE</t>
    </r>
    <r>
      <rPr>
        <sz val="14"/>
        <color theme="1"/>
        <rFont val="Calibri"/>
        <family val="2"/>
        <scheme val="minor"/>
      </rPr>
      <t xml:space="preserve"> : Supplier  feedback  during development</t>
    </r>
  </si>
  <si>
    <r>
      <rPr>
        <i/>
        <sz val="14"/>
        <color theme="1"/>
        <rFont val="Calibri"/>
        <family val="2"/>
        <scheme val="minor"/>
      </rPr>
      <t>STLA's ANSWER</t>
    </r>
    <r>
      <rPr>
        <sz val="14"/>
        <color theme="1"/>
        <rFont val="Calibri"/>
        <family val="2"/>
        <scheme val="minor"/>
      </rPr>
      <t xml:space="preserve"> :  Monitoring by Stellantis of the Supplier response</t>
    </r>
  </si>
  <si>
    <t>GEED-G1-17E_ENG-100(0)</t>
  </si>
  <si>
    <t>GEED-G1-17A_Tier2-100(0)</t>
  </si>
  <si>
    <t>GEED-G1-17E_ENG-101(0)</t>
  </si>
  <si>
    <t>GEED-G1-17E_ENG-102(0)</t>
  </si>
  <si>
    <t>GEED-G1-17E_ENG-103(0)</t>
  </si>
  <si>
    <t>GEED-G1-17E_ENG-104(0)</t>
  </si>
  <si>
    <t>GEED-G1-17E_ENG-105(0)</t>
  </si>
  <si>
    <t>GEED-G1-17E_ENG-106(0)</t>
  </si>
  <si>
    <t>GEED-G1-17A_Tier2-101(0)</t>
  </si>
  <si>
    <t>GEED-G1-17A_Tier2-102(0)</t>
  </si>
  <si>
    <t>GEED-G1-17A_Tier2-103(0)</t>
  </si>
  <si>
    <t>GEED-G1-17A_Tier2-104(0)</t>
  </si>
  <si>
    <t>GEED-G1-17A_Tier2-105(0)</t>
  </si>
  <si>
    <t>GEED-G1-17A_Tier2-106(0)</t>
  </si>
  <si>
    <t>GEED-G2-17E_ENG-100(0)</t>
  </si>
  <si>
    <t>GEED-G2-17E_ENG-101(0)</t>
  </si>
  <si>
    <t>GEED-G2-17E_ENG-102(0)</t>
  </si>
  <si>
    <t>GEED-G2-17E_ENG-103(0)</t>
  </si>
  <si>
    <t>GEED-G2-17E_ENG-104(0)</t>
  </si>
  <si>
    <t>GEED-G2-17E_ENG-105(0)</t>
  </si>
  <si>
    <t>GEED-G2-17A_Tier2-105(0)</t>
  </si>
  <si>
    <t>GEED-G2-17A_Tier2-104(0)</t>
  </si>
  <si>
    <t>GEED-G2-17A_Tier2-103(0)</t>
  </si>
  <si>
    <t>GEED-G2-17A_Tier2-102(0)</t>
  </si>
  <si>
    <t>GEED-G2-17A_Tier2-101(0)</t>
  </si>
  <si>
    <t>GEED-G2-17A_Tier2-100(0)</t>
  </si>
  <si>
    <t>GEED-G3-17E_ENG-100(0)</t>
  </si>
  <si>
    <t>GEED-G3-17E_ENG-101(0)</t>
  </si>
  <si>
    <t>GEED-G3-17E_ENG-102(0)</t>
  </si>
  <si>
    <t>GEED-G3-17E_ENG-103(0)</t>
  </si>
  <si>
    <t>GEED-G3-17A_Tier2-103(0)</t>
  </si>
  <si>
    <t>GEED-G3-17A_Tier2-102(0)</t>
  </si>
  <si>
    <t>GEED-G3-17A_Tier2-101(0)</t>
  </si>
  <si>
    <t>GEED-G3-17A_Tier2-100(0)</t>
  </si>
  <si>
    <t>GEED-G4-17E_ENG-100(0)</t>
  </si>
  <si>
    <t>GEED-G4-17E_ENG-101(0)</t>
  </si>
  <si>
    <t>GEED-G4-17E_ENG-102(0)</t>
  </si>
  <si>
    <t>GEED-G4-17E_ENG-103(0)</t>
  </si>
  <si>
    <t>GEED-G4-17E_ENG-104(0)</t>
  </si>
  <si>
    <t>GEED-G4-17E_ENG-105(0)</t>
  </si>
  <si>
    <t>GEED-G4-17A_Tier2-105(0)</t>
  </si>
  <si>
    <t>GEED-G4-17A_Tier2-104(0)</t>
  </si>
  <si>
    <t>GEED-G4-17A_Tier2-103(0)</t>
  </si>
  <si>
    <t>GEED-G4-17A_Tier2-102(0)</t>
  </si>
  <si>
    <t>GEED-G4-17A_Tier2-101(0)</t>
  </si>
  <si>
    <t>GEED-G4-17A_Tier2-100(0)</t>
  </si>
  <si>
    <t>Design_Gen_00</t>
  </si>
  <si>
    <t>Design_Gen_01</t>
  </si>
  <si>
    <t>Design_Gen_02</t>
  </si>
  <si>
    <t>Design_Gen_03</t>
  </si>
  <si>
    <t>Design_Gen_04</t>
  </si>
  <si>
    <t>Design_Gen_05</t>
  </si>
  <si>
    <t>Design_Gen_06</t>
  </si>
  <si>
    <t>Design_Gen_07</t>
  </si>
  <si>
    <t>Design_Gen_08</t>
  </si>
  <si>
    <t>Design_Gen_09</t>
  </si>
  <si>
    <t>TBD</t>
  </si>
  <si>
    <t>Purpose</t>
  </si>
  <si>
    <r>
      <rPr>
        <i/>
        <sz val="14"/>
        <color theme="1"/>
        <rFont val="Calibri"/>
        <family val="2"/>
        <scheme val="minor"/>
      </rPr>
      <t>Applicable Y/N</t>
    </r>
    <r>
      <rPr>
        <sz val="14"/>
        <color theme="1"/>
        <rFont val="Calibri"/>
        <family val="2"/>
        <scheme val="minor"/>
      </rPr>
      <t xml:space="preserve"> : to precise if such deliverable is requested or not for this development</t>
    </r>
  </si>
  <si>
    <t>Topic : requirements family</t>
  </si>
  <si>
    <t xml:space="preserve">Updates : 
 -"Purpose"  explanation in "How to use" tab
 - New requirements in "EE Generic List" tab, regarding PCB ( GEED-G1-17E_ENG-15,GEED-G2-17E_ENG-20 )
 - Updated the numbering of requirements in the “Generic SW List” tab
</t>
  </si>
  <si>
    <t>The purpose of GEED is to provide a list of requirements selected by the Profession, applicable by the supplier during development.
The requirements to be selected, depend on the specificities of the part to be developed.
The Profession must :
   - Update the tab(s) relating to the part (EE Generic List, SW Generic List, Connector, Design)
   - Specify in the "Applicable" column if the deliverable is requested for this development
   - Specify a date of request from the profession, then by setting a date negotiated with the supplier  in the "date" column.</t>
  </si>
  <si>
    <t>Integrate the instanciated GEED document fulfilled by the awarded supplier in APQP grid requirement "G1-17E ENG specific Req" (APQP  STLA grid : 01276_22_00038)</t>
  </si>
  <si>
    <t>Rq1: In the case where the Profession is Tier 2, it is necessary to ensure the integration of the GEED in the RFQ Package of Tier 1.</t>
  </si>
  <si>
    <t xml:space="preserve">Rq2: For electrical harnesses, the GEED is not applicable, because the requirements are in the  harnesses generic specifications </t>
  </si>
  <si>
    <t>The requirements must be applied by the supplier and to be monitored by STLA according to the corresponding milestones</t>
  </si>
  <si>
    <t>Note2: If there is no GEED for G1( old J1), it will be necessary to check with the supplier to take this into account.</t>
  </si>
  <si>
    <t>Agree with reserves</t>
  </si>
  <si>
    <t>The components can't achieve MSL1 in CS.00119 chapter 5.14</t>
  </si>
  <si>
    <t>Not applicable</t>
  </si>
  <si>
    <t>No Radio-Frequency components</t>
    <phoneticPr fontId="65" type="noConversion"/>
  </si>
  <si>
    <r>
      <t>Lifetime expectation: Test acceleration factor.
For extrapolated tests, the Supplier provides the extrapolation modelling and the threshold of wear from which the supply is considered failed.</t>
    </r>
    <r>
      <rPr>
        <sz val="10"/>
        <color rgb="FFFF0000"/>
        <rFont val="Verdana"/>
        <family val="2"/>
      </rPr>
      <t xml:space="preserve">
</t>
    </r>
    <r>
      <rPr>
        <sz val="10"/>
        <color theme="1"/>
        <rFont val="Verdana"/>
        <family val="2"/>
      </rPr>
      <t>When accelerated failure model are available, and for accelerated reliability tests, the Supplier provides the accelerated failure model</t>
    </r>
    <r>
      <rPr>
        <sz val="10"/>
        <rFont val="Verdana"/>
        <family val="2"/>
      </rPr>
      <t xml:space="preserve">
</t>
    </r>
    <phoneticPr fontId="65" type="noConversion"/>
  </si>
  <si>
    <t>HW will consider the SSC action in design.And aligned with STLA,the details will discuss with STLA in HW review meeting as what J4U project did</t>
    <phoneticPr fontId="65" type="noConversion"/>
  </si>
  <si>
    <t>Supplier is hereby made aware of the specific intellectual property issue of Standard Essential Patents (SEPs). The guarantee defined in the General Terms and Conditions (legal document) is applicable for such SEPs.</t>
    <phoneticPr fontId="65" type="noConversion"/>
  </si>
  <si>
    <t>This is for connector supplier</t>
  </si>
  <si>
    <t>No crimping design</t>
  </si>
  <si>
    <t>2025/4/17 TM:The current EMC testing standard is CS.00244, and the specification of B21711x is not applicable.</t>
    <phoneticPr fontId="65" type="noConversion"/>
  </si>
  <si>
    <t>ME</t>
    <phoneticPr fontId="65" type="noConversion"/>
  </si>
  <si>
    <t>ME</t>
    <phoneticPr fontId="65" type="noConversion"/>
  </si>
  <si>
    <t>ME</t>
    <phoneticPr fontId="65" type="noConversion"/>
  </si>
  <si>
    <t>APQP G1-17E ENG Specific Req</t>
  </si>
  <si>
    <t>20931_26_00271</t>
  </si>
  <si>
    <t>14/04/2026 16:01</t>
  </si>
  <si>
    <t>27/04/2026 13:58</t>
  </si>
  <si>
    <t xml:space="preserve">LE BLEGUET CHRISTOPHE - V178340 (TIANMA EUROPE GMBH) </t>
  </si>
  <si>
    <t>0.2</t>
  </si>
  <si>
    <t/>
  </si>
  <si>
    <t>brouillon</t>
  </si>
  <si>
    <t>z - Ext amont Thème Conception et Développement 13</t>
  </si>
  <si>
    <t>https://docinfogroupe.inetpsa.com/ead/doc/ref.20931_26_00271/v.0.2</t>
  </si>
  <si>
    <t>https://docinfogroupe.inetpsa.com/ead/doc/modif/ref.20931_26_00271/fiche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</si>
</sst>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_-* #,##0\ &quot;F&quot;_-;\-* #,##0\ &quot;F&quot;_-;_-* &quot;-&quot;\ &quot;F&quot;_-;_-@_-"/>
    <numFmt numFmtId="166" formatCode="_-* #,##0.00\ &quot;F&quot;_-;\-* #,##0.00\ &quot;F&quot;_-;_-* &quot;-&quot;??\ &quot;F&quot;_-;_-@_-"/>
  </numFmts>
  <fonts count="69">
    <font>
      <sz val="11"/>
      <color theme="1"/>
      <name val="Calibri"/>
      <family val="2"/>
      <scheme val="minor"/>
    </font>
    <font>
      <sz val="10"/>
      <name val="Arial"/>
      <family val="2"/>
    </font>
    <font>
      <sz val="10"/>
      <color theme="1"/>
      <name val="Calibri"/>
      <family val="2"/>
      <scheme val="minor"/>
    </font>
    <font>
      <sz val="10"/>
      <name val="Verdana"/>
      <family val="2"/>
    </font>
    <font>
      <b/>
      <sz val="10"/>
      <name val="Verdana"/>
      <family val="2"/>
    </font>
    <font>
      <b/>
      <sz val="12"/>
      <color theme="1"/>
      <name val="Calibri"/>
      <family val="2"/>
      <scheme val="minor"/>
    </font>
    <font>
      <sz val="10"/>
      <name val="Calibri"/>
      <family val="2"/>
      <scheme val="minor"/>
    </font>
    <font>
      <b/>
      <sz val="16"/>
      <color theme="1"/>
      <name val="Calibri"/>
      <family val="2"/>
      <scheme val="minor"/>
    </font>
    <font>
      <b/>
      <sz val="20"/>
      <color theme="1"/>
      <name val="Calibri"/>
      <family val="2"/>
      <scheme val="minor"/>
    </font>
    <font>
      <u/>
      <sz val="11"/>
      <color theme="10"/>
      <name val="Calibri"/>
      <family val="2"/>
      <scheme val="minor"/>
    </font>
    <font>
      <b/>
      <i/>
      <sz val="9"/>
      <color indexed="54"/>
      <name val="Arial"/>
      <family val="2"/>
    </font>
    <font>
      <sz val="9"/>
      <name val="Arial"/>
      <family val="2"/>
    </font>
    <font>
      <b/>
      <i/>
      <sz val="10"/>
      <color indexed="54"/>
      <name val="Arial"/>
      <family val="2"/>
    </font>
    <font>
      <sz val="9"/>
      <color indexed="54"/>
      <name val="Arial"/>
      <family val="2"/>
    </font>
    <font>
      <sz val="10"/>
      <color indexed="54"/>
      <name val="Arial"/>
      <family val="2"/>
    </font>
    <font>
      <sz val="9"/>
      <name val="Verdana"/>
      <family val="2"/>
    </font>
    <font>
      <sz val="10"/>
      <color theme="1"/>
      <name val="Verdana"/>
      <family val="2"/>
    </font>
    <font>
      <sz val="8"/>
      <name val="Arial"/>
      <family val="2"/>
    </font>
    <font>
      <sz val="8"/>
      <color theme="1"/>
      <name val="Arial"/>
      <family val="2"/>
    </font>
    <font>
      <sz val="10"/>
      <color rgb="FFFF0000"/>
      <name val="Verdana"/>
      <family val="2"/>
    </font>
    <font>
      <sz val="11"/>
      <color theme="1"/>
      <name val="Calibri"/>
      <family val="2"/>
      <scheme val="minor"/>
    </font>
    <font>
      <sz val="8"/>
      <color theme="1"/>
      <name val="Verdana"/>
      <family val="2"/>
    </font>
    <font>
      <sz val="10"/>
      <color theme="1"/>
      <name val="Arial"/>
      <family val="2"/>
    </font>
    <font>
      <sz val="9"/>
      <name val="Arial MT"/>
    </font>
    <font>
      <u/>
      <sz val="7"/>
      <color indexed="12"/>
      <name val="Arial"/>
      <family val="2"/>
    </font>
    <font>
      <sz val="10"/>
      <name val="ＭＳ ゴシック"/>
      <family val="3"/>
      <charset val="128"/>
    </font>
    <font>
      <sz val="10"/>
      <name val="Arial"/>
      <family val="2"/>
      <charset val="238"/>
    </font>
    <font>
      <sz val="10"/>
      <name val="Arial"/>
      <family val="2"/>
      <charset val="178"/>
    </font>
    <font>
      <sz val="12"/>
      <color theme="1"/>
      <name val="Calibri"/>
      <family val="2"/>
      <scheme val="minor"/>
    </font>
    <font>
      <b/>
      <i/>
      <sz val="12"/>
      <color theme="3" tint="0.39997558519241921"/>
      <name val="Calibri"/>
      <family val="2"/>
      <scheme val="minor"/>
    </font>
    <font>
      <i/>
      <sz val="12"/>
      <color theme="1"/>
      <name val="Calibri"/>
      <family val="2"/>
      <scheme val="minor"/>
    </font>
    <font>
      <b/>
      <sz val="14"/>
      <color theme="1"/>
      <name val="Calibri"/>
      <family val="2"/>
      <scheme val="minor"/>
    </font>
    <font>
      <b/>
      <sz val="14"/>
      <name val="Calibri"/>
      <family val="2"/>
      <scheme val="minor"/>
    </font>
    <font>
      <b/>
      <sz val="10"/>
      <color theme="1"/>
      <name val="Verdana"/>
      <family val="2"/>
    </font>
    <font>
      <sz val="8"/>
      <name val="Calibri"/>
      <family val="2"/>
      <scheme val="minor"/>
    </font>
    <font>
      <sz val="11"/>
      <color theme="1"/>
      <name val="Encode Sans"/>
    </font>
    <font>
      <sz val="10"/>
      <name val="Encode Sans"/>
    </font>
    <font>
      <b/>
      <sz val="10"/>
      <name val="Encode Sans"/>
    </font>
    <font>
      <sz val="10"/>
      <color theme="1"/>
      <name val="Encode Sans"/>
    </font>
    <font>
      <sz val="8"/>
      <color theme="1"/>
      <name val="Encode Sans"/>
    </font>
    <font>
      <b/>
      <u/>
      <sz val="10"/>
      <name val="Encode Sans"/>
    </font>
    <font>
      <b/>
      <sz val="10"/>
      <color rgb="FFFF0000"/>
      <name val="Encode Sans"/>
    </font>
    <font>
      <b/>
      <sz val="14"/>
      <name val="Arial"/>
      <family val="2"/>
    </font>
    <font>
      <b/>
      <sz val="10"/>
      <name val="Arial"/>
      <family val="2"/>
    </font>
    <font>
      <sz val="12"/>
      <color rgb="FF000000"/>
      <name val="Calibri"/>
      <family val="2"/>
      <scheme val="minor"/>
    </font>
    <font>
      <sz val="20"/>
      <color rgb="FFFFFFFF"/>
      <name val="Arial"/>
      <family val="2"/>
    </font>
    <font>
      <sz val="11"/>
      <name val="Arial"/>
      <family val="2"/>
    </font>
    <font>
      <b/>
      <i/>
      <sz val="11"/>
      <name val="Arial"/>
      <family val="2"/>
    </font>
    <font>
      <b/>
      <sz val="11"/>
      <name val="Arial"/>
      <family val="2"/>
    </font>
    <font>
      <sz val="10"/>
      <color rgb="FF0000FF"/>
      <name val="Arial"/>
      <family val="2"/>
    </font>
    <font>
      <b/>
      <i/>
      <sz val="8"/>
      <color theme="1" tint="0.499984740745262"/>
      <name val="Arial"/>
      <family val="2"/>
    </font>
    <font>
      <b/>
      <i/>
      <sz val="8"/>
      <name val="Arial"/>
      <family val="2"/>
    </font>
    <font>
      <i/>
      <sz val="8"/>
      <color rgb="FFFF0000"/>
      <name val="Arial"/>
      <family val="2"/>
    </font>
    <font>
      <b/>
      <sz val="14"/>
      <color rgb="FFFF0000"/>
      <name val="Arial"/>
      <family val="2"/>
    </font>
    <font>
      <b/>
      <i/>
      <sz val="14"/>
      <name val="Arial"/>
      <family val="2"/>
    </font>
    <font>
      <i/>
      <sz val="14"/>
      <name val="Arial"/>
      <family val="2"/>
    </font>
    <font>
      <i/>
      <sz val="10"/>
      <name val="Arial"/>
      <family val="2"/>
    </font>
    <font>
      <b/>
      <i/>
      <sz val="10"/>
      <name val="Arial"/>
      <family val="2"/>
    </font>
    <font>
      <u/>
      <sz val="10"/>
      <name val="Arial"/>
      <family val="2"/>
    </font>
    <font>
      <sz val="11"/>
      <name val="Calibri"/>
      <family val="2"/>
      <scheme val="minor"/>
    </font>
    <font>
      <b/>
      <sz val="12"/>
      <name val="Verdana"/>
      <family val="2"/>
    </font>
    <font>
      <sz val="14"/>
      <color theme="1"/>
      <name val="Calibri"/>
      <family val="2"/>
      <scheme val="minor"/>
    </font>
    <font>
      <i/>
      <sz val="14"/>
      <color theme="1"/>
      <name val="Calibri"/>
      <family val="2"/>
      <scheme val="minor"/>
    </font>
    <font>
      <sz val="14"/>
      <name val="Calibri"/>
      <family val="2"/>
      <scheme val="minor"/>
    </font>
    <font>
      <sz val="10"/>
      <color rgb="FF000000"/>
      <name val="Verdana"/>
      <family val="2"/>
    </font>
    <font>
      <sz val="9"/>
      <name val="Calibri"/>
      <family val="3"/>
      <charset val="134"/>
      <scheme val="minor"/>
    </font>
    <font>
      <sz val="8"/>
      <color rgb="FF000000"/>
      <name val="Verdana"/>
      <family val="2"/>
    </font>
    <font>
      <sz val="10"/>
      <color rgb="FF000000"/>
      <name val="Encode Sans"/>
      <family val="2"/>
    </font>
    <font>
      <sz val="8"/>
      <color rgb="FF000000"/>
      <name val="Encode Sans"/>
      <family val="2"/>
    </font>
  </fonts>
  <fills count="22">
    <fill>
      <patternFill patternType="none"/>
    </fill>
    <fill>
      <patternFill patternType="gray125"/>
    </fill>
    <fill>
      <patternFill patternType="solid">
        <fgColor theme="3" tint="0.39997558519241921"/>
        <bgColor indexed="64"/>
      </patternFill>
    </fill>
    <fill>
      <patternFill patternType="solid">
        <fgColor theme="9" tint="-0.249977111117893"/>
        <bgColor indexed="64"/>
      </patternFill>
    </fill>
    <fill>
      <patternFill patternType="solid">
        <fgColor rgb="FFFFC000"/>
        <bgColor indexed="64"/>
      </patternFill>
    </fill>
    <fill>
      <patternFill patternType="solid">
        <fgColor rgb="FFFFD85D"/>
        <bgColor indexed="64"/>
      </patternFill>
    </fill>
    <fill>
      <patternFill patternType="solid">
        <fgColor indexed="22"/>
        <bgColor indexed="64"/>
      </patternFill>
    </fill>
    <fill>
      <patternFill patternType="solid">
        <fgColor theme="0"/>
        <bgColor indexed="64"/>
      </patternFill>
    </fill>
    <fill>
      <patternFill patternType="solid">
        <fgColor theme="9" tint="0.79998168889431442"/>
        <bgColor indexed="64"/>
      </patternFill>
    </fill>
    <fill>
      <patternFill patternType="solid">
        <fgColor rgb="FFFFCCFF"/>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rgb="FF23357F"/>
        <bgColor rgb="FF000000"/>
      </patternFill>
    </fill>
    <fill>
      <patternFill patternType="solid">
        <fgColor indexed="9"/>
        <bgColor indexed="64"/>
      </patternFill>
    </fill>
    <fill>
      <patternFill patternType="solid">
        <fgColor rgb="FFFFFFCC"/>
        <bgColor indexed="64"/>
      </patternFill>
    </fill>
    <fill>
      <patternFill patternType="solid">
        <fgColor theme="6" tint="0.59999389629810485"/>
        <bgColor indexed="64"/>
      </patternFill>
    </fill>
    <fill>
      <patternFill patternType="solid">
        <fgColor rgb="FF92D050"/>
        <bgColor indexed="64"/>
      </patternFill>
    </fill>
    <fill>
      <patternFill patternType="solid">
        <fgColor theme="9" tint="0.39994506668294322"/>
        <bgColor indexed="64"/>
      </patternFill>
    </fill>
    <fill>
      <patternFill patternType="solid">
        <fgColor rgb="FF00FF00"/>
        <bgColor indexed="64"/>
      </patternFill>
    </fill>
    <fill>
      <patternFill patternType="solid">
        <fgColor rgb="FFBFBFBF"/>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right/>
      <top/>
      <bottom style="medium">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s>
  <cellStyleXfs count="40">
    <xf numFmtId="0" fontId="0"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23" fillId="0" borderId="0"/>
    <xf numFmtId="0" fontId="24" fillId="0" borderId="0" applyNumberFormat="0" applyFill="0" applyBorder="0" applyAlignment="0" applyProtection="0">
      <alignment vertical="top"/>
      <protection locked="0"/>
    </xf>
    <xf numFmtId="164" fontId="20"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20" fillId="0" borderId="0" applyFont="0" applyFill="0" applyBorder="0" applyAlignment="0" applyProtection="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5" fillId="0" borderId="0"/>
    <xf numFmtId="0" fontId="20" fillId="0" borderId="0"/>
    <xf numFmtId="0" fontId="26"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xf numFmtId="0" fontId="27" fillId="0" borderId="0"/>
    <xf numFmtId="165" fontId="1" fillId="0" borderId="0" applyFont="0" applyFill="0" applyBorder="0" applyAlignment="0" applyProtection="0"/>
    <xf numFmtId="166" fontId="1" fillId="0" borderId="0" applyFont="0" applyFill="0" applyBorder="0" applyAlignment="0" applyProtection="0"/>
    <xf numFmtId="0" fontId="25" fillId="0" borderId="0"/>
    <xf numFmtId="0" fontId="1" fillId="0" borderId="0"/>
    <xf numFmtId="0" fontId="1" fillId="0" borderId="0"/>
  </cellStyleXfs>
  <cellXfs count="247">
    <xf numFmtId="0" fontId="0" fillId="0" borderId="0" xfId="0"/>
    <xf numFmtId="0" fontId="0" fillId="0" borderId="0" xfId="0" applyAlignment="1">
      <alignment wrapText="1"/>
    </xf>
    <xf numFmtId="0" fontId="0" fillId="0" borderId="6" xfId="0" applyBorder="1"/>
    <xf numFmtId="0" fontId="8" fillId="4" borderId="5" xfId="0" applyFont="1" applyFill="1" applyBorder="1" applyAlignment="1">
      <alignment horizontal="center" wrapText="1"/>
    </xf>
    <xf numFmtId="0" fontId="0" fillId="0" borderId="3" xfId="0" applyBorder="1" applyAlignment="1">
      <alignment wrapText="1"/>
    </xf>
    <xf numFmtId="0" fontId="0" fillId="0" borderId="0" xfId="0" quotePrefix="1"/>
    <xf numFmtId="0" fontId="9" fillId="0" borderId="0" xfId="2"/>
    <xf numFmtId="0" fontId="10" fillId="0" borderId="10" xfId="0" applyFont="1" applyBorder="1"/>
    <xf numFmtId="0" fontId="11" fillId="0" borderId="11" xfId="0" applyFont="1" applyBorder="1"/>
    <xf numFmtId="0" fontId="0" fillId="0" borderId="11" xfId="0" applyBorder="1"/>
    <xf numFmtId="0" fontId="12" fillId="0" borderId="11" xfId="0" applyFont="1" applyBorder="1"/>
    <xf numFmtId="0" fontId="11" fillId="0" borderId="11" xfId="0" applyFont="1" applyBorder="1" applyAlignment="1">
      <alignment horizontal="left"/>
    </xf>
    <xf numFmtId="0" fontId="0" fillId="0" borderId="12" xfId="0" applyBorder="1"/>
    <xf numFmtId="0" fontId="10" fillId="0" borderId="13" xfId="0" applyFont="1" applyBorder="1" applyAlignment="1">
      <alignment vertical="top"/>
    </xf>
    <xf numFmtId="0" fontId="11" fillId="0" borderId="0" xfId="0" applyFont="1" applyAlignment="1">
      <alignment wrapText="1"/>
    </xf>
    <xf numFmtId="0" fontId="12" fillId="0" borderId="0" xfId="0" applyFont="1"/>
    <xf numFmtId="0" fontId="11" fillId="0" borderId="0" xfId="0" applyFont="1"/>
    <xf numFmtId="0" fontId="0" fillId="0" borderId="14" xfId="0" applyBorder="1"/>
    <xf numFmtId="0" fontId="0" fillId="6" borderId="0" xfId="0" applyFill="1"/>
    <xf numFmtId="0" fontId="10" fillId="0" borderId="13" xfId="0" applyFont="1" applyBorder="1"/>
    <xf numFmtId="0" fontId="13" fillId="0" borderId="13" xfId="0" applyFont="1" applyBorder="1"/>
    <xf numFmtId="14" fontId="11" fillId="0" borderId="0" xfId="0" applyNumberFormat="1" applyFont="1"/>
    <xf numFmtId="0" fontId="14" fillId="0" borderId="13" xfId="0" applyFont="1" applyBorder="1"/>
    <xf numFmtId="0" fontId="12" fillId="0" borderId="13" xfId="0" applyFont="1" applyBorder="1"/>
    <xf numFmtId="0" fontId="0" fillId="0" borderId="13" xfId="0" applyBorder="1"/>
    <xf numFmtId="0" fontId="12" fillId="0" borderId="13" xfId="0" applyFont="1" applyBorder="1" applyAlignment="1">
      <alignment vertical="top" wrapText="1"/>
    </xf>
    <xf numFmtId="0" fontId="12" fillId="0" borderId="15" xfId="0" applyFont="1" applyBorder="1" applyAlignment="1">
      <alignment vertical="top"/>
    </xf>
    <xf numFmtId="0" fontId="0" fillId="0" borderId="0" xfId="0" applyAlignment="1">
      <alignment horizontal="center"/>
    </xf>
    <xf numFmtId="0" fontId="9" fillId="0" borderId="0" xfId="2" applyAlignment="1" applyProtection="1"/>
    <xf numFmtId="0" fontId="5" fillId="4" borderId="5" xfId="0" applyFont="1" applyFill="1" applyBorder="1" applyAlignment="1">
      <alignment horizontal="right" wrapText="1"/>
    </xf>
    <xf numFmtId="0" fontId="3" fillId="7" borderId="1" xfId="1" applyFont="1" applyFill="1" applyBorder="1" applyAlignment="1">
      <alignment horizontal="left" vertical="center" wrapText="1"/>
    </xf>
    <xf numFmtId="0" fontId="4" fillId="0" borderId="1" xfId="1" applyFont="1" applyBorder="1" applyAlignment="1">
      <alignment horizontal="left" vertical="center" wrapText="1"/>
    </xf>
    <xf numFmtId="0" fontId="3" fillId="2"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6" fillId="0" borderId="0" xfId="0" applyFont="1" applyAlignment="1">
      <alignment vertical="center"/>
    </xf>
    <xf numFmtId="0" fontId="2" fillId="0" borderId="1" xfId="0" applyFont="1" applyBorder="1" applyAlignment="1">
      <alignment vertical="center" wrapText="1"/>
    </xf>
    <xf numFmtId="0" fontId="2" fillId="0" borderId="1" xfId="0" applyFont="1" applyBorder="1" applyAlignment="1">
      <alignment horizontal="center" vertical="center" wrapText="1"/>
    </xf>
    <xf numFmtId="0" fontId="0" fillId="0" borderId="0" xfId="0" applyAlignment="1">
      <alignment vertical="center"/>
    </xf>
    <xf numFmtId="0" fontId="16" fillId="0" borderId="1" xfId="0" applyFont="1" applyBorder="1" applyAlignment="1">
      <alignment vertical="center" wrapText="1"/>
    </xf>
    <xf numFmtId="0" fontId="0" fillId="0" borderId="0" xfId="0" applyAlignment="1">
      <alignment horizontal="center" vertical="center"/>
    </xf>
    <xf numFmtId="0" fontId="18" fillId="0" borderId="1" xfId="0" applyFont="1" applyBorder="1" applyAlignment="1">
      <alignment vertical="center" wrapText="1"/>
    </xf>
    <xf numFmtId="0" fontId="17" fillId="0" borderId="1" xfId="0" applyFont="1" applyBorder="1" applyAlignment="1">
      <alignment horizontal="justify" vertical="center" wrapText="1"/>
    </xf>
    <xf numFmtId="0" fontId="18" fillId="0" borderId="1" xfId="0" applyFont="1" applyBorder="1" applyAlignment="1">
      <alignment horizontal="justify" vertical="center" wrapText="1"/>
    </xf>
    <xf numFmtId="0" fontId="3" fillId="7" borderId="1" xfId="0" applyFont="1" applyFill="1" applyBorder="1" applyAlignment="1">
      <alignment wrapText="1"/>
    </xf>
    <xf numFmtId="0" fontId="3" fillId="0" borderId="0" xfId="0" applyFont="1"/>
    <xf numFmtId="0" fontId="3" fillId="0" borderId="1" xfId="1" applyFont="1" applyBorder="1" applyAlignment="1">
      <alignment horizontal="left" vertical="center" wrapText="1"/>
    </xf>
    <xf numFmtId="0" fontId="21" fillId="0" borderId="1" xfId="0" applyFont="1" applyBorder="1"/>
    <xf numFmtId="0" fontId="3" fillId="0" borderId="1" xfId="1" quotePrefix="1" applyFont="1" applyBorder="1" applyAlignment="1">
      <alignment vertical="center" wrapText="1"/>
    </xf>
    <xf numFmtId="0" fontId="4" fillId="8" borderId="20" xfId="0" applyFont="1" applyFill="1" applyBorder="1" applyAlignment="1">
      <alignment horizontal="center" vertical="center" wrapText="1"/>
    </xf>
    <xf numFmtId="0" fontId="4" fillId="9" borderId="20" xfId="0" applyFont="1" applyFill="1" applyBorder="1" applyAlignment="1">
      <alignment horizontal="center" vertical="center" wrapText="1"/>
    </xf>
    <xf numFmtId="0" fontId="3" fillId="0" borderId="1" xfId="0" applyFont="1" applyBorder="1" applyAlignment="1">
      <alignment wrapText="1"/>
    </xf>
    <xf numFmtId="0" fontId="16" fillId="0" borderId="1" xfId="0" applyFont="1" applyBorder="1" applyAlignment="1">
      <alignment horizontal="center" vertical="center" wrapText="1"/>
    </xf>
    <xf numFmtId="0" fontId="21" fillId="0" borderId="1" xfId="0" applyFont="1" applyBorder="1" applyAlignment="1">
      <alignment horizontal="left" vertical="center"/>
    </xf>
    <xf numFmtId="0" fontId="3" fillId="0" borderId="1" xfId="0" applyFont="1" applyBorder="1"/>
    <xf numFmtId="0" fontId="3" fillId="0" borderId="1" xfId="0" applyFont="1" applyBorder="1" applyAlignment="1">
      <alignment horizontal="center" vertical="center" wrapText="1"/>
    </xf>
    <xf numFmtId="0" fontId="3" fillId="7" borderId="1" xfId="0" applyFont="1" applyFill="1" applyBorder="1" applyAlignment="1">
      <alignment horizontal="center" vertical="center" wrapText="1"/>
    </xf>
    <xf numFmtId="0" fontId="3" fillId="7" borderId="0" xfId="0" applyFont="1" applyFill="1" applyAlignment="1">
      <alignment vertical="center"/>
    </xf>
    <xf numFmtId="0" fontId="3" fillId="7" borderId="1" xfId="0" applyFont="1" applyFill="1" applyBorder="1"/>
    <xf numFmtId="0" fontId="3" fillId="7" borderId="0" xfId="0" applyFont="1" applyFill="1"/>
    <xf numFmtId="0" fontId="3" fillId="7" borderId="1" xfId="0" applyFont="1" applyFill="1" applyBorder="1" applyAlignment="1">
      <alignment vertical="top"/>
    </xf>
    <xf numFmtId="0" fontId="3" fillId="7" borderId="1" xfId="0" applyFont="1" applyFill="1" applyBorder="1" applyAlignment="1">
      <alignment horizontal="center" vertical="top" wrapText="1"/>
    </xf>
    <xf numFmtId="0" fontId="3" fillId="0" borderId="0" xfId="0" applyFont="1" applyAlignment="1">
      <alignment wrapText="1"/>
    </xf>
    <xf numFmtId="0" fontId="3" fillId="0" borderId="0" xfId="0" applyFont="1" applyAlignment="1">
      <alignment horizontal="center" vertical="center" wrapText="1"/>
    </xf>
    <xf numFmtId="17" fontId="0" fillId="0" borderId="1" xfId="0" applyNumberFormat="1" applyBorder="1" applyAlignment="1">
      <alignment horizontal="center" vertical="center"/>
    </xf>
    <xf numFmtId="0" fontId="28" fillId="0" borderId="1" xfId="0" applyFont="1" applyBorder="1" applyAlignment="1">
      <alignment vertical="center" wrapText="1"/>
    </xf>
    <xf numFmtId="0" fontId="3" fillId="10" borderId="1" xfId="0" applyFont="1" applyFill="1" applyBorder="1" applyAlignment="1">
      <alignment horizontal="center" vertical="center" wrapText="1"/>
    </xf>
    <xf numFmtId="0" fontId="31" fillId="0" borderId="0" xfId="0" applyFont="1" applyAlignment="1">
      <alignment horizontal="center" vertical="center"/>
    </xf>
    <xf numFmtId="0" fontId="32" fillId="0" borderId="0" xfId="0" applyFont="1" applyAlignment="1">
      <alignment horizontal="center" vertical="center"/>
    </xf>
    <xf numFmtId="0" fontId="7" fillId="0" borderId="1" xfId="0" applyFont="1" applyBorder="1" applyAlignment="1">
      <alignment horizontal="center" vertical="center" wrapText="1"/>
    </xf>
    <xf numFmtId="0" fontId="16" fillId="0" borderId="1" xfId="0" applyFont="1" applyBorder="1" applyAlignment="1">
      <alignment wrapText="1"/>
    </xf>
    <xf numFmtId="0" fontId="16" fillId="0" borderId="1" xfId="0" applyFont="1" applyBorder="1" applyAlignment="1">
      <alignment horizontal="left" vertical="center" wrapText="1"/>
    </xf>
    <xf numFmtId="0" fontId="3" fillId="0" borderId="1" xfId="0" applyFont="1" applyBorder="1" applyAlignment="1">
      <alignment vertical="center"/>
    </xf>
    <xf numFmtId="17" fontId="0" fillId="0" borderId="7" xfId="0" applyNumberFormat="1" applyBorder="1" applyAlignment="1">
      <alignment horizontal="center" vertical="center"/>
    </xf>
    <xf numFmtId="0" fontId="0" fillId="0" borderId="9" xfId="0" applyBorder="1" applyAlignment="1">
      <alignment vertical="center" wrapText="1"/>
    </xf>
    <xf numFmtId="0" fontId="0" fillId="0" borderId="9" xfId="0" applyBorder="1" applyAlignment="1">
      <alignment horizontal="left" vertical="center" wrapText="1"/>
    </xf>
    <xf numFmtId="0" fontId="0" fillId="0" borderId="9" xfId="0" applyBorder="1" applyAlignment="1">
      <alignment wrapText="1"/>
    </xf>
    <xf numFmtId="17" fontId="0" fillId="0" borderId="24" xfId="0" applyNumberFormat="1" applyBorder="1" applyAlignment="1">
      <alignment horizontal="center" vertical="center"/>
    </xf>
    <xf numFmtId="17" fontId="0" fillId="0" borderId="25" xfId="0" applyNumberFormat="1" applyBorder="1" applyAlignment="1">
      <alignment horizontal="center" vertical="center"/>
    </xf>
    <xf numFmtId="0" fontId="0" fillId="0" borderId="26" xfId="0" applyBorder="1" applyAlignment="1">
      <alignment wrapText="1"/>
    </xf>
    <xf numFmtId="0" fontId="0" fillId="4" borderId="4" xfId="0" applyFill="1" applyBorder="1" applyAlignment="1">
      <alignment horizontal="center" vertical="center" wrapText="1"/>
    </xf>
    <xf numFmtId="17" fontId="0" fillId="4" borderId="27" xfId="0" applyNumberFormat="1" applyFill="1" applyBorder="1" applyAlignment="1">
      <alignment horizontal="center" vertical="center"/>
    </xf>
    <xf numFmtId="0" fontId="0" fillId="4" borderId="28" xfId="0" applyFill="1" applyBorder="1" applyAlignment="1">
      <alignment horizontal="center" vertical="center" wrapText="1"/>
    </xf>
    <xf numFmtId="17" fontId="0" fillId="0" borderId="29" xfId="0" applyNumberFormat="1" applyBorder="1" applyAlignment="1">
      <alignment horizontal="center" vertical="center"/>
    </xf>
    <xf numFmtId="17" fontId="0" fillId="0" borderId="22" xfId="0" applyNumberFormat="1" applyBorder="1" applyAlignment="1">
      <alignment horizontal="center" vertical="center"/>
    </xf>
    <xf numFmtId="0" fontId="0" fillId="0" borderId="23" xfId="0" applyBorder="1" applyAlignment="1">
      <alignment vertical="center" wrapText="1"/>
    </xf>
    <xf numFmtId="0" fontId="35" fillId="0" borderId="0" xfId="0" applyFont="1" applyAlignment="1">
      <alignment horizontal="center" vertical="center"/>
    </xf>
    <xf numFmtId="0" fontId="36" fillId="0" borderId="0" xfId="0" applyFont="1" applyAlignment="1">
      <alignment horizontal="center" vertical="center"/>
    </xf>
    <xf numFmtId="0" fontId="36" fillId="11" borderId="1" xfId="0" applyFont="1" applyFill="1" applyBorder="1" applyAlignment="1">
      <alignment horizontal="center" vertical="center" wrapText="1"/>
    </xf>
    <xf numFmtId="0" fontId="36" fillId="3" borderId="1" xfId="0" applyFont="1" applyFill="1" applyBorder="1" applyAlignment="1">
      <alignment horizontal="center" vertical="center" wrapText="1"/>
    </xf>
    <xf numFmtId="0" fontId="37" fillId="8" borderId="20" xfId="0" applyFont="1" applyFill="1" applyBorder="1" applyAlignment="1">
      <alignment horizontal="center" vertical="center" wrapText="1"/>
    </xf>
    <xf numFmtId="0" fontId="37" fillId="9" borderId="20" xfId="0" applyFont="1" applyFill="1" applyBorder="1" applyAlignment="1">
      <alignment horizontal="center" vertical="center" wrapText="1"/>
    </xf>
    <xf numFmtId="0" fontId="36" fillId="0" borderId="1" xfId="0" applyFont="1" applyBorder="1" applyAlignment="1">
      <alignment horizontal="center" vertical="center" wrapText="1"/>
    </xf>
    <xf numFmtId="0" fontId="38" fillId="0" borderId="1" xfId="0" applyFont="1" applyBorder="1" applyAlignment="1">
      <alignment horizontal="center" vertical="center" wrapText="1"/>
    </xf>
    <xf numFmtId="0" fontId="39" fillId="0" borderId="1" xfId="0" applyFont="1" applyBorder="1" applyAlignment="1">
      <alignment horizontal="center" vertical="center"/>
    </xf>
    <xf numFmtId="0" fontId="36" fillId="0" borderId="1" xfId="0" applyFont="1" applyBorder="1" applyAlignment="1" applyProtection="1">
      <alignment horizontal="center" vertical="center" wrapText="1"/>
      <protection locked="0"/>
    </xf>
    <xf numFmtId="0" fontId="36" fillId="7" borderId="1" xfId="0" applyFont="1" applyFill="1" applyBorder="1" applyAlignment="1" applyProtection="1">
      <alignment horizontal="center" vertical="center" wrapText="1"/>
      <protection locked="0"/>
    </xf>
    <xf numFmtId="0" fontId="38" fillId="0" borderId="1" xfId="0" applyFont="1" applyBorder="1" applyAlignment="1">
      <alignment horizontal="center" vertical="center"/>
    </xf>
    <xf numFmtId="0" fontId="38" fillId="0" borderId="18" xfId="0" applyFont="1" applyBorder="1" applyAlignment="1">
      <alignment horizontal="center" vertical="center"/>
    </xf>
    <xf numFmtId="0" fontId="35" fillId="0" borderId="1" xfId="0" applyFont="1" applyBorder="1" applyAlignment="1">
      <alignment horizontal="center" vertical="center"/>
    </xf>
    <xf numFmtId="0" fontId="3" fillId="0" borderId="0" xfId="0" applyFont="1" applyAlignment="1">
      <alignment horizontal="left" vertical="top" wrapText="1"/>
    </xf>
    <xf numFmtId="0" fontId="43" fillId="12" borderId="1" xfId="3" applyFont="1" applyFill="1" applyBorder="1" applyAlignment="1">
      <alignment horizontal="center" vertical="center" wrapText="1"/>
    </xf>
    <xf numFmtId="0" fontId="3" fillId="0" borderId="1" xfId="0" applyFont="1" applyBorder="1" applyAlignment="1">
      <alignment horizontal="left" vertical="top" wrapText="1"/>
    </xf>
    <xf numFmtId="0" fontId="3" fillId="0" borderId="1" xfId="1" applyFont="1" applyBorder="1" applyAlignment="1">
      <alignment horizontal="left" vertical="top" wrapText="1"/>
    </xf>
    <xf numFmtId="0" fontId="16" fillId="0" borderId="1" xfId="0" applyFont="1" applyBorder="1" applyAlignment="1">
      <alignment horizontal="left" vertical="top" wrapText="1"/>
    </xf>
    <xf numFmtId="0" fontId="1" fillId="6" borderId="0" xfId="38" applyFill="1"/>
    <xf numFmtId="0" fontId="1" fillId="7" borderId="0" xfId="38" applyFill="1" applyProtection="1">
      <protection locked="0"/>
    </xf>
    <xf numFmtId="0" fontId="46" fillId="15" borderId="0" xfId="38" applyFont="1" applyFill="1" applyAlignment="1" applyProtection="1">
      <alignment horizontal="justify"/>
      <protection locked="0"/>
    </xf>
    <xf numFmtId="0" fontId="47" fillId="15" borderId="0" xfId="38" applyFont="1" applyFill="1" applyProtection="1">
      <protection locked="0"/>
    </xf>
    <xf numFmtId="0" fontId="1" fillId="15" borderId="0" xfId="38" applyFill="1" applyProtection="1">
      <protection locked="0"/>
    </xf>
    <xf numFmtId="0" fontId="48" fillId="15" borderId="0" xfId="38" applyFont="1" applyFill="1" applyProtection="1">
      <protection locked="0"/>
    </xf>
    <xf numFmtId="0" fontId="49" fillId="15" borderId="0" xfId="38" applyFont="1" applyFill="1" applyProtection="1">
      <protection locked="0"/>
    </xf>
    <xf numFmtId="0" fontId="46" fillId="16" borderId="0" xfId="38" applyFont="1" applyFill="1"/>
    <xf numFmtId="0" fontId="50" fillId="15" borderId="0" xfId="38" applyFont="1" applyFill="1" applyProtection="1">
      <protection locked="0"/>
    </xf>
    <xf numFmtId="0" fontId="51" fillId="15" borderId="0" xfId="38" applyFont="1" applyFill="1" applyProtection="1">
      <protection locked="0"/>
    </xf>
    <xf numFmtId="0" fontId="52" fillId="15" borderId="0" xfId="38" applyFont="1" applyFill="1"/>
    <xf numFmtId="0" fontId="43" fillId="15" borderId="0" xfId="38" applyFont="1" applyFill="1" applyAlignment="1" applyProtection="1">
      <alignment horizontal="justify"/>
      <protection locked="0"/>
    </xf>
    <xf numFmtId="0" fontId="1" fillId="15" borderId="0" xfId="38" applyFill="1" applyAlignment="1" applyProtection="1">
      <alignment horizontal="justify"/>
      <protection locked="0"/>
    </xf>
    <xf numFmtId="0" fontId="1" fillId="15" borderId="4" xfId="38" applyFill="1" applyBorder="1" applyAlignment="1" applyProtection="1">
      <alignment horizontal="justify"/>
      <protection locked="0"/>
    </xf>
    <xf numFmtId="0" fontId="46" fillId="15" borderId="30" xfId="38" applyFont="1" applyFill="1" applyBorder="1" applyAlignment="1" applyProtection="1">
      <alignment vertical="center"/>
      <protection locked="0"/>
    </xf>
    <xf numFmtId="0" fontId="1" fillId="15" borderId="30" xfId="38" applyFill="1" applyBorder="1" applyProtection="1">
      <protection locked="0"/>
    </xf>
    <xf numFmtId="0" fontId="1" fillId="15" borderId="5" xfId="38" applyFill="1" applyBorder="1" applyProtection="1">
      <protection locked="0"/>
    </xf>
    <xf numFmtId="0" fontId="1" fillId="15" borderId="6" xfId="38" applyFill="1" applyBorder="1" applyAlignment="1" applyProtection="1">
      <alignment horizontal="justify"/>
      <protection locked="0"/>
    </xf>
    <xf numFmtId="0" fontId="46" fillId="15" borderId="0" xfId="38" applyFont="1" applyFill="1" applyAlignment="1" applyProtection="1">
      <alignment vertical="center"/>
      <protection locked="0"/>
    </xf>
    <xf numFmtId="0" fontId="1" fillId="15" borderId="3" xfId="38" applyFill="1" applyBorder="1" applyProtection="1">
      <protection locked="0"/>
    </xf>
    <xf numFmtId="0" fontId="1" fillId="15" borderId="6" xfId="38" applyFill="1" applyBorder="1" applyProtection="1">
      <protection locked="0"/>
    </xf>
    <xf numFmtId="0" fontId="1" fillId="15" borderId="8" xfId="38" applyFill="1" applyBorder="1" applyProtection="1">
      <protection locked="0"/>
    </xf>
    <xf numFmtId="0" fontId="1" fillId="15" borderId="31" xfId="38" applyFill="1" applyBorder="1" applyAlignment="1" applyProtection="1">
      <alignment vertical="center"/>
      <protection locked="0"/>
    </xf>
    <xf numFmtId="0" fontId="1" fillId="15" borderId="31" xfId="38" applyFill="1" applyBorder="1" applyProtection="1">
      <protection locked="0"/>
    </xf>
    <xf numFmtId="0" fontId="1" fillId="15" borderId="2" xfId="38" applyFill="1" applyBorder="1" applyProtection="1">
      <protection locked="0"/>
    </xf>
    <xf numFmtId="0" fontId="42" fillId="15" borderId="0" xfId="38" applyFont="1" applyFill="1" applyAlignment="1" applyProtection="1">
      <alignment horizontal="center" vertical="center" wrapText="1"/>
      <protection locked="0"/>
    </xf>
    <xf numFmtId="0" fontId="54" fillId="15" borderId="0" xfId="38" applyFont="1" applyFill="1" applyAlignment="1" applyProtection="1">
      <alignment horizontal="left"/>
      <protection locked="0"/>
    </xf>
    <xf numFmtId="0" fontId="55" fillId="15" borderId="0" xfId="38" applyFont="1" applyFill="1" applyAlignment="1" applyProtection="1">
      <alignment horizontal="left"/>
      <protection locked="0"/>
    </xf>
    <xf numFmtId="0" fontId="56" fillId="15" borderId="0" xfId="38" applyFont="1" applyFill="1" applyProtection="1">
      <protection locked="0"/>
    </xf>
    <xf numFmtId="0" fontId="43" fillId="6" borderId="1" xfId="38" applyFont="1" applyFill="1" applyBorder="1" applyAlignment="1" applyProtection="1">
      <alignment horizontal="center"/>
      <protection locked="0"/>
    </xf>
    <xf numFmtId="0" fontId="57" fillId="13" borderId="1" xfId="38" applyFont="1" applyFill="1" applyBorder="1" applyAlignment="1" applyProtection="1">
      <alignment horizontal="center"/>
      <protection locked="0"/>
    </xf>
    <xf numFmtId="0" fontId="57" fillId="13" borderId="19" xfId="38" applyFont="1" applyFill="1" applyBorder="1" applyAlignment="1" applyProtection="1">
      <alignment horizontal="center"/>
      <protection locked="0"/>
    </xf>
    <xf numFmtId="0" fontId="56" fillId="13" borderId="21" xfId="38" applyFont="1" applyFill="1" applyBorder="1" applyProtection="1">
      <protection locked="0"/>
    </xf>
    <xf numFmtId="0" fontId="56" fillId="13" borderId="18" xfId="38" applyFont="1" applyFill="1" applyBorder="1" applyProtection="1">
      <protection locked="0"/>
    </xf>
    <xf numFmtId="0" fontId="56" fillId="13" borderId="1" xfId="38" applyFont="1" applyFill="1" applyBorder="1" applyAlignment="1" applyProtection="1">
      <alignment horizontal="center" vertical="center"/>
      <protection locked="0"/>
    </xf>
    <xf numFmtId="49" fontId="56" fillId="13" borderId="1" xfId="38" applyNumberFormat="1" applyFont="1" applyFill="1" applyBorder="1" applyAlignment="1" applyProtection="1">
      <alignment horizontal="center" vertical="center"/>
      <protection locked="0"/>
    </xf>
    <xf numFmtId="0" fontId="1" fillId="7" borderId="1" xfId="38" applyFill="1" applyBorder="1" applyAlignment="1" applyProtection="1">
      <alignment horizontal="center" vertical="center"/>
      <protection locked="0"/>
    </xf>
    <xf numFmtId="49" fontId="1" fillId="7" borderId="1" xfId="38" applyNumberFormat="1" applyFill="1" applyBorder="1" applyAlignment="1" applyProtection="1">
      <alignment horizontal="center" vertical="center"/>
      <protection locked="0"/>
    </xf>
    <xf numFmtId="0" fontId="1" fillId="7" borderId="19" xfId="38" applyFill="1" applyBorder="1" applyAlignment="1" applyProtection="1">
      <alignment vertical="center" wrapText="1"/>
      <protection locked="0"/>
    </xf>
    <xf numFmtId="0" fontId="1" fillId="7" borderId="21" xfId="38" applyFill="1" applyBorder="1" applyAlignment="1" applyProtection="1">
      <alignment vertical="center" wrapText="1"/>
      <protection locked="0"/>
    </xf>
    <xf numFmtId="0" fontId="1" fillId="7" borderId="18" xfId="38" applyFill="1" applyBorder="1" applyAlignment="1" applyProtection="1">
      <alignment vertical="center" wrapText="1"/>
      <protection locked="0"/>
    </xf>
    <xf numFmtId="0" fontId="58" fillId="7" borderId="0" xfId="38" applyFont="1" applyFill="1" applyAlignment="1" applyProtection="1">
      <alignment horizontal="center" vertical="center"/>
      <protection locked="0"/>
    </xf>
    <xf numFmtId="49" fontId="58" fillId="7" borderId="0" xfId="38" applyNumberFormat="1" applyFont="1" applyFill="1" applyAlignment="1" applyProtection="1">
      <alignment horizontal="center" vertical="center"/>
      <protection locked="0"/>
    </xf>
    <xf numFmtId="0" fontId="58" fillId="7" borderId="0" xfId="38" applyFont="1" applyFill="1" applyAlignment="1" applyProtection="1">
      <alignment vertical="center" wrapText="1"/>
      <protection locked="0"/>
    </xf>
    <xf numFmtId="0" fontId="1" fillId="7" borderId="0" xfId="38" applyFill="1" applyAlignment="1" applyProtection="1">
      <alignment vertical="center" wrapText="1"/>
      <protection locked="0"/>
    </xf>
    <xf numFmtId="0" fontId="56" fillId="7" borderId="0" xfId="38" applyFont="1" applyFill="1" applyAlignment="1" applyProtection="1">
      <alignment horizontal="left" vertical="center"/>
      <protection locked="0"/>
    </xf>
    <xf numFmtId="0" fontId="1" fillId="7" borderId="0" xfId="39" quotePrefix="1" applyFill="1" applyAlignment="1" applyProtection="1">
      <alignment vertical="top" wrapText="1"/>
      <protection locked="0"/>
    </xf>
    <xf numFmtId="0" fontId="1" fillId="7" borderId="0" xfId="39" applyFill="1" applyAlignment="1" applyProtection="1">
      <alignment vertical="top" wrapText="1"/>
      <protection locked="0"/>
    </xf>
    <xf numFmtId="0" fontId="1" fillId="7" borderId="0" xfId="39" applyFill="1" applyAlignment="1" applyProtection="1">
      <alignment horizontal="center" vertical="center"/>
      <protection locked="0"/>
    </xf>
    <xf numFmtId="49" fontId="1" fillId="7" borderId="0" xfId="39" applyNumberFormat="1" applyFill="1" applyAlignment="1" applyProtection="1">
      <alignment horizontal="center" vertical="center"/>
      <protection locked="0"/>
    </xf>
    <xf numFmtId="0" fontId="1" fillId="6" borderId="0" xfId="38" applyFill="1" applyProtection="1">
      <protection locked="0"/>
    </xf>
    <xf numFmtId="0" fontId="16" fillId="0" borderId="1" xfId="1" applyFont="1" applyBorder="1" applyAlignment="1">
      <alignment horizontal="left" vertical="center" wrapText="1"/>
    </xf>
    <xf numFmtId="0" fontId="33" fillId="0" borderId="1" xfId="1" applyFont="1" applyBorder="1" applyAlignment="1">
      <alignment horizontal="left" vertical="center" wrapText="1"/>
    </xf>
    <xf numFmtId="0" fontId="59" fillId="7" borderId="1" xfId="0" applyFont="1" applyFill="1" applyBorder="1" applyAlignment="1">
      <alignment horizontal="center" vertical="top" wrapText="1"/>
    </xf>
    <xf numFmtId="0" fontId="59" fillId="0" borderId="1" xfId="0" applyFont="1" applyBorder="1" applyAlignment="1">
      <alignment horizontal="center" vertical="top" wrapText="1"/>
    </xf>
    <xf numFmtId="0" fontId="4"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59" fillId="7" borderId="1" xfId="0" applyFont="1" applyFill="1" applyBorder="1" applyAlignment="1">
      <alignment horizontal="center" vertical="center" wrapText="1"/>
    </xf>
    <xf numFmtId="0" fontId="59" fillId="0" borderId="1" xfId="0" applyFont="1" applyBorder="1" applyAlignment="1">
      <alignment horizontal="center" vertical="center" wrapText="1"/>
    </xf>
    <xf numFmtId="0" fontId="3" fillId="7" borderId="1" xfId="1" applyFont="1" applyFill="1" applyBorder="1" applyAlignment="1">
      <alignment horizontal="left" vertical="top" wrapText="1"/>
    </xf>
    <xf numFmtId="0" fontId="3" fillId="0" borderId="0" xfId="0" applyFont="1" applyAlignment="1">
      <alignment horizontal="center" vertical="center"/>
    </xf>
    <xf numFmtId="0" fontId="3" fillId="17" borderId="1" xfId="0" applyFont="1" applyFill="1" applyBorder="1" applyAlignment="1">
      <alignment horizontal="center" vertical="center" wrapText="1"/>
    </xf>
    <xf numFmtId="0" fontId="60" fillId="0" borderId="1" xfId="0" applyFont="1" applyBorder="1" applyAlignment="1">
      <alignment horizontal="center" vertical="center"/>
    </xf>
    <xf numFmtId="0" fontId="4" fillId="0" borderId="0" xfId="0" applyFont="1" applyAlignment="1">
      <alignment horizontal="center" vertical="center"/>
    </xf>
    <xf numFmtId="0" fontId="3" fillId="18" borderId="1" xfId="0" applyFont="1" applyFill="1" applyBorder="1" applyAlignment="1">
      <alignment horizontal="center" vertical="center" wrapText="1"/>
    </xf>
    <xf numFmtId="0" fontId="61" fillId="4" borderId="4" xfId="0" applyFont="1" applyFill="1" applyBorder="1"/>
    <xf numFmtId="0" fontId="31" fillId="4" borderId="5" xfId="0" applyFont="1" applyFill="1" applyBorder="1" applyAlignment="1">
      <alignment horizontal="center" wrapText="1"/>
    </xf>
    <xf numFmtId="0" fontId="61" fillId="0" borderId="6" xfId="0" applyFont="1" applyBorder="1"/>
    <xf numFmtId="0" fontId="61" fillId="0" borderId="3" xfId="0" applyFont="1" applyBorder="1"/>
    <xf numFmtId="0" fontId="61" fillId="0" borderId="3" xfId="0" applyFont="1" applyBorder="1" applyAlignment="1">
      <alignment wrapText="1"/>
    </xf>
    <xf numFmtId="0" fontId="61" fillId="0" borderId="8" xfId="0" applyFont="1" applyBorder="1"/>
    <xf numFmtId="0" fontId="61" fillId="0" borderId="2" xfId="0" applyFont="1" applyBorder="1" applyAlignment="1">
      <alignment wrapText="1"/>
    </xf>
    <xf numFmtId="0" fontId="31" fillId="5" borderId="4" xfId="0" applyFont="1" applyFill="1" applyBorder="1"/>
    <xf numFmtId="0" fontId="61" fillId="5" borderId="5" xfId="0" applyFont="1" applyFill="1" applyBorder="1"/>
    <xf numFmtId="0" fontId="31" fillId="0" borderId="3" xfId="0" applyFont="1" applyBorder="1" applyAlignment="1">
      <alignment vertical="center" wrapText="1"/>
    </xf>
    <xf numFmtId="0" fontId="61" fillId="0" borderId="3" xfId="0" applyFont="1" applyBorder="1" applyAlignment="1">
      <alignment vertical="center" wrapText="1"/>
    </xf>
    <xf numFmtId="0" fontId="61" fillId="0" borderId="0" xfId="0" applyFont="1"/>
    <xf numFmtId="0" fontId="62" fillId="0" borderId="3" xfId="0" applyFont="1" applyBorder="1" applyAlignment="1">
      <alignment wrapText="1"/>
    </xf>
    <xf numFmtId="0" fontId="63" fillId="0" borderId="3" xfId="0" applyFont="1" applyBorder="1" applyAlignment="1">
      <alignment wrapText="1"/>
    </xf>
    <xf numFmtId="0" fontId="64" fillId="20" borderId="32" xfId="0" applyFont="1" applyFill="1" applyBorder="1" applyAlignment="1">
      <alignment horizontal="center" vertical="center" wrapText="1"/>
    </xf>
    <xf numFmtId="0" fontId="64" fillId="4" borderId="32" xfId="0" applyFont="1" applyFill="1" applyBorder="1" applyAlignment="1">
      <alignment horizontal="center" vertical="center" wrapText="1"/>
    </xf>
    <xf numFmtId="0" fontId="64" fillId="0" borderId="32" xfId="0" applyFont="1" applyBorder="1" applyAlignment="1">
      <alignment horizontal="left" vertical="center" wrapText="1"/>
    </xf>
    <xf numFmtId="0" fontId="21" fillId="0" borderId="1" xfId="0" applyFont="1" applyBorder="1" applyAlignment="1">
      <alignment horizontal="left" vertical="center" wrapText="1"/>
    </xf>
    <xf numFmtId="0" fontId="66" fillId="0" borderId="33" xfId="0" applyFont="1" applyBorder="1" applyAlignment="1">
      <alignment horizontal="left" vertical="center" wrapText="1"/>
    </xf>
    <xf numFmtId="0" fontId="67" fillId="0" borderId="32" xfId="0" applyFont="1" applyBorder="1" applyAlignment="1">
      <alignment horizontal="center" vertical="center" wrapText="1"/>
    </xf>
    <xf numFmtId="0" fontId="68" fillId="0" borderId="32" xfId="0" applyFont="1" applyBorder="1" applyAlignment="1">
      <alignment horizontal="center" vertical="center" wrapText="1"/>
    </xf>
    <xf numFmtId="0" fontId="64" fillId="21" borderId="32" xfId="0" applyFont="1" applyFill="1" applyBorder="1" applyAlignment="1">
      <alignment horizontal="center" vertical="center" wrapText="1"/>
    </xf>
    <xf numFmtId="14" fontId="66" fillId="0" borderId="32" xfId="0" applyNumberFormat="1" applyFont="1" applyBorder="1" applyAlignment="1">
      <alignment horizontal="left" vertical="center" wrapText="1"/>
    </xf>
    <xf numFmtId="0" fontId="66" fillId="0" borderId="32" xfId="0" applyFont="1" applyBorder="1" applyAlignment="1">
      <alignment horizontal="left" vertical="center" wrapText="1"/>
    </xf>
    <xf numFmtId="0" fontId="1" fillId="7" borderId="19" xfId="38" applyFill="1" applyBorder="1" applyAlignment="1" applyProtection="1">
      <alignment vertical="center" wrapText="1"/>
      <protection locked="0"/>
    </xf>
    <xf numFmtId="0" fontId="1" fillId="7" borderId="21" xfId="38" applyFill="1" applyBorder="1" applyAlignment="1" applyProtection="1">
      <alignment vertical="center" wrapText="1"/>
      <protection locked="0"/>
    </xf>
    <xf numFmtId="0" fontId="1" fillId="7" borderId="18" xfId="38" applyFill="1" applyBorder="1" applyAlignment="1" applyProtection="1">
      <alignment vertical="center" wrapText="1"/>
      <protection locked="0"/>
    </xf>
    <xf numFmtId="0" fontId="1" fillId="7" borderId="0" xfId="39" quotePrefix="1" applyFill="1" applyAlignment="1" applyProtection="1">
      <alignment vertical="top" wrapText="1"/>
      <protection locked="0"/>
    </xf>
    <xf numFmtId="0" fontId="1" fillId="7" borderId="0" xfId="39" applyFill="1" applyAlignment="1" applyProtection="1">
      <alignment vertical="top" wrapText="1"/>
      <protection locked="0"/>
    </xf>
    <xf numFmtId="0" fontId="45" fillId="14" borderId="0" xfId="3" applyFont="1" applyFill="1" applyAlignment="1">
      <alignment horizontal="center" vertical="center"/>
    </xf>
    <xf numFmtId="0" fontId="53" fillId="12" borderId="0" xfId="38" applyFont="1" applyFill="1" applyAlignment="1" applyProtection="1">
      <alignment horizontal="center" vertical="center" wrapText="1"/>
      <protection locked="0"/>
    </xf>
    <xf numFmtId="0" fontId="43" fillId="6" borderId="1" xfId="38" applyFont="1" applyFill="1" applyBorder="1" applyAlignment="1" applyProtection="1">
      <alignment horizontal="center"/>
      <protection locked="0"/>
    </xf>
    <xf numFmtId="0" fontId="1" fillId="0" borderId="1" xfId="38" applyBorder="1" applyProtection="1">
      <protection locked="0"/>
    </xf>
    <xf numFmtId="0" fontId="56" fillId="13" borderId="19" xfId="38" applyFont="1" applyFill="1" applyBorder="1" applyAlignment="1" applyProtection="1">
      <alignment vertical="center" wrapText="1"/>
      <protection locked="0"/>
    </xf>
    <xf numFmtId="0" fontId="56" fillId="13" borderId="21" xfId="38" applyFont="1" applyFill="1" applyBorder="1" applyAlignment="1" applyProtection="1">
      <alignment vertical="center" wrapText="1"/>
      <protection locked="0"/>
    </xf>
    <xf numFmtId="0" fontId="56" fillId="13" borderId="18" xfId="38" applyFont="1" applyFill="1" applyBorder="1" applyAlignment="1" applyProtection="1">
      <alignment vertical="center" wrapText="1"/>
      <protection locked="0"/>
    </xf>
    <xf numFmtId="0" fontId="56" fillId="13" borderId="19" xfId="38" applyFont="1" applyFill="1" applyBorder="1" applyAlignment="1" applyProtection="1">
      <alignment vertical="top" wrapText="1"/>
      <protection locked="0"/>
    </xf>
    <xf numFmtId="0" fontId="56" fillId="13" borderId="21" xfId="38" applyFont="1" applyFill="1" applyBorder="1" applyAlignment="1" applyProtection="1">
      <alignment vertical="top" wrapText="1"/>
      <protection locked="0"/>
    </xf>
    <xf numFmtId="0" fontId="56" fillId="13" borderId="18" xfId="38" applyFont="1" applyFill="1" applyBorder="1" applyAlignment="1" applyProtection="1">
      <alignment vertical="top" wrapText="1"/>
      <protection locked="0"/>
    </xf>
    <xf numFmtId="0" fontId="0" fillId="0" borderId="0" xfId="0"/>
    <xf numFmtId="0" fontId="3" fillId="0" borderId="16" xfId="0" applyFont="1" applyBorder="1" applyAlignment="1">
      <alignment horizontal="center" vertical="center"/>
    </xf>
    <xf numFmtId="0" fontId="0" fillId="0" borderId="16" xfId="0" applyBorder="1" applyAlignment="1">
      <alignment horizontal="center" vertical="center"/>
    </xf>
    <xf numFmtId="0" fontId="3" fillId="0" borderId="1" xfId="0" applyFont="1" applyBorder="1" applyAlignment="1">
      <alignment horizontal="center"/>
    </xf>
    <xf numFmtId="0" fontId="42" fillId="12" borderId="19" xfId="3" applyFont="1" applyFill="1" applyBorder="1" applyAlignment="1">
      <alignment horizontal="center" vertical="center"/>
    </xf>
    <xf numFmtId="0" fontId="0" fillId="0" borderId="21" xfId="0" applyBorder="1" applyAlignment="1">
      <alignment horizontal="center" vertical="center"/>
    </xf>
    <xf numFmtId="0" fontId="0" fillId="0" borderId="18" xfId="0" applyBorder="1" applyAlignment="1">
      <alignment horizontal="center" vertical="center"/>
    </xf>
    <xf numFmtId="0" fontId="42" fillId="12" borderId="19" xfId="3" applyFont="1" applyFill="1" applyBorder="1" applyAlignment="1">
      <alignment horizontal="center" vertical="center" wrapText="1"/>
    </xf>
    <xf numFmtId="0" fontId="0" fillId="0" borderId="18" xfId="0" applyBorder="1" applyAlignment="1">
      <alignment horizontal="center" vertical="center" wrapText="1"/>
    </xf>
    <xf numFmtId="0" fontId="4" fillId="2" borderId="19" xfId="0" applyFont="1" applyFill="1" applyBorder="1" applyAlignment="1">
      <alignment horizontal="center" vertical="center" wrapText="1"/>
    </xf>
    <xf numFmtId="0" fontId="4" fillId="2" borderId="21" xfId="0" applyFont="1" applyFill="1" applyBorder="1" applyAlignment="1">
      <alignment horizontal="center" vertical="center" wrapText="1"/>
    </xf>
    <xf numFmtId="0" fontId="4" fillId="2" borderId="18" xfId="0" applyFont="1" applyFill="1" applyBorder="1" applyAlignment="1">
      <alignment horizontal="center" vertical="center" wrapText="1"/>
    </xf>
    <xf numFmtId="0" fontId="4" fillId="8" borderId="19" xfId="0" applyFont="1" applyFill="1" applyBorder="1" applyAlignment="1">
      <alignment horizontal="center" vertical="center" wrapText="1"/>
    </xf>
    <xf numFmtId="0" fontId="4" fillId="8" borderId="21" xfId="0" applyFont="1" applyFill="1" applyBorder="1" applyAlignment="1">
      <alignment horizontal="center" vertical="center" wrapText="1"/>
    </xf>
    <xf numFmtId="0" fontId="4" fillId="9" borderId="19" xfId="0" applyFont="1" applyFill="1" applyBorder="1" applyAlignment="1">
      <alignment horizontal="center" vertical="center" wrapText="1"/>
    </xf>
    <xf numFmtId="0" fontId="4" fillId="9" borderId="21" xfId="0" applyFont="1" applyFill="1" applyBorder="1" applyAlignment="1">
      <alignment horizontal="center" vertical="center" wrapText="1"/>
    </xf>
    <xf numFmtId="0" fontId="4" fillId="9" borderId="18" xfId="0" applyFont="1" applyFill="1" applyBorder="1" applyAlignment="1">
      <alignment horizontal="center" vertical="center" wrapText="1"/>
    </xf>
    <xf numFmtId="0" fontId="3" fillId="18" borderId="19" xfId="0" applyFont="1" applyFill="1" applyBorder="1" applyAlignment="1">
      <alignment horizontal="center" vertical="center"/>
    </xf>
    <xf numFmtId="0" fontId="4" fillId="8" borderId="15" xfId="0" applyFont="1" applyFill="1" applyBorder="1" applyAlignment="1">
      <alignment horizontal="center" vertical="center" wrapText="1"/>
    </xf>
    <xf numFmtId="0" fontId="4" fillId="8" borderId="16" xfId="0" applyFont="1" applyFill="1" applyBorder="1" applyAlignment="1">
      <alignment horizontal="center" vertical="center" wrapText="1"/>
    </xf>
    <xf numFmtId="0" fontId="4" fillId="9" borderId="15" xfId="0" applyFont="1" applyFill="1" applyBorder="1" applyAlignment="1">
      <alignment horizontal="center" vertical="center" wrapText="1"/>
    </xf>
    <xf numFmtId="0" fontId="4" fillId="9" borderId="16" xfId="0" applyFont="1" applyFill="1" applyBorder="1" applyAlignment="1">
      <alignment horizontal="center" vertical="center" wrapText="1"/>
    </xf>
    <xf numFmtId="0" fontId="4" fillId="9" borderId="17" xfId="0" applyFont="1" applyFill="1" applyBorder="1" applyAlignment="1">
      <alignment horizontal="center" vertical="center" wrapText="1"/>
    </xf>
    <xf numFmtId="0" fontId="42" fillId="12" borderId="20" xfId="3" applyFont="1" applyFill="1" applyBorder="1" applyAlignment="1">
      <alignment horizontal="center" vertical="center"/>
    </xf>
    <xf numFmtId="0" fontId="42" fillId="12" borderId="20" xfId="3" applyFont="1" applyFill="1" applyBorder="1" applyAlignment="1">
      <alignment horizontal="center" vertical="center" wrapText="1"/>
    </xf>
    <xf numFmtId="0" fontId="35" fillId="19" borderId="19" xfId="0" applyFont="1" applyFill="1" applyBorder="1" applyAlignment="1">
      <alignment horizontal="center" vertical="center"/>
    </xf>
    <xf numFmtId="0" fontId="0" fillId="19" borderId="21" xfId="0" applyFill="1" applyBorder="1" applyAlignment="1">
      <alignment horizontal="center" vertical="center"/>
    </xf>
    <xf numFmtId="0" fontId="0" fillId="19" borderId="18" xfId="0" applyFill="1" applyBorder="1" applyAlignment="1">
      <alignment horizontal="center" vertical="center"/>
    </xf>
    <xf numFmtId="0" fontId="37" fillId="8" borderId="19" xfId="0" applyFont="1" applyFill="1" applyBorder="1" applyAlignment="1">
      <alignment horizontal="center" vertical="center" wrapText="1"/>
    </xf>
    <xf numFmtId="0" fontId="37" fillId="8" borderId="21" xfId="0" applyFont="1" applyFill="1" applyBorder="1" applyAlignment="1">
      <alignment horizontal="center" vertical="center" wrapText="1"/>
    </xf>
    <xf numFmtId="0" fontId="37" fillId="9" borderId="19" xfId="0" applyFont="1" applyFill="1" applyBorder="1" applyAlignment="1">
      <alignment horizontal="center" vertical="center" wrapText="1"/>
    </xf>
    <xf numFmtId="0" fontId="37" fillId="9" borderId="21" xfId="0" applyFont="1" applyFill="1" applyBorder="1" applyAlignment="1">
      <alignment horizontal="center" vertical="center" wrapText="1"/>
    </xf>
    <xf numFmtId="0" fontId="37" fillId="9" borderId="18" xfId="0" applyFont="1" applyFill="1" applyBorder="1" applyAlignment="1">
      <alignment horizontal="center" vertical="center" wrapText="1"/>
    </xf>
    <xf numFmtId="0" fontId="3" fillId="0" borderId="1" xfId="0" applyFont="1" applyBorder="1" applyAlignment="1">
      <alignment horizontal="center" vertical="center"/>
    </xf>
    <xf numFmtId="0" fontId="0" fillId="0" borderId="0" xfId="0" applyAlignment="1">
      <alignment vertical="top" wrapText="1"/>
    </xf>
    <xf numFmtId="0" fontId="0" fillId="0" borderId="14" xfId="0" applyBorder="1" applyAlignment="1">
      <alignment vertical="top" wrapText="1"/>
    </xf>
    <xf numFmtId="0" fontId="11" fillId="0" borderId="16" xfId="0" applyFont="1" applyBorder="1" applyAlignment="1">
      <alignment vertical="top" wrapText="1"/>
    </xf>
    <xf numFmtId="0" fontId="0" fillId="0" borderId="16" xfId="0" applyBorder="1" applyAlignment="1">
      <alignment vertical="top" wrapText="1"/>
    </xf>
    <xf numFmtId="0" fontId="0" fillId="0" borderId="17" xfId="0" applyBorder="1" applyAlignment="1">
      <alignment vertical="top" wrapText="1"/>
    </xf>
  </cellXfs>
  <cellStyles count="40">
    <cellStyle name="_Planning résultats-Results Plan" xfId="6" xr:uid="{00000000-0005-0000-0000-000000000000}"/>
    <cellStyle name="_Planning résultats-Results Plan 2" xfId="7" xr:uid="{00000000-0005-0000-0000-000001000000}"/>
    <cellStyle name="AutoFormat-Optionen" xfId="8" xr:uid="{00000000-0005-0000-0000-000002000000}"/>
    <cellStyle name="Lien hypertexte" xfId="2" builtinId="8"/>
    <cellStyle name="Lien hypertexte 2" xfId="9" xr:uid="{00000000-0005-0000-0000-000003000000}"/>
    <cellStyle name="Milliers 2" xfId="10" xr:uid="{00000000-0005-0000-0000-000004000000}"/>
    <cellStyle name="Milliers 2 2" xfId="11" xr:uid="{00000000-0005-0000-0000-000005000000}"/>
    <cellStyle name="Milliers 3" xfId="12" xr:uid="{00000000-0005-0000-0000-000006000000}"/>
    <cellStyle name="Milliers 3 2" xfId="13" xr:uid="{00000000-0005-0000-0000-000007000000}"/>
    <cellStyle name="Milliers 4" xfId="14" xr:uid="{00000000-0005-0000-0000-000008000000}"/>
    <cellStyle name="Normal" xfId="0" builtinId="0"/>
    <cellStyle name="Normal 10" xfId="15" xr:uid="{00000000-0005-0000-0000-000009000000}"/>
    <cellStyle name="Normal 12" xfId="39" xr:uid="{00000000-0005-0000-0000-00000A000000}"/>
    <cellStyle name="Normal 2" xfId="3" xr:uid="{00000000-0005-0000-0000-00000B000000}"/>
    <cellStyle name="Normal 2 2" xfId="5" xr:uid="{00000000-0005-0000-0000-00000C000000}"/>
    <cellStyle name="Normal 2 2 2" xfId="16" xr:uid="{00000000-0005-0000-0000-00000D000000}"/>
    <cellStyle name="Normal 3" xfId="4" xr:uid="{00000000-0005-0000-0000-00000E000000}"/>
    <cellStyle name="Normal 3 2" xfId="1" xr:uid="{00000000-0005-0000-0000-00000F000000}"/>
    <cellStyle name="Normal 3 3" xfId="38" xr:uid="{00000000-0005-0000-0000-000010000000}"/>
    <cellStyle name="Normal 4" xfId="17" xr:uid="{00000000-0005-0000-0000-000011000000}"/>
    <cellStyle name="Normal 4 2" xfId="18" xr:uid="{00000000-0005-0000-0000-000012000000}"/>
    <cellStyle name="Normal 5" xfId="19" xr:uid="{00000000-0005-0000-0000-000013000000}"/>
    <cellStyle name="Normal 5 2" xfId="20" xr:uid="{00000000-0005-0000-0000-000014000000}"/>
    <cellStyle name="Normal 5 2 2" xfId="21" xr:uid="{00000000-0005-0000-0000-000015000000}"/>
    <cellStyle name="Normal 5 3" xfId="22" xr:uid="{00000000-0005-0000-0000-000016000000}"/>
    <cellStyle name="Normal 6" xfId="23" xr:uid="{00000000-0005-0000-0000-000017000000}"/>
    <cellStyle name="Normal 6 2" xfId="24" xr:uid="{00000000-0005-0000-0000-000018000000}"/>
    <cellStyle name="Normal 7" xfId="25" xr:uid="{00000000-0005-0000-0000-000019000000}"/>
    <cellStyle name="Normal 8" xfId="26" xr:uid="{00000000-0005-0000-0000-00001A000000}"/>
    <cellStyle name="Normal 9" xfId="27" xr:uid="{00000000-0005-0000-0000-00001B000000}"/>
    <cellStyle name="normální_List1" xfId="28" xr:uid="{00000000-0005-0000-0000-00001C000000}"/>
    <cellStyle name="Pourcentage 2" xfId="29" xr:uid="{00000000-0005-0000-0000-00001D000000}"/>
    <cellStyle name="Pourcentage 2 2" xfId="30" xr:uid="{00000000-0005-0000-0000-00001E000000}"/>
    <cellStyle name="Pourcentage 2 2 2" xfId="31" xr:uid="{00000000-0005-0000-0000-00001F000000}"/>
    <cellStyle name="Pourcentage 2 3" xfId="32" xr:uid="{00000000-0005-0000-0000-000020000000}"/>
    <cellStyle name="Pourcentage 3" xfId="33" xr:uid="{00000000-0005-0000-0000-000021000000}"/>
    <cellStyle name="Style 1" xfId="34" xr:uid="{00000000-0005-0000-0000-000022000000}"/>
    <cellStyle name="Währung [0]_CTFE T56 06.01.2005" xfId="35" xr:uid="{00000000-0005-0000-0000-000023000000}"/>
    <cellStyle name="Währung_CTFE T56 06.01.2005" xfId="36" xr:uid="{00000000-0005-0000-0000-000024000000}"/>
    <cellStyle name="標準_TIS (2)" xfId="37" xr:uid="{00000000-0005-0000-0000-000025000000}"/>
  </cellStyles>
  <dxfs count="78">
    <dxf>
      <fill>
        <patternFill>
          <bgColor rgb="FF00FF00"/>
        </patternFill>
      </fill>
    </dxf>
    <dxf>
      <fill>
        <patternFill>
          <bgColor rgb="FFFFC000"/>
        </patternFill>
      </fill>
    </dxf>
    <dxf>
      <fill>
        <patternFill>
          <bgColor rgb="FFFF0000"/>
        </patternFill>
      </fill>
    </dxf>
    <dxf>
      <fill>
        <patternFill>
          <bgColor theme="0" tint="-0.24994659260841701"/>
        </patternFill>
      </fill>
    </dxf>
    <dxf>
      <fill>
        <patternFill>
          <bgColor rgb="FFFFC000"/>
        </patternFill>
      </fill>
    </dxf>
    <dxf>
      <fill>
        <patternFill>
          <bgColor rgb="FFFF0000"/>
        </patternFill>
      </fill>
    </dxf>
    <dxf>
      <fill>
        <patternFill>
          <bgColor rgb="FF00FF00"/>
        </patternFill>
      </fill>
    </dxf>
    <dxf>
      <fill>
        <patternFill>
          <bgColor rgb="FFFFC000"/>
        </patternFill>
      </fill>
    </dxf>
    <dxf>
      <fill>
        <patternFill>
          <bgColor rgb="FFFF0000"/>
        </patternFill>
      </fill>
    </dxf>
    <dxf>
      <fill>
        <patternFill>
          <bgColor theme="0" tint="-0.24994659260841701"/>
        </patternFill>
      </fill>
    </dxf>
    <dxf>
      <fill>
        <patternFill>
          <bgColor rgb="FFFFC000"/>
        </patternFill>
      </fill>
    </dxf>
    <dxf>
      <fill>
        <patternFill>
          <bgColor rgb="FFFF0000"/>
        </patternFill>
      </fill>
    </dxf>
    <dxf>
      <fill>
        <patternFill>
          <bgColor rgb="FF00FF00"/>
        </patternFill>
      </fill>
    </dxf>
    <dxf>
      <fill>
        <patternFill>
          <bgColor rgb="FFFFC000"/>
        </patternFill>
      </fill>
    </dxf>
    <dxf>
      <fill>
        <patternFill>
          <bgColor rgb="FFFF0000"/>
        </patternFill>
      </fill>
    </dxf>
    <dxf>
      <fill>
        <patternFill>
          <bgColor theme="0" tint="-0.24994659260841701"/>
        </patternFill>
      </fill>
    </dxf>
    <dxf>
      <fill>
        <patternFill>
          <bgColor rgb="FFFFC000"/>
        </patternFill>
      </fill>
    </dxf>
    <dxf>
      <fill>
        <patternFill>
          <bgColor rgb="FFFF0000"/>
        </patternFill>
      </fill>
    </dxf>
    <dxf>
      <fill>
        <patternFill>
          <bgColor rgb="FF00FF00"/>
        </patternFill>
      </fill>
    </dxf>
    <dxf>
      <fill>
        <patternFill>
          <bgColor rgb="FFFFC000"/>
        </patternFill>
      </fill>
    </dxf>
    <dxf>
      <fill>
        <patternFill>
          <bgColor rgb="FFFF0000"/>
        </patternFill>
      </fill>
    </dxf>
    <dxf>
      <fill>
        <patternFill>
          <bgColor theme="0" tint="-0.24994659260841701"/>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00FF00"/>
        </patternFill>
      </fill>
    </dxf>
    <dxf>
      <fill>
        <patternFill>
          <bgColor rgb="FFFFC000"/>
        </patternFill>
      </fill>
    </dxf>
    <dxf>
      <fill>
        <patternFill>
          <bgColor rgb="FFFF0000"/>
        </patternFill>
      </fill>
    </dxf>
    <dxf>
      <fill>
        <patternFill>
          <bgColor theme="0" tint="-0.24994659260841701"/>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00FF00"/>
        </patternFill>
      </fill>
    </dxf>
    <dxf>
      <fill>
        <patternFill>
          <bgColor rgb="FFFFC000"/>
        </patternFill>
      </fill>
    </dxf>
    <dxf>
      <fill>
        <patternFill>
          <bgColor rgb="FFFF0000"/>
        </patternFill>
      </fill>
    </dxf>
    <dxf>
      <fill>
        <patternFill>
          <bgColor theme="0" tint="-0.24994659260841701"/>
        </patternFill>
      </fill>
    </dxf>
    <dxf>
      <fill>
        <patternFill>
          <bgColor rgb="FFFFC000"/>
        </patternFill>
      </fill>
    </dxf>
    <dxf>
      <fill>
        <patternFill>
          <bgColor rgb="FFFF0000"/>
        </patternFill>
      </fill>
    </dxf>
    <dxf>
      <fill>
        <patternFill>
          <bgColor rgb="FF00FF00"/>
        </patternFill>
      </fill>
    </dxf>
    <dxf>
      <fill>
        <patternFill>
          <bgColor rgb="FFFFC000"/>
        </patternFill>
      </fill>
    </dxf>
    <dxf>
      <fill>
        <patternFill>
          <bgColor rgb="FFFF0000"/>
        </patternFill>
      </fill>
    </dxf>
    <dxf>
      <fill>
        <patternFill>
          <bgColor theme="0" tint="-0.24994659260841701"/>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00FF00"/>
        </patternFill>
      </fill>
    </dxf>
    <dxf>
      <fill>
        <patternFill>
          <bgColor rgb="FFFFC000"/>
        </patternFill>
      </fill>
    </dxf>
    <dxf>
      <fill>
        <patternFill>
          <bgColor rgb="FFFF0000"/>
        </patternFill>
      </fill>
    </dxf>
    <dxf>
      <fill>
        <patternFill>
          <bgColor theme="0" tint="-0.24994659260841701"/>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00FF00"/>
        </patternFill>
      </fill>
    </dxf>
    <dxf>
      <fill>
        <patternFill>
          <bgColor rgb="FFFFC000"/>
        </patternFill>
      </fill>
    </dxf>
    <dxf>
      <fill>
        <patternFill>
          <bgColor rgb="FFFF0000"/>
        </patternFill>
      </fill>
    </dxf>
    <dxf>
      <fill>
        <patternFill>
          <bgColor theme="0" tint="-0.24994659260841701"/>
        </patternFill>
      </fill>
    </dxf>
    <dxf>
      <fill>
        <patternFill>
          <bgColor rgb="FFFFC000"/>
        </patternFill>
      </fill>
    </dxf>
    <dxf>
      <fill>
        <patternFill>
          <bgColor rgb="FFFF0000"/>
        </patternFill>
      </fill>
    </dxf>
  </dxfs>
  <tableStyles count="0" defaultTableStyle="TableStyleMedium2" defaultPivotStyle="PivotStyleLight16"/>
  <colors>
    <mruColors>
      <color rgb="FFFFD8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externalLink" Target="externalLinks/externalLink9.xml"/><Relationship Id="rId26" Type="http://schemas.openxmlformats.org/officeDocument/2006/relationships/externalLink" Target="externalLinks/externalLink17.xml"/><Relationship Id="rId3" Type="http://schemas.openxmlformats.org/officeDocument/2006/relationships/worksheet" Target="worksheets/sheet3.xml"/><Relationship Id="rId21" Type="http://schemas.openxmlformats.org/officeDocument/2006/relationships/externalLink" Target="externalLinks/externalLink12.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externalLink" Target="externalLinks/externalLink8.xml"/><Relationship Id="rId25" Type="http://schemas.openxmlformats.org/officeDocument/2006/relationships/externalLink" Target="externalLinks/externalLink16.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7.xml"/><Relationship Id="rId20" Type="http://schemas.openxmlformats.org/officeDocument/2006/relationships/externalLink" Target="externalLinks/externalLink11.xml"/><Relationship Id="rId29" Type="http://schemas.openxmlformats.org/officeDocument/2006/relationships/externalLink" Target="externalLinks/externalLink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openxmlformats.org/officeDocument/2006/relationships/externalLink" Target="externalLinks/externalLink15.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6.xml"/><Relationship Id="rId23" Type="http://schemas.openxmlformats.org/officeDocument/2006/relationships/externalLink" Target="externalLinks/externalLink14.xml"/><Relationship Id="rId28" Type="http://schemas.openxmlformats.org/officeDocument/2006/relationships/externalLink" Target="externalLinks/externalLink19.xml"/><Relationship Id="rId36" Type="http://schemas.openxmlformats.org/officeDocument/2006/relationships/customXml" Target="../customXml/item3.xml"/><Relationship Id="rId10" Type="http://schemas.openxmlformats.org/officeDocument/2006/relationships/externalLink" Target="externalLinks/externalLink1.xml"/><Relationship Id="rId19" Type="http://schemas.openxmlformats.org/officeDocument/2006/relationships/externalLink" Target="externalLinks/externalLink10.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 Id="rId22" Type="http://schemas.openxmlformats.org/officeDocument/2006/relationships/externalLink" Target="externalLinks/externalLink13.xml"/><Relationship Id="rId27" Type="http://schemas.openxmlformats.org/officeDocument/2006/relationships/externalLink" Target="externalLinks/externalLink18.xml"/><Relationship Id="rId30" Type="http://schemas.openxmlformats.org/officeDocument/2006/relationships/theme" Target="theme/theme1.xml"/><Relationship Id="rId35"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0</xdr:col>
      <xdr:colOff>51289</xdr:colOff>
      <xdr:row>0</xdr:row>
      <xdr:rowOff>36635</xdr:rowOff>
    </xdr:from>
    <xdr:to>
      <xdr:col>1</xdr:col>
      <xdr:colOff>996462</xdr:colOff>
      <xdr:row>0</xdr:row>
      <xdr:rowOff>331910</xdr:rowOff>
    </xdr:to>
    <xdr:pic>
      <xdr:nvPicPr>
        <xdr:cNvPr id="2" name="Image 1">
          <a:extLst>
            <a:ext uri="{FF2B5EF4-FFF2-40B4-BE49-F238E27FC236}">
              <a16:creationId xmlns:a16="http://schemas.microsoft.com/office/drawing/2014/main" id="{3BA38009-8155-4C61-BE45-2392A40F13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289" y="36635"/>
          <a:ext cx="123727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1701119</xdr:colOff>
      <xdr:row>1</xdr:row>
      <xdr:rowOff>45697</xdr:rowOff>
    </xdr:from>
    <xdr:to>
      <xdr:col>5</xdr:col>
      <xdr:colOff>3601992</xdr:colOff>
      <xdr:row>1</xdr:row>
      <xdr:rowOff>602909</xdr:rowOff>
    </xdr:to>
    <xdr:pic>
      <xdr:nvPicPr>
        <xdr:cNvPr id="2" name="Image 1" descr="Une image contenant texte&#10;&#10;Description générée automatiquement">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6381976" y="222590"/>
          <a:ext cx="1900873" cy="5540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3867830</xdr:colOff>
      <xdr:row>0</xdr:row>
      <xdr:rowOff>38966</xdr:rowOff>
    </xdr:from>
    <xdr:to>
      <xdr:col>2</xdr:col>
      <xdr:colOff>5781258</xdr:colOff>
      <xdr:row>0</xdr:row>
      <xdr:rowOff>593003</xdr:rowOff>
    </xdr:to>
    <xdr:pic>
      <xdr:nvPicPr>
        <xdr:cNvPr id="2" name="Image 1" descr="Une image contenant texte&#10;&#10;Description générée automatiquement">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8943294" y="38966"/>
          <a:ext cx="1913428" cy="554037"/>
        </a:xfrm>
        <a:prstGeom prst="rect">
          <a:avLst/>
        </a:prstGeom>
      </xdr:spPr>
    </xdr:pic>
    <xdr:clientData/>
  </xdr:twoCellAnchor>
  <xdr:twoCellAnchor editAs="oneCell">
    <xdr:from>
      <xdr:col>0</xdr:col>
      <xdr:colOff>3000375</xdr:colOff>
      <xdr:row>37</xdr:row>
      <xdr:rowOff>28531</xdr:rowOff>
    </xdr:from>
    <xdr:to>
      <xdr:col>4</xdr:col>
      <xdr:colOff>329046</xdr:colOff>
      <xdr:row>52</xdr:row>
      <xdr:rowOff>205653</xdr:rowOff>
    </xdr:to>
    <xdr:pic>
      <xdr:nvPicPr>
        <xdr:cNvPr id="3" name="Image 2">
          <a:extLst>
            <a:ext uri="{FF2B5EF4-FFF2-40B4-BE49-F238E27FC236}">
              <a16:creationId xmlns:a16="http://schemas.microsoft.com/office/drawing/2014/main" id="{6006FF4F-BCAB-D88A-2822-719BA7B76B47}"/>
            </a:ext>
          </a:extLst>
        </xdr:cNvPr>
        <xdr:cNvPicPr>
          <a:picLocks noChangeAspect="1"/>
        </xdr:cNvPicPr>
      </xdr:nvPicPr>
      <xdr:blipFill>
        <a:blip xmlns:r="http://schemas.openxmlformats.org/officeDocument/2006/relationships" r:embed="rId2"/>
        <a:stretch>
          <a:fillRect/>
        </a:stretch>
      </xdr:blipFill>
      <xdr:spPr>
        <a:xfrm>
          <a:off x="3000375" y="12670804"/>
          <a:ext cx="12603307" cy="672339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E378490/AppData/Local/Microsoft/Windows/Temporary%20Internet%20Files/Content.IE5/SZU8FIEM/01552_10_00122_4.6_Lotissement_DW_Euro6(1).xls" TargetMode="External"/><Relationship Id="rId1" Type="http://schemas.openxmlformats.org/officeDocument/2006/relationships/externalLinkPath" Target="/Users/E378490/AppData/Local/Microsoft/Windows/Temporary%20Internet%20Files/Content.IE5/SZU8FIEM/01552_10_00122_4.6_Lotissement_DW_Euro6(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ta.pcinfo.inetpsa.com/doc/dom2861/dom2872/dom3055/dom6850/doc64614/PLANNING_BTU_QUALITE_EL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ta.pcinfo.inetpsa.com/Documents%20and%20Settings/C082684/Local%20Settings/Temp/Tableau_RVCV_G9_S43.xl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Copie"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Users/u335187/AppData/Local/Temp/7zO5442.tmp/Matrice%20de%20messagerie%20B7_B81.xls" TargetMode="External"/><Relationship Id="rId1" Type="http://schemas.openxmlformats.org/officeDocument/2006/relationships/externalLinkPath" Target="/Users/u335187/AppData/Local/Temp/7zO5442.tmp/Matrice%20de%20messagerie%20B7_B8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pysn18\LSI-DRIA-5\Dria\Entites\PVES\PAES\03_Animation_equipe\ROADMAP\2011\Avancement%20Techno\INTERLOCUTEURS_CVR\Planning_Pilotage_PN733.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Esn0101\DPMO-MPMV-Prive\User\Partage\TdB%20CSEE\09-08-20%20TdB%20CAP%202010%20Durabilit&#233;%20CSEE%20aout%202009.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ta.pcinfo.inetpsa.com/doc/dom2861/dom2872/dom13618/dom21237/doc128992/Racourcis/Tableau_de_bord_BTU_RVCV.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ta.pcinfo.inetpsa.com/user/PCInfo/U256981/docpc112/Tableau_IQA_IQF_DQUA.xls"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doc" TargetMode="External"/></Relationships>
</file>

<file path=xl/externalLinks/_rels/externalLink11.xml.rels><?xml version="1.0" encoding="UTF-8" standalone="yes"?>
<Relationships xmlns="http://schemas.openxmlformats.org/package/2006/relationships"><Relationship Id="rId3" Type="http://schemas.openxmlformats.org/officeDocument/2006/relationships/externalLinkPath" Target="../../../../../../../../../../Users/E378490/AppData/Local/Microsoft/Windows/Temporary%20Internet%20Files/Content.IE5/CTA5ZZ7O/user/J613189/AUTOSAR/ccm_wa/glv/03_STIL_NORIS-1.2.build1/03_STIL_NORIS/01552_10_00703_NORIS_DD.xls" TargetMode="External"/><Relationship Id="rId2" Type="http://schemas.microsoft.com/office/2019/04/relationships/externalLinkLongPath" Target="/Users/E378490/AppData/Local/Microsoft/Windows/Temporary%20Internet%20Files/Content.IE5/CTA5ZZ7O/user/J613189/AUTOSAR/ccm_wa/glv/03_STIL_NORIS-1.2.build1/03_STIL_NORIS/01552_10_00703_NORIS_DD.xls?111D774E" TargetMode="External"/><Relationship Id="rId1" Type="http://schemas.openxmlformats.org/officeDocument/2006/relationships/externalLinkPath" Target="file:///\\111D774E\01552_10_00703_NORIS_DD.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pysn18\LSI-DRIA-5\Dria\Entites\PVES\PAES\03_Animation_equipe\ROADMAP\2012\Avancement%20Techno\INTERLOCUTEURS_CVR\ROADMAP_OP_PN733.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Users\j620066\AppData\Local\Microsoft\Windows\Temporary%20Internet%20Files\Content.Outlook\2PNH5E6F\A%20SUPPRIMER_Project_milestone_review_checklist.xls"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Users/U404305/Desktop/AFAC/EB2DT_TableauDeBord_TF05_FT_SW.xlsx" TargetMode="External"/><Relationship Id="rId1" Type="http://schemas.openxmlformats.org/officeDocument/2006/relationships/externalLinkPath" Target="/Users/U404305/Desktop/AFAC/EB2DT_TableauDeBord_TF05_FT_SW.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Users\j562182\AppData\Local\Microsoft\Windows\Temporary%20Internet%20Files\Content.Outlook\2QI369HF\Liste_des_livrables_EE_V9%200_du_21_03_2017_avec_exigences_ECFC.xlsm"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Users/j508079/AppData/Local/Microsoft/Windows/Temporary%20Internet%20Files/Content.IE5/KLVCZFZB/DocInfo%20installeur%20macro%20champs%20synchronis&#233;s.xls" TargetMode="External"/><Relationship Id="rId1" Type="http://schemas.openxmlformats.org/officeDocument/2006/relationships/externalLinkPath" Target="/Users/j508079/AppData/Local/Microsoft/Windows/Temporary%20Internet%20Files/Content.IE5/KLVCZFZB/DocInfo%20installeur%20macro%20champs%20synchronis&#233;s.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Users\j508079\AppData\Local\Microsoft\Windows\Temporary%20Internet%20Files\Content.IE5\KLVCZFZB\DocInfo%20installeur%20macro%20champs%20synchronis&#233;s.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besn0101\DPMO-QMS-QSEO\Documents%20and%20Settings\E305608\Desktop\Mofif%20lot%20altran%20REG%201%20A%20B.xls"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User/U391598/DOCUMENTS/Messagerie/Evol%20Msgie%20Xls/Prestation%20Juil-2013/Livrable%20Alten/V&#233;rif%2011.09.2013/R&#233;sultat/Listing_Exemple.xlsm" TargetMode="External"/><Relationship Id="rId1" Type="http://schemas.openxmlformats.org/officeDocument/2006/relationships/externalLinkPath" Target="/User/U391598/DOCUMENTS/Messagerie/Evol%20Msgie%20Xls/Prestation%20Juil-2013/Livrable%20Alten/V&#233;rif%2011.09.2013/R&#233;sultat/Listing_Exemple.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Bgxweb1\tad\RD_R&#233;f\Indicateurs\M07\TdB07_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age de Garde"/>
      <sheetName val="Règles et conventions"/>
      <sheetName val="Justifications"/>
      <sheetName val="Lotissement"/>
      <sheetName val="Procédures"/>
      <sheetName val="FAQ"/>
      <sheetName val="Défauts macros"/>
      <sheetName val="ISO26262 chapters"/>
      <sheetName val="DAL-DJC chapters"/>
      <sheetName val="Title pag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sinessQuery#"/>
      <sheetName val="Suivi planning EL2"/>
      <sheetName val="Temps de défilement"/>
      <sheetName val="Définition des véh."/>
      <sheetName val="Requêtes"/>
    </sheetNames>
    <sheetDataSet>
      <sheetData sheetId="0"/>
      <sheetData sheetId="1"/>
      <sheetData sheetId="2"/>
      <sheetData sheetId="3"/>
      <sheetData sheetId="4">
        <row r="2">
          <cell r="A2" t="str">
            <v>Contremarque</v>
          </cell>
          <cell r="B2" t="str">
            <v>BADGE sans clé</v>
          </cell>
          <cell r="C2" t="str">
            <v>Contremarque</v>
          </cell>
          <cell r="D2" t="str">
            <v>Date/Heure passage porte</v>
          </cell>
          <cell r="E2" t="str">
            <v>Contremarque</v>
          </cell>
          <cell r="F2" t="str">
            <v>Date/Heure passage porte</v>
          </cell>
          <cell r="G2" t="str">
            <v>Contremarque</v>
          </cell>
          <cell r="H2" t="str">
            <v>Date/Heure passage porte</v>
          </cell>
          <cell r="I2" t="str">
            <v>Contremarque</v>
          </cell>
          <cell r="J2" t="str">
            <v>Date/Heure passage porte</v>
          </cell>
          <cell r="K2" t="str">
            <v>Contremarque</v>
          </cell>
          <cell r="L2" t="str">
            <v>Date/Heure passage porte</v>
          </cell>
          <cell r="M2" t="str">
            <v>Contremarque</v>
          </cell>
          <cell r="N2" t="str">
            <v>Date/Heure Retouche</v>
          </cell>
          <cell r="O2" t="str">
            <v>Contremarque</v>
          </cell>
          <cell r="P2" t="str">
            <v>Date/Heure passage porte</v>
          </cell>
          <cell r="Q2" t="str">
            <v>Contremarque</v>
          </cell>
          <cell r="R2" t="str">
            <v>Date/Heure Retouche</v>
          </cell>
          <cell r="S2" t="str">
            <v>Contremarque</v>
          </cell>
          <cell r="T2" t="str">
            <v>Date/Heure passage porte</v>
          </cell>
          <cell r="U2" t="str">
            <v>Contremarque</v>
          </cell>
          <cell r="V2" t="str">
            <v>Date/Heure Retouche</v>
          </cell>
          <cell r="W2" t="str">
            <v>Contremarque</v>
          </cell>
          <cell r="X2" t="str">
            <v>Date/Heure passage porte</v>
          </cell>
          <cell r="Y2" t="str">
            <v>Contremarque</v>
          </cell>
          <cell r="Z2" t="str">
            <v>Date/Heure Retouche</v>
          </cell>
          <cell r="AA2" t="str">
            <v>Contremarque</v>
          </cell>
          <cell r="AB2" t="str">
            <v>Date/Heure Retouche</v>
          </cell>
          <cell r="AC2" t="str">
            <v>Contremarque</v>
          </cell>
          <cell r="AD2" t="str">
            <v>Date/Heure passage porte</v>
          </cell>
          <cell r="AH2" t="str">
            <v>Contremarque</v>
          </cell>
          <cell r="AI2" t="str">
            <v>Date/Heure Retouche</v>
          </cell>
        </row>
        <row r="3">
          <cell r="A3" t="str">
            <v>AZA16</v>
          </cell>
          <cell r="B3" t="str">
            <v>00001333</v>
          </cell>
          <cell r="C3" t="str">
            <v>AZA16</v>
          </cell>
          <cell r="D3">
            <v>38671.475034722222</v>
          </cell>
          <cell r="E3" t="str">
            <v>AZA16</v>
          </cell>
          <cell r="F3">
            <v>38672.341365740744</v>
          </cell>
          <cell r="G3" t="str">
            <v>AZA24</v>
          </cell>
          <cell r="H3">
            <v>38728.521099537036</v>
          </cell>
          <cell r="I3" t="str">
            <v>AZA21</v>
          </cell>
          <cell r="J3">
            <v>38708.430717592593</v>
          </cell>
          <cell r="K3" t="str">
            <v>AZA23</v>
          </cell>
          <cell r="L3">
            <v>38744.621527777781</v>
          </cell>
          <cell r="M3" t="str">
            <v>AZA20</v>
          </cell>
          <cell r="N3">
            <v>38706.395439814813</v>
          </cell>
          <cell r="O3" t="str">
            <v>AZA20</v>
          </cell>
          <cell r="P3">
            <v>38688.649039351854</v>
          </cell>
          <cell r="Q3" t="str">
            <v>AZA74</v>
          </cell>
          <cell r="R3">
            <v>38769.570694444446</v>
          </cell>
          <cell r="S3" t="str">
            <v>AZA75</v>
          </cell>
          <cell r="T3">
            <v>38771.678969907407</v>
          </cell>
          <cell r="U3" t="str">
            <v>AZA74</v>
          </cell>
          <cell r="V3">
            <v>38772.366539351853</v>
          </cell>
          <cell r="W3" t="str">
            <v>AZA67</v>
          </cell>
          <cell r="X3">
            <v>38776.680879629632</v>
          </cell>
          <cell r="Y3" t="str">
            <v>AZB05</v>
          </cell>
          <cell r="Z3">
            <v>38784.675335648149</v>
          </cell>
          <cell r="AA3" t="str">
            <v>AZA61</v>
          </cell>
          <cell r="AB3">
            <v>38726.422905092593</v>
          </cell>
          <cell r="AC3" t="str">
            <v>AZA16</v>
          </cell>
          <cell r="AD3">
            <v>38726.608969907407</v>
          </cell>
          <cell r="AH3" t="str">
            <v>AZB91</v>
          </cell>
          <cell r="AI3">
            <v>38810.456469907411</v>
          </cell>
        </row>
        <row r="4">
          <cell r="A4" t="str">
            <v>AZA19</v>
          </cell>
          <cell r="B4" t="str">
            <v>00000782</v>
          </cell>
          <cell r="C4" t="str">
            <v>AZA20</v>
          </cell>
          <cell r="D4">
            <v>38686.689513888887</v>
          </cell>
          <cell r="E4" t="str">
            <v>AZA20</v>
          </cell>
          <cell r="F4">
            <v>38688.512418981481</v>
          </cell>
          <cell r="G4" t="str">
            <v>AZA25</v>
          </cell>
          <cell r="H4">
            <v>38729.353668981479</v>
          </cell>
          <cell r="I4" t="str">
            <v>AZA22</v>
          </cell>
          <cell r="J4">
            <v>38722.702534722222</v>
          </cell>
          <cell r="K4" t="str">
            <v>AZA24</v>
          </cell>
          <cell r="L4">
            <v>38744.621990740743</v>
          </cell>
          <cell r="M4" t="str">
            <v>AZA21</v>
          </cell>
          <cell r="N4">
            <v>38708.457326388889</v>
          </cell>
          <cell r="O4" t="str">
            <v>AZA21</v>
          </cell>
          <cell r="P4">
            <v>38708.659814814811</v>
          </cell>
          <cell r="Q4" t="str">
            <v>AZA70</v>
          </cell>
          <cell r="R4">
            <v>38769.574120370373</v>
          </cell>
          <cell r="S4" t="str">
            <v>AZA83</v>
          </cell>
          <cell r="T4">
            <v>38776.477847222224</v>
          </cell>
          <cell r="U4" t="str">
            <v>AZA79</v>
          </cell>
          <cell r="V4">
            <v>38772.37090277778</v>
          </cell>
          <cell r="W4" t="str">
            <v>AZA69</v>
          </cell>
          <cell r="X4">
            <v>38776.680983796294</v>
          </cell>
          <cell r="Y4" t="str">
            <v>AZA75</v>
          </cell>
          <cell r="Z4">
            <v>38785.357638888891</v>
          </cell>
          <cell r="AA4" t="str">
            <v>AZA62</v>
          </cell>
          <cell r="AB4">
            <v>38726.425324074073</v>
          </cell>
          <cell r="AC4" t="str">
            <v>AZA61</v>
          </cell>
          <cell r="AD4">
            <v>38726.618668981479</v>
          </cell>
          <cell r="AH4" t="str">
            <v>AZC12</v>
          </cell>
          <cell r="AI4">
            <v>38810.470277777778</v>
          </cell>
        </row>
        <row r="5">
          <cell r="A5" t="str">
            <v>AZA20</v>
          </cell>
          <cell r="B5" t="str">
            <v>00001451</v>
          </cell>
          <cell r="C5" t="str">
            <v>AZA21</v>
          </cell>
          <cell r="D5">
            <v>38707.562731481485</v>
          </cell>
          <cell r="E5" t="str">
            <v>AZA21</v>
          </cell>
          <cell r="F5">
            <v>38708.398993055554</v>
          </cell>
          <cell r="G5" t="str">
            <v>AZA26</v>
          </cell>
          <cell r="H5">
            <v>38729.366388888891</v>
          </cell>
          <cell r="I5" t="str">
            <v>AZA23</v>
          </cell>
          <cell r="J5">
            <v>38728.427881944444</v>
          </cell>
          <cell r="K5" t="str">
            <v>AZA67</v>
          </cell>
          <cell r="L5">
            <v>38765.463217592594</v>
          </cell>
          <cell r="M5" t="str">
            <v>AZA22</v>
          </cell>
          <cell r="N5">
            <v>38722.73777777778</v>
          </cell>
          <cell r="O5" t="str">
            <v>AZA62</v>
          </cell>
          <cell r="P5">
            <v>38726.481504629628</v>
          </cell>
          <cell r="Q5" t="str">
            <v>AZA79</v>
          </cell>
          <cell r="R5">
            <v>38769.644976851851</v>
          </cell>
          <cell r="S5" t="str">
            <v>AZB70</v>
          </cell>
          <cell r="T5">
            <v>38776.631168981483</v>
          </cell>
          <cell r="U5" t="str">
            <v>AZA70</v>
          </cell>
          <cell r="V5">
            <v>38772.522824074076</v>
          </cell>
          <cell r="W5" t="str">
            <v>AZA72</v>
          </cell>
          <cell r="X5">
            <v>38776.68109953704</v>
          </cell>
          <cell r="Y5" t="str">
            <v>AZB04</v>
          </cell>
          <cell r="Z5">
            <v>38785.658275462964</v>
          </cell>
          <cell r="AA5" t="str">
            <v>AZA63</v>
          </cell>
          <cell r="AB5">
            <v>38726.427002314813</v>
          </cell>
          <cell r="AC5" t="str">
            <v>AZA62</v>
          </cell>
          <cell r="AD5">
            <v>38726.656527777777</v>
          </cell>
          <cell r="AH5" t="str">
            <v>AZB92</v>
          </cell>
          <cell r="AI5">
            <v>38810.504849537036</v>
          </cell>
        </row>
        <row r="6">
          <cell r="A6" t="str">
            <v>AZA21</v>
          </cell>
          <cell r="B6" t="str">
            <v>00002025</v>
          </cell>
          <cell r="C6" t="str">
            <v>AZA22</v>
          </cell>
          <cell r="D6">
            <v>38721.595358796294</v>
          </cell>
          <cell r="E6" t="str">
            <v>AZA22</v>
          </cell>
          <cell r="F6">
            <v>38722.420428240737</v>
          </cell>
          <cell r="G6" t="str">
            <v>AZA23</v>
          </cell>
          <cell r="H6">
            <v>38729.538402777776</v>
          </cell>
          <cell r="I6" t="str">
            <v>AZA24</v>
          </cell>
          <cell r="J6">
            <v>38728.539918981478</v>
          </cell>
          <cell r="K6" t="str">
            <v>AZA67</v>
          </cell>
          <cell r="L6">
            <v>38765.46329861111</v>
          </cell>
          <cell r="M6" t="str">
            <v>AZA61</v>
          </cell>
          <cell r="N6">
            <v>38726.422905092593</v>
          </cell>
          <cell r="O6" t="str">
            <v>AZA63</v>
          </cell>
          <cell r="P6">
            <v>38726.483738425923</v>
          </cell>
          <cell r="Q6" t="str">
            <v>AZA82</v>
          </cell>
          <cell r="R6">
            <v>38770.550069444442</v>
          </cell>
          <cell r="S6" t="str">
            <v>AZA87</v>
          </cell>
          <cell r="T6">
            <v>38777.549837962964</v>
          </cell>
          <cell r="U6" t="str">
            <v>AZA82</v>
          </cell>
          <cell r="V6">
            <v>38772.535729166666</v>
          </cell>
          <cell r="W6" t="str">
            <v>AZA84</v>
          </cell>
          <cell r="X6">
            <v>38777.36074074074</v>
          </cell>
          <cell r="Y6" t="str">
            <v>AZB02</v>
          </cell>
          <cell r="Z6">
            <v>38789.27003472222</v>
          </cell>
          <cell r="AA6" t="str">
            <v>AZA25</v>
          </cell>
          <cell r="AB6">
            <v>38744.369467592594</v>
          </cell>
          <cell r="AC6" t="str">
            <v>AZA63</v>
          </cell>
          <cell r="AD6">
            <v>38726.65828703704</v>
          </cell>
          <cell r="AH6" t="str">
            <v>AZB99</v>
          </cell>
          <cell r="AI6">
            <v>38810.529826388891</v>
          </cell>
        </row>
        <row r="7">
          <cell r="A7" t="str">
            <v>AZA22</v>
          </cell>
          <cell r="B7" t="str">
            <v>00002043</v>
          </cell>
          <cell r="C7" t="str">
            <v>AZA23</v>
          </cell>
          <cell r="D7">
            <v>38721.714236111111</v>
          </cell>
          <cell r="E7" t="str">
            <v>AZA23</v>
          </cell>
          <cell r="F7">
            <v>38728.380833333336</v>
          </cell>
          <cell r="G7" t="str">
            <v>AZA30</v>
          </cell>
          <cell r="H7">
            <v>38729.587870370371</v>
          </cell>
          <cell r="I7" t="str">
            <v>AZA25</v>
          </cell>
          <cell r="J7">
            <v>38729.336400462962</v>
          </cell>
          <cell r="K7" t="str">
            <v>AZA67</v>
          </cell>
          <cell r="L7">
            <v>38765.469085648147</v>
          </cell>
          <cell r="M7" t="str">
            <v>AZA62</v>
          </cell>
          <cell r="N7">
            <v>38726.425324074073</v>
          </cell>
          <cell r="O7" t="str">
            <v>AZA16</v>
          </cell>
          <cell r="P7">
            <v>38726.516469907408</v>
          </cell>
          <cell r="Q7" t="str">
            <v>AZA76</v>
          </cell>
          <cell r="R7">
            <v>38770.560324074075</v>
          </cell>
          <cell r="S7" t="str">
            <v>AZA81</v>
          </cell>
          <cell r="T7">
            <v>38777.601689814815</v>
          </cell>
          <cell r="U7" t="str">
            <v>AZA76</v>
          </cell>
          <cell r="V7">
            <v>38772.538888888892</v>
          </cell>
          <cell r="W7" t="str">
            <v>AZB70</v>
          </cell>
          <cell r="X7">
            <v>38777.383460648147</v>
          </cell>
          <cell r="Y7" t="str">
            <v>AZA89</v>
          </cell>
          <cell r="Z7">
            <v>38790.610497685186</v>
          </cell>
          <cell r="AA7" t="str">
            <v>AZA26</v>
          </cell>
          <cell r="AB7">
            <v>38744.372384259259</v>
          </cell>
          <cell r="AC7" t="str">
            <v>AZA20</v>
          </cell>
          <cell r="AD7">
            <v>38726.675532407404</v>
          </cell>
          <cell r="AH7" t="str">
            <v>AZC64</v>
          </cell>
          <cell r="AI7">
            <v>38810.55609953704</v>
          </cell>
        </row>
        <row r="8">
          <cell r="A8" t="str">
            <v>AZA23</v>
          </cell>
          <cell r="B8" t="str">
            <v>00001548</v>
          </cell>
          <cell r="C8" t="str">
            <v>AZA24</v>
          </cell>
          <cell r="D8">
            <v>38722.321712962963</v>
          </cell>
          <cell r="E8" t="str">
            <v>AZA24</v>
          </cell>
          <cell r="F8">
            <v>38728.439131944448</v>
          </cell>
          <cell r="G8" t="str">
            <v>AZA28</v>
          </cell>
          <cell r="H8">
            <v>38729.602881944447</v>
          </cell>
          <cell r="I8" t="str">
            <v>AZA26</v>
          </cell>
          <cell r="J8">
            <v>38729.374641203707</v>
          </cell>
          <cell r="K8" t="str">
            <v>AZA73</v>
          </cell>
          <cell r="L8">
            <v>38765.517777777779</v>
          </cell>
          <cell r="M8" t="str">
            <v>AZA63</v>
          </cell>
          <cell r="N8">
            <v>38726.427002314813</v>
          </cell>
          <cell r="O8" t="str">
            <v>AZA61</v>
          </cell>
          <cell r="P8">
            <v>38726.516782407409</v>
          </cell>
          <cell r="Q8" t="str">
            <v>AZA80</v>
          </cell>
          <cell r="R8">
            <v>38770.644375000003</v>
          </cell>
          <cell r="S8" t="str">
            <v>AZB74</v>
          </cell>
          <cell r="T8">
            <v>38777.627337962964</v>
          </cell>
          <cell r="U8" t="str">
            <v>AZA80</v>
          </cell>
          <cell r="V8">
            <v>38772.574652777781</v>
          </cell>
          <cell r="W8" t="str">
            <v>AZB69</v>
          </cell>
          <cell r="X8">
            <v>38777.391099537039</v>
          </cell>
          <cell r="Y8" t="str">
            <v>AZB72</v>
          </cell>
          <cell r="Z8">
            <v>38792.622499999998</v>
          </cell>
          <cell r="AA8" t="str">
            <v>AZA24</v>
          </cell>
          <cell r="AB8">
            <v>38744.374780092592</v>
          </cell>
          <cell r="AC8" t="str">
            <v>AZA24</v>
          </cell>
          <cell r="AD8">
            <v>38747.418206018519</v>
          </cell>
          <cell r="AH8" t="str">
            <v>AZC09</v>
          </cell>
          <cell r="AI8">
            <v>38811.329456018517</v>
          </cell>
        </row>
        <row r="9">
          <cell r="A9" t="str">
            <v>AZA24</v>
          </cell>
          <cell r="B9" t="str">
            <v>00001549</v>
          </cell>
          <cell r="C9" t="str">
            <v>AZA25</v>
          </cell>
          <cell r="D9">
            <v>38722.610532407409</v>
          </cell>
          <cell r="E9" t="str">
            <v>AZA25</v>
          </cell>
          <cell r="F9">
            <v>38728.551736111112</v>
          </cell>
          <cell r="G9" t="str">
            <v>AZA27</v>
          </cell>
          <cell r="H9">
            <v>38729.612488425926</v>
          </cell>
          <cell r="I9" t="str">
            <v>AZA30</v>
          </cell>
          <cell r="J9">
            <v>38729.596006944441</v>
          </cell>
          <cell r="K9" t="str">
            <v>AZA73</v>
          </cell>
          <cell r="L9">
            <v>38765.517916666664</v>
          </cell>
          <cell r="M9" t="str">
            <v>AZA24</v>
          </cell>
          <cell r="N9">
            <v>38728.57172453704</v>
          </cell>
          <cell r="O9" t="str">
            <v>AZA23</v>
          </cell>
          <cell r="P9">
            <v>38744.384675925925</v>
          </cell>
          <cell r="Q9" t="str">
            <v>AZA73</v>
          </cell>
          <cell r="R9">
            <v>38771.440150462964</v>
          </cell>
          <cell r="S9" t="str">
            <v>AZA90</v>
          </cell>
          <cell r="T9">
            <v>38777.673611111109</v>
          </cell>
          <cell r="U9" t="str">
            <v>AZA71</v>
          </cell>
          <cell r="V9">
            <v>38772.654097222221</v>
          </cell>
          <cell r="W9" t="str">
            <v>AZA73</v>
          </cell>
          <cell r="X9">
            <v>38777.662141203706</v>
          </cell>
          <cell r="Y9" t="str">
            <v>AZA99</v>
          </cell>
          <cell r="Z9">
            <v>38792.648414351854</v>
          </cell>
          <cell r="AA9" t="str">
            <v>AZA23</v>
          </cell>
          <cell r="AB9">
            <v>38744.639351851853</v>
          </cell>
          <cell r="AC9" t="str">
            <v>AZA23</v>
          </cell>
          <cell r="AD9">
            <v>38747.419131944444</v>
          </cell>
          <cell r="AH9" t="str">
            <v>AZC03</v>
          </cell>
          <cell r="AI9">
            <v>38811.402511574073</v>
          </cell>
        </row>
        <row r="10">
          <cell r="A10" t="str">
            <v>AZA25</v>
          </cell>
          <cell r="B10" t="str">
            <v>00001535</v>
          </cell>
          <cell r="C10" t="str">
            <v>AZA26</v>
          </cell>
          <cell r="D10">
            <v>38722.745891203704</v>
          </cell>
          <cell r="E10" t="str">
            <v>AZA26</v>
          </cell>
          <cell r="F10">
            <v>38728.588182870371</v>
          </cell>
          <cell r="G10" t="str">
            <v>AZA29</v>
          </cell>
          <cell r="H10">
            <v>38729.630266203705</v>
          </cell>
          <cell r="I10" t="str">
            <v>AZA28</v>
          </cell>
          <cell r="J10">
            <v>38729.608495370368</v>
          </cell>
          <cell r="K10" t="str">
            <v>AZB69</v>
          </cell>
          <cell r="L10">
            <v>38765.592986111114</v>
          </cell>
          <cell r="M10" t="str">
            <v>AZA25</v>
          </cell>
          <cell r="N10">
            <v>38729.385000000002</v>
          </cell>
          <cell r="O10" t="str">
            <v>AZA24</v>
          </cell>
          <cell r="P10">
            <v>38744.384884259256</v>
          </cell>
          <cell r="Q10" t="str">
            <v>AZA71</v>
          </cell>
          <cell r="R10">
            <v>38771.442094907405</v>
          </cell>
          <cell r="S10" t="str">
            <v>AZA92</v>
          </cell>
          <cell r="T10">
            <v>38778.47929398148</v>
          </cell>
          <cell r="U10" t="str">
            <v>AZA67</v>
          </cell>
          <cell r="V10">
            <v>38775.540532407409</v>
          </cell>
          <cell r="W10" t="str">
            <v>AZB74</v>
          </cell>
          <cell r="X10">
            <v>38778.659872685188</v>
          </cell>
          <cell r="Y10" t="str">
            <v>AZA91</v>
          </cell>
          <cell r="Z10">
            <v>38796.436203703706</v>
          </cell>
          <cell r="AA10" t="str">
            <v>AZA38</v>
          </cell>
          <cell r="AB10">
            <v>38747.559004629627</v>
          </cell>
          <cell r="AC10" t="str">
            <v>AZA32</v>
          </cell>
          <cell r="AD10">
            <v>38747.579375000001</v>
          </cell>
          <cell r="AH10" t="str">
            <v>AZC18</v>
          </cell>
          <cell r="AI10">
            <v>38812.269965277781</v>
          </cell>
        </row>
        <row r="11">
          <cell r="A11" t="str">
            <v>AZA26</v>
          </cell>
          <cell r="B11" t="str">
            <v>00001536</v>
          </cell>
          <cell r="C11" t="str">
            <v>AZA27</v>
          </cell>
          <cell r="D11">
            <v>38722.746736111112</v>
          </cell>
          <cell r="E11" t="str">
            <v>AZA27</v>
          </cell>
          <cell r="F11">
            <v>38728.636504629627</v>
          </cell>
          <cell r="G11" t="str">
            <v>AZA31</v>
          </cell>
          <cell r="H11">
            <v>38730.412847222222</v>
          </cell>
          <cell r="I11" t="str">
            <v>AZA27</v>
          </cell>
          <cell r="J11">
            <v>38729.619189814817</v>
          </cell>
          <cell r="K11" t="str">
            <v>AZB69</v>
          </cell>
          <cell r="L11">
            <v>38765.593055555553</v>
          </cell>
          <cell r="M11" t="str">
            <v>AZA26</v>
          </cell>
          <cell r="N11">
            <v>38729.439710648148</v>
          </cell>
          <cell r="O11" t="str">
            <v>AZA25</v>
          </cell>
          <cell r="P11">
            <v>38744.384942129633</v>
          </cell>
          <cell r="Q11" t="str">
            <v>AZA78</v>
          </cell>
          <cell r="R11">
            <v>38772.364606481482</v>
          </cell>
          <cell r="S11" t="str">
            <v>AZA88</v>
          </cell>
          <cell r="T11">
            <v>38778.493310185186</v>
          </cell>
          <cell r="U11" t="str">
            <v>AZA72</v>
          </cell>
          <cell r="V11">
            <v>38775.543530092589</v>
          </cell>
          <cell r="W11" t="str">
            <v>AZA90</v>
          </cell>
          <cell r="X11">
            <v>38778.659953703704</v>
          </cell>
          <cell r="Y11" t="str">
            <v>AZB74</v>
          </cell>
          <cell r="Z11">
            <v>38796.436423611114</v>
          </cell>
          <cell r="AA11" t="str">
            <v>AZA32</v>
          </cell>
          <cell r="AB11">
            <v>38747.559201388889</v>
          </cell>
          <cell r="AC11" t="str">
            <v>AZA40</v>
          </cell>
          <cell r="AD11">
            <v>38747.596342592595</v>
          </cell>
          <cell r="AH11" t="str">
            <v>AZC02</v>
          </cell>
          <cell r="AI11">
            <v>38812.345671296294</v>
          </cell>
        </row>
        <row r="12">
          <cell r="A12" t="str">
            <v>AZA27</v>
          </cell>
          <cell r="B12" t="str">
            <v>00001537</v>
          </cell>
          <cell r="C12" t="str">
            <v>AZA28</v>
          </cell>
          <cell r="D12">
            <v>38722.747534722221</v>
          </cell>
          <cell r="E12" t="str">
            <v>AZA28</v>
          </cell>
          <cell r="F12">
            <v>38729.363761574074</v>
          </cell>
          <cell r="G12" t="str">
            <v>AZA32</v>
          </cell>
          <cell r="H12">
            <v>38730.447939814818</v>
          </cell>
          <cell r="I12" t="str">
            <v>AZA29</v>
          </cell>
          <cell r="J12">
            <v>38729.637141203704</v>
          </cell>
          <cell r="K12" t="str">
            <v>AZA72</v>
          </cell>
          <cell r="L12">
            <v>38768.364398148151</v>
          </cell>
          <cell r="M12" t="str">
            <v>AZA23</v>
          </cell>
          <cell r="N12">
            <v>38729.603842592594</v>
          </cell>
          <cell r="O12" t="str">
            <v>AZA26</v>
          </cell>
          <cell r="P12">
            <v>38744.385023148148</v>
          </cell>
          <cell r="Q12" t="str">
            <v>AZA72</v>
          </cell>
          <cell r="R12">
            <v>38772.466192129628</v>
          </cell>
          <cell r="S12" t="str">
            <v>AZA85</v>
          </cell>
          <cell r="T12">
            <v>38778.500520833331</v>
          </cell>
          <cell r="U12" t="str">
            <v>AZA73</v>
          </cell>
          <cell r="V12">
            <v>38776.449224537035</v>
          </cell>
          <cell r="W12" t="str">
            <v>AZA85</v>
          </cell>
          <cell r="X12">
            <v>38778.66002314815</v>
          </cell>
          <cell r="Y12" t="str">
            <v>AZA90</v>
          </cell>
          <cell r="Z12">
            <v>38796.436585648145</v>
          </cell>
          <cell r="AA12" t="str">
            <v>AZA40</v>
          </cell>
          <cell r="AB12">
            <v>38747.559386574074</v>
          </cell>
          <cell r="AC12" t="str">
            <v>AZA38</v>
          </cell>
          <cell r="AD12">
            <v>38747.621666666666</v>
          </cell>
          <cell r="AH12" t="str">
            <v>AZC47</v>
          </cell>
          <cell r="AI12">
            <v>38813.373287037037</v>
          </cell>
        </row>
        <row r="13">
          <cell r="A13" t="str">
            <v>AZA28</v>
          </cell>
          <cell r="B13" t="str">
            <v>00001538</v>
          </cell>
          <cell r="C13" t="str">
            <v>AZA61</v>
          </cell>
          <cell r="D13">
            <v>38726.406030092592</v>
          </cell>
          <cell r="E13" t="str">
            <v>AZA30</v>
          </cell>
          <cell r="F13">
            <v>38729.464479166665</v>
          </cell>
          <cell r="G13" t="str">
            <v>AZA33</v>
          </cell>
          <cell r="H13">
            <v>38730.47587962963</v>
          </cell>
          <cell r="I13" t="str">
            <v>AZA31</v>
          </cell>
          <cell r="J13">
            <v>38730.418020833335</v>
          </cell>
          <cell r="K13" t="str">
            <v>AZA72</v>
          </cell>
          <cell r="L13">
            <v>38768.364490740743</v>
          </cell>
          <cell r="M13" t="str">
            <v>AZA30</v>
          </cell>
          <cell r="N13">
            <v>38729.626585648148</v>
          </cell>
          <cell r="O13" t="str">
            <v>AZA32</v>
          </cell>
          <cell r="P13">
            <v>38747.348807870374</v>
          </cell>
          <cell r="Q13" t="str">
            <v>AZA84</v>
          </cell>
          <cell r="R13">
            <v>38772.567314814813</v>
          </cell>
          <cell r="S13" t="str">
            <v>AZA95</v>
          </cell>
          <cell r="T13">
            <v>38779.606261574074</v>
          </cell>
          <cell r="U13" t="str">
            <v>AZA83</v>
          </cell>
          <cell r="V13">
            <v>38776.591423611113</v>
          </cell>
          <cell r="W13" t="str">
            <v>AZA75</v>
          </cell>
          <cell r="X13">
            <v>38779.363541666666</v>
          </cell>
          <cell r="Y13" t="str">
            <v>AZA85</v>
          </cell>
          <cell r="Z13">
            <v>38796.43677083333</v>
          </cell>
          <cell r="AA13" t="str">
            <v>AZA48</v>
          </cell>
          <cell r="AB13">
            <v>38748.395960648151</v>
          </cell>
          <cell r="AC13" t="str">
            <v>AZA22</v>
          </cell>
          <cell r="AD13">
            <v>38749.586261574077</v>
          </cell>
          <cell r="AH13" t="str">
            <v>AZC56</v>
          </cell>
          <cell r="AI13">
            <v>38813.465578703705</v>
          </cell>
        </row>
        <row r="14">
          <cell r="A14" t="str">
            <v>AZA29</v>
          </cell>
          <cell r="B14" t="str">
            <v>00001539</v>
          </cell>
          <cell r="C14" t="str">
            <v>AZA62</v>
          </cell>
          <cell r="D14">
            <v>38726.406423611108</v>
          </cell>
          <cell r="E14" t="str">
            <v>AZA31</v>
          </cell>
          <cell r="F14">
            <v>38729.642222222225</v>
          </cell>
          <cell r="G14" t="str">
            <v>AZA34</v>
          </cell>
          <cell r="H14">
            <v>38730.54891203704</v>
          </cell>
          <cell r="I14" t="str">
            <v>AZA32</v>
          </cell>
          <cell r="J14">
            <v>38730.464212962965</v>
          </cell>
          <cell r="K14" t="str">
            <v>AZB70</v>
          </cell>
          <cell r="L14">
            <v>38768.387291666666</v>
          </cell>
          <cell r="M14" t="str">
            <v>AZA28</v>
          </cell>
          <cell r="N14">
            <v>38730.360081018516</v>
          </cell>
          <cell r="O14" t="str">
            <v>AZA38</v>
          </cell>
          <cell r="P14">
            <v>38747.348877314813</v>
          </cell>
          <cell r="Q14" t="str">
            <v>AZA67</v>
          </cell>
          <cell r="R14">
            <v>38772.595682870371</v>
          </cell>
          <cell r="S14" t="str">
            <v>AZA95</v>
          </cell>
          <cell r="T14">
            <v>38779.606296296297</v>
          </cell>
          <cell r="U14" t="str">
            <v>AZA69</v>
          </cell>
          <cell r="V14">
            <v>38776.618344907409</v>
          </cell>
          <cell r="W14" t="str">
            <v>AZB72</v>
          </cell>
          <cell r="X14">
            <v>38782.643055555556</v>
          </cell>
          <cell r="Y14" t="str">
            <v>AZB17</v>
          </cell>
          <cell r="Z14">
            <v>38796.436944444446</v>
          </cell>
          <cell r="AA14" t="str">
            <v>AZA52</v>
          </cell>
          <cell r="AB14">
            <v>38748.4844212963</v>
          </cell>
          <cell r="AC14" t="str">
            <v>AZA25</v>
          </cell>
          <cell r="AD14">
            <v>38749.613344907404</v>
          </cell>
          <cell r="AH14" t="str">
            <v>AZC00</v>
          </cell>
          <cell r="AI14">
            <v>38813.497870370367</v>
          </cell>
        </row>
        <row r="15">
          <cell r="A15" t="str">
            <v>AZA30</v>
          </cell>
          <cell r="B15" t="str">
            <v>00001540</v>
          </cell>
          <cell r="C15" t="str">
            <v>AZA63</v>
          </cell>
          <cell r="D15">
            <v>38726.406689814816</v>
          </cell>
          <cell r="E15" t="str">
            <v>AZA29</v>
          </cell>
          <cell r="F15">
            <v>38730.396701388891</v>
          </cell>
          <cell r="G15" t="str">
            <v>AZA35</v>
          </cell>
          <cell r="H15">
            <v>38733.379108796296</v>
          </cell>
          <cell r="I15" t="str">
            <v>AZA33</v>
          </cell>
          <cell r="J15">
            <v>38730.486747685187</v>
          </cell>
          <cell r="K15" t="str">
            <v>AZB70</v>
          </cell>
          <cell r="L15">
            <v>38768.391215277778</v>
          </cell>
          <cell r="M15" t="str">
            <v>AZA29</v>
          </cell>
          <cell r="N15">
            <v>38730.419328703705</v>
          </cell>
          <cell r="O15" t="str">
            <v>AZA40</v>
          </cell>
          <cell r="P15">
            <v>38747.348946759259</v>
          </cell>
          <cell r="Q15" t="str">
            <v>AZA69</v>
          </cell>
          <cell r="R15">
            <v>38775.365289351852</v>
          </cell>
          <cell r="S15" t="str">
            <v>AZA91</v>
          </cell>
          <cell r="T15">
            <v>38779.659872685188</v>
          </cell>
          <cell r="U15" t="str">
            <v>AZA84</v>
          </cell>
          <cell r="V15">
            <v>38777.355416666665</v>
          </cell>
          <cell r="W15" t="str">
            <v>AZA89</v>
          </cell>
          <cell r="X15">
            <v>38783.623171296298</v>
          </cell>
          <cell r="Y15" t="str">
            <v>AZA84</v>
          </cell>
          <cell r="Z15">
            <v>38796.437314814815</v>
          </cell>
          <cell r="AA15" t="str">
            <v>AZA50</v>
          </cell>
          <cell r="AB15">
            <v>38748.655115740738</v>
          </cell>
          <cell r="AC15" t="str">
            <v>AZA26</v>
          </cell>
          <cell r="AD15">
            <v>38749.618344907409</v>
          </cell>
          <cell r="AH15" t="str">
            <v>AZB95</v>
          </cell>
          <cell r="AI15">
            <v>38813.49858796296</v>
          </cell>
        </row>
        <row r="16">
          <cell r="A16" t="str">
            <v>AZA31</v>
          </cell>
          <cell r="B16" t="str">
            <v>00001541</v>
          </cell>
          <cell r="C16" t="str">
            <v>AZA29</v>
          </cell>
          <cell r="D16">
            <v>38726.72965277778</v>
          </cell>
          <cell r="E16" t="str">
            <v>AZA32</v>
          </cell>
          <cell r="F16">
            <v>38730.397534722222</v>
          </cell>
          <cell r="G16" t="str">
            <v>AZA36</v>
          </cell>
          <cell r="H16">
            <v>38733.554305555554</v>
          </cell>
          <cell r="I16" t="str">
            <v>AZA34</v>
          </cell>
          <cell r="J16">
            <v>38730.557106481479</v>
          </cell>
          <cell r="K16" t="str">
            <v>AZB69</v>
          </cell>
          <cell r="L16">
            <v>38768.406006944446</v>
          </cell>
          <cell r="M16" t="str">
            <v>AZA31</v>
          </cell>
          <cell r="N16">
            <v>38730.461759259262</v>
          </cell>
          <cell r="O16" t="str">
            <v>AZA22</v>
          </cell>
          <cell r="P16">
            <v>38749.524363425924</v>
          </cell>
          <cell r="Q16" t="str">
            <v>AZA77</v>
          </cell>
          <cell r="R16">
            <v>38775.39570601852</v>
          </cell>
          <cell r="S16" t="str">
            <v>AZB76</v>
          </cell>
          <cell r="T16">
            <v>38783.555069444446</v>
          </cell>
          <cell r="U16" t="str">
            <v>AZB70</v>
          </cell>
          <cell r="V16">
            <v>38777.360798611109</v>
          </cell>
          <cell r="W16" t="str">
            <v>AZA87</v>
          </cell>
          <cell r="X16">
            <v>38783.624189814815</v>
          </cell>
          <cell r="Y16" t="str">
            <v>AZB10</v>
          </cell>
          <cell r="Z16">
            <v>38796.437534722223</v>
          </cell>
          <cell r="AA16" t="str">
            <v>AZA39</v>
          </cell>
          <cell r="AB16">
            <v>38749.389050925929</v>
          </cell>
          <cell r="AC16" t="str">
            <v>AZA36</v>
          </cell>
          <cell r="AD16">
            <v>38798.438020833331</v>
          </cell>
          <cell r="AH16" t="str">
            <v>AZC49</v>
          </cell>
          <cell r="AI16">
            <v>38813.500925925924</v>
          </cell>
        </row>
        <row r="17">
          <cell r="A17" t="str">
            <v>AZA32</v>
          </cell>
          <cell r="B17" t="str">
            <v>00001591</v>
          </cell>
          <cell r="C17" t="str">
            <v>AZA30</v>
          </cell>
          <cell r="D17">
            <v>38726.730011574073</v>
          </cell>
          <cell r="E17" t="str">
            <v>AZA33</v>
          </cell>
          <cell r="F17">
            <v>38730.436122685183</v>
          </cell>
          <cell r="G17" t="str">
            <v>AZA38</v>
          </cell>
          <cell r="H17">
            <v>38733.575960648152</v>
          </cell>
          <cell r="I17" t="str">
            <v>AZA35</v>
          </cell>
          <cell r="J17">
            <v>38733.407731481479</v>
          </cell>
          <cell r="K17" t="str">
            <v>AZB69</v>
          </cell>
          <cell r="L17">
            <v>38768.406076388892</v>
          </cell>
          <cell r="M17" t="str">
            <v>AZA32</v>
          </cell>
          <cell r="N17">
            <v>38730.494097222225</v>
          </cell>
          <cell r="O17" t="str">
            <v>AZA48</v>
          </cell>
          <cell r="P17">
            <v>38754.364432870374</v>
          </cell>
          <cell r="Q17" t="str">
            <v>AZB69</v>
          </cell>
          <cell r="R17">
            <v>38775.405092592591</v>
          </cell>
          <cell r="S17" t="str">
            <v>AZB05</v>
          </cell>
          <cell r="T17">
            <v>38783.563113425924</v>
          </cell>
          <cell r="U17" t="str">
            <v>AZB69</v>
          </cell>
          <cell r="V17">
            <v>38777.390914351854</v>
          </cell>
          <cell r="W17" t="str">
            <v>AZB05</v>
          </cell>
          <cell r="X17">
            <v>38784.668379629627</v>
          </cell>
          <cell r="Y17" t="str">
            <v>AZB61</v>
          </cell>
          <cell r="Z17">
            <v>38797.286215277774</v>
          </cell>
          <cell r="AA17" t="str">
            <v>AZA22</v>
          </cell>
          <cell r="AB17">
            <v>38749.416180555556</v>
          </cell>
          <cell r="AC17" t="str">
            <v>AZA45</v>
          </cell>
          <cell r="AD17">
            <v>38798.459583333337</v>
          </cell>
          <cell r="AH17" t="str">
            <v>AZC55</v>
          </cell>
          <cell r="AI17">
            <v>38813.557152777779</v>
          </cell>
        </row>
        <row r="18">
          <cell r="A18" t="str">
            <v>AZA33</v>
          </cell>
          <cell r="B18" t="str">
            <v>00001592</v>
          </cell>
          <cell r="C18" t="str">
            <v>AZA31</v>
          </cell>
          <cell r="D18">
            <v>38726.730636574073</v>
          </cell>
          <cell r="E18" t="str">
            <v>AZA34</v>
          </cell>
          <cell r="F18">
            <v>38730.476851851854</v>
          </cell>
          <cell r="G18" t="str">
            <v>AZA37</v>
          </cell>
          <cell r="H18">
            <v>38733.594212962962</v>
          </cell>
          <cell r="I18" t="str">
            <v>AZA36</v>
          </cell>
          <cell r="J18">
            <v>38733.560532407406</v>
          </cell>
          <cell r="K18" t="str">
            <v>AZA69</v>
          </cell>
          <cell r="L18">
            <v>38768.413564814815</v>
          </cell>
          <cell r="M18" t="str">
            <v>AZA33</v>
          </cell>
          <cell r="N18">
            <v>38730.563287037039</v>
          </cell>
          <cell r="O18" t="str">
            <v>AZA53</v>
          </cell>
          <cell r="P18">
            <v>38754.37127314815</v>
          </cell>
          <cell r="Q18" t="str">
            <v>AZB70</v>
          </cell>
          <cell r="R18">
            <v>38775.437627314815</v>
          </cell>
          <cell r="S18" t="str">
            <v>AZA97</v>
          </cell>
          <cell r="T18">
            <v>38784.384062500001</v>
          </cell>
          <cell r="U18" t="str">
            <v>AZB74</v>
          </cell>
          <cell r="V18">
            <v>38778.348634259259</v>
          </cell>
          <cell r="W18" t="str">
            <v>AZA97</v>
          </cell>
          <cell r="X18">
            <v>38784.6716087963</v>
          </cell>
          <cell r="Y18" t="str">
            <v>AZB78</v>
          </cell>
          <cell r="Z18">
            <v>38797.322291666664</v>
          </cell>
          <cell r="AA18" t="str">
            <v>AZA43</v>
          </cell>
          <cell r="AB18">
            <v>38749.438287037039</v>
          </cell>
          <cell r="AC18" t="str">
            <v>AZA46</v>
          </cell>
          <cell r="AD18">
            <v>38798.4608912037</v>
          </cell>
          <cell r="AH18" t="str">
            <v>AZC33</v>
          </cell>
          <cell r="AI18">
            <v>38813.572280092594</v>
          </cell>
        </row>
        <row r="19">
          <cell r="A19" t="str">
            <v>AZA34</v>
          </cell>
          <cell r="B19" t="str">
            <v>00001593</v>
          </cell>
          <cell r="C19" t="str">
            <v>AZA32</v>
          </cell>
          <cell r="D19">
            <v>38727.630694444444</v>
          </cell>
          <cell r="E19" t="str">
            <v>AZA35</v>
          </cell>
          <cell r="F19">
            <v>38730.532986111109</v>
          </cell>
          <cell r="G19" t="str">
            <v>AZA39</v>
          </cell>
          <cell r="H19">
            <v>38734.323657407411</v>
          </cell>
          <cell r="I19" t="str">
            <v>AZA38</v>
          </cell>
          <cell r="J19">
            <v>38733.582777777781</v>
          </cell>
          <cell r="K19" t="str">
            <v>AZA69</v>
          </cell>
          <cell r="L19">
            <v>38768.413645833331</v>
          </cell>
          <cell r="M19" t="str">
            <v>AZA27</v>
          </cell>
          <cell r="N19">
            <v>38730.593738425923</v>
          </cell>
          <cell r="O19" t="str">
            <v>AZA57</v>
          </cell>
          <cell r="P19">
            <v>38754.371446759258</v>
          </cell>
          <cell r="Q19" t="str">
            <v>AZA83</v>
          </cell>
          <cell r="R19">
            <v>38776.354502314818</v>
          </cell>
          <cell r="S19" t="str">
            <v>AZB04</v>
          </cell>
          <cell r="T19">
            <v>38784.536446759259</v>
          </cell>
          <cell r="U19" t="str">
            <v>AZA90</v>
          </cell>
          <cell r="V19">
            <v>38778.382789351854</v>
          </cell>
          <cell r="W19" t="str">
            <v>AZA91</v>
          </cell>
          <cell r="X19">
            <v>38785.640775462962</v>
          </cell>
          <cell r="Y19" t="str">
            <v>AZA94</v>
          </cell>
          <cell r="Z19">
            <v>38797.330601851849</v>
          </cell>
          <cell r="AA19" t="str">
            <v>AZA54</v>
          </cell>
          <cell r="AB19">
            <v>38749.491423611114</v>
          </cell>
          <cell r="AC19" t="str">
            <v>AZA30</v>
          </cell>
          <cell r="AD19">
            <v>38799.411898148152</v>
          </cell>
          <cell r="AH19" t="str">
            <v>AZC38</v>
          </cell>
          <cell r="AI19">
            <v>38813.574456018519</v>
          </cell>
        </row>
        <row r="20">
          <cell r="A20" t="str">
            <v>AZA35</v>
          </cell>
          <cell r="B20" t="str">
            <v>00001594</v>
          </cell>
          <cell r="C20" t="str">
            <v>AZA33</v>
          </cell>
          <cell r="D20">
            <v>38727.631481481483</v>
          </cell>
          <cell r="E20" t="str">
            <v>AZA36</v>
          </cell>
          <cell r="F20">
            <v>38733.362719907411</v>
          </cell>
          <cell r="G20" t="str">
            <v>AZA41</v>
          </cell>
          <cell r="H20">
            <v>38734.514803240738</v>
          </cell>
          <cell r="I20" t="str">
            <v>AZA37</v>
          </cell>
          <cell r="J20">
            <v>38733.610081018516</v>
          </cell>
          <cell r="K20" t="str">
            <v>AZA82</v>
          </cell>
          <cell r="L20">
            <v>38768.577280092592</v>
          </cell>
          <cell r="M20" t="str">
            <v>AZA34</v>
          </cell>
          <cell r="N20">
            <v>38730.619490740741</v>
          </cell>
          <cell r="O20" t="str">
            <v>AZA67</v>
          </cell>
          <cell r="P20">
            <v>38765.521724537037</v>
          </cell>
          <cell r="Q20" t="str">
            <v>AZA85</v>
          </cell>
          <cell r="R20">
            <v>38776.380659722221</v>
          </cell>
          <cell r="S20" t="str">
            <v>AZA96</v>
          </cell>
          <cell r="T20">
            <v>38784.663518518515</v>
          </cell>
          <cell r="U20" t="str">
            <v>AZA81</v>
          </cell>
          <cell r="V20">
            <v>38778.51462962963</v>
          </cell>
          <cell r="W20" t="str">
            <v>AZB76</v>
          </cell>
          <cell r="X20">
            <v>38785.641284722224</v>
          </cell>
          <cell r="Y20" t="str">
            <v>AZA69</v>
          </cell>
          <cell r="Z20">
            <v>38797.357106481482</v>
          </cell>
          <cell r="AA20" t="str">
            <v>AZA57</v>
          </cell>
          <cell r="AB20">
            <v>38749.571921296294</v>
          </cell>
          <cell r="AC20" t="str">
            <v>AZA39</v>
          </cell>
          <cell r="AD20">
            <v>38799.414548611108</v>
          </cell>
          <cell r="AH20" t="str">
            <v>AZC30</v>
          </cell>
          <cell r="AI20">
            <v>38813.581967592596</v>
          </cell>
        </row>
        <row r="21">
          <cell r="A21" t="str">
            <v>AZA36</v>
          </cell>
          <cell r="B21" t="str">
            <v>00001595</v>
          </cell>
          <cell r="C21" t="str">
            <v>AZA34</v>
          </cell>
          <cell r="D21">
            <v>38727.633194444446</v>
          </cell>
          <cell r="E21" t="str">
            <v>AZA37</v>
          </cell>
          <cell r="F21">
            <v>38733.429224537038</v>
          </cell>
          <cell r="G21" t="str">
            <v>AZA42</v>
          </cell>
          <cell r="H21">
            <v>38734.523506944446</v>
          </cell>
          <cell r="I21" t="str">
            <v>AZA39</v>
          </cell>
          <cell r="J21">
            <v>38734.353622685187</v>
          </cell>
          <cell r="K21" t="str">
            <v>AZA82</v>
          </cell>
          <cell r="L21">
            <v>38768.577418981484</v>
          </cell>
          <cell r="M21" t="str">
            <v>AZA35</v>
          </cell>
          <cell r="N21">
            <v>38733.433680555558</v>
          </cell>
          <cell r="O21" t="str">
            <v>AZA73</v>
          </cell>
          <cell r="P21">
            <v>38765.603136574071</v>
          </cell>
          <cell r="Q21" t="str">
            <v>AZB73</v>
          </cell>
          <cell r="R21">
            <v>38776.535428240742</v>
          </cell>
          <cell r="S21" t="str">
            <v>AZB20</v>
          </cell>
          <cell r="T21">
            <v>38785.343634259261</v>
          </cell>
          <cell r="U21" t="str">
            <v>AZA92</v>
          </cell>
          <cell r="V21">
            <v>38778.540729166663</v>
          </cell>
          <cell r="W21" t="str">
            <v>AZA96</v>
          </cell>
          <cell r="X21">
            <v>38785.646493055552</v>
          </cell>
          <cell r="Y21" t="str">
            <v>AZA73</v>
          </cell>
          <cell r="Z21">
            <v>38797.3591087963</v>
          </cell>
          <cell r="AA21" t="str">
            <v>AZA53</v>
          </cell>
          <cell r="AB21">
            <v>38749.58079861111</v>
          </cell>
          <cell r="AC21" t="str">
            <v>AZA41</v>
          </cell>
          <cell r="AD21">
            <v>38799.415219907409</v>
          </cell>
          <cell r="AH21" t="str">
            <v>AZC72</v>
          </cell>
          <cell r="AI21">
            <v>38814.274768518517</v>
          </cell>
        </row>
        <row r="22">
          <cell r="A22" t="str">
            <v>AZA37</v>
          </cell>
          <cell r="B22" t="str">
            <v>00001596</v>
          </cell>
          <cell r="C22" t="str">
            <v>AZA35</v>
          </cell>
          <cell r="D22">
            <v>38727.681793981479</v>
          </cell>
          <cell r="E22" t="str">
            <v>AZA38</v>
          </cell>
          <cell r="F22">
            <v>38733.484456018516</v>
          </cell>
          <cell r="G22" t="str">
            <v>AZA44</v>
          </cell>
          <cell r="H22">
            <v>38734.585185185184</v>
          </cell>
          <cell r="I22" t="str">
            <v>AZA41</v>
          </cell>
          <cell r="J22">
            <v>38734.518368055556</v>
          </cell>
          <cell r="K22" t="str">
            <v>AZB70</v>
          </cell>
          <cell r="L22">
            <v>38768.610173611109</v>
          </cell>
          <cell r="M22" t="str">
            <v>AZA36</v>
          </cell>
          <cell r="N22">
            <v>38733.595960648148</v>
          </cell>
          <cell r="O22" t="str">
            <v>AZA55</v>
          </cell>
          <cell r="P22">
            <v>38768.38177083333</v>
          </cell>
          <cell r="Q22" t="str">
            <v>AZA81</v>
          </cell>
          <cell r="R22">
            <v>38776.614722222221</v>
          </cell>
          <cell r="S22" t="str">
            <v>AZB06</v>
          </cell>
          <cell r="T22">
            <v>38785.405613425923</v>
          </cell>
          <cell r="U22" t="str">
            <v>AZA85</v>
          </cell>
          <cell r="V22">
            <v>38778.587118055555</v>
          </cell>
          <cell r="W22" t="str">
            <v>AZB04</v>
          </cell>
          <cell r="X22">
            <v>38785.657210648147</v>
          </cell>
          <cell r="Y22" t="str">
            <v>AZB70</v>
          </cell>
          <cell r="Z22">
            <v>38797.359594907408</v>
          </cell>
          <cell r="AA22" t="str">
            <v>AZA41</v>
          </cell>
          <cell r="AB22">
            <v>38755.402511574073</v>
          </cell>
          <cell r="AC22" t="str">
            <v>AZA42</v>
          </cell>
          <cell r="AD22">
            <v>38799.416956018518</v>
          </cell>
          <cell r="AH22" t="str">
            <v>AZC69</v>
          </cell>
          <cell r="AI22">
            <v>38814.276469907411</v>
          </cell>
        </row>
        <row r="23">
          <cell r="A23" t="str">
            <v>AZA38</v>
          </cell>
          <cell r="B23" t="str">
            <v>00001597</v>
          </cell>
          <cell r="C23" t="str">
            <v>AZA36</v>
          </cell>
          <cell r="D23">
            <v>38727.683761574073</v>
          </cell>
          <cell r="E23" t="str">
            <v>AZA39</v>
          </cell>
          <cell r="F23">
            <v>38733.558715277781</v>
          </cell>
          <cell r="G23" t="str">
            <v>AZA45</v>
          </cell>
          <cell r="H23">
            <v>38734.611539351848</v>
          </cell>
          <cell r="I23" t="str">
            <v>AZA42</v>
          </cell>
          <cell r="J23">
            <v>38734.540509259263</v>
          </cell>
          <cell r="K23" t="str">
            <v>AZB70</v>
          </cell>
          <cell r="L23">
            <v>38768.610520833332</v>
          </cell>
          <cell r="M23" t="str">
            <v>AZA38</v>
          </cell>
          <cell r="N23">
            <v>38733.614976851852</v>
          </cell>
          <cell r="O23" t="str">
            <v>AZA72</v>
          </cell>
          <cell r="P23">
            <v>38768.430717592593</v>
          </cell>
          <cell r="Q23" t="str">
            <v>AZA87</v>
          </cell>
          <cell r="R23">
            <v>38776.623483796298</v>
          </cell>
          <cell r="S23" t="str">
            <v>AZB18</v>
          </cell>
          <cell r="T23">
            <v>38785.441921296297</v>
          </cell>
          <cell r="U23" t="str">
            <v>AZA75</v>
          </cell>
          <cell r="V23">
            <v>38779.363321759258</v>
          </cell>
          <cell r="W23" t="str">
            <v>AZB73</v>
          </cell>
          <cell r="X23">
            <v>38786.662523148145</v>
          </cell>
          <cell r="Y23" t="str">
            <v>AZA87</v>
          </cell>
          <cell r="Z23">
            <v>38797.361331018517</v>
          </cell>
          <cell r="AA23" t="str">
            <v>AZA56</v>
          </cell>
          <cell r="AB23">
            <v>38755.641006944446</v>
          </cell>
          <cell r="AC23" t="str">
            <v>AZA43</v>
          </cell>
          <cell r="AD23">
            <v>38799.417615740742</v>
          </cell>
          <cell r="AH23" t="str">
            <v>AZC63</v>
          </cell>
          <cell r="AI23">
            <v>38814.276655092595</v>
          </cell>
        </row>
        <row r="24">
          <cell r="A24" t="str">
            <v>AZA39</v>
          </cell>
          <cell r="B24" t="str">
            <v>00001598</v>
          </cell>
          <cell r="C24" t="str">
            <v>AZA37</v>
          </cell>
          <cell r="D24">
            <v>38727.684606481482</v>
          </cell>
          <cell r="E24" t="str">
            <v>AZA40</v>
          </cell>
          <cell r="F24">
            <v>38733.610925925925</v>
          </cell>
          <cell r="G24" t="str">
            <v>AZA43</v>
          </cell>
          <cell r="H24">
            <v>38735.373171296298</v>
          </cell>
          <cell r="I24" t="str">
            <v>AZA44</v>
          </cell>
          <cell r="J24">
            <v>38734.594375000001</v>
          </cell>
          <cell r="K24" t="str">
            <v>AZA70</v>
          </cell>
          <cell r="L24">
            <v>38769.320069444446</v>
          </cell>
          <cell r="M24" t="str">
            <v>AZA39</v>
          </cell>
          <cell r="N24">
            <v>38734.380740740744</v>
          </cell>
          <cell r="O24" t="str">
            <v>AZA69</v>
          </cell>
          <cell r="P24">
            <v>38768.466932870368</v>
          </cell>
          <cell r="Q24" t="str">
            <v>AZB74</v>
          </cell>
          <cell r="R24">
            <v>38777.356793981482</v>
          </cell>
          <cell r="S24" t="str">
            <v>AZB07</v>
          </cell>
          <cell r="T24">
            <v>38785.450370370374</v>
          </cell>
          <cell r="U24" t="str">
            <v>AZA95</v>
          </cell>
          <cell r="V24">
            <v>38782.274340277778</v>
          </cell>
          <cell r="W24" t="str">
            <v>AZA94</v>
          </cell>
          <cell r="X24">
            <v>38786.662951388891</v>
          </cell>
          <cell r="Y24" t="str">
            <v>AZB16</v>
          </cell>
          <cell r="Z24">
            <v>38797.364328703705</v>
          </cell>
          <cell r="AA24" t="str">
            <v>AZB71</v>
          </cell>
          <cell r="AB24">
            <v>38758.477893518517</v>
          </cell>
          <cell r="AC24" t="str">
            <v>AZA44</v>
          </cell>
          <cell r="AD24">
            <v>38799.418252314812</v>
          </cell>
          <cell r="AH24" t="str">
            <v>AZC68</v>
          </cell>
          <cell r="AI24">
            <v>38814.276828703703</v>
          </cell>
        </row>
        <row r="25">
          <cell r="A25" t="str">
            <v>AZA40</v>
          </cell>
          <cell r="B25" t="str">
            <v>00001599</v>
          </cell>
          <cell r="C25" t="str">
            <v>AZA38</v>
          </cell>
          <cell r="D25">
            <v>38729.323599537034</v>
          </cell>
          <cell r="E25" t="str">
            <v>AZA41</v>
          </cell>
          <cell r="F25">
            <v>38734.335243055553</v>
          </cell>
          <cell r="G25" t="str">
            <v>AZA40</v>
          </cell>
          <cell r="H25">
            <v>38735.416458333333</v>
          </cell>
          <cell r="I25" t="str">
            <v>AZA45</v>
          </cell>
          <cell r="J25">
            <v>38735.359479166669</v>
          </cell>
          <cell r="K25" t="str">
            <v>AZA70</v>
          </cell>
          <cell r="L25">
            <v>38769.320127314815</v>
          </cell>
          <cell r="M25" t="str">
            <v>AZA42</v>
          </cell>
          <cell r="N25">
            <v>38734.568159722221</v>
          </cell>
          <cell r="O25" t="str">
            <v>AZB69</v>
          </cell>
          <cell r="P25">
            <v>38768.485532407409</v>
          </cell>
          <cell r="Q25" t="str">
            <v>AZA90</v>
          </cell>
          <cell r="R25">
            <v>38777.397141203706</v>
          </cell>
          <cell r="S25" t="str">
            <v>AZA94</v>
          </cell>
          <cell r="T25">
            <v>38785.612974537034</v>
          </cell>
          <cell r="U25" t="str">
            <v>AZA88</v>
          </cell>
          <cell r="V25">
            <v>38783.332743055558</v>
          </cell>
          <cell r="W25" t="str">
            <v>AZB02</v>
          </cell>
          <cell r="X25">
            <v>38786.663807870369</v>
          </cell>
          <cell r="Y25" t="str">
            <v>AZA72</v>
          </cell>
          <cell r="Z25">
            <v>38797.365868055553</v>
          </cell>
          <cell r="AA25" t="str">
            <v>AZB20</v>
          </cell>
          <cell r="AB25">
            <v>38786.526817129627</v>
          </cell>
          <cell r="AC25" t="str">
            <v>AZA47</v>
          </cell>
          <cell r="AD25">
            <v>38799.418935185182</v>
          </cell>
          <cell r="AH25" t="str">
            <v>AZC29</v>
          </cell>
          <cell r="AI25">
            <v>38814.277013888888</v>
          </cell>
        </row>
        <row r="26">
          <cell r="A26" t="str">
            <v>AZA41</v>
          </cell>
          <cell r="B26" t="str">
            <v>00001600</v>
          </cell>
          <cell r="C26" t="str">
            <v>AZA39</v>
          </cell>
          <cell r="D26">
            <v>38729.324305555558</v>
          </cell>
          <cell r="E26" t="str">
            <v>AZA42</v>
          </cell>
          <cell r="F26">
            <v>38734.405127314814</v>
          </cell>
          <cell r="G26" t="str">
            <v>AZA64</v>
          </cell>
          <cell r="H26">
            <v>38736.643067129633</v>
          </cell>
          <cell r="I26" t="str">
            <v>AZA43</v>
          </cell>
          <cell r="J26">
            <v>38735.384502314817</v>
          </cell>
          <cell r="K26" t="str">
            <v>AZA71</v>
          </cell>
          <cell r="L26">
            <v>38769.339270833334</v>
          </cell>
          <cell r="M26" t="str">
            <v>AZA41</v>
          </cell>
          <cell r="N26">
            <v>38734.583043981482</v>
          </cell>
          <cell r="O26" t="str">
            <v>AZB70</v>
          </cell>
          <cell r="P26">
            <v>38768.647557870368</v>
          </cell>
          <cell r="Q26" t="str">
            <v>AZA92</v>
          </cell>
          <cell r="R26">
            <v>38777.595821759256</v>
          </cell>
          <cell r="S26" t="str">
            <v>AZA99</v>
          </cell>
          <cell r="T26">
            <v>38785.613113425927</v>
          </cell>
          <cell r="U26" t="str">
            <v>AZA97</v>
          </cell>
          <cell r="V26">
            <v>38784.671446759261</v>
          </cell>
          <cell r="W26" t="str">
            <v>AZA99</v>
          </cell>
          <cell r="X26">
            <v>38790.485254629632</v>
          </cell>
          <cell r="Y26" t="str">
            <v>AZB08</v>
          </cell>
          <cell r="Z26">
            <v>38797.366828703707</v>
          </cell>
          <cell r="AA26" t="str">
            <v>AZB72</v>
          </cell>
          <cell r="AB26">
            <v>38792.623391203706</v>
          </cell>
          <cell r="AC26" t="str">
            <v>AZA49</v>
          </cell>
          <cell r="AD26">
            <v>38799.420486111114</v>
          </cell>
          <cell r="AH26" t="str">
            <v>AZC50</v>
          </cell>
          <cell r="AI26">
            <v>38814.282719907409</v>
          </cell>
        </row>
        <row r="27">
          <cell r="A27" t="str">
            <v>AZA42</v>
          </cell>
          <cell r="B27" t="str">
            <v>00001601</v>
          </cell>
          <cell r="C27" t="str">
            <v>AZA40</v>
          </cell>
          <cell r="D27">
            <v>38729.324664351851</v>
          </cell>
          <cell r="E27" t="str">
            <v>AZA44</v>
          </cell>
          <cell r="F27">
            <v>38734.524618055555</v>
          </cell>
          <cell r="G27" t="str">
            <v>AZA22</v>
          </cell>
          <cell r="H27">
            <v>38738.485659722224</v>
          </cell>
          <cell r="I27" t="str">
            <v>AZA40</v>
          </cell>
          <cell r="J27">
            <v>38735.430856481478</v>
          </cell>
          <cell r="K27" t="str">
            <v>AZA71</v>
          </cell>
          <cell r="L27">
            <v>38769.339375000003</v>
          </cell>
          <cell r="M27" t="str">
            <v>AZA37</v>
          </cell>
          <cell r="N27">
            <v>38734.604247685187</v>
          </cell>
          <cell r="O27" t="str">
            <v>AZA70</v>
          </cell>
          <cell r="P27">
            <v>38769.360844907409</v>
          </cell>
          <cell r="Q27" t="str">
            <v>AZA88</v>
          </cell>
          <cell r="R27">
            <v>38778.341087962966</v>
          </cell>
          <cell r="S27" t="str">
            <v>AZB27</v>
          </cell>
          <cell r="T27">
            <v>38785.613240740742</v>
          </cell>
          <cell r="U27" t="str">
            <v>AZB04</v>
          </cell>
          <cell r="V27">
            <v>38785.302187499998</v>
          </cell>
          <cell r="W27" t="str">
            <v>AZB12</v>
          </cell>
          <cell r="X27">
            <v>38791.334664351853</v>
          </cell>
          <cell r="Y27" t="str">
            <v>AZB76</v>
          </cell>
          <cell r="Z27">
            <v>38797.459143518521</v>
          </cell>
          <cell r="AA27" t="str">
            <v>AZA89</v>
          </cell>
          <cell r="AB27">
            <v>38792.647557870368</v>
          </cell>
          <cell r="AC27" t="str">
            <v>AZA50</v>
          </cell>
          <cell r="AD27">
            <v>38799.421180555553</v>
          </cell>
          <cell r="AH27" t="str">
            <v>AZC15</v>
          </cell>
          <cell r="AI27">
            <v>38814.301620370374</v>
          </cell>
        </row>
        <row r="28">
          <cell r="A28" t="str">
            <v>AZA43</v>
          </cell>
          <cell r="B28" t="str">
            <v>00001602</v>
          </cell>
          <cell r="C28" t="str">
            <v>AZA41</v>
          </cell>
          <cell r="D28">
            <v>38729.741307870368</v>
          </cell>
          <cell r="E28" t="str">
            <v>AZA45</v>
          </cell>
          <cell r="F28">
            <v>38734.583402777775</v>
          </cell>
          <cell r="G28" t="str">
            <v>AZA46</v>
          </cell>
          <cell r="H28">
            <v>38740.624027777776</v>
          </cell>
          <cell r="I28" t="str">
            <v>AZA64</v>
          </cell>
          <cell r="J28">
            <v>38736.651030092595</v>
          </cell>
          <cell r="K28" t="str">
            <v>AZA74</v>
          </cell>
          <cell r="L28">
            <v>38769.35560185185</v>
          </cell>
          <cell r="M28" t="str">
            <v>AZA44</v>
          </cell>
          <cell r="N28">
            <v>38734.629965277774</v>
          </cell>
          <cell r="O28" t="str">
            <v>AZA71</v>
          </cell>
          <cell r="P28">
            <v>38769.387175925927</v>
          </cell>
          <cell r="Q28" t="str">
            <v>AZB72</v>
          </cell>
          <cell r="R28">
            <v>38778.343622685185</v>
          </cell>
          <cell r="S28" t="str">
            <v>AZB11</v>
          </cell>
          <cell r="T28">
            <v>38785.613379629627</v>
          </cell>
          <cell r="U28" t="str">
            <v>AZB76</v>
          </cell>
          <cell r="V28">
            <v>38785.491354166668</v>
          </cell>
          <cell r="W28" t="str">
            <v>AZB13</v>
          </cell>
          <cell r="X28">
            <v>38791.334861111114</v>
          </cell>
          <cell r="Y28" t="str">
            <v>AZB73</v>
          </cell>
          <cell r="Z28">
            <v>38797.470937500002</v>
          </cell>
          <cell r="AA28" t="str">
            <v>AZA99</v>
          </cell>
          <cell r="AB28">
            <v>38792.648657407408</v>
          </cell>
          <cell r="AC28" t="str">
            <v>AZA51</v>
          </cell>
          <cell r="AD28">
            <v>38799.421817129631</v>
          </cell>
          <cell r="AH28" t="str">
            <v>AZC54</v>
          </cell>
          <cell r="AI28">
            <v>38814.358634259261</v>
          </cell>
        </row>
        <row r="29">
          <cell r="A29" t="str">
            <v>AZA44</v>
          </cell>
          <cell r="B29" t="str">
            <v>00001603</v>
          </cell>
          <cell r="C29" t="str">
            <v>AZA42</v>
          </cell>
          <cell r="D29">
            <v>38729.742129629631</v>
          </cell>
          <cell r="E29" t="str">
            <v>AZA43</v>
          </cell>
          <cell r="F29">
            <v>38734.617210648146</v>
          </cell>
          <cell r="G29" t="str">
            <v>AZA47</v>
          </cell>
          <cell r="H29">
            <v>38741.31695601852</v>
          </cell>
          <cell r="I29" t="str">
            <v>AZA46</v>
          </cell>
          <cell r="J29">
            <v>38741.353888888887</v>
          </cell>
          <cell r="K29" t="str">
            <v>AZA74</v>
          </cell>
          <cell r="L29">
            <v>38769.355694444443</v>
          </cell>
          <cell r="M29" t="str">
            <v>AZA45</v>
          </cell>
          <cell r="N29">
            <v>38735.395543981482</v>
          </cell>
          <cell r="O29" t="str">
            <v>AZA74</v>
          </cell>
          <cell r="P29">
            <v>38769.423495370371</v>
          </cell>
          <cell r="Q29" t="str">
            <v>AZA95</v>
          </cell>
          <cell r="R29">
            <v>38779.465844907405</v>
          </cell>
          <cell r="S29" t="str">
            <v>AZB18</v>
          </cell>
          <cell r="T29">
            <v>38785.613506944443</v>
          </cell>
          <cell r="U29" t="str">
            <v>AZA91</v>
          </cell>
          <cell r="V29">
            <v>38785.525590277779</v>
          </cell>
          <cell r="W29" t="str">
            <v>AZB14</v>
          </cell>
          <cell r="X29">
            <v>38791.334988425922</v>
          </cell>
          <cell r="Y29" t="str">
            <v>AZB22</v>
          </cell>
          <cell r="Z29">
            <v>38797.47457175926</v>
          </cell>
          <cell r="AA29" t="str">
            <v>AZB39</v>
          </cell>
          <cell r="AB29">
            <v>38793.302094907405</v>
          </cell>
          <cell r="AC29" t="str">
            <v>AZA52</v>
          </cell>
          <cell r="AD29">
            <v>38799.422488425924</v>
          </cell>
          <cell r="AH29" t="str">
            <v>AZC61</v>
          </cell>
          <cell r="AI29">
            <v>38814.365254629629</v>
          </cell>
        </row>
        <row r="30">
          <cell r="A30" t="str">
            <v>AZA45</v>
          </cell>
          <cell r="B30" t="str">
            <v>00001604</v>
          </cell>
          <cell r="C30" t="str">
            <v>AZA44</v>
          </cell>
          <cell r="D30">
            <v>38729.74287037037</v>
          </cell>
          <cell r="E30" t="str">
            <v>AZA64</v>
          </cell>
          <cell r="F30">
            <v>38736.493622685186</v>
          </cell>
          <cell r="G30" t="str">
            <v>AZA48</v>
          </cell>
          <cell r="H30">
            <v>38741.504444444443</v>
          </cell>
          <cell r="I30" t="str">
            <v>AZA47</v>
          </cell>
          <cell r="J30">
            <v>38741.388020833336</v>
          </cell>
          <cell r="K30" t="str">
            <v>AZA79</v>
          </cell>
          <cell r="L30">
            <v>38769.39502314815</v>
          </cell>
          <cell r="M30" t="str">
            <v>AZA40</v>
          </cell>
          <cell r="N30">
            <v>38735.473530092589</v>
          </cell>
          <cell r="O30" t="str">
            <v>AZA79</v>
          </cell>
          <cell r="P30">
            <v>38769.453032407408</v>
          </cell>
          <cell r="Q30" t="str">
            <v>AZA91</v>
          </cell>
          <cell r="R30">
            <v>38779.468587962961</v>
          </cell>
          <cell r="S30" t="str">
            <v>AZA86</v>
          </cell>
          <cell r="T30">
            <v>38785.613611111112</v>
          </cell>
          <cell r="U30" t="str">
            <v>AZB27</v>
          </cell>
          <cell r="V30">
            <v>38786.386655092596</v>
          </cell>
          <cell r="W30" t="str">
            <v>AZB15</v>
          </cell>
          <cell r="X30">
            <v>38791.335092592592</v>
          </cell>
          <cell r="Y30" t="str">
            <v>AZB20</v>
          </cell>
          <cell r="Z30">
            <v>38797.486574074072</v>
          </cell>
          <cell r="AA30" t="str">
            <v>AZB78</v>
          </cell>
          <cell r="AB30">
            <v>38797.362858796296</v>
          </cell>
          <cell r="AC30" t="str">
            <v>AZA55</v>
          </cell>
          <cell r="AD30">
            <v>38799.423159722224</v>
          </cell>
          <cell r="AH30" t="str">
            <v>AZC42</v>
          </cell>
          <cell r="AI30">
            <v>38814.372002314813</v>
          </cell>
        </row>
        <row r="31">
          <cell r="A31" t="str">
            <v>AZA46</v>
          </cell>
          <cell r="B31" t="str">
            <v>00002029</v>
          </cell>
          <cell r="C31" t="str">
            <v>AZA45</v>
          </cell>
          <cell r="D31">
            <v>38729.743645833332</v>
          </cell>
          <cell r="E31" t="str">
            <v>AZA46</v>
          </cell>
          <cell r="F31">
            <v>38740.524560185186</v>
          </cell>
          <cell r="G31" t="str">
            <v>AZA50</v>
          </cell>
          <cell r="H31">
            <v>38742.434328703705</v>
          </cell>
          <cell r="I31" t="str">
            <v>AZA48</v>
          </cell>
          <cell r="J31">
            <v>38741.513171296298</v>
          </cell>
          <cell r="K31" t="str">
            <v>AZA79</v>
          </cell>
          <cell r="L31">
            <v>38769.39534722222</v>
          </cell>
          <cell r="M31" t="str">
            <v>AZA43</v>
          </cell>
          <cell r="N31">
            <v>38735.549722222226</v>
          </cell>
          <cell r="O31" t="str">
            <v>AZB71</v>
          </cell>
          <cell r="P31">
            <v>38769.453761574077</v>
          </cell>
          <cell r="Q31" t="str">
            <v>AZA89</v>
          </cell>
          <cell r="R31">
            <v>38779.623495370368</v>
          </cell>
          <cell r="S31" t="str">
            <v>AZB86</v>
          </cell>
          <cell r="T31">
            <v>38785.665960648148</v>
          </cell>
          <cell r="U31" t="str">
            <v>AZA94</v>
          </cell>
          <cell r="V31">
            <v>38786.467638888891</v>
          </cell>
          <cell r="W31" t="str">
            <v>AZB21</v>
          </cell>
          <cell r="X31">
            <v>38791.335173611114</v>
          </cell>
          <cell r="Y31" t="str">
            <v>AZB28</v>
          </cell>
          <cell r="Z31">
            <v>38797.489930555559</v>
          </cell>
          <cell r="AA31" t="str">
            <v>AZB11</v>
          </cell>
          <cell r="AB31">
            <v>38797.363020833334</v>
          </cell>
          <cell r="AC31" t="str">
            <v>AZA56</v>
          </cell>
          <cell r="AD31">
            <v>38799.423807870371</v>
          </cell>
          <cell r="AH31" t="str">
            <v>AZC51</v>
          </cell>
          <cell r="AI31">
            <v>38814.381412037037</v>
          </cell>
        </row>
        <row r="32">
          <cell r="A32" t="str">
            <v>AZA47</v>
          </cell>
          <cell r="B32" t="str">
            <v>00002030</v>
          </cell>
          <cell r="C32" t="str">
            <v>AZA43</v>
          </cell>
          <cell r="D32">
            <v>38730.681273148148</v>
          </cell>
          <cell r="E32" t="str">
            <v>AZA47</v>
          </cell>
          <cell r="F32">
            <v>38740.575023148151</v>
          </cell>
          <cell r="G32" t="str">
            <v>AZA55</v>
          </cell>
          <cell r="H32">
            <v>38743.43712962963</v>
          </cell>
          <cell r="I32" t="str">
            <v>AZA49</v>
          </cell>
          <cell r="J32">
            <v>38742.360138888886</v>
          </cell>
          <cell r="K32" t="str">
            <v>AZB71</v>
          </cell>
          <cell r="L32">
            <v>38769.441168981481</v>
          </cell>
          <cell r="M32" t="str">
            <v>AZA64</v>
          </cell>
          <cell r="N32">
            <v>38736.678344907406</v>
          </cell>
          <cell r="O32" t="str">
            <v>AZA76</v>
          </cell>
          <cell r="P32">
            <v>38769.57571759259</v>
          </cell>
          <cell r="Q32" t="str">
            <v>AZA98</v>
          </cell>
          <cell r="R32">
            <v>38782.269143518519</v>
          </cell>
          <cell r="S32" t="str">
            <v>AZB19</v>
          </cell>
          <cell r="T32">
            <v>38786.448240740741</v>
          </cell>
          <cell r="U32" t="str">
            <v>AZB19</v>
          </cell>
          <cell r="V32">
            <v>38786.53465277778</v>
          </cell>
          <cell r="W32" t="str">
            <v>AZB09</v>
          </cell>
          <cell r="X32">
            <v>38791.33525462963</v>
          </cell>
          <cell r="Y32" t="str">
            <v>AZB21</v>
          </cell>
          <cell r="Z32">
            <v>38797.506956018522</v>
          </cell>
          <cell r="AA32" t="str">
            <v>AZA90</v>
          </cell>
          <cell r="AB32">
            <v>38797.363171296296</v>
          </cell>
          <cell r="AC32" t="str">
            <v>AZA58</v>
          </cell>
          <cell r="AD32">
            <v>38799.424479166664</v>
          </cell>
          <cell r="AH32" t="str">
            <v>AZC26</v>
          </cell>
          <cell r="AI32">
            <v>38814.395752314813</v>
          </cell>
        </row>
        <row r="33">
          <cell r="A33" t="str">
            <v>AZA48</v>
          </cell>
          <cell r="B33" t="str">
            <v>00002031</v>
          </cell>
          <cell r="C33" t="str">
            <v>AZA64</v>
          </cell>
          <cell r="D33">
            <v>38735.831030092595</v>
          </cell>
          <cell r="E33" t="str">
            <v>AZA48</v>
          </cell>
          <cell r="F33">
            <v>38741.356145833335</v>
          </cell>
          <cell r="G33" t="str">
            <v>AZA56</v>
          </cell>
          <cell r="H33">
            <v>38743.538877314815</v>
          </cell>
          <cell r="I33" t="str">
            <v>AZA50</v>
          </cell>
          <cell r="J33">
            <v>38742.44771990741</v>
          </cell>
          <cell r="K33" t="str">
            <v>AZB71</v>
          </cell>
          <cell r="L33">
            <v>38769.44122685185</v>
          </cell>
          <cell r="M33" t="str">
            <v>AZA46</v>
          </cell>
          <cell r="N33">
            <v>38741.412743055553</v>
          </cell>
          <cell r="O33" t="str">
            <v>AZA77</v>
          </cell>
          <cell r="P33">
            <v>38769.595925925925</v>
          </cell>
          <cell r="Q33" t="str">
            <v>AZB05</v>
          </cell>
          <cell r="R33">
            <v>38783.321423611109</v>
          </cell>
          <cell r="S33" t="str">
            <v>AZB21</v>
          </cell>
          <cell r="T33">
            <v>38786.492314814815</v>
          </cell>
          <cell r="U33" t="str">
            <v>AZB06</v>
          </cell>
          <cell r="V33">
            <v>38789.262789351851</v>
          </cell>
          <cell r="W33" t="str">
            <v>AZB20</v>
          </cell>
          <cell r="X33">
            <v>38792.299004629633</v>
          </cell>
          <cell r="Y33" t="str">
            <v>AZA67</v>
          </cell>
          <cell r="Z33">
            <v>38797.51326388889</v>
          </cell>
          <cell r="AA33" t="str">
            <v>AZA94</v>
          </cell>
          <cell r="AB33">
            <v>38797.363321759258</v>
          </cell>
          <cell r="AH33" t="str">
            <v>AZC65</v>
          </cell>
          <cell r="AI33">
            <v>38814.413761574076</v>
          </cell>
        </row>
        <row r="34">
          <cell r="A34" t="str">
            <v>AZA49</v>
          </cell>
          <cell r="B34" t="str">
            <v>00002032</v>
          </cell>
          <cell r="C34" t="str">
            <v>AZA46</v>
          </cell>
          <cell r="D34">
            <v>38735.859340277777</v>
          </cell>
          <cell r="E34" t="str">
            <v>AZA49</v>
          </cell>
          <cell r="F34">
            <v>38741.419131944444</v>
          </cell>
          <cell r="G34" t="str">
            <v>AZA57</v>
          </cell>
          <cell r="H34">
            <v>38743.607372685183</v>
          </cell>
          <cell r="I34" t="str">
            <v>AZA51</v>
          </cell>
          <cell r="J34">
            <v>38743.321909722225</v>
          </cell>
          <cell r="K34" t="str">
            <v>AZA76</v>
          </cell>
          <cell r="L34">
            <v>38769.485405092593</v>
          </cell>
          <cell r="M34" t="str">
            <v>AZA47</v>
          </cell>
          <cell r="N34">
            <v>38741.449988425928</v>
          </cell>
          <cell r="O34" t="str">
            <v>AZA82</v>
          </cell>
          <cell r="P34">
            <v>38770.351793981485</v>
          </cell>
          <cell r="Q34" t="str">
            <v>AZB76</v>
          </cell>
          <cell r="R34">
            <v>38783.357488425929</v>
          </cell>
          <cell r="S34" t="str">
            <v>AZB16</v>
          </cell>
          <cell r="T34">
            <v>38786.492476851854</v>
          </cell>
          <cell r="U34" t="str">
            <v>AZB17</v>
          </cell>
          <cell r="V34">
            <v>38789.268750000003</v>
          </cell>
          <cell r="W34" t="str">
            <v>AZB22</v>
          </cell>
          <cell r="X34">
            <v>38792.299837962964</v>
          </cell>
          <cell r="Y34" t="str">
            <v>AZB15</v>
          </cell>
          <cell r="Z34">
            <v>38797.516412037039</v>
          </cell>
          <cell r="AA34" t="str">
            <v>AZB04</v>
          </cell>
          <cell r="AB34">
            <v>38797.36347222222</v>
          </cell>
          <cell r="AH34" t="str">
            <v>AZC41</v>
          </cell>
          <cell r="AI34">
            <v>38814.414571759262</v>
          </cell>
        </row>
        <row r="35">
          <cell r="A35" t="str">
            <v>AZA50</v>
          </cell>
          <cell r="B35" t="str">
            <v>00002151</v>
          </cell>
          <cell r="C35" t="str">
            <v>AZA47</v>
          </cell>
          <cell r="D35">
            <v>38735.861747685187</v>
          </cell>
          <cell r="E35" t="str">
            <v>AZA50</v>
          </cell>
          <cell r="F35">
            <v>38741.475902777776</v>
          </cell>
          <cell r="G35" t="str">
            <v>AZA58</v>
          </cell>
          <cell r="H35">
            <v>38744.370486111111</v>
          </cell>
          <cell r="I35" t="str">
            <v>AZA52</v>
          </cell>
          <cell r="J35">
            <v>38743.330706018518</v>
          </cell>
          <cell r="K35" t="str">
            <v>AZA76</v>
          </cell>
          <cell r="L35">
            <v>38769.485462962963</v>
          </cell>
          <cell r="M35" t="str">
            <v>AZA48</v>
          </cell>
          <cell r="N35">
            <v>38741.548819444448</v>
          </cell>
          <cell r="O35" t="str">
            <v>AZA78</v>
          </cell>
          <cell r="P35">
            <v>38770.422372685185</v>
          </cell>
          <cell r="Q35" t="str">
            <v>AZB00</v>
          </cell>
          <cell r="R35">
            <v>38783.36042824074</v>
          </cell>
          <cell r="S35" t="str">
            <v>AZB19</v>
          </cell>
          <cell r="T35">
            <v>38786.497754629629</v>
          </cell>
          <cell r="U35" t="str">
            <v>AZB03</v>
          </cell>
          <cell r="V35">
            <v>38789.278425925928</v>
          </cell>
          <cell r="W35" t="str">
            <v>AZB23</v>
          </cell>
          <cell r="X35">
            <v>38792.30060185185</v>
          </cell>
          <cell r="Y35" t="str">
            <v>AZB09</v>
          </cell>
          <cell r="Z35">
            <v>38797.521817129629</v>
          </cell>
          <cell r="AA35" t="str">
            <v>AZA33</v>
          </cell>
          <cell r="AB35">
            <v>38797.368900462963</v>
          </cell>
          <cell r="AH35" t="str">
            <v>AZC57</v>
          </cell>
          <cell r="AI35">
            <v>38814.414930555555</v>
          </cell>
        </row>
        <row r="36">
          <cell r="A36" t="str">
            <v>AZA51</v>
          </cell>
          <cell r="B36" t="str">
            <v>00002034</v>
          </cell>
          <cell r="C36" t="str">
            <v>AZA48</v>
          </cell>
          <cell r="D36">
            <v>38735.86210648148</v>
          </cell>
          <cell r="E36" t="str">
            <v>AZA51</v>
          </cell>
          <cell r="F36">
            <v>38742.335069444445</v>
          </cell>
          <cell r="G36" t="str">
            <v>AZA59</v>
          </cell>
          <cell r="H36">
            <v>38744.389432870368</v>
          </cell>
          <cell r="I36" t="str">
            <v>AZA53</v>
          </cell>
          <cell r="J36">
            <v>38743.350995370369</v>
          </cell>
          <cell r="K36" t="str">
            <v>AZA77</v>
          </cell>
          <cell r="L36">
            <v>38769.554293981484</v>
          </cell>
          <cell r="M36" t="str">
            <v>AZA49</v>
          </cell>
          <cell r="N36">
            <v>38742.395173611112</v>
          </cell>
          <cell r="O36" t="str">
            <v>AZA80</v>
          </cell>
          <cell r="P36">
            <v>38770.449675925927</v>
          </cell>
          <cell r="Q36" t="str">
            <v>AZA97</v>
          </cell>
          <cell r="R36">
            <v>38783.383368055554</v>
          </cell>
          <cell r="S36" t="str">
            <v>AZB17</v>
          </cell>
          <cell r="T36">
            <v>38786.592187499999</v>
          </cell>
          <cell r="U36" t="str">
            <v>AZB15</v>
          </cell>
          <cell r="V36">
            <v>38789.281261574077</v>
          </cell>
          <cell r="W36" t="str">
            <v>AZB28</v>
          </cell>
          <cell r="X36">
            <v>38792.30133101852</v>
          </cell>
          <cell r="Y36" t="str">
            <v>AZB23</v>
          </cell>
          <cell r="Z36">
            <v>38797.523159722223</v>
          </cell>
          <cell r="AA36" t="str">
            <v>AZA71</v>
          </cell>
          <cell r="AB36">
            <v>38797.370138888888</v>
          </cell>
          <cell r="AH36" t="str">
            <v>AZC16</v>
          </cell>
          <cell r="AI36">
            <v>38814.415081018517</v>
          </cell>
        </row>
        <row r="37">
          <cell r="A37" t="str">
            <v>AZA52</v>
          </cell>
          <cell r="B37" t="str">
            <v>00002035</v>
          </cell>
          <cell r="C37" t="str">
            <v>AZA49</v>
          </cell>
          <cell r="D37">
            <v>38736.688726851855</v>
          </cell>
          <cell r="E37" t="str">
            <v>AZA52</v>
          </cell>
          <cell r="F37">
            <v>38742.397499999999</v>
          </cell>
          <cell r="G37" t="str">
            <v>AZB71</v>
          </cell>
          <cell r="H37">
            <v>38757.457465277781</v>
          </cell>
          <cell r="I37" t="str">
            <v>AZA54</v>
          </cell>
          <cell r="J37">
            <v>38743.367256944446</v>
          </cell>
          <cell r="K37" t="str">
            <v>AZA77</v>
          </cell>
          <cell r="L37">
            <v>38769.554409722223</v>
          </cell>
          <cell r="M37" t="str">
            <v>AZA50</v>
          </cell>
          <cell r="N37">
            <v>38742.478194444448</v>
          </cell>
          <cell r="O37" t="str">
            <v>AZA84</v>
          </cell>
          <cell r="P37">
            <v>38770.650416666664</v>
          </cell>
          <cell r="Q37" t="str">
            <v>AZA99</v>
          </cell>
          <cell r="R37">
            <v>38783.386099537034</v>
          </cell>
          <cell r="S37" t="str">
            <v>AZB03</v>
          </cell>
          <cell r="T37">
            <v>38786.627233796295</v>
          </cell>
          <cell r="U37" t="str">
            <v>AZB21</v>
          </cell>
          <cell r="V37">
            <v>38789.309108796297</v>
          </cell>
          <cell r="W37" t="str">
            <v>AZB30</v>
          </cell>
          <cell r="X37">
            <v>38792.301840277774</v>
          </cell>
          <cell r="Y37" t="str">
            <v>AZB46</v>
          </cell>
          <cell r="Z37">
            <v>38800.60434027778</v>
          </cell>
          <cell r="AA37" t="str">
            <v>AZA28</v>
          </cell>
          <cell r="AB37">
            <v>38797.389305555553</v>
          </cell>
          <cell r="AH37" t="str">
            <v>AZC32</v>
          </cell>
          <cell r="AI37">
            <v>38814.426134259258</v>
          </cell>
        </row>
        <row r="38">
          <cell r="A38" t="str">
            <v>AZA53</v>
          </cell>
          <cell r="B38" t="str">
            <v>00002036</v>
          </cell>
          <cell r="C38" t="str">
            <v>AZA50</v>
          </cell>
          <cell r="D38">
            <v>38736.689212962963</v>
          </cell>
          <cell r="E38" t="str">
            <v>AZA53</v>
          </cell>
          <cell r="F38">
            <v>38742.46980324074</v>
          </cell>
          <cell r="G38" t="str">
            <v>AZA67</v>
          </cell>
          <cell r="H38">
            <v>38765.428622685184</v>
          </cell>
          <cell r="I38" t="str">
            <v>AZA55</v>
          </cell>
          <cell r="J38">
            <v>38743.446226851855</v>
          </cell>
          <cell r="K38" t="str">
            <v>AZA81</v>
          </cell>
          <cell r="L38">
            <v>38770.364444444444</v>
          </cell>
          <cell r="M38" t="str">
            <v>AZA51</v>
          </cell>
          <cell r="N38">
            <v>38743.351759259262</v>
          </cell>
          <cell r="O38" t="str">
            <v>AZB75</v>
          </cell>
          <cell r="P38">
            <v>38771.418124999997</v>
          </cell>
          <cell r="Q38" t="str">
            <v>AZB04</v>
          </cell>
          <cell r="R38">
            <v>38783.413391203707</v>
          </cell>
          <cell r="S38" t="str">
            <v>AZB12</v>
          </cell>
          <cell r="T38">
            <v>38786.627696759257</v>
          </cell>
          <cell r="U38" t="str">
            <v>AZB26</v>
          </cell>
          <cell r="V38">
            <v>38789.367777777778</v>
          </cell>
          <cell r="W38" t="str">
            <v>AZB78</v>
          </cell>
          <cell r="X38">
            <v>38792.303564814814</v>
          </cell>
          <cell r="Y38" t="str">
            <v>AZB36</v>
          </cell>
          <cell r="Z38">
            <v>38803.346921296295</v>
          </cell>
          <cell r="AA38" t="str">
            <v>AZA36</v>
          </cell>
          <cell r="AB38">
            <v>38797.396898148145</v>
          </cell>
          <cell r="AH38" t="str">
            <v>AZC59</v>
          </cell>
          <cell r="AI38">
            <v>38814.469282407408</v>
          </cell>
        </row>
        <row r="39">
          <cell r="A39" t="str">
            <v>AZA54</v>
          </cell>
          <cell r="B39" t="str">
            <v>00002152</v>
          </cell>
          <cell r="C39" t="str">
            <v>AZA51</v>
          </cell>
          <cell r="D39">
            <v>38736.689722222225</v>
          </cell>
          <cell r="E39" t="str">
            <v>AZA54</v>
          </cell>
          <cell r="F39">
            <v>38742.518437500003</v>
          </cell>
          <cell r="G39" t="str">
            <v>AZA73</v>
          </cell>
          <cell r="H39">
            <v>38765.444884259261</v>
          </cell>
          <cell r="I39" t="str">
            <v>AZA56</v>
          </cell>
          <cell r="J39">
            <v>38743.562199074076</v>
          </cell>
          <cell r="K39" t="str">
            <v>AZA81</v>
          </cell>
          <cell r="L39">
            <v>38770.364525462966</v>
          </cell>
          <cell r="M39" t="str">
            <v>AZA52</v>
          </cell>
          <cell r="N39">
            <v>38743.369606481479</v>
          </cell>
          <cell r="O39" t="str">
            <v>AZA85</v>
          </cell>
          <cell r="P39">
            <v>38771.498124999998</v>
          </cell>
          <cell r="Q39" t="str">
            <v>AZB06</v>
          </cell>
          <cell r="R39">
            <v>38783.415150462963</v>
          </cell>
          <cell r="S39" t="str">
            <v>AZB15</v>
          </cell>
          <cell r="T39">
            <v>38786.628125000003</v>
          </cell>
          <cell r="U39" t="str">
            <v>AZB11</v>
          </cell>
          <cell r="V39">
            <v>38790.261504629627</v>
          </cell>
          <cell r="W39" t="str">
            <v>AZB08</v>
          </cell>
          <cell r="X39">
            <v>38792.338692129626</v>
          </cell>
          <cell r="Y39" t="str">
            <v>AZB12</v>
          </cell>
          <cell r="Z39">
            <v>38803.348969907405</v>
          </cell>
          <cell r="AA39" t="str">
            <v>AZA51</v>
          </cell>
          <cell r="AB39">
            <v>38797.400821759256</v>
          </cell>
          <cell r="AH39" t="str">
            <v>AZC62</v>
          </cell>
          <cell r="AI39">
            <v>38814.481041666666</v>
          </cell>
        </row>
        <row r="40">
          <cell r="A40" t="str">
            <v>AZA55</v>
          </cell>
          <cell r="B40" t="str">
            <v>00002038</v>
          </cell>
          <cell r="C40" t="str">
            <v>AZA52</v>
          </cell>
          <cell r="D40">
            <v>38736.690081018518</v>
          </cell>
          <cell r="E40" t="str">
            <v>AZA55</v>
          </cell>
          <cell r="F40">
            <v>38743.333055555559</v>
          </cell>
          <cell r="G40" t="str">
            <v>AZB69</v>
          </cell>
          <cell r="H40">
            <v>38765.554988425924</v>
          </cell>
          <cell r="I40" t="str">
            <v>AZA57</v>
          </cell>
          <cell r="J40">
            <v>38743.613819444443</v>
          </cell>
          <cell r="K40" t="str">
            <v>AZA78</v>
          </cell>
          <cell r="L40">
            <v>38770.366736111115</v>
          </cell>
          <cell r="M40" t="str">
            <v>AZA53</v>
          </cell>
          <cell r="N40">
            <v>38743.392500000002</v>
          </cell>
          <cell r="O40" t="str">
            <v>AZA83</v>
          </cell>
          <cell r="P40">
            <v>38771.526203703703</v>
          </cell>
          <cell r="Q40" t="str">
            <v>AZB20</v>
          </cell>
          <cell r="R40">
            <v>38783.41746527778</v>
          </cell>
          <cell r="S40" t="str">
            <v>AZB22</v>
          </cell>
          <cell r="T40">
            <v>38789.332025462965</v>
          </cell>
          <cell r="U40" t="str">
            <v>AZB22</v>
          </cell>
          <cell r="V40">
            <v>38790.288263888891</v>
          </cell>
          <cell r="W40" t="str">
            <v>AZB79</v>
          </cell>
          <cell r="X40">
            <v>38793.25986111111</v>
          </cell>
          <cell r="Y40" t="str">
            <v>AZB40</v>
          </cell>
          <cell r="Z40">
            <v>38803.35019675926</v>
          </cell>
          <cell r="AA40" t="str">
            <v>AZA59</v>
          </cell>
          <cell r="AB40">
            <v>38797.404733796298</v>
          </cell>
          <cell r="AH40" t="str">
            <v>AZC45</v>
          </cell>
          <cell r="AI40">
            <v>38814.493680555555</v>
          </cell>
        </row>
        <row r="41">
          <cell r="A41" t="str">
            <v>AZA56</v>
          </cell>
          <cell r="B41" t="str">
            <v>00002039</v>
          </cell>
          <cell r="C41" t="str">
            <v>AZA53</v>
          </cell>
          <cell r="D41">
            <v>38737.586956018517</v>
          </cell>
          <cell r="E41" t="str">
            <v>AZA56</v>
          </cell>
          <cell r="F41">
            <v>38743.399930555555</v>
          </cell>
          <cell r="G41" t="str">
            <v>AZA69</v>
          </cell>
          <cell r="H41">
            <v>38765.580787037034</v>
          </cell>
          <cell r="I41" t="str">
            <v>AZA58</v>
          </cell>
          <cell r="J41">
            <v>38744.37773148148</v>
          </cell>
          <cell r="K41" t="str">
            <v>AZA78</v>
          </cell>
          <cell r="L41">
            <v>38770.366782407407</v>
          </cell>
          <cell r="M41" t="str">
            <v>AZA54</v>
          </cell>
          <cell r="N41">
            <v>38743.403912037036</v>
          </cell>
          <cell r="O41" t="str">
            <v>AZA81</v>
          </cell>
          <cell r="P41">
            <v>38775.407199074078</v>
          </cell>
          <cell r="Q41" t="str">
            <v>AZA86</v>
          </cell>
          <cell r="R41">
            <v>38783.485601851855</v>
          </cell>
          <cell r="S41" t="str">
            <v>AZB26</v>
          </cell>
          <cell r="T41">
            <v>38789.336921296293</v>
          </cell>
          <cell r="U41" t="str">
            <v>AZB10</v>
          </cell>
          <cell r="V41">
            <v>38790.368993055556</v>
          </cell>
          <cell r="W41" t="str">
            <v>AZB10</v>
          </cell>
          <cell r="X41">
            <v>38793.262939814813</v>
          </cell>
          <cell r="Y41" t="str">
            <v>AZB33</v>
          </cell>
          <cell r="Z41">
            <v>38803.357604166667</v>
          </cell>
          <cell r="AA41" t="str">
            <v>AZA30</v>
          </cell>
          <cell r="AB41">
            <v>38797.407233796293</v>
          </cell>
          <cell r="AH41" t="str">
            <v>AZC34</v>
          </cell>
          <cell r="AI41">
            <v>38814.524456018517</v>
          </cell>
        </row>
        <row r="42">
          <cell r="A42" t="str">
            <v>AZA57</v>
          </cell>
          <cell r="B42" t="str">
            <v>00002040</v>
          </cell>
          <cell r="C42" t="str">
            <v>AZA54</v>
          </cell>
          <cell r="D42">
            <v>38737.587824074071</v>
          </cell>
          <cell r="E42" t="str">
            <v>AZA57</v>
          </cell>
          <cell r="F42">
            <v>38743.429247685184</v>
          </cell>
          <cell r="G42" t="str">
            <v>AZA72</v>
          </cell>
          <cell r="H42">
            <v>38768.322048611109</v>
          </cell>
          <cell r="I42" t="str">
            <v>AZA59</v>
          </cell>
          <cell r="J42">
            <v>38744.600578703707</v>
          </cell>
          <cell r="K42" t="str">
            <v>AZA80</v>
          </cell>
          <cell r="L42">
            <v>38770.403310185182</v>
          </cell>
          <cell r="M42" t="str">
            <v>AZA55</v>
          </cell>
          <cell r="N42">
            <v>38743.486030092594</v>
          </cell>
          <cell r="O42" t="str">
            <v>AZA87</v>
          </cell>
          <cell r="P42">
            <v>38776.361793981479</v>
          </cell>
          <cell r="Q42" t="str">
            <v>AZA96</v>
          </cell>
          <cell r="R42">
            <v>38783.496354166666</v>
          </cell>
          <cell r="S42" t="str">
            <v>AZB14</v>
          </cell>
          <cell r="T42">
            <v>38789.468923611108</v>
          </cell>
          <cell r="U42" t="str">
            <v>AZB09</v>
          </cell>
          <cell r="V42">
            <v>38790.494409722225</v>
          </cell>
          <cell r="W42" t="str">
            <v>AZB17</v>
          </cell>
          <cell r="X42">
            <v>38793.264953703707</v>
          </cell>
          <cell r="Y42" t="str">
            <v>AZB37</v>
          </cell>
          <cell r="Z42">
            <v>38803.357997685183</v>
          </cell>
          <cell r="AA42" t="str">
            <v>AZA31</v>
          </cell>
          <cell r="AB42">
            <v>38797.421550925923</v>
          </cell>
          <cell r="AH42" t="str">
            <v>AZC20</v>
          </cell>
          <cell r="AI42">
            <v>38814.525925925926</v>
          </cell>
        </row>
        <row r="43">
          <cell r="A43" t="str">
            <v>AZA58</v>
          </cell>
          <cell r="B43" t="str">
            <v>00002041</v>
          </cell>
          <cell r="C43" t="str">
            <v>AZA55</v>
          </cell>
          <cell r="D43">
            <v>38737.588564814818</v>
          </cell>
          <cell r="E43" t="str">
            <v>AZA58</v>
          </cell>
          <cell r="F43">
            <v>38743.574016203704</v>
          </cell>
          <cell r="G43" t="str">
            <v>AZA82</v>
          </cell>
          <cell r="H43">
            <v>38768.484351851854</v>
          </cell>
          <cell r="I43" t="str">
            <v>AZB71</v>
          </cell>
          <cell r="J43">
            <v>38757.465682870374</v>
          </cell>
          <cell r="K43" t="str">
            <v>AZA80</v>
          </cell>
          <cell r="L43">
            <v>38770.403402777774</v>
          </cell>
          <cell r="M43" t="str">
            <v>AZA56</v>
          </cell>
          <cell r="N43">
            <v>38743.591145833336</v>
          </cell>
          <cell r="O43" t="str">
            <v>AZB73</v>
          </cell>
          <cell r="P43">
            <v>38776.362962962965</v>
          </cell>
          <cell r="Q43" t="str">
            <v>AZB01</v>
          </cell>
          <cell r="R43">
            <v>38783.499050925922</v>
          </cell>
          <cell r="S43" t="str">
            <v>AZB13</v>
          </cell>
          <cell r="T43">
            <v>38789.620625000003</v>
          </cell>
          <cell r="U43" t="str">
            <v>AZB08</v>
          </cell>
          <cell r="V43">
            <v>38791.397905092592</v>
          </cell>
          <cell r="W43" t="str">
            <v>AZB23</v>
          </cell>
          <cell r="X43">
            <v>38793.267268518517</v>
          </cell>
          <cell r="Y43" t="str">
            <v>AZB31</v>
          </cell>
          <cell r="Z43">
            <v>38803.36141203704</v>
          </cell>
          <cell r="AA43" t="str">
            <v>AZA42</v>
          </cell>
          <cell r="AB43">
            <v>38797.423831018517</v>
          </cell>
          <cell r="AH43" t="str">
            <v>AZC37</v>
          </cell>
          <cell r="AI43">
            <v>38814.527777777781</v>
          </cell>
        </row>
        <row r="44">
          <cell r="A44" t="str">
            <v>AZA59</v>
          </cell>
          <cell r="B44" t="str">
            <v>00002042</v>
          </cell>
          <cell r="C44" t="str">
            <v>AZA56</v>
          </cell>
          <cell r="D44">
            <v>38737.589282407411</v>
          </cell>
          <cell r="E44" t="str">
            <v>AZA59</v>
          </cell>
          <cell r="F44">
            <v>38743.644930555558</v>
          </cell>
          <cell r="G44" t="str">
            <v>AZB70</v>
          </cell>
          <cell r="H44">
            <v>38768.583032407405</v>
          </cell>
          <cell r="I44" t="str">
            <v>AZA67</v>
          </cell>
          <cell r="J44">
            <v>38765.438657407409</v>
          </cell>
          <cell r="K44" t="str">
            <v>AZA84</v>
          </cell>
          <cell r="L44">
            <v>38770.481793981482</v>
          </cell>
          <cell r="M44" t="str">
            <v>AZA57</v>
          </cell>
          <cell r="N44">
            <v>38744.392314814817</v>
          </cell>
          <cell r="O44" t="str">
            <v>AZB74</v>
          </cell>
          <cell r="P44">
            <v>38776.399039351854</v>
          </cell>
          <cell r="Q44" t="str">
            <v>AZB02</v>
          </cell>
          <cell r="R44">
            <v>38783.502893518518</v>
          </cell>
          <cell r="S44" t="str">
            <v>AZB10</v>
          </cell>
          <cell r="T44">
            <v>38789.671631944446</v>
          </cell>
          <cell r="U44" t="str">
            <v>AZB30</v>
          </cell>
          <cell r="V44">
            <v>38791.443182870367</v>
          </cell>
          <cell r="W44" t="str">
            <v>AZB83</v>
          </cell>
          <cell r="X44">
            <v>38793.668194444443</v>
          </cell>
          <cell r="Y44" t="str">
            <v>AZA96</v>
          </cell>
          <cell r="Z44">
            <v>38803.370486111111</v>
          </cell>
          <cell r="AA44" t="str">
            <v>AZA27</v>
          </cell>
          <cell r="AB44">
            <v>38797.429386574076</v>
          </cell>
          <cell r="AH44" t="str">
            <v>AZC24</v>
          </cell>
          <cell r="AI44">
            <v>38814.542893518519</v>
          </cell>
        </row>
        <row r="45">
          <cell r="A45" t="str">
            <v>AZA61</v>
          </cell>
          <cell r="B45" t="str">
            <v>00002089</v>
          </cell>
          <cell r="C45" t="str">
            <v>AZA57</v>
          </cell>
          <cell r="D45">
            <v>38740.559224537035</v>
          </cell>
          <cell r="E45" t="str">
            <v>AZB71</v>
          </cell>
          <cell r="F45">
            <v>38757.434606481482</v>
          </cell>
          <cell r="G45" t="str">
            <v>AZA70</v>
          </cell>
          <cell r="H45">
            <v>38768.588576388887</v>
          </cell>
          <cell r="I45" t="str">
            <v>AZA73</v>
          </cell>
          <cell r="J45">
            <v>38765.453958333332</v>
          </cell>
          <cell r="K45" t="str">
            <v>AZA84</v>
          </cell>
          <cell r="L45">
            <v>38770.481851851851</v>
          </cell>
          <cell r="M45" t="str">
            <v>AZA58</v>
          </cell>
          <cell r="N45">
            <v>38744.628854166665</v>
          </cell>
          <cell r="O45" t="str">
            <v>AZA88</v>
          </cell>
          <cell r="P45">
            <v>38776.444502314815</v>
          </cell>
          <cell r="Q45" t="str">
            <v>AZB18</v>
          </cell>
          <cell r="R45">
            <v>38785.273113425923</v>
          </cell>
          <cell r="S45" t="str">
            <v>AZB09</v>
          </cell>
          <cell r="T45">
            <v>38789.671724537038</v>
          </cell>
          <cell r="U45" t="str">
            <v>AZB33</v>
          </cell>
          <cell r="V45">
            <v>38792.297291666669</v>
          </cell>
          <cell r="W45" t="str">
            <v>AZB41</v>
          </cell>
          <cell r="X45">
            <v>38793.668726851851</v>
          </cell>
          <cell r="Y45" t="str">
            <v>AZA97</v>
          </cell>
          <cell r="Z45">
            <v>38803.371851851851</v>
          </cell>
          <cell r="AA45" t="str">
            <v>AZA34</v>
          </cell>
          <cell r="AB45">
            <v>38797.433379629627</v>
          </cell>
          <cell r="AH45" t="str">
            <v>AZC48</v>
          </cell>
          <cell r="AI45">
            <v>38814.588159722225</v>
          </cell>
        </row>
        <row r="46">
          <cell r="A46" t="str">
            <v>AZA62</v>
          </cell>
          <cell r="B46" t="str">
            <v>00002090</v>
          </cell>
          <cell r="C46" t="str">
            <v>AZA58</v>
          </cell>
          <cell r="D46">
            <v>38740.559999999998</v>
          </cell>
          <cell r="E46" t="str">
            <v>AZB69</v>
          </cell>
          <cell r="F46">
            <v>38764.475428240738</v>
          </cell>
          <cell r="G46" t="str">
            <v>AZA71</v>
          </cell>
          <cell r="H46">
            <v>38768.62122685185</v>
          </cell>
          <cell r="I46" t="str">
            <v>AZB69</v>
          </cell>
          <cell r="J46">
            <v>38765.563020833331</v>
          </cell>
          <cell r="K46" t="str">
            <v>AZB75</v>
          </cell>
          <cell r="L46">
            <v>38771.383993055555</v>
          </cell>
          <cell r="M46" t="str">
            <v>AZA59</v>
          </cell>
          <cell r="N46">
            <v>38750.353298611109</v>
          </cell>
          <cell r="O46" t="str">
            <v>AZA89</v>
          </cell>
          <cell r="P46">
            <v>38776.588078703702</v>
          </cell>
          <cell r="Q46" t="str">
            <v>AZA94</v>
          </cell>
          <cell r="R46">
            <v>38785.275254629632</v>
          </cell>
          <cell r="S46" t="str">
            <v>AZB79</v>
          </cell>
          <cell r="T46">
            <v>38790.496215277781</v>
          </cell>
          <cell r="U46" t="str">
            <v>AZB20</v>
          </cell>
          <cell r="V46">
            <v>38792.297893518517</v>
          </cell>
          <cell r="W46" t="str">
            <v>AZB34</v>
          </cell>
          <cell r="X46">
            <v>38793.669247685182</v>
          </cell>
          <cell r="Y46" t="str">
            <v>AZB34</v>
          </cell>
          <cell r="Z46">
            <v>38803.585243055553</v>
          </cell>
          <cell r="AA46" t="str">
            <v>AZA58</v>
          </cell>
          <cell r="AB46">
            <v>38797.448657407411</v>
          </cell>
          <cell r="AH46" t="str">
            <v>AZC40</v>
          </cell>
          <cell r="AI46">
            <v>38817.264293981483</v>
          </cell>
        </row>
        <row r="47">
          <cell r="A47" t="str">
            <v>AZA63</v>
          </cell>
          <cell r="B47" t="str">
            <v>00002091</v>
          </cell>
          <cell r="C47" t="str">
            <v>AZA59</v>
          </cell>
          <cell r="D47">
            <v>38740.560358796298</v>
          </cell>
          <cell r="E47" t="str">
            <v>AZA73</v>
          </cell>
          <cell r="F47">
            <v>38764.575682870367</v>
          </cell>
          <cell r="G47" t="str">
            <v>AZA74</v>
          </cell>
          <cell r="H47">
            <v>38769.328009259261</v>
          </cell>
          <cell r="I47" t="str">
            <v>AZA69</v>
          </cell>
          <cell r="J47">
            <v>38765.587430555555</v>
          </cell>
          <cell r="K47" t="str">
            <v>AZB75</v>
          </cell>
          <cell r="L47">
            <v>38771.384050925924</v>
          </cell>
          <cell r="M47" t="str">
            <v>AZB71</v>
          </cell>
          <cell r="N47">
            <v>38757.516770833332</v>
          </cell>
          <cell r="O47" t="str">
            <v>AZA90</v>
          </cell>
          <cell r="P47">
            <v>38776.588969907411</v>
          </cell>
          <cell r="Q47" t="str">
            <v>AZB11</v>
          </cell>
          <cell r="R47">
            <v>38785.277812499997</v>
          </cell>
          <cell r="S47" t="str">
            <v>AZB28</v>
          </cell>
          <cell r="T47">
            <v>38790.558252314811</v>
          </cell>
          <cell r="U47" t="str">
            <v>AZB78</v>
          </cell>
          <cell r="V47">
            <v>38792.303043981483</v>
          </cell>
          <cell r="W47" t="str">
            <v>AZB33</v>
          </cell>
          <cell r="X47">
            <v>38793.669768518521</v>
          </cell>
          <cell r="Y47" t="str">
            <v>AZB55</v>
          </cell>
          <cell r="Z47">
            <v>38804.324942129628</v>
          </cell>
          <cell r="AA47" t="str">
            <v>AZA35</v>
          </cell>
          <cell r="AB47">
            <v>38797.452592592592</v>
          </cell>
          <cell r="AH47" t="str">
            <v>AZC28</v>
          </cell>
          <cell r="AI47">
            <v>38817.269652777781</v>
          </cell>
        </row>
        <row r="48">
          <cell r="A48" t="str">
            <v>AZA64</v>
          </cell>
          <cell r="B48" t="str">
            <v>00002150</v>
          </cell>
          <cell r="C48" t="str">
            <v>AZB71</v>
          </cell>
          <cell r="D48">
            <v>38756.550497685188</v>
          </cell>
          <cell r="E48" t="str">
            <v>AZA67</v>
          </cell>
          <cell r="F48">
            <v>38764.651377314818</v>
          </cell>
          <cell r="G48" t="str">
            <v>AZA79</v>
          </cell>
          <cell r="H48">
            <v>38769.358310185184</v>
          </cell>
          <cell r="I48" t="str">
            <v>AZA72</v>
          </cell>
          <cell r="J48">
            <v>38768.332499999997</v>
          </cell>
          <cell r="K48" t="str">
            <v>AZA83</v>
          </cell>
          <cell r="L48">
            <v>38771.43990740741</v>
          </cell>
          <cell r="M48" t="str">
            <v>AZA67</v>
          </cell>
          <cell r="N48">
            <v>38765.475787037038</v>
          </cell>
          <cell r="O48" t="str">
            <v>AZB72</v>
          </cell>
          <cell r="P48">
            <v>38776.609259259261</v>
          </cell>
          <cell r="Q48" t="str">
            <v>AZB25</v>
          </cell>
          <cell r="R48">
            <v>38785.321180555555</v>
          </cell>
          <cell r="S48" t="str">
            <v>AZB23</v>
          </cell>
          <cell r="T48">
            <v>38790.558576388888</v>
          </cell>
          <cell r="U48" t="str">
            <v>AZA77</v>
          </cell>
          <cell r="V48">
            <v>38792.444016203706</v>
          </cell>
          <cell r="W48" t="str">
            <v>AZB16</v>
          </cell>
          <cell r="X48">
            <v>38793.670960648145</v>
          </cell>
          <cell r="Y48" t="str">
            <v>AZB30</v>
          </cell>
          <cell r="Z48">
            <v>38804.338842592595</v>
          </cell>
          <cell r="AA48" t="str">
            <v>AZA44</v>
          </cell>
          <cell r="AB48">
            <v>38797.454606481479</v>
          </cell>
          <cell r="AH48" t="str">
            <v>AZC23</v>
          </cell>
          <cell r="AI48">
            <v>38817.276782407411</v>
          </cell>
        </row>
        <row r="49">
          <cell r="A49" t="str">
            <v>AZA67</v>
          </cell>
          <cell r="B49" t="str">
            <v>00002193</v>
          </cell>
          <cell r="C49" t="str">
            <v>AZB69</v>
          </cell>
          <cell r="D49">
            <v>38761.639085648145</v>
          </cell>
          <cell r="E49" t="str">
            <v>AZA69</v>
          </cell>
          <cell r="F49">
            <v>38765.350983796299</v>
          </cell>
          <cell r="G49" t="str">
            <v>AZA76</v>
          </cell>
          <cell r="H49">
            <v>38769.454942129632</v>
          </cell>
          <cell r="I49" t="str">
            <v>AZA82</v>
          </cell>
          <cell r="J49">
            <v>38768.563726851855</v>
          </cell>
          <cell r="K49" t="str">
            <v>AZA83</v>
          </cell>
          <cell r="L49">
            <v>38771.439976851849</v>
          </cell>
          <cell r="M49" t="str">
            <v>AZA73</v>
          </cell>
          <cell r="N49">
            <v>38765.532314814816</v>
          </cell>
          <cell r="O49" t="str">
            <v>AZA86</v>
          </cell>
          <cell r="P49">
            <v>38776.631574074076</v>
          </cell>
          <cell r="Q49" t="str">
            <v>AZA75</v>
          </cell>
          <cell r="R49">
            <v>38785.357638888891</v>
          </cell>
          <cell r="S49" t="str">
            <v>AZB79</v>
          </cell>
          <cell r="T49">
            <v>38790.558738425927</v>
          </cell>
          <cell r="U49" t="str">
            <v>AZA99</v>
          </cell>
          <cell r="V49">
            <v>38792.648414351854</v>
          </cell>
          <cell r="W49" t="str">
            <v>AZB37</v>
          </cell>
          <cell r="X49">
            <v>38797.2809375</v>
          </cell>
          <cell r="Y49" t="str">
            <v>AZB60</v>
          </cell>
          <cell r="Z49">
            <v>38804.615833333337</v>
          </cell>
          <cell r="AA49" t="str">
            <v>AZA45</v>
          </cell>
          <cell r="AB49">
            <v>38797.454988425925</v>
          </cell>
          <cell r="AH49" t="str">
            <v>AZC70</v>
          </cell>
          <cell r="AI49">
            <v>38817.334282407406</v>
          </cell>
        </row>
        <row r="50">
          <cell r="A50" t="str">
            <v>AZA68</v>
          </cell>
          <cell r="B50" t="str">
            <v>00002479</v>
          </cell>
          <cell r="C50" t="str">
            <v>AZA73</v>
          </cell>
          <cell r="D50">
            <v>38761.639861111114</v>
          </cell>
          <cell r="E50" t="str">
            <v>AZB70</v>
          </cell>
          <cell r="F50">
            <v>38765.387824074074</v>
          </cell>
          <cell r="G50" t="str">
            <v>AZA77</v>
          </cell>
          <cell r="H50">
            <v>38769.467199074075</v>
          </cell>
          <cell r="I50" t="str">
            <v>AZB70</v>
          </cell>
          <cell r="J50">
            <v>38768.591192129628</v>
          </cell>
          <cell r="K50" t="str">
            <v>AZA85</v>
          </cell>
          <cell r="L50">
            <v>38771.441076388888</v>
          </cell>
          <cell r="M50" t="str">
            <v>AZA72</v>
          </cell>
          <cell r="N50">
            <v>38768.407511574071</v>
          </cell>
          <cell r="O50" t="str">
            <v>AZA92</v>
          </cell>
          <cell r="P50">
            <v>38776.64472222222</v>
          </cell>
          <cell r="Q50" t="str">
            <v>AZB27</v>
          </cell>
          <cell r="R50">
            <v>38785.379999999997</v>
          </cell>
          <cell r="S50" t="str">
            <v>AZB08</v>
          </cell>
          <cell r="T50">
            <v>38790.680567129632</v>
          </cell>
          <cell r="U50" t="str">
            <v>AZB34</v>
          </cell>
          <cell r="V50">
            <v>38793.285891203705</v>
          </cell>
          <cell r="W50" t="str">
            <v>AZB40</v>
          </cell>
          <cell r="X50">
            <v>38797.281736111108</v>
          </cell>
          <cell r="Y50" t="str">
            <v>AZB67</v>
          </cell>
          <cell r="Z50">
            <v>38805.260659722226</v>
          </cell>
          <cell r="AA50" t="str">
            <v>AZA46</v>
          </cell>
          <cell r="AB50">
            <v>38797.45585648148</v>
          </cell>
          <cell r="AH50" t="str">
            <v>AZC17</v>
          </cell>
          <cell r="AI50">
            <v>38817.361342592594</v>
          </cell>
        </row>
        <row r="51">
          <cell r="A51" t="str">
            <v>AZA69</v>
          </cell>
          <cell r="B51" t="str">
            <v>00002195</v>
          </cell>
          <cell r="C51" t="str">
            <v>AZA67</v>
          </cell>
          <cell r="D51">
            <v>38762.635127314818</v>
          </cell>
          <cell r="E51" t="str">
            <v>AZA72</v>
          </cell>
          <cell r="F51">
            <v>38765.467060185183</v>
          </cell>
          <cell r="G51" t="str">
            <v>AZA83</v>
          </cell>
          <cell r="H51">
            <v>38769.583958333336</v>
          </cell>
          <cell r="I51" t="str">
            <v>AZA70</v>
          </cell>
          <cell r="J51">
            <v>38768.597546296296</v>
          </cell>
          <cell r="K51" t="str">
            <v>AZA85</v>
          </cell>
          <cell r="L51">
            <v>38771.441145833334</v>
          </cell>
          <cell r="M51" t="str">
            <v>AZB69</v>
          </cell>
          <cell r="N51">
            <v>38768.427476851852</v>
          </cell>
          <cell r="O51" t="str">
            <v>AZA91</v>
          </cell>
          <cell r="P51">
            <v>38777.581030092595</v>
          </cell>
          <cell r="Q51" t="str">
            <v>AZB12</v>
          </cell>
          <cell r="R51">
            <v>38785.489768518521</v>
          </cell>
          <cell r="S51" t="str">
            <v>AZB30</v>
          </cell>
          <cell r="T51">
            <v>38791.332569444443</v>
          </cell>
          <cell r="U51" t="str">
            <v>AZB83</v>
          </cell>
          <cell r="V51">
            <v>38793.314305555556</v>
          </cell>
          <cell r="W51" t="str">
            <v>AZB42</v>
          </cell>
          <cell r="X51">
            <v>38797.282280092593</v>
          </cell>
          <cell r="Y51" t="str">
            <v>AZB44</v>
          </cell>
          <cell r="Z51">
            <v>38805.274953703702</v>
          </cell>
          <cell r="AA51" t="str">
            <v>AZB76</v>
          </cell>
          <cell r="AB51">
            <v>38797.459143518521</v>
          </cell>
          <cell r="AH51" t="str">
            <v>AZC22</v>
          </cell>
          <cell r="AI51">
            <v>38817.391273148147</v>
          </cell>
        </row>
        <row r="52">
          <cell r="A52" t="str">
            <v>AZA70</v>
          </cell>
          <cell r="B52" t="str">
            <v>00002198</v>
          </cell>
          <cell r="C52" t="str">
            <v>AZA69</v>
          </cell>
          <cell r="D52">
            <v>38762.636516203704</v>
          </cell>
          <cell r="E52" t="str">
            <v>AZA71</v>
          </cell>
          <cell r="F52">
            <v>38768.385833333334</v>
          </cell>
          <cell r="G52" t="str">
            <v>AZA81</v>
          </cell>
          <cell r="H52">
            <v>38769.619814814818</v>
          </cell>
          <cell r="I52" t="str">
            <v>AZA71</v>
          </cell>
          <cell r="J52">
            <v>38768.6328125</v>
          </cell>
          <cell r="K52" t="str">
            <v>AZA87</v>
          </cell>
          <cell r="L52">
            <v>38775.573622685188</v>
          </cell>
          <cell r="M52" t="str">
            <v>AZA69</v>
          </cell>
          <cell r="N52">
            <v>38768.435636574075</v>
          </cell>
          <cell r="O52" t="str">
            <v>AZA94</v>
          </cell>
          <cell r="P52">
            <v>38777.604884259257</v>
          </cell>
          <cell r="Q52" t="str">
            <v>AZB21</v>
          </cell>
          <cell r="R52">
            <v>38785.558958333335</v>
          </cell>
          <cell r="S52" t="str">
            <v>AZB33</v>
          </cell>
          <cell r="T52">
            <v>38791.46125</v>
          </cell>
          <cell r="U52" t="str">
            <v>AZB41</v>
          </cell>
          <cell r="V52">
            <v>38793.337025462963</v>
          </cell>
          <cell r="W52" t="str">
            <v>AZB44</v>
          </cell>
          <cell r="X52">
            <v>38797.283229166664</v>
          </cell>
          <cell r="Y52" t="str">
            <v>AZB87</v>
          </cell>
          <cell r="Z52">
            <v>38805.278645833336</v>
          </cell>
          <cell r="AA52" t="str">
            <v>AZA73</v>
          </cell>
          <cell r="AB52">
            <v>38797.4609375</v>
          </cell>
          <cell r="AH52" t="str">
            <v>AZC52</v>
          </cell>
          <cell r="AI52">
            <v>38817.393252314818</v>
          </cell>
        </row>
        <row r="53">
          <cell r="A53" t="str">
            <v>AZA71</v>
          </cell>
          <cell r="B53" t="str">
            <v>00002199</v>
          </cell>
          <cell r="C53" t="str">
            <v>AZB70</v>
          </cell>
          <cell r="D53">
            <v>38762.638043981482</v>
          </cell>
          <cell r="E53" t="str">
            <v>AZA70</v>
          </cell>
          <cell r="F53">
            <v>38768.447824074072</v>
          </cell>
          <cell r="G53" t="str">
            <v>AZA78</v>
          </cell>
          <cell r="H53">
            <v>38770.3128125</v>
          </cell>
          <cell r="I53" t="str">
            <v>AZA74</v>
          </cell>
          <cell r="J53">
            <v>38769.34138888889</v>
          </cell>
          <cell r="K53" t="str">
            <v>AZB73</v>
          </cell>
          <cell r="L53">
            <v>38775.590879629628</v>
          </cell>
          <cell r="M53" t="str">
            <v>AZA82</v>
          </cell>
          <cell r="N53">
            <v>38768.591238425928</v>
          </cell>
          <cell r="O53" t="str">
            <v>AZA95</v>
          </cell>
          <cell r="P53">
            <v>38777.629050925927</v>
          </cell>
          <cell r="Q53" t="str">
            <v>AZB19</v>
          </cell>
          <cell r="R53">
            <v>38785.561215277776</v>
          </cell>
          <cell r="S53" t="str">
            <v>AZB78</v>
          </cell>
          <cell r="T53">
            <v>38791.533888888887</v>
          </cell>
          <cell r="U53" t="str">
            <v>AZB44</v>
          </cell>
          <cell r="V53">
            <v>38796.300810185188</v>
          </cell>
          <cell r="W53" t="str">
            <v>AZB82</v>
          </cell>
          <cell r="X53">
            <v>38797.283715277779</v>
          </cell>
          <cell r="Y53" t="str">
            <v>AZB88</v>
          </cell>
          <cell r="Z53">
            <v>38805.280891203707</v>
          </cell>
          <cell r="AA53" t="str">
            <v>AZA69</v>
          </cell>
          <cell r="AB53">
            <v>38797.461168981485</v>
          </cell>
          <cell r="AH53" t="str">
            <v>AZC44</v>
          </cell>
          <cell r="AI53">
            <v>38817.433240740742</v>
          </cell>
        </row>
        <row r="54">
          <cell r="A54" t="str">
            <v>AZA72</v>
          </cell>
          <cell r="B54" t="str">
            <v>00002200</v>
          </cell>
          <cell r="C54" t="str">
            <v>AZA72</v>
          </cell>
          <cell r="D54">
            <v>38762.639502314814</v>
          </cell>
          <cell r="E54" t="str">
            <v>AZA74</v>
          </cell>
          <cell r="F54">
            <v>38768.49428240741</v>
          </cell>
          <cell r="G54" t="str">
            <v>AZA80</v>
          </cell>
          <cell r="H54">
            <v>38770.379525462966</v>
          </cell>
          <cell r="I54" t="str">
            <v>AZA79</v>
          </cell>
          <cell r="J54">
            <v>38769.367800925924</v>
          </cell>
          <cell r="K54" t="str">
            <v>AZB73</v>
          </cell>
          <cell r="L54">
            <v>38775.591064814813</v>
          </cell>
          <cell r="M54" t="str">
            <v>AZB70</v>
          </cell>
          <cell r="N54">
            <v>38768.623784722222</v>
          </cell>
          <cell r="O54" t="str">
            <v>AZA93</v>
          </cell>
          <cell r="P54">
            <v>38778.367361111108</v>
          </cell>
          <cell r="Q54" t="str">
            <v>AZB17</v>
          </cell>
          <cell r="R54">
            <v>38786.284502314818</v>
          </cell>
          <cell r="S54" t="str">
            <v>AZB32</v>
          </cell>
          <cell r="T54">
            <v>38791.635995370372</v>
          </cell>
          <cell r="U54" t="str">
            <v>AZB36</v>
          </cell>
          <cell r="V54">
            <v>38796.355057870373</v>
          </cell>
          <cell r="W54" t="str">
            <v>AZB61</v>
          </cell>
          <cell r="X54">
            <v>38797.284537037034</v>
          </cell>
          <cell r="Y54" t="str">
            <v>AZC19</v>
          </cell>
          <cell r="Z54">
            <v>38805.281851851854</v>
          </cell>
          <cell r="AA54" t="str">
            <v>AZB70</v>
          </cell>
          <cell r="AB54">
            <v>38797.461342592593</v>
          </cell>
          <cell r="AH54" t="str">
            <v>AZC31</v>
          </cell>
          <cell r="AI54">
            <v>38817.501458333332</v>
          </cell>
        </row>
        <row r="55">
          <cell r="A55" t="str">
            <v>AZA73</v>
          </cell>
          <cell r="B55" t="str">
            <v>00002201</v>
          </cell>
          <cell r="C55" t="str">
            <v>AZA82</v>
          </cell>
          <cell r="D55">
            <v>38762.641319444447</v>
          </cell>
          <cell r="E55" t="str">
            <v>AZA76</v>
          </cell>
          <cell r="F55">
            <v>38768.54310185185</v>
          </cell>
          <cell r="G55" t="str">
            <v>AZA84</v>
          </cell>
          <cell r="H55">
            <v>38770.412708333337</v>
          </cell>
          <cell r="I55" t="str">
            <v>AZA76</v>
          </cell>
          <cell r="J55">
            <v>38769.463969907411</v>
          </cell>
          <cell r="K55" t="str">
            <v>AZB74</v>
          </cell>
          <cell r="L55">
            <v>38775.634016203701</v>
          </cell>
          <cell r="M55" t="str">
            <v>AZA70</v>
          </cell>
          <cell r="N55">
            <v>38769.330821759257</v>
          </cell>
          <cell r="O55" t="str">
            <v>AZA96</v>
          </cell>
          <cell r="P55">
            <v>38778.558865740742</v>
          </cell>
          <cell r="Q55" t="str">
            <v>AZB07</v>
          </cell>
          <cell r="R55">
            <v>38786.380046296297</v>
          </cell>
          <cell r="S55" t="str">
            <v>AZB34</v>
          </cell>
          <cell r="T55">
            <v>38791.663645833331</v>
          </cell>
          <cell r="U55" t="str">
            <v>AZB37</v>
          </cell>
          <cell r="V55">
            <v>38796.416678240741</v>
          </cell>
          <cell r="W55" t="str">
            <v>AZB26</v>
          </cell>
          <cell r="X55">
            <v>38798.284259259257</v>
          </cell>
          <cell r="Y55" t="str">
            <v>AZB13</v>
          </cell>
          <cell r="Z55">
            <v>38805.320034722223</v>
          </cell>
          <cell r="AA55" t="str">
            <v>AZA72</v>
          </cell>
          <cell r="AB55">
            <v>38797.461574074077</v>
          </cell>
          <cell r="AH55" t="str">
            <v>AZC36</v>
          </cell>
          <cell r="AI55">
            <v>38817.503252314818</v>
          </cell>
        </row>
        <row r="56">
          <cell r="A56" t="str">
            <v>AZA74</v>
          </cell>
          <cell r="B56" t="str">
            <v>00002202</v>
          </cell>
          <cell r="C56" t="str">
            <v>AZA71</v>
          </cell>
          <cell r="D56">
            <v>38763.676550925928</v>
          </cell>
          <cell r="E56" t="str">
            <v>AZA78</v>
          </cell>
          <cell r="F56">
            <v>38768.598101851851</v>
          </cell>
          <cell r="G56" t="str">
            <v>AZA85</v>
          </cell>
          <cell r="H56">
            <v>38770.624120370368</v>
          </cell>
          <cell r="I56" t="str">
            <v>AZA77</v>
          </cell>
          <cell r="J56">
            <v>38769.475729166668</v>
          </cell>
          <cell r="K56" t="str">
            <v>AZB74</v>
          </cell>
          <cell r="L56">
            <v>38775.634074074071</v>
          </cell>
          <cell r="M56" t="str">
            <v>AZA71</v>
          </cell>
          <cell r="N56">
            <v>38769.352511574078</v>
          </cell>
          <cell r="O56" t="str">
            <v>AZA98</v>
          </cell>
          <cell r="P56">
            <v>38778.580439814818</v>
          </cell>
          <cell r="Q56" t="str">
            <v>AZB22</v>
          </cell>
          <cell r="R56">
            <v>38786.477303240739</v>
          </cell>
          <cell r="S56" t="str">
            <v>AZB41</v>
          </cell>
          <cell r="T56">
            <v>38792.607858796298</v>
          </cell>
          <cell r="U56" t="str">
            <v>AZB05</v>
          </cell>
          <cell r="V56">
            <v>38796.418541666666</v>
          </cell>
          <cell r="W56" t="str">
            <v>AZB31</v>
          </cell>
          <cell r="X56">
            <v>38798.341793981483</v>
          </cell>
          <cell r="Y56" t="str">
            <v>AZB62</v>
          </cell>
          <cell r="Z56">
            <v>38805.511296296296</v>
          </cell>
          <cell r="AA56" t="str">
            <v>AZA70</v>
          </cell>
          <cell r="AB56">
            <v>38797.461759259262</v>
          </cell>
          <cell r="AH56" t="str">
            <v>AZC53</v>
          </cell>
          <cell r="AI56">
            <v>38817.55908564815</v>
          </cell>
        </row>
        <row r="57">
          <cell r="A57" t="str">
            <v>AZA75</v>
          </cell>
          <cell r="B57" t="str">
            <v>00002434</v>
          </cell>
          <cell r="C57" t="str">
            <v>AZA70</v>
          </cell>
          <cell r="D57">
            <v>38763.678240740737</v>
          </cell>
          <cell r="E57" t="str">
            <v>AZA79</v>
          </cell>
          <cell r="F57">
            <v>38768.636296296296</v>
          </cell>
          <cell r="G57" t="str">
            <v>AZB75</v>
          </cell>
          <cell r="H57">
            <v>38771.35696759259</v>
          </cell>
          <cell r="I57" t="str">
            <v>AZA83</v>
          </cell>
          <cell r="J57">
            <v>38769.599699074075</v>
          </cell>
          <cell r="K57" t="str">
            <v>AZA88</v>
          </cell>
          <cell r="L57">
            <v>38776.348923611113</v>
          </cell>
          <cell r="M57" t="str">
            <v>AZA74</v>
          </cell>
          <cell r="N57">
            <v>38769.370324074072</v>
          </cell>
          <cell r="O57" t="str">
            <v>AZA97</v>
          </cell>
          <cell r="P57">
            <v>38778.61787037037</v>
          </cell>
          <cell r="Q57" t="str">
            <v>AZB26</v>
          </cell>
          <cell r="R57">
            <v>38786.479513888888</v>
          </cell>
          <cell r="S57" t="str">
            <v>AZB37</v>
          </cell>
          <cell r="T57">
            <v>38792.624189814815</v>
          </cell>
          <cell r="U57" t="str">
            <v>AZB61</v>
          </cell>
          <cell r="V57">
            <v>38796.4216087963</v>
          </cell>
          <cell r="W57" t="str">
            <v>AZB36</v>
          </cell>
          <cell r="X57">
            <v>38798.529594907406</v>
          </cell>
          <cell r="Y57" t="str">
            <v>AZB56</v>
          </cell>
          <cell r="Z57">
            <v>38806.270555555559</v>
          </cell>
          <cell r="AA57" t="str">
            <v>AZB75</v>
          </cell>
          <cell r="AB57">
            <v>38797.463125000002</v>
          </cell>
          <cell r="AH57" t="str">
            <v>AZC43</v>
          </cell>
          <cell r="AI57">
            <v>38817.577523148146</v>
          </cell>
        </row>
        <row r="58">
          <cell r="A58" t="str">
            <v>AZA76</v>
          </cell>
          <cell r="B58" t="str">
            <v>00002204</v>
          </cell>
          <cell r="C58" t="str">
            <v>AZA74</v>
          </cell>
          <cell r="D58">
            <v>38763.679780092592</v>
          </cell>
          <cell r="E58" t="str">
            <v>AZA77</v>
          </cell>
          <cell r="F58">
            <v>38769.341122685182</v>
          </cell>
          <cell r="G58" t="str">
            <v>AZA87</v>
          </cell>
          <cell r="H58">
            <v>38775.552986111114</v>
          </cell>
          <cell r="I58" t="str">
            <v>AZA81</v>
          </cell>
          <cell r="J58">
            <v>38769.627754629626</v>
          </cell>
          <cell r="K58" t="str">
            <v>AZA88</v>
          </cell>
          <cell r="L58">
            <v>38776.348993055559</v>
          </cell>
          <cell r="M58" t="str">
            <v>AZA79</v>
          </cell>
          <cell r="N58">
            <v>38769.41673611111</v>
          </cell>
          <cell r="O58" t="str">
            <v>AZA99</v>
          </cell>
          <cell r="P58">
            <v>38778.63484953704</v>
          </cell>
          <cell r="Q58" t="str">
            <v>AZB10</v>
          </cell>
          <cell r="R58">
            <v>38786.486608796295</v>
          </cell>
          <cell r="S58" t="str">
            <v>AZB83</v>
          </cell>
          <cell r="T58">
            <v>38792.678831018522</v>
          </cell>
          <cell r="U58" t="str">
            <v>AZB07</v>
          </cell>
          <cell r="V58">
            <v>38796.437152777777</v>
          </cell>
          <cell r="W58" t="str">
            <v>AZB81</v>
          </cell>
          <cell r="X58">
            <v>38798.529675925929</v>
          </cell>
          <cell r="Y58" t="str">
            <v>AZB68</v>
          </cell>
          <cell r="Z58">
            <v>38806.270844907405</v>
          </cell>
          <cell r="AA58" t="str">
            <v>AZA74</v>
          </cell>
          <cell r="AB58">
            <v>38797.463263888887</v>
          </cell>
          <cell r="AH58" t="str">
            <v>AZC35</v>
          </cell>
          <cell r="AI58">
            <v>38818.261643518519</v>
          </cell>
        </row>
        <row r="59">
          <cell r="A59" t="str">
            <v>AZA77</v>
          </cell>
          <cell r="B59" t="str">
            <v>00002205</v>
          </cell>
          <cell r="C59" t="str">
            <v>AZA76</v>
          </cell>
          <cell r="D59">
            <v>38763.681550925925</v>
          </cell>
          <cell r="E59" t="str">
            <v>AZA83</v>
          </cell>
          <cell r="F59">
            <v>38769.429189814815</v>
          </cell>
          <cell r="G59" t="str">
            <v>AZB73</v>
          </cell>
          <cell r="H59">
            <v>38775.569988425923</v>
          </cell>
          <cell r="I59" t="str">
            <v>AZA78</v>
          </cell>
          <cell r="J59">
            <v>38770.341307870367</v>
          </cell>
          <cell r="K59" t="str">
            <v>AZA89</v>
          </cell>
          <cell r="L59">
            <v>38776.46947916667</v>
          </cell>
          <cell r="M59" t="str">
            <v>AZA76</v>
          </cell>
          <cell r="N59">
            <v>38769.530555555553</v>
          </cell>
          <cell r="O59" t="str">
            <v>AZB01</v>
          </cell>
          <cell r="P59">
            <v>38779.380682870367</v>
          </cell>
          <cell r="Q59" t="str">
            <v>AZB09</v>
          </cell>
          <cell r="R59">
            <v>38786.48946759259</v>
          </cell>
          <cell r="S59" t="str">
            <v>AZB44</v>
          </cell>
          <cell r="T59">
            <v>38793.423101851855</v>
          </cell>
          <cell r="U59" t="str">
            <v>AZB40</v>
          </cell>
          <cell r="V59">
            <v>38796.497685185182</v>
          </cell>
          <cell r="W59" t="str">
            <v>AZB46</v>
          </cell>
          <cell r="X59">
            <v>38798.529791666668</v>
          </cell>
          <cell r="Y59" t="str">
            <v>AZB77</v>
          </cell>
          <cell r="Z59">
            <v>38806.271053240744</v>
          </cell>
          <cell r="AA59" t="str">
            <v>AZA76</v>
          </cell>
          <cell r="AB59">
            <v>38797.463483796295</v>
          </cell>
          <cell r="AH59" t="str">
            <v>AZC58</v>
          </cell>
          <cell r="AI59">
            <v>38818.292997685188</v>
          </cell>
        </row>
        <row r="60">
          <cell r="A60" t="str">
            <v>AZA78</v>
          </cell>
          <cell r="B60" t="str">
            <v>00002206</v>
          </cell>
          <cell r="C60" t="str">
            <v>AZA78</v>
          </cell>
          <cell r="D60">
            <v>38763.683148148149</v>
          </cell>
          <cell r="E60" t="str">
            <v>AZA80</v>
          </cell>
          <cell r="F60">
            <v>38769.462152777778</v>
          </cell>
          <cell r="G60" t="str">
            <v>AZB74</v>
          </cell>
          <cell r="H60">
            <v>38775.58315972222</v>
          </cell>
          <cell r="I60" t="str">
            <v>AZA80</v>
          </cell>
          <cell r="J60">
            <v>38770.390439814815</v>
          </cell>
          <cell r="K60" t="str">
            <v>AZA89</v>
          </cell>
          <cell r="L60">
            <v>38776.469583333332</v>
          </cell>
          <cell r="M60" t="str">
            <v>AZA77</v>
          </cell>
          <cell r="N60">
            <v>38769.571423611109</v>
          </cell>
          <cell r="O60" t="str">
            <v>AZB00</v>
          </cell>
          <cell r="P60">
            <v>38779.478275462963</v>
          </cell>
          <cell r="Q60" t="str">
            <v>AZB03</v>
          </cell>
          <cell r="R60">
            <v>38789.278425925928</v>
          </cell>
          <cell r="S60" t="str">
            <v>AZB82</v>
          </cell>
          <cell r="T60">
            <v>38793.463206018518</v>
          </cell>
          <cell r="U60" t="str">
            <v>AZB82</v>
          </cell>
          <cell r="V60">
            <v>38796.499861111108</v>
          </cell>
          <cell r="W60" t="str">
            <v>AZB46</v>
          </cell>
          <cell r="X60">
            <v>38798.529849537037</v>
          </cell>
          <cell r="Y60" t="str">
            <v>AZC46</v>
          </cell>
          <cell r="Z60">
            <v>38810.328402777777</v>
          </cell>
          <cell r="AA60" t="str">
            <v>AZA79</v>
          </cell>
          <cell r="AB60">
            <v>38797.464988425927</v>
          </cell>
          <cell r="AH60" t="str">
            <v>AZC60</v>
          </cell>
          <cell r="AI60">
            <v>38818.29383101852</v>
          </cell>
        </row>
        <row r="61">
          <cell r="A61" t="str">
            <v>AZA79</v>
          </cell>
          <cell r="B61" t="str">
            <v>00002207</v>
          </cell>
          <cell r="C61" t="str">
            <v>AZA79</v>
          </cell>
          <cell r="D61">
            <v>38763.68476851852</v>
          </cell>
          <cell r="E61" t="str">
            <v>AZA81</v>
          </cell>
          <cell r="F61">
            <v>38769.491620370369</v>
          </cell>
          <cell r="G61" t="str">
            <v>AZA88</v>
          </cell>
          <cell r="H61">
            <v>38775.589317129627</v>
          </cell>
          <cell r="I61" t="str">
            <v>AZA84</v>
          </cell>
          <cell r="J61">
            <v>38770.424050925925</v>
          </cell>
          <cell r="K61" t="str">
            <v>AZA89</v>
          </cell>
          <cell r="L61">
            <v>38776.474756944444</v>
          </cell>
          <cell r="M61" t="str">
            <v>AZA78</v>
          </cell>
          <cell r="N61">
            <v>38770.397152777776</v>
          </cell>
          <cell r="O61" t="str">
            <v>AZB05</v>
          </cell>
          <cell r="P61">
            <v>38779.641736111109</v>
          </cell>
          <cell r="Q61" t="str">
            <v>AZB28</v>
          </cell>
          <cell r="R61">
            <v>38789.290763888886</v>
          </cell>
          <cell r="S61" t="str">
            <v>AZB36</v>
          </cell>
          <cell r="T61">
            <v>38793.560624999998</v>
          </cell>
          <cell r="U61" t="str">
            <v>AZB42</v>
          </cell>
          <cell r="V61">
            <v>38796.506979166668</v>
          </cell>
          <cell r="W61" t="str">
            <v>AZB26</v>
          </cell>
          <cell r="X61">
            <v>38798.529918981483</v>
          </cell>
          <cell r="Y61" t="str">
            <v>AZC24</v>
          </cell>
          <cell r="Z61">
            <v>38817.368113425924</v>
          </cell>
          <cell r="AA61" t="str">
            <v>AZA82</v>
          </cell>
          <cell r="AB61">
            <v>38797.465162037035</v>
          </cell>
          <cell r="AH61" t="str">
            <v>AZC71</v>
          </cell>
          <cell r="AI61">
            <v>38818.340648148151</v>
          </cell>
        </row>
        <row r="62">
          <cell r="A62" t="str">
            <v>AZA80</v>
          </cell>
          <cell r="B62" t="str">
            <v>00002208</v>
          </cell>
          <cell r="C62" t="str">
            <v>AZA77</v>
          </cell>
          <cell r="D62">
            <v>38764.674537037034</v>
          </cell>
          <cell r="E62" t="str">
            <v>AZA84</v>
          </cell>
          <cell r="F62">
            <v>38769.554942129631</v>
          </cell>
          <cell r="G62" t="str">
            <v>AZA89</v>
          </cell>
          <cell r="H62">
            <v>38776.436481481483</v>
          </cell>
          <cell r="I62" t="str">
            <v>AZA85</v>
          </cell>
          <cell r="J62">
            <v>38770.634143518517</v>
          </cell>
          <cell r="K62" t="str">
            <v>AZA90</v>
          </cell>
          <cell r="L62">
            <v>38776.486145833333</v>
          </cell>
          <cell r="M62" t="str">
            <v>AZA80</v>
          </cell>
          <cell r="N62">
            <v>38770.423935185187</v>
          </cell>
          <cell r="O62" t="str">
            <v>AZB02</v>
          </cell>
          <cell r="P62">
            <v>38782.293912037036</v>
          </cell>
          <cell r="Q62" t="str">
            <v>AZB23</v>
          </cell>
          <cell r="R62">
            <v>38789.291956018518</v>
          </cell>
          <cell r="S62" t="str">
            <v>AZB61</v>
          </cell>
          <cell r="T62">
            <v>38793.635497685187</v>
          </cell>
          <cell r="U62" t="str">
            <v>AZB48</v>
          </cell>
          <cell r="V62">
            <v>38796.524884259263</v>
          </cell>
          <cell r="W62" t="str">
            <v>AZB63</v>
          </cell>
          <cell r="X62">
            <v>38800.282060185185</v>
          </cell>
          <cell r="Y62" t="str">
            <v>AZC64</v>
          </cell>
          <cell r="Z62">
            <v>38817.378310185188</v>
          </cell>
          <cell r="AA62" t="str">
            <v>AZA83</v>
          </cell>
          <cell r="AB62">
            <v>38797.466215277775</v>
          </cell>
          <cell r="AH62" t="str">
            <v>AZC25</v>
          </cell>
          <cell r="AI62">
            <v>38818.35260416667</v>
          </cell>
        </row>
        <row r="63">
          <cell r="A63" t="str">
            <v>AZA81</v>
          </cell>
          <cell r="B63" t="str">
            <v>00002209</v>
          </cell>
          <cell r="C63" t="str">
            <v>AZA83</v>
          </cell>
          <cell r="D63">
            <v>38764.676261574074</v>
          </cell>
          <cell r="E63" t="str">
            <v>AZA82</v>
          </cell>
          <cell r="F63">
            <v>38770.351064814815</v>
          </cell>
          <cell r="G63" t="str">
            <v>AZA90</v>
          </cell>
          <cell r="H63">
            <v>38776.442129629628</v>
          </cell>
          <cell r="I63" t="str">
            <v>AZB75</v>
          </cell>
          <cell r="J63">
            <v>38771.372071759259</v>
          </cell>
          <cell r="K63" t="str">
            <v>AZA90</v>
          </cell>
          <cell r="L63">
            <v>38776.486296296294</v>
          </cell>
          <cell r="M63" t="str">
            <v>AZA84</v>
          </cell>
          <cell r="N63">
            <v>38770.617824074077</v>
          </cell>
          <cell r="O63" t="str">
            <v>AZB03</v>
          </cell>
          <cell r="P63">
            <v>38782.302245370367</v>
          </cell>
          <cell r="Q63" t="str">
            <v>AZB30</v>
          </cell>
          <cell r="R63">
            <v>38789.629270833335</v>
          </cell>
          <cell r="S63" t="str">
            <v>AZB48</v>
          </cell>
          <cell r="T63">
            <v>38793.660370370373</v>
          </cell>
          <cell r="U63" t="str">
            <v>AZB81</v>
          </cell>
          <cell r="V63">
            <v>38796.568402777775</v>
          </cell>
          <cell r="W63" t="str">
            <v>AZB53</v>
          </cell>
          <cell r="X63">
            <v>38800.288275462961</v>
          </cell>
          <cell r="Y63" t="str">
            <v>AZC68</v>
          </cell>
          <cell r="Z63">
            <v>38817.60733796296</v>
          </cell>
          <cell r="AA63" t="str">
            <v>AZA81</v>
          </cell>
          <cell r="AB63">
            <v>38797.467581018522</v>
          </cell>
          <cell r="AH63" t="str">
            <v>AZC04</v>
          </cell>
          <cell r="AI63">
            <v>38818.491273148145</v>
          </cell>
        </row>
        <row r="64">
          <cell r="A64" t="str">
            <v>AZA82</v>
          </cell>
          <cell r="B64" t="str">
            <v>00002210</v>
          </cell>
          <cell r="C64" t="str">
            <v>AZA80</v>
          </cell>
          <cell r="D64">
            <v>38765.582881944443</v>
          </cell>
          <cell r="E64" t="str">
            <v>AZA85</v>
          </cell>
          <cell r="F64">
            <v>38770.616724537038</v>
          </cell>
          <cell r="G64" t="str">
            <v>AZA86</v>
          </cell>
          <cell r="H64">
            <v>38776.52375</v>
          </cell>
          <cell r="I64" t="str">
            <v>AZA87</v>
          </cell>
          <cell r="J64">
            <v>38775.561585648145</v>
          </cell>
          <cell r="K64" t="str">
            <v>AZA86</v>
          </cell>
          <cell r="L64">
            <v>38776.576747685183</v>
          </cell>
          <cell r="M64" t="str">
            <v>AZB75</v>
          </cell>
          <cell r="N64">
            <v>38771.399351851855</v>
          </cell>
          <cell r="O64" t="str">
            <v>AZB04</v>
          </cell>
          <cell r="P64">
            <v>38782.310949074075</v>
          </cell>
          <cell r="Q64" t="str">
            <v>AZB08</v>
          </cell>
          <cell r="R64">
            <v>38790.526990740742</v>
          </cell>
          <cell r="S64" t="str">
            <v>AZB51</v>
          </cell>
          <cell r="T64">
            <v>38796.36041666667</v>
          </cell>
          <cell r="U64" t="str">
            <v>AZB45</v>
          </cell>
          <cell r="V64">
            <v>38796.651608796295</v>
          </cell>
          <cell r="W64" t="str">
            <v>AZB49</v>
          </cell>
          <cell r="X64">
            <v>38800.290416666663</v>
          </cell>
          <cell r="Y64" t="str">
            <v>AZC52</v>
          </cell>
          <cell r="Z64">
            <v>38818.663634259261</v>
          </cell>
          <cell r="AA64" t="str">
            <v>AZA84</v>
          </cell>
          <cell r="AB64">
            <v>38797.467812499999</v>
          </cell>
          <cell r="AH64" t="str">
            <v>AZC80</v>
          </cell>
          <cell r="AI64">
            <v>38819.298298611109</v>
          </cell>
        </row>
        <row r="65">
          <cell r="A65" t="str">
            <v>AZA83</v>
          </cell>
          <cell r="B65" t="str">
            <v>00002211</v>
          </cell>
          <cell r="C65" t="str">
            <v>AZA81</v>
          </cell>
          <cell r="D65">
            <v>38765.584247685183</v>
          </cell>
          <cell r="E65" t="str">
            <v>AZB75</v>
          </cell>
          <cell r="F65">
            <v>38770.857708333337</v>
          </cell>
          <cell r="G65" t="str">
            <v>AZB72</v>
          </cell>
          <cell r="H65">
            <v>38776.534537037034</v>
          </cell>
          <cell r="I65" t="str">
            <v>AZB73</v>
          </cell>
          <cell r="J65">
            <v>38775.57508101852</v>
          </cell>
          <cell r="K65" t="str">
            <v>AZA86</v>
          </cell>
          <cell r="L65">
            <v>38776.576828703706</v>
          </cell>
          <cell r="M65" t="str">
            <v>AZA85</v>
          </cell>
          <cell r="N65">
            <v>38771.446400462963</v>
          </cell>
          <cell r="O65" t="str">
            <v>AZB06</v>
          </cell>
          <cell r="P65">
            <v>38782.383263888885</v>
          </cell>
          <cell r="Q65" t="str">
            <v>AZB33</v>
          </cell>
          <cell r="R65">
            <v>38790.529652777775</v>
          </cell>
          <cell r="S65" t="str">
            <v>AZB45</v>
          </cell>
          <cell r="T65">
            <v>38796.360520833332</v>
          </cell>
          <cell r="U65" t="str">
            <v>AZB53</v>
          </cell>
          <cell r="V65">
            <v>38797.314259259256</v>
          </cell>
          <cell r="W65" t="str">
            <v>AZB63</v>
          </cell>
          <cell r="X65">
            <v>38800.291215277779</v>
          </cell>
          <cell r="Y65" t="str">
            <v>AZC29</v>
          </cell>
          <cell r="Z65">
            <v>38818.665937500002</v>
          </cell>
          <cell r="AA65" t="str">
            <v>AZA85</v>
          </cell>
          <cell r="AB65">
            <v>38797.467997685184</v>
          </cell>
          <cell r="AH65" t="str">
            <v>AZC81</v>
          </cell>
          <cell r="AI65">
            <v>38819.320150462961</v>
          </cell>
        </row>
        <row r="66">
          <cell r="A66" t="str">
            <v>AZA84</v>
          </cell>
          <cell r="B66" t="str">
            <v>00002226</v>
          </cell>
          <cell r="C66" t="str">
            <v>AZA84</v>
          </cell>
          <cell r="D66">
            <v>38765.585821759261</v>
          </cell>
          <cell r="E66" t="str">
            <v>AZA86</v>
          </cell>
          <cell r="F66">
            <v>38775.372187499997</v>
          </cell>
          <cell r="G66" t="str">
            <v>AZA92</v>
          </cell>
          <cell r="H66">
            <v>38776.552847222221</v>
          </cell>
          <cell r="I66" t="str">
            <v>AZB74</v>
          </cell>
          <cell r="J66">
            <v>38775.587766203702</v>
          </cell>
          <cell r="K66" t="str">
            <v>AZA92</v>
          </cell>
          <cell r="L66">
            <v>38776.579618055555</v>
          </cell>
          <cell r="M66" t="str">
            <v>AZA83</v>
          </cell>
          <cell r="N66">
            <v>38771.460347222222</v>
          </cell>
          <cell r="O66" t="str">
            <v>AZB76</v>
          </cell>
          <cell r="P66">
            <v>38782.397581018522</v>
          </cell>
          <cell r="Q66" t="str">
            <v>AZB34</v>
          </cell>
          <cell r="R66">
            <v>38791.390335648146</v>
          </cell>
          <cell r="S66" t="str">
            <v>AZB40</v>
          </cell>
          <cell r="T66">
            <v>38796.360590277778</v>
          </cell>
          <cell r="U66" t="str">
            <v>AZA87</v>
          </cell>
          <cell r="V66">
            <v>38797.361331018517</v>
          </cell>
          <cell r="W66" t="str">
            <v>AZA68</v>
          </cell>
          <cell r="X66">
            <v>38800.29184027778</v>
          </cell>
          <cell r="Y66" t="str">
            <v>AZC07</v>
          </cell>
          <cell r="Z66">
            <v>38818.666168981479</v>
          </cell>
          <cell r="AA66" t="str">
            <v>AZA86</v>
          </cell>
          <cell r="AB66">
            <v>38797.468425925923</v>
          </cell>
          <cell r="AH66" t="str">
            <v>AZC83</v>
          </cell>
          <cell r="AI66">
            <v>38819.372604166667</v>
          </cell>
        </row>
        <row r="67">
          <cell r="A67" t="str">
            <v>AZA85</v>
          </cell>
          <cell r="B67" t="str">
            <v>00002344</v>
          </cell>
          <cell r="C67" t="str">
            <v>AZA85</v>
          </cell>
          <cell r="D67">
            <v>38765.587592592594</v>
          </cell>
          <cell r="E67" t="str">
            <v>AZA87</v>
          </cell>
          <cell r="F67">
            <v>38775.413391203707</v>
          </cell>
          <cell r="G67" t="str">
            <v>AZA91</v>
          </cell>
          <cell r="H67">
            <v>38777.360196759262</v>
          </cell>
          <cell r="I67" t="str">
            <v>AZA88</v>
          </cell>
          <cell r="J67">
            <v>38775.594976851855</v>
          </cell>
          <cell r="K67" t="str">
            <v>AZA92</v>
          </cell>
          <cell r="L67">
            <v>38776.579699074071</v>
          </cell>
          <cell r="M67" t="str">
            <v>AZA81</v>
          </cell>
          <cell r="N67">
            <v>38772.59097222222</v>
          </cell>
          <cell r="O67" t="str">
            <v>AZB09</v>
          </cell>
          <cell r="P67">
            <v>38782.488622685189</v>
          </cell>
          <cell r="Q67" t="str">
            <v>AZB39</v>
          </cell>
          <cell r="R67">
            <v>38791.552083333336</v>
          </cell>
          <cell r="S67" t="str">
            <v>AZB81</v>
          </cell>
          <cell r="T67">
            <v>38796.360671296294</v>
          </cell>
          <cell r="U67" t="str">
            <v>AZB16</v>
          </cell>
          <cell r="V67">
            <v>38797.364328703705</v>
          </cell>
          <cell r="W67" t="str">
            <v>AZB54</v>
          </cell>
          <cell r="X67">
            <v>38800.292326388888</v>
          </cell>
          <cell r="Y67" t="str">
            <v>AZB99</v>
          </cell>
          <cell r="Z67">
            <v>38818.666319444441</v>
          </cell>
          <cell r="AA67" t="str">
            <v>AZA87</v>
          </cell>
          <cell r="AB67">
            <v>38797.468622685185</v>
          </cell>
          <cell r="AH67" t="str">
            <v>AZC87</v>
          </cell>
          <cell r="AI67">
            <v>38819.430381944447</v>
          </cell>
        </row>
        <row r="68">
          <cell r="A68" t="str">
            <v>AZA86</v>
          </cell>
          <cell r="B68" t="str">
            <v>00002228</v>
          </cell>
          <cell r="C68" t="str">
            <v>AZB75</v>
          </cell>
          <cell r="D68">
            <v>38770.521979166668</v>
          </cell>
          <cell r="E68" t="str">
            <v>AZB72</v>
          </cell>
          <cell r="F68">
            <v>38775.434537037036</v>
          </cell>
          <cell r="G68" t="str">
            <v>AZA93</v>
          </cell>
          <cell r="H68">
            <v>38777.400983796295</v>
          </cell>
          <cell r="I68" t="str">
            <v>AZA89</v>
          </cell>
          <cell r="J68">
            <v>38776.450532407405</v>
          </cell>
          <cell r="K68" t="str">
            <v>AZA92</v>
          </cell>
          <cell r="L68">
            <v>38776.591423611113</v>
          </cell>
          <cell r="M68" t="str">
            <v>AZA87</v>
          </cell>
          <cell r="N68">
            <v>38775.584907407407</v>
          </cell>
          <cell r="O68" t="str">
            <v>AZB07</v>
          </cell>
          <cell r="P68">
            <v>38782.50072916667</v>
          </cell>
          <cell r="Q68" t="str">
            <v>AZB78</v>
          </cell>
          <cell r="R68">
            <v>38792.303043981483</v>
          </cell>
          <cell r="S68" t="str">
            <v>AZB42</v>
          </cell>
          <cell r="T68">
            <v>38796.360752314817</v>
          </cell>
          <cell r="U68" t="str">
            <v>AZB75</v>
          </cell>
          <cell r="V68">
            <v>38797.45815972222</v>
          </cell>
          <cell r="W68" t="str">
            <v>AZB60</v>
          </cell>
          <cell r="X68">
            <v>38800.294618055559</v>
          </cell>
          <cell r="Y68" t="str">
            <v>AZC09</v>
          </cell>
          <cell r="Z68">
            <v>38819.487337962964</v>
          </cell>
          <cell r="AA68" t="str">
            <v>AZB73</v>
          </cell>
          <cell r="AB68">
            <v>38797.470937500002</v>
          </cell>
          <cell r="AH68" t="str">
            <v>AZC76</v>
          </cell>
          <cell r="AI68">
            <v>38819.537893518522</v>
          </cell>
        </row>
        <row r="69">
          <cell r="A69" t="str">
            <v>AZA87</v>
          </cell>
          <cell r="B69" t="str">
            <v>00002345</v>
          </cell>
          <cell r="C69" t="str">
            <v>AZA86</v>
          </cell>
          <cell r="D69">
            <v>38770.592743055553</v>
          </cell>
          <cell r="E69" t="str">
            <v>AZB73</v>
          </cell>
          <cell r="F69">
            <v>38775.471701388888</v>
          </cell>
          <cell r="G69" t="str">
            <v>AZA94</v>
          </cell>
          <cell r="H69">
            <v>38777.474872685183</v>
          </cell>
          <cell r="I69" t="str">
            <v>AZA90</v>
          </cell>
          <cell r="J69">
            <v>38776.455555555556</v>
          </cell>
          <cell r="K69" t="str">
            <v>AZA92</v>
          </cell>
          <cell r="L69">
            <v>38776.591585648152</v>
          </cell>
          <cell r="M69" t="str">
            <v>AZB73</v>
          </cell>
          <cell r="N69">
            <v>38775.631932870368</v>
          </cell>
          <cell r="O69" t="str">
            <v>AZB17</v>
          </cell>
          <cell r="P69">
            <v>38782.518229166664</v>
          </cell>
          <cell r="Q69" t="str">
            <v>AZB40</v>
          </cell>
          <cell r="R69">
            <v>38792.307916666665</v>
          </cell>
          <cell r="S69" t="str">
            <v>AZB43</v>
          </cell>
          <cell r="T69">
            <v>38796.360833333332</v>
          </cell>
          <cell r="U69" t="str">
            <v>AZA86</v>
          </cell>
          <cell r="V69">
            <v>38797.468425925923</v>
          </cell>
          <cell r="W69" t="str">
            <v>AZB55</v>
          </cell>
          <cell r="X69">
            <v>38803.269409722219</v>
          </cell>
          <cell r="Y69" t="str">
            <v>AZC42</v>
          </cell>
          <cell r="Z69">
            <v>38820.432337962964</v>
          </cell>
          <cell r="AA69" t="str">
            <v>AZB74</v>
          </cell>
          <cell r="AB69">
            <v>38797.471099537041</v>
          </cell>
          <cell r="AH69" t="str">
            <v>AZC85</v>
          </cell>
          <cell r="AI69">
            <v>38819.553414351853</v>
          </cell>
        </row>
        <row r="70">
          <cell r="A70" t="str">
            <v>AZA88</v>
          </cell>
          <cell r="B70" t="str">
            <v>00002347</v>
          </cell>
          <cell r="C70" t="str">
            <v>AZA87</v>
          </cell>
          <cell r="D70">
            <v>38770.594375000001</v>
          </cell>
          <cell r="E70" t="str">
            <v>AZB74</v>
          </cell>
          <cell r="F70">
            <v>38775.500520833331</v>
          </cell>
          <cell r="G70" t="str">
            <v>AZA95</v>
          </cell>
          <cell r="H70">
            <v>38777.539571759262</v>
          </cell>
          <cell r="I70" t="str">
            <v>AZA86</v>
          </cell>
          <cell r="J70">
            <v>38776.548368055555</v>
          </cell>
          <cell r="K70" t="str">
            <v>AZA91</v>
          </cell>
          <cell r="L70">
            <v>38777.523356481484</v>
          </cell>
          <cell r="M70" t="str">
            <v>AZB74</v>
          </cell>
          <cell r="N70">
            <v>38776.350798611114</v>
          </cell>
          <cell r="O70" t="str">
            <v>AZB18</v>
          </cell>
          <cell r="P70">
            <v>38782.52847222222</v>
          </cell>
          <cell r="Q70" t="str">
            <v>AZB37</v>
          </cell>
          <cell r="R70">
            <v>38792.311168981483</v>
          </cell>
          <cell r="S70" t="str">
            <v>AZB57</v>
          </cell>
          <cell r="T70">
            <v>38796.361018518517</v>
          </cell>
          <cell r="U70" t="str">
            <v>AZB28</v>
          </cell>
          <cell r="V70">
            <v>38797.489930555559</v>
          </cell>
          <cell r="W70" t="str">
            <v>AZA68</v>
          </cell>
          <cell r="X70">
            <v>38803.269490740742</v>
          </cell>
          <cell r="Y70" t="str">
            <v>AZC08</v>
          </cell>
          <cell r="Z70">
            <v>38820.527627314812</v>
          </cell>
          <cell r="AA70" t="str">
            <v>AZB27</v>
          </cell>
          <cell r="AB70">
            <v>38797.472118055557</v>
          </cell>
          <cell r="AH70" t="str">
            <v>AZC75</v>
          </cell>
          <cell r="AI70">
            <v>38820.503321759257</v>
          </cell>
        </row>
        <row r="71">
          <cell r="A71" t="str">
            <v>AZA89</v>
          </cell>
          <cell r="B71" t="str">
            <v>00002234</v>
          </cell>
          <cell r="C71" t="str">
            <v>AZB72</v>
          </cell>
          <cell r="D71">
            <v>38770.641157407408</v>
          </cell>
          <cell r="E71" t="str">
            <v>AZA88</v>
          </cell>
          <cell r="F71">
            <v>38775.529537037037</v>
          </cell>
          <cell r="G71" t="str">
            <v>AZA96</v>
          </cell>
          <cell r="H71">
            <v>38778.460127314815</v>
          </cell>
          <cell r="I71" t="str">
            <v>AZB72</v>
          </cell>
          <cell r="J71">
            <v>38776.552546296298</v>
          </cell>
          <cell r="K71" t="str">
            <v>AZA91</v>
          </cell>
          <cell r="L71">
            <v>38777.523460648146</v>
          </cell>
          <cell r="M71" t="str">
            <v>AZA88</v>
          </cell>
          <cell r="N71">
            <v>38776.415127314816</v>
          </cell>
          <cell r="O71" t="str">
            <v>AZB10</v>
          </cell>
          <cell r="P71">
            <v>38782.555706018517</v>
          </cell>
          <cell r="Q71" t="str">
            <v>AZB83</v>
          </cell>
          <cell r="R71">
            <v>38792.319803240738</v>
          </cell>
          <cell r="S71" t="str">
            <v>AZA75</v>
          </cell>
          <cell r="T71">
            <v>38796.465798611112</v>
          </cell>
          <cell r="U71" t="str">
            <v>AZB18</v>
          </cell>
          <cell r="V71">
            <v>38797.49560185185</v>
          </cell>
          <cell r="W71" t="str">
            <v>AZB88</v>
          </cell>
          <cell r="X71">
            <v>38803.269618055558</v>
          </cell>
          <cell r="Y71" t="str">
            <v>AZC53</v>
          </cell>
          <cell r="Z71">
            <v>38826.297488425924</v>
          </cell>
          <cell r="AA71" t="str">
            <v>AZA91</v>
          </cell>
          <cell r="AB71">
            <v>38797.473275462966</v>
          </cell>
          <cell r="AH71" t="str">
            <v>AZC79</v>
          </cell>
          <cell r="AI71">
            <v>38820.518738425926</v>
          </cell>
        </row>
        <row r="72">
          <cell r="A72" t="str">
            <v>AZA90</v>
          </cell>
          <cell r="B72" t="str">
            <v>00002348</v>
          </cell>
          <cell r="C72" t="str">
            <v>AZB73</v>
          </cell>
          <cell r="D72">
            <v>38770.647060185183</v>
          </cell>
          <cell r="E72" t="str">
            <v>AZA89</v>
          </cell>
          <cell r="F72">
            <v>38776.342106481483</v>
          </cell>
          <cell r="G72" t="str">
            <v>AZA97</v>
          </cell>
          <cell r="H72">
            <v>38778.465624999997</v>
          </cell>
          <cell r="I72" t="str">
            <v>AZA92</v>
          </cell>
          <cell r="J72">
            <v>38776.560902777775</v>
          </cell>
          <cell r="K72" t="str">
            <v>AZA94</v>
          </cell>
          <cell r="L72">
            <v>38777.5622337963</v>
          </cell>
          <cell r="M72" t="str">
            <v>AZA89</v>
          </cell>
          <cell r="N72">
            <v>38776.481006944443</v>
          </cell>
          <cell r="O72" t="str">
            <v>AZB08</v>
          </cell>
          <cell r="P72">
            <v>38782.576550925929</v>
          </cell>
          <cell r="Q72" t="str">
            <v>AZB44</v>
          </cell>
          <cell r="R72">
            <v>38792.428460648145</v>
          </cell>
          <cell r="S72" t="str">
            <v>AZB53</v>
          </cell>
          <cell r="T72">
            <v>38796.628333333334</v>
          </cell>
          <cell r="U72" t="str">
            <v>AZB58</v>
          </cell>
          <cell r="V72">
            <v>38797.507187499999</v>
          </cell>
          <cell r="W72" t="str">
            <v>AZC19</v>
          </cell>
          <cell r="X72">
            <v>38803.269780092596</v>
          </cell>
          <cell r="Y72" t="str">
            <v>AZC62</v>
          </cell>
          <cell r="Z72">
            <v>38826.346539351849</v>
          </cell>
          <cell r="AA72" t="str">
            <v>AZB22</v>
          </cell>
          <cell r="AB72">
            <v>38797.47457175926</v>
          </cell>
          <cell r="AH72" t="str">
            <v>AZD03</v>
          </cell>
          <cell r="AI72">
            <v>38825.520983796298</v>
          </cell>
        </row>
        <row r="73">
          <cell r="A73" t="str">
            <v>AZA91</v>
          </cell>
          <cell r="B73" t="str">
            <v>00002349</v>
          </cell>
          <cell r="C73" t="str">
            <v>AZB74</v>
          </cell>
          <cell r="D73">
            <v>38770.649050925924</v>
          </cell>
          <cell r="E73" t="str">
            <v>AZA90</v>
          </cell>
          <cell r="F73">
            <v>38776.358506944445</v>
          </cell>
          <cell r="G73" t="str">
            <v>AZA98</v>
          </cell>
          <cell r="H73">
            <v>38778.48228009259</v>
          </cell>
          <cell r="I73" t="str">
            <v>AZA95</v>
          </cell>
          <cell r="J73">
            <v>38778.413842592592</v>
          </cell>
          <cell r="K73" t="str">
            <v>AZA94</v>
          </cell>
          <cell r="L73">
            <v>38777.562349537038</v>
          </cell>
          <cell r="M73" t="str">
            <v>AZA90</v>
          </cell>
          <cell r="N73">
            <v>38776.53528935185</v>
          </cell>
          <cell r="O73" t="str">
            <v>AZB24</v>
          </cell>
          <cell r="P73">
            <v>38783.271990740737</v>
          </cell>
          <cell r="Q73" t="str">
            <v>AZB31</v>
          </cell>
          <cell r="R73">
            <v>38792.459398148145</v>
          </cell>
          <cell r="S73" t="str">
            <v>AZB63</v>
          </cell>
          <cell r="T73">
            <v>38796.628449074073</v>
          </cell>
          <cell r="U73" t="str">
            <v>AZB23</v>
          </cell>
          <cell r="V73">
            <v>38797.523159722223</v>
          </cell>
          <cell r="W73" t="str">
            <v>AZB62</v>
          </cell>
          <cell r="X73">
            <v>38803.328252314815</v>
          </cell>
          <cell r="Y73" t="str">
            <v>AZC74</v>
          </cell>
          <cell r="Z73">
            <v>38826.397939814815</v>
          </cell>
          <cell r="AA73" t="str">
            <v>AZB00</v>
          </cell>
          <cell r="AB73">
            <v>38797.48065972222</v>
          </cell>
          <cell r="AH73" t="str">
            <v>AZC82</v>
          </cell>
          <cell r="AI73">
            <v>38825.54478009259</v>
          </cell>
        </row>
        <row r="74">
          <cell r="A74" t="str">
            <v>AZA92</v>
          </cell>
          <cell r="B74" t="str">
            <v>00002350</v>
          </cell>
          <cell r="C74" t="str">
            <v>AZA88</v>
          </cell>
          <cell r="D74">
            <v>38770.650775462964</v>
          </cell>
          <cell r="E74" t="str">
            <v>AZA91</v>
          </cell>
          <cell r="F74">
            <v>38776.38994212963</v>
          </cell>
          <cell r="G74" t="str">
            <v>AZA99</v>
          </cell>
          <cell r="H74">
            <v>38778.485833333332</v>
          </cell>
          <cell r="I74" t="str">
            <v>AZA93</v>
          </cell>
          <cell r="J74">
            <v>38778.42087962963</v>
          </cell>
          <cell r="K74" t="str">
            <v>AZA95</v>
          </cell>
          <cell r="L74">
            <v>38777.576643518521</v>
          </cell>
          <cell r="M74" t="str">
            <v>AZB72</v>
          </cell>
          <cell r="N74">
            <v>38776.592916666668</v>
          </cell>
          <cell r="O74" t="str">
            <v>AZB23</v>
          </cell>
          <cell r="P74">
            <v>38783.272511574076</v>
          </cell>
          <cell r="Q74" t="str">
            <v>AZB36</v>
          </cell>
          <cell r="R74">
            <v>38792.460752314815</v>
          </cell>
          <cell r="S74" t="str">
            <v>AZB77</v>
          </cell>
          <cell r="T74">
            <v>38796.658101851855</v>
          </cell>
          <cell r="U74" t="str">
            <v>AZA68</v>
          </cell>
          <cell r="V74">
            <v>38797.545624999999</v>
          </cell>
          <cell r="W74" t="str">
            <v>AZB55</v>
          </cell>
          <cell r="X74">
            <v>38803.329351851855</v>
          </cell>
          <cell r="Y74" t="str">
            <v>AZC76</v>
          </cell>
          <cell r="Z74">
            <v>38827.352314814816</v>
          </cell>
          <cell r="AA74" t="str">
            <v>AZB05</v>
          </cell>
          <cell r="AB74">
            <v>38797.482986111114</v>
          </cell>
          <cell r="AH74" t="str">
            <v>AZC74</v>
          </cell>
          <cell r="AI74">
            <v>38825.55195601852</v>
          </cell>
        </row>
        <row r="75">
          <cell r="A75" t="str">
            <v>AZA93</v>
          </cell>
          <cell r="B75" t="str">
            <v>00002238</v>
          </cell>
          <cell r="C75" t="str">
            <v>AZA89</v>
          </cell>
          <cell r="D75">
            <v>38770.652511574073</v>
          </cell>
          <cell r="E75" t="str">
            <v>AZA92</v>
          </cell>
          <cell r="F75">
            <v>38776.411134259259</v>
          </cell>
          <cell r="G75" t="str">
            <v>AZB00</v>
          </cell>
          <cell r="H75">
            <v>38778.575775462959</v>
          </cell>
          <cell r="I75" t="str">
            <v>AZA91</v>
          </cell>
          <cell r="J75">
            <v>38778.424525462964</v>
          </cell>
          <cell r="K75" t="str">
            <v>AZA95</v>
          </cell>
          <cell r="L75">
            <v>38777.576724537037</v>
          </cell>
          <cell r="M75" t="str">
            <v>AZA86</v>
          </cell>
          <cell r="N75">
            <v>38776.593460648146</v>
          </cell>
          <cell r="O75" t="str">
            <v>AZB20</v>
          </cell>
          <cell r="P75">
            <v>38783.272962962961</v>
          </cell>
          <cell r="Q75" t="str">
            <v>AZB47</v>
          </cell>
          <cell r="R75">
            <v>38792.520196759258</v>
          </cell>
          <cell r="S75" t="str">
            <v>AZB52</v>
          </cell>
          <cell r="T75">
            <v>38797.348923611113</v>
          </cell>
          <cell r="U75" t="str">
            <v>AZB60</v>
          </cell>
          <cell r="V75">
            <v>38798.350752314815</v>
          </cell>
          <cell r="W75" t="str">
            <v>AZC46</v>
          </cell>
          <cell r="X75">
            <v>38803.331516203703</v>
          </cell>
          <cell r="Y75" t="str">
            <v>AZC28</v>
          </cell>
          <cell r="Z75">
            <v>38828.379178240742</v>
          </cell>
          <cell r="AA75" t="str">
            <v>AZB06</v>
          </cell>
          <cell r="AB75">
            <v>38797.483206018522</v>
          </cell>
          <cell r="AH75" t="str">
            <v>AZC88</v>
          </cell>
          <cell r="AI75">
            <v>38826.274097222224</v>
          </cell>
        </row>
        <row r="76">
          <cell r="A76" t="str">
            <v>AZA94</v>
          </cell>
          <cell r="B76" t="str">
            <v>00002351</v>
          </cell>
          <cell r="C76" t="str">
            <v>AZA90</v>
          </cell>
          <cell r="D76">
            <v>38770.654270833336</v>
          </cell>
          <cell r="E76" t="str">
            <v>AZA93</v>
          </cell>
          <cell r="F76">
            <v>38776.469826388886</v>
          </cell>
          <cell r="G76" t="str">
            <v>AZB01</v>
          </cell>
          <cell r="H76">
            <v>38778.58421296296</v>
          </cell>
          <cell r="I76" t="str">
            <v>AZA94</v>
          </cell>
          <cell r="J76">
            <v>38778.430543981478</v>
          </cell>
          <cell r="K76" t="str">
            <v>AZA93</v>
          </cell>
          <cell r="L76">
            <v>38777.610891203702</v>
          </cell>
          <cell r="M76" t="str">
            <v>AZA92</v>
          </cell>
          <cell r="N76">
            <v>38776.604571759257</v>
          </cell>
          <cell r="O76" t="str">
            <v>AZB11</v>
          </cell>
          <cell r="P76">
            <v>38783.273136574076</v>
          </cell>
          <cell r="Q76" t="str">
            <v>AZB57</v>
          </cell>
          <cell r="R76">
            <v>38792.548437500001</v>
          </cell>
          <cell r="S76" t="str">
            <v>AZB58</v>
          </cell>
          <cell r="T76">
            <v>38797.472951388889</v>
          </cell>
          <cell r="U76" t="str">
            <v>AZB54</v>
          </cell>
          <cell r="V76">
            <v>38798.427673611113</v>
          </cell>
          <cell r="W76" t="str">
            <v>AZB87</v>
          </cell>
          <cell r="X76">
            <v>38803.332118055558</v>
          </cell>
          <cell r="Y76" t="str">
            <v>AZC60</v>
          </cell>
          <cell r="Z76">
            <v>38828.379340277781</v>
          </cell>
          <cell r="AA76" t="str">
            <v>AZB07</v>
          </cell>
          <cell r="AB76">
            <v>38797.483402777776</v>
          </cell>
          <cell r="AH76" t="str">
            <v>AZC93</v>
          </cell>
          <cell r="AI76">
            <v>38826.309918981482</v>
          </cell>
        </row>
        <row r="77">
          <cell r="A77" t="str">
            <v>AZA95</v>
          </cell>
          <cell r="B77" t="str">
            <v>00002240</v>
          </cell>
          <cell r="C77" t="str">
            <v>AZA91</v>
          </cell>
          <cell r="D77">
            <v>38771.605868055558</v>
          </cell>
          <cell r="E77" t="str">
            <v>AZA94</v>
          </cell>
          <cell r="F77">
            <v>38777.344988425924</v>
          </cell>
          <cell r="G77" t="str">
            <v>AZB04</v>
          </cell>
          <cell r="H77">
            <v>38779.434513888889</v>
          </cell>
          <cell r="I77" t="str">
            <v>AZA96</v>
          </cell>
          <cell r="J77">
            <v>38778.468819444446</v>
          </cell>
          <cell r="K77" t="str">
            <v>AZA93</v>
          </cell>
          <cell r="L77">
            <v>38777.610972222225</v>
          </cell>
          <cell r="M77" t="str">
            <v>AZA91</v>
          </cell>
          <cell r="N77">
            <v>38777.540972222225</v>
          </cell>
          <cell r="O77" t="str">
            <v>AZB22</v>
          </cell>
          <cell r="P77">
            <v>38783.333645833336</v>
          </cell>
          <cell r="Q77" t="str">
            <v>AZB46</v>
          </cell>
          <cell r="R77">
            <v>38793.310358796298</v>
          </cell>
          <cell r="S77" t="str">
            <v>AZA68</v>
          </cell>
          <cell r="T77">
            <v>38797.478437500002</v>
          </cell>
          <cell r="U77" t="str">
            <v>AZB49</v>
          </cell>
          <cell r="V77">
            <v>38798.498206018521</v>
          </cell>
          <cell r="W77" t="str">
            <v>AZB88</v>
          </cell>
          <cell r="X77">
            <v>38803.333553240744</v>
          </cell>
          <cell r="Y77" t="str">
            <v>AZC69</v>
          </cell>
          <cell r="Z77">
            <v>38828.379756944443</v>
          </cell>
          <cell r="AA77" t="str">
            <v>AZB10</v>
          </cell>
          <cell r="AB77">
            <v>38797.484652777777</v>
          </cell>
          <cell r="AH77" t="str">
            <v>AZC78</v>
          </cell>
          <cell r="AI77">
            <v>38826.327569444446</v>
          </cell>
        </row>
        <row r="78">
          <cell r="A78" t="str">
            <v>AZA96</v>
          </cell>
          <cell r="B78" t="str">
            <v>00002241</v>
          </cell>
          <cell r="C78" t="str">
            <v>AZA92</v>
          </cell>
          <cell r="D78">
            <v>38771.607453703706</v>
          </cell>
          <cell r="E78" t="str">
            <v>AZA95</v>
          </cell>
          <cell r="F78">
            <v>38777.374907407408</v>
          </cell>
          <cell r="G78" t="str">
            <v>AZB02</v>
          </cell>
          <cell r="H78">
            <v>38779.445844907408</v>
          </cell>
          <cell r="I78" t="str">
            <v>AZA97</v>
          </cell>
          <cell r="J78">
            <v>38778.474074074074</v>
          </cell>
          <cell r="K78" t="str">
            <v>AZA96</v>
          </cell>
          <cell r="L78">
            <v>38778.485381944447</v>
          </cell>
          <cell r="M78" t="str">
            <v>AZA94</v>
          </cell>
          <cell r="N78">
            <v>38777.57675925926</v>
          </cell>
          <cell r="O78" t="str">
            <v>AZB25</v>
          </cell>
          <cell r="P78">
            <v>38783.410243055558</v>
          </cell>
          <cell r="Q78" t="str">
            <v>AZB82</v>
          </cell>
          <cell r="R78">
            <v>38793.319930555554</v>
          </cell>
          <cell r="S78" t="str">
            <v>AZB35</v>
          </cell>
          <cell r="T78">
            <v>38797.519537037035</v>
          </cell>
          <cell r="U78" t="str">
            <v>AZB63</v>
          </cell>
          <cell r="V78">
            <v>38799.267893518518</v>
          </cell>
          <cell r="W78" t="str">
            <v>AZC19</v>
          </cell>
          <cell r="X78">
            <v>38803.334837962961</v>
          </cell>
          <cell r="Y78" t="str">
            <v>AZC80</v>
          </cell>
          <cell r="Z78">
            <v>38831.545648148145</v>
          </cell>
          <cell r="AA78" t="str">
            <v>AZB17</v>
          </cell>
          <cell r="AB78">
            <v>38797.484965277778</v>
          </cell>
          <cell r="AH78" t="str">
            <v>AZD02</v>
          </cell>
          <cell r="AI78">
            <v>38826.352025462962</v>
          </cell>
        </row>
        <row r="79">
          <cell r="A79" t="str">
            <v>AZA97</v>
          </cell>
          <cell r="B79" t="str">
            <v>00002242</v>
          </cell>
          <cell r="C79" t="str">
            <v>AZA93</v>
          </cell>
          <cell r="D79">
            <v>38771.609479166669</v>
          </cell>
          <cell r="E79" t="str">
            <v>AZA97</v>
          </cell>
          <cell r="F79">
            <v>38778.376932870371</v>
          </cell>
          <cell r="G79" t="str">
            <v>AZB03</v>
          </cell>
          <cell r="H79">
            <v>38779.449432870373</v>
          </cell>
          <cell r="I79" t="str">
            <v>AZA98</v>
          </cell>
          <cell r="J79">
            <v>38778.489675925928</v>
          </cell>
          <cell r="K79" t="str">
            <v>AZA96</v>
          </cell>
          <cell r="L79">
            <v>38778.485509259262</v>
          </cell>
          <cell r="M79" t="str">
            <v>AZA95</v>
          </cell>
          <cell r="N79">
            <v>38777.588437500002</v>
          </cell>
          <cell r="O79" t="str">
            <v>AZB21</v>
          </cell>
          <cell r="P79">
            <v>38783.49050925926</v>
          </cell>
          <cell r="Q79" t="str">
            <v>AZB81</v>
          </cell>
          <cell r="R79">
            <v>38793.330601851849</v>
          </cell>
          <cell r="S79" t="str">
            <v>AZB59</v>
          </cell>
          <cell r="T79">
            <v>38797.582719907405</v>
          </cell>
          <cell r="U79" t="str">
            <v>AZB43</v>
          </cell>
          <cell r="V79">
            <v>38800.499155092592</v>
          </cell>
          <cell r="W79" t="str">
            <v>AZB77</v>
          </cell>
          <cell r="X79">
            <v>38804.295069444444</v>
          </cell>
          <cell r="Y79" t="str">
            <v>AZC81</v>
          </cell>
          <cell r="Z79">
            <v>38831.556145833332</v>
          </cell>
          <cell r="AA79" t="str">
            <v>AZB16</v>
          </cell>
          <cell r="AB79">
            <v>38797.489733796298</v>
          </cell>
          <cell r="AH79" t="str">
            <v>AZC73</v>
          </cell>
          <cell r="AI79">
            <v>38826.352766203701</v>
          </cell>
        </row>
        <row r="80">
          <cell r="A80" t="str">
            <v>AZA98</v>
          </cell>
          <cell r="B80" t="str">
            <v>00002352</v>
          </cell>
          <cell r="C80" t="str">
            <v>AZA94</v>
          </cell>
          <cell r="D80">
            <v>38771.611504629633</v>
          </cell>
          <cell r="E80" t="str">
            <v>AZA96</v>
          </cell>
          <cell r="F80">
            <v>38778.400208333333</v>
          </cell>
          <cell r="G80" t="str">
            <v>AZB05</v>
          </cell>
          <cell r="H80">
            <v>38779.460266203707</v>
          </cell>
          <cell r="I80" t="str">
            <v>AZA99</v>
          </cell>
          <cell r="J80">
            <v>38778.493495370371</v>
          </cell>
          <cell r="K80" t="str">
            <v>AZB72</v>
          </cell>
          <cell r="L80">
            <v>38778.506249999999</v>
          </cell>
          <cell r="M80" t="str">
            <v>AZA93</v>
          </cell>
          <cell r="N80">
            <v>38777.622581018521</v>
          </cell>
          <cell r="O80" t="str">
            <v>AZB19</v>
          </cell>
          <cell r="P80">
            <v>38783.510300925926</v>
          </cell>
          <cell r="Q80" t="str">
            <v>AZB43</v>
          </cell>
          <cell r="R80">
            <v>38793.333032407405</v>
          </cell>
          <cell r="S80" t="str">
            <v>AZB54</v>
          </cell>
          <cell r="T80">
            <v>38797.622754629629</v>
          </cell>
          <cell r="U80" t="str">
            <v>AZC19</v>
          </cell>
          <cell r="V80">
            <v>38800.63077546296</v>
          </cell>
          <cell r="W80" t="str">
            <v>AZB56</v>
          </cell>
          <cell r="X80">
            <v>38804.297696759262</v>
          </cell>
          <cell r="Y80" t="str">
            <v>AZB97</v>
          </cell>
          <cell r="Z80">
            <v>38832.559849537036</v>
          </cell>
          <cell r="AA80" t="str">
            <v>AZB28</v>
          </cell>
          <cell r="AB80">
            <v>38797.489930555559</v>
          </cell>
          <cell r="AH80" t="str">
            <v>AZD07</v>
          </cell>
          <cell r="AI80">
            <v>38826.365613425929</v>
          </cell>
        </row>
        <row r="81">
          <cell r="A81" t="str">
            <v>AZA99</v>
          </cell>
          <cell r="B81" t="str">
            <v>00002244</v>
          </cell>
          <cell r="C81" t="str">
            <v>AZA95</v>
          </cell>
          <cell r="D81">
            <v>38771.614224537036</v>
          </cell>
          <cell r="E81" t="str">
            <v>AZA99</v>
          </cell>
          <cell r="F81">
            <v>38778.402812499997</v>
          </cell>
          <cell r="G81" t="str">
            <v>AZB06</v>
          </cell>
          <cell r="H81">
            <v>38779.562974537039</v>
          </cell>
          <cell r="I81" t="str">
            <v>AZB00</v>
          </cell>
          <cell r="J81">
            <v>38778.59107638889</v>
          </cell>
          <cell r="K81" t="str">
            <v>AZA98</v>
          </cell>
          <cell r="L81">
            <v>38778.522777777776</v>
          </cell>
          <cell r="M81" t="str">
            <v>AZA96</v>
          </cell>
          <cell r="N81">
            <v>38778.521701388891</v>
          </cell>
          <cell r="O81" t="str">
            <v>AZB12</v>
          </cell>
          <cell r="P81">
            <v>38783.522152777776</v>
          </cell>
          <cell r="Q81" t="str">
            <v>AZB45</v>
          </cell>
          <cell r="R81">
            <v>38793.333391203705</v>
          </cell>
          <cell r="S81" t="str">
            <v>AZB60</v>
          </cell>
          <cell r="T81">
            <v>38797.660011574073</v>
          </cell>
          <cell r="U81" t="str">
            <v>AZB56</v>
          </cell>
          <cell r="V81">
            <v>38803.286828703705</v>
          </cell>
          <cell r="W81" t="str">
            <v>AZB59</v>
          </cell>
          <cell r="X81">
            <v>38804.298564814817</v>
          </cell>
          <cell r="Y81" t="str">
            <v>AZC83</v>
          </cell>
          <cell r="Z81">
            <v>38832.561157407406</v>
          </cell>
          <cell r="AA81" t="str">
            <v>AZA47</v>
          </cell>
          <cell r="AB81">
            <v>38797.493171296293</v>
          </cell>
          <cell r="AH81" t="str">
            <v>AZC94</v>
          </cell>
          <cell r="AI81">
            <v>38826.366898148146</v>
          </cell>
        </row>
        <row r="82">
          <cell r="A82" t="str">
            <v>AZB00</v>
          </cell>
          <cell r="B82" t="str">
            <v>00002356</v>
          </cell>
          <cell r="C82" t="str">
            <v>AZA96</v>
          </cell>
          <cell r="D82">
            <v>38771.616331018522</v>
          </cell>
          <cell r="E82" t="str">
            <v>AZA98</v>
          </cell>
          <cell r="F82">
            <v>38778.414849537039</v>
          </cell>
          <cell r="G82" t="str">
            <v>AZB76</v>
          </cell>
          <cell r="H82">
            <v>38779.586759259262</v>
          </cell>
          <cell r="I82" t="str">
            <v>AZB01</v>
          </cell>
          <cell r="J82">
            <v>38778.594421296293</v>
          </cell>
          <cell r="K82" t="str">
            <v>AZA98</v>
          </cell>
          <cell r="L82">
            <v>38778.523043981484</v>
          </cell>
          <cell r="M82" t="str">
            <v>AZA98</v>
          </cell>
          <cell r="N82">
            <v>38778.531087962961</v>
          </cell>
          <cell r="O82" t="str">
            <v>AZA75</v>
          </cell>
          <cell r="P82">
            <v>38783.548402777778</v>
          </cell>
          <cell r="Q82" t="str">
            <v>AZB48</v>
          </cell>
          <cell r="R82">
            <v>38793.336527777778</v>
          </cell>
          <cell r="S82" t="str">
            <v>AZB49</v>
          </cell>
          <cell r="T82">
            <v>38798.440532407411</v>
          </cell>
          <cell r="U82" t="str">
            <v>AZB62</v>
          </cell>
          <cell r="V82">
            <v>38803.296469907407</v>
          </cell>
          <cell r="W82" t="str">
            <v>AZB68</v>
          </cell>
          <cell r="X82">
            <v>38804.299502314818</v>
          </cell>
          <cell r="Y82" t="str">
            <v>AZC75</v>
          </cell>
          <cell r="Z82">
            <v>38833.270972222221</v>
          </cell>
          <cell r="AA82" t="str">
            <v>AZB18</v>
          </cell>
          <cell r="AB82">
            <v>38797.49560185185</v>
          </cell>
          <cell r="AH82" t="str">
            <v>AZD16</v>
          </cell>
          <cell r="AI82">
            <v>38826.370335648149</v>
          </cell>
        </row>
        <row r="83">
          <cell r="A83" t="str">
            <v>AZB01</v>
          </cell>
          <cell r="B83" t="str">
            <v>00002246</v>
          </cell>
          <cell r="C83" t="str">
            <v>AZA97</v>
          </cell>
          <cell r="D83">
            <v>38771.618645833332</v>
          </cell>
          <cell r="E83" t="str">
            <v>AZB00</v>
          </cell>
          <cell r="F83">
            <v>38778.432847222219</v>
          </cell>
          <cell r="G83" t="str">
            <v>AZB07</v>
          </cell>
          <cell r="H83">
            <v>38779.621574074074</v>
          </cell>
          <cell r="I83" t="str">
            <v>AZB04</v>
          </cell>
          <cell r="J83">
            <v>38779.441944444443</v>
          </cell>
          <cell r="K83" t="str">
            <v>AZA97</v>
          </cell>
          <cell r="L83">
            <v>38778.526087962964</v>
          </cell>
          <cell r="M83" t="str">
            <v>AZA97</v>
          </cell>
          <cell r="N83">
            <v>38778.547638888886</v>
          </cell>
          <cell r="O83" t="str">
            <v>AZB27</v>
          </cell>
          <cell r="P83">
            <v>38783.563900462963</v>
          </cell>
          <cell r="Q83" t="str">
            <v>AZB41</v>
          </cell>
          <cell r="R83">
            <v>38793.337025462963</v>
          </cell>
          <cell r="S83" t="str">
            <v>AZB31</v>
          </cell>
          <cell r="T83">
            <v>38798.521157407406</v>
          </cell>
          <cell r="U83" t="str">
            <v>AZB55</v>
          </cell>
          <cell r="V83">
            <v>38803.329710648148</v>
          </cell>
          <cell r="W83" t="str">
            <v>AZB67</v>
          </cell>
          <cell r="X83">
            <v>38804.649930555555</v>
          </cell>
          <cell r="AA83" t="str">
            <v>AZB19</v>
          </cell>
          <cell r="AB83">
            <v>38797.497858796298</v>
          </cell>
          <cell r="AH83" t="str">
            <v>AZC99</v>
          </cell>
          <cell r="AI83">
            <v>38826.388344907406</v>
          </cell>
        </row>
        <row r="84">
          <cell r="A84" t="str">
            <v>AZB02</v>
          </cell>
          <cell r="B84" t="str">
            <v>00002353</v>
          </cell>
          <cell r="C84" t="str">
            <v>AZA98</v>
          </cell>
          <cell r="D84">
            <v>38772.624479166669</v>
          </cell>
          <cell r="E84" t="str">
            <v>AZB01</v>
          </cell>
          <cell r="F84">
            <v>38778.523414351854</v>
          </cell>
          <cell r="G84" t="str">
            <v>AZB09</v>
          </cell>
          <cell r="H84">
            <v>38782.382592592592</v>
          </cell>
          <cell r="I84" t="str">
            <v>AZB02</v>
          </cell>
          <cell r="J84">
            <v>38779.451724537037</v>
          </cell>
          <cell r="K84" t="str">
            <v>AZA97</v>
          </cell>
          <cell r="L84">
            <v>38778.526226851849</v>
          </cell>
          <cell r="M84" t="str">
            <v>AZA99</v>
          </cell>
          <cell r="N84">
            <v>38778.55940972222</v>
          </cell>
          <cell r="O84" t="str">
            <v>AZB26</v>
          </cell>
          <cell r="P84">
            <v>38783.572488425925</v>
          </cell>
          <cell r="Q84" t="str">
            <v>AZB61</v>
          </cell>
          <cell r="R84">
            <v>38793.492858796293</v>
          </cell>
          <cell r="S84" t="str">
            <v>AZB68</v>
          </cell>
          <cell r="T84">
            <v>38799.565243055556</v>
          </cell>
          <cell r="U84" t="str">
            <v>AZB12</v>
          </cell>
          <cell r="V84">
            <v>38803.348969907405</v>
          </cell>
          <cell r="W84" t="str">
            <v>AZB85</v>
          </cell>
          <cell r="X84">
            <v>38804.650023148148</v>
          </cell>
          <cell r="AA84" t="str">
            <v>AZB08</v>
          </cell>
          <cell r="AB84">
            <v>38797.502557870372</v>
          </cell>
          <cell r="AH84" t="str">
            <v>AZD06</v>
          </cell>
          <cell r="AI84">
            <v>38826.391539351855</v>
          </cell>
        </row>
        <row r="85">
          <cell r="A85" t="str">
            <v>AZB03</v>
          </cell>
          <cell r="B85" t="str">
            <v>00002248</v>
          </cell>
          <cell r="C85" t="str">
            <v>AZA99</v>
          </cell>
          <cell r="D85">
            <v>38772.626018518517</v>
          </cell>
          <cell r="E85" t="str">
            <v>AZB02</v>
          </cell>
          <cell r="F85">
            <v>38779.323703703703</v>
          </cell>
          <cell r="G85" t="str">
            <v>AZB10</v>
          </cell>
          <cell r="H85">
            <v>38782.390833333331</v>
          </cell>
          <cell r="I85" t="str">
            <v>AZB03</v>
          </cell>
          <cell r="J85">
            <v>38779.454340277778</v>
          </cell>
          <cell r="K85" t="str">
            <v>AZA99</v>
          </cell>
          <cell r="L85">
            <v>38778.536030092589</v>
          </cell>
          <cell r="M85" t="str">
            <v>AZB01</v>
          </cell>
          <cell r="N85">
            <v>38778.625798611109</v>
          </cell>
          <cell r="O85" t="str">
            <v>AZB16</v>
          </cell>
          <cell r="P85">
            <v>38784.43409722222</v>
          </cell>
          <cell r="Q85" t="str">
            <v>AZB51</v>
          </cell>
          <cell r="R85">
            <v>38793.498391203706</v>
          </cell>
          <cell r="S85" t="str">
            <v>AZB56</v>
          </cell>
          <cell r="T85">
            <v>38799.616597222222</v>
          </cell>
          <cell r="U85" t="str">
            <v>AZB31</v>
          </cell>
          <cell r="V85">
            <v>38803.36141203704</v>
          </cell>
          <cell r="W85" t="str">
            <v>AZB51</v>
          </cell>
          <cell r="X85">
            <v>38804.650196759256</v>
          </cell>
          <cell r="AA85" t="str">
            <v>AZB21</v>
          </cell>
          <cell r="AB85">
            <v>38797.506956018522</v>
          </cell>
          <cell r="AH85" t="str">
            <v>AZD00</v>
          </cell>
          <cell r="AI85">
            <v>38826.393796296295</v>
          </cell>
        </row>
        <row r="86">
          <cell r="A86" t="str">
            <v>AZB04</v>
          </cell>
          <cell r="B86" t="str">
            <v>00002354</v>
          </cell>
          <cell r="C86" t="str">
            <v>AZB00</v>
          </cell>
          <cell r="D86">
            <v>38772.627962962964</v>
          </cell>
          <cell r="E86" t="str">
            <v>AZB03</v>
          </cell>
          <cell r="F86">
            <v>38779.345358796294</v>
          </cell>
          <cell r="G86" t="str">
            <v>AZB11</v>
          </cell>
          <cell r="H86">
            <v>38782.398784722223</v>
          </cell>
          <cell r="I86" t="str">
            <v>AZB05</v>
          </cell>
          <cell r="J86">
            <v>38779.466215277775</v>
          </cell>
          <cell r="K86" t="str">
            <v>AZA99</v>
          </cell>
          <cell r="L86">
            <v>38778.536111111112</v>
          </cell>
          <cell r="M86" t="str">
            <v>AZB00</v>
          </cell>
          <cell r="N86">
            <v>38779.375613425924</v>
          </cell>
          <cell r="O86" t="str">
            <v>AZB13</v>
          </cell>
          <cell r="P86">
            <v>38784.441446759258</v>
          </cell>
          <cell r="Q86" t="str">
            <v>AZB42</v>
          </cell>
          <cell r="R86">
            <v>38794.468414351853</v>
          </cell>
          <cell r="S86" t="str">
            <v>AZC19</v>
          </cell>
          <cell r="T86">
            <v>38800.60800925926</v>
          </cell>
          <cell r="U86" t="str">
            <v>AZA96</v>
          </cell>
          <cell r="V86">
            <v>38803.370486111111</v>
          </cell>
          <cell r="W86" t="str">
            <v>AZB43</v>
          </cell>
          <cell r="X86">
            <v>38804.650347222225</v>
          </cell>
          <cell r="AA86" t="str">
            <v>AZA67</v>
          </cell>
          <cell r="AB86">
            <v>38797.511469907404</v>
          </cell>
          <cell r="AH86" t="str">
            <v>AZD01</v>
          </cell>
          <cell r="AI86">
            <v>38826.398414351854</v>
          </cell>
        </row>
        <row r="87">
          <cell r="A87" t="str">
            <v>AZB05</v>
          </cell>
          <cell r="B87" t="str">
            <v>00002357</v>
          </cell>
          <cell r="C87" t="str">
            <v>AZB01</v>
          </cell>
          <cell r="D87">
            <v>38772.629872685182</v>
          </cell>
          <cell r="E87" t="str">
            <v>AZB04</v>
          </cell>
          <cell r="F87">
            <v>38779.355486111112</v>
          </cell>
          <cell r="G87" t="str">
            <v>AZB17</v>
          </cell>
          <cell r="H87">
            <v>38782.404907407406</v>
          </cell>
          <cell r="I87" t="str">
            <v>AZB06</v>
          </cell>
          <cell r="J87">
            <v>38779.583113425928</v>
          </cell>
          <cell r="K87" t="str">
            <v>AZB01</v>
          </cell>
          <cell r="L87">
            <v>38778.61378472222</v>
          </cell>
          <cell r="M87" t="str">
            <v>AZB05</v>
          </cell>
          <cell r="N87">
            <v>38779.607800925929</v>
          </cell>
          <cell r="O87" t="str">
            <v>AZB15</v>
          </cell>
          <cell r="P87">
            <v>38784.451435185183</v>
          </cell>
          <cell r="Q87" t="str">
            <v>AZB63</v>
          </cell>
          <cell r="R87">
            <v>38796.457476851851</v>
          </cell>
          <cell r="S87" t="str">
            <v>AZC46</v>
          </cell>
          <cell r="T87">
            <v>38800.67355324074</v>
          </cell>
          <cell r="U87" t="str">
            <v>AZB51</v>
          </cell>
          <cell r="V87">
            <v>38803.469386574077</v>
          </cell>
          <cell r="W87" t="str">
            <v>AZB64</v>
          </cell>
          <cell r="X87">
            <v>38804.650694444441</v>
          </cell>
          <cell r="AA87" t="str">
            <v>AZB03</v>
          </cell>
          <cell r="AB87">
            <v>38797.514976851853</v>
          </cell>
          <cell r="AH87" t="str">
            <v>AZD04</v>
          </cell>
          <cell r="AI87">
            <v>38826.449016203704</v>
          </cell>
        </row>
        <row r="88">
          <cell r="A88" t="str">
            <v>AZB06</v>
          </cell>
          <cell r="B88" t="str">
            <v>00002358</v>
          </cell>
          <cell r="C88" t="str">
            <v>AZB02</v>
          </cell>
          <cell r="D88">
            <v>38772.631585648145</v>
          </cell>
          <cell r="E88" t="str">
            <v>AZB05</v>
          </cell>
          <cell r="F88">
            <v>38779.400590277779</v>
          </cell>
          <cell r="G88" t="str">
            <v>AZB18</v>
          </cell>
          <cell r="H88">
            <v>38782.447210648148</v>
          </cell>
          <cell r="I88" t="str">
            <v>AZB76</v>
          </cell>
          <cell r="J88">
            <v>38779.594733796293</v>
          </cell>
          <cell r="K88" t="str">
            <v>AZB01</v>
          </cell>
          <cell r="L88">
            <v>38778.613865740743</v>
          </cell>
          <cell r="M88" t="str">
            <v>AZB02</v>
          </cell>
          <cell r="N88">
            <v>38779.608067129629</v>
          </cell>
          <cell r="O88" t="str">
            <v>AZB14</v>
          </cell>
          <cell r="P88">
            <v>38784.459537037037</v>
          </cell>
          <cell r="Q88" t="str">
            <v>AZB53</v>
          </cell>
          <cell r="R88">
            <v>38796.474282407406</v>
          </cell>
          <cell r="S88" t="str">
            <v>AZB87</v>
          </cell>
          <cell r="T88">
            <v>38800.673634259256</v>
          </cell>
          <cell r="U88" t="str">
            <v>AZB77</v>
          </cell>
          <cell r="V88">
            <v>38804.294861111113</v>
          </cell>
          <cell r="W88" t="str">
            <v>AZB67</v>
          </cell>
          <cell r="X88">
            <v>38805.260995370372</v>
          </cell>
          <cell r="AA88" t="str">
            <v>AZB15</v>
          </cell>
          <cell r="AB88">
            <v>38797.516412037039</v>
          </cell>
          <cell r="AH88" t="str">
            <v>AZC95</v>
          </cell>
          <cell r="AI88">
            <v>38826.469270833331</v>
          </cell>
        </row>
        <row r="89">
          <cell r="A89" t="str">
            <v>AZB07</v>
          </cell>
          <cell r="B89" t="str">
            <v>00002359</v>
          </cell>
          <cell r="C89" t="str">
            <v>AZB03</v>
          </cell>
          <cell r="D89">
            <v>38772.633159722223</v>
          </cell>
          <cell r="E89" t="str">
            <v>AZB06</v>
          </cell>
          <cell r="F89">
            <v>38779.497881944444</v>
          </cell>
          <cell r="G89" t="str">
            <v>AZB08</v>
          </cell>
          <cell r="H89">
            <v>38782.465543981481</v>
          </cell>
          <cell r="I89" t="str">
            <v>AZB07</v>
          </cell>
          <cell r="J89">
            <v>38782.331030092595</v>
          </cell>
          <cell r="K89" t="str">
            <v>AZB00</v>
          </cell>
          <cell r="L89">
            <v>38778.630127314813</v>
          </cell>
          <cell r="M89" t="str">
            <v>AZB03</v>
          </cell>
          <cell r="N89">
            <v>38779.609224537038</v>
          </cell>
          <cell r="O89" t="str">
            <v>AZB28</v>
          </cell>
          <cell r="P89">
            <v>38784.464953703704</v>
          </cell>
          <cell r="Q89" t="str">
            <v>AZB80</v>
          </cell>
          <cell r="R89">
            <v>38796.499236111114</v>
          </cell>
          <cell r="S89" t="str">
            <v>AZB88</v>
          </cell>
          <cell r="T89">
            <v>38800.673726851855</v>
          </cell>
          <cell r="U89" t="str">
            <v>AZB59</v>
          </cell>
          <cell r="V89">
            <v>38804.29824074074</v>
          </cell>
          <cell r="W89" t="str">
            <v>AZB97</v>
          </cell>
          <cell r="X89">
            <v>38810.644317129627</v>
          </cell>
          <cell r="AA89" t="str">
            <v>AZB09</v>
          </cell>
          <cell r="AB89">
            <v>38797.521817129629</v>
          </cell>
          <cell r="AH89" t="str">
            <v>AZC84</v>
          </cell>
          <cell r="AI89">
            <v>38826.571689814817</v>
          </cell>
        </row>
        <row r="90">
          <cell r="A90" t="str">
            <v>AZB08</v>
          </cell>
          <cell r="B90" t="str">
            <v>00002360</v>
          </cell>
          <cell r="C90" t="str">
            <v>AZB04</v>
          </cell>
          <cell r="D90">
            <v>38772.634918981479</v>
          </cell>
          <cell r="E90" t="str">
            <v>AZB76</v>
          </cell>
          <cell r="F90">
            <v>38779.528564814813</v>
          </cell>
          <cell r="G90" t="str">
            <v>AZB23</v>
          </cell>
          <cell r="H90">
            <v>38782.521967592591</v>
          </cell>
          <cell r="I90" t="str">
            <v>AZB09</v>
          </cell>
          <cell r="J90">
            <v>38782.392372685186</v>
          </cell>
          <cell r="K90" t="str">
            <v>AZB00</v>
          </cell>
          <cell r="L90">
            <v>38778.630219907405</v>
          </cell>
          <cell r="M90" t="str">
            <v>AZB04</v>
          </cell>
          <cell r="N90">
            <v>38779.611863425926</v>
          </cell>
          <cell r="O90" t="str">
            <v>AZB86</v>
          </cell>
          <cell r="P90">
            <v>38785.330972222226</v>
          </cell>
          <cell r="Q90" t="str">
            <v>AZB67</v>
          </cell>
          <cell r="R90">
            <v>38796.537152777775</v>
          </cell>
          <cell r="S90" t="str">
            <v>AZC19</v>
          </cell>
          <cell r="T90">
            <v>38800.673807870371</v>
          </cell>
          <cell r="U90" t="str">
            <v>AZB68</v>
          </cell>
          <cell r="V90">
            <v>38804.299155092594</v>
          </cell>
          <cell r="W90" t="str">
            <v>AZC13</v>
          </cell>
          <cell r="X90">
            <v>38810.644467592596</v>
          </cell>
          <cell r="AA90" t="str">
            <v>AZB23</v>
          </cell>
          <cell r="AB90">
            <v>38797.523159722223</v>
          </cell>
          <cell r="AH90" t="str">
            <v>AZC77</v>
          </cell>
          <cell r="AI90">
            <v>38827.274189814816</v>
          </cell>
        </row>
        <row r="91">
          <cell r="A91" t="str">
            <v>AZB09</v>
          </cell>
          <cell r="B91" t="str">
            <v>00002363</v>
          </cell>
          <cell r="C91" t="str">
            <v>AZB05</v>
          </cell>
          <cell r="D91">
            <v>38775.608831018515</v>
          </cell>
          <cell r="E91" t="str">
            <v>AZB07</v>
          </cell>
          <cell r="F91">
            <v>38779.592881944445</v>
          </cell>
          <cell r="G91" t="str">
            <v>AZB20</v>
          </cell>
          <cell r="H91">
            <v>38782.527280092596</v>
          </cell>
          <cell r="I91" t="str">
            <v>AZB10</v>
          </cell>
          <cell r="J91">
            <v>38782.403032407405</v>
          </cell>
          <cell r="K91" t="str">
            <v>AZB04</v>
          </cell>
          <cell r="L91">
            <v>38779.588310185187</v>
          </cell>
          <cell r="M91" t="str">
            <v>AZB76</v>
          </cell>
          <cell r="N91">
            <v>38782.296030092592</v>
          </cell>
          <cell r="O91" t="str">
            <v>AZA36</v>
          </cell>
          <cell r="P91">
            <v>38785.57545138889</v>
          </cell>
          <cell r="Q91" t="str">
            <v>AZB52</v>
          </cell>
          <cell r="R91">
            <v>38796.54078703704</v>
          </cell>
          <cell r="S91" t="str">
            <v>AZB62</v>
          </cell>
          <cell r="T91">
            <v>38800.673935185187</v>
          </cell>
          <cell r="U91" t="str">
            <v>AZB87</v>
          </cell>
          <cell r="V91">
            <v>38805.278645833336</v>
          </cell>
          <cell r="W91" t="str">
            <v>AZB96</v>
          </cell>
          <cell r="X91">
            <v>38810.670682870368</v>
          </cell>
          <cell r="AA91" t="str">
            <v>AZB25</v>
          </cell>
          <cell r="AB91">
            <v>38797.52447916667</v>
          </cell>
          <cell r="AH91" t="str">
            <v>AZD24</v>
          </cell>
          <cell r="AI91">
            <v>38827.288518518515</v>
          </cell>
        </row>
        <row r="92">
          <cell r="A92" t="str">
            <v>AZB10</v>
          </cell>
          <cell r="B92" t="str">
            <v>00002364</v>
          </cell>
          <cell r="C92" t="str">
            <v>AZB06</v>
          </cell>
          <cell r="D92">
            <v>38775.611168981479</v>
          </cell>
          <cell r="E92" t="str">
            <v>AZB09</v>
          </cell>
          <cell r="F92">
            <v>38782.269618055558</v>
          </cell>
          <cell r="G92" t="str">
            <v>AZB24</v>
          </cell>
          <cell r="H92">
            <v>38782.5471412037</v>
          </cell>
          <cell r="I92" t="str">
            <v>AZB11</v>
          </cell>
          <cell r="J92">
            <v>38782.4062962963</v>
          </cell>
          <cell r="K92" t="str">
            <v>AZB04</v>
          </cell>
          <cell r="L92">
            <v>38779.588703703703</v>
          </cell>
          <cell r="M92" t="str">
            <v>AZB06</v>
          </cell>
          <cell r="N92">
            <v>38782.297453703701</v>
          </cell>
          <cell r="O92" t="str">
            <v>AZB29</v>
          </cell>
          <cell r="P92">
            <v>38786.327106481483</v>
          </cell>
          <cell r="Q92" t="str">
            <v>AZB66</v>
          </cell>
          <cell r="R92">
            <v>38796.64099537037</v>
          </cell>
          <cell r="S92" t="str">
            <v>AZB55</v>
          </cell>
          <cell r="T92">
            <v>38803.268252314818</v>
          </cell>
          <cell r="U92" t="str">
            <v>AZB88</v>
          </cell>
          <cell r="V92">
            <v>38805.280891203707</v>
          </cell>
          <cell r="AA92" t="str">
            <v>AZB24</v>
          </cell>
          <cell r="AB92">
            <v>38797.526192129626</v>
          </cell>
          <cell r="AH92" t="str">
            <v>AZD13</v>
          </cell>
          <cell r="AI92">
            <v>38827.351701388892</v>
          </cell>
        </row>
        <row r="93">
          <cell r="A93" t="str">
            <v>AZB11</v>
          </cell>
          <cell r="B93" t="str">
            <v>00002365</v>
          </cell>
          <cell r="C93" t="str">
            <v>AZB07</v>
          </cell>
          <cell r="D93">
            <v>38775.613217592596</v>
          </cell>
          <cell r="E93" t="str">
            <v>AZB10</v>
          </cell>
          <cell r="F93">
            <v>38782.301111111112</v>
          </cell>
          <cell r="G93" t="str">
            <v>AZB22</v>
          </cell>
          <cell r="H93">
            <v>38782.630787037036</v>
          </cell>
          <cell r="I93" t="str">
            <v>AZB17</v>
          </cell>
          <cell r="J93">
            <v>38782.414513888885</v>
          </cell>
          <cell r="K93" t="str">
            <v>AZB02</v>
          </cell>
          <cell r="L93">
            <v>38779.594421296293</v>
          </cell>
          <cell r="M93" t="str">
            <v>AZB09</v>
          </cell>
          <cell r="N93">
            <v>38782.450694444444</v>
          </cell>
          <cell r="O93" t="str">
            <v>AZB30</v>
          </cell>
          <cell r="P93">
            <v>38786.403668981482</v>
          </cell>
          <cell r="Q93" t="str">
            <v>AZA68</v>
          </cell>
          <cell r="R93">
            <v>38797.273136574076</v>
          </cell>
          <cell r="S93" t="str">
            <v>AZA68</v>
          </cell>
          <cell r="T93">
            <v>38803.268645833334</v>
          </cell>
          <cell r="U93" t="str">
            <v>AZB13</v>
          </cell>
          <cell r="V93">
            <v>38805.320034722223</v>
          </cell>
          <cell r="AA93" t="str">
            <v>AZA92</v>
          </cell>
          <cell r="AB93">
            <v>38797.611678240741</v>
          </cell>
          <cell r="AH93" t="str">
            <v>AZD18</v>
          </cell>
          <cell r="AI93">
            <v>38827.351863425924</v>
          </cell>
        </row>
        <row r="94">
          <cell r="A94" t="str">
            <v>AZB12</v>
          </cell>
          <cell r="B94" t="str">
            <v>00002366</v>
          </cell>
          <cell r="C94" t="str">
            <v>AZB76</v>
          </cell>
          <cell r="D94">
            <v>38775.615358796298</v>
          </cell>
          <cell r="E94" t="str">
            <v>AZB17</v>
          </cell>
          <cell r="F94">
            <v>38782.372986111113</v>
          </cell>
          <cell r="G94" t="str">
            <v>AZB25</v>
          </cell>
          <cell r="H94">
            <v>38782.638136574074</v>
          </cell>
          <cell r="I94" t="str">
            <v>AZB18</v>
          </cell>
          <cell r="J94">
            <v>38782.456724537034</v>
          </cell>
          <cell r="K94" t="str">
            <v>AZB02</v>
          </cell>
          <cell r="L94">
            <v>38779.59447916667</v>
          </cell>
          <cell r="M94" t="str">
            <v>AZB07</v>
          </cell>
          <cell r="N94">
            <v>38782.45244212963</v>
          </cell>
          <cell r="O94" t="str">
            <v>AZB79</v>
          </cell>
          <cell r="P94">
            <v>38786.425462962965</v>
          </cell>
          <cell r="Q94" t="str">
            <v>AZB35</v>
          </cell>
          <cell r="R94">
            <v>38797.332442129627</v>
          </cell>
          <cell r="S94" t="str">
            <v>AZB88</v>
          </cell>
          <cell r="T94">
            <v>38803.268900462965</v>
          </cell>
          <cell r="U94" t="str">
            <v>AZA93</v>
          </cell>
          <cell r="V94">
            <v>38805.555150462962</v>
          </cell>
          <cell r="AA94" t="str">
            <v>AZA80</v>
          </cell>
          <cell r="AB94">
            <v>38797.617708333331</v>
          </cell>
          <cell r="AH94" t="str">
            <v>AZC91</v>
          </cell>
          <cell r="AI94">
            <v>38827.358935185184</v>
          </cell>
        </row>
        <row r="95">
          <cell r="A95" t="str">
            <v>AZB13</v>
          </cell>
          <cell r="B95" t="str">
            <v>00002367</v>
          </cell>
          <cell r="C95" t="str">
            <v>AZB09</v>
          </cell>
          <cell r="D95">
            <v>38775.617395833331</v>
          </cell>
          <cell r="E95" t="str">
            <v>AZB11</v>
          </cell>
          <cell r="F95">
            <v>38782.379212962966</v>
          </cell>
          <cell r="G95" t="str">
            <v>AZB21</v>
          </cell>
          <cell r="H95">
            <v>38783.303831018522</v>
          </cell>
          <cell r="I95" t="str">
            <v>AZB08</v>
          </cell>
          <cell r="J95">
            <v>38782.481585648151</v>
          </cell>
          <cell r="K95" t="str">
            <v>AZB03</v>
          </cell>
          <cell r="L95">
            <v>38779.596898148149</v>
          </cell>
          <cell r="M95" t="str">
            <v>AZB17</v>
          </cell>
          <cell r="N95">
            <v>38782.492326388892</v>
          </cell>
          <cell r="O95" t="str">
            <v>AZB32</v>
          </cell>
          <cell r="P95">
            <v>38789.622581018521</v>
          </cell>
          <cell r="Q95" t="str">
            <v>AZB16</v>
          </cell>
          <cell r="R95">
            <v>38797.364328703705</v>
          </cell>
          <cell r="S95" t="str">
            <v>AZC19</v>
          </cell>
          <cell r="T95">
            <v>38803.269085648149</v>
          </cell>
          <cell r="U95" t="str">
            <v>AZC10</v>
          </cell>
          <cell r="V95">
            <v>38807.354155092595</v>
          </cell>
          <cell r="AA95" t="str">
            <v>AZA77</v>
          </cell>
          <cell r="AB95">
            <v>38797.706736111111</v>
          </cell>
          <cell r="AH95" t="str">
            <v>AZC67</v>
          </cell>
          <cell r="AI95">
            <v>38827.370879629627</v>
          </cell>
        </row>
        <row r="96">
          <cell r="A96" t="str">
            <v>AZB14</v>
          </cell>
          <cell r="B96" t="str">
            <v>00002368</v>
          </cell>
          <cell r="C96" t="str">
            <v>AZB08</v>
          </cell>
          <cell r="D96">
            <v>38776.621574074074</v>
          </cell>
          <cell r="E96" t="str">
            <v>AZB18</v>
          </cell>
          <cell r="F96">
            <v>38782.387025462966</v>
          </cell>
          <cell r="G96" t="str">
            <v>AZB19</v>
          </cell>
          <cell r="H96">
            <v>38783.312511574077</v>
          </cell>
          <cell r="I96" t="str">
            <v>AZB23</v>
          </cell>
          <cell r="J96">
            <v>38782.536030092589</v>
          </cell>
          <cell r="K96" t="str">
            <v>AZB03</v>
          </cell>
          <cell r="L96">
            <v>38779.596956018519</v>
          </cell>
          <cell r="M96" t="str">
            <v>AZB18</v>
          </cell>
          <cell r="N96">
            <v>38782.505312499998</v>
          </cell>
          <cell r="O96" t="str">
            <v>AZB33</v>
          </cell>
          <cell r="P96">
            <v>38790.313125000001</v>
          </cell>
          <cell r="Q96" t="str">
            <v>AZB59</v>
          </cell>
          <cell r="R96">
            <v>38797.385162037041</v>
          </cell>
          <cell r="S96" t="str">
            <v>AZB62</v>
          </cell>
          <cell r="T96">
            <v>38803.328043981484</v>
          </cell>
          <cell r="U96" t="str">
            <v>AZB90</v>
          </cell>
          <cell r="V96">
            <v>38807.48060185185</v>
          </cell>
          <cell r="AA96" t="str">
            <v>AZA49</v>
          </cell>
          <cell r="AB96">
            <v>38798.418553240743</v>
          </cell>
          <cell r="AH96" t="str">
            <v>AZD17</v>
          </cell>
          <cell r="AI96">
            <v>38827.379814814813</v>
          </cell>
        </row>
        <row r="97">
          <cell r="A97" t="str">
            <v>AZB15</v>
          </cell>
          <cell r="B97" t="str">
            <v>00002369</v>
          </cell>
          <cell r="C97" t="str">
            <v>AZB10</v>
          </cell>
          <cell r="D97">
            <v>38776.623078703706</v>
          </cell>
          <cell r="E97" t="str">
            <v>AZB08</v>
          </cell>
          <cell r="F97">
            <v>38782.4530787037</v>
          </cell>
          <cell r="G97" t="str">
            <v>AZB12</v>
          </cell>
          <cell r="H97">
            <v>38783.318425925929</v>
          </cell>
          <cell r="I97" t="str">
            <v>AZB20</v>
          </cell>
          <cell r="J97">
            <v>38782.539282407408</v>
          </cell>
          <cell r="K97" t="str">
            <v>AZB05</v>
          </cell>
          <cell r="L97">
            <v>38779.599085648151</v>
          </cell>
          <cell r="M97" t="str">
            <v>AZB10</v>
          </cell>
          <cell r="N97">
            <v>38782.51289351852</v>
          </cell>
          <cell r="O97" t="str">
            <v>AZB34</v>
          </cell>
          <cell r="P97">
            <v>38790.314282407409</v>
          </cell>
          <cell r="Q97" t="str">
            <v>AZB75</v>
          </cell>
          <cell r="R97">
            <v>38797.45815972222</v>
          </cell>
          <cell r="S97" t="str">
            <v>AZB55</v>
          </cell>
          <cell r="T97">
            <v>38803.329155092593</v>
          </cell>
          <cell r="U97" t="str">
            <v>AZB97</v>
          </cell>
          <cell r="V97">
            <v>38807.503368055557</v>
          </cell>
          <cell r="AA97" t="str">
            <v>AZA55</v>
          </cell>
          <cell r="AB97">
            <v>38798.418692129628</v>
          </cell>
          <cell r="AH97" t="str">
            <v>AZD30</v>
          </cell>
          <cell r="AI97">
            <v>38827.382604166669</v>
          </cell>
        </row>
        <row r="98">
          <cell r="A98" t="str">
            <v>AZB16</v>
          </cell>
          <cell r="B98" t="str">
            <v>00002370</v>
          </cell>
          <cell r="C98" t="str">
            <v>AZB11</v>
          </cell>
          <cell r="D98">
            <v>38776.624872685185</v>
          </cell>
          <cell r="E98" t="str">
            <v>AZB20</v>
          </cell>
          <cell r="F98">
            <v>38782.475219907406</v>
          </cell>
          <cell r="G98" t="str">
            <v>AZA75</v>
          </cell>
          <cell r="H98">
            <v>38783.462592592594</v>
          </cell>
          <cell r="I98" t="str">
            <v>AZB24</v>
          </cell>
          <cell r="J98">
            <v>38782.555648148147</v>
          </cell>
          <cell r="K98" t="str">
            <v>AZB05</v>
          </cell>
          <cell r="L98">
            <v>38779.599166666667</v>
          </cell>
          <cell r="M98" t="str">
            <v>AZB08</v>
          </cell>
          <cell r="N98">
            <v>38782.54991898148</v>
          </cell>
          <cell r="O98" t="str">
            <v>AZB40</v>
          </cell>
          <cell r="P98">
            <v>38790.350891203707</v>
          </cell>
          <cell r="Q98" t="str">
            <v>AZB58</v>
          </cell>
          <cell r="R98">
            <v>38797.507187499999</v>
          </cell>
          <cell r="S98" t="str">
            <v>AZC46</v>
          </cell>
          <cell r="T98">
            <v>38803.331365740742</v>
          </cell>
          <cell r="U98" t="str">
            <v>AZB93</v>
          </cell>
          <cell r="V98">
            <v>38807.548518518517</v>
          </cell>
          <cell r="AA98" t="str">
            <v>AZA21</v>
          </cell>
          <cell r="AB98">
            <v>38799.428946759261</v>
          </cell>
          <cell r="AH98" t="str">
            <v>AZD14</v>
          </cell>
          <cell r="AI98">
            <v>38827.389872685184</v>
          </cell>
        </row>
        <row r="99">
          <cell r="A99" t="str">
            <v>AZB17</v>
          </cell>
          <cell r="B99" t="str">
            <v>00002371</v>
          </cell>
          <cell r="C99" t="str">
            <v>AZB17</v>
          </cell>
          <cell r="D99">
            <v>38776.626759259256</v>
          </cell>
          <cell r="E99" t="str">
            <v>AZB23</v>
          </cell>
          <cell r="F99">
            <v>38782.499675925923</v>
          </cell>
          <cell r="G99" t="str">
            <v>AZB27</v>
          </cell>
          <cell r="H99">
            <v>38783.466516203705</v>
          </cell>
          <cell r="I99" t="str">
            <v>AZB22</v>
          </cell>
          <cell r="J99">
            <v>38782.637650462966</v>
          </cell>
          <cell r="K99" t="str">
            <v>AZB06</v>
          </cell>
          <cell r="L99">
            <v>38779.628101851849</v>
          </cell>
          <cell r="M99" t="str">
            <v>AZB11</v>
          </cell>
          <cell r="N99">
            <v>38782.568807870368</v>
          </cell>
          <cell r="O99" t="str">
            <v>AZA27</v>
          </cell>
          <cell r="P99">
            <v>38790.432488425926</v>
          </cell>
          <cell r="Q99" t="str">
            <v>AZB15</v>
          </cell>
          <cell r="R99">
            <v>38797.516412037039</v>
          </cell>
          <cell r="S99" t="str">
            <v>AZB87</v>
          </cell>
          <cell r="T99">
            <v>38803.331967592596</v>
          </cell>
          <cell r="U99" t="str">
            <v>AZB98</v>
          </cell>
          <cell r="V99">
            <v>38807.593449074076</v>
          </cell>
          <cell r="AA99" t="str">
            <v>AZB46</v>
          </cell>
          <cell r="AB99">
            <v>38800.60434027778</v>
          </cell>
          <cell r="AH99" t="str">
            <v>AZD29</v>
          </cell>
          <cell r="AI99">
            <v>38827.391122685185</v>
          </cell>
        </row>
        <row r="100">
          <cell r="A100" t="str">
            <v>AZB18</v>
          </cell>
          <cell r="B100" t="str">
            <v>00002372</v>
          </cell>
          <cell r="C100" t="str">
            <v>AZB18</v>
          </cell>
          <cell r="D100">
            <v>38776.628518518519</v>
          </cell>
          <cell r="E100" t="str">
            <v>AZB19</v>
          </cell>
          <cell r="F100">
            <v>38782.507280092592</v>
          </cell>
          <cell r="G100" t="str">
            <v>AZB14</v>
          </cell>
          <cell r="H100">
            <v>38783.471817129626</v>
          </cell>
          <cell r="I100" t="str">
            <v>AZB25</v>
          </cell>
          <cell r="J100">
            <v>38782.644733796296</v>
          </cell>
          <cell r="K100" t="str">
            <v>AZB06</v>
          </cell>
          <cell r="L100">
            <v>38779.628217592595</v>
          </cell>
          <cell r="M100" t="str">
            <v>AZB23</v>
          </cell>
          <cell r="N100">
            <v>38782.625798611109</v>
          </cell>
          <cell r="O100" t="str">
            <v>AZA28</v>
          </cell>
          <cell r="P100">
            <v>38790.432662037034</v>
          </cell>
          <cell r="Q100" t="str">
            <v>AZB24</v>
          </cell>
          <cell r="R100">
            <v>38797.526192129626</v>
          </cell>
          <cell r="S100" t="str">
            <v>AZB88</v>
          </cell>
          <cell r="T100">
            <v>38803.333391203705</v>
          </cell>
          <cell r="U100" t="str">
            <v>AZC27</v>
          </cell>
          <cell r="V100">
            <v>38807.630983796298</v>
          </cell>
          <cell r="AA100" t="str">
            <v>AZB40</v>
          </cell>
          <cell r="AB100">
            <v>38803.35019675926</v>
          </cell>
          <cell r="AH100" t="str">
            <v>AZD20</v>
          </cell>
          <cell r="AI100">
            <v>38827.40662037037</v>
          </cell>
        </row>
        <row r="101">
          <cell r="A101" t="str">
            <v>AZB19</v>
          </cell>
          <cell r="B101" t="str">
            <v>00002373</v>
          </cell>
          <cell r="C101" t="str">
            <v>AZB22</v>
          </cell>
          <cell r="D101">
            <v>38776.630196759259</v>
          </cell>
          <cell r="E101" t="str">
            <v>AZB24</v>
          </cell>
          <cell r="F101">
            <v>38782.523125</v>
          </cell>
          <cell r="G101" t="str">
            <v>AZB15</v>
          </cell>
          <cell r="H101">
            <v>38783.479930555557</v>
          </cell>
          <cell r="I101" t="str">
            <v>AZB21</v>
          </cell>
          <cell r="J101">
            <v>38783.311180555553</v>
          </cell>
          <cell r="K101" t="str">
            <v>AZB76</v>
          </cell>
          <cell r="L101">
            <v>38779.631018518521</v>
          </cell>
          <cell r="M101" t="str">
            <v>AZB20</v>
          </cell>
          <cell r="N101">
            <v>38782.627696759257</v>
          </cell>
          <cell r="O101" t="str">
            <v>AZA30</v>
          </cell>
          <cell r="P101">
            <v>38790.432766203703</v>
          </cell>
          <cell r="Q101" t="str">
            <v>AZB49</v>
          </cell>
          <cell r="R101">
            <v>38797.535763888889</v>
          </cell>
          <cell r="S101" t="str">
            <v>AZC19</v>
          </cell>
          <cell r="T101">
            <v>38803.334710648145</v>
          </cell>
          <cell r="U101" t="str">
            <v>AZC14</v>
          </cell>
          <cell r="V101">
            <v>38810.296585648146</v>
          </cell>
          <cell r="AA101" t="str">
            <v>AZB33</v>
          </cell>
          <cell r="AB101">
            <v>38803.357604166667</v>
          </cell>
          <cell r="AH101" t="str">
            <v>AZD05</v>
          </cell>
          <cell r="AI101">
            <v>38827.408136574071</v>
          </cell>
        </row>
        <row r="102">
          <cell r="A102" t="str">
            <v>AZB20</v>
          </cell>
          <cell r="B102" t="str">
            <v>00002374</v>
          </cell>
          <cell r="C102" t="str">
            <v>AZB19</v>
          </cell>
          <cell r="D102">
            <v>38777.602349537039</v>
          </cell>
          <cell r="E102" t="str">
            <v>AZB25</v>
          </cell>
          <cell r="F102">
            <v>38782.542581018519</v>
          </cell>
          <cell r="G102" t="str">
            <v>AZB26</v>
          </cell>
          <cell r="H102">
            <v>38783.484710648147</v>
          </cell>
          <cell r="I102" t="str">
            <v>AZB19</v>
          </cell>
          <cell r="J102">
            <v>38783.319733796299</v>
          </cell>
          <cell r="K102" t="str">
            <v>AZB76</v>
          </cell>
          <cell r="L102">
            <v>38779.631793981483</v>
          </cell>
          <cell r="M102" t="str">
            <v>AZB24</v>
          </cell>
          <cell r="N102">
            <v>38782.655624999999</v>
          </cell>
          <cell r="O102" t="str">
            <v>AZA31</v>
          </cell>
          <cell r="P102">
            <v>38790.439282407409</v>
          </cell>
          <cell r="Q102" t="str">
            <v>AZB60</v>
          </cell>
          <cell r="R102">
            <v>38797.54</v>
          </cell>
          <cell r="S102" t="str">
            <v>AZB56</v>
          </cell>
          <cell r="T102">
            <v>38804.29755787037</v>
          </cell>
          <cell r="U102" t="str">
            <v>AZC46</v>
          </cell>
          <cell r="V102">
            <v>38810.328402777777</v>
          </cell>
          <cell r="AA102" t="str">
            <v>AZB37</v>
          </cell>
          <cell r="AB102">
            <v>38803.357997685183</v>
          </cell>
          <cell r="AH102" t="str">
            <v>AZD28</v>
          </cell>
          <cell r="AI102">
            <v>38827.416828703703</v>
          </cell>
        </row>
        <row r="103">
          <cell r="A103" t="str">
            <v>AZB21</v>
          </cell>
          <cell r="B103" t="str">
            <v>00002375</v>
          </cell>
          <cell r="C103" t="str">
            <v>AZB20</v>
          </cell>
          <cell r="D103">
            <v>38777.648414351854</v>
          </cell>
          <cell r="E103" t="str">
            <v>AZB26</v>
          </cell>
          <cell r="F103">
            <v>38782.560347222221</v>
          </cell>
          <cell r="G103" t="str">
            <v>AZB13</v>
          </cell>
          <cell r="H103">
            <v>38783.49255787037</v>
          </cell>
          <cell r="I103" t="str">
            <v>AZB12</v>
          </cell>
          <cell r="J103">
            <v>38783.35392361111</v>
          </cell>
          <cell r="K103" t="str">
            <v>AZB76</v>
          </cell>
          <cell r="L103">
            <v>38779.631932870368</v>
          </cell>
          <cell r="M103" t="str">
            <v>AZB22</v>
          </cell>
          <cell r="N103">
            <v>38783.288472222222</v>
          </cell>
          <cell r="O103" t="str">
            <v>AZA37</v>
          </cell>
          <cell r="P103">
            <v>38790.440509259257</v>
          </cell>
          <cell r="Q103" t="str">
            <v>AZB64</v>
          </cell>
          <cell r="R103">
            <v>38797.543842592589</v>
          </cell>
          <cell r="S103" t="str">
            <v>AZB59</v>
          </cell>
          <cell r="T103">
            <v>38804.298414351855</v>
          </cell>
          <cell r="U103" t="str">
            <v>AZC13</v>
          </cell>
          <cell r="V103">
            <v>38810.416967592595</v>
          </cell>
          <cell r="AA103" t="str">
            <v>AZB31</v>
          </cell>
          <cell r="AB103">
            <v>38803.36141203704</v>
          </cell>
          <cell r="AH103" t="str">
            <v>AZD19</v>
          </cell>
          <cell r="AI103">
            <v>38827.518078703702</v>
          </cell>
        </row>
        <row r="104">
          <cell r="A104" t="str">
            <v>AZB22</v>
          </cell>
          <cell r="B104" t="str">
            <v>00002376</v>
          </cell>
          <cell r="C104" t="str">
            <v>AZB23</v>
          </cell>
          <cell r="D104">
            <v>38777.649861111109</v>
          </cell>
          <cell r="E104" t="str">
            <v>AZB21</v>
          </cell>
          <cell r="F104">
            <v>38782.586377314816</v>
          </cell>
          <cell r="G104" t="str">
            <v>AZB16</v>
          </cell>
          <cell r="H104">
            <v>38783.557893518519</v>
          </cell>
          <cell r="I104" t="str">
            <v>AZA75</v>
          </cell>
          <cell r="J104">
            <v>38783.469421296293</v>
          </cell>
          <cell r="K104" t="str">
            <v>AZB07</v>
          </cell>
          <cell r="L104">
            <v>38782.397199074076</v>
          </cell>
          <cell r="M104" t="str">
            <v>AZB25</v>
          </cell>
          <cell r="N104">
            <v>38783.353807870371</v>
          </cell>
          <cell r="O104" t="str">
            <v>AZA29</v>
          </cell>
          <cell r="P104">
            <v>38790.469050925924</v>
          </cell>
          <cell r="Q104" t="str">
            <v>AZB55</v>
          </cell>
          <cell r="R104">
            <v>38798.394618055558</v>
          </cell>
          <cell r="S104" t="str">
            <v>AZB68</v>
          </cell>
          <cell r="T104">
            <v>38804.299375000002</v>
          </cell>
          <cell r="U104" t="str">
            <v>AZB92</v>
          </cell>
          <cell r="V104">
            <v>38810.418726851851</v>
          </cell>
          <cell r="AA104" t="str">
            <v>AZB12</v>
          </cell>
          <cell r="AB104">
            <v>38803.367997685185</v>
          </cell>
          <cell r="AH104" t="str">
            <v>AZC98</v>
          </cell>
          <cell r="AI104">
            <v>38827.520474537036</v>
          </cell>
        </row>
        <row r="105">
          <cell r="A105" t="str">
            <v>AZB23</v>
          </cell>
          <cell r="B105" t="str">
            <v>00002377</v>
          </cell>
          <cell r="C105" t="str">
            <v>AZB24</v>
          </cell>
          <cell r="D105">
            <v>38777.651238425926</v>
          </cell>
          <cell r="E105" t="str">
            <v>AZB22</v>
          </cell>
          <cell r="F105">
            <v>38782.613692129627</v>
          </cell>
          <cell r="G105" t="str">
            <v>AZB28</v>
          </cell>
          <cell r="H105">
            <v>38783.573194444441</v>
          </cell>
          <cell r="I105" t="str">
            <v>AZB27</v>
          </cell>
          <cell r="J105">
            <v>38783.474189814813</v>
          </cell>
          <cell r="K105" t="str">
            <v>AZB07</v>
          </cell>
          <cell r="L105">
            <v>38782.397268518522</v>
          </cell>
          <cell r="M105" t="str">
            <v>AZB21</v>
          </cell>
          <cell r="N105">
            <v>38783.412708333337</v>
          </cell>
          <cell r="O105" t="str">
            <v>AZA33</v>
          </cell>
          <cell r="P105">
            <v>38790.469768518517</v>
          </cell>
          <cell r="Q105" t="str">
            <v>AZB54</v>
          </cell>
          <cell r="R105">
            <v>38798.427673611113</v>
          </cell>
          <cell r="S105" t="str">
            <v>AZA93</v>
          </cell>
          <cell r="T105">
            <v>38805.389710648145</v>
          </cell>
          <cell r="U105" t="str">
            <v>AZB94</v>
          </cell>
          <cell r="V105">
            <v>38810.627152777779</v>
          </cell>
          <cell r="AA105" t="str">
            <v>AZB36</v>
          </cell>
          <cell r="AB105">
            <v>38803.36824074074</v>
          </cell>
          <cell r="AH105" t="str">
            <v>AZD15</v>
          </cell>
          <cell r="AI105">
            <v>38827.55740740741</v>
          </cell>
        </row>
        <row r="106">
          <cell r="A106" t="str">
            <v>AZB24</v>
          </cell>
          <cell r="B106" t="str">
            <v>00002378</v>
          </cell>
          <cell r="C106" t="str">
            <v>AZB25</v>
          </cell>
          <cell r="D106">
            <v>38777.652800925927</v>
          </cell>
          <cell r="E106" t="str">
            <v>AZB12</v>
          </cell>
          <cell r="F106">
            <v>38783.284513888888</v>
          </cell>
          <cell r="G106" t="str">
            <v>AZB79</v>
          </cell>
          <cell r="H106">
            <v>38784.622233796297</v>
          </cell>
          <cell r="I106" t="str">
            <v>AZB14</v>
          </cell>
          <cell r="J106">
            <v>38783.478125000001</v>
          </cell>
          <cell r="K106" t="str">
            <v>AZB09</v>
          </cell>
          <cell r="L106">
            <v>38782.437777777777</v>
          </cell>
          <cell r="M106" t="str">
            <v>AZB19</v>
          </cell>
          <cell r="N106">
            <v>38783.427048611113</v>
          </cell>
          <cell r="O106" t="str">
            <v>AZA34</v>
          </cell>
          <cell r="P106">
            <v>38790.470937500002</v>
          </cell>
          <cell r="Q106" t="str">
            <v>AZB84</v>
          </cell>
          <cell r="R106">
            <v>38799.261481481481</v>
          </cell>
          <cell r="S106" t="str">
            <v>AZB97</v>
          </cell>
          <cell r="T106">
            <v>38806.680925925924</v>
          </cell>
          <cell r="U106" t="str">
            <v>AZB96</v>
          </cell>
          <cell r="V106">
            <v>38810.668587962966</v>
          </cell>
          <cell r="AA106" t="str">
            <v>AZA75</v>
          </cell>
          <cell r="AB106">
            <v>38803.44976851852</v>
          </cell>
          <cell r="AH106" t="str">
            <v>AZD21</v>
          </cell>
          <cell r="AI106">
            <v>38828.273321759261</v>
          </cell>
        </row>
        <row r="107">
          <cell r="A107" t="str">
            <v>AZB25</v>
          </cell>
          <cell r="B107" t="str">
            <v>00002379</v>
          </cell>
          <cell r="C107" t="str">
            <v>AZB26</v>
          </cell>
          <cell r="D107">
            <v>38777.653749999998</v>
          </cell>
          <cell r="E107" t="str">
            <v>AZB14</v>
          </cell>
          <cell r="F107">
            <v>38783.403032407405</v>
          </cell>
          <cell r="G107" t="str">
            <v>AZB78</v>
          </cell>
          <cell r="H107">
            <v>38784.63689814815</v>
          </cell>
          <cell r="I107" t="str">
            <v>AZB15</v>
          </cell>
          <cell r="J107">
            <v>38783.486932870372</v>
          </cell>
          <cell r="K107" t="str">
            <v>AZB09</v>
          </cell>
          <cell r="L107">
            <v>38782.437847222223</v>
          </cell>
          <cell r="M107" t="str">
            <v>AZB12</v>
          </cell>
          <cell r="N107">
            <v>38783.488483796296</v>
          </cell>
          <cell r="O107" t="str">
            <v>AZA35</v>
          </cell>
          <cell r="P107">
            <v>38790.471724537034</v>
          </cell>
          <cell r="Q107" t="str">
            <v>AZB56</v>
          </cell>
          <cell r="R107">
            <v>38799.263333333336</v>
          </cell>
          <cell r="S107" t="str">
            <v>AZC10</v>
          </cell>
          <cell r="T107">
            <v>38806.681087962963</v>
          </cell>
          <cell r="U107" t="str">
            <v>AZB89</v>
          </cell>
          <cell r="V107">
            <v>38811.389953703707</v>
          </cell>
          <cell r="AA107" t="str">
            <v>AZB34</v>
          </cell>
          <cell r="AB107">
            <v>38803.585243055553</v>
          </cell>
          <cell r="AH107" t="str">
            <v>AZD40</v>
          </cell>
          <cell r="AI107">
            <v>38828.275370370371</v>
          </cell>
        </row>
        <row r="108">
          <cell r="A108" t="str">
            <v>AZB26</v>
          </cell>
          <cell r="B108" t="str">
            <v>00002380</v>
          </cell>
          <cell r="C108" t="str">
            <v>AZB21</v>
          </cell>
          <cell r="D108">
            <v>38778.608576388891</v>
          </cell>
          <cell r="E108" t="str">
            <v>AZB27</v>
          </cell>
          <cell r="F108">
            <v>38783.406898148147</v>
          </cell>
          <cell r="G108" t="str">
            <v>AZB86</v>
          </cell>
          <cell r="H108">
            <v>38785.277175925927</v>
          </cell>
          <cell r="I108" t="str">
            <v>AZB26</v>
          </cell>
          <cell r="J108">
            <v>38783.491666666669</v>
          </cell>
          <cell r="K108" t="str">
            <v>AZB17</v>
          </cell>
          <cell r="L108">
            <v>38782.467164351852</v>
          </cell>
          <cell r="M108" t="str">
            <v>AZA75</v>
          </cell>
          <cell r="N108">
            <v>38783.506782407407</v>
          </cell>
          <cell r="O108" t="str">
            <v>AZA39</v>
          </cell>
          <cell r="P108">
            <v>38790.472210648149</v>
          </cell>
          <cell r="Q108" t="str">
            <v>AZB68</v>
          </cell>
          <cell r="R108">
            <v>38799.277245370373</v>
          </cell>
          <cell r="S108" t="str">
            <v>AZB90</v>
          </cell>
          <cell r="T108">
            <v>38807.477777777778</v>
          </cell>
          <cell r="U108" t="str">
            <v>AZC06</v>
          </cell>
          <cell r="V108">
            <v>38811.400219907409</v>
          </cell>
          <cell r="AA108" t="str">
            <v>AZB30</v>
          </cell>
          <cell r="AB108">
            <v>38804.338842592595</v>
          </cell>
          <cell r="AH108" t="str">
            <v>AZD22</v>
          </cell>
          <cell r="AI108">
            <v>38828.276365740741</v>
          </cell>
        </row>
        <row r="109">
          <cell r="A109" t="str">
            <v>AZB27</v>
          </cell>
          <cell r="B109" t="str">
            <v>00002410</v>
          </cell>
          <cell r="C109" t="str">
            <v>AZB12</v>
          </cell>
          <cell r="D109">
            <v>38778.610300925924</v>
          </cell>
          <cell r="E109" t="str">
            <v>AZB15</v>
          </cell>
          <cell r="F109">
            <v>38783.413553240738</v>
          </cell>
          <cell r="G109" t="str">
            <v>AZB29</v>
          </cell>
          <cell r="H109">
            <v>38785.293506944443</v>
          </cell>
          <cell r="I109" t="str">
            <v>AZB13</v>
          </cell>
          <cell r="J109">
            <v>38783.502141203702</v>
          </cell>
          <cell r="K109" t="str">
            <v>AZB17</v>
          </cell>
          <cell r="L109">
            <v>38782.467210648145</v>
          </cell>
          <cell r="M109" t="str">
            <v>AZB27</v>
          </cell>
          <cell r="N109">
            <v>38783.518946759257</v>
          </cell>
          <cell r="O109" t="str">
            <v>AZA41</v>
          </cell>
          <cell r="P109">
            <v>38790.472696759258</v>
          </cell>
          <cell r="Q109" t="str">
            <v>AZB50</v>
          </cell>
          <cell r="R109">
            <v>38799.376701388886</v>
          </cell>
          <cell r="S109" t="str">
            <v>AZB98</v>
          </cell>
          <cell r="T109">
            <v>38807.489027777781</v>
          </cell>
          <cell r="U109" t="str">
            <v>AZC05</v>
          </cell>
          <cell r="V109">
            <v>38811.545335648145</v>
          </cell>
          <cell r="AA109" t="str">
            <v>AZB61</v>
          </cell>
          <cell r="AB109">
            <v>38804.398981481485</v>
          </cell>
          <cell r="AH109" t="str">
            <v>AZD34</v>
          </cell>
          <cell r="AI109">
            <v>38828.281145833331</v>
          </cell>
        </row>
        <row r="110">
          <cell r="A110" t="str">
            <v>AZB28</v>
          </cell>
          <cell r="B110" t="str">
            <v>00002409</v>
          </cell>
          <cell r="C110" t="str">
            <v>AZB14</v>
          </cell>
          <cell r="D110">
            <v>38778.610659722224</v>
          </cell>
          <cell r="E110" t="str">
            <v>AZA75</v>
          </cell>
          <cell r="F110">
            <v>38783.415497685186</v>
          </cell>
          <cell r="G110" t="str">
            <v>AZB30</v>
          </cell>
          <cell r="H110">
            <v>38785.510300925926</v>
          </cell>
          <cell r="I110" t="str">
            <v>AZB16</v>
          </cell>
          <cell r="J110">
            <v>38783.572175925925</v>
          </cell>
          <cell r="K110" t="str">
            <v>AZB18</v>
          </cell>
          <cell r="L110">
            <v>38782.480069444442</v>
          </cell>
          <cell r="M110" t="str">
            <v>AZB26</v>
          </cell>
          <cell r="N110">
            <v>38783.531215277777</v>
          </cell>
          <cell r="O110" t="str">
            <v>AZA42</v>
          </cell>
          <cell r="P110">
            <v>38790.473171296297</v>
          </cell>
          <cell r="Q110" t="str">
            <v>AZB62</v>
          </cell>
          <cell r="R110">
            <v>38800.528645833336</v>
          </cell>
          <cell r="S110" t="str">
            <v>AZB93</v>
          </cell>
          <cell r="T110">
            <v>38807.489340277774</v>
          </cell>
          <cell r="U110" t="str">
            <v>AZC03</v>
          </cell>
          <cell r="V110">
            <v>38812.360092592593</v>
          </cell>
          <cell r="AA110" t="str">
            <v>AZB60</v>
          </cell>
          <cell r="AB110">
            <v>38804.615833333337</v>
          </cell>
          <cell r="AH110" t="str">
            <v>AZD54</v>
          </cell>
          <cell r="AI110">
            <v>38828.298252314817</v>
          </cell>
        </row>
        <row r="111">
          <cell r="A111" t="str">
            <v>AZB29</v>
          </cell>
          <cell r="B111" t="str">
            <v>00002411</v>
          </cell>
          <cell r="C111" t="str">
            <v>AZB15</v>
          </cell>
          <cell r="D111">
            <v>38778.611041666663</v>
          </cell>
          <cell r="E111" t="str">
            <v>AZB13</v>
          </cell>
          <cell r="F111">
            <v>38783.46166666667</v>
          </cell>
          <cell r="G111" t="str">
            <v>AZB32</v>
          </cell>
          <cell r="H111">
            <v>38789.488981481481</v>
          </cell>
          <cell r="I111" t="str">
            <v>AZB28</v>
          </cell>
          <cell r="J111">
            <v>38783.579085648147</v>
          </cell>
          <cell r="K111" t="str">
            <v>AZB18</v>
          </cell>
          <cell r="L111">
            <v>38782.480219907404</v>
          </cell>
          <cell r="M111" t="str">
            <v>AZB15</v>
          </cell>
          <cell r="N111">
            <v>38783.545312499999</v>
          </cell>
          <cell r="O111" t="str">
            <v>AZA43</v>
          </cell>
          <cell r="P111">
            <v>38790.473263888889</v>
          </cell>
          <cell r="Q111" t="str">
            <v>AZB85</v>
          </cell>
          <cell r="R111">
            <v>38803.464398148149</v>
          </cell>
          <cell r="S111" t="str">
            <v>AZB92</v>
          </cell>
          <cell r="T111">
            <v>38807.610671296294</v>
          </cell>
          <cell r="U111" t="str">
            <v>AZB91</v>
          </cell>
          <cell r="V111">
            <v>38812.37604166667</v>
          </cell>
          <cell r="AA111" t="str">
            <v>AZB44</v>
          </cell>
          <cell r="AB111">
            <v>38805.274953703702</v>
          </cell>
          <cell r="AH111" t="str">
            <v>AZD38</v>
          </cell>
          <cell r="AI111">
            <v>38828.305451388886</v>
          </cell>
        </row>
        <row r="112">
          <cell r="A112" t="str">
            <v>AZB30</v>
          </cell>
          <cell r="B112" t="str">
            <v>00002415</v>
          </cell>
          <cell r="C112" t="str">
            <v>AZB27</v>
          </cell>
          <cell r="D112">
            <v>38778.614236111112</v>
          </cell>
          <cell r="E112" t="str">
            <v>AZB16</v>
          </cell>
          <cell r="F112">
            <v>38783.504976851851</v>
          </cell>
          <cell r="G112" t="str">
            <v>AZB33</v>
          </cell>
          <cell r="H112">
            <v>38789.49690972222</v>
          </cell>
          <cell r="I112" t="str">
            <v>AZB79</v>
          </cell>
          <cell r="J112">
            <v>38784.650312500002</v>
          </cell>
          <cell r="K112" t="str">
            <v>AZB10</v>
          </cell>
          <cell r="L112">
            <v>38782.491585648146</v>
          </cell>
          <cell r="M112" t="str">
            <v>AZB13</v>
          </cell>
          <cell r="N112">
            <v>38783.546793981484</v>
          </cell>
          <cell r="O112" t="str">
            <v>AZA44</v>
          </cell>
          <cell r="P112">
            <v>38790.473310185182</v>
          </cell>
          <cell r="Q112" t="str">
            <v>AZB77</v>
          </cell>
          <cell r="R112">
            <v>38804.294861111113</v>
          </cell>
          <cell r="S112" t="str">
            <v>AZC27</v>
          </cell>
          <cell r="T112">
            <v>38807.610775462963</v>
          </cell>
          <cell r="U112" t="str">
            <v>AZB99</v>
          </cell>
          <cell r="V112">
            <v>38812.417222222219</v>
          </cell>
          <cell r="AA112" t="str">
            <v>AZB87</v>
          </cell>
          <cell r="AB112">
            <v>38805.278645833336</v>
          </cell>
          <cell r="AH112" t="str">
            <v>AZD48</v>
          </cell>
          <cell r="AI112">
            <v>38828.360127314816</v>
          </cell>
        </row>
        <row r="113">
          <cell r="A113" t="str">
            <v>AZB31</v>
          </cell>
          <cell r="B113" t="str">
            <v>00002416</v>
          </cell>
          <cell r="C113" t="str">
            <v>AZB28</v>
          </cell>
          <cell r="D113">
            <v>38778.614641203705</v>
          </cell>
          <cell r="E113" t="str">
            <v>AZB28</v>
          </cell>
          <cell r="F113">
            <v>38783.558993055558</v>
          </cell>
          <cell r="G113" t="str">
            <v>AZB34</v>
          </cell>
          <cell r="H113">
            <v>38789.512326388889</v>
          </cell>
          <cell r="I113" t="str">
            <v>AZB78</v>
          </cell>
          <cell r="J113">
            <v>38784.656747685185</v>
          </cell>
          <cell r="K113" t="str">
            <v>AZB10</v>
          </cell>
          <cell r="L113">
            <v>38782.491666666669</v>
          </cell>
          <cell r="M113" t="str">
            <v>AZB14</v>
          </cell>
          <cell r="N113">
            <v>38783.553263888891</v>
          </cell>
          <cell r="O113" t="str">
            <v>AZA45</v>
          </cell>
          <cell r="P113">
            <v>38790.473356481481</v>
          </cell>
          <cell r="Q113" t="str">
            <v>AZB87</v>
          </cell>
          <cell r="R113">
            <v>38805.278645833336</v>
          </cell>
          <cell r="S113" t="str">
            <v>AZB96</v>
          </cell>
          <cell r="T113">
            <v>38807.658379629633</v>
          </cell>
          <cell r="U113" t="str">
            <v>AZC64</v>
          </cell>
          <cell r="V113">
            <v>38812.489641203705</v>
          </cell>
          <cell r="AA113" t="str">
            <v>AZB88</v>
          </cell>
          <cell r="AB113">
            <v>38805.280891203707</v>
          </cell>
          <cell r="AH113" t="str">
            <v>AZD45</v>
          </cell>
          <cell r="AI113">
            <v>38828.406956018516</v>
          </cell>
        </row>
        <row r="114">
          <cell r="A114" t="str">
            <v>AZB32</v>
          </cell>
          <cell r="B114" t="str">
            <v>00002417</v>
          </cell>
          <cell r="C114" t="str">
            <v>AZA75</v>
          </cell>
          <cell r="D114">
            <v>38779.584374999999</v>
          </cell>
          <cell r="E114" t="str">
            <v>AZB79</v>
          </cell>
          <cell r="F114">
            <v>38783.577384259261</v>
          </cell>
          <cell r="G114" t="str">
            <v>AZB38</v>
          </cell>
          <cell r="H114">
            <v>38789.58185185185</v>
          </cell>
          <cell r="I114" t="str">
            <v>AZB86</v>
          </cell>
          <cell r="J114">
            <v>38785.283773148149</v>
          </cell>
          <cell r="K114" t="str">
            <v>AZB08</v>
          </cell>
          <cell r="L114">
            <v>38782.50608796296</v>
          </cell>
          <cell r="M114" t="str">
            <v>AZB28</v>
          </cell>
          <cell r="N114">
            <v>38783.629699074074</v>
          </cell>
          <cell r="O114" t="str">
            <v>AZA46</v>
          </cell>
          <cell r="P114">
            <v>38790.474606481483</v>
          </cell>
          <cell r="Q114" t="str">
            <v>AZB88</v>
          </cell>
          <cell r="R114">
            <v>38805.280891203707</v>
          </cell>
          <cell r="S114" t="str">
            <v>AZC14</v>
          </cell>
          <cell r="T114">
            <v>38810.287534722222</v>
          </cell>
          <cell r="U114" t="str">
            <v>AZC24</v>
          </cell>
          <cell r="V114">
            <v>38812.590590277781</v>
          </cell>
          <cell r="AA114" t="str">
            <v>AZC19</v>
          </cell>
          <cell r="AB114">
            <v>38805.281851851854</v>
          </cell>
          <cell r="AH114" t="str">
            <v>AZD36</v>
          </cell>
          <cell r="AI114">
            <v>38828.422314814816</v>
          </cell>
        </row>
        <row r="115">
          <cell r="A115" t="str">
            <v>AZB33</v>
          </cell>
          <cell r="B115" t="str">
            <v>00002418</v>
          </cell>
          <cell r="C115" t="str">
            <v>AZB13</v>
          </cell>
          <cell r="D115">
            <v>38779.586122685185</v>
          </cell>
          <cell r="E115" t="str">
            <v>AZB29</v>
          </cell>
          <cell r="F115">
            <v>38784.594444444447</v>
          </cell>
          <cell r="G115" t="str">
            <v>AZB40</v>
          </cell>
          <cell r="H115">
            <v>38789.588483796295</v>
          </cell>
          <cell r="I115" t="str">
            <v>AZB29</v>
          </cell>
          <cell r="J115">
            <v>38785.316666666666</v>
          </cell>
          <cell r="K115" t="str">
            <v>AZB08</v>
          </cell>
          <cell r="L115">
            <v>38782.506168981483</v>
          </cell>
          <cell r="M115" t="str">
            <v>AZB16</v>
          </cell>
          <cell r="N115">
            <v>38783.64199074074</v>
          </cell>
          <cell r="O115" t="str">
            <v>AZA47</v>
          </cell>
          <cell r="P115">
            <v>38790.474629629629</v>
          </cell>
          <cell r="Q115" t="str">
            <v>AZC19</v>
          </cell>
          <cell r="R115">
            <v>38805.281851851854</v>
          </cell>
          <cell r="S115" t="str">
            <v>AZC13</v>
          </cell>
          <cell r="T115">
            <v>38810.392627314817</v>
          </cell>
          <cell r="U115" t="str">
            <v>AZC21</v>
          </cell>
          <cell r="V115">
            <v>38812.593807870369</v>
          </cell>
          <cell r="AA115" t="str">
            <v>AZB13</v>
          </cell>
          <cell r="AB115">
            <v>38805.320034722223</v>
          </cell>
          <cell r="AH115" t="str">
            <v>AZD46</v>
          </cell>
          <cell r="AI115">
            <v>38828.430648148147</v>
          </cell>
        </row>
        <row r="116">
          <cell r="A116" t="str">
            <v>AZB34</v>
          </cell>
          <cell r="B116" t="str">
            <v>00002419</v>
          </cell>
          <cell r="C116" t="str">
            <v>AZB16</v>
          </cell>
          <cell r="D116">
            <v>38779.586481481485</v>
          </cell>
          <cell r="E116" t="str">
            <v>AZB78</v>
          </cell>
          <cell r="F116">
            <v>38784.618576388886</v>
          </cell>
          <cell r="G116" t="str">
            <v>AZB41</v>
          </cell>
          <cell r="H116">
            <v>38789.599930555552</v>
          </cell>
          <cell r="I116" t="str">
            <v>AZB30</v>
          </cell>
          <cell r="J116">
            <v>38785.518009259256</v>
          </cell>
          <cell r="K116" t="str">
            <v>AZB11</v>
          </cell>
          <cell r="L116">
            <v>38782.517361111109</v>
          </cell>
          <cell r="M116" t="str">
            <v>AZB79</v>
          </cell>
          <cell r="N116">
            <v>38785.271203703705</v>
          </cell>
          <cell r="O116" t="str">
            <v>AZA49</v>
          </cell>
          <cell r="P116">
            <v>38790.474664351852</v>
          </cell>
          <cell r="Q116" t="str">
            <v>AZB13</v>
          </cell>
          <cell r="R116">
            <v>38805.320034722223</v>
          </cell>
          <cell r="S116" t="str">
            <v>AZC11</v>
          </cell>
          <cell r="T116">
            <v>38810.459513888891</v>
          </cell>
          <cell r="U116" t="str">
            <v>AZC39</v>
          </cell>
          <cell r="V116">
            <v>38813.384641203702</v>
          </cell>
          <cell r="AA116" t="str">
            <v>AZB47</v>
          </cell>
          <cell r="AB116">
            <v>38805.377453703702</v>
          </cell>
          <cell r="AH116" t="str">
            <v>AZD42</v>
          </cell>
          <cell r="AI116">
            <v>38828.485243055555</v>
          </cell>
        </row>
        <row r="117">
          <cell r="A117" t="str">
            <v>AZB35</v>
          </cell>
          <cell r="B117" t="str">
            <v>00002420</v>
          </cell>
          <cell r="C117" t="str">
            <v>AZB29</v>
          </cell>
          <cell r="D117">
            <v>38779.586886574078</v>
          </cell>
          <cell r="E117" t="str">
            <v>AZB30</v>
          </cell>
          <cell r="F117">
            <v>38784.661666666667</v>
          </cell>
          <cell r="G117" t="str">
            <v>AZB36</v>
          </cell>
          <cell r="H117">
            <v>38789.643229166664</v>
          </cell>
          <cell r="I117" t="str">
            <v>AZB32</v>
          </cell>
          <cell r="J117">
            <v>38789.503935185188</v>
          </cell>
          <cell r="K117" t="str">
            <v>AZB11</v>
          </cell>
          <cell r="L117">
            <v>38782.517418981479</v>
          </cell>
          <cell r="M117" t="str">
            <v>AZB86</v>
          </cell>
          <cell r="N117">
            <v>38785.312534722223</v>
          </cell>
          <cell r="O117" t="str">
            <v>AZA51</v>
          </cell>
          <cell r="P117">
            <v>38790.474710648145</v>
          </cell>
          <cell r="Q117" t="str">
            <v>AZA93</v>
          </cell>
          <cell r="R117">
            <v>38805.391331018516</v>
          </cell>
          <cell r="S117" t="str">
            <v>AZB96</v>
          </cell>
          <cell r="T117">
            <v>38810.468287037038</v>
          </cell>
          <cell r="U117" t="str">
            <v>AZC00</v>
          </cell>
          <cell r="V117">
            <v>38813.503993055558</v>
          </cell>
          <cell r="AA117" t="str">
            <v>AZB55</v>
          </cell>
          <cell r="AB117">
            <v>38805.510914351849</v>
          </cell>
          <cell r="AH117" t="str">
            <v>AZD35</v>
          </cell>
          <cell r="AI117">
            <v>38828.486712962964</v>
          </cell>
        </row>
        <row r="118">
          <cell r="A118" t="str">
            <v>AZB36</v>
          </cell>
          <cell r="B118" t="str">
            <v>00002421</v>
          </cell>
          <cell r="C118" t="str">
            <v>AZB78</v>
          </cell>
          <cell r="D118">
            <v>38779.587233796294</v>
          </cell>
          <cell r="E118" t="str">
            <v>AZB86</v>
          </cell>
          <cell r="F118">
            <v>38784.892754629633</v>
          </cell>
          <cell r="G118" t="str">
            <v>AZB37</v>
          </cell>
          <cell r="H118">
            <v>38789.648287037038</v>
          </cell>
          <cell r="I118" t="str">
            <v>AZB33</v>
          </cell>
          <cell r="J118">
            <v>38789.510405092595</v>
          </cell>
          <cell r="K118" t="str">
            <v>AZB20</v>
          </cell>
          <cell r="L118">
            <v>38782.558564814812</v>
          </cell>
          <cell r="M118" t="str">
            <v>AZB29</v>
          </cell>
          <cell r="N118">
            <v>38786.300185185188</v>
          </cell>
          <cell r="O118" t="str">
            <v>AZB37</v>
          </cell>
          <cell r="P118">
            <v>38790.474733796298</v>
          </cell>
          <cell r="Q118" t="str">
            <v>AZB97</v>
          </cell>
          <cell r="R118">
            <v>38806.540601851855</v>
          </cell>
          <cell r="S118" t="str">
            <v>AZB89</v>
          </cell>
          <cell r="T118">
            <v>38810.472777777781</v>
          </cell>
          <cell r="U118" t="str">
            <v>AZB95</v>
          </cell>
          <cell r="V118">
            <v>38813.507152777776</v>
          </cell>
          <cell r="AA118" t="str">
            <v>AZB62</v>
          </cell>
          <cell r="AB118">
            <v>38805.511296296296</v>
          </cell>
          <cell r="AH118" t="str">
            <v>AZD53</v>
          </cell>
          <cell r="AI118">
            <v>38828.491087962961</v>
          </cell>
        </row>
        <row r="119">
          <cell r="A119" t="str">
            <v>AZB37</v>
          </cell>
          <cell r="B119" t="str">
            <v>00002422</v>
          </cell>
          <cell r="C119" t="str">
            <v>AZB79</v>
          </cell>
          <cell r="D119">
            <v>38779.587638888886</v>
          </cell>
          <cell r="E119" t="str">
            <v>AZB32</v>
          </cell>
          <cell r="F119">
            <v>38789.394074074073</v>
          </cell>
          <cell r="G119" t="str">
            <v>AZB31</v>
          </cell>
          <cell r="H119">
            <v>38790.497916666667</v>
          </cell>
          <cell r="I119" t="str">
            <v>AZB34</v>
          </cell>
          <cell r="J119">
            <v>38789.534733796296</v>
          </cell>
          <cell r="K119" t="str">
            <v>AZB20</v>
          </cell>
          <cell r="L119">
            <v>38782.558692129627</v>
          </cell>
          <cell r="M119" t="str">
            <v>AZB30</v>
          </cell>
          <cell r="N119">
            <v>38786.316053240742</v>
          </cell>
          <cell r="O119" t="str">
            <v>AZA52</v>
          </cell>
          <cell r="P119">
            <v>38790.474756944444</v>
          </cell>
          <cell r="Q119" t="str">
            <v>AZC10</v>
          </cell>
          <cell r="R119">
            <v>38806.544247685182</v>
          </cell>
          <cell r="S119" t="str">
            <v>AZC06</v>
          </cell>
          <cell r="T119">
            <v>38810.565636574072</v>
          </cell>
          <cell r="U119" t="str">
            <v>AZC02</v>
          </cell>
          <cell r="V119">
            <v>38813.517118055555</v>
          </cell>
          <cell r="AA119" t="str">
            <v>AZB56</v>
          </cell>
          <cell r="AB119">
            <v>38806.270555555559</v>
          </cell>
          <cell r="AH119" t="str">
            <v>AZD55</v>
          </cell>
          <cell r="AI119">
            <v>38828.50880787037</v>
          </cell>
        </row>
        <row r="120">
          <cell r="A120" t="str">
            <v>AZB38</v>
          </cell>
          <cell r="B120" t="str">
            <v>00002423</v>
          </cell>
          <cell r="C120" t="str">
            <v>AZB30</v>
          </cell>
          <cell r="D120">
            <v>38779.588391203702</v>
          </cell>
          <cell r="E120" t="str">
            <v>AZB34</v>
          </cell>
          <cell r="F120">
            <v>38789.412939814814</v>
          </cell>
          <cell r="G120" t="str">
            <v>AZB39</v>
          </cell>
          <cell r="H120">
            <v>38790.502222222225</v>
          </cell>
          <cell r="I120" t="str">
            <v>AZB38</v>
          </cell>
          <cell r="J120">
            <v>38789.593368055554</v>
          </cell>
          <cell r="K120" t="str">
            <v>AZB23</v>
          </cell>
          <cell r="L120">
            <v>38782.561562499999</v>
          </cell>
          <cell r="M120" t="str">
            <v>AZB78</v>
          </cell>
          <cell r="N120">
            <v>38786.379201388889</v>
          </cell>
          <cell r="O120" t="str">
            <v>AZA56</v>
          </cell>
          <cell r="P120">
            <v>38790.474803240744</v>
          </cell>
          <cell r="Q120" t="str">
            <v>AZB93</v>
          </cell>
          <cell r="R120">
            <v>38807.319374999999</v>
          </cell>
          <cell r="S120" t="str">
            <v>AZC07</v>
          </cell>
          <cell r="T120">
            <v>38810.580208333333</v>
          </cell>
          <cell r="U120" t="str">
            <v>AZC18</v>
          </cell>
          <cell r="V120">
            <v>38813.537824074076</v>
          </cell>
          <cell r="AA120" t="str">
            <v>AZB68</v>
          </cell>
          <cell r="AB120">
            <v>38806.270844907405</v>
          </cell>
          <cell r="AH120" t="str">
            <v>AZD41</v>
          </cell>
          <cell r="AI120">
            <v>38828.520300925928</v>
          </cell>
        </row>
        <row r="121">
          <cell r="A121" t="str">
            <v>AZB39</v>
          </cell>
          <cell r="B121" t="str">
            <v>00002424</v>
          </cell>
          <cell r="C121" t="str">
            <v>AZB86</v>
          </cell>
          <cell r="D121">
            <v>38784.52789351852</v>
          </cell>
          <cell r="E121" t="str">
            <v>AZB33</v>
          </cell>
          <cell r="F121">
            <v>38789.424108796295</v>
          </cell>
          <cell r="G121" t="str">
            <v>AZB42</v>
          </cell>
          <cell r="H121">
            <v>38790.509131944447</v>
          </cell>
          <cell r="I121" t="str">
            <v>AZB40</v>
          </cell>
          <cell r="J121">
            <v>38789.599537037036</v>
          </cell>
          <cell r="K121" t="str">
            <v>AZB23</v>
          </cell>
          <cell r="L121">
            <v>38782.561608796299</v>
          </cell>
          <cell r="M121" t="str">
            <v>AZB32</v>
          </cell>
          <cell r="N121">
            <v>38789.56144675926</v>
          </cell>
          <cell r="O121" t="str">
            <v>AZA58</v>
          </cell>
          <cell r="P121">
            <v>38790.474861111114</v>
          </cell>
          <cell r="Q121" t="str">
            <v>AZB90</v>
          </cell>
          <cell r="R121">
            <v>38807.401550925926</v>
          </cell>
          <cell r="S121" t="str">
            <v>AZB91</v>
          </cell>
          <cell r="T121">
            <v>38810.597071759257</v>
          </cell>
          <cell r="U121" t="str">
            <v>AZC49</v>
          </cell>
          <cell r="V121">
            <v>38813.545370370368</v>
          </cell>
          <cell r="AA121" t="str">
            <v>AZB77</v>
          </cell>
          <cell r="AB121">
            <v>38806.271053240744</v>
          </cell>
          <cell r="AH121" t="str">
            <v>AZD33</v>
          </cell>
          <cell r="AI121">
            <v>38828.52175925926</v>
          </cell>
        </row>
        <row r="122">
          <cell r="A122" t="str">
            <v>AZB40</v>
          </cell>
          <cell r="B122" t="str">
            <v>00002425</v>
          </cell>
          <cell r="C122" t="str">
            <v>AZB32</v>
          </cell>
          <cell r="D122">
            <v>38784.541805555556</v>
          </cell>
          <cell r="E122" t="str">
            <v>AZB36</v>
          </cell>
          <cell r="F122">
            <v>38789.443993055553</v>
          </cell>
          <cell r="G122" t="str">
            <v>AZB44</v>
          </cell>
          <cell r="H122">
            <v>38790.515219907407</v>
          </cell>
          <cell r="I122" t="str">
            <v>AZB41</v>
          </cell>
          <cell r="J122">
            <v>38789.620775462965</v>
          </cell>
          <cell r="K122" t="str">
            <v>AZB24</v>
          </cell>
          <cell r="L122">
            <v>38782.572233796294</v>
          </cell>
          <cell r="M122" t="str">
            <v>AZB34</v>
          </cell>
          <cell r="N122">
            <v>38789.62296296296</v>
          </cell>
          <cell r="O122" t="str">
            <v>AZA59</v>
          </cell>
          <cell r="P122">
            <v>38790.474895833337</v>
          </cell>
          <cell r="Q122" t="str">
            <v>AZB98</v>
          </cell>
          <cell r="R122">
            <v>38807.402673611112</v>
          </cell>
          <cell r="S122" t="str">
            <v>AZB94</v>
          </cell>
          <cell r="T122">
            <v>38810.59716435185</v>
          </cell>
          <cell r="U122" t="str">
            <v>AZC37</v>
          </cell>
          <cell r="V122">
            <v>38813.553182870368</v>
          </cell>
          <cell r="AA122" t="str">
            <v>AZB90</v>
          </cell>
          <cell r="AB122">
            <v>38807.48060185185</v>
          </cell>
          <cell r="AH122" t="str">
            <v>AZD26</v>
          </cell>
          <cell r="AI122">
            <v>38828.534178240741</v>
          </cell>
        </row>
        <row r="123">
          <cell r="A123" t="str">
            <v>AZB41</v>
          </cell>
          <cell r="B123" t="str">
            <v>00002426</v>
          </cell>
          <cell r="C123" t="str">
            <v>AZB33</v>
          </cell>
          <cell r="D123">
            <v>38784.543391203704</v>
          </cell>
          <cell r="E123" t="str">
            <v>AZB37</v>
          </cell>
          <cell r="F123">
            <v>38789.454826388886</v>
          </cell>
          <cell r="G123" t="str">
            <v>AZB43</v>
          </cell>
          <cell r="H123">
            <v>38790.519120370373</v>
          </cell>
          <cell r="I123" t="str">
            <v>AZB36</v>
          </cell>
          <cell r="J123">
            <v>38789.649594907409</v>
          </cell>
          <cell r="K123" t="str">
            <v>AZB24</v>
          </cell>
          <cell r="L123">
            <v>38782.57230324074</v>
          </cell>
          <cell r="M123" t="str">
            <v>AZB33</v>
          </cell>
          <cell r="N123">
            <v>38789.623807870368</v>
          </cell>
          <cell r="O123" t="str">
            <v>AZA64</v>
          </cell>
          <cell r="P123">
            <v>38790.474965277775</v>
          </cell>
          <cell r="Q123" t="str">
            <v>AZC14</v>
          </cell>
          <cell r="R123">
            <v>38807.443715277775</v>
          </cell>
          <cell r="S123" t="str">
            <v>AZC05</v>
          </cell>
          <cell r="T123">
            <v>38810.657523148147</v>
          </cell>
          <cell r="U123" t="str">
            <v>AZC29</v>
          </cell>
          <cell r="V123">
            <v>38813.55364583333</v>
          </cell>
          <cell r="AA123" t="str">
            <v>AZB97</v>
          </cell>
          <cell r="AB123">
            <v>38807.503368055557</v>
          </cell>
          <cell r="AH123" t="str">
            <v>AZD49</v>
          </cell>
          <cell r="AI123">
            <v>38828.546712962961</v>
          </cell>
        </row>
        <row r="124">
          <cell r="A124" t="str">
            <v>AZB42</v>
          </cell>
          <cell r="B124" t="str">
            <v>00002427</v>
          </cell>
          <cell r="C124" t="str">
            <v>AZB34</v>
          </cell>
          <cell r="D124">
            <v>38784.543749999997</v>
          </cell>
          <cell r="E124" t="str">
            <v>AZB38</v>
          </cell>
          <cell r="F124">
            <v>38789.469768518517</v>
          </cell>
          <cell r="G124" t="str">
            <v>AZB45</v>
          </cell>
          <cell r="H124">
            <v>38790.564398148148</v>
          </cell>
          <cell r="I124" t="str">
            <v>AZB37</v>
          </cell>
          <cell r="J124">
            <v>38789.654918981483</v>
          </cell>
          <cell r="K124" t="str">
            <v>AZB22</v>
          </cell>
          <cell r="L124">
            <v>38782.668958333335</v>
          </cell>
          <cell r="M124" t="str">
            <v>AZB40</v>
          </cell>
          <cell r="N124">
            <v>38790.295694444445</v>
          </cell>
          <cell r="O124" t="str">
            <v>AZA50</v>
          </cell>
          <cell r="P124">
            <v>38790.474999999999</v>
          </cell>
          <cell r="Q124" t="str">
            <v>AZB92</v>
          </cell>
          <cell r="R124">
            <v>38807.49895833333</v>
          </cell>
          <cell r="S124" t="str">
            <v>AZB99</v>
          </cell>
          <cell r="T124">
            <v>38810.663298611114</v>
          </cell>
          <cell r="AA124" t="str">
            <v>AZB93</v>
          </cell>
          <cell r="AB124">
            <v>38807.548518518517</v>
          </cell>
          <cell r="AH124" t="str">
            <v>AZD51</v>
          </cell>
          <cell r="AI124">
            <v>38831.323703703703</v>
          </cell>
        </row>
        <row r="125">
          <cell r="A125" t="str">
            <v>AZB43</v>
          </cell>
          <cell r="B125" t="str">
            <v>00002428</v>
          </cell>
          <cell r="C125" t="str">
            <v>AZB35</v>
          </cell>
          <cell r="D125">
            <v>38784.544108796297</v>
          </cell>
          <cell r="E125" t="str">
            <v>AZB40</v>
          </cell>
          <cell r="F125">
            <v>38789.493958333333</v>
          </cell>
          <cell r="G125" t="str">
            <v>AZB81</v>
          </cell>
          <cell r="H125">
            <v>38790.568541666667</v>
          </cell>
          <cell r="I125" t="str">
            <v>AZB31</v>
          </cell>
          <cell r="J125">
            <v>38790.503564814811</v>
          </cell>
          <cell r="K125" t="str">
            <v>AZB22</v>
          </cell>
          <cell r="L125">
            <v>38782.66909722222</v>
          </cell>
          <cell r="M125" t="str">
            <v>AZB38</v>
          </cell>
          <cell r="N125">
            <v>38790.321180555555</v>
          </cell>
          <cell r="O125" t="str">
            <v>AZA54</v>
          </cell>
          <cell r="P125">
            <v>38790.475034722222</v>
          </cell>
          <cell r="Q125" t="str">
            <v>AZC27</v>
          </cell>
          <cell r="R125">
            <v>38807.511331018519</v>
          </cell>
          <cell r="S125" t="str">
            <v>AZC64</v>
          </cell>
          <cell r="T125">
            <v>38811.407881944448</v>
          </cell>
          <cell r="AA125" t="str">
            <v>AZC27</v>
          </cell>
          <cell r="AB125">
            <v>38807.630983796298</v>
          </cell>
          <cell r="AH125" t="str">
            <v>AZD25</v>
          </cell>
          <cell r="AI125">
            <v>38831.33185185185</v>
          </cell>
        </row>
        <row r="126">
          <cell r="A126" t="str">
            <v>AZB44</v>
          </cell>
          <cell r="B126" t="str">
            <v>00002429</v>
          </cell>
          <cell r="C126" t="str">
            <v>AZB36</v>
          </cell>
          <cell r="D126">
            <v>38784.54446759259</v>
          </cell>
          <cell r="E126" t="str">
            <v>AZB41</v>
          </cell>
          <cell r="F126">
            <v>38789.49931712963</v>
          </cell>
          <cell r="G126" t="str">
            <v>AZB46</v>
          </cell>
          <cell r="H126">
            <v>38791.385127314818</v>
          </cell>
          <cell r="I126" t="str">
            <v>AZB39</v>
          </cell>
          <cell r="J126">
            <v>38790.512395833335</v>
          </cell>
          <cell r="K126" t="str">
            <v>AZB25</v>
          </cell>
          <cell r="L126">
            <v>38783.288136574076</v>
          </cell>
          <cell r="M126" t="str">
            <v>AZB41</v>
          </cell>
          <cell r="N126">
            <v>38790.353946759256</v>
          </cell>
          <cell r="O126" t="str">
            <v>AZB38</v>
          </cell>
          <cell r="P126">
            <v>38790.498912037037</v>
          </cell>
          <cell r="Q126" t="str">
            <v>AZC13</v>
          </cell>
          <cell r="R126">
            <v>38807.541087962964</v>
          </cell>
          <cell r="S126" t="str">
            <v>AZC03</v>
          </cell>
          <cell r="T126">
            <v>38811.529074074075</v>
          </cell>
          <cell r="AA126" t="str">
            <v>AZC14</v>
          </cell>
          <cell r="AB126">
            <v>38810.296585648146</v>
          </cell>
          <cell r="AH126" t="str">
            <v>AZD52</v>
          </cell>
          <cell r="AI126">
            <v>38831.376863425925</v>
          </cell>
        </row>
        <row r="127">
          <cell r="A127" t="str">
            <v>AZB45</v>
          </cell>
          <cell r="B127" t="str">
            <v>00002430</v>
          </cell>
          <cell r="C127" t="str">
            <v>AZB37</v>
          </cell>
          <cell r="D127">
            <v>38784.544872685183</v>
          </cell>
          <cell r="E127" t="str">
            <v>AZB35</v>
          </cell>
          <cell r="F127">
            <v>38789.505648148152</v>
          </cell>
          <cell r="G127" t="str">
            <v>AZB47</v>
          </cell>
          <cell r="H127">
            <v>38791.390439814815</v>
          </cell>
          <cell r="I127" t="str">
            <v>AZB42</v>
          </cell>
          <cell r="J127">
            <v>38790.518541666665</v>
          </cell>
          <cell r="K127" t="str">
            <v>AZB25</v>
          </cell>
          <cell r="L127">
            <v>38783.288310185184</v>
          </cell>
          <cell r="M127" t="str">
            <v>AZB37</v>
          </cell>
          <cell r="N127">
            <v>38790.375208333331</v>
          </cell>
          <cell r="O127" t="str">
            <v>AZB36</v>
          </cell>
          <cell r="P127">
            <v>38790.508680555555</v>
          </cell>
          <cell r="Q127" t="str">
            <v>AZB96</v>
          </cell>
          <cell r="R127">
            <v>38807.557905092595</v>
          </cell>
          <cell r="S127" t="str">
            <v>AZC09</v>
          </cell>
          <cell r="T127">
            <v>38811.603483796294</v>
          </cell>
          <cell r="AA127" t="str">
            <v>AZC46</v>
          </cell>
          <cell r="AB127">
            <v>38810.328402777777</v>
          </cell>
          <cell r="AH127" t="str">
            <v>AZD44</v>
          </cell>
          <cell r="AI127">
            <v>38831.422407407408</v>
          </cell>
        </row>
        <row r="128">
          <cell r="A128" t="str">
            <v>AZB46</v>
          </cell>
          <cell r="B128" t="str">
            <v>00002432</v>
          </cell>
          <cell r="C128" t="str">
            <v>AZB38</v>
          </cell>
          <cell r="D128">
            <v>38784.545231481483</v>
          </cell>
          <cell r="E128" t="str">
            <v>AZB31</v>
          </cell>
          <cell r="F128">
            <v>38790.378368055557</v>
          </cell>
          <cell r="G128" t="str">
            <v>AZB50</v>
          </cell>
          <cell r="H128">
            <v>38791.469166666669</v>
          </cell>
          <cell r="I128" t="str">
            <v>AZB44</v>
          </cell>
          <cell r="J128">
            <v>38790.525775462964</v>
          </cell>
          <cell r="K128" t="str">
            <v>AZB21</v>
          </cell>
          <cell r="L128">
            <v>38783.366030092591</v>
          </cell>
          <cell r="M128" t="str">
            <v>AZB36</v>
          </cell>
          <cell r="N128">
            <v>38790.457025462965</v>
          </cell>
          <cell r="O128" t="str">
            <v>AZB31</v>
          </cell>
          <cell r="P128">
            <v>38790.583657407406</v>
          </cell>
          <cell r="Q128" t="str">
            <v>AZC06</v>
          </cell>
          <cell r="R128">
            <v>38807.560520833336</v>
          </cell>
          <cell r="AA128" t="str">
            <v>AZC13</v>
          </cell>
          <cell r="AB128">
            <v>38810.416967592595</v>
          </cell>
          <cell r="AH128" t="str">
            <v>AZC86</v>
          </cell>
          <cell r="AI128">
            <v>38831.450729166667</v>
          </cell>
        </row>
        <row r="129">
          <cell r="A129" t="str">
            <v>AZB47</v>
          </cell>
          <cell r="B129" t="str">
            <v>00002433</v>
          </cell>
          <cell r="C129" t="str">
            <v>AZB40</v>
          </cell>
          <cell r="D129">
            <v>38784.545578703706</v>
          </cell>
          <cell r="E129" t="str">
            <v>AZB39</v>
          </cell>
          <cell r="F129">
            <v>38790.455231481479</v>
          </cell>
          <cell r="G129" t="str">
            <v>AZB80</v>
          </cell>
          <cell r="H129">
            <v>38791.473599537036</v>
          </cell>
          <cell r="I129" t="str">
            <v>AZB43</v>
          </cell>
          <cell r="J129">
            <v>38790.531770833331</v>
          </cell>
          <cell r="K129" t="str">
            <v>AZB21</v>
          </cell>
          <cell r="L129">
            <v>38783.366122685184</v>
          </cell>
          <cell r="M129" t="str">
            <v>AZB31</v>
          </cell>
          <cell r="N129">
            <v>38790.550694444442</v>
          </cell>
          <cell r="O129" t="str">
            <v>AZB43</v>
          </cell>
          <cell r="P129">
            <v>38790.643518518518</v>
          </cell>
          <cell r="Q129" t="str">
            <v>AZB94</v>
          </cell>
          <cell r="R129">
            <v>38807.563599537039</v>
          </cell>
          <cell r="AA129" t="str">
            <v>AZB94</v>
          </cell>
          <cell r="AB129">
            <v>38810.627152777779</v>
          </cell>
          <cell r="AH129" t="str">
            <v>AZD37</v>
          </cell>
          <cell r="AI129">
            <v>38832.28193287037</v>
          </cell>
        </row>
        <row r="130">
          <cell r="A130" t="str">
            <v>AZB48</v>
          </cell>
          <cell r="B130" t="str">
            <v>00002454</v>
          </cell>
          <cell r="C130" t="str">
            <v>AZB41</v>
          </cell>
          <cell r="D130">
            <v>38784.545949074076</v>
          </cell>
          <cell r="E130" t="str">
            <v>AZB42</v>
          </cell>
          <cell r="F130">
            <v>38790.470185185186</v>
          </cell>
          <cell r="G130" t="str">
            <v>AZB82</v>
          </cell>
          <cell r="H130">
            <v>38791.486805555556</v>
          </cell>
          <cell r="I130" t="str">
            <v>AZB45</v>
          </cell>
          <cell r="J130">
            <v>38790.571076388886</v>
          </cell>
          <cell r="K130" t="str">
            <v>AZB19</v>
          </cell>
          <cell r="L130">
            <v>38783.411863425928</v>
          </cell>
          <cell r="M130" t="str">
            <v>AZB43</v>
          </cell>
          <cell r="N130">
            <v>38790.571608796294</v>
          </cell>
          <cell r="O130" t="str">
            <v>AZB44</v>
          </cell>
          <cell r="P130">
            <v>38790.663206018522</v>
          </cell>
          <cell r="Q130" t="str">
            <v>AZC01</v>
          </cell>
          <cell r="R130">
            <v>38807.563981481479</v>
          </cell>
          <cell r="AA130" t="str">
            <v>AZB96</v>
          </cell>
          <cell r="AB130">
            <v>38810.668587962966</v>
          </cell>
          <cell r="AH130" t="str">
            <v>AZD39</v>
          </cell>
          <cell r="AI130">
            <v>38832.293634259258</v>
          </cell>
        </row>
        <row r="131">
          <cell r="A131" t="str">
            <v>AZB49</v>
          </cell>
          <cell r="B131" t="str">
            <v>00002455</v>
          </cell>
          <cell r="C131" t="str">
            <v>AZB31</v>
          </cell>
          <cell r="D131">
            <v>38785.57912037037</v>
          </cell>
          <cell r="E131" t="str">
            <v>AZB43</v>
          </cell>
          <cell r="F131">
            <v>38790.48238425926</v>
          </cell>
          <cell r="G131" t="str">
            <v>AZB83</v>
          </cell>
          <cell r="H131">
            <v>38791.492083333331</v>
          </cell>
          <cell r="I131" t="str">
            <v>AZB81</v>
          </cell>
          <cell r="J131">
            <v>38790.576516203706</v>
          </cell>
          <cell r="K131" t="str">
            <v>AZB12</v>
          </cell>
          <cell r="L131">
            <v>38783.429155092592</v>
          </cell>
          <cell r="M131" t="str">
            <v>AZB44</v>
          </cell>
          <cell r="N131">
            <v>38790.609537037039</v>
          </cell>
          <cell r="O131" t="str">
            <v>AZB42</v>
          </cell>
          <cell r="P131">
            <v>38791.317175925928</v>
          </cell>
          <cell r="Q131" t="str">
            <v>AZC07</v>
          </cell>
          <cell r="R131">
            <v>38807.59946759259</v>
          </cell>
          <cell r="AA131" t="str">
            <v>AZC11</v>
          </cell>
          <cell r="AB131">
            <v>38814.582187499997</v>
          </cell>
          <cell r="AH131" t="str">
            <v>AZD32</v>
          </cell>
          <cell r="AI131">
            <v>38832.510717592595</v>
          </cell>
        </row>
        <row r="132">
          <cell r="A132" t="str">
            <v>AZB50</v>
          </cell>
          <cell r="B132" t="str">
            <v>00002456</v>
          </cell>
          <cell r="C132" t="str">
            <v>AZB39</v>
          </cell>
          <cell r="D132">
            <v>38785.580995370372</v>
          </cell>
          <cell r="E132" t="str">
            <v>AZB44</v>
          </cell>
          <cell r="F132">
            <v>38790.491932870369</v>
          </cell>
          <cell r="G132" t="str">
            <v>AZB48</v>
          </cell>
          <cell r="H132">
            <v>38791.498310185183</v>
          </cell>
          <cell r="I132" t="str">
            <v>AZB47</v>
          </cell>
          <cell r="J132">
            <v>38791.409733796296</v>
          </cell>
          <cell r="K132" t="str">
            <v>AZA75</v>
          </cell>
          <cell r="L132">
            <v>38783.485439814816</v>
          </cell>
          <cell r="M132" t="str">
            <v>AZB81</v>
          </cell>
          <cell r="N132">
            <v>38790.662349537037</v>
          </cell>
          <cell r="O132" t="str">
            <v>AZB81</v>
          </cell>
          <cell r="P132">
            <v>38791.318414351852</v>
          </cell>
          <cell r="Q132" t="str">
            <v>AZC46</v>
          </cell>
          <cell r="R132">
            <v>38810.328402777777</v>
          </cell>
          <cell r="AA132" t="str">
            <v>AZC06</v>
          </cell>
          <cell r="AB132">
            <v>38814.583703703705</v>
          </cell>
          <cell r="AH132" t="str">
            <v>AZC96</v>
          </cell>
          <cell r="AI132">
            <v>38833.379861111112</v>
          </cell>
        </row>
        <row r="133">
          <cell r="A133" t="str">
            <v>AZB51</v>
          </cell>
          <cell r="B133" t="str">
            <v>00002459</v>
          </cell>
          <cell r="C133" t="str">
            <v>AZB42</v>
          </cell>
          <cell r="D133">
            <v>38785.581354166665</v>
          </cell>
          <cell r="E133" t="str">
            <v>AZB45</v>
          </cell>
          <cell r="F133">
            <v>38790.498391203706</v>
          </cell>
          <cell r="G133" t="str">
            <v>AZB53</v>
          </cell>
          <cell r="H133">
            <v>38791.503981481481</v>
          </cell>
          <cell r="I133" t="str">
            <v>AZB46</v>
          </cell>
          <cell r="J133">
            <v>38791.435474537036</v>
          </cell>
          <cell r="K133" t="str">
            <v>AZA75</v>
          </cell>
          <cell r="L133">
            <v>38783.485613425924</v>
          </cell>
          <cell r="M133" t="str">
            <v>AZB42</v>
          </cell>
          <cell r="N133">
            <v>38790.664074074077</v>
          </cell>
          <cell r="O133" t="str">
            <v>AZB39</v>
          </cell>
          <cell r="P133">
            <v>38791.35361111111</v>
          </cell>
          <cell r="Q133" t="str">
            <v>AZC05</v>
          </cell>
          <cell r="R133">
            <v>38810.388958333337</v>
          </cell>
          <cell r="AA133" t="str">
            <v>AZC03</v>
          </cell>
          <cell r="AB133">
            <v>38817.387418981481</v>
          </cell>
          <cell r="AH133" t="str">
            <v>AZD50</v>
          </cell>
          <cell r="AI133">
            <v>38834.280601851853</v>
          </cell>
        </row>
        <row r="134">
          <cell r="A134" t="str">
            <v>AZB52</v>
          </cell>
          <cell r="B134" t="str">
            <v>00002460</v>
          </cell>
          <cell r="C134" t="str">
            <v>AZB43</v>
          </cell>
          <cell r="D134">
            <v>38785.581712962965</v>
          </cell>
          <cell r="E134" t="str">
            <v>AZB81</v>
          </cell>
          <cell r="F134">
            <v>38790.504247685189</v>
          </cell>
          <cell r="G134" t="str">
            <v>AZB35</v>
          </cell>
          <cell r="H134">
            <v>38791.646782407406</v>
          </cell>
          <cell r="I134" t="str">
            <v>AZB50</v>
          </cell>
          <cell r="J134">
            <v>38791.479143518518</v>
          </cell>
          <cell r="K134" t="str">
            <v>AZB27</v>
          </cell>
          <cell r="L134">
            <v>38783.498703703706</v>
          </cell>
          <cell r="M134" t="str">
            <v>AZB39</v>
          </cell>
          <cell r="N134">
            <v>38791.31622685185</v>
          </cell>
          <cell r="O134" t="str">
            <v>AZB45</v>
          </cell>
          <cell r="P134">
            <v>38791.426770833335</v>
          </cell>
          <cell r="Q134" t="str">
            <v>AZB89</v>
          </cell>
          <cell r="R134">
            <v>38811.389953703707</v>
          </cell>
          <cell r="AA134" t="str">
            <v>AZC08</v>
          </cell>
          <cell r="AB134">
            <v>38818.544675925928</v>
          </cell>
          <cell r="AH134" t="str">
            <v>AZD47</v>
          </cell>
          <cell r="AI134">
            <v>38834.450370370374</v>
          </cell>
        </row>
        <row r="135">
          <cell r="A135" t="str">
            <v>AZB53</v>
          </cell>
          <cell r="B135" t="str">
            <v>00002461</v>
          </cell>
          <cell r="C135" t="str">
            <v>AZB44</v>
          </cell>
          <cell r="D135">
            <v>38785.582071759258</v>
          </cell>
          <cell r="E135" t="str">
            <v>AZB47</v>
          </cell>
          <cell r="F135">
            <v>38791.287395833337</v>
          </cell>
          <cell r="G135" t="str">
            <v>AZB57</v>
          </cell>
          <cell r="H135">
            <v>38792.306886574072</v>
          </cell>
          <cell r="I135" t="str">
            <v>AZB80</v>
          </cell>
          <cell r="J135">
            <v>38791.479189814818</v>
          </cell>
          <cell r="K135" t="str">
            <v>AZB27</v>
          </cell>
          <cell r="L135">
            <v>38783.498738425929</v>
          </cell>
          <cell r="M135" t="str">
            <v>AZB45</v>
          </cell>
          <cell r="N135">
            <v>38791.34883101852</v>
          </cell>
          <cell r="O135" t="str">
            <v>AZB46</v>
          </cell>
          <cell r="P135">
            <v>38791.522002314814</v>
          </cell>
          <cell r="Q135" t="str">
            <v>AZC03</v>
          </cell>
          <cell r="R135">
            <v>38812.360092592593</v>
          </cell>
          <cell r="AA135" t="str">
            <v>AZC29</v>
          </cell>
          <cell r="AB135">
            <v>38818.665925925925</v>
          </cell>
          <cell r="AH135" t="str">
            <v>AZD43</v>
          </cell>
          <cell r="AI135">
            <v>38841.310393518521</v>
          </cell>
        </row>
        <row r="136">
          <cell r="A136" t="str">
            <v>AZB54</v>
          </cell>
          <cell r="B136" t="str">
            <v>00002462</v>
          </cell>
          <cell r="C136" t="str">
            <v>AZB45</v>
          </cell>
          <cell r="D136">
            <v>38785.582465277781</v>
          </cell>
          <cell r="E136" t="str">
            <v>AZB46</v>
          </cell>
          <cell r="F136">
            <v>38791.290335648147</v>
          </cell>
          <cell r="G136" t="str">
            <v>AZB77</v>
          </cell>
          <cell r="H136">
            <v>38792.470416666663</v>
          </cell>
          <cell r="I136" t="str">
            <v>AZB83</v>
          </cell>
          <cell r="J136">
            <v>38791.512407407405</v>
          </cell>
          <cell r="K136" t="str">
            <v>AZB26</v>
          </cell>
          <cell r="L136">
            <v>38783.512662037036</v>
          </cell>
          <cell r="M136" t="str">
            <v>AZB46</v>
          </cell>
          <cell r="N136">
            <v>38791.461805555555</v>
          </cell>
          <cell r="O136" t="str">
            <v>AZB50</v>
          </cell>
          <cell r="P136">
            <v>38791.573240740741</v>
          </cell>
          <cell r="Q136" t="str">
            <v>AZB91</v>
          </cell>
          <cell r="R136">
            <v>38812.37604166667</v>
          </cell>
          <cell r="AA136" t="str">
            <v>AZC07</v>
          </cell>
          <cell r="AB136">
            <v>38818.672407407408</v>
          </cell>
          <cell r="AH136" t="str">
            <v>AZC66</v>
          </cell>
          <cell r="AI136">
            <v>38841.498622685183</v>
          </cell>
        </row>
        <row r="137">
          <cell r="A137" t="str">
            <v>AZB55</v>
          </cell>
          <cell r="B137" t="str">
            <v>00002463</v>
          </cell>
          <cell r="C137" t="str">
            <v>AZB81</v>
          </cell>
          <cell r="D137">
            <v>38785.582824074074</v>
          </cell>
          <cell r="E137" t="str">
            <v>AZB80</v>
          </cell>
          <cell r="F137">
            <v>38791.3825462963</v>
          </cell>
          <cell r="G137" t="str">
            <v>AZB62</v>
          </cell>
          <cell r="H137">
            <v>38792.519131944442</v>
          </cell>
          <cell r="I137" t="str">
            <v>AZB82</v>
          </cell>
          <cell r="J137">
            <v>38791.512453703705</v>
          </cell>
          <cell r="K137" t="str">
            <v>AZB14</v>
          </cell>
          <cell r="L137">
            <v>38783.513923611114</v>
          </cell>
          <cell r="M137" t="str">
            <v>AZB50</v>
          </cell>
          <cell r="N137">
            <v>38791.522280092591</v>
          </cell>
          <cell r="O137" t="str">
            <v>AZB82</v>
          </cell>
          <cell r="P137">
            <v>38791.631643518522</v>
          </cell>
          <cell r="Q137" t="str">
            <v>AZB99</v>
          </cell>
          <cell r="R137">
            <v>38812.417222222219</v>
          </cell>
          <cell r="AA137" t="str">
            <v>AZB99</v>
          </cell>
          <cell r="AB137">
            <v>38818.672546296293</v>
          </cell>
          <cell r="AH137" t="str">
            <v>AZD56</v>
          </cell>
          <cell r="AI137">
            <v>38846.544386574074</v>
          </cell>
        </row>
        <row r="138">
          <cell r="A138" t="str">
            <v>AZB56</v>
          </cell>
          <cell r="B138" t="str">
            <v>00002464</v>
          </cell>
          <cell r="C138" t="str">
            <v>AZB46</v>
          </cell>
          <cell r="D138">
            <v>38785.583287037036</v>
          </cell>
          <cell r="E138" t="str">
            <v>AZB50</v>
          </cell>
          <cell r="F138">
            <v>38791.396944444445</v>
          </cell>
          <cell r="G138" t="str">
            <v>AZB51</v>
          </cell>
          <cell r="H138">
            <v>38792.524027777778</v>
          </cell>
          <cell r="I138" t="str">
            <v>AZB48</v>
          </cell>
          <cell r="J138">
            <v>38791.515601851854</v>
          </cell>
          <cell r="K138" t="str">
            <v>AZB14</v>
          </cell>
          <cell r="L138">
            <v>38783.513969907406</v>
          </cell>
          <cell r="M138" t="str">
            <v>AZB80</v>
          </cell>
          <cell r="N138">
            <v>38791.544502314813</v>
          </cell>
          <cell r="O138" t="str">
            <v>AZB83</v>
          </cell>
          <cell r="P138">
            <v>38791.640972222223</v>
          </cell>
          <cell r="Q138" t="str">
            <v>AZC64</v>
          </cell>
          <cell r="R138">
            <v>38812.489641203705</v>
          </cell>
          <cell r="AA138" t="str">
            <v>AZC62</v>
          </cell>
          <cell r="AB138">
            <v>38826.346539351849</v>
          </cell>
          <cell r="AH138" t="str">
            <v>AZD57</v>
          </cell>
          <cell r="AI138">
            <v>38847.578946759262</v>
          </cell>
        </row>
        <row r="139">
          <cell r="A139" t="str">
            <v>AZB57</v>
          </cell>
          <cell r="B139" t="str">
            <v>00002465</v>
          </cell>
          <cell r="C139" t="str">
            <v>AZB47</v>
          </cell>
          <cell r="D139">
            <v>38785.583645833336</v>
          </cell>
          <cell r="E139" t="str">
            <v>AZB82</v>
          </cell>
          <cell r="F139">
            <v>38791.40152777778</v>
          </cell>
          <cell r="G139" t="str">
            <v>AZB63</v>
          </cell>
          <cell r="H139">
            <v>38792.5628125</v>
          </cell>
          <cell r="I139" t="str">
            <v>AZB53</v>
          </cell>
          <cell r="J139">
            <v>38791.5156712963</v>
          </cell>
          <cell r="K139" t="str">
            <v>AZB13</v>
          </cell>
          <cell r="L139">
            <v>38783.525034722225</v>
          </cell>
          <cell r="M139" t="str">
            <v>AZB83</v>
          </cell>
          <cell r="N139">
            <v>38791.550543981481</v>
          </cell>
          <cell r="O139" t="str">
            <v>AZB48</v>
          </cell>
          <cell r="P139">
            <v>38792.294745370367</v>
          </cell>
          <cell r="Q139" t="str">
            <v>AZC24</v>
          </cell>
          <cell r="R139">
            <v>38812.562708333331</v>
          </cell>
          <cell r="AA139" t="str">
            <v>AZC74</v>
          </cell>
          <cell r="AB139">
            <v>38827.352083333331</v>
          </cell>
          <cell r="AH139" t="str">
            <v>AZD58</v>
          </cell>
        </row>
        <row r="140">
          <cell r="A140" t="str">
            <v>AZB58</v>
          </cell>
          <cell r="B140" t="str">
            <v>00002466</v>
          </cell>
          <cell r="C140" t="str">
            <v>AZB80</v>
          </cell>
          <cell r="D140">
            <v>38786.572210648148</v>
          </cell>
          <cell r="E140" t="str">
            <v>AZB83</v>
          </cell>
          <cell r="F140">
            <v>38791.415335648147</v>
          </cell>
          <cell r="G140" t="str">
            <v>AZB84</v>
          </cell>
          <cell r="H140">
            <v>38792.567893518521</v>
          </cell>
          <cell r="I140" t="str">
            <v>AZB35</v>
          </cell>
          <cell r="J140">
            <v>38791.653043981481</v>
          </cell>
          <cell r="K140" t="str">
            <v>AZB13</v>
          </cell>
          <cell r="L140">
            <v>38783.525578703702</v>
          </cell>
          <cell r="M140" t="str">
            <v>AZB82</v>
          </cell>
          <cell r="N140">
            <v>38791.594953703701</v>
          </cell>
          <cell r="O140" t="str">
            <v>AZB47</v>
          </cell>
          <cell r="P140">
            <v>38792.374155092592</v>
          </cell>
          <cell r="Q140" t="str">
            <v>AZC21</v>
          </cell>
          <cell r="R140">
            <v>38812.593807870369</v>
          </cell>
          <cell r="AA140" t="str">
            <v>AZC76</v>
          </cell>
          <cell r="AB140">
            <v>38827.352314814816</v>
          </cell>
          <cell r="AH140" t="str">
            <v>AZC39</v>
          </cell>
        </row>
        <row r="141">
          <cell r="A141" t="str">
            <v>AZB59</v>
          </cell>
          <cell r="B141" t="str">
            <v>00002467</v>
          </cell>
          <cell r="C141" t="str">
            <v>AZB48</v>
          </cell>
          <cell r="D141">
            <v>38786.573692129627</v>
          </cell>
          <cell r="E141" t="str">
            <v>AZB48</v>
          </cell>
          <cell r="F141">
            <v>38791.420104166667</v>
          </cell>
          <cell r="G141" t="str">
            <v>AZB61</v>
          </cell>
          <cell r="H141">
            <v>38792.575162037036</v>
          </cell>
          <cell r="I141" t="str">
            <v>AZB57</v>
          </cell>
          <cell r="J141">
            <v>38792.321296296293</v>
          </cell>
          <cell r="K141" t="str">
            <v>AZB15</v>
          </cell>
          <cell r="L141">
            <v>38783.529328703706</v>
          </cell>
          <cell r="M141" t="str">
            <v>AZB53</v>
          </cell>
          <cell r="N141">
            <v>38791.620787037034</v>
          </cell>
          <cell r="O141" t="str">
            <v>AZB57</v>
          </cell>
          <cell r="P141">
            <v>38792.424745370372</v>
          </cell>
          <cell r="Q141" t="str">
            <v>AZC29</v>
          </cell>
          <cell r="R141">
            <v>38813.2809375</v>
          </cell>
          <cell r="AA141" t="str">
            <v>AZC28</v>
          </cell>
          <cell r="AB141">
            <v>38828.379178240742</v>
          </cell>
          <cell r="AH141" t="str">
            <v>AZD11</v>
          </cell>
        </row>
        <row r="142">
          <cell r="A142" t="str">
            <v>AZB60</v>
          </cell>
          <cell r="B142" t="str">
            <v>00002468</v>
          </cell>
          <cell r="C142" t="str">
            <v>AZB50</v>
          </cell>
          <cell r="D142">
            <v>38786.574432870373</v>
          </cell>
          <cell r="E142" t="str">
            <v>AZB53</v>
          </cell>
          <cell r="F142">
            <v>38791.433958333335</v>
          </cell>
          <cell r="G142" t="str">
            <v>AZB64</v>
          </cell>
          <cell r="H142">
            <v>38793.314016203702</v>
          </cell>
          <cell r="I142" t="str">
            <v>AZB77</v>
          </cell>
          <cell r="J142">
            <v>38792.478680555556</v>
          </cell>
          <cell r="K142" t="str">
            <v>AZB15</v>
          </cell>
          <cell r="L142">
            <v>38783.529386574075</v>
          </cell>
          <cell r="M142" t="str">
            <v>AZB48</v>
          </cell>
          <cell r="N142">
            <v>38791.647187499999</v>
          </cell>
          <cell r="O142" t="str">
            <v>AZB35</v>
          </cell>
          <cell r="P142">
            <v>38792.515381944446</v>
          </cell>
          <cell r="Q142" t="str">
            <v>AZC12</v>
          </cell>
          <cell r="R142">
            <v>38813.299791666665</v>
          </cell>
          <cell r="AA142" t="str">
            <v>AZC60</v>
          </cell>
          <cell r="AB142">
            <v>38828.379340277781</v>
          </cell>
          <cell r="AH142" t="str">
            <v>AZC21</v>
          </cell>
        </row>
        <row r="143">
          <cell r="A143" t="str">
            <v>AZB61</v>
          </cell>
          <cell r="B143" t="str">
            <v>00002469</v>
          </cell>
          <cell r="C143" t="str">
            <v>AZB82</v>
          </cell>
          <cell r="D143">
            <v>38786.574780092589</v>
          </cell>
          <cell r="E143" t="str">
            <v>AZB57</v>
          </cell>
          <cell r="F143">
            <v>38791.456608796296</v>
          </cell>
          <cell r="G143" t="str">
            <v>AZB58</v>
          </cell>
          <cell r="H143">
            <v>38793.320555555554</v>
          </cell>
          <cell r="I143" t="str">
            <v>AZB62</v>
          </cell>
          <cell r="J143">
            <v>38792.527395833335</v>
          </cell>
          <cell r="K143" t="str">
            <v>AZB28</v>
          </cell>
          <cell r="L143">
            <v>38783.608784722222</v>
          </cell>
          <cell r="M143" t="str">
            <v>AZB47</v>
          </cell>
          <cell r="N143">
            <v>38792.274861111109</v>
          </cell>
          <cell r="O143" t="str">
            <v>AZB51</v>
          </cell>
          <cell r="P143">
            <v>38792.633599537039</v>
          </cell>
          <cell r="Q143" t="str">
            <v>AZC37</v>
          </cell>
          <cell r="R143">
            <v>38813.318287037036</v>
          </cell>
          <cell r="AA143" t="str">
            <v>AZC69</v>
          </cell>
          <cell r="AB143">
            <v>38828.379756944443</v>
          </cell>
        </row>
        <row r="144">
          <cell r="A144" t="str">
            <v>AZB62</v>
          </cell>
          <cell r="B144" t="str">
            <v>00002470</v>
          </cell>
          <cell r="C144" t="str">
            <v>AZB83</v>
          </cell>
          <cell r="D144">
            <v>38786.599537037036</v>
          </cell>
          <cell r="E144" t="str">
            <v>AZB77</v>
          </cell>
          <cell r="F144">
            <v>38792.369768518518</v>
          </cell>
          <cell r="G144" t="str">
            <v>AZB49</v>
          </cell>
          <cell r="H144">
            <v>38793.40148148148</v>
          </cell>
          <cell r="I144" t="str">
            <v>AZB51</v>
          </cell>
          <cell r="J144">
            <v>38792.533645833333</v>
          </cell>
          <cell r="K144" t="str">
            <v>AZB28</v>
          </cell>
          <cell r="L144">
            <v>38783.608900462961</v>
          </cell>
          <cell r="M144" t="str">
            <v>AZB57</v>
          </cell>
          <cell r="N144">
            <v>38792.386400462965</v>
          </cell>
          <cell r="O144" t="str">
            <v>AZB63</v>
          </cell>
          <cell r="P144">
            <v>38792.676874999997</v>
          </cell>
          <cell r="Q144" t="str">
            <v>AZC15</v>
          </cell>
          <cell r="R144">
            <v>38813.354953703703</v>
          </cell>
          <cell r="AA144" t="str">
            <v>AZC83</v>
          </cell>
          <cell r="AB144">
            <v>38832.561157407406</v>
          </cell>
        </row>
        <row r="145">
          <cell r="A145" t="str">
            <v>AZB63</v>
          </cell>
          <cell r="B145" t="str">
            <v>00002471</v>
          </cell>
          <cell r="C145" t="str">
            <v>AZB53</v>
          </cell>
          <cell r="D145">
            <v>38786.600254629629</v>
          </cell>
          <cell r="E145" t="str">
            <v>AZB51</v>
          </cell>
          <cell r="F145">
            <v>38792.37840277778</v>
          </cell>
          <cell r="G145" t="str">
            <v>AZB52</v>
          </cell>
          <cell r="H145">
            <v>38793.405312499999</v>
          </cell>
          <cell r="I145" t="str">
            <v>AZB63</v>
          </cell>
          <cell r="J145">
            <v>38792.570555555554</v>
          </cell>
          <cell r="K145" t="str">
            <v>AZB16</v>
          </cell>
          <cell r="L145">
            <v>38783.627881944441</v>
          </cell>
          <cell r="M145" t="str">
            <v>AZB35</v>
          </cell>
          <cell r="N145">
            <v>38792.423657407409</v>
          </cell>
          <cell r="O145" t="str">
            <v>AZB61</v>
          </cell>
          <cell r="P145">
            <v>38793.327222222222</v>
          </cell>
          <cell r="Q145" t="str">
            <v>AZC39</v>
          </cell>
          <cell r="R145">
            <v>38813.384641203702</v>
          </cell>
          <cell r="AA145" t="str">
            <v>AZA98</v>
          </cell>
          <cell r="AB145">
            <v>38832.7500462963</v>
          </cell>
        </row>
        <row r="146">
          <cell r="A146" t="str">
            <v>AZB64</v>
          </cell>
          <cell r="B146" t="str">
            <v>00002472</v>
          </cell>
          <cell r="C146" t="str">
            <v>AZB57</v>
          </cell>
          <cell r="D146">
            <v>38786.600601851853</v>
          </cell>
          <cell r="E146" t="str">
            <v>AZB63</v>
          </cell>
          <cell r="F146">
            <v>38792.385393518518</v>
          </cell>
          <cell r="G146" t="str">
            <v>AZB55</v>
          </cell>
          <cell r="H146">
            <v>38793.409351851849</v>
          </cell>
          <cell r="I146" t="str">
            <v>AZB84</v>
          </cell>
          <cell r="J146">
            <v>38792.575439814813</v>
          </cell>
          <cell r="K146" t="str">
            <v>AZB16</v>
          </cell>
          <cell r="L146">
            <v>38783.627997685187</v>
          </cell>
          <cell r="M146" t="str">
            <v>AZB77</v>
          </cell>
          <cell r="N146">
            <v>38792.503900462965</v>
          </cell>
          <cell r="O146" t="str">
            <v>AZB64</v>
          </cell>
          <cell r="P146">
            <v>38793.516747685186</v>
          </cell>
          <cell r="Q146" t="str">
            <v>AZC49</v>
          </cell>
          <cell r="R146">
            <v>38813.38658564815</v>
          </cell>
          <cell r="AA146" t="str">
            <v>AZC15</v>
          </cell>
          <cell r="AB146">
            <v>38832.752870370372</v>
          </cell>
        </row>
        <row r="147">
          <cell r="A147" t="str">
            <v>AZB66</v>
          </cell>
          <cell r="B147" t="str">
            <v>00002476</v>
          </cell>
          <cell r="C147" t="str">
            <v>AZB77</v>
          </cell>
          <cell r="D147">
            <v>38789.602858796294</v>
          </cell>
          <cell r="E147" t="str">
            <v>AZB61</v>
          </cell>
          <cell r="F147">
            <v>38792.409479166665</v>
          </cell>
          <cell r="G147" t="str">
            <v>AZB67</v>
          </cell>
          <cell r="H147">
            <v>38793.508368055554</v>
          </cell>
          <cell r="I147" t="str">
            <v>AZB61</v>
          </cell>
          <cell r="J147">
            <v>38792.582881944443</v>
          </cell>
          <cell r="K147" t="str">
            <v>AZB00</v>
          </cell>
          <cell r="L147">
            <v>38784.567835648151</v>
          </cell>
          <cell r="M147" t="str">
            <v>AZB51</v>
          </cell>
          <cell r="N147">
            <v>38792.595868055556</v>
          </cell>
          <cell r="O147" t="str">
            <v>AZB58</v>
          </cell>
          <cell r="P147">
            <v>38793.54446759259</v>
          </cell>
          <cell r="Q147" t="str">
            <v>AZC26</v>
          </cell>
          <cell r="R147">
            <v>38813.390046296299</v>
          </cell>
          <cell r="AA147" t="str">
            <v>AZC75</v>
          </cell>
          <cell r="AB147">
            <v>38833.270972222221</v>
          </cell>
        </row>
        <row r="148">
          <cell r="A148" t="str">
            <v>AZB67</v>
          </cell>
          <cell r="B148" t="str">
            <v>00002477</v>
          </cell>
          <cell r="C148" t="str">
            <v>AZB51</v>
          </cell>
          <cell r="D148">
            <v>38789.603495370371</v>
          </cell>
          <cell r="E148" t="str">
            <v>AZB64</v>
          </cell>
          <cell r="F148">
            <v>38792.439155092594</v>
          </cell>
          <cell r="G148" t="str">
            <v>AZA68</v>
          </cell>
          <cell r="H148">
            <v>38793.512881944444</v>
          </cell>
          <cell r="I148" t="str">
            <v>AZB64</v>
          </cell>
          <cell r="J148">
            <v>38793.330185185187</v>
          </cell>
          <cell r="K148" t="str">
            <v>AZB79</v>
          </cell>
          <cell r="L148">
            <v>38784.670671296299</v>
          </cell>
          <cell r="M148" t="str">
            <v>AZB63</v>
          </cell>
          <cell r="N148">
            <v>38792.616979166669</v>
          </cell>
          <cell r="O148" t="str">
            <v>AZB49</v>
          </cell>
          <cell r="P148">
            <v>38793.573819444442</v>
          </cell>
          <cell r="Q148" t="str">
            <v>AZC33</v>
          </cell>
          <cell r="R148">
            <v>38813.438611111109</v>
          </cell>
          <cell r="AA148" t="str">
            <v>AZA29</v>
          </cell>
          <cell r="AB148">
            <v>38833.44568287037</v>
          </cell>
        </row>
        <row r="149">
          <cell r="A149" t="str">
            <v>AZB68</v>
          </cell>
          <cell r="B149" t="str">
            <v>00002478</v>
          </cell>
          <cell r="C149" t="str">
            <v>AZB63</v>
          </cell>
          <cell r="D149">
            <v>38789.606192129628</v>
          </cell>
          <cell r="E149" t="str">
            <v>AZB62</v>
          </cell>
          <cell r="F149">
            <v>38792.482256944444</v>
          </cell>
          <cell r="G149" t="str">
            <v>AZB66</v>
          </cell>
          <cell r="H149">
            <v>38796.28833333333</v>
          </cell>
          <cell r="I149" t="str">
            <v>AZB58</v>
          </cell>
          <cell r="J149">
            <v>38793.385601851849</v>
          </cell>
          <cell r="K149" t="str">
            <v>AZB79</v>
          </cell>
          <cell r="L149">
            <v>38784.670868055553</v>
          </cell>
          <cell r="M149" t="str">
            <v>AZB61</v>
          </cell>
          <cell r="N149">
            <v>38792.661435185182</v>
          </cell>
          <cell r="O149" t="str">
            <v>AZB66</v>
          </cell>
          <cell r="P149">
            <v>38796.403148148151</v>
          </cell>
          <cell r="Q149" t="str">
            <v>AZC38</v>
          </cell>
          <cell r="R149">
            <v>38813.445011574076</v>
          </cell>
          <cell r="AA149" t="str">
            <v>AZC91</v>
          </cell>
          <cell r="AB149">
            <v>38835.61451388889</v>
          </cell>
        </row>
        <row r="150">
          <cell r="A150" t="str">
            <v>AZB69</v>
          </cell>
          <cell r="B150" t="str">
            <v>00002196</v>
          </cell>
          <cell r="C150" t="str">
            <v>AZB61</v>
          </cell>
          <cell r="D150">
            <v>38789.606550925928</v>
          </cell>
          <cell r="E150" t="str">
            <v>AZB84</v>
          </cell>
          <cell r="F150">
            <v>38792.489861111113</v>
          </cell>
          <cell r="G150" t="str">
            <v>AZB56</v>
          </cell>
          <cell r="H150">
            <v>38796.294583333336</v>
          </cell>
          <cell r="I150" t="str">
            <v>AZB49</v>
          </cell>
          <cell r="J150">
            <v>38793.407812500001</v>
          </cell>
          <cell r="K150" t="str">
            <v>AZB86</v>
          </cell>
          <cell r="L150">
            <v>38785.29954861111</v>
          </cell>
          <cell r="M150" t="str">
            <v>AZB64</v>
          </cell>
          <cell r="N150">
            <v>38793.460011574076</v>
          </cell>
          <cell r="O150" t="str">
            <v>AZB56</v>
          </cell>
          <cell r="P150">
            <v>38796.466504629629</v>
          </cell>
          <cell r="Q150" t="str">
            <v>AZC56</v>
          </cell>
          <cell r="R150">
            <v>38813.46466435185</v>
          </cell>
          <cell r="AA150" t="str">
            <v>AZC94</v>
          </cell>
          <cell r="AB150">
            <v>38835.614814814813</v>
          </cell>
        </row>
        <row r="151">
          <cell r="A151" t="str">
            <v>AZB70</v>
          </cell>
          <cell r="B151" t="str">
            <v>00002197</v>
          </cell>
          <cell r="C151" t="str">
            <v>AZB62</v>
          </cell>
          <cell r="D151">
            <v>38789.606909722221</v>
          </cell>
          <cell r="E151" t="str">
            <v>AZB58</v>
          </cell>
          <cell r="F151">
            <v>38792.571574074071</v>
          </cell>
          <cell r="G151" t="str">
            <v>AZB54</v>
          </cell>
          <cell r="H151">
            <v>38796.303414351853</v>
          </cell>
          <cell r="I151" t="str">
            <v>AZB52</v>
          </cell>
          <cell r="J151">
            <v>38793.416805555556</v>
          </cell>
          <cell r="K151" t="str">
            <v>AZB86</v>
          </cell>
          <cell r="L151">
            <v>38785.299583333333</v>
          </cell>
          <cell r="M151" t="str">
            <v>AZB58</v>
          </cell>
          <cell r="N151">
            <v>38793.494490740741</v>
          </cell>
          <cell r="O151" t="str">
            <v>AZB54</v>
          </cell>
          <cell r="P151">
            <v>38796.487997685188</v>
          </cell>
          <cell r="Q151" t="str">
            <v>AZC41</v>
          </cell>
          <cell r="R151">
            <v>38813.49318287037</v>
          </cell>
          <cell r="AA151" t="str">
            <v>AZC98</v>
          </cell>
          <cell r="AB151">
            <v>38835.614999999998</v>
          </cell>
        </row>
        <row r="152">
          <cell r="A152" t="str">
            <v>AZB71</v>
          </cell>
          <cell r="B152" t="str">
            <v>00002341</v>
          </cell>
          <cell r="C152" t="str">
            <v>AZB64</v>
          </cell>
          <cell r="D152">
            <v>38789.608888888892</v>
          </cell>
          <cell r="E152" t="str">
            <v>AZB49</v>
          </cell>
          <cell r="F152">
            <v>38792.580995370372</v>
          </cell>
          <cell r="G152" t="str">
            <v>AZB60</v>
          </cell>
          <cell r="H152">
            <v>38796.352025462962</v>
          </cell>
          <cell r="I152" t="str">
            <v>AZB55</v>
          </cell>
          <cell r="J152">
            <v>38793.425995370373</v>
          </cell>
          <cell r="K152" t="str">
            <v>AZB29</v>
          </cell>
          <cell r="L152">
            <v>38786.278483796297</v>
          </cell>
          <cell r="M152" t="str">
            <v>AZB49</v>
          </cell>
          <cell r="N152">
            <v>38793.510972222219</v>
          </cell>
          <cell r="O152" t="str">
            <v>AZB60</v>
          </cell>
          <cell r="P152">
            <v>38796.501851851855</v>
          </cell>
          <cell r="Q152" t="str">
            <v>AZC57</v>
          </cell>
          <cell r="R152">
            <v>38813.498865740738</v>
          </cell>
          <cell r="AA152" t="str">
            <v>AZA93</v>
          </cell>
          <cell r="AB152">
            <v>38847.745381944442</v>
          </cell>
        </row>
        <row r="153">
          <cell r="A153" t="str">
            <v>AZB72</v>
          </cell>
          <cell r="B153" t="str">
            <v>00002230</v>
          </cell>
          <cell r="C153" t="str">
            <v>AZB84</v>
          </cell>
          <cell r="D153">
            <v>38789.609247685185</v>
          </cell>
          <cell r="E153" t="str">
            <v>AZB52</v>
          </cell>
          <cell r="F153">
            <v>38793.287002314813</v>
          </cell>
          <cell r="G153" t="str">
            <v>AZB59</v>
          </cell>
          <cell r="H153">
            <v>38796.438136574077</v>
          </cell>
          <cell r="I153" t="str">
            <v>AZB67</v>
          </cell>
          <cell r="J153">
            <v>38793.516168981485</v>
          </cell>
          <cell r="K153" t="str">
            <v>AZB29</v>
          </cell>
          <cell r="L153">
            <v>38786.278553240743</v>
          </cell>
          <cell r="M153" t="str">
            <v>AZB52</v>
          </cell>
          <cell r="N153">
            <v>38793.545474537037</v>
          </cell>
          <cell r="O153" t="str">
            <v>AZB59</v>
          </cell>
          <cell r="P153">
            <v>38796.511655092596</v>
          </cell>
          <cell r="Q153" t="str">
            <v>AZC00</v>
          </cell>
          <cell r="R153">
            <v>38813.503993055558</v>
          </cell>
          <cell r="AA153" t="str">
            <v>AZB63</v>
          </cell>
          <cell r="AB153">
            <v>38847.745706018519</v>
          </cell>
        </row>
        <row r="154">
          <cell r="A154" t="str">
            <v>AZB73</v>
          </cell>
          <cell r="B154" t="str">
            <v>00002346</v>
          </cell>
          <cell r="C154" t="str">
            <v>AZB58</v>
          </cell>
          <cell r="D154">
            <v>38790.408831018518</v>
          </cell>
          <cell r="E154" t="str">
            <v>AZA68</v>
          </cell>
          <cell r="F154">
            <v>38793.295659722222</v>
          </cell>
          <cell r="G154" t="str">
            <v>AZB68</v>
          </cell>
          <cell r="H154">
            <v>38796.594965277778</v>
          </cell>
          <cell r="I154" t="str">
            <v>AZA68</v>
          </cell>
          <cell r="J154">
            <v>38793.52238425926</v>
          </cell>
          <cell r="K154" t="str">
            <v>AZB79</v>
          </cell>
          <cell r="L154">
            <v>38786.304768518516</v>
          </cell>
          <cell r="M154" t="str">
            <v>AZB84</v>
          </cell>
          <cell r="N154">
            <v>38793.565057870372</v>
          </cell>
          <cell r="O154" t="str">
            <v>AZB68</v>
          </cell>
          <cell r="P154">
            <v>38797.310798611114</v>
          </cell>
          <cell r="Q154" t="str">
            <v>AZB95</v>
          </cell>
          <cell r="R154">
            <v>38813.507152777776</v>
          </cell>
          <cell r="AA154" t="str">
            <v>AZA78</v>
          </cell>
          <cell r="AB154">
            <v>38847.747291666667</v>
          </cell>
        </row>
        <row r="155">
          <cell r="A155" t="str">
            <v>AZB74</v>
          </cell>
          <cell r="B155" t="str">
            <v>00002232</v>
          </cell>
          <cell r="C155" t="str">
            <v>AZB49</v>
          </cell>
          <cell r="D155">
            <v>38790.550150462965</v>
          </cell>
          <cell r="E155" t="str">
            <v>AZB85</v>
          </cell>
          <cell r="F155">
            <v>38793.302627314813</v>
          </cell>
          <cell r="G155" t="str">
            <v>AZB85</v>
          </cell>
          <cell r="H155">
            <v>38798.362222222226</v>
          </cell>
          <cell r="I155" t="str">
            <v>AZB66</v>
          </cell>
          <cell r="J155">
            <v>38796.297303240739</v>
          </cell>
          <cell r="K155" t="str">
            <v>AZB79</v>
          </cell>
          <cell r="L155">
            <v>38786.304907407408</v>
          </cell>
          <cell r="M155" t="str">
            <v>AZB55</v>
          </cell>
          <cell r="N155">
            <v>38793.576342592591</v>
          </cell>
          <cell r="O155" t="str">
            <v>AZB53</v>
          </cell>
          <cell r="P155">
            <v>38797.361354166664</v>
          </cell>
          <cell r="Q155" t="str">
            <v>AZC02</v>
          </cell>
          <cell r="R155">
            <v>38813.517118055555</v>
          </cell>
          <cell r="AA155" t="str">
            <v>AZB64</v>
          </cell>
          <cell r="AB155">
            <v>38848.655092592591</v>
          </cell>
        </row>
        <row r="156">
          <cell r="A156" t="str">
            <v>AZB75</v>
          </cell>
          <cell r="B156" t="str">
            <v>00002452</v>
          </cell>
          <cell r="C156" t="str">
            <v>AZA68</v>
          </cell>
          <cell r="D156">
            <v>38790.587199074071</v>
          </cell>
          <cell r="E156" t="str">
            <v>AZB66</v>
          </cell>
          <cell r="F156">
            <v>38793.329733796294</v>
          </cell>
          <cell r="G156" t="str">
            <v>AZB88</v>
          </cell>
          <cell r="H156">
            <v>38800.345868055556</v>
          </cell>
          <cell r="I156" t="str">
            <v>AZB56</v>
          </cell>
          <cell r="J156">
            <v>38796.353576388887</v>
          </cell>
          <cell r="K156" t="str">
            <v>AZB30</v>
          </cell>
          <cell r="L156">
            <v>38786.305532407408</v>
          </cell>
          <cell r="M156" t="str">
            <v>AZB67</v>
          </cell>
          <cell r="N156">
            <v>38793.57953703704</v>
          </cell>
          <cell r="O156" t="str">
            <v>AZB62</v>
          </cell>
          <cell r="P156">
            <v>38799.674201388887</v>
          </cell>
          <cell r="Q156" t="str">
            <v>AZC18</v>
          </cell>
          <cell r="R156">
            <v>38813.537824074076</v>
          </cell>
          <cell r="AA156" t="str">
            <v>AZB66</v>
          </cell>
          <cell r="AB156">
            <v>38848.721099537041</v>
          </cell>
        </row>
        <row r="157">
          <cell r="A157" t="str">
            <v>AZB76</v>
          </cell>
          <cell r="B157" t="str">
            <v>00002361</v>
          </cell>
          <cell r="C157" t="str">
            <v>AZB52</v>
          </cell>
          <cell r="D157">
            <v>38790.590439814812</v>
          </cell>
          <cell r="E157" t="str">
            <v>AZB67</v>
          </cell>
          <cell r="F157">
            <v>38793.330081018517</v>
          </cell>
          <cell r="G157" t="str">
            <v>AZC19</v>
          </cell>
          <cell r="H157">
            <v>38800.358518518522</v>
          </cell>
          <cell r="I157" t="str">
            <v>AZB54</v>
          </cell>
          <cell r="J157">
            <v>38796.36041666667</v>
          </cell>
          <cell r="K157" t="str">
            <v>AZB30</v>
          </cell>
          <cell r="L157">
            <v>38786.305567129632</v>
          </cell>
          <cell r="M157" t="str">
            <v>AZA68</v>
          </cell>
          <cell r="N157">
            <v>38793.591724537036</v>
          </cell>
          <cell r="O157" t="str">
            <v>AZC19</v>
          </cell>
          <cell r="P157">
            <v>38800.41300925926</v>
          </cell>
          <cell r="Q157" t="str">
            <v>AZC55</v>
          </cell>
          <cell r="R157">
            <v>38813.598553240743</v>
          </cell>
          <cell r="AA157" t="str">
            <v>AZB45</v>
          </cell>
          <cell r="AB157">
            <v>38848.722002314818</v>
          </cell>
        </row>
        <row r="158">
          <cell r="A158" t="str">
            <v>AZB77</v>
          </cell>
          <cell r="B158" t="str">
            <v>00002531</v>
          </cell>
          <cell r="C158" t="str">
            <v>AZB55</v>
          </cell>
          <cell r="D158">
            <v>38790.590798611112</v>
          </cell>
          <cell r="E158" t="str">
            <v>AZB55</v>
          </cell>
          <cell r="F158">
            <v>38793.377488425926</v>
          </cell>
          <cell r="G158" t="str">
            <v>AZB87</v>
          </cell>
          <cell r="H158">
            <v>38800.380694444444</v>
          </cell>
          <cell r="I158" t="str">
            <v>AZB60</v>
          </cell>
          <cell r="J158">
            <v>38796.369652777779</v>
          </cell>
          <cell r="K158" t="str">
            <v>AZB78</v>
          </cell>
          <cell r="L158">
            <v>38786.342916666668</v>
          </cell>
          <cell r="M158" t="str">
            <v>AZB66</v>
          </cell>
          <cell r="N158">
            <v>38796.373518518521</v>
          </cell>
          <cell r="O158" t="str">
            <v>AZB88</v>
          </cell>
          <cell r="P158">
            <v>38800.444282407407</v>
          </cell>
          <cell r="Q158" t="str">
            <v>AZC32</v>
          </cell>
          <cell r="R158">
            <v>38814.348576388889</v>
          </cell>
          <cell r="AA158" t="str">
            <v>AZB50</v>
          </cell>
          <cell r="AB158">
            <v>38848.72928240741</v>
          </cell>
        </row>
        <row r="159">
          <cell r="A159" t="str">
            <v>AZB78</v>
          </cell>
          <cell r="B159" t="str">
            <v>00002412</v>
          </cell>
          <cell r="C159" t="str">
            <v>AZB85</v>
          </cell>
          <cell r="D159">
            <v>38790.591273148151</v>
          </cell>
          <cell r="E159" t="str">
            <v>AZB54</v>
          </cell>
          <cell r="F159">
            <v>38793.490567129629</v>
          </cell>
          <cell r="G159" t="str">
            <v>AZC46</v>
          </cell>
          <cell r="H159">
            <v>38800.393611111111</v>
          </cell>
          <cell r="I159" t="str">
            <v>AZB59</v>
          </cell>
          <cell r="J159">
            <v>38796.449097222219</v>
          </cell>
          <cell r="K159" t="str">
            <v>AZB78</v>
          </cell>
          <cell r="L159">
            <v>38786.343043981484</v>
          </cell>
          <cell r="M159" t="str">
            <v>AZB56</v>
          </cell>
          <cell r="N159">
            <v>38796.38590277778</v>
          </cell>
          <cell r="O159" t="str">
            <v>AZB87</v>
          </cell>
          <cell r="P159">
            <v>38800.457141203704</v>
          </cell>
          <cell r="Q159" t="str">
            <v>AZC59</v>
          </cell>
          <cell r="R159">
            <v>38814.482222222221</v>
          </cell>
          <cell r="AA159" t="str">
            <v>AZB48</v>
          </cell>
          <cell r="AB159">
            <v>38848.731412037036</v>
          </cell>
        </row>
        <row r="160">
          <cell r="A160" t="str">
            <v>AZB79</v>
          </cell>
          <cell r="B160" t="str">
            <v>00002413</v>
          </cell>
          <cell r="C160" t="str">
            <v>AZB66</v>
          </cell>
          <cell r="D160">
            <v>38790.591620370367</v>
          </cell>
          <cell r="E160" t="str">
            <v>AZB56</v>
          </cell>
          <cell r="F160">
            <v>38793.493356481478</v>
          </cell>
          <cell r="G160" t="str">
            <v>AZC27</v>
          </cell>
          <cell r="H160">
            <v>38805.481238425928</v>
          </cell>
          <cell r="I160" t="str">
            <v>AZB68</v>
          </cell>
          <cell r="J160">
            <v>38796.601168981484</v>
          </cell>
          <cell r="K160" t="str">
            <v>AZB32</v>
          </cell>
          <cell r="L160">
            <v>38789.545474537037</v>
          </cell>
          <cell r="M160" t="str">
            <v>AZB54</v>
          </cell>
          <cell r="N160">
            <v>38796.400925925926</v>
          </cell>
          <cell r="O160" t="str">
            <v>AZC46</v>
          </cell>
          <cell r="P160">
            <v>38800.479444444441</v>
          </cell>
          <cell r="Q160" t="str">
            <v>AZC72</v>
          </cell>
          <cell r="R160">
            <v>38814.517881944441</v>
          </cell>
          <cell r="AA160" t="str">
            <v>AZA64</v>
          </cell>
          <cell r="AB160">
            <v>38848.738206018519</v>
          </cell>
        </row>
        <row r="161">
          <cell r="A161" t="str">
            <v>AZB80</v>
          </cell>
          <cell r="B161" t="str">
            <v>00002532</v>
          </cell>
          <cell r="C161" t="str">
            <v>AZB67</v>
          </cell>
          <cell r="D161">
            <v>38790.591979166667</v>
          </cell>
          <cell r="E161" t="str">
            <v>AZB60</v>
          </cell>
          <cell r="F161">
            <v>38793.504178240742</v>
          </cell>
          <cell r="G161" t="str">
            <v>AZC10</v>
          </cell>
          <cell r="H161">
            <v>38805.54791666667</v>
          </cell>
          <cell r="I161" t="str">
            <v>AZB85</v>
          </cell>
          <cell r="J161">
            <v>38798.385601851849</v>
          </cell>
          <cell r="K161" t="str">
            <v>AZB32</v>
          </cell>
          <cell r="L161">
            <v>38789.548437500001</v>
          </cell>
          <cell r="M161" t="str">
            <v>AZB60</v>
          </cell>
          <cell r="N161">
            <v>38796.457766203705</v>
          </cell>
          <cell r="O161" t="str">
            <v>AZC27</v>
          </cell>
          <cell r="P161">
            <v>38806.296550925923</v>
          </cell>
          <cell r="Q161" t="str">
            <v>AZC50</v>
          </cell>
          <cell r="R161">
            <v>38814.536099537036</v>
          </cell>
          <cell r="AA161" t="str">
            <v>AZB53</v>
          </cell>
          <cell r="AB161">
            <v>38848.739178240743</v>
          </cell>
        </row>
        <row r="162">
          <cell r="A162" t="str">
            <v>AZB81</v>
          </cell>
          <cell r="B162" t="str">
            <v>00002431</v>
          </cell>
          <cell r="C162" t="str">
            <v>AZB54</v>
          </cell>
          <cell r="D162">
            <v>38791.518495370372</v>
          </cell>
          <cell r="E162" t="str">
            <v>AZB59</v>
          </cell>
          <cell r="F162">
            <v>38796.403680555559</v>
          </cell>
          <cell r="G162" t="str">
            <v>AZB97</v>
          </cell>
          <cell r="H162">
            <v>38805.580752314818</v>
          </cell>
          <cell r="I162" t="str">
            <v>AZC19</v>
          </cell>
          <cell r="J162">
            <v>38800.36451388889</v>
          </cell>
          <cell r="K162" t="str">
            <v>AZB34</v>
          </cell>
          <cell r="L162">
            <v>38789.551851851851</v>
          </cell>
          <cell r="M162" t="str">
            <v>AZB59</v>
          </cell>
          <cell r="N162">
            <v>38796.477592592593</v>
          </cell>
          <cell r="O162" t="str">
            <v>AZC10</v>
          </cell>
          <cell r="P162">
            <v>38806.316678240742</v>
          </cell>
          <cell r="AA162" t="str">
            <v>AZB84</v>
          </cell>
          <cell r="AB162">
            <v>38848.742615740739</v>
          </cell>
        </row>
        <row r="163">
          <cell r="A163" t="str">
            <v>AZB82</v>
          </cell>
          <cell r="B163" t="str">
            <v>00002457</v>
          </cell>
          <cell r="C163" t="str">
            <v>AZB56</v>
          </cell>
          <cell r="D163">
            <v>38791.519293981481</v>
          </cell>
          <cell r="E163" t="str">
            <v>AZB68</v>
          </cell>
          <cell r="F163">
            <v>38796.520243055558</v>
          </cell>
          <cell r="G163" t="str">
            <v>AZC14</v>
          </cell>
          <cell r="H163">
            <v>38805.608888888892</v>
          </cell>
          <cell r="I163" t="str">
            <v>AZB88</v>
          </cell>
          <cell r="J163">
            <v>38800.370312500003</v>
          </cell>
          <cell r="K163" t="str">
            <v>AZB34</v>
          </cell>
          <cell r="L163">
            <v>38789.552268518521</v>
          </cell>
          <cell r="M163" t="str">
            <v>AZB68</v>
          </cell>
          <cell r="N163">
            <v>38796.671030092592</v>
          </cell>
          <cell r="O163" t="str">
            <v>AZB97</v>
          </cell>
          <cell r="P163">
            <v>38806.338576388887</v>
          </cell>
          <cell r="AA163" t="str">
            <v>AZB81</v>
          </cell>
          <cell r="AB163">
            <v>38848.743807870371</v>
          </cell>
        </row>
        <row r="164">
          <cell r="A164" t="str">
            <v>AZB83</v>
          </cell>
          <cell r="B164" t="str">
            <v>00002458</v>
          </cell>
          <cell r="C164" t="str">
            <v>AZB60</v>
          </cell>
          <cell r="D164">
            <v>38791.559421296297</v>
          </cell>
          <cell r="E164" t="str">
            <v>AZB87</v>
          </cell>
          <cell r="F164">
            <v>38800.305613425924</v>
          </cell>
          <cell r="G164" t="str">
            <v>AZB93</v>
          </cell>
          <cell r="H164">
            <v>38805.614756944444</v>
          </cell>
          <cell r="I164" t="str">
            <v>AZB87</v>
          </cell>
          <cell r="J164">
            <v>38800.386504629627</v>
          </cell>
          <cell r="K164" t="str">
            <v>AZB33</v>
          </cell>
          <cell r="L164">
            <v>38789.560624999998</v>
          </cell>
          <cell r="M164" t="str">
            <v>AZB85</v>
          </cell>
          <cell r="N164">
            <v>38798.419050925928</v>
          </cell>
          <cell r="O164" t="str">
            <v>AZB93</v>
          </cell>
          <cell r="P164">
            <v>38806.377233796295</v>
          </cell>
          <cell r="AA164" t="str">
            <v>AZB26</v>
          </cell>
          <cell r="AB164">
            <v>38848.746701388889</v>
          </cell>
        </row>
        <row r="165">
          <cell r="A165" t="str">
            <v>AZB84</v>
          </cell>
          <cell r="B165" t="str">
            <v>00002474</v>
          </cell>
          <cell r="C165" t="str">
            <v>AZB59</v>
          </cell>
          <cell r="D165">
            <v>38791.672511574077</v>
          </cell>
          <cell r="E165" t="str">
            <v>AZB88</v>
          </cell>
          <cell r="F165">
            <v>38800.313622685186</v>
          </cell>
          <cell r="G165" t="str">
            <v>AZB94</v>
          </cell>
          <cell r="H165">
            <v>38806.298946759256</v>
          </cell>
          <cell r="I165" t="str">
            <v>AZC46</v>
          </cell>
          <cell r="J165">
            <v>38800.398993055554</v>
          </cell>
          <cell r="K165" t="str">
            <v>AZB33</v>
          </cell>
          <cell r="L165">
            <v>38789.560810185183</v>
          </cell>
          <cell r="M165" t="str">
            <v>AZB62</v>
          </cell>
          <cell r="N165">
            <v>38799.545381944445</v>
          </cell>
          <cell r="O165" t="str">
            <v>AZC14</v>
          </cell>
          <cell r="P165">
            <v>38806.476030092592</v>
          </cell>
          <cell r="AA165" t="str">
            <v>AZB14</v>
          </cell>
          <cell r="AB165">
            <v>38848.747685185182</v>
          </cell>
        </row>
        <row r="166">
          <cell r="A166" t="str">
            <v>AZB85</v>
          </cell>
          <cell r="B166" t="str">
            <v>00002475</v>
          </cell>
          <cell r="C166" t="str">
            <v>AZB68</v>
          </cell>
          <cell r="D166">
            <v>38792.488912037035</v>
          </cell>
          <cell r="E166" t="str">
            <v>AZC19</v>
          </cell>
          <cell r="F166">
            <v>38800.320208333331</v>
          </cell>
          <cell r="G166" t="str">
            <v>AZC01</v>
          </cell>
          <cell r="H166">
            <v>38806.30572916667</v>
          </cell>
          <cell r="I166" t="str">
            <v>AZC27</v>
          </cell>
          <cell r="J166">
            <v>38805.487349537034</v>
          </cell>
          <cell r="K166" t="str">
            <v>AZB38</v>
          </cell>
          <cell r="L166">
            <v>38789.614131944443</v>
          </cell>
          <cell r="M166" t="str">
            <v>AZC19</v>
          </cell>
          <cell r="N166">
            <v>38800.394375000003</v>
          </cell>
          <cell r="O166" t="str">
            <v>AZB96</v>
          </cell>
          <cell r="P166">
            <v>38806.523472222223</v>
          </cell>
          <cell r="AA166" t="str">
            <v>AZD05</v>
          </cell>
          <cell r="AB166">
            <v>38849.489270833335</v>
          </cell>
        </row>
        <row r="167">
          <cell r="A167" t="str">
            <v>AZB86</v>
          </cell>
          <cell r="B167" t="str">
            <v>00002553</v>
          </cell>
          <cell r="C167" t="str">
            <v>AZB87</v>
          </cell>
          <cell r="D167">
            <v>38798.662418981483</v>
          </cell>
          <cell r="E167" t="str">
            <v>AZC46</v>
          </cell>
          <cell r="F167">
            <v>38800.32408564815</v>
          </cell>
          <cell r="G167" t="str">
            <v>AZB96</v>
          </cell>
          <cell r="H167">
            <v>38806.322604166664</v>
          </cell>
          <cell r="I167" t="str">
            <v>AZC10</v>
          </cell>
          <cell r="J167">
            <v>38805.552071759259</v>
          </cell>
          <cell r="K167" t="str">
            <v>AZB38</v>
          </cell>
          <cell r="L167">
            <v>38789.614224537036</v>
          </cell>
          <cell r="M167" t="str">
            <v>AZB88</v>
          </cell>
          <cell r="N167">
            <v>38800.408449074072</v>
          </cell>
          <cell r="O167" t="str">
            <v>AZB98</v>
          </cell>
          <cell r="P167">
            <v>38806.524155092593</v>
          </cell>
          <cell r="AA167" t="str">
            <v>AZB85</v>
          </cell>
        </row>
        <row r="168">
          <cell r="A168" t="str">
            <v>AZB87</v>
          </cell>
          <cell r="B168" t="str">
            <v>00002624</v>
          </cell>
          <cell r="C168" t="str">
            <v>AZB88</v>
          </cell>
          <cell r="D168">
            <v>38798.709745370368</v>
          </cell>
          <cell r="E168" t="str">
            <v>AZC27</v>
          </cell>
          <cell r="F168">
            <v>38805.395011574074</v>
          </cell>
          <cell r="G168" t="str">
            <v>AZB98</v>
          </cell>
          <cell r="H168">
            <v>38806.34951388889</v>
          </cell>
          <cell r="I168" t="str">
            <v>AZB97</v>
          </cell>
          <cell r="J168">
            <v>38805.627962962964</v>
          </cell>
          <cell r="K168" t="str">
            <v>AZB40</v>
          </cell>
          <cell r="L168">
            <v>38789.659756944442</v>
          </cell>
          <cell r="M168" t="str">
            <v>AZB87</v>
          </cell>
          <cell r="N168">
            <v>38800.435150462959</v>
          </cell>
          <cell r="O168" t="str">
            <v>AZC01</v>
          </cell>
          <cell r="P168">
            <v>38806.601990740739</v>
          </cell>
          <cell r="AA168" t="str">
            <v>AZD13</v>
          </cell>
        </row>
        <row r="169">
          <cell r="A169" t="str">
            <v>AZB88</v>
          </cell>
          <cell r="B169" t="str">
            <v>00002625</v>
          </cell>
          <cell r="C169" t="str">
            <v>AZC19</v>
          </cell>
          <cell r="D169">
            <v>38798.710995370369</v>
          </cell>
          <cell r="E169" t="str">
            <v>AZB94</v>
          </cell>
          <cell r="F169">
            <v>38805.492569444446</v>
          </cell>
          <cell r="G169" t="str">
            <v>AZC05</v>
          </cell>
          <cell r="H169">
            <v>38806.352407407408</v>
          </cell>
          <cell r="I169" t="str">
            <v>AZB93</v>
          </cell>
          <cell r="J169">
            <v>38805.656817129631</v>
          </cell>
          <cell r="K169" t="str">
            <v>AZB40</v>
          </cell>
          <cell r="L169">
            <v>38789.659872685188</v>
          </cell>
          <cell r="M169" t="str">
            <v>AZC46</v>
          </cell>
          <cell r="N169">
            <v>38800.448136574072</v>
          </cell>
          <cell r="O169" t="str">
            <v>AZB90</v>
          </cell>
          <cell r="P169">
            <v>38806.629131944443</v>
          </cell>
          <cell r="AA169" t="str">
            <v>AZB42</v>
          </cell>
        </row>
        <row r="170">
          <cell r="A170" t="str">
            <v>AZB89</v>
          </cell>
          <cell r="B170" t="str">
            <v>00002601</v>
          </cell>
          <cell r="C170" t="str">
            <v>AZC46</v>
          </cell>
          <cell r="D170">
            <v>38798.711724537039</v>
          </cell>
          <cell r="E170" t="str">
            <v>AZC10</v>
          </cell>
          <cell r="F170">
            <v>38805.522129629629</v>
          </cell>
          <cell r="G170" t="str">
            <v>AZC07</v>
          </cell>
          <cell r="H170">
            <v>38806.374513888892</v>
          </cell>
          <cell r="I170" t="str">
            <v>AZC14</v>
          </cell>
          <cell r="J170">
            <v>38805.66034722222</v>
          </cell>
          <cell r="K170" t="str">
            <v>AZB40</v>
          </cell>
          <cell r="L170">
            <v>38789.66574074074</v>
          </cell>
          <cell r="M170" t="str">
            <v>AZC27</v>
          </cell>
          <cell r="N170">
            <v>38805.578368055554</v>
          </cell>
          <cell r="O170" t="str">
            <v>AZB94</v>
          </cell>
          <cell r="P170">
            <v>38806.629594907405</v>
          </cell>
          <cell r="AA170" t="str">
            <v>AZD36</v>
          </cell>
        </row>
        <row r="171">
          <cell r="A171" t="str">
            <v>AZB90</v>
          </cell>
          <cell r="B171" t="str">
            <v>00002578</v>
          </cell>
          <cell r="C171" t="str">
            <v>AZB97</v>
          </cell>
          <cell r="D171">
            <v>38800.504942129628</v>
          </cell>
          <cell r="E171" t="str">
            <v>AZB97</v>
          </cell>
          <cell r="F171">
            <v>38805.528703703705</v>
          </cell>
          <cell r="G171" t="str">
            <v>AZC11</v>
          </cell>
          <cell r="H171">
            <v>38806.387777777774</v>
          </cell>
          <cell r="I171" t="str">
            <v>AZB94</v>
          </cell>
          <cell r="J171">
            <v>38806.308344907404</v>
          </cell>
          <cell r="K171" t="str">
            <v>AZB40</v>
          </cell>
          <cell r="L171">
            <v>38789.665821759256</v>
          </cell>
          <cell r="M171" t="str">
            <v>AZC10</v>
          </cell>
          <cell r="N171">
            <v>38806.290833333333</v>
          </cell>
          <cell r="O171" t="str">
            <v>AZB89</v>
          </cell>
          <cell r="P171">
            <v>38806.635613425926</v>
          </cell>
          <cell r="AA171" t="str">
            <v>AZD55</v>
          </cell>
        </row>
        <row r="172">
          <cell r="A172" t="str">
            <v>AZB91</v>
          </cell>
          <cell r="B172" t="str">
            <v>00002579</v>
          </cell>
          <cell r="C172" t="str">
            <v>AZC14</v>
          </cell>
          <cell r="D172">
            <v>38800.50571759259</v>
          </cell>
          <cell r="E172" t="str">
            <v>AZC14</v>
          </cell>
          <cell r="F172">
            <v>38805.529224537036</v>
          </cell>
          <cell r="G172" t="str">
            <v>AZC06</v>
          </cell>
          <cell r="H172">
            <v>38806.39167824074</v>
          </cell>
          <cell r="I172" t="str">
            <v>AZC01</v>
          </cell>
          <cell r="J172">
            <v>38806.316388888888</v>
          </cell>
          <cell r="K172" t="str">
            <v>AZB41</v>
          </cell>
          <cell r="L172">
            <v>38789.677754629629</v>
          </cell>
          <cell r="M172" t="str">
            <v>AZB97</v>
          </cell>
          <cell r="N172">
            <v>38806.304386574076</v>
          </cell>
          <cell r="O172" t="str">
            <v>AZC07</v>
          </cell>
          <cell r="P172">
            <v>38806.669039351851</v>
          </cell>
          <cell r="AA172" t="str">
            <v>AZD58</v>
          </cell>
        </row>
        <row r="173">
          <cell r="A173" t="str">
            <v>AZB92</v>
          </cell>
          <cell r="B173" t="str">
            <v>00002580</v>
          </cell>
          <cell r="C173" t="str">
            <v>AZB93</v>
          </cell>
          <cell r="D173">
            <v>38800.565011574072</v>
          </cell>
          <cell r="E173" t="str">
            <v>AZB93</v>
          </cell>
          <cell r="F173">
            <v>38805.529282407406</v>
          </cell>
          <cell r="G173" t="str">
            <v>AZB90</v>
          </cell>
          <cell r="H173">
            <v>38806.401597222219</v>
          </cell>
          <cell r="I173" t="str">
            <v>AZB96</v>
          </cell>
          <cell r="J173">
            <v>38806.329733796294</v>
          </cell>
          <cell r="K173" t="str">
            <v>AZB41</v>
          </cell>
          <cell r="L173">
            <v>38789.677858796298</v>
          </cell>
          <cell r="M173" t="str">
            <v>AZB93</v>
          </cell>
          <cell r="N173">
            <v>38806.340115740742</v>
          </cell>
          <cell r="O173" t="str">
            <v>AZC05</v>
          </cell>
          <cell r="P173">
            <v>38806.675138888888</v>
          </cell>
          <cell r="AA173" t="str">
            <v>AZB32</v>
          </cell>
        </row>
        <row r="174">
          <cell r="A174" t="str">
            <v>AZB93</v>
          </cell>
          <cell r="B174" t="str">
            <v>00002581</v>
          </cell>
          <cell r="C174" t="str">
            <v>AZB94</v>
          </cell>
          <cell r="D174">
            <v>38800.565752314818</v>
          </cell>
          <cell r="E174" t="str">
            <v>AZB94</v>
          </cell>
          <cell r="F174">
            <v>38805.529351851852</v>
          </cell>
          <cell r="G174" t="str">
            <v>AZB89</v>
          </cell>
          <cell r="H174">
            <v>38806.421712962961</v>
          </cell>
          <cell r="I174" t="str">
            <v>AZB98</v>
          </cell>
          <cell r="J174">
            <v>38806.355439814812</v>
          </cell>
          <cell r="K174" t="str">
            <v>AZB37</v>
          </cell>
          <cell r="L174">
            <v>38790.358622685184</v>
          </cell>
          <cell r="M174" t="str">
            <v>AZC14</v>
          </cell>
          <cell r="N174">
            <v>38806.369201388887</v>
          </cell>
          <cell r="O174" t="str">
            <v>AZC13</v>
          </cell>
          <cell r="P174">
            <v>38807.33252314815</v>
          </cell>
          <cell r="AA174" t="str">
            <v>AZB79</v>
          </cell>
        </row>
        <row r="175">
          <cell r="A175" t="str">
            <v>AZB94</v>
          </cell>
          <cell r="B175" t="str">
            <v>00002582</v>
          </cell>
          <cell r="C175" t="str">
            <v>AZB96</v>
          </cell>
          <cell r="D175">
            <v>38800.566493055558</v>
          </cell>
          <cell r="E175" t="str">
            <v>AZB96</v>
          </cell>
          <cell r="F175">
            <v>38805.529398148145</v>
          </cell>
          <cell r="G175" t="str">
            <v>AZC13</v>
          </cell>
          <cell r="H175">
            <v>38806.554340277777</v>
          </cell>
          <cell r="I175" t="str">
            <v>AZC05</v>
          </cell>
          <cell r="J175">
            <v>38806.358391203707</v>
          </cell>
          <cell r="K175" t="str">
            <v>AZB36</v>
          </cell>
          <cell r="L175">
            <v>38790.456689814811</v>
          </cell>
          <cell r="M175" t="str">
            <v>AZB96</v>
          </cell>
          <cell r="N175">
            <v>38806.471064814818</v>
          </cell>
          <cell r="O175" t="str">
            <v>AZC06</v>
          </cell>
          <cell r="P175">
            <v>38807.332638888889</v>
          </cell>
          <cell r="AA175" t="str">
            <v>AZA20</v>
          </cell>
        </row>
        <row r="176">
          <cell r="A176" t="str">
            <v>AZB95</v>
          </cell>
          <cell r="B176" t="str">
            <v>00002640</v>
          </cell>
          <cell r="C176" t="str">
            <v>AZC01</v>
          </cell>
          <cell r="D176">
            <v>38800.566851851851</v>
          </cell>
          <cell r="E176" t="str">
            <v>AZC01</v>
          </cell>
          <cell r="F176">
            <v>38805.529467592591</v>
          </cell>
          <cell r="G176" t="str">
            <v>AZC08</v>
          </cell>
          <cell r="H176">
            <v>38806.56521990741</v>
          </cell>
          <cell r="I176" t="str">
            <v>AZC07</v>
          </cell>
          <cell r="J176">
            <v>38806.379976851851</v>
          </cell>
          <cell r="K176" t="str">
            <v>AZB31</v>
          </cell>
          <cell r="L176">
            <v>38790.535416666666</v>
          </cell>
          <cell r="M176" t="str">
            <v>AZB98</v>
          </cell>
          <cell r="N176">
            <v>38806.486747685187</v>
          </cell>
          <cell r="O176" t="str">
            <v>AZC11</v>
          </cell>
          <cell r="P176">
            <v>38807.333321759259</v>
          </cell>
          <cell r="AA176" t="str">
            <v>AZA37</v>
          </cell>
        </row>
        <row r="177">
          <cell r="A177" t="str">
            <v>AZB96</v>
          </cell>
          <cell r="B177" t="str">
            <v>00002583</v>
          </cell>
          <cell r="C177" t="str">
            <v>AZC27</v>
          </cell>
          <cell r="D177">
            <v>38800.567210648151</v>
          </cell>
          <cell r="E177" t="str">
            <v>AZB98</v>
          </cell>
          <cell r="F177">
            <v>38805.560266203705</v>
          </cell>
          <cell r="G177" t="str">
            <v>AZB92</v>
          </cell>
          <cell r="H177">
            <v>38807.278171296297</v>
          </cell>
          <cell r="I177" t="str">
            <v>AZC11</v>
          </cell>
          <cell r="J177">
            <v>38806.393275462964</v>
          </cell>
          <cell r="K177" t="str">
            <v>AZB31</v>
          </cell>
          <cell r="L177">
            <v>38790.535543981481</v>
          </cell>
          <cell r="M177" t="str">
            <v>AZC01</v>
          </cell>
          <cell r="N177">
            <v>38806.521516203706</v>
          </cell>
          <cell r="O177" t="str">
            <v>AZC08</v>
          </cell>
          <cell r="P177">
            <v>38807.399976851855</v>
          </cell>
          <cell r="AA177" t="str">
            <v>AZB54</v>
          </cell>
        </row>
        <row r="178">
          <cell r="A178" t="str">
            <v>AZB97</v>
          </cell>
          <cell r="B178" t="str">
            <v>00002584</v>
          </cell>
          <cell r="C178" t="str">
            <v>AZC10</v>
          </cell>
          <cell r="D178">
            <v>38801.653506944444</v>
          </cell>
          <cell r="E178" t="str">
            <v>AZC05</v>
          </cell>
          <cell r="F178">
            <v>38806.263333333336</v>
          </cell>
          <cell r="G178" t="str">
            <v>AZC12</v>
          </cell>
          <cell r="H178">
            <v>38807.342002314814</v>
          </cell>
          <cell r="I178" t="str">
            <v>AZC06</v>
          </cell>
          <cell r="J178">
            <v>38806.397326388891</v>
          </cell>
          <cell r="K178" t="str">
            <v>AZB43</v>
          </cell>
          <cell r="L178">
            <v>38790.55195601852</v>
          </cell>
          <cell r="M178" t="str">
            <v>AZB94</v>
          </cell>
          <cell r="N178">
            <v>38806.542974537035</v>
          </cell>
          <cell r="O178" t="str">
            <v>AZB92</v>
          </cell>
          <cell r="P178">
            <v>38807.455717592595</v>
          </cell>
          <cell r="AA178" t="str">
            <v>AZC95</v>
          </cell>
        </row>
        <row r="179">
          <cell r="A179" t="str">
            <v>AZB98</v>
          </cell>
          <cell r="B179" t="str">
            <v>00002585</v>
          </cell>
          <cell r="C179" t="str">
            <v>AZB90</v>
          </cell>
          <cell r="D179">
            <v>38803.54965277778</v>
          </cell>
          <cell r="E179" t="str">
            <v>AZC06</v>
          </cell>
          <cell r="F179">
            <v>38806.264999999999</v>
          </cell>
          <cell r="G179" t="str">
            <v>AZB91</v>
          </cell>
          <cell r="H179">
            <v>38807.381423611114</v>
          </cell>
          <cell r="I179" t="str">
            <v>AZB90</v>
          </cell>
          <cell r="J179">
            <v>38806.407407407409</v>
          </cell>
          <cell r="K179" t="str">
            <v>AZB44</v>
          </cell>
          <cell r="L179">
            <v>38790.565520833334</v>
          </cell>
          <cell r="M179" t="str">
            <v>AZB90</v>
          </cell>
          <cell r="N179">
            <v>38806.543321759258</v>
          </cell>
          <cell r="O179" t="str">
            <v>AZC12</v>
          </cell>
          <cell r="P179">
            <v>38807.629467592589</v>
          </cell>
          <cell r="AA179" t="str">
            <v>AZB82</v>
          </cell>
        </row>
        <row r="180">
          <cell r="A180" t="str">
            <v>AZB99</v>
          </cell>
          <cell r="B180" t="str">
            <v>00002586</v>
          </cell>
          <cell r="C180" t="str">
            <v>AZB98</v>
          </cell>
          <cell r="D180">
            <v>38803.551608796297</v>
          </cell>
          <cell r="E180" t="str">
            <v>AZC07</v>
          </cell>
          <cell r="F180">
            <v>38806.273680555554</v>
          </cell>
          <cell r="G180" t="str">
            <v>AZC02</v>
          </cell>
          <cell r="H180">
            <v>38807.499872685185</v>
          </cell>
          <cell r="I180" t="str">
            <v>AZB89</v>
          </cell>
          <cell r="J180">
            <v>38806.441840277781</v>
          </cell>
          <cell r="K180" t="str">
            <v>AZB42</v>
          </cell>
          <cell r="L180">
            <v>38790.586493055554</v>
          </cell>
          <cell r="M180" t="str">
            <v>AZB89</v>
          </cell>
          <cell r="N180">
            <v>38806.555127314816</v>
          </cell>
          <cell r="O180" t="str">
            <v>AZC02</v>
          </cell>
          <cell r="P180">
            <v>38807.66269675926</v>
          </cell>
          <cell r="AA180" t="str">
            <v>AZB49</v>
          </cell>
        </row>
        <row r="181">
          <cell r="A181" t="str">
            <v>AZC00</v>
          </cell>
          <cell r="B181" t="str">
            <v>00002642</v>
          </cell>
          <cell r="C181" t="str">
            <v>AZC05</v>
          </cell>
          <cell r="D181">
            <v>38803.55196759259</v>
          </cell>
          <cell r="E181" t="str">
            <v>AZC11</v>
          </cell>
          <cell r="F181">
            <v>38806.281458333331</v>
          </cell>
          <cell r="G181" t="str">
            <v>AZC64</v>
          </cell>
          <cell r="H181">
            <v>38807.55982638889</v>
          </cell>
          <cell r="I181" t="str">
            <v>AZC13</v>
          </cell>
          <cell r="J181">
            <v>38806.566817129627</v>
          </cell>
          <cell r="K181" t="str">
            <v>AZB42</v>
          </cell>
          <cell r="L181">
            <v>38790.58662037037</v>
          </cell>
          <cell r="M181" t="str">
            <v>AZC05</v>
          </cell>
          <cell r="N181">
            <v>38806.579988425925</v>
          </cell>
          <cell r="O181" t="str">
            <v>AZB91</v>
          </cell>
          <cell r="P181">
            <v>38807.672986111109</v>
          </cell>
          <cell r="AA181" t="str">
            <v>AZB51</v>
          </cell>
        </row>
        <row r="182">
          <cell r="A182" t="str">
            <v>AZC01</v>
          </cell>
          <cell r="B182" t="str">
            <v>00002587</v>
          </cell>
          <cell r="C182" t="str">
            <v>AZC06</v>
          </cell>
          <cell r="D182">
            <v>38803.552442129629</v>
          </cell>
          <cell r="E182" t="str">
            <v>AZB90</v>
          </cell>
          <cell r="F182">
            <v>38806.353032407409</v>
          </cell>
          <cell r="G182" t="str">
            <v>AZC09</v>
          </cell>
          <cell r="H182">
            <v>38807.565104166664</v>
          </cell>
          <cell r="I182" t="str">
            <v>AZC08</v>
          </cell>
          <cell r="J182">
            <v>38806.573831018519</v>
          </cell>
          <cell r="K182" t="str">
            <v>AZB81</v>
          </cell>
          <cell r="L182">
            <v>38790.615300925929</v>
          </cell>
          <cell r="M182" t="str">
            <v>AZC07</v>
          </cell>
          <cell r="N182">
            <v>38806.581203703703</v>
          </cell>
          <cell r="O182" t="str">
            <v>AZB99</v>
          </cell>
          <cell r="P182">
            <v>38810.412534722222</v>
          </cell>
          <cell r="AA182" t="str">
            <v>AZC56</v>
          </cell>
        </row>
        <row r="183">
          <cell r="A183" t="str">
            <v>AZC02</v>
          </cell>
          <cell r="B183" t="str">
            <v>00002588</v>
          </cell>
          <cell r="C183" t="str">
            <v>AZC07</v>
          </cell>
          <cell r="D183">
            <v>38803.552800925929</v>
          </cell>
          <cell r="E183" t="str">
            <v>AZB89</v>
          </cell>
          <cell r="F183">
            <v>38806.383993055555</v>
          </cell>
          <cell r="G183" t="str">
            <v>AZB99</v>
          </cell>
          <cell r="H183">
            <v>38807.594351851854</v>
          </cell>
          <cell r="I183" t="str">
            <v>AZB92</v>
          </cell>
          <cell r="J183">
            <v>38807.283402777779</v>
          </cell>
          <cell r="K183" t="str">
            <v>AZB81</v>
          </cell>
          <cell r="L183">
            <v>38790.615555555552</v>
          </cell>
          <cell r="M183" t="str">
            <v>AZC11</v>
          </cell>
          <cell r="N183">
            <v>38806.605162037034</v>
          </cell>
          <cell r="O183" t="str">
            <v>AZC03</v>
          </cell>
          <cell r="P183">
            <v>38810.508414351854</v>
          </cell>
          <cell r="AA183" t="str">
            <v>AZD17</v>
          </cell>
        </row>
        <row r="184">
          <cell r="A184" t="str">
            <v>AZC03</v>
          </cell>
          <cell r="B184" t="str">
            <v>00002589</v>
          </cell>
          <cell r="C184" t="str">
            <v>AZC11</v>
          </cell>
          <cell r="D184">
            <v>38803.553252314814</v>
          </cell>
          <cell r="E184" t="str">
            <v>AZC08</v>
          </cell>
          <cell r="F184">
            <v>38806.514641203707</v>
          </cell>
          <cell r="G184" t="str">
            <v>AZC03</v>
          </cell>
          <cell r="H184">
            <v>38807.602962962963</v>
          </cell>
          <cell r="I184" t="str">
            <v>AZC12</v>
          </cell>
          <cell r="J184">
            <v>38807.348391203705</v>
          </cell>
          <cell r="K184" t="str">
            <v>AZB39</v>
          </cell>
          <cell r="L184">
            <v>38790.655069444445</v>
          </cell>
          <cell r="M184" t="str">
            <v>AZC06</v>
          </cell>
          <cell r="N184">
            <v>38806.607233796298</v>
          </cell>
          <cell r="O184" t="str">
            <v>AZC64</v>
          </cell>
          <cell r="P184">
            <v>38810.533449074072</v>
          </cell>
          <cell r="AA184" t="str">
            <v>AZC81</v>
          </cell>
        </row>
        <row r="185">
          <cell r="A185" t="str">
            <v>AZC04</v>
          </cell>
          <cell r="B185" t="str">
            <v>00002685</v>
          </cell>
          <cell r="C185" t="str">
            <v>AZC12</v>
          </cell>
          <cell r="D185">
            <v>38803.554074074076</v>
          </cell>
          <cell r="E185" t="str">
            <v>AZC13</v>
          </cell>
          <cell r="F185">
            <v>38806.529236111113</v>
          </cell>
          <cell r="G185" t="str">
            <v>AZC18</v>
          </cell>
          <cell r="H185">
            <v>38811.513020833336</v>
          </cell>
          <cell r="I185" t="str">
            <v>AZB91</v>
          </cell>
          <cell r="J185">
            <v>38807.388414351852</v>
          </cell>
          <cell r="K185" t="str">
            <v>AZB39</v>
          </cell>
          <cell r="L185">
            <v>38790.655138888891</v>
          </cell>
          <cell r="M185" t="str">
            <v>AZC13</v>
          </cell>
          <cell r="N185">
            <v>38806.677974537037</v>
          </cell>
          <cell r="O185" t="str">
            <v>AZC09</v>
          </cell>
          <cell r="P185">
            <v>38810.574305555558</v>
          </cell>
          <cell r="AA185" t="str">
            <v>AZB89</v>
          </cell>
        </row>
        <row r="186">
          <cell r="A186" t="str">
            <v>AZC05</v>
          </cell>
          <cell r="B186" t="str">
            <v>00002590</v>
          </cell>
          <cell r="C186" t="str">
            <v>AZB89</v>
          </cell>
          <cell r="D186">
            <v>38803.554432870369</v>
          </cell>
          <cell r="E186" t="str">
            <v>AZB92</v>
          </cell>
          <cell r="F186">
            <v>38806.533796296295</v>
          </cell>
          <cell r="G186" t="str">
            <v>AZC21</v>
          </cell>
          <cell r="H186">
            <v>38811.513726851852</v>
          </cell>
          <cell r="I186" t="str">
            <v>AZC02</v>
          </cell>
          <cell r="J186">
            <v>38807.507106481484</v>
          </cell>
          <cell r="K186" t="str">
            <v>AZB45</v>
          </cell>
          <cell r="L186">
            <v>38790.673356481479</v>
          </cell>
          <cell r="M186" t="str">
            <v>AZC08</v>
          </cell>
          <cell r="N186">
            <v>38807.309942129628</v>
          </cell>
          <cell r="O186" t="str">
            <v>AZC18</v>
          </cell>
          <cell r="P186">
            <v>38811.653194444443</v>
          </cell>
          <cell r="AA186" t="str">
            <v>AZC05</v>
          </cell>
        </row>
        <row r="187">
          <cell r="A187" t="str">
            <v>AZC06</v>
          </cell>
          <cell r="B187" t="str">
            <v>00002593</v>
          </cell>
          <cell r="C187" t="str">
            <v>AZB92</v>
          </cell>
          <cell r="D187">
            <v>38804.564722222225</v>
          </cell>
          <cell r="E187" t="str">
            <v>AZB91</v>
          </cell>
          <cell r="F187">
            <v>38806.570474537039</v>
          </cell>
          <cell r="G187" t="str">
            <v>AZC24</v>
          </cell>
          <cell r="H187">
            <v>38811.544456018521</v>
          </cell>
          <cell r="I187" t="str">
            <v>AZC64</v>
          </cell>
          <cell r="J187">
            <v>38807.567152777781</v>
          </cell>
          <cell r="K187" t="str">
            <v>AZB45</v>
          </cell>
          <cell r="L187">
            <v>38790.673437500001</v>
          </cell>
          <cell r="M187" t="str">
            <v>AZB92</v>
          </cell>
          <cell r="N187">
            <v>38807.404374999998</v>
          </cell>
          <cell r="AA187" t="str">
            <v>AZB29</v>
          </cell>
        </row>
        <row r="188">
          <cell r="A188" t="str">
            <v>AZC07</v>
          </cell>
          <cell r="B188" t="str">
            <v>00002594</v>
          </cell>
          <cell r="C188" t="str">
            <v>AZB91</v>
          </cell>
          <cell r="D188">
            <v>38804.565081018518</v>
          </cell>
          <cell r="E188" t="str">
            <v>AZC12</v>
          </cell>
          <cell r="F188">
            <v>38807.266122685185</v>
          </cell>
          <cell r="G188" t="str">
            <v>AZB95</v>
          </cell>
          <cell r="H188">
            <v>38811.545682870368</v>
          </cell>
          <cell r="I188" t="str">
            <v>AZC09</v>
          </cell>
          <cell r="J188">
            <v>38807.591527777775</v>
          </cell>
          <cell r="K188" t="str">
            <v>AZB46</v>
          </cell>
          <cell r="L188">
            <v>38791.44809027778</v>
          </cell>
          <cell r="M188" t="str">
            <v>AZC12</v>
          </cell>
          <cell r="N188">
            <v>38807.548506944448</v>
          </cell>
          <cell r="AA188" t="str">
            <v>AZD38</v>
          </cell>
        </row>
        <row r="189">
          <cell r="A189" t="str">
            <v>AZC08</v>
          </cell>
          <cell r="B189" t="str">
            <v>00002595</v>
          </cell>
          <cell r="C189" t="str">
            <v>AZC08</v>
          </cell>
          <cell r="D189">
            <v>38804.565439814818</v>
          </cell>
          <cell r="E189" t="str">
            <v>AZB99</v>
          </cell>
          <cell r="F189">
            <v>38807.401018518518</v>
          </cell>
          <cell r="G189" t="str">
            <v>AZC29</v>
          </cell>
          <cell r="H189">
            <v>38811.57471064815</v>
          </cell>
          <cell r="I189" t="str">
            <v>AZB99</v>
          </cell>
          <cell r="J189">
            <v>38807.600393518522</v>
          </cell>
          <cell r="K189" t="str">
            <v>AZB50</v>
          </cell>
          <cell r="L189">
            <v>38791.49790509259</v>
          </cell>
          <cell r="M189" t="str">
            <v>AZC02</v>
          </cell>
          <cell r="N189">
            <v>38807.569652777776</v>
          </cell>
          <cell r="AA189" t="str">
            <v>AZC24</v>
          </cell>
        </row>
        <row r="190">
          <cell r="A190" t="str">
            <v>AZC09</v>
          </cell>
          <cell r="B190" t="str">
            <v>00002596</v>
          </cell>
          <cell r="C190" t="str">
            <v>AZC13</v>
          </cell>
          <cell r="D190">
            <v>38804.565798611111</v>
          </cell>
          <cell r="E190" t="str">
            <v>AZC02</v>
          </cell>
          <cell r="F190">
            <v>38807.401932870373</v>
          </cell>
          <cell r="G190" t="str">
            <v>AZC37</v>
          </cell>
          <cell r="H190">
            <v>38812.268692129626</v>
          </cell>
          <cell r="I190" t="str">
            <v>AZC03</v>
          </cell>
          <cell r="J190">
            <v>38807.620763888888</v>
          </cell>
          <cell r="K190" t="str">
            <v>AZB50</v>
          </cell>
          <cell r="L190">
            <v>38791.497974537036</v>
          </cell>
          <cell r="M190" t="str">
            <v>AZB91</v>
          </cell>
          <cell r="N190">
            <v>38807.58666666667</v>
          </cell>
          <cell r="AA190" t="str">
            <v>AZB95</v>
          </cell>
        </row>
        <row r="191">
          <cell r="A191" t="str">
            <v>AZC10</v>
          </cell>
          <cell r="B191" t="str">
            <v>00002597</v>
          </cell>
          <cell r="C191" t="str">
            <v>AZB99</v>
          </cell>
          <cell r="D191">
            <v>38805.549143518518</v>
          </cell>
          <cell r="E191" t="str">
            <v>AZC03</v>
          </cell>
          <cell r="F191">
            <v>38807.434918981482</v>
          </cell>
          <cell r="G191" t="str">
            <v>AZC00</v>
          </cell>
          <cell r="H191">
            <v>38812.270254629628</v>
          </cell>
          <cell r="I191" t="str">
            <v>AZC21</v>
          </cell>
          <cell r="J191">
            <v>38811.521192129629</v>
          </cell>
          <cell r="K191" t="str">
            <v>AZB80</v>
          </cell>
          <cell r="L191">
            <v>38791.515219907407</v>
          </cell>
          <cell r="M191" t="str">
            <v>AZB99</v>
          </cell>
          <cell r="N191">
            <v>38810.321666666663</v>
          </cell>
          <cell r="AA191" t="str">
            <v>AZD01</v>
          </cell>
        </row>
        <row r="192">
          <cell r="A192" t="str">
            <v>AZC11</v>
          </cell>
          <cell r="B192" t="str">
            <v>00002598</v>
          </cell>
          <cell r="C192" t="str">
            <v>AZC02</v>
          </cell>
          <cell r="D192">
            <v>38805.551099537035</v>
          </cell>
          <cell r="E192" t="str">
            <v>AZC09</v>
          </cell>
          <cell r="F192">
            <v>38807.438067129631</v>
          </cell>
          <cell r="G192" t="str">
            <v>AZC15</v>
          </cell>
          <cell r="H192">
            <v>38812.31386574074</v>
          </cell>
          <cell r="I192" t="str">
            <v>AZC18</v>
          </cell>
          <cell r="J192">
            <v>38811.522037037037</v>
          </cell>
          <cell r="K192" t="str">
            <v>AZB80</v>
          </cell>
          <cell r="L192">
            <v>38791.515347222223</v>
          </cell>
          <cell r="M192" t="str">
            <v>AZC03</v>
          </cell>
          <cell r="N192">
            <v>38810.455439814818</v>
          </cell>
          <cell r="AA192" t="str">
            <v>AZC58</v>
          </cell>
        </row>
        <row r="193">
          <cell r="A193" t="str">
            <v>AZC12</v>
          </cell>
          <cell r="B193" t="str">
            <v>00002599</v>
          </cell>
          <cell r="C193" t="str">
            <v>AZC03</v>
          </cell>
          <cell r="D193">
            <v>38805.551979166667</v>
          </cell>
          <cell r="E193" t="str">
            <v>AZC64</v>
          </cell>
          <cell r="F193">
            <v>38807.47625</v>
          </cell>
          <cell r="I193" t="str">
            <v>AZC24</v>
          </cell>
          <cell r="J193">
            <v>38811.550208333334</v>
          </cell>
          <cell r="K193" t="str">
            <v>AZB83</v>
          </cell>
          <cell r="L193">
            <v>38791.540775462963</v>
          </cell>
          <cell r="M193" t="str">
            <v>AZC09</v>
          </cell>
          <cell r="N193">
            <v>38810.45925925926</v>
          </cell>
          <cell r="AA193" t="str">
            <v>AZD34</v>
          </cell>
        </row>
        <row r="194">
          <cell r="A194" t="str">
            <v>AZC13</v>
          </cell>
          <cell r="B194" t="str">
            <v>00002600</v>
          </cell>
          <cell r="C194" t="str">
            <v>AZC64</v>
          </cell>
          <cell r="D194">
            <v>38805.552743055552</v>
          </cell>
          <cell r="E194" t="str">
            <v>AZC18</v>
          </cell>
          <cell r="F194">
            <v>38811.463877314818</v>
          </cell>
          <cell r="I194" t="str">
            <v>AZB95</v>
          </cell>
          <cell r="J194">
            <v>38811.551898148151</v>
          </cell>
          <cell r="K194" t="str">
            <v>AZB48</v>
          </cell>
          <cell r="L194">
            <v>38791.550092592595</v>
          </cell>
          <cell r="M194" t="str">
            <v>AZC64</v>
          </cell>
          <cell r="N194">
            <v>38810.469074074077</v>
          </cell>
          <cell r="AA194" t="str">
            <v>AZC85</v>
          </cell>
        </row>
        <row r="195">
          <cell r="A195" t="str">
            <v>AZC14</v>
          </cell>
          <cell r="B195" t="str">
            <v>00002577</v>
          </cell>
          <cell r="C195" t="str">
            <v>AZC09</v>
          </cell>
          <cell r="D195">
            <v>38805.553101851852</v>
          </cell>
          <cell r="E195" t="str">
            <v>AZC21</v>
          </cell>
          <cell r="F195">
            <v>38811.474039351851</v>
          </cell>
          <cell r="I195" t="str">
            <v>AZC29</v>
          </cell>
          <cell r="J195">
            <v>38811.58321759259</v>
          </cell>
          <cell r="K195" t="str">
            <v>AZB82</v>
          </cell>
          <cell r="L195">
            <v>38791.569953703707</v>
          </cell>
          <cell r="M195" t="str">
            <v>AZC18</v>
          </cell>
          <cell r="N195">
            <v>38811.59920138889</v>
          </cell>
          <cell r="AA195" t="str">
            <v>AZC17</v>
          </cell>
        </row>
        <row r="196">
          <cell r="A196" t="str">
            <v>AZC15</v>
          </cell>
          <cell r="B196" t="str">
            <v>00002629</v>
          </cell>
          <cell r="C196" t="str">
            <v>AZC18</v>
          </cell>
          <cell r="D196">
            <v>38807.570231481484</v>
          </cell>
          <cell r="E196" t="str">
            <v>AZC24</v>
          </cell>
          <cell r="F196">
            <v>38811.476678240739</v>
          </cell>
          <cell r="I196" t="str">
            <v>AZC37</v>
          </cell>
          <cell r="J196">
            <v>38812.282025462962</v>
          </cell>
          <cell r="K196" t="str">
            <v>AZB82</v>
          </cell>
          <cell r="L196">
            <v>38791.570092592592</v>
          </cell>
          <cell r="M196" t="str">
            <v>AZC24</v>
          </cell>
          <cell r="N196">
            <v>38811.66715277778</v>
          </cell>
          <cell r="AA196" t="str">
            <v>AZC16</v>
          </cell>
        </row>
        <row r="197">
          <cell r="A197" t="str">
            <v>AZC16</v>
          </cell>
          <cell r="B197" t="str">
            <v>00002630</v>
          </cell>
          <cell r="C197" t="str">
            <v>AZC21</v>
          </cell>
          <cell r="D197">
            <v>38807.572511574072</v>
          </cell>
          <cell r="E197" t="str">
            <v>AZB95</v>
          </cell>
          <cell r="F197">
            <v>38811.492245370369</v>
          </cell>
          <cell r="I197" t="str">
            <v>AZC00</v>
          </cell>
          <cell r="J197">
            <v>38812.282476851855</v>
          </cell>
          <cell r="K197" t="str">
            <v>AZB53</v>
          </cell>
          <cell r="L197">
            <v>38791.601041666669</v>
          </cell>
          <cell r="M197" t="str">
            <v>AZC21</v>
          </cell>
          <cell r="N197">
            <v>38812.288773148146</v>
          </cell>
          <cell r="AA197" t="str">
            <v>AZB86</v>
          </cell>
        </row>
        <row r="198">
          <cell r="A198" t="str">
            <v>AZC17</v>
          </cell>
          <cell r="B198" t="str">
            <v>00002631</v>
          </cell>
          <cell r="C198" t="str">
            <v>AZC24</v>
          </cell>
          <cell r="D198">
            <v>38807.573321759257</v>
          </cell>
          <cell r="E198" t="str">
            <v>AZC26</v>
          </cell>
          <cell r="F198">
            <v>38811.507800925923</v>
          </cell>
          <cell r="K198" t="str">
            <v>AZB53</v>
          </cell>
          <cell r="L198">
            <v>38791.601655092592</v>
          </cell>
          <cell r="M198" t="str">
            <v>AZB95</v>
          </cell>
          <cell r="N198">
            <v>38812.294212962966</v>
          </cell>
          <cell r="AA198" t="str">
            <v>AZD52</v>
          </cell>
        </row>
        <row r="199">
          <cell r="A199" t="str">
            <v>AZC18</v>
          </cell>
          <cell r="B199" t="str">
            <v>00002632</v>
          </cell>
          <cell r="C199" t="str">
            <v>AZB95</v>
          </cell>
          <cell r="D199">
            <v>38807.57366898148</v>
          </cell>
          <cell r="E199" t="str">
            <v>AZC00</v>
          </cell>
          <cell r="F199">
            <v>38811.510891203703</v>
          </cell>
          <cell r="K199" t="str">
            <v>AZB53</v>
          </cell>
          <cell r="L199">
            <v>38791.601724537039</v>
          </cell>
          <cell r="M199" t="str">
            <v>AZC39</v>
          </cell>
          <cell r="N199">
            <v>38812.410694444443</v>
          </cell>
          <cell r="AA199" t="str">
            <v>AZC61</v>
          </cell>
        </row>
        <row r="200">
          <cell r="A200" t="str">
            <v>AZC19</v>
          </cell>
          <cell r="B200" t="str">
            <v>00002626</v>
          </cell>
          <cell r="C200" t="str">
            <v>AZC26</v>
          </cell>
          <cell r="D200">
            <v>38807.57402777778</v>
          </cell>
          <cell r="E200" t="str">
            <v>AZC31</v>
          </cell>
          <cell r="F200">
            <v>38811.532418981478</v>
          </cell>
          <cell r="K200" t="str">
            <v>AZB47</v>
          </cell>
          <cell r="L200">
            <v>38791.638159722221</v>
          </cell>
          <cell r="M200" t="str">
            <v>AZC37</v>
          </cell>
          <cell r="N200">
            <v>38812.466041666667</v>
          </cell>
          <cell r="AA200" t="str">
            <v>AZD47</v>
          </cell>
        </row>
        <row r="201">
          <cell r="A201" t="str">
            <v>AZC20</v>
          </cell>
          <cell r="B201" t="str">
            <v>00002634</v>
          </cell>
          <cell r="C201" t="str">
            <v>AZC00</v>
          </cell>
          <cell r="D201">
            <v>38807.574386574073</v>
          </cell>
          <cell r="E201" t="str">
            <v>AZC32</v>
          </cell>
          <cell r="F201">
            <v>38811.533900462964</v>
          </cell>
          <cell r="K201" t="str">
            <v>AZB47</v>
          </cell>
          <cell r="L201">
            <v>38791.63821759259</v>
          </cell>
          <cell r="M201" t="str">
            <v>AZC29</v>
          </cell>
          <cell r="N201">
            <v>38812.478263888886</v>
          </cell>
          <cell r="AA201" t="str">
            <v>AZB38</v>
          </cell>
        </row>
        <row r="202">
          <cell r="A202" t="str">
            <v>AZC21</v>
          </cell>
          <cell r="B202" t="str">
            <v>00002635</v>
          </cell>
          <cell r="C202" t="str">
            <v>AZC29</v>
          </cell>
          <cell r="D202">
            <v>38807.574745370373</v>
          </cell>
          <cell r="E202" t="str">
            <v>AZC39</v>
          </cell>
          <cell r="F202">
            <v>38811.534756944442</v>
          </cell>
          <cell r="K202" t="str">
            <v>AZB57</v>
          </cell>
          <cell r="L202">
            <v>38792.367939814816</v>
          </cell>
          <cell r="M202" t="str">
            <v>AZC26</v>
          </cell>
          <cell r="N202">
            <v>38812.483715277776</v>
          </cell>
          <cell r="AA202" t="str">
            <v>AZD29</v>
          </cell>
        </row>
        <row r="203">
          <cell r="A203" t="str">
            <v>AZC22</v>
          </cell>
          <cell r="B203" t="str">
            <v>00002636</v>
          </cell>
          <cell r="C203" t="str">
            <v>AZC31</v>
          </cell>
          <cell r="D203">
            <v>38807.575104166666</v>
          </cell>
          <cell r="E203" t="str">
            <v>AZC15</v>
          </cell>
          <cell r="F203">
            <v>38811.536307870374</v>
          </cell>
          <cell r="K203" t="str">
            <v>AZB57</v>
          </cell>
          <cell r="L203">
            <v>38792.368101851855</v>
          </cell>
          <cell r="M203" t="str">
            <v>AZC15</v>
          </cell>
          <cell r="N203">
            <v>38812.489988425928</v>
          </cell>
          <cell r="AA203" t="str">
            <v>AZC43</v>
          </cell>
        </row>
        <row r="204">
          <cell r="A204" t="str">
            <v>AZC23</v>
          </cell>
          <cell r="B204" t="str">
            <v>00002637</v>
          </cell>
          <cell r="C204" t="str">
            <v>AZC32</v>
          </cell>
          <cell r="D204">
            <v>38807.57545138889</v>
          </cell>
          <cell r="E204" t="str">
            <v>AZC37</v>
          </cell>
          <cell r="F204">
            <v>38811.537303240744</v>
          </cell>
          <cell r="K204" t="str">
            <v>AZB35</v>
          </cell>
          <cell r="L204">
            <v>38792.379212962966</v>
          </cell>
          <cell r="M204" t="str">
            <v>AZC00</v>
          </cell>
          <cell r="N204">
            <v>38812.507118055553</v>
          </cell>
          <cell r="AA204" t="str">
            <v>AZD02</v>
          </cell>
        </row>
        <row r="205">
          <cell r="A205" t="str">
            <v>AZC24</v>
          </cell>
          <cell r="B205" t="str">
            <v>00002638</v>
          </cell>
          <cell r="C205" t="str">
            <v>AZC39</v>
          </cell>
          <cell r="D205">
            <v>38807.575810185182</v>
          </cell>
          <cell r="E205" t="str">
            <v>AZC29</v>
          </cell>
          <cell r="F205">
            <v>38811.55846064815</v>
          </cell>
          <cell r="K205" t="str">
            <v>AZB35</v>
          </cell>
          <cell r="L205">
            <v>38792.386747685188</v>
          </cell>
          <cell r="M205" t="str">
            <v>AZC31</v>
          </cell>
          <cell r="N205">
            <v>38812.536527777775</v>
          </cell>
          <cell r="AA205" t="str">
            <v>AZC99</v>
          </cell>
        </row>
        <row r="206">
          <cell r="A206" t="str">
            <v>AZC25</v>
          </cell>
          <cell r="B206" t="str">
            <v>00002639</v>
          </cell>
          <cell r="C206" t="str">
            <v>AZC15</v>
          </cell>
          <cell r="D206">
            <v>38807.606076388889</v>
          </cell>
          <cell r="K206" t="str">
            <v>AZB77</v>
          </cell>
          <cell r="L206">
            <v>38792.491597222222</v>
          </cell>
          <cell r="M206" t="str">
            <v>AZC33</v>
          </cell>
          <cell r="N206">
            <v>38812.593113425923</v>
          </cell>
          <cell r="AA206" t="str">
            <v>AZD28</v>
          </cell>
        </row>
        <row r="207">
          <cell r="A207" t="str">
            <v>AZC26</v>
          </cell>
          <cell r="B207" t="str">
            <v>00002641</v>
          </cell>
          <cell r="C207" t="str">
            <v>AZC37</v>
          </cell>
          <cell r="D207">
            <v>38807.62394675926</v>
          </cell>
          <cell r="K207" t="str">
            <v>AZB51</v>
          </cell>
          <cell r="L207">
            <v>38792.580636574072</v>
          </cell>
          <cell r="M207" t="str">
            <v>AZC20</v>
          </cell>
          <cell r="N207">
            <v>38812.622916666667</v>
          </cell>
          <cell r="AA207" t="str">
            <v>AZD33</v>
          </cell>
        </row>
        <row r="208">
          <cell r="A208" t="str">
            <v>AZC27</v>
          </cell>
          <cell r="B208" t="str">
            <v>00002591</v>
          </cell>
          <cell r="C208" t="str">
            <v>AZC20</v>
          </cell>
          <cell r="D208">
            <v>38810.561562499999</v>
          </cell>
          <cell r="K208" t="str">
            <v>AZB63</v>
          </cell>
          <cell r="L208">
            <v>38792.597800925927</v>
          </cell>
          <cell r="M208" t="str">
            <v>AZC43</v>
          </cell>
          <cell r="N208">
            <v>38812.627106481479</v>
          </cell>
          <cell r="AA208" t="str">
            <v>AZC10</v>
          </cell>
        </row>
        <row r="209">
          <cell r="A209" t="str">
            <v>AZC28</v>
          </cell>
          <cell r="B209" t="str">
            <v>00002643</v>
          </cell>
          <cell r="C209" t="str">
            <v>AZC30</v>
          </cell>
          <cell r="D209">
            <v>38810.563634259262</v>
          </cell>
          <cell r="K209" t="str">
            <v>AZB63</v>
          </cell>
          <cell r="L209">
            <v>38792.597858796296</v>
          </cell>
          <cell r="M209" t="str">
            <v>AZC41</v>
          </cell>
          <cell r="N209">
            <v>38812.66300925926</v>
          </cell>
          <cell r="AA209" t="str">
            <v>AZD24</v>
          </cell>
        </row>
        <row r="210">
          <cell r="A210" t="str">
            <v>AZC29</v>
          </cell>
          <cell r="B210" t="str">
            <v>00002644</v>
          </cell>
          <cell r="C210" t="str">
            <v>AZC33</v>
          </cell>
          <cell r="D210">
            <v>38810.563993055555</v>
          </cell>
          <cell r="K210" t="str">
            <v>AZB61</v>
          </cell>
          <cell r="L210">
            <v>38792.641076388885</v>
          </cell>
          <cell r="M210" t="str">
            <v>AZC47</v>
          </cell>
          <cell r="N210">
            <v>38812.666944444441</v>
          </cell>
          <cell r="AA210" t="str">
            <v>AZB69</v>
          </cell>
        </row>
        <row r="211">
          <cell r="A211" t="str">
            <v>AZC30</v>
          </cell>
          <cell r="B211" t="str">
            <v>00002645</v>
          </cell>
          <cell r="C211" t="str">
            <v>AZC38</v>
          </cell>
          <cell r="D211">
            <v>38810.583761574075</v>
          </cell>
          <cell r="K211" t="str">
            <v>AZB61</v>
          </cell>
          <cell r="L211">
            <v>38792.641203703701</v>
          </cell>
          <cell r="M211" t="str">
            <v>AZC38</v>
          </cell>
          <cell r="N211">
            <v>38813.272731481484</v>
          </cell>
          <cell r="AA211" t="str">
            <v>AZD51</v>
          </cell>
        </row>
        <row r="212">
          <cell r="A212" t="str">
            <v>AZC31</v>
          </cell>
          <cell r="B212" t="str">
            <v>00002646</v>
          </cell>
          <cell r="C212" t="str">
            <v>AZC41</v>
          </cell>
          <cell r="D212">
            <v>38810.584120370368</v>
          </cell>
          <cell r="K212" t="str">
            <v>AZB64</v>
          </cell>
          <cell r="L212">
            <v>38793.437893518516</v>
          </cell>
          <cell r="M212" t="str">
            <v>AZC49</v>
          </cell>
          <cell r="N212">
            <v>38813.280740740738</v>
          </cell>
          <cell r="AA212" t="str">
            <v>AZD25</v>
          </cell>
        </row>
        <row r="213">
          <cell r="A213" t="str">
            <v>AZC32</v>
          </cell>
          <cell r="B213" t="str">
            <v>00002647</v>
          </cell>
          <cell r="C213" t="str">
            <v>AZC42</v>
          </cell>
          <cell r="D213">
            <v>38810.584537037037</v>
          </cell>
          <cell r="K213" t="str">
            <v>AZB64</v>
          </cell>
          <cell r="L213">
            <v>38793.437962962962</v>
          </cell>
          <cell r="M213" t="str">
            <v>AZC55</v>
          </cell>
          <cell r="N213">
            <v>38813.291006944448</v>
          </cell>
          <cell r="AA213" t="str">
            <v>AZC82</v>
          </cell>
        </row>
        <row r="214">
          <cell r="A214" t="str">
            <v>AZC33</v>
          </cell>
          <cell r="B214" t="str">
            <v>00002648</v>
          </cell>
          <cell r="C214" t="str">
            <v>AZC43</v>
          </cell>
          <cell r="D214">
            <v>38810.603252314817</v>
          </cell>
          <cell r="K214" t="str">
            <v>AZB58</v>
          </cell>
          <cell r="L214">
            <v>38793.447013888886</v>
          </cell>
          <cell r="M214" t="str">
            <v>AZC56</v>
          </cell>
          <cell r="N214">
            <v>38813.299664351849</v>
          </cell>
          <cell r="AA214" t="str">
            <v>AZD11</v>
          </cell>
        </row>
        <row r="215">
          <cell r="A215" t="str">
            <v>AZC34</v>
          </cell>
          <cell r="B215" t="str">
            <v>00002649</v>
          </cell>
          <cell r="C215" t="str">
            <v>AZC47</v>
          </cell>
          <cell r="D215">
            <v>38810.60670138889</v>
          </cell>
          <cell r="K215" t="str">
            <v>AZB58</v>
          </cell>
          <cell r="L215">
            <v>38793.447222222225</v>
          </cell>
          <cell r="M215" t="str">
            <v>AZC57</v>
          </cell>
          <cell r="N215">
            <v>38813.373159722221</v>
          </cell>
          <cell r="AA215" t="str">
            <v>AZD54</v>
          </cell>
        </row>
        <row r="216">
          <cell r="A216" t="str">
            <v>AZC35</v>
          </cell>
          <cell r="B216" t="str">
            <v>00002650</v>
          </cell>
          <cell r="C216" t="str">
            <v>AZC49</v>
          </cell>
          <cell r="D216">
            <v>38810.608877314815</v>
          </cell>
          <cell r="K216" t="str">
            <v>AZB52</v>
          </cell>
          <cell r="L216">
            <v>38793.461284722223</v>
          </cell>
          <cell r="M216" t="str">
            <v>AZC54</v>
          </cell>
          <cell r="N216">
            <v>38813.429560185185</v>
          </cell>
          <cell r="AA216" t="str">
            <v>AZD53</v>
          </cell>
        </row>
        <row r="217">
          <cell r="A217" t="str">
            <v>AZC36</v>
          </cell>
          <cell r="B217" t="str">
            <v>00002651</v>
          </cell>
          <cell r="C217" t="str">
            <v>AZC51</v>
          </cell>
          <cell r="D217">
            <v>38810.611134259256</v>
          </cell>
          <cell r="K217" t="str">
            <v>AZB52</v>
          </cell>
          <cell r="L217">
            <v>38793.461388888885</v>
          </cell>
          <cell r="M217" t="str">
            <v>AZC42</v>
          </cell>
          <cell r="N217">
            <v>38813.443391203706</v>
          </cell>
          <cell r="AA217" t="str">
            <v>AZD49</v>
          </cell>
        </row>
        <row r="218">
          <cell r="A218" t="str">
            <v>AZC37</v>
          </cell>
          <cell r="B218" t="str">
            <v>00002652</v>
          </cell>
          <cell r="C218" t="str">
            <v>AZC54</v>
          </cell>
          <cell r="D218">
            <v>38810.613113425927</v>
          </cell>
          <cell r="K218" t="str">
            <v>AZB49</v>
          </cell>
          <cell r="L218">
            <v>38793.467986111114</v>
          </cell>
          <cell r="M218" t="str">
            <v>AZC32</v>
          </cell>
          <cell r="N218">
            <v>38813.458645833336</v>
          </cell>
          <cell r="AA218" t="str">
            <v>AZD48</v>
          </cell>
        </row>
        <row r="219">
          <cell r="A219" t="str">
            <v>AZC38</v>
          </cell>
          <cell r="B219" t="str">
            <v>00002653</v>
          </cell>
          <cell r="C219" t="str">
            <v>AZC55</v>
          </cell>
          <cell r="D219">
            <v>38810.615162037036</v>
          </cell>
          <cell r="K219" t="str">
            <v>AZB49</v>
          </cell>
          <cell r="L219">
            <v>38793.46806712963</v>
          </cell>
          <cell r="M219" t="str">
            <v>AZC16</v>
          </cell>
          <cell r="N219">
            <v>38813.467881944445</v>
          </cell>
          <cell r="AA219" t="str">
            <v>AZD26</v>
          </cell>
        </row>
        <row r="220">
          <cell r="A220" t="str">
            <v>AZC39</v>
          </cell>
          <cell r="B220" t="str">
            <v>00002654</v>
          </cell>
          <cell r="C220" t="str">
            <v>AZC56</v>
          </cell>
          <cell r="D220">
            <v>38810.616770833331</v>
          </cell>
          <cell r="K220" t="str">
            <v>AZB84</v>
          </cell>
          <cell r="L220">
            <v>38793.496863425928</v>
          </cell>
          <cell r="M220" t="str">
            <v>AZC51</v>
          </cell>
          <cell r="N220">
            <v>38813.496331018519</v>
          </cell>
          <cell r="AA220" t="str">
            <v>AZD41</v>
          </cell>
        </row>
        <row r="221">
          <cell r="A221" t="str">
            <v>AZC40</v>
          </cell>
          <cell r="B221" t="str">
            <v>00002655</v>
          </cell>
          <cell r="C221" t="str">
            <v>AZC57</v>
          </cell>
          <cell r="D221">
            <v>38810.618750000001</v>
          </cell>
          <cell r="K221" t="str">
            <v>AZB84</v>
          </cell>
          <cell r="L221">
            <v>38793.496944444443</v>
          </cell>
          <cell r="M221" t="str">
            <v>AZC30</v>
          </cell>
          <cell r="N221">
            <v>38813.521284722221</v>
          </cell>
          <cell r="AA221" t="str">
            <v>AZD18</v>
          </cell>
        </row>
        <row r="222">
          <cell r="A222" t="str">
            <v>AZC41</v>
          </cell>
          <cell r="B222" t="str">
            <v>00002656</v>
          </cell>
          <cell r="C222" t="str">
            <v>AZC16</v>
          </cell>
          <cell r="D222">
            <v>38811.52140046296</v>
          </cell>
          <cell r="K222" t="str">
            <v>AZB55</v>
          </cell>
          <cell r="L222">
            <v>38793.536435185182</v>
          </cell>
          <cell r="M222" t="str">
            <v>AZC65</v>
          </cell>
          <cell r="N222">
            <v>38813.548657407409</v>
          </cell>
          <cell r="AA222" t="str">
            <v>AZD14</v>
          </cell>
        </row>
        <row r="223">
          <cell r="A223" t="str">
            <v>AZC42</v>
          </cell>
          <cell r="B223" t="str">
            <v>00002657</v>
          </cell>
          <cell r="C223" t="str">
            <v>AZC45</v>
          </cell>
          <cell r="D223">
            <v>38811.523182870369</v>
          </cell>
          <cell r="K223" t="str">
            <v>AZB55</v>
          </cell>
          <cell r="L223">
            <v>38793.536493055559</v>
          </cell>
          <cell r="M223" t="str">
            <v>AZC63</v>
          </cell>
          <cell r="N223">
            <v>38813.555150462962</v>
          </cell>
          <cell r="AA223" t="str">
            <v>AZD57</v>
          </cell>
        </row>
        <row r="224">
          <cell r="A224" t="str">
            <v>AZC43</v>
          </cell>
          <cell r="B224" t="str">
            <v>00002658</v>
          </cell>
          <cell r="C224" t="str">
            <v>AZC48</v>
          </cell>
          <cell r="D224">
            <v>38811.52652777778</v>
          </cell>
          <cell r="K224" t="str">
            <v>AZB67</v>
          </cell>
          <cell r="L224">
            <v>38793.547418981485</v>
          </cell>
          <cell r="M224" t="str">
            <v>AZC69</v>
          </cell>
          <cell r="N224">
            <v>38813.561365740738</v>
          </cell>
          <cell r="AA224" t="str">
            <v>AZD30</v>
          </cell>
        </row>
        <row r="225">
          <cell r="A225" t="str">
            <v>AZC44</v>
          </cell>
          <cell r="B225" t="str">
            <v>00002659</v>
          </cell>
          <cell r="C225" t="str">
            <v>AZC50</v>
          </cell>
          <cell r="D225">
            <v>38811.526886574073</v>
          </cell>
          <cell r="K225" t="str">
            <v>AZB67</v>
          </cell>
          <cell r="L225">
            <v>38793.547488425924</v>
          </cell>
          <cell r="M225" t="str">
            <v>AZC62</v>
          </cell>
          <cell r="N225">
            <v>38813.561921296299</v>
          </cell>
          <cell r="AA225" t="str">
            <v>AZA68</v>
          </cell>
        </row>
        <row r="226">
          <cell r="A226" t="str">
            <v>AZC45</v>
          </cell>
          <cell r="B226" t="str">
            <v>00002633</v>
          </cell>
          <cell r="C226" t="str">
            <v>AZC59</v>
          </cell>
          <cell r="D226">
            <v>38811.527337962965</v>
          </cell>
          <cell r="K226" t="str">
            <v>AZA68</v>
          </cell>
          <cell r="L226">
            <v>38793.566296296296</v>
          </cell>
          <cell r="M226" t="str">
            <v>AZC68</v>
          </cell>
          <cell r="N226">
            <v>38813.563819444447</v>
          </cell>
          <cell r="AA226" t="str">
            <v>AZD35</v>
          </cell>
        </row>
        <row r="227">
          <cell r="A227" t="str">
            <v>AZC46</v>
          </cell>
          <cell r="B227" t="str">
            <v>00002627</v>
          </cell>
          <cell r="C227" t="str">
            <v>AZC60</v>
          </cell>
          <cell r="D227">
            <v>38811.527696759258</v>
          </cell>
          <cell r="K227" t="str">
            <v>AZA68</v>
          </cell>
          <cell r="L227">
            <v>38793.566435185188</v>
          </cell>
          <cell r="M227" t="str">
            <v>AZC61</v>
          </cell>
          <cell r="N227">
            <v>38813.580752314818</v>
          </cell>
          <cell r="AA227" t="str">
            <v>AZD22</v>
          </cell>
        </row>
        <row r="228">
          <cell r="A228" t="str">
            <v>AZC47</v>
          </cell>
          <cell r="B228" t="str">
            <v>00002660</v>
          </cell>
          <cell r="C228" t="str">
            <v>AZC61</v>
          </cell>
          <cell r="D228">
            <v>38811.528043981481</v>
          </cell>
          <cell r="K228" t="str">
            <v>AZB66</v>
          </cell>
          <cell r="L228">
            <v>38796.328692129631</v>
          </cell>
          <cell r="M228" t="str">
            <v>AZC72</v>
          </cell>
          <cell r="N228">
            <v>38813.591863425929</v>
          </cell>
          <cell r="AA228" t="str">
            <v>AZC47</v>
          </cell>
        </row>
        <row r="229">
          <cell r="A229" t="str">
            <v>AZC48</v>
          </cell>
          <cell r="B229" t="str">
            <v>00002661</v>
          </cell>
          <cell r="C229" t="str">
            <v>AZC62</v>
          </cell>
          <cell r="D229">
            <v>38811.528402777774</v>
          </cell>
          <cell r="K229" t="str">
            <v>AZB66</v>
          </cell>
          <cell r="L229">
            <v>38796.328738425924</v>
          </cell>
          <cell r="M229" t="str">
            <v>AZC48</v>
          </cell>
          <cell r="N229">
            <v>38813.658368055556</v>
          </cell>
          <cell r="AA229" t="str">
            <v>AZD56</v>
          </cell>
        </row>
        <row r="230">
          <cell r="A230" t="str">
            <v>AZC49</v>
          </cell>
          <cell r="B230" t="str">
            <v>00002662</v>
          </cell>
          <cell r="C230" t="str">
            <v>AZC63</v>
          </cell>
          <cell r="D230">
            <v>38811.529004629629</v>
          </cell>
          <cell r="K230" t="str">
            <v>AZB56</v>
          </cell>
          <cell r="L230">
            <v>38796.370150462964</v>
          </cell>
          <cell r="M230" t="str">
            <v>AZC50</v>
          </cell>
          <cell r="N230">
            <v>38813.669930555552</v>
          </cell>
          <cell r="AA230" t="str">
            <v>AZC42</v>
          </cell>
        </row>
        <row r="231">
          <cell r="A231" t="str">
            <v>AZC50</v>
          </cell>
          <cell r="B231" t="str">
            <v>00002663</v>
          </cell>
          <cell r="C231" t="str">
            <v>AZC65</v>
          </cell>
          <cell r="D231">
            <v>38811.529421296298</v>
          </cell>
          <cell r="K231" t="str">
            <v>AZB56</v>
          </cell>
          <cell r="L231">
            <v>38796.370208333334</v>
          </cell>
          <cell r="M231" t="str">
            <v>AZC59</v>
          </cell>
          <cell r="N231">
            <v>38813.676006944443</v>
          </cell>
          <cell r="AA231" t="str">
            <v>AZB91</v>
          </cell>
        </row>
        <row r="232">
          <cell r="A232" t="str">
            <v>AZC51</v>
          </cell>
          <cell r="B232" t="str">
            <v>00002664</v>
          </cell>
          <cell r="C232" t="str">
            <v>AZC68</v>
          </cell>
          <cell r="D232">
            <v>38811.529814814814</v>
          </cell>
          <cell r="K232" t="str">
            <v>AZB54</v>
          </cell>
          <cell r="L232">
            <v>38796.384004629632</v>
          </cell>
          <cell r="M232" t="str">
            <v>AZC45</v>
          </cell>
          <cell r="N232">
            <v>38814.412303240744</v>
          </cell>
          <cell r="AA232" t="str">
            <v>AZD46</v>
          </cell>
        </row>
        <row r="233">
          <cell r="A233" t="str">
            <v>AZC52</v>
          </cell>
          <cell r="B233" t="str">
            <v>00002665</v>
          </cell>
          <cell r="C233" t="str">
            <v>AZC69</v>
          </cell>
          <cell r="D233">
            <v>38811.530162037037</v>
          </cell>
          <cell r="K233" t="str">
            <v>AZB54</v>
          </cell>
          <cell r="L233">
            <v>38796.384097222224</v>
          </cell>
          <cell r="M233" t="str">
            <v>AZC34</v>
          </cell>
          <cell r="N233">
            <v>38814.445347222223</v>
          </cell>
          <cell r="AA233" t="str">
            <v>AZC02</v>
          </cell>
        </row>
        <row r="234">
          <cell r="A234" t="str">
            <v>AZC53</v>
          </cell>
          <cell r="B234" t="str">
            <v>00002666</v>
          </cell>
          <cell r="C234" t="str">
            <v>AZC70</v>
          </cell>
          <cell r="D234">
            <v>38811.53052083333</v>
          </cell>
          <cell r="K234" t="str">
            <v>AZB60</v>
          </cell>
          <cell r="L234">
            <v>38796.445138888892</v>
          </cell>
          <cell r="M234" t="str">
            <v>AZC17</v>
          </cell>
          <cell r="N234">
            <v>38814.466921296298</v>
          </cell>
          <cell r="AA234" t="str">
            <v>AZB57</v>
          </cell>
        </row>
        <row r="235">
          <cell r="A235" t="str">
            <v>AZC54</v>
          </cell>
          <cell r="B235" t="str">
            <v>00002667</v>
          </cell>
          <cell r="C235" t="str">
            <v>AZC72</v>
          </cell>
          <cell r="D235">
            <v>38811.530868055554</v>
          </cell>
          <cell r="K235" t="str">
            <v>AZB60</v>
          </cell>
          <cell r="L235">
            <v>38796.445208333331</v>
          </cell>
          <cell r="M235" t="str">
            <v>AZC23</v>
          </cell>
          <cell r="N235">
            <v>38814.509375000001</v>
          </cell>
          <cell r="AA235" t="str">
            <v>AZD42</v>
          </cell>
        </row>
        <row r="236">
          <cell r="A236" t="str">
            <v>AZC55</v>
          </cell>
          <cell r="B236" t="str">
            <v>00002668</v>
          </cell>
          <cell r="C236" t="str">
            <v>AZC34</v>
          </cell>
          <cell r="D236">
            <v>38811.559918981482</v>
          </cell>
          <cell r="K236" t="str">
            <v>AZB59</v>
          </cell>
          <cell r="L236">
            <v>38796.463449074072</v>
          </cell>
          <cell r="M236" t="str">
            <v>AZC70</v>
          </cell>
          <cell r="N236">
            <v>38814.52375</v>
          </cell>
          <cell r="AA236" t="str">
            <v>AZC86</v>
          </cell>
        </row>
        <row r="237">
          <cell r="A237" t="str">
            <v>AZC56</v>
          </cell>
          <cell r="B237" t="str">
            <v>00002669</v>
          </cell>
          <cell r="C237" t="str">
            <v>AZC44</v>
          </cell>
          <cell r="D237">
            <v>38811.573391203703</v>
          </cell>
          <cell r="K237" t="str">
            <v>AZB59</v>
          </cell>
          <cell r="L237">
            <v>38796.463692129626</v>
          </cell>
        </row>
        <row r="238">
          <cell r="A238" t="str">
            <v>AZC57</v>
          </cell>
          <cell r="B238" t="str">
            <v>00002670</v>
          </cell>
          <cell r="K238" t="str">
            <v>AZB59</v>
          </cell>
          <cell r="L238">
            <v>38796.463761574072</v>
          </cell>
        </row>
        <row r="239">
          <cell r="A239" t="str">
            <v>AZC58</v>
          </cell>
          <cell r="B239" t="str">
            <v>00002671</v>
          </cell>
          <cell r="K239" t="str">
            <v>AZB68</v>
          </cell>
          <cell r="L239">
            <v>38796.645543981482</v>
          </cell>
        </row>
        <row r="240">
          <cell r="A240" t="str">
            <v>AZC59</v>
          </cell>
          <cell r="B240" t="str">
            <v>00002672</v>
          </cell>
          <cell r="K240" t="str">
            <v>AZB68</v>
          </cell>
          <cell r="L240">
            <v>38796.645613425928</v>
          </cell>
        </row>
        <row r="241">
          <cell r="A241" t="str">
            <v>AZC60</v>
          </cell>
          <cell r="B241" t="str">
            <v>00002673</v>
          </cell>
          <cell r="K241" t="str">
            <v>AZB85</v>
          </cell>
          <cell r="L241">
            <v>38798.404768518521</v>
          </cell>
        </row>
        <row r="242">
          <cell r="A242" t="str">
            <v>AZC61</v>
          </cell>
          <cell r="B242" t="str">
            <v>00002674</v>
          </cell>
          <cell r="K242" t="str">
            <v>AZB62</v>
          </cell>
          <cell r="L242">
            <v>38799.603148148148</v>
          </cell>
        </row>
        <row r="243">
          <cell r="A243" t="str">
            <v>AZC62</v>
          </cell>
          <cell r="B243" t="str">
            <v>00002675</v>
          </cell>
          <cell r="K243" t="str">
            <v>AZB62</v>
          </cell>
          <cell r="L243">
            <v>38799.603252314817</v>
          </cell>
        </row>
        <row r="244">
          <cell r="A244" t="str">
            <v>AZC63</v>
          </cell>
          <cell r="B244" t="str">
            <v>00002676</v>
          </cell>
          <cell r="K244" t="str">
            <v>AZC19</v>
          </cell>
          <cell r="L244">
            <v>38800.375717592593</v>
          </cell>
        </row>
        <row r="245">
          <cell r="A245" t="str">
            <v>AZC64</v>
          </cell>
          <cell r="B245" t="str">
            <v>00002592</v>
          </cell>
          <cell r="K245" t="str">
            <v>AZC19</v>
          </cell>
          <cell r="L245">
            <v>38800.377268518518</v>
          </cell>
        </row>
        <row r="246">
          <cell r="A246" t="str">
            <v>AZC65</v>
          </cell>
          <cell r="B246" t="str">
            <v>00002677</v>
          </cell>
          <cell r="K246" t="str">
            <v>AZB88</v>
          </cell>
          <cell r="L246">
            <v>38800.387314814812</v>
          </cell>
        </row>
        <row r="247">
          <cell r="A247" t="str">
            <v>AZC66</v>
          </cell>
          <cell r="B247" t="str">
            <v>00002881</v>
          </cell>
          <cell r="K247" t="str">
            <v>AZB88</v>
          </cell>
          <cell r="L247">
            <v>38800.387569444443</v>
          </cell>
        </row>
        <row r="248">
          <cell r="A248" t="str">
            <v>AZC67</v>
          </cell>
          <cell r="B248" t="str">
            <v>00002679</v>
          </cell>
          <cell r="K248" t="str">
            <v>AZB88</v>
          </cell>
          <cell r="L248">
            <v>38800.387719907405</v>
          </cell>
        </row>
        <row r="249">
          <cell r="A249" t="str">
            <v>AZC68</v>
          </cell>
          <cell r="B249" t="str">
            <v>00002680</v>
          </cell>
          <cell r="K249" t="str">
            <v>AZB87</v>
          </cell>
          <cell r="L249">
            <v>38800.401863425926</v>
          </cell>
        </row>
        <row r="250">
          <cell r="A250" t="str">
            <v>AZC69</v>
          </cell>
          <cell r="B250" t="str">
            <v>00002681</v>
          </cell>
          <cell r="K250" t="str">
            <v>AZB87</v>
          </cell>
          <cell r="L250">
            <v>38800.401979166665</v>
          </cell>
        </row>
        <row r="251">
          <cell r="A251" t="str">
            <v>AZC70</v>
          </cell>
          <cell r="B251" t="str">
            <v>00002682</v>
          </cell>
          <cell r="K251" t="str">
            <v>AZC46</v>
          </cell>
          <cell r="L251">
            <v>38800.413541666669</v>
          </cell>
        </row>
        <row r="252">
          <cell r="A252" t="str">
            <v>AZC71</v>
          </cell>
          <cell r="B252" t="str">
            <v>00002683</v>
          </cell>
          <cell r="K252" t="str">
            <v>AZC46</v>
          </cell>
          <cell r="L252">
            <v>38800.413622685184</v>
          </cell>
        </row>
        <row r="253">
          <cell r="A253" t="str">
            <v>AZC72</v>
          </cell>
          <cell r="B253" t="str">
            <v>00002684</v>
          </cell>
          <cell r="K253" t="str">
            <v>AZC27</v>
          </cell>
          <cell r="L253">
            <v>38805.505497685182</v>
          </cell>
        </row>
        <row r="254">
          <cell r="A254" t="str">
            <v>AZC73</v>
          </cell>
          <cell r="B254" t="str">
            <v>00002704</v>
          </cell>
          <cell r="K254" t="str">
            <v>AZC27</v>
          </cell>
          <cell r="L254">
            <v>38805.505601851852</v>
          </cell>
        </row>
        <row r="255">
          <cell r="A255" t="str">
            <v>AZC74</v>
          </cell>
          <cell r="B255" t="str">
            <v>00002705</v>
          </cell>
          <cell r="K255" t="str">
            <v>AZC27</v>
          </cell>
          <cell r="L255">
            <v>38805.506527777776</v>
          </cell>
        </row>
        <row r="256">
          <cell r="A256" t="str">
            <v>AZC75</v>
          </cell>
          <cell r="B256" t="str">
            <v>00002706</v>
          </cell>
          <cell r="K256" t="str">
            <v>AZA67</v>
          </cell>
          <cell r="L256">
            <v>38805.642557870371</v>
          </cell>
        </row>
        <row r="257">
          <cell r="A257" t="str">
            <v>AZC76</v>
          </cell>
          <cell r="B257" t="str">
            <v>00002707</v>
          </cell>
          <cell r="K257" t="str">
            <v>AZB97</v>
          </cell>
          <cell r="L257">
            <v>38805.67328703704</v>
          </cell>
        </row>
        <row r="258">
          <cell r="A258" t="str">
            <v>AZC77</v>
          </cell>
          <cell r="B258" t="str">
            <v>00002708</v>
          </cell>
          <cell r="K258" t="str">
            <v>AZB97</v>
          </cell>
          <cell r="L258">
            <v>38805.673391203702</v>
          </cell>
        </row>
        <row r="259">
          <cell r="A259" t="str">
            <v>AZC78</v>
          </cell>
          <cell r="B259" t="str">
            <v>00002709</v>
          </cell>
          <cell r="K259" t="str">
            <v>AZC10</v>
          </cell>
          <cell r="L259">
            <v>38805.674861111111</v>
          </cell>
        </row>
        <row r="260">
          <cell r="A260" t="str">
            <v>AZC79</v>
          </cell>
          <cell r="B260" t="str">
            <v>00002710</v>
          </cell>
          <cell r="K260" t="str">
            <v>AZC10</v>
          </cell>
          <cell r="L260">
            <v>38805.674930555557</v>
          </cell>
        </row>
        <row r="261">
          <cell r="A261" t="str">
            <v>AZC80</v>
          </cell>
          <cell r="B261" t="str">
            <v>00002711</v>
          </cell>
          <cell r="K261" t="str">
            <v>AZB93</v>
          </cell>
          <cell r="L261">
            <v>38806.291284722225</v>
          </cell>
        </row>
        <row r="262">
          <cell r="A262" t="str">
            <v>AZC81</v>
          </cell>
          <cell r="B262" t="str">
            <v>00002712</v>
          </cell>
          <cell r="K262" t="str">
            <v>AZB93</v>
          </cell>
          <cell r="L262">
            <v>38806.291365740741</v>
          </cell>
        </row>
        <row r="263">
          <cell r="A263" t="str">
            <v>AZC82</v>
          </cell>
          <cell r="B263" t="str">
            <v>00002830</v>
          </cell>
          <cell r="K263" t="str">
            <v>AZB93</v>
          </cell>
          <cell r="L263">
            <v>38806.292245370372</v>
          </cell>
        </row>
        <row r="264">
          <cell r="A264" t="str">
            <v>AZC83</v>
          </cell>
          <cell r="B264" t="str">
            <v>00002714</v>
          </cell>
          <cell r="K264" t="str">
            <v>AZC14</v>
          </cell>
          <cell r="L264">
            <v>38806.298668981479</v>
          </cell>
        </row>
        <row r="265">
          <cell r="A265" t="str">
            <v>AZC84</v>
          </cell>
          <cell r="B265" t="str">
            <v>00002715</v>
          </cell>
          <cell r="K265" t="str">
            <v>AZC14</v>
          </cell>
          <cell r="L265">
            <v>38806.298796296294</v>
          </cell>
        </row>
        <row r="266">
          <cell r="A266" t="str">
            <v>AZC85</v>
          </cell>
          <cell r="B266" t="str">
            <v>00002716</v>
          </cell>
          <cell r="K266" t="str">
            <v>AZB94</v>
          </cell>
          <cell r="L266">
            <v>38806.324004629627</v>
          </cell>
        </row>
        <row r="267">
          <cell r="A267" t="str">
            <v>AZC86</v>
          </cell>
          <cell r="B267" t="str">
            <v>00002717</v>
          </cell>
          <cell r="K267" t="str">
            <v>AZB96</v>
          </cell>
          <cell r="L267">
            <v>38806.350138888891</v>
          </cell>
        </row>
        <row r="268">
          <cell r="A268" t="str">
            <v>AZC87</v>
          </cell>
          <cell r="B268" t="str">
            <v>00002718</v>
          </cell>
          <cell r="K268" t="str">
            <v>AZB96</v>
          </cell>
          <cell r="L268">
            <v>38806.350219907406</v>
          </cell>
        </row>
        <row r="269">
          <cell r="A269" t="str">
            <v>AZC88</v>
          </cell>
          <cell r="B269" t="str">
            <v>00002719</v>
          </cell>
          <cell r="K269" t="str">
            <v>AZC01</v>
          </cell>
          <cell r="L269">
            <v>38806.362361111111</v>
          </cell>
        </row>
        <row r="270">
          <cell r="A270" t="str">
            <v>AZC91</v>
          </cell>
          <cell r="B270" t="str">
            <v>00002722</v>
          </cell>
          <cell r="K270" t="str">
            <v>AZC01</v>
          </cell>
          <cell r="L270">
            <v>38806.362442129626</v>
          </cell>
        </row>
        <row r="271">
          <cell r="A271" t="str">
            <v>AZC93</v>
          </cell>
          <cell r="B271" t="str">
            <v>00002724</v>
          </cell>
          <cell r="K271" t="str">
            <v>AZB98</v>
          </cell>
          <cell r="L271">
            <v>38806.368379629632</v>
          </cell>
        </row>
        <row r="272">
          <cell r="A272" t="str">
            <v>AZC94</v>
          </cell>
          <cell r="B272" t="str">
            <v>00002725</v>
          </cell>
          <cell r="K272" t="str">
            <v>AZB98</v>
          </cell>
          <cell r="L272">
            <v>38806.368472222224</v>
          </cell>
        </row>
        <row r="273">
          <cell r="A273" t="str">
            <v>AZC95</v>
          </cell>
          <cell r="B273" t="str">
            <v>00002726</v>
          </cell>
          <cell r="K273" t="str">
            <v>AZC05</v>
          </cell>
          <cell r="L273">
            <v>38806.375347222223</v>
          </cell>
        </row>
        <row r="274">
          <cell r="A274" t="str">
            <v>AZC96</v>
          </cell>
          <cell r="B274" t="str">
            <v>00002879</v>
          </cell>
          <cell r="K274" t="str">
            <v>AZC05</v>
          </cell>
          <cell r="L274">
            <v>38806.375416666669</v>
          </cell>
        </row>
        <row r="275">
          <cell r="A275" t="str">
            <v>AZC98</v>
          </cell>
          <cell r="B275" t="str">
            <v>00002728</v>
          </cell>
          <cell r="K275" t="str">
            <v>AZC11</v>
          </cell>
          <cell r="L275">
            <v>38806.419479166667</v>
          </cell>
        </row>
        <row r="276">
          <cell r="A276" t="str">
            <v>AZC99</v>
          </cell>
          <cell r="B276" t="str">
            <v>00002729</v>
          </cell>
          <cell r="K276" t="str">
            <v>AZC11</v>
          </cell>
          <cell r="L276">
            <v>38806.419548611113</v>
          </cell>
        </row>
        <row r="277">
          <cell r="A277" t="str">
            <v>AZD00</v>
          </cell>
          <cell r="B277" t="str">
            <v>00002730</v>
          </cell>
          <cell r="K277" t="str">
            <v>AZC11</v>
          </cell>
          <cell r="L277">
            <v>38806.421377314815</v>
          </cell>
        </row>
        <row r="278">
          <cell r="A278" t="str">
            <v>AZD01</v>
          </cell>
          <cell r="B278" t="str">
            <v>00002731</v>
          </cell>
          <cell r="K278" t="str">
            <v>AZC06</v>
          </cell>
          <cell r="L278">
            <v>38806.428124999999</v>
          </cell>
        </row>
        <row r="279">
          <cell r="A279" t="str">
            <v>AZD02</v>
          </cell>
          <cell r="B279" t="str">
            <v>00002732</v>
          </cell>
          <cell r="K279" t="str">
            <v>AZC06</v>
          </cell>
          <cell r="L279">
            <v>38806.428194444445</v>
          </cell>
        </row>
        <row r="280">
          <cell r="A280" t="str">
            <v>AZD03</v>
          </cell>
          <cell r="B280" t="str">
            <v>00002733</v>
          </cell>
          <cell r="K280" t="str">
            <v>AZC06</v>
          </cell>
          <cell r="L280">
            <v>38806.429386574076</v>
          </cell>
        </row>
        <row r="281">
          <cell r="A281" t="str">
            <v>AZD04</v>
          </cell>
          <cell r="B281" t="str">
            <v>00002734</v>
          </cell>
          <cell r="K281" t="str">
            <v>AZB90</v>
          </cell>
          <cell r="L281">
            <v>38806.439108796294</v>
          </cell>
        </row>
        <row r="282">
          <cell r="A282" t="str">
            <v>AZD05</v>
          </cell>
          <cell r="B282" t="str">
            <v>00002735</v>
          </cell>
          <cell r="K282" t="str">
            <v>AZB90</v>
          </cell>
          <cell r="L282">
            <v>38806.439236111109</v>
          </cell>
        </row>
        <row r="283">
          <cell r="A283" t="str">
            <v>AZD06</v>
          </cell>
          <cell r="B283" t="str">
            <v>00002736</v>
          </cell>
          <cell r="K283" t="str">
            <v>AZC07</v>
          </cell>
          <cell r="L283">
            <v>38806.467662037037</v>
          </cell>
        </row>
        <row r="284">
          <cell r="A284" t="str">
            <v>AZD07</v>
          </cell>
          <cell r="B284" t="str">
            <v>00002737</v>
          </cell>
          <cell r="K284" t="str">
            <v>AZC07</v>
          </cell>
          <cell r="L284">
            <v>38806.467986111114</v>
          </cell>
        </row>
        <row r="285">
          <cell r="A285" t="str">
            <v>AZD11</v>
          </cell>
          <cell r="B285" t="str">
            <v>00002741</v>
          </cell>
          <cell r="K285" t="str">
            <v>AZB89</v>
          </cell>
          <cell r="L285">
            <v>38806.469201388885</v>
          </cell>
        </row>
        <row r="286">
          <cell r="A286" t="str">
            <v>AZD13</v>
          </cell>
          <cell r="B286" t="str">
            <v>00002743</v>
          </cell>
          <cell r="K286" t="str">
            <v>AZB89</v>
          </cell>
          <cell r="L286">
            <v>38806.469293981485</v>
          </cell>
        </row>
        <row r="287">
          <cell r="A287" t="str">
            <v>AZD14</v>
          </cell>
          <cell r="B287" t="str">
            <v>00002744</v>
          </cell>
          <cell r="K287" t="str">
            <v>AZC13</v>
          </cell>
          <cell r="L287">
            <v>38806.617905092593</v>
          </cell>
        </row>
        <row r="288">
          <cell r="A288" t="str">
            <v>AZD15</v>
          </cell>
          <cell r="B288" t="str">
            <v>00002745</v>
          </cell>
          <cell r="K288" t="str">
            <v>AZC13</v>
          </cell>
          <cell r="L288">
            <v>38806.618020833332</v>
          </cell>
        </row>
        <row r="289">
          <cell r="A289" t="str">
            <v>AZD16</v>
          </cell>
          <cell r="B289" t="str">
            <v>00002746</v>
          </cell>
          <cell r="K289" t="str">
            <v>AZC13</v>
          </cell>
          <cell r="L289">
            <v>38806.632372685184</v>
          </cell>
        </row>
        <row r="290">
          <cell r="A290" t="str">
            <v>AZD17</v>
          </cell>
          <cell r="B290" t="str">
            <v>00002747</v>
          </cell>
          <cell r="K290" t="str">
            <v>AZC13</v>
          </cell>
          <cell r="L290">
            <v>38806.632465277777</v>
          </cell>
        </row>
        <row r="291">
          <cell r="A291" t="str">
            <v>AZD18</v>
          </cell>
          <cell r="B291" t="str">
            <v>00002748</v>
          </cell>
          <cell r="K291" t="str">
            <v>AZC08</v>
          </cell>
          <cell r="L291">
            <v>38806.661921296298</v>
          </cell>
        </row>
        <row r="292">
          <cell r="A292" t="str">
            <v>AZD19</v>
          </cell>
          <cell r="B292" t="str">
            <v>00002749</v>
          </cell>
          <cell r="K292" t="str">
            <v>AZC08</v>
          </cell>
          <cell r="L292">
            <v>38806.661979166667</v>
          </cell>
        </row>
        <row r="293">
          <cell r="A293" t="str">
            <v>AZD20</v>
          </cell>
          <cell r="B293" t="str">
            <v>00002750</v>
          </cell>
          <cell r="K293" t="str">
            <v>AZB92</v>
          </cell>
          <cell r="L293">
            <v>38807.311712962961</v>
          </cell>
        </row>
        <row r="294">
          <cell r="A294" t="str">
            <v>AZD21</v>
          </cell>
          <cell r="B294" t="str">
            <v>00002751</v>
          </cell>
          <cell r="K294" t="str">
            <v>AZB92</v>
          </cell>
          <cell r="L294">
            <v>38807.311805555553</v>
          </cell>
        </row>
        <row r="295">
          <cell r="A295" t="str">
            <v>AZD22</v>
          </cell>
          <cell r="B295" t="str">
            <v>00002752</v>
          </cell>
          <cell r="K295" t="str">
            <v>AZB91</v>
          </cell>
          <cell r="L295">
            <v>38807.40388888889</v>
          </cell>
        </row>
        <row r="296">
          <cell r="A296" t="str">
            <v>AZD24</v>
          </cell>
          <cell r="B296" t="str">
            <v>00002754</v>
          </cell>
          <cell r="K296" t="str">
            <v>AZB91</v>
          </cell>
          <cell r="L296">
            <v>38807.40415509259</v>
          </cell>
        </row>
        <row r="297">
          <cell r="A297" t="str">
            <v>AZD25</v>
          </cell>
          <cell r="B297" t="str">
            <v>00002831</v>
          </cell>
          <cell r="K297" t="str">
            <v>AZC12</v>
          </cell>
          <cell r="L297">
            <v>38807.413668981484</v>
          </cell>
        </row>
        <row r="298">
          <cell r="A298" t="str">
            <v>AZD26</v>
          </cell>
          <cell r="B298" t="str">
            <v>00002756</v>
          </cell>
          <cell r="K298" t="str">
            <v>AZC12</v>
          </cell>
          <cell r="L298">
            <v>38807.4137962963</v>
          </cell>
        </row>
        <row r="299">
          <cell r="A299" t="str">
            <v>AZD28</v>
          </cell>
          <cell r="B299" t="str">
            <v>00002758</v>
          </cell>
          <cell r="K299" t="str">
            <v>AZB46</v>
          </cell>
          <cell r="L299">
            <v>38807.481886574074</v>
          </cell>
        </row>
        <row r="300">
          <cell r="A300" t="str">
            <v>AZD29</v>
          </cell>
          <cell r="B300" t="str">
            <v>00002759</v>
          </cell>
          <cell r="K300" t="str">
            <v>AZC12</v>
          </cell>
          <cell r="L300">
            <v>38807.508043981485</v>
          </cell>
        </row>
        <row r="301">
          <cell r="A301" t="str">
            <v>AZD30</v>
          </cell>
          <cell r="B301" t="str">
            <v>00002760</v>
          </cell>
          <cell r="K301" t="str">
            <v>AZC12</v>
          </cell>
          <cell r="L301">
            <v>38807.508229166669</v>
          </cell>
        </row>
        <row r="302">
          <cell r="A302" t="str">
            <v>AZD32</v>
          </cell>
          <cell r="B302" t="str">
            <v>00002762</v>
          </cell>
          <cell r="K302" t="str">
            <v>AZC02</v>
          </cell>
          <cell r="L302">
            <v>38807.524224537039</v>
          </cell>
        </row>
        <row r="303">
          <cell r="A303" t="str">
            <v>AZD33</v>
          </cell>
          <cell r="B303" t="str">
            <v>00002763</v>
          </cell>
          <cell r="K303" t="str">
            <v>AZC02</v>
          </cell>
          <cell r="L303">
            <v>38807.524375000001</v>
          </cell>
        </row>
        <row r="304">
          <cell r="A304" t="str">
            <v>AZD34</v>
          </cell>
          <cell r="B304" t="str">
            <v>00002764</v>
          </cell>
          <cell r="K304" t="str">
            <v>AZC02</v>
          </cell>
          <cell r="L304">
            <v>38807.532685185186</v>
          </cell>
        </row>
        <row r="305">
          <cell r="A305" t="str">
            <v>AZD35</v>
          </cell>
          <cell r="B305" t="str">
            <v>00002765</v>
          </cell>
          <cell r="K305" t="str">
            <v>AZC02</v>
          </cell>
          <cell r="L305">
            <v>38807.532789351855</v>
          </cell>
        </row>
        <row r="306">
          <cell r="A306" t="str">
            <v>AZD36</v>
          </cell>
          <cell r="B306" t="str">
            <v>00002832</v>
          </cell>
          <cell r="K306" t="str">
            <v>AZC64</v>
          </cell>
          <cell r="L306">
            <v>38807.60119212963</v>
          </cell>
        </row>
        <row r="307">
          <cell r="A307" t="str">
            <v>AZD37</v>
          </cell>
          <cell r="B307" t="str">
            <v>00002833</v>
          </cell>
          <cell r="K307" t="str">
            <v>AZC64</v>
          </cell>
          <cell r="L307">
            <v>38807.601354166669</v>
          </cell>
        </row>
        <row r="308">
          <cell r="A308" t="str">
            <v>AZD38</v>
          </cell>
          <cell r="B308" t="str">
            <v>00002834</v>
          </cell>
          <cell r="K308" t="str">
            <v>AZC64</v>
          </cell>
          <cell r="L308">
            <v>38807.604733796295</v>
          </cell>
        </row>
        <row r="309">
          <cell r="A309" t="str">
            <v>AZD39</v>
          </cell>
          <cell r="B309" t="str">
            <v>00002835</v>
          </cell>
          <cell r="K309" t="str">
            <v>AZB99</v>
          </cell>
          <cell r="L309">
            <v>38807.622118055559</v>
          </cell>
        </row>
        <row r="310">
          <cell r="A310" t="str">
            <v>AZD40</v>
          </cell>
          <cell r="B310" t="str">
            <v>00002836</v>
          </cell>
          <cell r="K310" t="str">
            <v>AZB99</v>
          </cell>
          <cell r="L310">
            <v>38807.622175925928</v>
          </cell>
        </row>
        <row r="311">
          <cell r="A311" t="str">
            <v>AZD41</v>
          </cell>
          <cell r="B311" t="str">
            <v>00002837</v>
          </cell>
          <cell r="K311" t="str">
            <v>AZB99</v>
          </cell>
          <cell r="L311">
            <v>38807.623240740744</v>
          </cell>
        </row>
        <row r="312">
          <cell r="A312" t="str">
            <v>AZD42</v>
          </cell>
          <cell r="B312" t="str">
            <v>00002838</v>
          </cell>
          <cell r="K312" t="str">
            <v>AZC03</v>
          </cell>
          <cell r="L312">
            <v>38810.300543981481</v>
          </cell>
        </row>
        <row r="313">
          <cell r="A313" t="str">
            <v>AZD43</v>
          </cell>
          <cell r="B313" t="str">
            <v>00002996</v>
          </cell>
          <cell r="K313" t="str">
            <v>AZC03</v>
          </cell>
          <cell r="L313">
            <v>38810.300636574073</v>
          </cell>
        </row>
        <row r="314">
          <cell r="A314" t="str">
            <v>AZD44</v>
          </cell>
          <cell r="B314" t="str">
            <v>00002840</v>
          </cell>
          <cell r="K314" t="str">
            <v>AZC09</v>
          </cell>
          <cell r="L314">
            <v>38810.324976851851</v>
          </cell>
        </row>
        <row r="315">
          <cell r="A315" t="str">
            <v>AZD45</v>
          </cell>
          <cell r="B315" t="str">
            <v>00002841</v>
          </cell>
          <cell r="K315" t="str">
            <v>AZC09</v>
          </cell>
          <cell r="L315">
            <v>38810.325023148151</v>
          </cell>
        </row>
        <row r="316">
          <cell r="A316" t="str">
            <v>AZD46</v>
          </cell>
          <cell r="B316" t="str">
            <v>00002842</v>
          </cell>
          <cell r="K316" t="str">
            <v>AZC21</v>
          </cell>
          <cell r="L316">
            <v>38811.542245370372</v>
          </cell>
        </row>
        <row r="317">
          <cell r="A317" t="str">
            <v>AZD47</v>
          </cell>
          <cell r="B317" t="str">
            <v>00002843</v>
          </cell>
          <cell r="K317" t="str">
            <v>AZC21</v>
          </cell>
          <cell r="L317">
            <v>38811.542361111111</v>
          </cell>
        </row>
        <row r="318">
          <cell r="A318" t="str">
            <v>AZD48</v>
          </cell>
          <cell r="B318" t="str">
            <v>00002844</v>
          </cell>
          <cell r="K318" t="str">
            <v>AZC18</v>
          </cell>
          <cell r="L318">
            <v>38811.544270833336</v>
          </cell>
        </row>
        <row r="319">
          <cell r="A319" t="str">
            <v>AZD49</v>
          </cell>
          <cell r="B319" t="str">
            <v>00002845</v>
          </cell>
          <cell r="K319" t="str">
            <v>AZC18</v>
          </cell>
          <cell r="L319">
            <v>38811.544328703705</v>
          </cell>
        </row>
        <row r="320">
          <cell r="A320" t="str">
            <v>AZD50</v>
          </cell>
          <cell r="B320" t="str">
            <v>00002846</v>
          </cell>
          <cell r="K320" t="str">
            <v>AZC24</v>
          </cell>
          <cell r="L320">
            <v>38811.561956018515</v>
          </cell>
        </row>
        <row r="321">
          <cell r="A321" t="str">
            <v>AZD51</v>
          </cell>
          <cell r="B321" t="str">
            <v>00002847</v>
          </cell>
          <cell r="K321" t="str">
            <v>AZC24</v>
          </cell>
          <cell r="L321">
            <v>38811.562037037038</v>
          </cell>
        </row>
        <row r="322">
          <cell r="A322" t="str">
            <v>AZD52</v>
          </cell>
          <cell r="B322" t="str">
            <v>00002848</v>
          </cell>
          <cell r="K322" t="str">
            <v>AZB95</v>
          </cell>
          <cell r="L322">
            <v>38811.587222222224</v>
          </cell>
        </row>
        <row r="323">
          <cell r="A323" t="str">
            <v>AZD53</v>
          </cell>
          <cell r="B323" t="str">
            <v>00002849</v>
          </cell>
          <cell r="K323" t="str">
            <v>AZB95</v>
          </cell>
          <cell r="L323">
            <v>38811.587314814817</v>
          </cell>
        </row>
        <row r="324">
          <cell r="A324" t="str">
            <v>AZD54</v>
          </cell>
          <cell r="B324" t="str">
            <v>00002850</v>
          </cell>
          <cell r="K324" t="str">
            <v>AZC29</v>
          </cell>
          <cell r="L324">
            <v>38812.267581018517</v>
          </cell>
        </row>
        <row r="325">
          <cell r="A325" t="str">
            <v>AZD55</v>
          </cell>
          <cell r="B325" t="str">
            <v>00002851</v>
          </cell>
          <cell r="K325" t="str">
            <v>AZC00</v>
          </cell>
          <cell r="L325">
            <v>38812.299722222226</v>
          </cell>
        </row>
        <row r="326">
          <cell r="A326" t="str">
            <v>AZD56</v>
          </cell>
          <cell r="B326" t="str">
            <v>00003264</v>
          </cell>
          <cell r="K326" t="str">
            <v>AZC00</v>
          </cell>
          <cell r="L326">
            <v>38812.299803240741</v>
          </cell>
        </row>
        <row r="327">
          <cell r="A327" t="str">
            <v>AZD57</v>
          </cell>
          <cell r="B327" t="str">
            <v>00003265</v>
          </cell>
          <cell r="K327" t="str">
            <v>AZC37</v>
          </cell>
          <cell r="L327">
            <v>38812.309537037036</v>
          </cell>
        </row>
        <row r="328">
          <cell r="A328" t="str">
            <v>AZD58</v>
          </cell>
          <cell r="B328" t="str">
            <v>00003428</v>
          </cell>
          <cell r="K328" t="str">
            <v>AZC37</v>
          </cell>
          <cell r="L328">
            <v>38812.309583333335</v>
          </cell>
        </row>
        <row r="329">
          <cell r="A329" t="str">
            <v>AZD59</v>
          </cell>
          <cell r="B329" t="str">
            <v>00003788</v>
          </cell>
        </row>
        <row r="330">
          <cell r="A330" t="str">
            <v>AZD60</v>
          </cell>
          <cell r="B330" t="str">
            <v>00003707</v>
          </cell>
        </row>
        <row r="331">
          <cell r="A331" t="str">
            <v>AZD61</v>
          </cell>
          <cell r="B331" t="str">
            <v>00004120</v>
          </cell>
        </row>
        <row r="332">
          <cell r="A332" t="str">
            <v>AZD62</v>
          </cell>
          <cell r="B332" t="str">
            <v>00003874</v>
          </cell>
        </row>
        <row r="333">
          <cell r="A333" t="str">
            <v>AZD63</v>
          </cell>
          <cell r="B333" t="str">
            <v>00003893</v>
          </cell>
        </row>
        <row r="334">
          <cell r="A334" t="str">
            <v>AZD64</v>
          </cell>
          <cell r="B334" t="str">
            <v>00004050</v>
          </cell>
        </row>
        <row r="335">
          <cell r="A335" t="str">
            <v>AZD65</v>
          </cell>
          <cell r="B335" t="str">
            <v>00004046</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égende"/>
      <sheetName val="RVCV"/>
      <sheetName val="Calculs intermédiaires"/>
      <sheetName val="Résultats glissants"/>
      <sheetName val="Graphiques"/>
    </sheetNames>
    <sheetDataSet>
      <sheetData sheetId="0"/>
      <sheetData sheetId="1">
        <row r="1">
          <cell r="CW1">
            <v>50</v>
          </cell>
        </row>
        <row r="2">
          <cell r="CW2">
            <v>4</v>
          </cell>
          <cell r="CY2" t="str">
            <v>Calculs valeurs glissantes par indicateur dans la zone Col 100 : Col 149</v>
          </cell>
        </row>
        <row r="3">
          <cell r="CW3">
            <v>53</v>
          </cell>
        </row>
        <row r="4">
          <cell r="CV4">
            <v>200642</v>
          </cell>
          <cell r="CW4">
            <v>200643</v>
          </cell>
          <cell r="CX4">
            <v>200644</v>
          </cell>
          <cell r="CY4">
            <v>0</v>
          </cell>
          <cell r="CZ4">
            <v>0</v>
          </cell>
          <cell r="DA4">
            <v>0</v>
          </cell>
          <cell r="DB4">
            <v>0</v>
          </cell>
          <cell r="DC4">
            <v>0</v>
          </cell>
          <cell r="DD4">
            <v>0</v>
          </cell>
          <cell r="DE4">
            <v>0</v>
          </cell>
          <cell r="DF4">
            <v>0</v>
          </cell>
          <cell r="DG4">
            <v>0</v>
          </cell>
          <cell r="DH4">
            <v>0</v>
          </cell>
          <cell r="DI4">
            <v>0</v>
          </cell>
          <cell r="DJ4">
            <v>0</v>
          </cell>
          <cell r="DK4">
            <v>0</v>
          </cell>
          <cell r="DL4">
            <v>0</v>
          </cell>
          <cell r="DM4">
            <v>0</v>
          </cell>
          <cell r="DN4">
            <v>0</v>
          </cell>
          <cell r="DO4">
            <v>0</v>
          </cell>
        </row>
        <row r="5">
          <cell r="CW5">
            <v>45.09375</v>
          </cell>
          <cell r="CX5">
            <v>44.222727272727269</v>
          </cell>
          <cell r="CY5">
            <v>44.211363636363643</v>
          </cell>
          <cell r="CZ5">
            <v>43.005714285714284</v>
          </cell>
          <cell r="DA5">
            <v>43.707142857142863</v>
          </cell>
          <cell r="DB5">
            <v>44.2</v>
          </cell>
          <cell r="DC5" t="e">
            <v>#DIV/0!</v>
          </cell>
          <cell r="DD5" t="e">
            <v>#DIV/0!</v>
          </cell>
          <cell r="DE5" t="e">
            <v>#DIV/0!</v>
          </cell>
          <cell r="DF5" t="e">
            <v>#DIV/0!</v>
          </cell>
          <cell r="DG5" t="e">
            <v>#DIV/0!</v>
          </cell>
          <cell r="DH5" t="e">
            <v>#DIV/0!</v>
          </cell>
          <cell r="DI5" t="e">
            <v>#DIV/0!</v>
          </cell>
          <cell r="DJ5" t="e">
            <v>#DIV/0!</v>
          </cell>
          <cell r="DK5" t="e">
            <v>#DIV/0!</v>
          </cell>
          <cell r="DL5" t="e">
            <v>#DIV/0!</v>
          </cell>
          <cell r="DM5" t="e">
            <v>#DIV/0!</v>
          </cell>
          <cell r="DN5" t="e">
            <v>#DIV/0!</v>
          </cell>
          <cell r="DO5" t="e">
            <v>#DIV/0!</v>
          </cell>
          <cell r="DP5" t="e">
            <v>#DIV/0!</v>
          </cell>
          <cell r="DQ5" t="e">
            <v>#DIV/0!</v>
          </cell>
          <cell r="DR5" t="e">
            <v>#DIV/0!</v>
          </cell>
          <cell r="DS5" t="e">
            <v>#DIV/0!</v>
          </cell>
        </row>
        <row r="6">
          <cell r="CW6">
            <v>12.95</v>
          </cell>
          <cell r="CX6">
            <v>11.572727272727272</v>
          </cell>
          <cell r="CY6">
            <v>22.066363636363636</v>
          </cell>
          <cell r="CZ6">
            <v>23.240571428571432</v>
          </cell>
          <cell r="DA6">
            <v>27.275714285714287</v>
          </cell>
          <cell r="DB6">
            <v>32.56</v>
          </cell>
          <cell r="DC6" t="e">
            <v>#DIV/0!</v>
          </cell>
          <cell r="DD6" t="e">
            <v>#DIV/0!</v>
          </cell>
          <cell r="DE6" t="e">
            <v>#DIV/0!</v>
          </cell>
          <cell r="DF6" t="e">
            <v>#DIV/0!</v>
          </cell>
          <cell r="DG6" t="e">
            <v>#DIV/0!</v>
          </cell>
          <cell r="DH6" t="e">
            <v>#DIV/0!</v>
          </cell>
          <cell r="DI6" t="e">
            <v>#DIV/0!</v>
          </cell>
          <cell r="DJ6" t="e">
            <v>#DIV/0!</v>
          </cell>
          <cell r="DK6" t="e">
            <v>#DIV/0!</v>
          </cell>
          <cell r="DL6" t="e">
            <v>#DIV/0!</v>
          </cell>
          <cell r="DM6" t="e">
            <v>#DIV/0!</v>
          </cell>
          <cell r="DN6" t="e">
            <v>#DIV/0!</v>
          </cell>
          <cell r="DO6" t="e">
            <v>#DIV/0!</v>
          </cell>
          <cell r="DP6" t="e">
            <v>#DIV/0!</v>
          </cell>
          <cell r="DQ6" t="e">
            <v>#DIV/0!</v>
          </cell>
          <cell r="DR6" t="e">
            <v>#DIV/0!</v>
          </cell>
          <cell r="DS6" t="e">
            <v>#DIV/0!</v>
          </cell>
        </row>
        <row r="7">
          <cell r="CW7">
            <v>0</v>
          </cell>
          <cell r="CX7">
            <v>0</v>
          </cell>
          <cell r="CY7">
            <v>0</v>
          </cell>
          <cell r="CZ7">
            <v>0</v>
          </cell>
          <cell r="DA7">
            <v>0</v>
          </cell>
          <cell r="DB7">
            <v>0</v>
          </cell>
          <cell r="DC7" t="e">
            <v>#DIV/0!</v>
          </cell>
          <cell r="DD7" t="e">
            <v>#DIV/0!</v>
          </cell>
          <cell r="DE7" t="e">
            <v>#DIV/0!</v>
          </cell>
          <cell r="DF7" t="e">
            <v>#DIV/0!</v>
          </cell>
          <cell r="DG7" t="e">
            <v>#DIV/0!</v>
          </cell>
          <cell r="DH7" t="e">
            <v>#DIV/0!</v>
          </cell>
          <cell r="DI7" t="e">
            <v>#DIV/0!</v>
          </cell>
          <cell r="DJ7" t="e">
            <v>#DIV/0!</v>
          </cell>
          <cell r="DK7" t="e">
            <v>#DIV/0!</v>
          </cell>
          <cell r="DL7" t="e">
            <v>#DIV/0!</v>
          </cell>
          <cell r="DM7" t="e">
            <v>#DIV/0!</v>
          </cell>
          <cell r="DN7" t="e">
            <v>#DIV/0!</v>
          </cell>
          <cell r="DO7" t="e">
            <v>#DIV/0!</v>
          </cell>
          <cell r="DP7" t="e">
            <v>#DIV/0!</v>
          </cell>
          <cell r="DQ7" t="e">
            <v>#DIV/0!</v>
          </cell>
          <cell r="DR7" t="e">
            <v>#DIV/0!</v>
          </cell>
          <cell r="DS7" t="e">
            <v>#DIV/0!</v>
          </cell>
        </row>
        <row r="8">
          <cell r="CW8">
            <v>6.55</v>
          </cell>
          <cell r="CX8">
            <v>6.0181818181818185</v>
          </cell>
          <cell r="CY8">
            <v>6.0090909090909088</v>
          </cell>
          <cell r="CZ8">
            <v>5.0599999999999996</v>
          </cell>
          <cell r="DA8">
            <v>5.7</v>
          </cell>
          <cell r="DB8">
            <v>6</v>
          </cell>
          <cell r="DC8" t="e">
            <v>#DIV/0!</v>
          </cell>
          <cell r="DD8" t="e">
            <v>#DIV/0!</v>
          </cell>
          <cell r="DE8" t="e">
            <v>#DIV/0!</v>
          </cell>
          <cell r="DF8" t="e">
            <v>#DIV/0!</v>
          </cell>
          <cell r="DG8" t="e">
            <v>#DIV/0!</v>
          </cell>
          <cell r="DH8" t="e">
            <v>#DIV/0!</v>
          </cell>
          <cell r="DI8" t="e">
            <v>#DIV/0!</v>
          </cell>
          <cell r="DJ8" t="e">
            <v>#DIV/0!</v>
          </cell>
          <cell r="DK8" t="e">
            <v>#DIV/0!</v>
          </cell>
          <cell r="DL8" t="e">
            <v>#DIV/0!</v>
          </cell>
          <cell r="DM8" t="e">
            <v>#DIV/0!</v>
          </cell>
          <cell r="DN8" t="e">
            <v>#DIV/0!</v>
          </cell>
          <cell r="DO8" t="e">
            <v>#DIV/0!</v>
          </cell>
          <cell r="DP8" t="e">
            <v>#DIV/0!</v>
          </cell>
          <cell r="DQ8" t="e">
            <v>#DIV/0!</v>
          </cell>
          <cell r="DR8" t="e">
            <v>#DIV/0!</v>
          </cell>
          <cell r="DS8" t="e">
            <v>#DIV/0!</v>
          </cell>
        </row>
        <row r="9">
          <cell r="CW9">
            <v>6.4</v>
          </cell>
          <cell r="CX9">
            <v>5.5545454545454547</v>
          </cell>
          <cell r="CY9">
            <v>5.5772727272727272</v>
          </cell>
          <cell r="CZ9">
            <v>5.0057142857142853</v>
          </cell>
          <cell r="DA9">
            <v>5.1071428571428568</v>
          </cell>
          <cell r="DB9">
            <v>5.6</v>
          </cell>
          <cell r="DC9" t="e">
            <v>#DIV/0!</v>
          </cell>
          <cell r="DD9" t="e">
            <v>#DIV/0!</v>
          </cell>
          <cell r="DE9" t="e">
            <v>#DIV/0!</v>
          </cell>
          <cell r="DF9" t="e">
            <v>#DIV/0!</v>
          </cell>
          <cell r="DG9" t="e">
            <v>#DIV/0!</v>
          </cell>
          <cell r="DH9" t="e">
            <v>#DIV/0!</v>
          </cell>
          <cell r="DI9" t="e">
            <v>#DIV/0!</v>
          </cell>
          <cell r="DJ9" t="e">
            <v>#DIV/0!</v>
          </cell>
          <cell r="DK9" t="e">
            <v>#DIV/0!</v>
          </cell>
          <cell r="DL9" t="e">
            <v>#DIV/0!</v>
          </cell>
          <cell r="DM9" t="e">
            <v>#DIV/0!</v>
          </cell>
          <cell r="DN9" t="e">
            <v>#DIV/0!</v>
          </cell>
          <cell r="DO9" t="e">
            <v>#DIV/0!</v>
          </cell>
          <cell r="DP9" t="e">
            <v>#DIV/0!</v>
          </cell>
          <cell r="DQ9" t="e">
            <v>#DIV/0!</v>
          </cell>
          <cell r="DR9" t="e">
            <v>#DIV/0!</v>
          </cell>
          <cell r="DS9" t="e">
            <v>#DIV/0!</v>
          </cell>
        </row>
        <row r="10">
          <cell r="CW10">
            <v>64</v>
          </cell>
          <cell r="CX10">
            <v>88</v>
          </cell>
          <cell r="CY10">
            <v>176</v>
          </cell>
          <cell r="CZ10">
            <v>140</v>
          </cell>
          <cell r="DA10">
            <v>112</v>
          </cell>
          <cell r="DB10">
            <v>88</v>
          </cell>
          <cell r="DC10">
            <v>0</v>
          </cell>
          <cell r="DD10">
            <v>0</v>
          </cell>
          <cell r="DE10">
            <v>0</v>
          </cell>
          <cell r="DF10">
            <v>0</v>
          </cell>
          <cell r="DG10">
            <v>0</v>
          </cell>
          <cell r="DH10">
            <v>0</v>
          </cell>
          <cell r="DI10">
            <v>0</v>
          </cell>
          <cell r="DJ10">
            <v>0</v>
          </cell>
          <cell r="DK10">
            <v>0</v>
          </cell>
          <cell r="DL10">
            <v>0</v>
          </cell>
          <cell r="DM10">
            <v>0</v>
          </cell>
          <cell r="DN10">
            <v>0</v>
          </cell>
          <cell r="DO10">
            <v>0</v>
          </cell>
          <cell r="DP10">
            <v>0</v>
          </cell>
          <cell r="DQ10">
            <v>0</v>
          </cell>
          <cell r="DR10">
            <v>0</v>
          </cell>
          <cell r="DS10">
            <v>0</v>
          </cell>
        </row>
        <row r="11">
          <cell r="CW11">
            <v>200643</v>
          </cell>
          <cell r="CX11">
            <v>200644</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row>
        <row r="12">
          <cell r="CW12">
            <v>113.08571428571429</v>
          </cell>
          <cell r="CX12">
            <v>110.432</v>
          </cell>
          <cell r="CY12">
            <v>110.416</v>
          </cell>
          <cell r="CZ12">
            <v>109.31578947368421</v>
          </cell>
          <cell r="DA12">
            <v>108.48275862068965</v>
          </cell>
          <cell r="DB12">
            <v>110.4</v>
          </cell>
          <cell r="DC12" t="e">
            <v>#DIV/0!</v>
          </cell>
          <cell r="DD12" t="e">
            <v>#DIV/0!</v>
          </cell>
          <cell r="DE12" t="e">
            <v>#DIV/0!</v>
          </cell>
          <cell r="DF12" t="e">
            <v>#DIV/0!</v>
          </cell>
          <cell r="DG12" t="e">
            <v>#DIV/0!</v>
          </cell>
          <cell r="DH12" t="e">
            <v>#DIV/0!</v>
          </cell>
          <cell r="DI12" t="e">
            <v>#DIV/0!</v>
          </cell>
          <cell r="DJ12" t="e">
            <v>#DIV/0!</v>
          </cell>
          <cell r="DK12" t="e">
            <v>#DIV/0!</v>
          </cell>
          <cell r="DL12" t="e">
            <v>#DIV/0!</v>
          </cell>
          <cell r="DM12" t="e">
            <v>#DIV/0!</v>
          </cell>
          <cell r="DN12" t="e">
            <v>#DIV/0!</v>
          </cell>
          <cell r="DO12" t="e">
            <v>#DIV/0!</v>
          </cell>
          <cell r="DP12" t="e">
            <v>#DIV/0!</v>
          </cell>
          <cell r="DQ12" t="e">
            <v>#DIV/0!</v>
          </cell>
          <cell r="DR12" t="e">
            <v>#DIV/0!</v>
          </cell>
          <cell r="DS12" t="e">
            <v>#DIV/0!</v>
          </cell>
        </row>
        <row r="13">
          <cell r="CW13">
            <v>9.0571428571428569</v>
          </cell>
          <cell r="CX13">
            <v>8.6159999999999997</v>
          </cell>
          <cell r="CY13">
            <v>8.6079999999999988</v>
          </cell>
          <cell r="CZ13">
            <v>8.1684210526315777</v>
          </cell>
          <cell r="DA13">
            <v>8.2827586206896555</v>
          </cell>
          <cell r="DB13">
            <v>8.6</v>
          </cell>
          <cell r="DC13" t="e">
            <v>#DIV/0!</v>
          </cell>
          <cell r="DD13" t="e">
            <v>#DIV/0!</v>
          </cell>
          <cell r="DE13" t="e">
            <v>#DIV/0!</v>
          </cell>
          <cell r="DF13" t="e">
            <v>#DIV/0!</v>
          </cell>
          <cell r="DG13" t="e">
            <v>#DIV/0!</v>
          </cell>
          <cell r="DH13" t="e">
            <v>#DIV/0!</v>
          </cell>
          <cell r="DI13" t="e">
            <v>#DIV/0!</v>
          </cell>
          <cell r="DJ13" t="e">
            <v>#DIV/0!</v>
          </cell>
          <cell r="DK13" t="e">
            <v>#DIV/0!</v>
          </cell>
          <cell r="DL13" t="e">
            <v>#DIV/0!</v>
          </cell>
          <cell r="DM13" t="e">
            <v>#DIV/0!</v>
          </cell>
          <cell r="DN13" t="e">
            <v>#DIV/0!</v>
          </cell>
          <cell r="DO13" t="e">
            <v>#DIV/0!</v>
          </cell>
          <cell r="DP13" t="e">
            <v>#DIV/0!</v>
          </cell>
          <cell r="DQ13" t="e">
            <v>#DIV/0!</v>
          </cell>
          <cell r="DR13" t="e">
            <v>#DIV/0!</v>
          </cell>
          <cell r="DS13" t="e">
            <v>#DIV/0!</v>
          </cell>
        </row>
        <row r="14">
          <cell r="CW14">
            <v>42</v>
          </cell>
          <cell r="CX14">
            <v>50</v>
          </cell>
          <cell r="CY14">
            <v>100</v>
          </cell>
          <cell r="CZ14">
            <v>76</v>
          </cell>
          <cell r="DA14">
            <v>58</v>
          </cell>
          <cell r="DB14">
            <v>50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row>
        <row r="15">
          <cell r="CW15">
            <v>200643</v>
          </cell>
          <cell r="CX15">
            <v>200644</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row>
        <row r="16">
          <cell r="CW16">
            <v>158.20000000000002</v>
          </cell>
          <cell r="CX16">
            <v>153.60869565217391</v>
          </cell>
          <cell r="CY16">
            <v>154.10434782608698</v>
          </cell>
          <cell r="CZ16">
            <v>151.6888888888889</v>
          </cell>
          <cell r="DA16">
            <v>151.5505882352941</v>
          </cell>
          <cell r="DB16">
            <v>154.6</v>
          </cell>
          <cell r="DC16" t="e">
            <v>#DIV/0!</v>
          </cell>
          <cell r="DD16" t="e">
            <v>#DIV/0!</v>
          </cell>
          <cell r="DE16" t="e">
            <v>#DIV/0!</v>
          </cell>
          <cell r="DF16" t="e">
            <v>#DIV/0!</v>
          </cell>
          <cell r="DG16" t="e">
            <v>#DIV/0!</v>
          </cell>
          <cell r="DH16" t="e">
            <v>#DIV/0!</v>
          </cell>
          <cell r="DI16" t="e">
            <v>#DIV/0!</v>
          </cell>
          <cell r="DJ16" t="e">
            <v>#DIV/0!</v>
          </cell>
          <cell r="DK16" t="e">
            <v>#DIV/0!</v>
          </cell>
          <cell r="DL16" t="e">
            <v>#DIV/0!</v>
          </cell>
          <cell r="DM16" t="e">
            <v>#DIV/0!</v>
          </cell>
          <cell r="DN16" t="e">
            <v>#DIV/0!</v>
          </cell>
          <cell r="DO16" t="e">
            <v>#DIV/0!</v>
          </cell>
          <cell r="DP16" t="e">
            <v>#DIV/0!</v>
          </cell>
          <cell r="DQ16" t="e">
            <v>#DIV/0!</v>
          </cell>
          <cell r="DR16" t="e">
            <v>#DIV/0!</v>
          </cell>
          <cell r="DS16" t="e">
            <v>#DIV/0!</v>
          </cell>
        </row>
        <row r="17">
          <cell r="CW17">
            <v>22.032075471698114</v>
          </cell>
          <cell r="CX17">
            <v>20.215942028985509</v>
          </cell>
          <cell r="CY17">
            <v>20.207971014492752</v>
          </cell>
          <cell r="CZ17">
            <v>18.182407407407407</v>
          </cell>
          <cell r="DA17">
            <v>19.070588235294117</v>
          </cell>
          <cell r="DB17">
            <v>20.2</v>
          </cell>
          <cell r="DC17" t="e">
            <v>#DIV/0!</v>
          </cell>
          <cell r="DD17" t="e">
            <v>#DIV/0!</v>
          </cell>
          <cell r="DE17" t="e">
            <v>#DIV/0!</v>
          </cell>
          <cell r="DF17" t="e">
            <v>#DIV/0!</v>
          </cell>
          <cell r="DG17" t="e">
            <v>#DIV/0!</v>
          </cell>
          <cell r="DH17" t="e">
            <v>#DIV/0!</v>
          </cell>
          <cell r="DI17" t="e">
            <v>#DIV/0!</v>
          </cell>
          <cell r="DJ17" t="e">
            <v>#DIV/0!</v>
          </cell>
          <cell r="DK17" t="e">
            <v>#DIV/0!</v>
          </cell>
          <cell r="DL17" t="e">
            <v>#DIV/0!</v>
          </cell>
          <cell r="DM17" t="e">
            <v>#DIV/0!</v>
          </cell>
          <cell r="DN17" t="e">
            <v>#DIV/0!</v>
          </cell>
          <cell r="DO17" t="e">
            <v>#DIV/0!</v>
          </cell>
          <cell r="DP17" t="e">
            <v>#DIV/0!</v>
          </cell>
          <cell r="DQ17" t="e">
            <v>#DIV/0!</v>
          </cell>
          <cell r="DR17" t="e">
            <v>#DIV/0!</v>
          </cell>
          <cell r="DS17" t="e">
            <v>#DIV/0!</v>
          </cell>
        </row>
        <row r="18">
          <cell r="CW18">
            <v>0</v>
          </cell>
          <cell r="CX18">
            <v>0</v>
          </cell>
          <cell r="CY18">
            <v>0</v>
          </cell>
          <cell r="CZ18">
            <v>0</v>
          </cell>
          <cell r="DA18">
            <v>0</v>
          </cell>
          <cell r="DB18">
            <v>0</v>
          </cell>
          <cell r="DC18" t="e">
            <v>#DIV/0!</v>
          </cell>
          <cell r="DD18" t="e">
            <v>#DIV/0!</v>
          </cell>
          <cell r="DE18" t="e">
            <v>#DIV/0!</v>
          </cell>
          <cell r="DF18" t="e">
            <v>#DIV/0!</v>
          </cell>
          <cell r="DG18" t="e">
            <v>#DIV/0!</v>
          </cell>
          <cell r="DH18" t="e">
            <v>#DIV/0!</v>
          </cell>
          <cell r="DI18" t="e">
            <v>#DIV/0!</v>
          </cell>
          <cell r="DJ18" t="e">
            <v>#DIV/0!</v>
          </cell>
          <cell r="DK18" t="e">
            <v>#DIV/0!</v>
          </cell>
          <cell r="DL18" t="e">
            <v>#DIV/0!</v>
          </cell>
          <cell r="DM18" t="e">
            <v>#DIV/0!</v>
          </cell>
          <cell r="DN18" t="e">
            <v>#DIV/0!</v>
          </cell>
          <cell r="DO18" t="e">
            <v>#DIV/0!</v>
          </cell>
          <cell r="DP18" t="e">
            <v>#DIV/0!</v>
          </cell>
          <cell r="DQ18" t="e">
            <v>#DIV/0!</v>
          </cell>
          <cell r="DR18" t="e">
            <v>#DIV/0!</v>
          </cell>
          <cell r="DS18" t="e">
            <v>#DIV/0!</v>
          </cell>
        </row>
        <row r="19">
          <cell r="CW19">
            <v>15.620754716981132</v>
          </cell>
          <cell r="CX19">
            <v>14.502898550724638</v>
          </cell>
          <cell r="CY19">
            <v>25.051449275362323</v>
          </cell>
          <cell r="CZ19">
            <v>26.537962962962965</v>
          </cell>
          <cell r="DA19">
            <v>30.931764705882355</v>
          </cell>
          <cell r="DB19">
            <v>35.6</v>
          </cell>
          <cell r="DC19" t="e">
            <v>#DIV/0!</v>
          </cell>
          <cell r="DD19" t="e">
            <v>#DIV/0!</v>
          </cell>
          <cell r="DE19" t="e">
            <v>#DIV/0!</v>
          </cell>
          <cell r="DF19" t="e">
            <v>#DIV/0!</v>
          </cell>
          <cell r="DG19" t="e">
            <v>#DIV/0!</v>
          </cell>
          <cell r="DH19" t="e">
            <v>#DIV/0!</v>
          </cell>
          <cell r="DI19" t="e">
            <v>#DIV/0!</v>
          </cell>
          <cell r="DJ19" t="e">
            <v>#DIV/0!</v>
          </cell>
          <cell r="DK19" t="e">
            <v>#DIV/0!</v>
          </cell>
          <cell r="DL19" t="e">
            <v>#DIV/0!</v>
          </cell>
          <cell r="DM19" t="e">
            <v>#DIV/0!</v>
          </cell>
          <cell r="DN19" t="e">
            <v>#DIV/0!</v>
          </cell>
          <cell r="DO19" t="e">
            <v>#DIV/0!</v>
          </cell>
          <cell r="DP19" t="e">
            <v>#DIV/0!</v>
          </cell>
          <cell r="DQ19" t="e">
            <v>#DIV/0!</v>
          </cell>
          <cell r="DR19" t="e">
            <v>#DIV/0!</v>
          </cell>
          <cell r="DS19" t="e">
            <v>#DIV/0!</v>
          </cell>
        </row>
        <row r="20">
          <cell r="CW20">
            <v>6.4113207547169813</v>
          </cell>
          <cell r="CX20">
            <v>5.6898550724637689</v>
          </cell>
          <cell r="CY20">
            <v>5.6449275362318838</v>
          </cell>
          <cell r="CZ20">
            <v>5.0462962962962967</v>
          </cell>
          <cell r="DA20">
            <v>5.1670588235294117</v>
          </cell>
          <cell r="DB20">
            <v>5.6</v>
          </cell>
          <cell r="DC20" t="e">
            <v>#DIV/0!</v>
          </cell>
          <cell r="DD20" t="e">
            <v>#DIV/0!</v>
          </cell>
          <cell r="DE20" t="e">
            <v>#DIV/0!</v>
          </cell>
          <cell r="DF20" t="e">
            <v>#DIV/0!</v>
          </cell>
          <cell r="DG20" t="e">
            <v>#DIV/0!</v>
          </cell>
          <cell r="DH20" t="e">
            <v>#DIV/0!</v>
          </cell>
          <cell r="DI20" t="e">
            <v>#DIV/0!</v>
          </cell>
          <cell r="DJ20" t="e">
            <v>#DIV/0!</v>
          </cell>
          <cell r="DK20" t="e">
            <v>#DIV/0!</v>
          </cell>
          <cell r="DL20" t="e">
            <v>#DIV/0!</v>
          </cell>
          <cell r="DM20" t="e">
            <v>#DIV/0!</v>
          </cell>
          <cell r="DN20" t="e">
            <v>#DIV/0!</v>
          </cell>
          <cell r="DO20" t="e">
            <v>#DIV/0!</v>
          </cell>
          <cell r="DP20" t="e">
            <v>#DIV/0!</v>
          </cell>
          <cell r="DQ20" t="e">
            <v>#DIV/0!</v>
          </cell>
          <cell r="DR20" t="e">
            <v>#DIV/0!</v>
          </cell>
          <cell r="DS20" t="e">
            <v>#DIV/0!</v>
          </cell>
        </row>
        <row r="22">
          <cell r="CV22">
            <v>60</v>
          </cell>
          <cell r="CW22">
            <v>106</v>
          </cell>
          <cell r="CX22">
            <v>138</v>
          </cell>
          <cell r="CY22">
            <v>276</v>
          </cell>
          <cell r="CZ22">
            <v>216</v>
          </cell>
          <cell r="DA22">
            <v>170</v>
          </cell>
          <cell r="DB22">
            <v>138</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row>
        <row r="73">
          <cell r="CV73">
            <v>200642</v>
          </cell>
          <cell r="CW73">
            <v>200643</v>
          </cell>
          <cell r="CX73">
            <v>200644</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row>
        <row r="74">
          <cell r="CY74">
            <v>477.13636363636363</v>
          </cell>
          <cell r="CZ74">
            <v>435.51428571428573</v>
          </cell>
          <cell r="DA74">
            <v>455.14285714285717</v>
          </cell>
          <cell r="DB74">
            <v>477</v>
          </cell>
          <cell r="DC74" t="e">
            <v>#DIV/0!</v>
          </cell>
          <cell r="DD74" t="e">
            <v>#DIV/0!</v>
          </cell>
          <cell r="DE74" t="e">
            <v>#DIV/0!</v>
          </cell>
          <cell r="DF74" t="e">
            <v>#DIV/0!</v>
          </cell>
          <cell r="DG74" t="e">
            <v>#DIV/0!</v>
          </cell>
          <cell r="DH74" t="e">
            <v>#DIV/0!</v>
          </cell>
          <cell r="DI74" t="e">
            <v>#DIV/0!</v>
          </cell>
          <cell r="DJ74" t="e">
            <v>#DIV/0!</v>
          </cell>
          <cell r="DK74" t="e">
            <v>#DIV/0!</v>
          </cell>
          <cell r="DL74" t="e">
            <v>#DIV/0!</v>
          </cell>
          <cell r="DM74" t="e">
            <v>#DIV/0!</v>
          </cell>
          <cell r="DN74" t="e">
            <v>#DIV/0!</v>
          </cell>
          <cell r="DO74" t="e">
            <v>#DIV/0!</v>
          </cell>
          <cell r="DP74" t="e">
            <v>#DIV/0!</v>
          </cell>
          <cell r="DQ74" t="e">
            <v>#DIV/0!</v>
          </cell>
          <cell r="DR74" t="e">
            <v>#DIV/0!</v>
          </cell>
          <cell r="DS74" t="e">
            <v>#DIV/0!</v>
          </cell>
          <cell r="DT74" t="e">
            <v>#DIV/0!</v>
          </cell>
          <cell r="DU74" t="e">
            <v>#DIV/0!</v>
          </cell>
          <cell r="DV74" t="e">
            <v>#DIV/0!</v>
          </cell>
          <cell r="DW74" t="e">
            <v>#DIV/0!</v>
          </cell>
          <cell r="DX74" t="e">
            <v>#DIV/0!</v>
          </cell>
          <cell r="DY74" t="e">
            <v>#DIV/0!</v>
          </cell>
          <cell r="DZ74" t="e">
            <v>#DIV/0!</v>
          </cell>
          <cell r="EA74" t="e">
            <v>#DIV/0!</v>
          </cell>
          <cell r="EB74" t="e">
            <v>#DIV/0!</v>
          </cell>
          <cell r="EC74" t="e">
            <v>#DIV/0!</v>
          </cell>
          <cell r="ED74" t="e">
            <v>#DIV/0!</v>
          </cell>
          <cell r="EE74" t="e">
            <v>#DIV/0!</v>
          </cell>
          <cell r="EF74" t="e">
            <v>#DIV/0!</v>
          </cell>
        </row>
        <row r="75">
          <cell r="CY75">
            <v>443.11363636363637</v>
          </cell>
          <cell r="CZ75">
            <v>399.94285714285712</v>
          </cell>
          <cell r="DA75">
            <v>428.42857142857144</v>
          </cell>
          <cell r="DB75">
            <v>443</v>
          </cell>
          <cell r="DC75" t="e">
            <v>#DIV/0!</v>
          </cell>
          <cell r="DD75" t="e">
            <v>#DIV/0!</v>
          </cell>
          <cell r="DE75" t="e">
            <v>#DIV/0!</v>
          </cell>
          <cell r="DF75" t="e">
            <v>#DIV/0!</v>
          </cell>
          <cell r="DG75" t="e">
            <v>#DIV/0!</v>
          </cell>
          <cell r="DH75" t="e">
            <v>#DIV/0!</v>
          </cell>
          <cell r="DI75" t="e">
            <v>#DIV/0!</v>
          </cell>
          <cell r="DJ75" t="e">
            <v>#DIV/0!</v>
          </cell>
          <cell r="DK75" t="e">
            <v>#DIV/0!</v>
          </cell>
          <cell r="DL75" t="e">
            <v>#DIV/0!</v>
          </cell>
          <cell r="DM75" t="e">
            <v>#DIV/0!</v>
          </cell>
          <cell r="DN75" t="e">
            <v>#DIV/0!</v>
          </cell>
          <cell r="DO75" t="e">
            <v>#DIV/0!</v>
          </cell>
          <cell r="DP75" t="e">
            <v>#DIV/0!</v>
          </cell>
          <cell r="DQ75" t="e">
            <v>#DIV/0!</v>
          </cell>
          <cell r="DR75" t="e">
            <v>#DIV/0!</v>
          </cell>
          <cell r="DS75" t="e">
            <v>#DIV/0!</v>
          </cell>
          <cell r="DT75" t="e">
            <v>#DIV/0!</v>
          </cell>
          <cell r="DU75" t="e">
            <v>#DIV/0!</v>
          </cell>
          <cell r="DV75" t="e">
            <v>#DIV/0!</v>
          </cell>
          <cell r="DW75" t="e">
            <v>#DIV/0!</v>
          </cell>
          <cell r="DX75" t="e">
            <v>#DIV/0!</v>
          </cell>
          <cell r="DY75" t="e">
            <v>#DIV/0!</v>
          </cell>
          <cell r="DZ75" t="e">
            <v>#DIV/0!</v>
          </cell>
          <cell r="EA75" t="e">
            <v>#DIV/0!</v>
          </cell>
          <cell r="EB75" t="e">
            <v>#DIV/0!</v>
          </cell>
          <cell r="EC75" t="e">
            <v>#DIV/0!</v>
          </cell>
          <cell r="ED75" t="e">
            <v>#DIV/0!</v>
          </cell>
          <cell r="EE75" t="e">
            <v>#DIV/0!</v>
          </cell>
          <cell r="EF75" t="e">
            <v>#DIV/0!</v>
          </cell>
        </row>
        <row r="76">
          <cell r="CY76">
            <v>0</v>
          </cell>
          <cell r="CZ76">
            <v>0</v>
          </cell>
          <cell r="DA76">
            <v>0</v>
          </cell>
          <cell r="DB76">
            <v>0</v>
          </cell>
          <cell r="DC76" t="e">
            <v>#DIV/0!</v>
          </cell>
          <cell r="DD76" t="e">
            <v>#DIV/0!</v>
          </cell>
          <cell r="DE76" t="e">
            <v>#DIV/0!</v>
          </cell>
          <cell r="DF76" t="e">
            <v>#DIV/0!</v>
          </cell>
          <cell r="DG76" t="e">
            <v>#DIV/0!</v>
          </cell>
          <cell r="DH76" t="e">
            <v>#DIV/0!</v>
          </cell>
          <cell r="DI76" t="e">
            <v>#DIV/0!</v>
          </cell>
          <cell r="DJ76" t="e">
            <v>#DIV/0!</v>
          </cell>
          <cell r="DK76" t="e">
            <v>#DIV/0!</v>
          </cell>
          <cell r="DL76" t="e">
            <v>#DIV/0!</v>
          </cell>
          <cell r="DM76" t="e">
            <v>#DIV/0!</v>
          </cell>
          <cell r="DN76" t="e">
            <v>#DIV/0!</v>
          </cell>
          <cell r="DO76" t="e">
            <v>#DIV/0!</v>
          </cell>
          <cell r="DP76" t="e">
            <v>#DIV/0!</v>
          </cell>
          <cell r="DQ76" t="e">
            <v>#DIV/0!</v>
          </cell>
          <cell r="DR76" t="e">
            <v>#DIV/0!</v>
          </cell>
          <cell r="DS76" t="e">
            <v>#DIV/0!</v>
          </cell>
          <cell r="DT76" t="e">
            <v>#DIV/0!</v>
          </cell>
          <cell r="DU76" t="e">
            <v>#DIV/0!</v>
          </cell>
          <cell r="DV76" t="e">
            <v>#DIV/0!</v>
          </cell>
          <cell r="DW76" t="e">
            <v>#DIV/0!</v>
          </cell>
          <cell r="DX76" t="e">
            <v>#DIV/0!</v>
          </cell>
          <cell r="DY76" t="e">
            <v>#DIV/0!</v>
          </cell>
          <cell r="DZ76" t="e">
            <v>#DIV/0!</v>
          </cell>
          <cell r="EA76" t="e">
            <v>#DIV/0!</v>
          </cell>
          <cell r="EB76" t="e">
            <v>#DIV/0!</v>
          </cell>
          <cell r="EC76" t="e">
            <v>#DIV/0!</v>
          </cell>
          <cell r="ED76" t="e">
            <v>#DIV/0!</v>
          </cell>
          <cell r="EE76" t="e">
            <v>#DIV/0!</v>
          </cell>
          <cell r="EF76" t="e">
            <v>#DIV/0!</v>
          </cell>
        </row>
        <row r="77">
          <cell r="CY77">
            <v>204.75</v>
          </cell>
          <cell r="CZ77">
            <v>185.91428571428571</v>
          </cell>
          <cell r="DA77">
            <v>205.64285714285714</v>
          </cell>
          <cell r="DB77">
            <v>205</v>
          </cell>
          <cell r="DC77" t="e">
            <v>#DIV/0!</v>
          </cell>
          <cell r="DD77" t="e">
            <v>#DIV/0!</v>
          </cell>
          <cell r="DE77" t="e">
            <v>#DIV/0!</v>
          </cell>
          <cell r="DF77" t="e">
            <v>#DIV/0!</v>
          </cell>
          <cell r="DG77" t="e">
            <v>#DIV/0!</v>
          </cell>
          <cell r="DH77" t="e">
            <v>#DIV/0!</v>
          </cell>
          <cell r="DI77" t="e">
            <v>#DIV/0!</v>
          </cell>
          <cell r="DJ77" t="e">
            <v>#DIV/0!</v>
          </cell>
          <cell r="DK77" t="e">
            <v>#DIV/0!</v>
          </cell>
          <cell r="DL77" t="e">
            <v>#DIV/0!</v>
          </cell>
          <cell r="DM77" t="e">
            <v>#DIV/0!</v>
          </cell>
          <cell r="DN77" t="e">
            <v>#DIV/0!</v>
          </cell>
          <cell r="DO77" t="e">
            <v>#DIV/0!</v>
          </cell>
          <cell r="DP77" t="e">
            <v>#DIV/0!</v>
          </cell>
          <cell r="DQ77" t="e">
            <v>#DIV/0!</v>
          </cell>
          <cell r="DR77" t="e">
            <v>#DIV/0!</v>
          </cell>
          <cell r="DS77" t="e">
            <v>#DIV/0!</v>
          </cell>
          <cell r="DT77" t="e">
            <v>#DIV/0!</v>
          </cell>
          <cell r="DU77" t="e">
            <v>#DIV/0!</v>
          </cell>
          <cell r="DV77" t="e">
            <v>#DIV/0!</v>
          </cell>
          <cell r="DW77" t="e">
            <v>#DIV/0!</v>
          </cell>
          <cell r="DX77" t="e">
            <v>#DIV/0!</v>
          </cell>
          <cell r="DY77" t="e">
            <v>#DIV/0!</v>
          </cell>
          <cell r="DZ77" t="e">
            <v>#DIV/0!</v>
          </cell>
          <cell r="EA77" t="e">
            <v>#DIV/0!</v>
          </cell>
          <cell r="EB77" t="e">
            <v>#DIV/0!</v>
          </cell>
          <cell r="EC77" t="e">
            <v>#DIV/0!</v>
          </cell>
          <cell r="ED77" t="e">
            <v>#DIV/0!</v>
          </cell>
          <cell r="EE77" t="e">
            <v>#DIV/0!</v>
          </cell>
          <cell r="EF77" t="e">
            <v>#DIV/0!</v>
          </cell>
        </row>
        <row r="78">
          <cell r="CY78">
            <v>238.86363636363637</v>
          </cell>
          <cell r="CZ78">
            <v>214.65714285714284</v>
          </cell>
          <cell r="DA78">
            <v>223.57142857142858</v>
          </cell>
          <cell r="DB78">
            <v>239</v>
          </cell>
          <cell r="DC78" t="e">
            <v>#DIV/0!</v>
          </cell>
          <cell r="DD78" t="e">
            <v>#DIV/0!</v>
          </cell>
          <cell r="DE78" t="e">
            <v>#DIV/0!</v>
          </cell>
          <cell r="DF78" t="e">
            <v>#DIV/0!</v>
          </cell>
          <cell r="DG78" t="e">
            <v>#DIV/0!</v>
          </cell>
          <cell r="DH78" t="e">
            <v>#DIV/0!</v>
          </cell>
          <cell r="DI78" t="e">
            <v>#DIV/0!</v>
          </cell>
          <cell r="DJ78" t="e">
            <v>#DIV/0!</v>
          </cell>
          <cell r="DK78" t="e">
            <v>#DIV/0!</v>
          </cell>
          <cell r="DL78" t="e">
            <v>#DIV/0!</v>
          </cell>
          <cell r="DM78" t="e">
            <v>#DIV/0!</v>
          </cell>
          <cell r="DN78" t="e">
            <v>#DIV/0!</v>
          </cell>
          <cell r="DO78" t="e">
            <v>#DIV/0!</v>
          </cell>
          <cell r="DP78" t="e">
            <v>#DIV/0!</v>
          </cell>
          <cell r="DQ78" t="e">
            <v>#DIV/0!</v>
          </cell>
          <cell r="DR78" t="e">
            <v>#DIV/0!</v>
          </cell>
          <cell r="DS78" t="e">
            <v>#DIV/0!</v>
          </cell>
          <cell r="DT78" t="e">
            <v>#DIV/0!</v>
          </cell>
          <cell r="DU78" t="e">
            <v>#DIV/0!</v>
          </cell>
          <cell r="DV78" t="e">
            <v>#DIV/0!</v>
          </cell>
          <cell r="DW78" t="e">
            <v>#DIV/0!</v>
          </cell>
          <cell r="DX78" t="e">
            <v>#DIV/0!</v>
          </cell>
          <cell r="DY78" t="e">
            <v>#DIV/0!</v>
          </cell>
          <cell r="DZ78" t="e">
            <v>#DIV/0!</v>
          </cell>
          <cell r="EA78" t="e">
            <v>#DIV/0!</v>
          </cell>
          <cell r="EB78" t="e">
            <v>#DIV/0!</v>
          </cell>
          <cell r="EC78" t="e">
            <v>#DIV/0!</v>
          </cell>
          <cell r="ED78" t="e">
            <v>#DIV/0!</v>
          </cell>
          <cell r="EE78" t="e">
            <v>#DIV/0!</v>
          </cell>
          <cell r="EF78" t="e">
            <v>#DIV/0!</v>
          </cell>
        </row>
        <row r="79">
          <cell r="CY79">
            <v>176</v>
          </cell>
          <cell r="CZ79">
            <v>140</v>
          </cell>
          <cell r="DA79">
            <v>112</v>
          </cell>
          <cell r="DB79">
            <v>88</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row>
        <row r="80">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row>
        <row r="81">
          <cell r="CY81">
            <v>820.12</v>
          </cell>
          <cell r="CZ81">
            <v>789.52631578947364</v>
          </cell>
          <cell r="DA81">
            <v>793.10344827586209</v>
          </cell>
          <cell r="DB81">
            <v>820</v>
          </cell>
          <cell r="DC81" t="e">
            <v>#DIV/0!</v>
          </cell>
          <cell r="DD81" t="e">
            <v>#DIV/0!</v>
          </cell>
          <cell r="DE81" t="e">
            <v>#DIV/0!</v>
          </cell>
          <cell r="DF81" t="e">
            <v>#DIV/0!</v>
          </cell>
          <cell r="DG81" t="e">
            <v>#DIV/0!</v>
          </cell>
          <cell r="DH81" t="e">
            <v>#DIV/0!</v>
          </cell>
          <cell r="DI81" t="e">
            <v>#DIV/0!</v>
          </cell>
          <cell r="DJ81" t="e">
            <v>#DIV/0!</v>
          </cell>
          <cell r="DK81" t="e">
            <v>#DIV/0!</v>
          </cell>
          <cell r="DL81" t="e">
            <v>#DIV/0!</v>
          </cell>
          <cell r="DM81" t="e">
            <v>#DIV/0!</v>
          </cell>
          <cell r="DN81" t="e">
            <v>#DIV/0!</v>
          </cell>
          <cell r="DO81" t="e">
            <v>#DIV/0!</v>
          </cell>
          <cell r="DP81" t="e">
            <v>#DIV/0!</v>
          </cell>
          <cell r="DQ81" t="e">
            <v>#DIV/0!</v>
          </cell>
          <cell r="DR81" t="e">
            <v>#DIV/0!</v>
          </cell>
          <cell r="DS81" t="e">
            <v>#DIV/0!</v>
          </cell>
          <cell r="DT81" t="e">
            <v>#DIV/0!</v>
          </cell>
          <cell r="DU81" t="e">
            <v>#DIV/0!</v>
          </cell>
          <cell r="DV81" t="e">
            <v>#DIV/0!</v>
          </cell>
          <cell r="DW81" t="e">
            <v>#DIV/0!</v>
          </cell>
          <cell r="DX81" t="e">
            <v>#DIV/0!</v>
          </cell>
          <cell r="DY81" t="e">
            <v>#DIV/0!</v>
          </cell>
          <cell r="DZ81" t="e">
            <v>#DIV/0!</v>
          </cell>
          <cell r="EA81" t="e">
            <v>#DIV/0!</v>
          </cell>
          <cell r="EB81" t="e">
            <v>#DIV/0!</v>
          </cell>
          <cell r="EC81" t="e">
            <v>#DIV/0!</v>
          </cell>
          <cell r="ED81" t="e">
            <v>#DIV/0!</v>
          </cell>
          <cell r="EE81" t="e">
            <v>#DIV/0!</v>
          </cell>
          <cell r="EF81" t="e">
            <v>#DIV/0!</v>
          </cell>
        </row>
        <row r="82">
          <cell r="CY82">
            <v>100</v>
          </cell>
          <cell r="CZ82">
            <v>76</v>
          </cell>
          <cell r="DA82">
            <v>58</v>
          </cell>
          <cell r="DB82">
            <v>50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row>
        <row r="83">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row>
        <row r="84">
          <cell r="CY84" t="e">
            <v>#VALUE!</v>
          </cell>
          <cell r="CZ84" t="e">
            <v>#VALUE!</v>
          </cell>
          <cell r="DA84" t="e">
            <v>#VALUE!</v>
          </cell>
          <cell r="DB84" t="e">
            <v>#VALUE!</v>
          </cell>
          <cell r="DC84" t="e">
            <v>#DIV/0!</v>
          </cell>
          <cell r="DD84" t="e">
            <v>#DIV/0!</v>
          </cell>
          <cell r="DE84" t="e">
            <v>#DIV/0!</v>
          </cell>
          <cell r="DF84" t="e">
            <v>#DIV/0!</v>
          </cell>
          <cell r="DG84" t="e">
            <v>#DIV/0!</v>
          </cell>
          <cell r="DH84" t="e">
            <v>#DIV/0!</v>
          </cell>
          <cell r="DI84" t="e">
            <v>#DIV/0!</v>
          </cell>
          <cell r="DJ84" t="e">
            <v>#DIV/0!</v>
          </cell>
          <cell r="DK84" t="e">
            <v>#DIV/0!</v>
          </cell>
          <cell r="DL84" t="e">
            <v>#DIV/0!</v>
          </cell>
          <cell r="DM84" t="e">
            <v>#DIV/0!</v>
          </cell>
          <cell r="DN84" t="e">
            <v>#DIV/0!</v>
          </cell>
          <cell r="DO84" t="e">
            <v>#DIV/0!</v>
          </cell>
          <cell r="DP84" t="e">
            <v>#DIV/0!</v>
          </cell>
          <cell r="DQ84" t="e">
            <v>#DIV/0!</v>
          </cell>
          <cell r="DR84" t="e">
            <v>#DIV/0!</v>
          </cell>
          <cell r="DS84" t="e">
            <v>#DIV/0!</v>
          </cell>
          <cell r="DT84" t="e">
            <v>#DIV/0!</v>
          </cell>
          <cell r="DU84" t="e">
            <v>#DIV/0!</v>
          </cell>
          <cell r="DV84" t="e">
            <v>#DIV/0!</v>
          </cell>
          <cell r="DW84" t="e">
            <v>#DIV/0!</v>
          </cell>
          <cell r="DX84" t="e">
            <v>#DIV/0!</v>
          </cell>
          <cell r="DY84" t="e">
            <v>#DIV/0!</v>
          </cell>
          <cell r="DZ84" t="e">
            <v>#DIV/0!</v>
          </cell>
          <cell r="EA84" t="e">
            <v>#DIV/0!</v>
          </cell>
          <cell r="EB84" t="e">
            <v>#DIV/0!</v>
          </cell>
          <cell r="EC84" t="e">
            <v>#DIV/0!</v>
          </cell>
          <cell r="ED84" t="e">
            <v>#DIV/0!</v>
          </cell>
          <cell r="EE84" t="e">
            <v>#DIV/0!</v>
          </cell>
          <cell r="EF84" t="e">
            <v>#DIV/0!</v>
          </cell>
        </row>
        <row r="85">
          <cell r="CY85" t="e">
            <v>#VALUE!</v>
          </cell>
          <cell r="CZ85" t="e">
            <v>#VALUE!</v>
          </cell>
          <cell r="DA85" t="e">
            <v>#VALUE!</v>
          </cell>
          <cell r="DB85" t="e">
            <v>#VALUE!</v>
          </cell>
          <cell r="DC85" t="e">
            <v>#DIV/0!</v>
          </cell>
          <cell r="DD85" t="e">
            <v>#DIV/0!</v>
          </cell>
          <cell r="DE85" t="e">
            <v>#DIV/0!</v>
          </cell>
          <cell r="DF85" t="e">
            <v>#DIV/0!</v>
          </cell>
          <cell r="DG85" t="e">
            <v>#DIV/0!</v>
          </cell>
          <cell r="DH85" t="e">
            <v>#DIV/0!</v>
          </cell>
          <cell r="DI85" t="e">
            <v>#DIV/0!</v>
          </cell>
          <cell r="DJ85" t="e">
            <v>#DIV/0!</v>
          </cell>
          <cell r="DK85" t="e">
            <v>#DIV/0!</v>
          </cell>
          <cell r="DL85" t="e">
            <v>#DIV/0!</v>
          </cell>
          <cell r="DM85" t="e">
            <v>#DIV/0!</v>
          </cell>
          <cell r="DN85" t="e">
            <v>#DIV/0!</v>
          </cell>
          <cell r="DO85" t="e">
            <v>#DIV/0!</v>
          </cell>
          <cell r="DP85" t="e">
            <v>#DIV/0!</v>
          </cell>
          <cell r="DQ85" t="e">
            <v>#DIV/0!</v>
          </cell>
          <cell r="DR85" t="e">
            <v>#DIV/0!</v>
          </cell>
          <cell r="DS85" t="e">
            <v>#DIV/0!</v>
          </cell>
          <cell r="DT85" t="e">
            <v>#DIV/0!</v>
          </cell>
          <cell r="DU85" t="e">
            <v>#DIV/0!</v>
          </cell>
          <cell r="DV85" t="e">
            <v>#DIV/0!</v>
          </cell>
          <cell r="DW85" t="e">
            <v>#DIV/0!</v>
          </cell>
          <cell r="DX85" t="e">
            <v>#DIV/0!</v>
          </cell>
          <cell r="DY85" t="e">
            <v>#DIV/0!</v>
          </cell>
          <cell r="DZ85" t="e">
            <v>#DIV/0!</v>
          </cell>
          <cell r="EA85" t="e">
            <v>#DIV/0!</v>
          </cell>
          <cell r="EB85" t="e">
            <v>#DIV/0!</v>
          </cell>
          <cell r="EC85" t="e">
            <v>#DIV/0!</v>
          </cell>
          <cell r="ED85" t="e">
            <v>#DIV/0!</v>
          </cell>
          <cell r="EE85" t="e">
            <v>#DIV/0!</v>
          </cell>
          <cell r="EF85" t="e">
            <v>#DIV/0!</v>
          </cell>
        </row>
        <row r="86">
          <cell r="CY86">
            <v>0</v>
          </cell>
          <cell r="CZ86">
            <v>0</v>
          </cell>
          <cell r="DA86">
            <v>0</v>
          </cell>
          <cell r="DB86">
            <v>0</v>
          </cell>
          <cell r="DC86" t="e">
            <v>#DIV/0!</v>
          </cell>
          <cell r="DD86" t="e">
            <v>#DIV/0!</v>
          </cell>
          <cell r="DE86" t="e">
            <v>#DIV/0!</v>
          </cell>
          <cell r="DF86" t="e">
            <v>#DIV/0!</v>
          </cell>
          <cell r="DG86" t="e">
            <v>#DIV/0!</v>
          </cell>
          <cell r="DH86" t="e">
            <v>#DIV/0!</v>
          </cell>
          <cell r="DI86" t="e">
            <v>#DIV/0!</v>
          </cell>
          <cell r="DJ86" t="e">
            <v>#DIV/0!</v>
          </cell>
          <cell r="DK86" t="e">
            <v>#DIV/0!</v>
          </cell>
          <cell r="DL86" t="e">
            <v>#DIV/0!</v>
          </cell>
          <cell r="DM86" t="e">
            <v>#DIV/0!</v>
          </cell>
          <cell r="DN86" t="e">
            <v>#DIV/0!</v>
          </cell>
          <cell r="DO86" t="e">
            <v>#DIV/0!</v>
          </cell>
          <cell r="DP86" t="e">
            <v>#DIV/0!</v>
          </cell>
          <cell r="DQ86" t="e">
            <v>#DIV/0!</v>
          </cell>
          <cell r="DR86" t="e">
            <v>#DIV/0!</v>
          </cell>
          <cell r="DS86" t="e">
            <v>#DIV/0!</v>
          </cell>
          <cell r="DT86" t="e">
            <v>#DIV/0!</v>
          </cell>
          <cell r="DU86" t="e">
            <v>#DIV/0!</v>
          </cell>
          <cell r="DV86" t="e">
            <v>#DIV/0!</v>
          </cell>
          <cell r="DW86" t="e">
            <v>#DIV/0!</v>
          </cell>
          <cell r="DX86" t="e">
            <v>#DIV/0!</v>
          </cell>
          <cell r="DY86" t="e">
            <v>#DIV/0!</v>
          </cell>
          <cell r="DZ86" t="e">
            <v>#DIV/0!</v>
          </cell>
          <cell r="EA86" t="e">
            <v>#DIV/0!</v>
          </cell>
          <cell r="EB86" t="e">
            <v>#DIV/0!</v>
          </cell>
          <cell r="EC86" t="e">
            <v>#DIV/0!</v>
          </cell>
          <cell r="ED86" t="e">
            <v>#DIV/0!</v>
          </cell>
          <cell r="EE86" t="e">
            <v>#DIV/0!</v>
          </cell>
          <cell r="EF86" t="e">
            <v>#DIV/0!</v>
          </cell>
        </row>
        <row r="87">
          <cell r="CY87">
            <v>1016.1449275362319</v>
          </cell>
          <cell r="CZ87">
            <v>966.74074074074076</v>
          </cell>
          <cell r="DA87">
            <v>988.85882352941178</v>
          </cell>
          <cell r="DB87">
            <v>1025</v>
          </cell>
          <cell r="DC87" t="e">
            <v>#DIV/0!</v>
          </cell>
          <cell r="DD87" t="e">
            <v>#DIV/0!</v>
          </cell>
          <cell r="DE87" t="e">
            <v>#DIV/0!</v>
          </cell>
          <cell r="DF87" t="e">
            <v>#DIV/0!</v>
          </cell>
          <cell r="DG87" t="e">
            <v>#DIV/0!</v>
          </cell>
          <cell r="DH87" t="e">
            <v>#DIV/0!</v>
          </cell>
          <cell r="DI87" t="e">
            <v>#DIV/0!</v>
          </cell>
          <cell r="DJ87" t="e">
            <v>#DIV/0!</v>
          </cell>
          <cell r="DK87" t="e">
            <v>#DIV/0!</v>
          </cell>
          <cell r="DL87" t="e">
            <v>#DIV/0!</v>
          </cell>
          <cell r="DM87" t="e">
            <v>#DIV/0!</v>
          </cell>
          <cell r="DN87" t="e">
            <v>#DIV/0!</v>
          </cell>
          <cell r="DO87" t="e">
            <v>#DIV/0!</v>
          </cell>
          <cell r="DP87" t="e">
            <v>#DIV/0!</v>
          </cell>
          <cell r="DQ87" t="e">
            <v>#DIV/0!</v>
          </cell>
          <cell r="DR87" t="e">
            <v>#DIV/0!</v>
          </cell>
          <cell r="DS87" t="e">
            <v>#DIV/0!</v>
          </cell>
          <cell r="DT87" t="e">
            <v>#DIV/0!</v>
          </cell>
          <cell r="DU87" t="e">
            <v>#DIV/0!</v>
          </cell>
          <cell r="DV87" t="e">
            <v>#DIV/0!</v>
          </cell>
          <cell r="DW87" t="e">
            <v>#DIV/0!</v>
          </cell>
          <cell r="DX87" t="e">
            <v>#DIV/0!</v>
          </cell>
          <cell r="DY87" t="e">
            <v>#DIV/0!</v>
          </cell>
          <cell r="DZ87" t="e">
            <v>#DIV/0!</v>
          </cell>
          <cell r="EA87" t="e">
            <v>#DIV/0!</v>
          </cell>
          <cell r="EB87" t="e">
            <v>#DIV/0!</v>
          </cell>
          <cell r="EC87" t="e">
            <v>#DIV/0!</v>
          </cell>
          <cell r="ED87" t="e">
            <v>#DIV/0!</v>
          </cell>
          <cell r="EE87" t="e">
            <v>#DIV/0!</v>
          </cell>
          <cell r="EF87" t="e">
            <v>#DIV/0!</v>
          </cell>
        </row>
        <row r="88">
          <cell r="CY88">
            <v>241.08695652173913</v>
          </cell>
          <cell r="CZ88">
            <v>215.55555555555554</v>
          </cell>
          <cell r="DA88">
            <v>225.4470588235294</v>
          </cell>
          <cell r="DB88">
            <v>239</v>
          </cell>
          <cell r="DC88" t="e">
            <v>#DIV/0!</v>
          </cell>
          <cell r="DD88" t="e">
            <v>#DIV/0!</v>
          </cell>
          <cell r="DE88" t="e">
            <v>#DIV/0!</v>
          </cell>
          <cell r="DF88" t="e">
            <v>#DIV/0!</v>
          </cell>
          <cell r="DG88" t="e">
            <v>#DIV/0!</v>
          </cell>
          <cell r="DH88" t="e">
            <v>#DIV/0!</v>
          </cell>
          <cell r="DI88" t="e">
            <v>#DIV/0!</v>
          </cell>
          <cell r="DJ88" t="e">
            <v>#DIV/0!</v>
          </cell>
          <cell r="DK88" t="e">
            <v>#DIV/0!</v>
          </cell>
          <cell r="DL88" t="e">
            <v>#DIV/0!</v>
          </cell>
          <cell r="DM88" t="e">
            <v>#DIV/0!</v>
          </cell>
          <cell r="DN88" t="e">
            <v>#DIV/0!</v>
          </cell>
          <cell r="DO88" t="e">
            <v>#DIV/0!</v>
          </cell>
          <cell r="DP88" t="e">
            <v>#DIV/0!</v>
          </cell>
          <cell r="DQ88" t="e">
            <v>#DIV/0!</v>
          </cell>
          <cell r="DR88" t="e">
            <v>#DIV/0!</v>
          </cell>
          <cell r="DS88" t="e">
            <v>#DIV/0!</v>
          </cell>
          <cell r="DT88" t="e">
            <v>#DIV/0!</v>
          </cell>
          <cell r="DU88" t="e">
            <v>#DIV/0!</v>
          </cell>
          <cell r="DV88" t="e">
            <v>#DIV/0!</v>
          </cell>
          <cell r="DW88" t="e">
            <v>#DIV/0!</v>
          </cell>
          <cell r="DX88" t="e">
            <v>#DIV/0!</v>
          </cell>
          <cell r="DY88" t="e">
            <v>#DIV/0!</v>
          </cell>
          <cell r="DZ88" t="e">
            <v>#DIV/0!</v>
          </cell>
          <cell r="EA88" t="e">
            <v>#DIV/0!</v>
          </cell>
          <cell r="EB88" t="e">
            <v>#DIV/0!</v>
          </cell>
          <cell r="EC88" t="e">
            <v>#DIV/0!</v>
          </cell>
          <cell r="ED88" t="e">
            <v>#DIV/0!</v>
          </cell>
          <cell r="EE88" t="e">
            <v>#DIV/0!</v>
          </cell>
          <cell r="EF88" t="e">
            <v>#DIV/0!</v>
          </cell>
        </row>
        <row r="90">
          <cell r="CV90">
            <v>60</v>
          </cell>
          <cell r="CW90">
            <v>106</v>
          </cell>
          <cell r="CX90">
            <v>138</v>
          </cell>
          <cell r="CY90">
            <v>276</v>
          </cell>
          <cell r="CZ90">
            <v>216</v>
          </cell>
          <cell r="DA90">
            <v>170</v>
          </cell>
          <cell r="DB90">
            <v>138</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row>
      </sheetData>
      <sheetData sheetId="2"/>
      <sheetData sheetId="3"/>
      <sheetData sheetId="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ie"/>
      <sheetName val="RR Status"/>
    </sheetNames>
    <definedNames>
      <definedName name="_xlbgnm.A1"/>
    </definedNames>
    <sheetDataSet>
      <sheetData sheetId="0" refreshError="1"/>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En-Tête"/>
      <sheetName val="-Historique-"/>
      <sheetName val="bdmux"/>
      <sheetName val="Légende"/>
      <sheetName val="Statistiques"/>
      <sheetName val="ErreursAffectation"/>
      <sheetName val="ErreursOrganes"/>
      <sheetName val="ErreursFonctions"/>
    </sheetNames>
    <sheetDataSet>
      <sheetData sheetId="0"/>
      <sheetData sheetId="1"/>
      <sheetData sheetId="2"/>
      <sheetData sheetId="3"/>
      <sheetData sheetId="4"/>
      <sheetData sheetId="5"/>
      <sheetData sheetId="6"/>
      <sheetData sheetId="7"/>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OADMAP_OP_"/>
      <sheetName val="Var"/>
      <sheetName val="Legende"/>
    </sheetNames>
    <sheetDataSet>
      <sheetData sheetId="0"/>
      <sheetData sheetId="1">
        <row r="2">
          <cell r="H2" t="str">
            <v>↑</v>
          </cell>
        </row>
        <row r="3">
          <cell r="H3" t="str">
            <v>→</v>
          </cell>
        </row>
        <row r="4">
          <cell r="H4" t="str">
            <v>↓</v>
          </cell>
        </row>
      </sheetData>
      <sheetData sheetId="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ueil"/>
      <sheetName val="TDB"/>
      <sheetName val="T_EAU"/>
      <sheetName val="Bobine"/>
      <sheetName val="Démarreur"/>
      <sheetName val="Alternateur"/>
      <sheetName val="Contacteur_MA"/>
      <sheetName val="Contacteur_Pédalier"/>
      <sheetName val="Ressources"/>
      <sheetName val="Conso Total PLM"/>
    </sheetNames>
    <sheetDataSet>
      <sheetData sheetId="0"/>
      <sheetData sheetId="1"/>
      <sheetData sheetId="2" refreshError="1"/>
      <sheetData sheetId="3" refreshError="1"/>
      <sheetData sheetId="4"/>
      <sheetData sheetId="5"/>
      <sheetData sheetId="6" refreshError="1"/>
      <sheetData sheetId="7" refreshError="1"/>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au_de_Bord_RVCV"/>
      <sheetName val="Données Semaine par semaine"/>
      <sheetName val="Données Jour par jour"/>
      <sheetName val="IQA_IQF"/>
    </sheetNames>
    <sheetDataSet>
      <sheetData sheetId="0"/>
      <sheetData sheetId="1"/>
      <sheetData sheetId="2">
        <row r="1">
          <cell r="A1" t="str">
            <v>OK</v>
          </cell>
        </row>
        <row r="2">
          <cell r="A2" t="str">
            <v>NOK</v>
          </cell>
        </row>
      </sheetData>
      <sheetData sheetId="3">
        <row r="36">
          <cell r="IG36" t="str">
            <v>Août</v>
          </cell>
        </row>
        <row r="37">
          <cell r="IG37" t="str">
            <v>Septembre</v>
          </cell>
        </row>
        <row r="38">
          <cell r="IG38" t="str">
            <v>Avril</v>
          </cell>
        </row>
        <row r="39">
          <cell r="IG39" t="str">
            <v>Décembre</v>
          </cell>
        </row>
        <row r="40">
          <cell r="IG40" t="str">
            <v>Février</v>
          </cell>
        </row>
        <row r="41">
          <cell r="IG41" t="str">
            <v>Janvier</v>
          </cell>
        </row>
        <row r="42">
          <cell r="IG42" t="str">
            <v>Juillet</v>
          </cell>
        </row>
        <row r="43">
          <cell r="IG43" t="str">
            <v>Juin</v>
          </cell>
        </row>
        <row r="44">
          <cell r="IG44" t="str">
            <v>Mai</v>
          </cell>
        </row>
        <row r="45">
          <cell r="IG45" t="str">
            <v>Mars</v>
          </cell>
        </row>
        <row r="46">
          <cell r="IG46" t="str">
            <v>Novembre</v>
          </cell>
        </row>
        <row r="47">
          <cell r="IG47" t="str">
            <v>Octobre</v>
          </cell>
        </row>
        <row r="48">
          <cell r="IG48" t="str">
            <v>S01</v>
          </cell>
        </row>
        <row r="49">
          <cell r="IG49" t="str">
            <v>S02</v>
          </cell>
        </row>
        <row r="50">
          <cell r="IG50" t="str">
            <v>S03</v>
          </cell>
        </row>
        <row r="51">
          <cell r="IG51" t="str">
            <v>S04</v>
          </cell>
        </row>
        <row r="52">
          <cell r="IG52" t="str">
            <v>S05</v>
          </cell>
        </row>
        <row r="53">
          <cell r="IG53" t="str">
            <v>S06</v>
          </cell>
        </row>
        <row r="54">
          <cell r="IG54" t="str">
            <v>S07</v>
          </cell>
        </row>
        <row r="55">
          <cell r="IG55" t="str">
            <v>S08</v>
          </cell>
        </row>
        <row r="56">
          <cell r="IG56" t="str">
            <v>S09</v>
          </cell>
        </row>
        <row r="57">
          <cell r="IG57" t="str">
            <v>S10</v>
          </cell>
        </row>
        <row r="58">
          <cell r="IG58" t="str">
            <v>S11</v>
          </cell>
        </row>
        <row r="59">
          <cell r="IG59" t="str">
            <v>S12</v>
          </cell>
        </row>
        <row r="60">
          <cell r="IG60" t="str">
            <v>S13</v>
          </cell>
        </row>
        <row r="61">
          <cell r="IG61" t="str">
            <v>S14</v>
          </cell>
        </row>
        <row r="62">
          <cell r="IG62" t="str">
            <v>S15</v>
          </cell>
        </row>
        <row r="63">
          <cell r="IG63" t="str">
            <v>S16</v>
          </cell>
        </row>
        <row r="64">
          <cell r="IG64" t="str">
            <v>S17</v>
          </cell>
        </row>
        <row r="65">
          <cell r="IG65" t="str">
            <v>S18</v>
          </cell>
        </row>
        <row r="66">
          <cell r="IG66" t="str">
            <v>S19</v>
          </cell>
        </row>
        <row r="67">
          <cell r="IG67" t="str">
            <v>S20</v>
          </cell>
        </row>
        <row r="68">
          <cell r="IG68" t="str">
            <v>S21</v>
          </cell>
        </row>
        <row r="69">
          <cell r="IG69" t="str">
            <v>S22</v>
          </cell>
        </row>
        <row r="70">
          <cell r="IG70" t="str">
            <v>S23</v>
          </cell>
        </row>
        <row r="71">
          <cell r="IG71" t="str">
            <v>S24</v>
          </cell>
        </row>
        <row r="72">
          <cell r="IG72" t="str">
            <v>S25</v>
          </cell>
        </row>
        <row r="73">
          <cell r="IG73" t="str">
            <v>S26</v>
          </cell>
        </row>
        <row r="74">
          <cell r="IG74" t="str">
            <v>S27</v>
          </cell>
        </row>
        <row r="75">
          <cell r="IG75" t="str">
            <v>S28</v>
          </cell>
        </row>
        <row r="76">
          <cell r="IG76" t="str">
            <v>S29</v>
          </cell>
        </row>
        <row r="77">
          <cell r="IG77" t="str">
            <v>S30</v>
          </cell>
        </row>
        <row r="78">
          <cell r="IG78" t="str">
            <v>S31</v>
          </cell>
        </row>
        <row r="79">
          <cell r="IG79" t="str">
            <v>S32</v>
          </cell>
        </row>
        <row r="80">
          <cell r="IG80" t="str">
            <v>S33</v>
          </cell>
        </row>
        <row r="81">
          <cell r="IG81" t="str">
            <v>S34</v>
          </cell>
        </row>
        <row r="82">
          <cell r="IG82" t="str">
            <v>S35</v>
          </cell>
        </row>
        <row r="83">
          <cell r="IG83" t="str">
            <v>S36</v>
          </cell>
        </row>
        <row r="84">
          <cell r="IG84" t="str">
            <v>S37</v>
          </cell>
        </row>
        <row r="85">
          <cell r="IG85" t="str">
            <v>S38</v>
          </cell>
        </row>
        <row r="86">
          <cell r="IG86" t="str">
            <v>S39</v>
          </cell>
        </row>
        <row r="87">
          <cell r="IG87" t="str">
            <v>S40</v>
          </cell>
        </row>
        <row r="88">
          <cell r="IG88" t="str">
            <v>S41</v>
          </cell>
        </row>
        <row r="89">
          <cell r="IG89" t="str">
            <v>S42</v>
          </cell>
        </row>
        <row r="90">
          <cell r="IG90" t="str">
            <v>S43</v>
          </cell>
        </row>
        <row r="91">
          <cell r="IG91" t="str">
            <v>S44</v>
          </cell>
        </row>
        <row r="92">
          <cell r="IG92" t="str">
            <v>S45</v>
          </cell>
        </row>
        <row r="93">
          <cell r="IG93" t="str">
            <v>S46</v>
          </cell>
        </row>
        <row r="94">
          <cell r="IG94" t="str">
            <v>S47</v>
          </cell>
        </row>
        <row r="95">
          <cell r="IG95" t="str">
            <v>S48</v>
          </cell>
        </row>
        <row r="96">
          <cell r="IG96" t="str">
            <v>S49</v>
          </cell>
        </row>
        <row r="97">
          <cell r="IG97" t="str">
            <v>S50</v>
          </cell>
        </row>
        <row r="98">
          <cell r="IG98" t="str">
            <v>S51</v>
          </cell>
        </row>
        <row r="99">
          <cell r="IG99" t="str">
            <v>S52</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au IQA-IQF du mois"/>
      <sheetName val="Analyse"/>
      <sheetName val="Archive"/>
      <sheetName val="Graphiques Top 10"/>
      <sheetName val="Essai TCD"/>
      <sheetName val="Graph1"/>
      <sheetName val="Graph2"/>
      <sheetName val="Archive IQA-IQF 102006"/>
      <sheetName val="S"/>
      <sheetName val="P"/>
      <sheetName val="A"/>
      <sheetName val="B"/>
      <sheetName val="All"/>
    </sheetNames>
    <sheetDataSet>
      <sheetData sheetId="0"/>
      <sheetData sheetId="1">
        <row r="6">
          <cell r="E6" t="str">
            <v>Bancs Para</v>
          </cell>
        </row>
        <row r="7">
          <cell r="E7" t="str">
            <v>Bancs Poly</v>
          </cell>
        </row>
        <row r="8">
          <cell r="E8" t="str">
            <v>Piste</v>
          </cell>
        </row>
        <row r="9">
          <cell r="E9" t="str">
            <v>Etanchéité</v>
          </cell>
        </row>
        <row r="10">
          <cell r="E10" t="str">
            <v>Contev / Colisée</v>
          </cell>
        </row>
        <row r="11">
          <cell r="E11" t="str">
            <v>Poste 1 : Int Av D1</v>
          </cell>
        </row>
        <row r="12">
          <cell r="E12" t="str">
            <v>Poste 2 : Int Av D2</v>
          </cell>
        </row>
        <row r="13">
          <cell r="E13" t="str">
            <v>Poste 3 : Int Av G1</v>
          </cell>
        </row>
        <row r="14">
          <cell r="E14" t="str">
            <v>Poste 4 : Int Av G2</v>
          </cell>
        </row>
        <row r="15">
          <cell r="E15" t="str">
            <v>Poste 5 : Int Ar D</v>
          </cell>
        </row>
        <row r="16">
          <cell r="E16" t="str">
            <v>Poste 6 : Int Ar G</v>
          </cell>
        </row>
        <row r="17">
          <cell r="E17" t="str">
            <v>Poste 7 : Lat Ext D</v>
          </cell>
        </row>
        <row r="18">
          <cell r="E18" t="str">
            <v>Poste 8 : Lat Ext G</v>
          </cell>
        </row>
        <row r="19">
          <cell r="E19" t="str">
            <v>Poste 9 : Sous Capot</v>
          </cell>
        </row>
        <row r="20">
          <cell r="E20" t="str">
            <v>Poste 10 : Face Av</v>
          </cell>
        </row>
        <row r="21">
          <cell r="E21" t="str">
            <v>Poste 11 : Face Ar</v>
          </cell>
        </row>
        <row r="22">
          <cell r="E22" t="str">
            <v>Poste 12 : Int Coffre</v>
          </cell>
        </row>
        <row r="23">
          <cell r="E23" t="str">
            <v>Poste 13 : Int Av G3</v>
          </cell>
        </row>
      </sheetData>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c"/>
      <sheetName val="Data"/>
    </sheetNames>
    <sheetDataSet>
      <sheetData sheetId="0" refreshError="1"/>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Front Page"/>
      <sheetName val="Synthesis"/>
      <sheetName val="Requirement History"/>
      <sheetName val="Sender-Receiver interfaces"/>
      <sheetName val="Client-Server interfaces"/>
      <sheetName val="Inter runnable"/>
      <sheetName val="GDGAR Autosar 2.0"/>
      <sheetName val="GDGAR Autosar 3.1"/>
      <sheetName val="Runnables"/>
      <sheetName val="NVM Data"/>
    </sheetNames>
    <sheetDataSet>
      <sheetData sheetId="0"/>
      <sheetData sheetId="1" refreshError="1"/>
      <sheetData sheetId="2" refreshError="1"/>
      <sheetData sheetId="3"/>
      <sheetData sheetId="4"/>
      <sheetData sheetId="5"/>
      <sheetData sheetId="6"/>
      <sheetData sheetId="7"/>
      <sheetData sheetId="8"/>
      <sheetData sheetId="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VANCEMENT PROJET"/>
      <sheetName val="ROADMAP_OP_"/>
      <sheetName val="Var"/>
    </sheetNames>
    <sheetDataSet>
      <sheetData sheetId="0"/>
      <sheetData sheetId="1">
        <row r="5">
          <cell r="A5" t="str">
            <v>Habitacle du futur</v>
          </cell>
        </row>
      </sheetData>
      <sheetData sheetId="2">
        <row r="2">
          <cell r="D2" t="str">
            <v>Caisse du futur</v>
          </cell>
          <cell r="H2" t="str">
            <v>JEI</v>
          </cell>
        </row>
        <row r="3">
          <cell r="D3" t="str">
            <v>Thermique et Qualité de l'air habitacle</v>
          </cell>
          <cell r="H3" t="str">
            <v>JECVR</v>
          </cell>
        </row>
        <row r="4">
          <cell r="D4" t="str">
            <v>Habitacle du futur</v>
          </cell>
          <cell r="H4" t="str">
            <v>RP CVR</v>
          </cell>
        </row>
        <row r="5">
          <cell r="D5" t="str">
            <v>Optimisation aérodynamique</v>
          </cell>
          <cell r="H5" t="str">
            <v>JEMVU</v>
          </cell>
        </row>
        <row r="6">
          <cell r="D6" t="str">
            <v>Cockpit du futur</v>
          </cell>
          <cell r="H6" t="str">
            <v>MVU</v>
          </cell>
        </row>
        <row r="7">
          <cell r="D7" t="str">
            <v>Systèmes EE</v>
          </cell>
        </row>
        <row r="8">
          <cell r="D8" t="str">
            <v>Sécurité et Adas</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Initialization review"/>
    </sheetNames>
    <sheetDataSet>
      <sheetData sheetId="0"/>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dG"/>
      <sheetName val="Actions"/>
      <sheetName val="CR_2012_02_09"/>
      <sheetName val="CR_2012_02_16"/>
      <sheetName val="Participants"/>
      <sheetName val="Rituels"/>
    </sheetNames>
    <sheetDataSet>
      <sheetData sheetId="0" refreshError="1"/>
      <sheetData sheetId="1"/>
      <sheetData sheetId="2" refreshError="1"/>
      <sheetData sheetId="3" refreshError="1"/>
      <sheetData sheetId="4"/>
      <sheetData sheetId="5"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velopment"/>
      <sheetName val="Mode d'emploi"/>
      <sheetName val="Liste Générique EE"/>
      <sheetName val="Liste Générique Faisceaux"/>
      <sheetName val="Part Maturity"/>
      <sheetName val="psa_docinfo"/>
    </sheetNames>
    <sheetDataSet>
      <sheetData sheetId="0"/>
      <sheetData sheetId="1"/>
      <sheetData sheetId="2"/>
      <sheetData sheetId="3"/>
      <sheetData sheetId="4"/>
      <sheetData sheetId="5">
        <row r="1">
          <cell r="B1" t="str">
            <v>Generic EE deliverables</v>
          </cell>
        </row>
        <row r="2">
          <cell r="B2" t="str">
            <v>01301_15_01026</v>
          </cell>
        </row>
        <row r="3">
          <cell r="B3" t="str">
            <v>30/09/2015 17:28</v>
          </cell>
        </row>
        <row r="4">
          <cell r="B4" t="str">
            <v>20/05/2016 12:10</v>
          </cell>
        </row>
        <row r="5">
          <cell r="B5" t="str">
            <v xml:space="preserve">DE LANGLE HENRY - J508079  </v>
          </cell>
        </row>
        <row r="7">
          <cell r="B7" t="str">
            <v>2.6</v>
          </cell>
        </row>
        <row r="8">
          <cell r="B8" t="str">
            <v>Exigences génériques EE de conception de pièce EE par un fournisseur</v>
          </cell>
        </row>
        <row r="10">
          <cell r="B10" t="str">
            <v>brouillon</v>
          </cell>
        </row>
        <row r="11">
          <cell r="B11" t="str">
            <v>Spécification</v>
          </cell>
        </row>
        <row r="12">
          <cell r="B12" t="str">
            <v>Référentiel et Moyen technique EE</v>
          </cell>
        </row>
        <row r="13">
          <cell r="B13" t="str">
            <v>A usage interne (C=1)</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dex"/>
      <sheetName val="Feuil1"/>
      <sheetName val="psa_docinfo"/>
    </sheetNames>
    <sheetDataSet>
      <sheetData sheetId="0"/>
      <sheetData sheetId="1"/>
      <sheetData sheetId="2"/>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Feuil1"/>
      <sheetName val="psa_docinfo"/>
    </sheetNames>
    <sheetDataSet>
      <sheetData sheetId="0"/>
      <sheetData sheetId="1"/>
      <sheetData sheetId="2">
        <row r="12">
          <cell r="B12">
            <v>0</v>
          </cell>
        </row>
        <row r="13">
          <cell r="B13" t="str">
            <v>Gestion documentaire</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osition des Reg QSEO"/>
      <sheetName val="Aide"/>
      <sheetName val="Demande de réalisation"/>
      <sheetName val="Description des lots"/>
      <sheetName val="Plateau Qualité PSA"/>
      <sheetName val="Liste entité"/>
      <sheetName val="Regroupements"/>
      <sheetName val="Charge type"/>
      <sheetName val="Liste des lots"/>
      <sheetName val="Liste des groupes"/>
      <sheetName val="Critères par type"/>
      <sheetName val="Page de Garde"/>
    </sheetNames>
    <sheetDataSet>
      <sheetData sheetId="0" refreshError="1"/>
      <sheetData sheetId="1" refreshError="1"/>
      <sheetData sheetId="2" refreshError="1"/>
      <sheetData sheetId="3" refreshError="1"/>
      <sheetData sheetId="4"/>
      <sheetData sheetId="5" refreshError="1"/>
      <sheetData sheetId="6">
        <row r="2">
          <cell r="D2" t="str">
            <v>Intitulé</v>
          </cell>
        </row>
        <row r="3">
          <cell r="D3" t="str">
            <v>A.1.1 Contribution Construction Objectifs Qualité</v>
          </cell>
        </row>
        <row r="4">
          <cell r="D4" t="str">
            <v>A.1.2 Vérification du Plan d'ingénierie</v>
          </cell>
        </row>
        <row r="5">
          <cell r="D5" t="str">
            <v>A.1.3 Redaction PQO</v>
          </cell>
        </row>
        <row r="6">
          <cell r="D6" t="str">
            <v>B.5.12 Validation PIV Organe</v>
          </cell>
        </row>
        <row r="7">
          <cell r="D7" t="str">
            <v>B.5.2 Fourniture des élements de traitement des risques</v>
          </cell>
        </row>
        <row r="8">
          <cell r="D8" t="str">
            <v>B.5.4 Revue d'exigence Moteur</v>
          </cell>
        </row>
        <row r="9">
          <cell r="D9" t="str">
            <v>B.5.5 Revue d'exigences Système d'injection</v>
          </cell>
        </row>
        <row r="10">
          <cell r="D10" t="str">
            <v>B.5.3 Fourniture des élements de synthèse pour le pilote</v>
          </cell>
        </row>
        <row r="11">
          <cell r="D11" t="str">
            <v>D.2.1 Participation aux réunions projet PSA</v>
          </cell>
        </row>
        <row r="12">
          <cell r="D12" t="str">
            <v>D.2.5 Réunions AQP / Pilote Fonctionnel</v>
          </cell>
        </row>
        <row r="13">
          <cell r="D13" t="str">
            <v>A.2.1 Contribution à la sélection liste des FNR</v>
          </cell>
        </row>
        <row r="14">
          <cell r="D14" t="str">
            <v>A.2.2 Application de la démarche CTF/CSE</v>
          </cell>
        </row>
        <row r="15">
          <cell r="D15" t="str">
            <v>A.2.3 Rédaction CMQ</v>
          </cell>
        </row>
        <row r="16">
          <cell r="D16" t="str">
            <v>A.2.5 Analyse retour consultation FNR</v>
          </cell>
        </row>
        <row r="17">
          <cell r="D17" t="str">
            <v>A.2.6 Photo qualité et contrat qualité</v>
          </cell>
        </row>
        <row r="18">
          <cell r="D18" t="str">
            <v>A.2.7 Revue de sécurité</v>
          </cell>
        </row>
        <row r="19">
          <cell r="D19" t="str">
            <v>B.3.1 Animation Q3P Allégée</v>
          </cell>
        </row>
        <row r="20">
          <cell r="D20" t="str">
            <v>B.3.2 Animation Q3P Standard</v>
          </cell>
        </row>
        <row r="21">
          <cell r="D21" t="str">
            <v>B.3.3 Animation Q3P Complète</v>
          </cell>
        </row>
        <row r="22">
          <cell r="D22" t="str">
            <v>B.5.10 Validation PIV pièces</v>
          </cell>
        </row>
        <row r="23">
          <cell r="D23" t="str">
            <v>B.5.11 Validation PIV composant</v>
          </cell>
        </row>
        <row r="24">
          <cell r="D24" t="str">
            <v>A.1.4 Vérification de la planification CdP Co</v>
          </cell>
        </row>
        <row r="25">
          <cell r="D25" t="str">
            <v>A.2.4 Revue de robustesse consultation</v>
          </cell>
        </row>
        <row r="26">
          <cell r="D26" t="str">
            <v>B.5.9 Reporting à l'AAQO synthèse</v>
          </cell>
        </row>
        <row r="27">
          <cell r="D27" t="str">
            <v>B.5.8 Revue technique</v>
          </cell>
        </row>
        <row r="28">
          <cell r="D28" t="str">
            <v>B.1.1 Les ATP constructeur et FNR et analyse des doc</v>
          </cell>
        </row>
        <row r="29">
          <cell r="D29" t="str">
            <v>B.1.2 Revue d'INIT</v>
          </cell>
        </row>
        <row r="30">
          <cell r="D30" t="str">
            <v>B.1.3 Revue produits sur étagère</v>
          </cell>
        </row>
        <row r="31">
          <cell r="D31" t="str">
            <v>B.3.1 Animation Q3P Allégée</v>
          </cell>
        </row>
        <row r="32">
          <cell r="D32" t="str">
            <v>B.3.2 Animation Q3P Standard</v>
          </cell>
        </row>
        <row r="33">
          <cell r="D33" t="str">
            <v>B.3.3 Animation Q3P Complète</v>
          </cell>
        </row>
        <row r="34">
          <cell r="D34" t="str">
            <v>B.4.1 Analyse dossier EI SRU</v>
          </cell>
        </row>
        <row r="35">
          <cell r="D35" t="str">
            <v>B.5.10 Validation PIV pièces</v>
          </cell>
        </row>
        <row r="36">
          <cell r="D36" t="str">
            <v>B.5.11 Validation PIV composant</v>
          </cell>
        </row>
        <row r="37">
          <cell r="D37" t="str">
            <v>A.1.4 Vérification de la planification CdP Co</v>
          </cell>
        </row>
        <row r="38">
          <cell r="D38" t="str">
            <v>B.5.6 Revue de robutesse strate composant</v>
          </cell>
        </row>
        <row r="39">
          <cell r="D39" t="str">
            <v>B.5.7 Revue de robutesse strate pièces</v>
          </cell>
        </row>
        <row r="40">
          <cell r="D40" t="str">
            <v>B.5.8 Revue technique</v>
          </cell>
        </row>
        <row r="41">
          <cell r="D41" t="str">
            <v>B.5.9 Reporting à l'AAQO synthèse</v>
          </cell>
        </row>
        <row r="42">
          <cell r="D42" t="str">
            <v>A.1.2 Vérification du Plan d'ingénierie</v>
          </cell>
        </row>
        <row r="43">
          <cell r="D43" t="str">
            <v>A.1.3 Redaction PQO</v>
          </cell>
        </row>
        <row r="44">
          <cell r="D44" t="str">
            <v>B.5.1 Fourniture des élements de traitement des faits techniques</v>
          </cell>
        </row>
        <row r="45">
          <cell r="D45" t="str">
            <v>B.5.12 Validation PIV Organe</v>
          </cell>
        </row>
        <row r="46">
          <cell r="D46" t="str">
            <v>B.5.2 Fourniture des élements de traitement des risques</v>
          </cell>
        </row>
        <row r="47">
          <cell r="D47" t="str">
            <v>B.5.4 Revue d'exigence Moteur</v>
          </cell>
        </row>
        <row r="48">
          <cell r="D48" t="str">
            <v>B.5.5 Revue d'exigences Système d'injection</v>
          </cell>
        </row>
        <row r="49">
          <cell r="D49" t="str">
            <v>B.5.3 Fourniture des élements de synthèse pour le pilote</v>
          </cell>
        </row>
        <row r="50">
          <cell r="D50" t="str">
            <v>D.2.1 Participation aux réunions projet PSA</v>
          </cell>
        </row>
        <row r="51">
          <cell r="D51" t="str">
            <v>D.2.5 Réunions AQP / Pilote Fonctionnel</v>
          </cell>
        </row>
        <row r="52">
          <cell r="D52" t="str">
            <v>B.3.1 Animation Q3P Allégée</v>
          </cell>
        </row>
        <row r="53">
          <cell r="D53" t="str">
            <v>B.3.2 Animation Q3P Standard</v>
          </cell>
        </row>
        <row r="54">
          <cell r="D54" t="str">
            <v>B.3.3 Animation Q3P Complète</v>
          </cell>
        </row>
        <row r="55">
          <cell r="D55" t="str">
            <v>B.4.2 Analyse dossier EI PRS HL</v>
          </cell>
        </row>
        <row r="56">
          <cell r="D56" t="str">
            <v>B.3.5 Avis sur dérogation d'une pièce</v>
          </cell>
        </row>
        <row r="57">
          <cell r="D57" t="str">
            <v>B.5.10 Validation PIV pièces</v>
          </cell>
        </row>
        <row r="58">
          <cell r="D58" t="str">
            <v>B.5.11 Validation PIV composant</v>
          </cell>
        </row>
        <row r="59">
          <cell r="D59" t="str">
            <v>A.1.4 Vérification de la planification CdP Co</v>
          </cell>
        </row>
        <row r="60">
          <cell r="D60" t="str">
            <v>B.5.6 Revue de robutesse strate composant</v>
          </cell>
        </row>
        <row r="61">
          <cell r="D61" t="str">
            <v>B.5.7 Revue de robutesse strate pièces</v>
          </cell>
        </row>
        <row r="62">
          <cell r="D62" t="str">
            <v>B.5.8 Revue technique</v>
          </cell>
        </row>
        <row r="63">
          <cell r="D63" t="str">
            <v>B.5.9 Reporting à l'AAQO synthèse</v>
          </cell>
        </row>
        <row r="64">
          <cell r="D64" t="str">
            <v>A.1.2 Vérification du Plan d'ingénierie</v>
          </cell>
        </row>
        <row r="65">
          <cell r="D65" t="str">
            <v>A.1.3 Redaction PQO</v>
          </cell>
        </row>
        <row r="66">
          <cell r="D66" t="str">
            <v>B.5.12 Validation PIV Organe</v>
          </cell>
        </row>
        <row r="67">
          <cell r="D67" t="str">
            <v>B.3.4 Synthèse des dérogations sur un projet</v>
          </cell>
        </row>
        <row r="68">
          <cell r="D68" t="str">
            <v>B.5.1 Fourniture des élements de traitement des faits techniques</v>
          </cell>
        </row>
        <row r="69">
          <cell r="D69" t="str">
            <v>B.5.2 Fourniture des élements de traitement des risques</v>
          </cell>
        </row>
        <row r="70">
          <cell r="D70" t="str">
            <v>B.5.4 Revue d'exigence Moteur</v>
          </cell>
        </row>
        <row r="71">
          <cell r="D71" t="str">
            <v>B.5.5 Revue d'exigences Système d'injection</v>
          </cell>
        </row>
        <row r="72">
          <cell r="D72" t="str">
            <v>B.5.3 Fourniture des élements de synthèse pour le pilote</v>
          </cell>
        </row>
        <row r="73">
          <cell r="D73" t="str">
            <v>D.2.1 Participation aux réunions projet PSA</v>
          </cell>
        </row>
        <row r="74">
          <cell r="D74" t="str">
            <v>D.2.5 Réunions AQP / Pilote Fonctionnel</v>
          </cell>
        </row>
        <row r="75">
          <cell r="D75" t="str">
            <v>B.3.1 Animation Q3P Allégée</v>
          </cell>
        </row>
        <row r="76">
          <cell r="D76" t="str">
            <v>B.3.2 Animation Q3P Standard</v>
          </cell>
        </row>
        <row r="77">
          <cell r="D77" t="str">
            <v>B.3.3 Animation Q3P Complète</v>
          </cell>
        </row>
        <row r="78">
          <cell r="D78" t="str">
            <v>B.4.3 Analyse dossier EI PRS EL</v>
          </cell>
        </row>
        <row r="79">
          <cell r="D79" t="str">
            <v>B.4.4 Analyse dossier EI AVS</v>
          </cell>
        </row>
        <row r="80">
          <cell r="D80" t="str">
            <v>B.4.5 Visite d'acceptation qualif process et cr</v>
          </cell>
        </row>
        <row r="81">
          <cell r="D81" t="str">
            <v>B.4.6 Revue plan d'action qualif process</v>
          </cell>
        </row>
        <row r="82">
          <cell r="D82" t="str">
            <v>B.3.5 Avis sur dérogation d'une pièce</v>
          </cell>
        </row>
        <row r="83">
          <cell r="D83" t="str">
            <v>B.5.10 Validation PIV pièces</v>
          </cell>
        </row>
        <row r="84">
          <cell r="D84" t="str">
            <v>B.5.11 Validation PIV composant</v>
          </cell>
        </row>
        <row r="85">
          <cell r="D85" t="str">
            <v>A.1.4 Vérification de la planification CdP Co</v>
          </cell>
        </row>
        <row r="86">
          <cell r="D86" t="str">
            <v>B.5.8 Revue technique</v>
          </cell>
        </row>
        <row r="87">
          <cell r="D87" t="str">
            <v>B.5.9 Reporting à l'AAQO synthèse</v>
          </cell>
        </row>
        <row r="88">
          <cell r="D88" t="str">
            <v>B.5.12 Validation PIV Organe</v>
          </cell>
        </row>
        <row r="89">
          <cell r="D89" t="str">
            <v>B.3.4 Synthèse des dérogations sur un projet</v>
          </cell>
        </row>
        <row r="90">
          <cell r="D90" t="str">
            <v>B.5.1 Fourniture des élements de traitement des faits techniques</v>
          </cell>
        </row>
        <row r="91">
          <cell r="D91" t="str">
            <v>B.5.2 Fourniture des élements de traitement des risques</v>
          </cell>
        </row>
        <row r="92">
          <cell r="D92" t="str">
            <v>B.5.4 Revue d'exigence Moteur</v>
          </cell>
        </row>
        <row r="93">
          <cell r="D93" t="str">
            <v>B.5.5 Revue d'exigences Système d'injection</v>
          </cell>
        </row>
        <row r="94">
          <cell r="D94" t="str">
            <v>B.5.3 Fourniture des élements de synthèse pour le pilote</v>
          </cell>
        </row>
        <row r="95">
          <cell r="D95" t="str">
            <v>D.2.1 Participation aux réunions projet PSA</v>
          </cell>
        </row>
        <row r="96">
          <cell r="D96" t="str">
            <v>D.2.5 Réunions AQP / Pilote Fonctionnel</v>
          </cell>
        </row>
        <row r="97">
          <cell r="D97" t="str">
            <v>B.3.1 Animation Q3P Allégée</v>
          </cell>
        </row>
        <row r="98">
          <cell r="D98" t="str">
            <v>B.3.2 Animation Q3P Standard</v>
          </cell>
        </row>
        <row r="99">
          <cell r="D99" t="str">
            <v>B.3.3 Animation Q3P Complète</v>
          </cell>
        </row>
        <row r="100">
          <cell r="D100" t="str">
            <v>B.3.5 Avis sur dérogation d'une pièce</v>
          </cell>
        </row>
        <row r="101">
          <cell r="D101" t="str">
            <v>B.5.9 Reporting à l'AAQO synthèse</v>
          </cell>
        </row>
        <row r="102">
          <cell r="D102" t="str">
            <v>B.4.8 Transfert des CS vers QPFEG</v>
          </cell>
        </row>
        <row r="103">
          <cell r="D103" t="str">
            <v>B.4.7 Confirmation qualif process</v>
          </cell>
        </row>
        <row r="104">
          <cell r="D104" t="str">
            <v>B.3.4 Synthèse des dérogations sur un projet</v>
          </cell>
        </row>
        <row r="105">
          <cell r="D105" t="str">
            <v>B.5.1 Fourniture des élements de traitement des faits techniques</v>
          </cell>
        </row>
        <row r="106">
          <cell r="D106" t="str">
            <v>B.5.3 Fourniture des élements de synthèse pour le pilote</v>
          </cell>
        </row>
        <row r="107">
          <cell r="D107" t="str">
            <v>D.2.1 Participation aux réunions projet PSA</v>
          </cell>
        </row>
        <row r="108">
          <cell r="D108" t="str">
            <v>D.2.5 Réunions AQP / Pilote Fonctionnel</v>
          </cell>
        </row>
        <row r="109">
          <cell r="D109" t="str">
            <v>B.6.1 Détermination des objectifs 0km: POI</v>
          </cell>
        </row>
        <row r="110">
          <cell r="D110" t="str">
            <v>B.6.2 Détermination des objectifs 0km: POE</v>
          </cell>
        </row>
        <row r="111">
          <cell r="D111" t="str">
            <v>B.6.3 Support méthodologique à la rédaction du PI</v>
          </cell>
        </row>
        <row r="112">
          <cell r="D112" t="str">
            <v>B.6.4 Mise à jour TdB du PPI/PMSI indicateur qualité de suivi</v>
          </cell>
        </row>
        <row r="113">
          <cell r="D113" t="str">
            <v>B.6.5 Gestion des risques Process interne</v>
          </cell>
        </row>
        <row r="114">
          <cell r="D114" t="str">
            <v>B.6.6 Méthodologie pour rédaction documentation ISA</v>
          </cell>
        </row>
        <row r="115">
          <cell r="D115" t="str">
            <v>B.6.7 Animation démarches support ingénierie</v>
          </cell>
        </row>
        <row r="116">
          <cell r="D116" t="str">
            <v>B.6.8 Préparation robustesse Jalons</v>
          </cell>
        </row>
        <row r="117">
          <cell r="D117" t="str">
            <v>B.6.9 Suivi de robustesse interne</v>
          </cell>
        </row>
        <row r="118">
          <cell r="D118" t="str">
            <v>B.6.10 Qualification process interne en 54 Items</v>
          </cell>
        </row>
        <row r="119">
          <cell r="D119" t="str">
            <v>B.6.11 Défintion et suivi du dossier EI interne</v>
          </cell>
        </row>
        <row r="120">
          <cell r="D120" t="str">
            <v>B.6.12 Revues avec le TA des dossiers EI</v>
          </cell>
        </row>
        <row r="121">
          <cell r="D121" t="str">
            <v>B.6.13 Plan d'action Qualification Process interne 54 items</v>
          </cell>
        </row>
        <row r="122">
          <cell r="D122" t="str">
            <v>B.6.14 Qualification process interne pour la Vie Série 16 Items</v>
          </cell>
        </row>
        <row r="123">
          <cell r="D123" t="str">
            <v>B.6.15 Plan d'action Qualification Process interne 16 Items</v>
          </cell>
        </row>
        <row r="124">
          <cell r="D124" t="str">
            <v>B.6.16 AMDEC Process</v>
          </cell>
        </row>
        <row r="125">
          <cell r="D125" t="str">
            <v>B.6.17 Mise à jour AMDEC</v>
          </cell>
        </row>
        <row r="126">
          <cell r="D126" t="str">
            <v>B.6.18 Suivi Plan d'action AMDEC</v>
          </cell>
        </row>
        <row r="127">
          <cell r="D127" t="str">
            <v>B.6.19 Identification et hierarchisation des CTF (LC3PIM)</v>
          </cell>
        </row>
        <row r="128">
          <cell r="D128" t="str">
            <v>B.6.20 Vérification maitrise des CSE</v>
          </cell>
        </row>
        <row r="129">
          <cell r="D129" t="str">
            <v>B.6.21 Cohérence entre CTF et CSE</v>
          </cell>
        </row>
        <row r="130">
          <cell r="D130" t="str">
            <v>C.1.1 Audit de fonctionnement fournisseur</v>
          </cell>
        </row>
        <row r="131">
          <cell r="D131" t="str">
            <v>C.1.2 Contre-visite d'acceptation FNR et cr</v>
          </cell>
        </row>
        <row r="132">
          <cell r="D132" t="str">
            <v>C.1.3 Processus PEPP</v>
          </cell>
        </row>
        <row r="133">
          <cell r="D133" t="str">
            <v>C.1.4 Participation Rituel PEPP</v>
          </cell>
        </row>
        <row r="134">
          <cell r="D134" t="str">
            <v>C.1.5 Fiche devis - Crise Qualité</v>
          </cell>
        </row>
        <row r="135">
          <cell r="D135" t="str">
            <v>C.1.6 Mise en place d'organisation, d'outils et RETEX</v>
          </cell>
        </row>
        <row r="136">
          <cell r="D136" t="str">
            <v>C.1.7 Rituels qualité PVS =&gt; Faits techniques</v>
          </cell>
        </row>
        <row r="137">
          <cell r="D137" t="str">
            <v>C.1.8 Màj Indicateur PANO</v>
          </cell>
        </row>
        <row r="138">
          <cell r="D138" t="str">
            <v>C.1.9 Rituels qualité PVS =&gt; Réunion de Réactivité</v>
          </cell>
        </row>
        <row r="139">
          <cell r="D139" t="str">
            <v>C.1.10 Réunion bimensuelle de Suivi des Risques</v>
          </cell>
        </row>
        <row r="140">
          <cell r="D140" t="str">
            <v>C.1.11 Réunion bimensuelle de Suivi des Faits Techniques</v>
          </cell>
        </row>
        <row r="141">
          <cell r="D141" t="str">
            <v>C.1.12 Participation au Rituel trimestriel retour APV</v>
          </cell>
        </row>
        <row r="142">
          <cell r="D142" t="str">
            <v>C.1.13 Avis qualité Rituel ECOTECH</v>
          </cell>
        </row>
        <row r="143">
          <cell r="D143" t="str">
            <v xml:space="preserve">C.1.14 Suivi des évolutions et des modifications </v>
          </cell>
        </row>
        <row r="144">
          <cell r="D144" t="str">
            <v xml:space="preserve">C.1.15 Relecture Contrat adpatation </v>
          </cell>
        </row>
        <row r="145">
          <cell r="D145" t="str">
            <v xml:space="preserve">C.1.16 Analyse de Dossier d'Assurance Qualité </v>
          </cell>
        </row>
        <row r="146">
          <cell r="D146" t="str">
            <v>C.1.17 Déplacement chez FNR ou en UM/UT</v>
          </cell>
        </row>
        <row r="147">
          <cell r="D147" t="str">
            <v>C.1.18 MAJ Tableaux de bord EQR/pannes / incidents</v>
          </cell>
        </row>
        <row r="148">
          <cell r="D148" t="str">
            <v xml:space="preserve">C.1.19 Animation de fiche CAPEX (jusqu'a solde) </v>
          </cell>
        </row>
        <row r="149">
          <cell r="D149" t="str">
            <v>A.1.1 Contribution Construction Objectifs Qualité</v>
          </cell>
        </row>
        <row r="150">
          <cell r="D150" t="str">
            <v>A.1.2 Vérification du Plan d'ingénierie</v>
          </cell>
        </row>
        <row r="151">
          <cell r="D151" t="str">
            <v>A.1.3 Redaction PQO</v>
          </cell>
        </row>
        <row r="152">
          <cell r="D152" t="str">
            <v>A.1.4 Vérification de la planification CdP Co</v>
          </cell>
        </row>
        <row r="153">
          <cell r="D153" t="str">
            <v>A.2.1 Contribution à la sélection liste des FNR</v>
          </cell>
        </row>
        <row r="154">
          <cell r="D154" t="str">
            <v>A.2.2 Application de la démarche CTF/CSE</v>
          </cell>
        </row>
        <row r="155">
          <cell r="D155" t="str">
            <v>A.2.3 Rédaction CMQ</v>
          </cell>
        </row>
        <row r="156">
          <cell r="D156" t="str">
            <v>A.2.4 Revue de robustesse consultation</v>
          </cell>
        </row>
        <row r="157">
          <cell r="D157" t="str">
            <v>A.2.5 Analyse retour consultation FNR</v>
          </cell>
        </row>
        <row r="158">
          <cell r="D158" t="str">
            <v>A.2.6 Photo qualité et contrat qualité</v>
          </cell>
        </row>
        <row r="159">
          <cell r="D159" t="str">
            <v>A.2.7 Revue de sécurité</v>
          </cell>
        </row>
        <row r="160">
          <cell r="D160" t="str">
            <v>B.1.1 Les ATP constructeur et FNR et analyse des doc</v>
          </cell>
        </row>
        <row r="161">
          <cell r="D161" t="str">
            <v>B.1.2 Revue d'INIT</v>
          </cell>
        </row>
        <row r="162">
          <cell r="D162" t="str">
            <v>B.1.3 Revue produits sur étagère</v>
          </cell>
        </row>
        <row r="163">
          <cell r="D163" t="str">
            <v>B.2.1 Analyse Fonctionnelle Externe</v>
          </cell>
        </row>
        <row r="164">
          <cell r="D164" t="str">
            <v>B.2.2 Analyse Fonctionnelle Interne</v>
          </cell>
        </row>
        <row r="165">
          <cell r="D165" t="str">
            <v>B.2.3 AMDEC Produit</v>
          </cell>
        </row>
        <row r="166">
          <cell r="D166" t="str">
            <v>B.2.4 Analyse Préliminaire des Risques</v>
          </cell>
        </row>
        <row r="167">
          <cell r="D167" t="str">
            <v>B.2.5 Arbre de défaillance</v>
          </cell>
        </row>
        <row r="168">
          <cell r="D168" t="str">
            <v>B.2.6 Plan de Maitrise des Risques</v>
          </cell>
        </row>
        <row r="169">
          <cell r="D169" t="str">
            <v>B.3.1 Animation Q3P Allégée</v>
          </cell>
        </row>
        <row r="170">
          <cell r="D170" t="str">
            <v>B.3.2 Animation Q3P Standard</v>
          </cell>
        </row>
        <row r="171">
          <cell r="D171" t="str">
            <v>B.3.3 Animation Q3P Complète</v>
          </cell>
        </row>
        <row r="172">
          <cell r="D172" t="str">
            <v>B.3.4 Synthèse des dérogations sur un projet</v>
          </cell>
        </row>
        <row r="173">
          <cell r="D173" t="str">
            <v>B.3.5 Avis sur dérogation d'une pièce</v>
          </cell>
        </row>
        <row r="174">
          <cell r="D174" t="str">
            <v>B.4.1 Analyse dossier EI SRU</v>
          </cell>
        </row>
        <row r="175">
          <cell r="D175" t="str">
            <v>B.4.2 Analyse dossier EI PRS HL</v>
          </cell>
        </row>
        <row r="176">
          <cell r="D176" t="str">
            <v>B.4.3 Analyse dossier EI PRS EL</v>
          </cell>
        </row>
        <row r="177">
          <cell r="D177" t="str">
            <v>B.4.4 Analyse dossier EI AVS</v>
          </cell>
        </row>
        <row r="178">
          <cell r="D178" t="str">
            <v>B.4.5 Visite d'acceptation qualif process et cr</v>
          </cell>
        </row>
        <row r="179">
          <cell r="D179" t="str">
            <v>B.4.6 Revue plan d'action qualif process</v>
          </cell>
        </row>
        <row r="180">
          <cell r="D180" t="str">
            <v>B.4.7 Confirmation qualif process</v>
          </cell>
        </row>
        <row r="181">
          <cell r="D181" t="str">
            <v>B.4.8 Transfert des CS vers QPFEG</v>
          </cell>
        </row>
        <row r="182">
          <cell r="D182" t="str">
            <v>B.5.1 Fourniture des élements de traitement des faits techniques</v>
          </cell>
        </row>
        <row r="183">
          <cell r="D183" t="str">
            <v>B.5.2 Fourniture des élements de traitement des risques</v>
          </cell>
        </row>
        <row r="184">
          <cell r="D184" t="str">
            <v>B.5.3 Fourniture des élements de synthèse pour le pilote</v>
          </cell>
        </row>
        <row r="185">
          <cell r="D185" t="str">
            <v>B.5.4 Revue d'exigence Moteur</v>
          </cell>
        </row>
        <row r="186">
          <cell r="D186" t="str">
            <v>B.5.5 Revue d'exigences Système d'injection</v>
          </cell>
        </row>
        <row r="187">
          <cell r="D187" t="str">
            <v>B.5.6 Revue de robutesse strate composant</v>
          </cell>
        </row>
        <row r="188">
          <cell r="D188" t="str">
            <v>B.5.7 Revue de robutesse strate pièces</v>
          </cell>
        </row>
        <row r="189">
          <cell r="D189" t="str">
            <v>B.5.8 Revue technique</v>
          </cell>
        </row>
        <row r="190">
          <cell r="D190" t="str">
            <v>B.5.9 Reporting à l'AAQO synthèse</v>
          </cell>
        </row>
        <row r="191">
          <cell r="D191" t="str">
            <v>B.5.10 Validation PIV pièces</v>
          </cell>
        </row>
        <row r="192">
          <cell r="D192" t="str">
            <v>B.5.11 Validation PIV composant</v>
          </cell>
        </row>
        <row r="193">
          <cell r="D193" t="str">
            <v>B.5.12 Validation PIV Organe</v>
          </cell>
        </row>
        <row r="194">
          <cell r="D194" t="str">
            <v>B.6.1 Détermination des objectifs 0km: POI</v>
          </cell>
        </row>
        <row r="195">
          <cell r="D195" t="str">
            <v>B.6.2 Détermination des objectifs 0km: POE</v>
          </cell>
        </row>
        <row r="196">
          <cell r="D196" t="str">
            <v>B.6.3 Support méthodologique à la rédaction du PI</v>
          </cell>
        </row>
        <row r="197">
          <cell r="D197" t="str">
            <v>B.6.4 Mise à jour TdB du PPI/PMSI indicateur qualité de suivi</v>
          </cell>
        </row>
        <row r="198">
          <cell r="D198" t="str">
            <v>B.6.5 Gestion des risques Process interne</v>
          </cell>
        </row>
        <row r="199">
          <cell r="D199" t="str">
            <v>B.6.6 Méthodologie pour rédaction documentation ISA</v>
          </cell>
        </row>
        <row r="200">
          <cell r="D200" t="str">
            <v>B.6.7 Animation démarches support ingénierie</v>
          </cell>
        </row>
        <row r="201">
          <cell r="D201" t="str">
            <v>B.6.8 Préparation robustesse Jalons</v>
          </cell>
        </row>
        <row r="202">
          <cell r="D202" t="str">
            <v>B.6.9 Suivi de robustesse interne</v>
          </cell>
        </row>
        <row r="203">
          <cell r="D203" t="str">
            <v>B.6.10 Qualification process interne en 54 Items</v>
          </cell>
        </row>
        <row r="204">
          <cell r="D204" t="str">
            <v>B.6.11 Défintion et suivi du dossier EI interne</v>
          </cell>
        </row>
        <row r="205">
          <cell r="D205" t="str">
            <v>B.6.12 Revues avec le TA des dossiers EI</v>
          </cell>
        </row>
        <row r="206">
          <cell r="D206" t="str">
            <v>B.6.13 Plan d'action Qualification Process interne 54 items</v>
          </cell>
        </row>
        <row r="207">
          <cell r="D207" t="str">
            <v>B.6.14 Qualification process interne pour la Vie Série 16 Items</v>
          </cell>
        </row>
        <row r="208">
          <cell r="D208" t="str">
            <v>B.6.15 Plan d'action Qualification Process interne 16 Items</v>
          </cell>
        </row>
        <row r="209">
          <cell r="D209" t="str">
            <v>B.6.16 AMDEC Process</v>
          </cell>
        </row>
        <row r="210">
          <cell r="D210" t="str">
            <v>B.6.17 Mise à jour AMDEC</v>
          </cell>
        </row>
        <row r="211">
          <cell r="D211" t="str">
            <v>B.6.18 Suivi Plan d'action AMDEC</v>
          </cell>
        </row>
        <row r="212">
          <cell r="D212" t="str">
            <v>B.6.19 Identification et hierarchisation des CTF (LC3PIM)</v>
          </cell>
        </row>
        <row r="213">
          <cell r="D213" t="str">
            <v>B.6.20 Vérification maitrise des CSE</v>
          </cell>
        </row>
        <row r="214">
          <cell r="D214" t="str">
            <v>B.6.21 Cohérence entre CTF et CSE</v>
          </cell>
        </row>
        <row r="215">
          <cell r="D215" t="str">
            <v>B.6.22 Animation des approbationss</v>
          </cell>
        </row>
        <row r="216">
          <cell r="D216" t="str">
            <v xml:space="preserve">B.6.23 Les incontournables métier et Retex </v>
          </cell>
        </row>
        <row r="217">
          <cell r="D217" t="str">
            <v>B.6.24 Evaluation des Conditions de Montage</v>
          </cell>
        </row>
        <row r="218">
          <cell r="D218" t="str">
            <v>B.6.25 Evaluation des Conditions de Soudure</v>
          </cell>
        </row>
        <row r="219">
          <cell r="D219" t="str">
            <v>B.6.26 Evaluation des Risques à la Conformité</v>
          </cell>
        </row>
        <row r="220">
          <cell r="D220" t="str">
            <v>B.6.27 Descriptif Global de Surveillance</v>
          </cell>
        </row>
        <row r="221">
          <cell r="D221" t="str">
            <v>B.2.1 Analyse Fonctionnelle Externe</v>
          </cell>
        </row>
        <row r="222">
          <cell r="D222" t="str">
            <v>B.2.2 Analyse Fonctionnelle Interne</v>
          </cell>
        </row>
        <row r="223">
          <cell r="D223" t="str">
            <v>B.2.3 AMDEC Produit</v>
          </cell>
        </row>
        <row r="224">
          <cell r="D224" t="str">
            <v>B.2.4 Analyse Préliminaire des Risques</v>
          </cell>
        </row>
        <row r="225">
          <cell r="D225" t="str">
            <v>B.2.5 Arbre de défaillance</v>
          </cell>
        </row>
        <row r="226">
          <cell r="D226" t="str">
            <v>B.2.6 Plan de Maitrise des Risques</v>
          </cell>
        </row>
        <row r="227">
          <cell r="D227" t="str">
            <v>D.1.1 MàJ Enregistrement qualité</v>
          </cell>
        </row>
        <row r="228">
          <cell r="D228" t="str">
            <v>D.1.2 Evaluation processus par rapport CMMI</v>
          </cell>
        </row>
        <row r="229">
          <cell r="D229" t="str">
            <v>D.1.3 Rédaction plan de gestion de conf et Animation revues</v>
          </cell>
        </row>
        <row r="230">
          <cell r="D230" t="str">
            <v>D.1.4 Vérification base de gestion de configuration</v>
          </cell>
        </row>
        <row r="231">
          <cell r="D231" t="str">
            <v>D.2.1 Participation aux réunions projet PSA</v>
          </cell>
        </row>
        <row r="232">
          <cell r="D232" t="str">
            <v>D.2.2 Réunion de Service PSA</v>
          </cell>
        </row>
        <row r="233">
          <cell r="D233" t="str">
            <v>D.2.3 Réunion de Service Altran</v>
          </cell>
        </row>
        <row r="234">
          <cell r="D234" t="str">
            <v>D.2.4 Réunion coordination intra-service</v>
          </cell>
        </row>
        <row r="235">
          <cell r="D235" t="str">
            <v>D.2.5 Réunions AQP / Pilote Fonctionnel</v>
          </cell>
        </row>
        <row r="236">
          <cell r="D236" t="str">
            <v>D.2.6 Réunion mensuel projet / FNR</v>
          </cell>
        </row>
        <row r="237">
          <cell r="D237" t="str">
            <v>D.2.7 Point Mensuel Qualité FNR</v>
          </cell>
        </row>
        <row r="238">
          <cell r="D238" t="str">
            <v>D.3.1 Reporting des faits marquants</v>
          </cell>
        </row>
        <row r="239">
          <cell r="D239" t="str">
            <v>D.3.2 Reporting mensuel SyAM</v>
          </cell>
        </row>
        <row r="240">
          <cell r="D240" t="str">
            <v>D.3.3 Plannification charge</v>
          </cell>
        </row>
        <row r="241">
          <cell r="D241" t="str">
            <v>D.4.1 Divers (Formation,…)</v>
          </cell>
        </row>
      </sheetData>
      <sheetData sheetId="7" refreshError="1"/>
      <sheetData sheetId="8"/>
      <sheetData sheetId="9"/>
      <sheetData sheetId="10">
        <row r="1">
          <cell r="B1" t="str">
            <v>Critères</v>
          </cell>
        </row>
        <row r="2">
          <cell r="B2" t="str">
            <v>Aucun</v>
          </cell>
        </row>
        <row r="3">
          <cell r="B3" t="str">
            <v>Q3P Allégé</v>
          </cell>
        </row>
        <row r="4">
          <cell r="B4" t="str">
            <v>Q3P Standard</v>
          </cell>
        </row>
        <row r="5">
          <cell r="B5" t="str">
            <v>Q3P Complète</v>
          </cell>
        </row>
        <row r="6">
          <cell r="B6" t="str">
            <v>Projet Petit</v>
          </cell>
        </row>
        <row r="7">
          <cell r="B7" t="str">
            <v>Projet Moyen</v>
          </cell>
        </row>
        <row r="8">
          <cell r="B8" t="str">
            <v>Projet Gros</v>
          </cell>
        </row>
        <row r="9">
          <cell r="B9" t="str">
            <v>Assistant méthodologique</v>
          </cell>
        </row>
        <row r="10">
          <cell r="B10" t="str">
            <v>Pilote</v>
          </cell>
        </row>
        <row r="11">
          <cell r="B11" t="str">
            <v>Aucun</v>
          </cell>
        </row>
        <row r="12">
          <cell r="B12" t="str">
            <v>Europe</v>
          </cell>
        </row>
        <row r="13">
          <cell r="B13" t="str">
            <v>Hors Europe</v>
          </cell>
        </row>
        <row r="14">
          <cell r="B14" t="str">
            <v>Qualif sur dossier</v>
          </cell>
        </row>
        <row r="15">
          <cell r="B15" t="str">
            <v>Aucun</v>
          </cell>
        </row>
        <row r="16">
          <cell r="B16" t="str">
            <v>Europe</v>
          </cell>
        </row>
        <row r="17">
          <cell r="B17" t="str">
            <v>Hors Europe</v>
          </cell>
        </row>
        <row r="18">
          <cell r="B18" t="str">
            <v>Qualif sur dossier</v>
          </cell>
        </row>
        <row r="19">
          <cell r="B19" t="str">
            <v>Assistant méthodologique</v>
          </cell>
        </row>
        <row r="20">
          <cell r="B20" t="str">
            <v xml:space="preserve"> Pilote</v>
          </cell>
        </row>
        <row r="21">
          <cell r="B21" t="str">
            <v>Petit Projet</v>
          </cell>
        </row>
        <row r="22">
          <cell r="B22" t="str">
            <v>Projet Moyen</v>
          </cell>
        </row>
        <row r="23">
          <cell r="B23" t="str">
            <v>Gros Projet</v>
          </cell>
        </row>
        <row r="24">
          <cell r="B24" t="str">
            <v>Création</v>
          </cell>
        </row>
        <row r="25">
          <cell r="B25" t="str">
            <v>Mise à jour</v>
          </cell>
        </row>
        <row r="26">
          <cell r="B26" t="str">
            <v>Q3P Allégée</v>
          </cell>
        </row>
        <row r="27">
          <cell r="B27" t="str">
            <v>Q3P Standard</v>
          </cell>
        </row>
        <row r="28">
          <cell r="B28" t="str">
            <v>Q3P Complète</v>
          </cell>
        </row>
        <row r="29">
          <cell r="B29" t="str">
            <v>Qualif Complète</v>
          </cell>
        </row>
        <row r="30">
          <cell r="B30" t="str">
            <v>Qualif Partielle</v>
          </cell>
        </row>
      </sheetData>
      <sheetData sheetId="1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guide"/>
      <sheetName val="exi_CDT_sans_flux-06-01-2012"/>
      <sheetName val="Correspondance constituants"/>
      <sheetName val="Statistique"/>
      <sheetName val="DCI manuels"/>
      <sheetName val="Flux supprimés"/>
      <sheetName val="stat auto"/>
      <sheetName val="synth"/>
      <sheetName val="Feuil9"/>
      <sheetName val="Implementation_Follow_UP"/>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dB"/>
      <sheetName val="PdG"/>
      <sheetName val="Synthèse"/>
      <sheetName val="CRRAv"/>
      <sheetName val="Répertoire"/>
      <sheetName val="RENG"/>
      <sheetName val="M_Plan"/>
      <sheetName val="Actions"/>
      <sheetName val="Syn_RO"/>
      <sheetName val="P_RP"/>
      <sheetName val="Aléas"/>
      <sheetName val="STF_CST"/>
      <sheetName val="Jalons"/>
      <sheetName val="Rscr"/>
      <sheetName val="Exi"/>
      <sheetName val="Qualité"/>
      <sheetName val="MCO_Evol."/>
      <sheetName val="MCO_Corr."/>
      <sheetName val="Indicateurs"/>
      <sheetName val="M_Synthèse"/>
      <sheetName val="M_CRRAv"/>
      <sheetName val="MS"/>
      <sheetName val="MeP"/>
      <sheetName val="EC"/>
      <sheetName val="METIER - Listes"/>
      <sheetName val="Lis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docinfogroup.preprod.inetpsa.com/ead/doc/ref.01301_15_01026/v.vc/fiche"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docinfogroup.preprod.inetpsa.com/ead/doc/ref.20931_26_00271/v.vc/fi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40"/>
  <sheetViews>
    <sheetView zoomScale="70" zoomScaleNormal="70" workbookViewId="0">
      <selection activeCell="G26" sqref="G26"/>
    </sheetView>
  </sheetViews>
  <sheetFormatPr baseColWidth="10" defaultColWidth="9.109375" defaultRowHeight="13.2"/>
  <cols>
    <col min="1" max="1" width="4.109375" style="154" customWidth="1"/>
    <col min="2" max="2" width="20.33203125" style="154" customWidth="1"/>
    <col min="3" max="3" width="17.6640625" style="154" customWidth="1"/>
    <col min="4" max="4" width="19.109375" style="154" customWidth="1"/>
    <col min="5" max="5" width="18.6640625" style="154" customWidth="1"/>
    <col min="6" max="8" width="17.6640625" style="154" customWidth="1"/>
    <col min="9" max="9" width="18.6640625" style="154" customWidth="1"/>
    <col min="10" max="10" width="4.6640625" style="154" customWidth="1"/>
    <col min="11" max="11" width="9.109375" style="104"/>
    <col min="12" max="12" width="19.88671875" style="104" customWidth="1"/>
    <col min="13" max="13" width="33.6640625" style="104" customWidth="1"/>
    <col min="14" max="14" width="29.109375" style="104" customWidth="1"/>
    <col min="15" max="16384" width="9.109375" style="104"/>
  </cols>
  <sheetData>
    <row r="1" spans="1:10" ht="28.5" customHeight="1">
      <c r="A1" s="198" t="s">
        <v>1</v>
      </c>
      <c r="B1" s="198"/>
      <c r="C1" s="198"/>
      <c r="D1" s="198"/>
      <c r="E1" s="198"/>
      <c r="F1" s="198"/>
      <c r="G1" s="198"/>
      <c r="H1" s="198"/>
      <c r="I1" s="198"/>
      <c r="J1" s="198"/>
    </row>
    <row r="2" spans="1:10" ht="13.8">
      <c r="A2" s="105"/>
      <c r="B2" s="106"/>
      <c r="C2" s="107" t="s">
        <v>386</v>
      </c>
      <c r="D2" s="107" t="s">
        <v>25</v>
      </c>
      <c r="E2" s="107"/>
      <c r="F2" s="107"/>
      <c r="G2" s="108"/>
      <c r="H2" s="108"/>
      <c r="I2" s="108"/>
      <c r="J2" s="105"/>
    </row>
    <row r="3" spans="1:10" ht="13.8">
      <c r="A3" s="105"/>
      <c r="B3" s="109" t="s">
        <v>387</v>
      </c>
      <c r="C3" s="110" t="s">
        <v>388</v>
      </c>
      <c r="D3" s="111"/>
      <c r="E3" s="107"/>
      <c r="F3" s="107"/>
      <c r="G3" s="108"/>
      <c r="H3" s="108"/>
      <c r="I3" s="108"/>
      <c r="J3" s="105"/>
    </row>
    <row r="4" spans="1:10">
      <c r="A4" s="105"/>
      <c r="B4" s="112" t="s">
        <v>389</v>
      </c>
      <c r="C4" s="113" t="s">
        <v>6</v>
      </c>
      <c r="D4" s="114"/>
      <c r="E4" s="108"/>
      <c r="F4" s="108"/>
      <c r="G4" s="108"/>
      <c r="H4" s="108"/>
      <c r="I4" s="108"/>
      <c r="J4" s="105"/>
    </row>
    <row r="5" spans="1:10" ht="13.8" thickBot="1">
      <c r="A5" s="105"/>
      <c r="B5" s="115"/>
      <c r="C5" s="108"/>
      <c r="D5" s="108"/>
      <c r="E5" s="108"/>
      <c r="F5" s="108"/>
      <c r="G5" s="108"/>
      <c r="H5" s="108"/>
      <c r="I5" s="108"/>
      <c r="J5" s="105"/>
    </row>
    <row r="6" spans="1:10" ht="13.35" customHeight="1">
      <c r="A6" s="105"/>
      <c r="B6" s="116"/>
      <c r="C6" s="117"/>
      <c r="D6" s="118"/>
      <c r="E6" s="118"/>
      <c r="F6" s="118"/>
      <c r="G6" s="119"/>
      <c r="H6" s="120"/>
      <c r="I6" s="108"/>
      <c r="J6" s="105"/>
    </row>
    <row r="7" spans="1:10" ht="12.9" customHeight="1">
      <c r="A7" s="105"/>
      <c r="B7" s="116"/>
      <c r="C7" s="121"/>
      <c r="D7" s="122" t="s">
        <v>390</v>
      </c>
      <c r="E7" s="122" t="s">
        <v>391</v>
      </c>
      <c r="F7" s="122"/>
      <c r="G7" s="108"/>
      <c r="H7" s="123"/>
      <c r="I7" s="108"/>
      <c r="J7" s="105"/>
    </row>
    <row r="8" spans="1:10" ht="12.9" customHeight="1">
      <c r="A8" s="105"/>
      <c r="B8" s="116"/>
      <c r="C8" s="121"/>
      <c r="D8" s="122" t="s">
        <v>392</v>
      </c>
      <c r="E8" s="122" t="s">
        <v>393</v>
      </c>
      <c r="F8" s="122"/>
      <c r="G8" s="108"/>
      <c r="H8" s="123"/>
      <c r="I8" s="108"/>
      <c r="J8" s="105"/>
    </row>
    <row r="9" spans="1:10" ht="13.8">
      <c r="A9" s="105"/>
      <c r="B9" s="116"/>
      <c r="C9" s="124"/>
      <c r="D9" s="122" t="s">
        <v>394</v>
      </c>
      <c r="E9" s="122" t="s">
        <v>395</v>
      </c>
      <c r="F9" s="122"/>
      <c r="G9" s="108"/>
      <c r="H9" s="123"/>
      <c r="I9" s="108"/>
      <c r="J9" s="105"/>
    </row>
    <row r="10" spans="1:10" ht="13.8" thickBot="1">
      <c r="A10" s="105"/>
      <c r="B10" s="116"/>
      <c r="C10" s="125"/>
      <c r="D10" s="126"/>
      <c r="E10" s="126"/>
      <c r="F10" s="126"/>
      <c r="G10" s="127"/>
      <c r="H10" s="128"/>
      <c r="I10" s="108"/>
      <c r="J10" s="105"/>
    </row>
    <row r="11" spans="1:10">
      <c r="A11" s="105"/>
      <c r="B11" s="116"/>
      <c r="C11" s="108"/>
      <c r="D11" s="108"/>
      <c r="E11" s="108"/>
      <c r="F11" s="108"/>
      <c r="G11" s="108"/>
      <c r="H11" s="108"/>
      <c r="I11" s="108"/>
      <c r="J11" s="105"/>
    </row>
    <row r="12" spans="1:10">
      <c r="A12" s="105"/>
      <c r="B12" s="116"/>
      <c r="C12" s="199" t="s">
        <v>396</v>
      </c>
      <c r="D12" s="199"/>
      <c r="E12" s="199"/>
      <c r="F12" s="199"/>
      <c r="G12" s="199"/>
      <c r="H12" s="199"/>
      <c r="I12" s="108"/>
      <c r="J12" s="105"/>
    </row>
    <row r="13" spans="1:10" ht="44.25" customHeight="1">
      <c r="A13" s="105"/>
      <c r="B13" s="116"/>
      <c r="C13" s="199"/>
      <c r="D13" s="199"/>
      <c r="E13" s="199"/>
      <c r="F13" s="199"/>
      <c r="G13" s="199"/>
      <c r="H13" s="199"/>
      <c r="I13" s="108"/>
      <c r="J13" s="105"/>
    </row>
    <row r="14" spans="1:10" ht="22.5" customHeight="1">
      <c r="A14" s="105"/>
      <c r="B14" s="116"/>
      <c r="C14" s="129"/>
      <c r="D14" s="129"/>
      <c r="E14" s="129"/>
      <c r="F14" s="129"/>
      <c r="G14" s="129"/>
      <c r="H14" s="129"/>
      <c r="I14" s="108"/>
      <c r="J14" s="105"/>
    </row>
    <row r="15" spans="1:10" ht="18">
      <c r="A15" s="105"/>
      <c r="B15" s="130" t="s">
        <v>397</v>
      </c>
      <c r="C15" s="131"/>
      <c r="D15" s="132" t="s">
        <v>398</v>
      </c>
      <c r="E15" s="108"/>
      <c r="F15" s="108"/>
      <c r="G15" s="108"/>
      <c r="H15" s="108"/>
      <c r="I15" s="108"/>
      <c r="J15" s="105"/>
    </row>
    <row r="16" spans="1:10">
      <c r="A16" s="105"/>
      <c r="B16" s="133" t="s">
        <v>399</v>
      </c>
      <c r="C16" s="133" t="s">
        <v>400</v>
      </c>
      <c r="D16" s="133" t="s">
        <v>401</v>
      </c>
      <c r="E16" s="200" t="s">
        <v>402</v>
      </c>
      <c r="F16" s="201"/>
      <c r="G16" s="201"/>
      <c r="H16" s="201"/>
      <c r="I16" s="201"/>
      <c r="J16" s="105"/>
    </row>
    <row r="17" spans="1:10">
      <c r="A17" s="105"/>
      <c r="B17" s="134" t="s">
        <v>403</v>
      </c>
      <c r="C17" s="134"/>
      <c r="D17" s="134"/>
      <c r="E17" s="135"/>
      <c r="F17" s="136"/>
      <c r="G17" s="136"/>
      <c r="H17" s="136"/>
      <c r="I17" s="137"/>
      <c r="J17" s="105"/>
    </row>
    <row r="18" spans="1:10">
      <c r="A18" s="105"/>
      <c r="B18" s="138" t="s">
        <v>404</v>
      </c>
      <c r="C18" s="139"/>
      <c r="D18" s="138"/>
      <c r="E18" s="202" t="s">
        <v>41</v>
      </c>
      <c r="F18" s="203"/>
      <c r="G18" s="203"/>
      <c r="H18" s="203"/>
      <c r="I18" s="204"/>
      <c r="J18" s="105"/>
    </row>
    <row r="19" spans="1:10">
      <c r="A19" s="105"/>
      <c r="B19" s="138" t="s">
        <v>405</v>
      </c>
      <c r="C19" s="139"/>
      <c r="D19" s="138"/>
      <c r="E19" s="202" t="s">
        <v>406</v>
      </c>
      <c r="F19" s="203"/>
      <c r="G19" s="203"/>
      <c r="H19" s="203"/>
      <c r="I19" s="204"/>
      <c r="J19" s="105"/>
    </row>
    <row r="20" spans="1:10">
      <c r="A20" s="105"/>
      <c r="B20" s="138" t="s">
        <v>407</v>
      </c>
      <c r="C20" s="139"/>
      <c r="D20" s="138"/>
      <c r="E20" s="205" t="s">
        <v>408</v>
      </c>
      <c r="F20" s="206"/>
      <c r="G20" s="206"/>
      <c r="H20" s="206"/>
      <c r="I20" s="207"/>
      <c r="J20" s="105"/>
    </row>
    <row r="21" spans="1:10">
      <c r="A21" s="105"/>
      <c r="B21" s="140"/>
      <c r="C21" s="141"/>
      <c r="D21" s="140"/>
      <c r="E21" s="193"/>
      <c r="F21" s="194"/>
      <c r="G21" s="194"/>
      <c r="H21" s="194"/>
      <c r="I21" s="195"/>
      <c r="J21" s="105"/>
    </row>
    <row r="22" spans="1:10">
      <c r="A22" s="105"/>
      <c r="B22" s="140"/>
      <c r="C22" s="141"/>
      <c r="D22" s="140"/>
      <c r="E22" s="142"/>
      <c r="F22" s="143"/>
      <c r="G22" s="143"/>
      <c r="H22" s="143"/>
      <c r="I22" s="144"/>
      <c r="J22" s="105"/>
    </row>
    <row r="23" spans="1:10">
      <c r="A23" s="105"/>
      <c r="B23" s="140"/>
      <c r="C23" s="141"/>
      <c r="D23" s="140"/>
      <c r="E23" s="142"/>
      <c r="F23" s="143"/>
      <c r="G23" s="143"/>
      <c r="H23" s="143"/>
      <c r="I23" s="144"/>
      <c r="J23" s="105"/>
    </row>
    <row r="24" spans="1:10">
      <c r="A24" s="105"/>
      <c r="B24" s="140"/>
      <c r="C24" s="141"/>
      <c r="D24" s="140"/>
      <c r="E24" s="142"/>
      <c r="F24" s="143"/>
      <c r="G24" s="143"/>
      <c r="H24" s="143"/>
      <c r="I24" s="144"/>
      <c r="J24" s="105"/>
    </row>
    <row r="25" spans="1:10">
      <c r="A25" s="105"/>
      <c r="B25" s="140"/>
      <c r="C25" s="141"/>
      <c r="D25" s="140"/>
      <c r="E25" s="142"/>
      <c r="F25" s="143"/>
      <c r="G25" s="143"/>
      <c r="H25" s="143"/>
      <c r="I25" s="144"/>
      <c r="J25" s="105"/>
    </row>
    <row r="26" spans="1:10">
      <c r="A26" s="105"/>
      <c r="B26" s="140"/>
      <c r="C26" s="141"/>
      <c r="D26" s="140"/>
      <c r="E26" s="142"/>
      <c r="F26" s="143"/>
      <c r="G26" s="143"/>
      <c r="H26" s="143"/>
      <c r="I26" s="144"/>
      <c r="J26" s="105"/>
    </row>
    <row r="27" spans="1:10">
      <c r="A27" s="105"/>
      <c r="B27" s="140"/>
      <c r="C27" s="141"/>
      <c r="D27" s="140"/>
      <c r="E27" s="142"/>
      <c r="F27" s="143"/>
      <c r="G27" s="143"/>
      <c r="H27" s="143"/>
      <c r="I27" s="144"/>
      <c r="J27" s="105"/>
    </row>
    <row r="28" spans="1:10">
      <c r="A28" s="105"/>
      <c r="B28" s="140"/>
      <c r="C28" s="141"/>
      <c r="D28" s="140"/>
      <c r="E28" s="142"/>
      <c r="F28" s="143"/>
      <c r="G28" s="143"/>
      <c r="H28" s="143"/>
      <c r="I28" s="144"/>
      <c r="J28" s="105"/>
    </row>
    <row r="29" spans="1:10">
      <c r="A29" s="105"/>
      <c r="B29" s="140"/>
      <c r="C29" s="141"/>
      <c r="D29" s="140"/>
      <c r="E29" s="142"/>
      <c r="F29" s="143"/>
      <c r="G29" s="143"/>
      <c r="H29" s="143"/>
      <c r="I29" s="144"/>
      <c r="J29" s="105"/>
    </row>
    <row r="30" spans="1:10">
      <c r="A30" s="105"/>
      <c r="B30" s="140"/>
      <c r="C30" s="141"/>
      <c r="D30" s="140"/>
      <c r="E30" s="142"/>
      <c r="F30" s="143"/>
      <c r="G30" s="143"/>
      <c r="H30" s="143"/>
      <c r="I30" s="144"/>
      <c r="J30" s="105"/>
    </row>
    <row r="31" spans="1:10">
      <c r="A31" s="105"/>
      <c r="B31" s="140"/>
      <c r="C31" s="141"/>
      <c r="D31" s="140"/>
      <c r="E31" s="142"/>
      <c r="F31" s="143"/>
      <c r="G31" s="143"/>
      <c r="H31" s="143"/>
      <c r="I31" s="144"/>
      <c r="J31" s="105"/>
    </row>
    <row r="32" spans="1:10">
      <c r="A32" s="105"/>
      <c r="B32" s="140"/>
      <c r="C32" s="141"/>
      <c r="D32" s="140"/>
      <c r="E32" s="142"/>
      <c r="F32" s="143"/>
      <c r="G32" s="143"/>
      <c r="H32" s="143"/>
      <c r="I32" s="144"/>
      <c r="J32" s="105"/>
    </row>
    <row r="33" spans="1:10">
      <c r="A33" s="105"/>
      <c r="B33" s="140"/>
      <c r="C33" s="141"/>
      <c r="D33" s="140"/>
      <c r="E33" s="142"/>
      <c r="F33" s="143"/>
      <c r="G33" s="143"/>
      <c r="H33" s="143"/>
      <c r="I33" s="144"/>
      <c r="J33" s="105"/>
    </row>
    <row r="34" spans="1:10">
      <c r="A34" s="105"/>
      <c r="B34" s="140"/>
      <c r="C34" s="141"/>
      <c r="D34" s="140"/>
      <c r="E34" s="142"/>
      <c r="F34" s="143"/>
      <c r="G34" s="143"/>
      <c r="H34" s="143"/>
      <c r="I34" s="144"/>
      <c r="J34" s="105"/>
    </row>
    <row r="35" spans="1:10">
      <c r="A35" s="105"/>
      <c r="B35" s="140"/>
      <c r="C35" s="141"/>
      <c r="D35" s="140"/>
      <c r="E35" s="142"/>
      <c r="F35" s="143"/>
      <c r="G35" s="143"/>
      <c r="H35" s="143"/>
      <c r="I35" s="144"/>
      <c r="J35" s="105"/>
    </row>
    <row r="36" spans="1:10">
      <c r="A36" s="105"/>
      <c r="B36" s="140"/>
      <c r="C36" s="141"/>
      <c r="D36" s="140"/>
      <c r="E36" s="142"/>
      <c r="F36" s="143"/>
      <c r="G36" s="143"/>
      <c r="H36" s="143"/>
      <c r="I36" s="144"/>
      <c r="J36" s="105"/>
    </row>
    <row r="37" spans="1:10">
      <c r="A37" s="105"/>
      <c r="B37" s="145"/>
      <c r="C37" s="146"/>
      <c r="D37" s="145"/>
      <c r="E37" s="147"/>
      <c r="F37" s="147"/>
      <c r="G37" s="147"/>
      <c r="H37" s="148"/>
      <c r="I37" s="148"/>
      <c r="J37" s="105"/>
    </row>
    <row r="38" spans="1:10">
      <c r="A38" s="105"/>
      <c r="B38" s="149"/>
      <c r="C38" s="149"/>
      <c r="D38" s="149"/>
      <c r="E38" s="150"/>
      <c r="F38" s="151"/>
      <c r="G38" s="151"/>
      <c r="H38" s="151"/>
      <c r="I38" s="151"/>
      <c r="J38" s="105"/>
    </row>
    <row r="39" spans="1:10">
      <c r="A39" s="105"/>
      <c r="B39" s="149"/>
      <c r="C39" s="149"/>
      <c r="D39" s="149"/>
      <c r="E39" s="150"/>
      <c r="F39" s="151"/>
      <c r="G39" s="151"/>
      <c r="H39" s="151"/>
      <c r="I39" s="151"/>
      <c r="J39" s="105"/>
    </row>
    <row r="40" spans="1:10">
      <c r="A40" s="105"/>
      <c r="B40" s="152"/>
      <c r="C40" s="153"/>
      <c r="D40" s="152"/>
      <c r="E40" s="196"/>
      <c r="F40" s="197"/>
      <c r="G40" s="197"/>
      <c r="H40" s="197"/>
      <c r="I40" s="197"/>
      <c r="J40" s="105"/>
    </row>
  </sheetData>
  <sheetProtection formatCells="0" formatColumns="0" formatRows="0" insertRows="0" insertHyperlinks="0" autoFilter="0"/>
  <mergeCells count="8">
    <mergeCell ref="E21:I21"/>
    <mergeCell ref="E40:I40"/>
    <mergeCell ref="A1:J1"/>
    <mergeCell ref="C12:H13"/>
    <mergeCell ref="E16:I16"/>
    <mergeCell ref="E18:I18"/>
    <mergeCell ref="E19:I19"/>
    <mergeCell ref="E20:I20"/>
  </mergeCells>
  <phoneticPr fontId="6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dimension ref="C2:F24"/>
  <sheetViews>
    <sheetView topLeftCell="A20" zoomScaleNormal="100" workbookViewId="0">
      <selection activeCell="E26" sqref="E26"/>
    </sheetView>
  </sheetViews>
  <sheetFormatPr baseColWidth="10" defaultColWidth="11.33203125" defaultRowHeight="14.4"/>
  <cols>
    <col min="3" max="3" width="14" customWidth="1"/>
    <col min="4" max="4" width="16" customWidth="1"/>
    <col min="5" max="5" width="14" customWidth="1"/>
    <col min="6" max="6" width="101.21875" style="1" customWidth="1"/>
    <col min="7" max="7" width="4.109375" customWidth="1"/>
    <col min="8" max="8" width="9.77734375" customWidth="1"/>
    <col min="9" max="9" width="87.88671875" customWidth="1"/>
  </cols>
  <sheetData>
    <row r="2" spans="3:6" ht="51.75" customHeight="1" thickBot="1">
      <c r="C2" s="2"/>
      <c r="F2" s="4"/>
    </row>
    <row r="3" spans="3:6" s="39" customFormat="1" ht="36.6" customHeight="1" thickBot="1">
      <c r="C3" s="79" t="s">
        <v>206</v>
      </c>
      <c r="D3" s="80" t="s">
        <v>202</v>
      </c>
      <c r="E3" s="80" t="s">
        <v>113</v>
      </c>
      <c r="F3" s="81" t="s">
        <v>118</v>
      </c>
    </row>
    <row r="4" spans="3:6" s="37" customFormat="1" ht="28.5" customHeight="1">
      <c r="C4" s="82"/>
      <c r="D4" s="83">
        <v>42370</v>
      </c>
      <c r="E4" s="83"/>
      <c r="F4" s="84" t="s">
        <v>182</v>
      </c>
    </row>
    <row r="5" spans="3:6" ht="48" customHeight="1">
      <c r="C5" s="72"/>
      <c r="D5" s="63">
        <v>44167</v>
      </c>
      <c r="E5" s="63" t="s">
        <v>108</v>
      </c>
      <c r="F5" s="73" t="s">
        <v>102</v>
      </c>
    </row>
    <row r="6" spans="3:6" ht="48" customHeight="1">
      <c r="C6" s="72"/>
      <c r="D6" s="63">
        <v>44214</v>
      </c>
      <c r="E6" s="63" t="s">
        <v>108</v>
      </c>
      <c r="F6" s="73" t="s">
        <v>115</v>
      </c>
    </row>
    <row r="7" spans="3:6" ht="19.5" customHeight="1">
      <c r="C7" s="72"/>
      <c r="D7" s="63">
        <v>44260</v>
      </c>
      <c r="E7" s="63" t="s">
        <v>108</v>
      </c>
      <c r="F7" s="73" t="s">
        <v>114</v>
      </c>
    </row>
    <row r="8" spans="3:6" ht="42" customHeight="1">
      <c r="C8" s="72"/>
      <c r="D8" s="63">
        <v>44615</v>
      </c>
      <c r="E8" s="63" t="s">
        <v>108</v>
      </c>
      <c r="F8" s="73" t="s">
        <v>112</v>
      </c>
    </row>
    <row r="9" spans="3:6" ht="32.1" customHeight="1">
      <c r="C9" s="72"/>
      <c r="D9" s="63">
        <v>44643</v>
      </c>
      <c r="E9" s="63" t="s">
        <v>108</v>
      </c>
      <c r="F9" s="73" t="s">
        <v>109</v>
      </c>
    </row>
    <row r="10" spans="3:6" ht="27.6" customHeight="1">
      <c r="C10" s="72"/>
      <c r="D10" s="63">
        <v>44725</v>
      </c>
      <c r="E10" s="63" t="s">
        <v>108</v>
      </c>
      <c r="F10" s="73" t="s">
        <v>183</v>
      </c>
    </row>
    <row r="11" spans="3:6" ht="42.75" customHeight="1">
      <c r="C11" s="72"/>
      <c r="D11" s="63">
        <v>44816</v>
      </c>
      <c r="E11" s="63" t="s">
        <v>108</v>
      </c>
      <c r="F11" s="73" t="s">
        <v>181</v>
      </c>
    </row>
    <row r="12" spans="3:6" ht="66" customHeight="1">
      <c r="C12" s="72"/>
      <c r="D12" s="63">
        <v>44852</v>
      </c>
      <c r="E12" s="63" t="s">
        <v>108</v>
      </c>
      <c r="F12" s="74" t="s">
        <v>184</v>
      </c>
    </row>
    <row r="13" spans="3:6" ht="39" customHeight="1">
      <c r="C13" s="72"/>
      <c r="D13" s="63">
        <v>44858</v>
      </c>
      <c r="E13" s="63" t="s">
        <v>108</v>
      </c>
      <c r="F13" s="75" t="s">
        <v>185</v>
      </c>
    </row>
    <row r="14" spans="3:6" ht="60.75" customHeight="1">
      <c r="C14" s="72"/>
      <c r="D14" s="63">
        <v>44973</v>
      </c>
      <c r="E14" s="63" t="s">
        <v>108</v>
      </c>
      <c r="F14" s="75" t="s">
        <v>186</v>
      </c>
    </row>
    <row r="15" spans="3:6" ht="104.25" customHeight="1">
      <c r="C15" s="72" t="s">
        <v>203</v>
      </c>
      <c r="D15" s="63">
        <v>45211</v>
      </c>
      <c r="E15" s="63" t="s">
        <v>108</v>
      </c>
      <c r="F15" s="75" t="s">
        <v>196</v>
      </c>
    </row>
    <row r="16" spans="3:6" ht="53.25" customHeight="1">
      <c r="C16" s="72" t="s">
        <v>204</v>
      </c>
      <c r="D16" s="63">
        <v>45240</v>
      </c>
      <c r="E16" s="63" t="s">
        <v>108</v>
      </c>
      <c r="F16" s="75" t="s">
        <v>197</v>
      </c>
    </row>
    <row r="17" spans="3:6" ht="54" customHeight="1">
      <c r="C17" s="72" t="s">
        <v>205</v>
      </c>
      <c r="D17" s="63">
        <v>45306</v>
      </c>
      <c r="E17" s="63" t="s">
        <v>108</v>
      </c>
      <c r="F17" s="75" t="s">
        <v>201</v>
      </c>
    </row>
    <row r="18" spans="3:6" ht="54" customHeight="1" thickBot="1">
      <c r="C18" s="76" t="s">
        <v>207</v>
      </c>
      <c r="D18" s="77">
        <v>45491</v>
      </c>
      <c r="E18" s="77" t="s">
        <v>108</v>
      </c>
      <c r="F18" s="78" t="s">
        <v>208</v>
      </c>
    </row>
    <row r="19" spans="3:6" ht="54" customHeight="1" thickBot="1">
      <c r="C19" s="76" t="s">
        <v>363</v>
      </c>
      <c r="D19" s="77">
        <v>45593</v>
      </c>
      <c r="E19" s="77" t="s">
        <v>108</v>
      </c>
      <c r="F19" s="78" t="s">
        <v>364</v>
      </c>
    </row>
    <row r="20" spans="3:6" ht="147.6" customHeight="1" thickBot="1">
      <c r="C20" s="76" t="s">
        <v>365</v>
      </c>
      <c r="D20" s="77">
        <v>45743</v>
      </c>
      <c r="E20" s="77" t="s">
        <v>108</v>
      </c>
      <c r="F20" s="78" t="s">
        <v>413</v>
      </c>
    </row>
    <row r="21" spans="3:6" ht="57.9" customHeight="1" thickBot="1">
      <c r="C21" s="76" t="s">
        <v>473</v>
      </c>
      <c r="D21" s="77">
        <v>45770</v>
      </c>
      <c r="E21" s="77" t="s">
        <v>108</v>
      </c>
      <c r="F21" s="78" t="s">
        <v>474</v>
      </c>
    </row>
    <row r="22" spans="3:6" ht="57.9" customHeight="1" thickBot="1">
      <c r="C22" s="76" t="s">
        <v>477</v>
      </c>
      <c r="D22" s="77">
        <v>45800</v>
      </c>
      <c r="E22" s="77" t="s">
        <v>108</v>
      </c>
      <c r="F22" s="78" t="s">
        <v>478</v>
      </c>
    </row>
    <row r="23" spans="3:6" ht="57.9" customHeight="1" thickBot="1">
      <c r="C23" s="76" t="s">
        <v>479</v>
      </c>
      <c r="D23" s="77">
        <v>45840</v>
      </c>
      <c r="E23" s="77" t="s">
        <v>108</v>
      </c>
      <c r="F23" s="78" t="s">
        <v>487</v>
      </c>
    </row>
    <row r="24" spans="3:6" ht="77.25" customHeight="1" thickBot="1">
      <c r="C24" s="76" t="s">
        <v>486</v>
      </c>
      <c r="D24" s="77">
        <v>45931</v>
      </c>
      <c r="E24" s="77" t="s">
        <v>108</v>
      </c>
      <c r="F24" s="78" t="s">
        <v>562</v>
      </c>
    </row>
  </sheetData>
  <phoneticPr fontId="3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A1:C47"/>
  <sheetViews>
    <sheetView zoomScale="55" zoomScaleNormal="55" workbookViewId="0">
      <selection activeCell="G14" sqref="G14"/>
    </sheetView>
  </sheetViews>
  <sheetFormatPr baseColWidth="10" defaultColWidth="10.88671875" defaultRowHeight="18"/>
  <cols>
    <col min="1" max="1" width="59.6640625" customWidth="1"/>
    <col min="2" max="2" width="16.33203125" style="180" customWidth="1"/>
    <col min="3" max="3" width="142.21875" style="180" customWidth="1"/>
  </cols>
  <sheetData>
    <row r="1" spans="1:3" ht="59.25" customHeight="1" thickBot="1">
      <c r="A1" s="208"/>
      <c r="B1" s="208"/>
      <c r="C1" s="208"/>
    </row>
    <row r="2" spans="1:3">
      <c r="B2" s="169"/>
      <c r="C2" s="170" t="s">
        <v>1</v>
      </c>
    </row>
    <row r="3" spans="1:3" ht="18.600000000000001" thickBot="1">
      <c r="B3" s="171"/>
      <c r="C3" s="172"/>
    </row>
    <row r="4" spans="1:3" ht="19.5" customHeight="1">
      <c r="B4" s="176" t="s">
        <v>559</v>
      </c>
      <c r="C4" s="177"/>
    </row>
    <row r="5" spans="1:3" ht="129.75" customHeight="1">
      <c r="B5" s="171"/>
      <c r="C5" s="182" t="s">
        <v>563</v>
      </c>
    </row>
    <row r="6" spans="1:3" ht="51.75" customHeight="1" thickBot="1">
      <c r="B6" s="171"/>
      <c r="C6" s="173" t="s">
        <v>564</v>
      </c>
    </row>
    <row r="7" spans="1:3">
      <c r="B7" s="176" t="s">
        <v>2</v>
      </c>
      <c r="C7" s="177"/>
    </row>
    <row r="8" spans="1:3" ht="21.75" customHeight="1">
      <c r="B8" s="171"/>
      <c r="C8" s="181" t="s">
        <v>561</v>
      </c>
    </row>
    <row r="9" spans="1:3" ht="16.5" customHeight="1">
      <c r="B9" s="171"/>
      <c r="C9" s="173" t="s">
        <v>489</v>
      </c>
    </row>
    <row r="10" spans="1:3">
      <c r="B10" s="171"/>
      <c r="C10" s="173" t="s">
        <v>490</v>
      </c>
    </row>
    <row r="11" spans="1:3" ht="36">
      <c r="B11" s="171"/>
      <c r="C11" s="173" t="s">
        <v>491</v>
      </c>
    </row>
    <row r="12" spans="1:3">
      <c r="B12" s="171"/>
      <c r="C12" s="173" t="s">
        <v>560</v>
      </c>
    </row>
    <row r="13" spans="1:3" ht="19.5" customHeight="1">
      <c r="B13" s="171"/>
      <c r="C13" s="173" t="s">
        <v>492</v>
      </c>
    </row>
    <row r="14" spans="1:3" ht="20.25" customHeight="1">
      <c r="B14" s="171"/>
      <c r="C14" s="173" t="s">
        <v>493</v>
      </c>
    </row>
    <row r="15" spans="1:3">
      <c r="B15" s="171"/>
      <c r="C15" s="173" t="s">
        <v>494</v>
      </c>
    </row>
    <row r="16" spans="1:3">
      <c r="B16" s="171"/>
      <c r="C16" s="173" t="s">
        <v>495</v>
      </c>
    </row>
    <row r="17" spans="2:3">
      <c r="B17" s="171"/>
      <c r="C17" s="173" t="s">
        <v>496</v>
      </c>
    </row>
    <row r="18" spans="2:3">
      <c r="B18" s="171"/>
      <c r="C18" s="173" t="s">
        <v>497</v>
      </c>
    </row>
    <row r="19" spans="2:3">
      <c r="B19" s="171"/>
      <c r="C19" s="173" t="s">
        <v>498</v>
      </c>
    </row>
    <row r="20" spans="2:3">
      <c r="B20" s="171"/>
      <c r="C20" s="173" t="s">
        <v>499</v>
      </c>
    </row>
    <row r="21" spans="2:3">
      <c r="B21" s="171"/>
      <c r="C21" s="173" t="s">
        <v>500</v>
      </c>
    </row>
    <row r="22" spans="2:3">
      <c r="B22" s="171"/>
      <c r="C22" s="173" t="s">
        <v>501</v>
      </c>
    </row>
    <row r="23" spans="2:3" ht="18.600000000000001" thickBot="1">
      <c r="B23" s="174"/>
      <c r="C23" s="175"/>
    </row>
    <row r="24" spans="2:3">
      <c r="B24" s="176" t="s">
        <v>126</v>
      </c>
      <c r="C24" s="177"/>
    </row>
    <row r="25" spans="2:3" ht="19.5" customHeight="1">
      <c r="B25" s="171"/>
      <c r="C25" s="178" t="s">
        <v>129</v>
      </c>
    </row>
    <row r="26" spans="2:3">
      <c r="B26" s="171"/>
      <c r="C26" s="179" t="s">
        <v>127</v>
      </c>
    </row>
    <row r="27" spans="2:3">
      <c r="B27" s="171"/>
      <c r="C27" s="179" t="s">
        <v>488</v>
      </c>
    </row>
    <row r="28" spans="2:3" ht="42" customHeight="1">
      <c r="B28" s="171"/>
      <c r="C28" s="179" t="s">
        <v>565</v>
      </c>
    </row>
    <row r="29" spans="2:3" ht="32.25" customHeight="1">
      <c r="B29" s="171"/>
      <c r="C29" s="179" t="s">
        <v>566</v>
      </c>
    </row>
    <row r="30" spans="2:3" ht="18" customHeight="1">
      <c r="B30" s="171"/>
      <c r="C30" s="179"/>
    </row>
    <row r="31" spans="2:3" ht="18" customHeight="1">
      <c r="B31" s="171"/>
      <c r="C31" s="178" t="s">
        <v>482</v>
      </c>
    </row>
    <row r="32" spans="2:3" ht="42.75" customHeight="1">
      <c r="B32" s="171"/>
      <c r="C32" s="179" t="s">
        <v>483</v>
      </c>
    </row>
    <row r="33" spans="2:3" ht="29.25" customHeight="1">
      <c r="B33" s="171"/>
      <c r="C33" s="179" t="s">
        <v>567</v>
      </c>
    </row>
    <row r="34" spans="2:3" ht="36.75" customHeight="1">
      <c r="B34" s="171"/>
      <c r="C34" s="179" t="s">
        <v>128</v>
      </c>
    </row>
    <row r="35" spans="2:3" ht="36.75" customHeight="1">
      <c r="B35" s="171"/>
      <c r="C35" s="179" t="s">
        <v>568</v>
      </c>
    </row>
    <row r="36" spans="2:3" ht="18.600000000000001" thickBot="1">
      <c r="B36" s="174"/>
      <c r="C36" s="175"/>
    </row>
    <row r="38" spans="2:3" ht="120" customHeight="1"/>
    <row r="39" spans="2:3" ht="51.75" customHeight="1"/>
    <row r="41" spans="2:3" ht="25.5" customHeight="1"/>
    <row r="42" spans="2:3" ht="20.25" customHeight="1"/>
    <row r="43" spans="2:3" ht="48" customHeight="1"/>
    <row r="44" spans="2:3" ht="48" customHeight="1"/>
    <row r="45" spans="2:3" ht="19.5" customHeight="1"/>
    <row r="46" spans="2:3" ht="42" customHeight="1"/>
    <row r="47" spans="2:3" ht="25.5" customHeight="1"/>
  </sheetData>
  <mergeCells count="1">
    <mergeCell ref="A1:C1"/>
  </mergeCells>
  <phoneticPr fontId="6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theme="3" tint="0.59999389629810485"/>
  </sheetPr>
  <dimension ref="A1:KO57"/>
  <sheetViews>
    <sheetView topLeftCell="C1" zoomScale="85" zoomScaleNormal="85" workbookViewId="0">
      <pane ySplit="3" topLeftCell="A54" activePane="bottomLeft" state="frozen"/>
      <selection pane="bottomLeft" activeCell="D56" sqref="D56"/>
    </sheetView>
  </sheetViews>
  <sheetFormatPr baseColWidth="10" defaultColWidth="11.33203125" defaultRowHeight="12.6"/>
  <cols>
    <col min="1" max="1" width="27.6640625" style="62" bestFit="1" customWidth="1"/>
    <col min="2" max="2" width="24.33203125" style="62" customWidth="1"/>
    <col min="3" max="3" width="33" style="62" customWidth="1"/>
    <col min="4" max="4" width="94" style="61" customWidth="1"/>
    <col min="5" max="5" width="18.77734375" style="62" customWidth="1"/>
    <col min="6" max="6" width="15" style="44" customWidth="1"/>
    <col min="7" max="7" width="14.6640625" style="62" customWidth="1"/>
    <col min="8" max="8" width="38.88671875" style="44" customWidth="1"/>
    <col min="9" max="9" width="17" style="44" customWidth="1"/>
    <col min="10" max="10" width="16.21875" style="44" customWidth="1"/>
    <col min="11" max="11" width="35.88671875" style="44" customWidth="1"/>
    <col min="12" max="12" width="23.109375" style="44" customWidth="1"/>
    <col min="13" max="13" width="12.77734375" style="44" customWidth="1"/>
    <col min="14" max="14" width="31.6640625" style="44" customWidth="1"/>
    <col min="15" max="15" width="13" style="44" customWidth="1"/>
    <col min="16" max="16" width="16.21875" style="44" customWidth="1"/>
    <col min="17" max="17" width="14.77734375" style="44" customWidth="1"/>
    <col min="18" max="18" width="14.109375" style="44" customWidth="1"/>
    <col min="19" max="19" width="17.88671875" style="44" customWidth="1"/>
    <col min="20" max="22" width="11.33203125" style="44"/>
    <col min="23" max="23" width="10.21875" style="44" customWidth="1"/>
    <col min="24" max="16384" width="11.33203125" style="44"/>
  </cols>
  <sheetData>
    <row r="1" spans="1:23" ht="14.4">
      <c r="I1" s="211" t="s">
        <v>366</v>
      </c>
      <c r="J1" s="211"/>
      <c r="K1" s="211"/>
      <c r="L1" s="211"/>
      <c r="M1" s="211"/>
      <c r="N1" s="211"/>
      <c r="O1" s="209" t="s">
        <v>367</v>
      </c>
      <c r="P1" s="210"/>
      <c r="Q1" s="210"/>
      <c r="R1" s="210"/>
      <c r="S1" s="210"/>
    </row>
    <row r="2" spans="1:23" ht="18.75" customHeight="1">
      <c r="A2" s="217" t="s">
        <v>86</v>
      </c>
      <c r="B2" s="218"/>
      <c r="C2" s="218"/>
      <c r="D2" s="218"/>
      <c r="E2" s="218"/>
      <c r="F2" s="218"/>
      <c r="G2" s="218"/>
      <c r="H2" s="219"/>
      <c r="I2" s="220" t="s">
        <v>50</v>
      </c>
      <c r="J2" s="221"/>
      <c r="K2" s="221"/>
      <c r="L2" s="222" t="s">
        <v>123</v>
      </c>
      <c r="M2" s="223"/>
      <c r="N2" s="224"/>
      <c r="O2" s="212" t="s">
        <v>368</v>
      </c>
      <c r="P2" s="213"/>
      <c r="Q2" s="214"/>
      <c r="R2" s="215" t="s">
        <v>369</v>
      </c>
      <c r="S2" s="216"/>
      <c r="W2" s="167"/>
    </row>
    <row r="3" spans="1:23" ht="41.1" customHeight="1">
      <c r="A3" s="32" t="s">
        <v>178</v>
      </c>
      <c r="B3" s="32" t="s">
        <v>469</v>
      </c>
      <c r="C3" s="32" t="s">
        <v>462</v>
      </c>
      <c r="D3" s="32" t="s">
        <v>3</v>
      </c>
      <c r="E3" s="32" t="s">
        <v>117</v>
      </c>
      <c r="F3" s="165" t="s">
        <v>467</v>
      </c>
      <c r="G3" s="33" t="s">
        <v>116</v>
      </c>
      <c r="H3" s="32" t="s">
        <v>122</v>
      </c>
      <c r="I3" s="48" t="s">
        <v>51</v>
      </c>
      <c r="J3" s="48" t="s">
        <v>52</v>
      </c>
      <c r="K3" s="48" t="s">
        <v>53</v>
      </c>
      <c r="L3" s="49" t="s">
        <v>54</v>
      </c>
      <c r="M3" s="49" t="s">
        <v>51</v>
      </c>
      <c r="N3" s="49" t="s">
        <v>55</v>
      </c>
      <c r="O3" s="100" t="s">
        <v>370</v>
      </c>
      <c r="P3" s="100" t="s">
        <v>52</v>
      </c>
      <c r="Q3" s="100" t="s">
        <v>414</v>
      </c>
      <c r="R3" s="100" t="s">
        <v>372</v>
      </c>
      <c r="S3" s="100" t="s">
        <v>55</v>
      </c>
      <c r="W3" s="167"/>
    </row>
    <row r="4" spans="1:23" ht="50.1" customHeight="1">
      <c r="A4" s="54" t="s">
        <v>87</v>
      </c>
      <c r="B4" s="54" t="s">
        <v>58</v>
      </c>
      <c r="C4" s="159" t="s">
        <v>132</v>
      </c>
      <c r="D4" s="47" t="s">
        <v>423</v>
      </c>
      <c r="E4" s="54" t="s">
        <v>174</v>
      </c>
      <c r="F4" s="68" t="s">
        <v>111</v>
      </c>
      <c r="G4" s="54"/>
      <c r="H4" s="53"/>
      <c r="I4" s="51" t="s">
        <v>466</v>
      </c>
      <c r="J4" s="52"/>
      <c r="K4" s="52"/>
      <c r="L4" s="166" t="s">
        <v>465</v>
      </c>
      <c r="M4" s="51" t="s">
        <v>466</v>
      </c>
      <c r="N4" s="52"/>
      <c r="O4" s="166" t="s">
        <v>465</v>
      </c>
      <c r="P4" s="53"/>
      <c r="Q4" s="53"/>
      <c r="R4" s="166" t="s">
        <v>415</v>
      </c>
      <c r="S4" s="53"/>
      <c r="W4" s="167"/>
    </row>
    <row r="5" spans="1:23" ht="50.1" customHeight="1">
      <c r="A5" s="54" t="s">
        <v>47</v>
      </c>
      <c r="B5" s="54" t="s">
        <v>84</v>
      </c>
      <c r="C5" s="159" t="s">
        <v>167</v>
      </c>
      <c r="D5" s="45" t="s">
        <v>453</v>
      </c>
      <c r="E5" s="54" t="s">
        <v>0</v>
      </c>
      <c r="F5" s="68"/>
      <c r="G5" s="54"/>
      <c r="H5" s="53"/>
      <c r="I5" s="51" t="s">
        <v>466</v>
      </c>
      <c r="J5" s="52"/>
      <c r="K5" s="52"/>
      <c r="L5" s="166"/>
      <c r="M5" s="51"/>
      <c r="N5" s="52"/>
      <c r="O5" s="166"/>
      <c r="P5" s="53"/>
      <c r="Q5" s="53"/>
      <c r="R5" s="166"/>
      <c r="S5" s="53"/>
      <c r="W5" s="167"/>
    </row>
    <row r="6" spans="1:23" ht="50.1" customHeight="1">
      <c r="A6" s="51" t="s">
        <v>195</v>
      </c>
      <c r="B6" s="51" t="s">
        <v>187</v>
      </c>
      <c r="C6" s="160" t="s">
        <v>190</v>
      </c>
      <c r="D6" s="70" t="s">
        <v>425</v>
      </c>
      <c r="E6" s="54" t="s">
        <v>174</v>
      </c>
      <c r="F6" s="68"/>
      <c r="G6" s="54"/>
      <c r="H6" s="53"/>
      <c r="I6" s="51" t="s">
        <v>466</v>
      </c>
      <c r="J6" s="52"/>
      <c r="K6" s="52"/>
      <c r="L6" s="166"/>
      <c r="M6" s="51"/>
      <c r="N6" s="52"/>
      <c r="O6" s="166"/>
      <c r="P6" s="53"/>
      <c r="Q6" s="53"/>
      <c r="R6" s="166"/>
      <c r="S6" s="53"/>
      <c r="W6" s="167"/>
    </row>
    <row r="7" spans="1:23" ht="50.1" customHeight="1">
      <c r="A7" s="51" t="s">
        <v>195</v>
      </c>
      <c r="B7" s="51" t="s">
        <v>188</v>
      </c>
      <c r="C7" s="160" t="s">
        <v>191</v>
      </c>
      <c r="D7" s="70" t="s">
        <v>425</v>
      </c>
      <c r="E7" s="54" t="s">
        <v>172</v>
      </c>
      <c r="F7" s="68"/>
      <c r="G7" s="54"/>
      <c r="H7" s="53"/>
      <c r="I7" s="51" t="s">
        <v>466</v>
      </c>
      <c r="J7" s="52"/>
      <c r="K7" s="52"/>
      <c r="L7" s="166"/>
      <c r="M7" s="51"/>
      <c r="N7" s="52"/>
      <c r="O7" s="166"/>
      <c r="P7" s="53"/>
      <c r="Q7" s="53"/>
      <c r="R7" s="166"/>
      <c r="S7" s="53"/>
      <c r="W7" s="167"/>
    </row>
    <row r="8" spans="1:23" ht="50.1" customHeight="1">
      <c r="A8" s="51" t="s">
        <v>195</v>
      </c>
      <c r="B8" s="51" t="s">
        <v>189</v>
      </c>
      <c r="C8" s="160" t="s">
        <v>192</v>
      </c>
      <c r="D8" s="70" t="s">
        <v>455</v>
      </c>
      <c r="E8" s="54" t="s">
        <v>173</v>
      </c>
      <c r="F8" s="68"/>
      <c r="G8" s="54"/>
      <c r="H8" s="53"/>
      <c r="I8" s="51" t="s">
        <v>466</v>
      </c>
      <c r="J8" s="52"/>
      <c r="K8" s="52"/>
      <c r="L8" s="166"/>
      <c r="M8" s="51"/>
      <c r="N8" s="52"/>
      <c r="O8" s="166"/>
      <c r="P8" s="53"/>
      <c r="Q8" s="53"/>
      <c r="R8" s="166"/>
      <c r="S8" s="53"/>
      <c r="W8" s="167"/>
    </row>
    <row r="9" spans="1:23" ht="50.1" customHeight="1">
      <c r="A9" s="51" t="s">
        <v>195</v>
      </c>
      <c r="B9" s="51" t="s">
        <v>194</v>
      </c>
      <c r="C9" s="160" t="s">
        <v>193</v>
      </c>
      <c r="D9" s="70" t="s">
        <v>456</v>
      </c>
      <c r="E9" s="54" t="s">
        <v>0</v>
      </c>
      <c r="F9" s="68"/>
      <c r="G9" s="54"/>
      <c r="H9" s="53"/>
      <c r="I9" s="51" t="s">
        <v>466</v>
      </c>
      <c r="J9" s="52"/>
      <c r="K9" s="52"/>
      <c r="L9" s="166"/>
      <c r="M9" s="51"/>
      <c r="N9" s="52"/>
      <c r="O9" s="166"/>
      <c r="P9" s="53"/>
      <c r="Q9" s="53"/>
      <c r="R9" s="166"/>
      <c r="S9" s="53"/>
      <c r="W9" s="167"/>
    </row>
    <row r="10" spans="1:23" ht="50.1" customHeight="1">
      <c r="A10" s="54" t="s">
        <v>92</v>
      </c>
      <c r="B10" s="54" t="s">
        <v>91</v>
      </c>
      <c r="C10" s="159" t="s">
        <v>138</v>
      </c>
      <c r="D10" s="43" t="s">
        <v>424</v>
      </c>
      <c r="E10" s="54" t="s">
        <v>174</v>
      </c>
      <c r="F10" s="68"/>
      <c r="G10" s="54"/>
      <c r="H10" s="53"/>
      <c r="I10" s="51" t="s">
        <v>571</v>
      </c>
      <c r="J10" s="52"/>
      <c r="K10" s="186" t="s">
        <v>572</v>
      </c>
      <c r="L10" s="166"/>
      <c r="M10" s="51"/>
      <c r="N10" s="52"/>
      <c r="O10" s="166"/>
      <c r="P10" s="53"/>
      <c r="Q10" s="53"/>
      <c r="R10" s="166"/>
      <c r="S10" s="53"/>
      <c r="W10" s="167"/>
    </row>
    <row r="11" spans="1:23" ht="75" customHeight="1">
      <c r="A11" s="54" t="s">
        <v>90</v>
      </c>
      <c r="B11" s="54" t="s">
        <v>57</v>
      </c>
      <c r="C11" s="159" t="s">
        <v>131</v>
      </c>
      <c r="D11" s="45" t="s">
        <v>475</v>
      </c>
      <c r="E11" s="54" t="s">
        <v>174</v>
      </c>
      <c r="F11" s="68"/>
      <c r="G11" s="54"/>
      <c r="H11" s="53"/>
      <c r="I11" s="51" t="s">
        <v>466</v>
      </c>
      <c r="J11" s="52"/>
      <c r="K11" s="52"/>
      <c r="L11" s="166"/>
      <c r="M11" s="51"/>
      <c r="N11" s="52"/>
      <c r="O11" s="166"/>
      <c r="P11" s="53"/>
      <c r="Q11" s="53"/>
      <c r="R11" s="166"/>
      <c r="S11" s="53"/>
      <c r="W11" s="167"/>
    </row>
    <row r="12" spans="1:23" s="56" customFormat="1" ht="45.9" customHeight="1">
      <c r="A12" s="54" t="s">
        <v>90</v>
      </c>
      <c r="B12" s="54" t="s">
        <v>95</v>
      </c>
      <c r="C12" s="159" t="s">
        <v>171</v>
      </c>
      <c r="D12" s="50" t="s">
        <v>476</v>
      </c>
      <c r="E12" s="54" t="s">
        <v>173</v>
      </c>
      <c r="F12" s="68"/>
      <c r="G12" s="54"/>
      <c r="H12" s="53"/>
      <c r="I12" s="51" t="s">
        <v>466</v>
      </c>
      <c r="J12" s="52"/>
      <c r="K12" s="52"/>
      <c r="L12" s="166"/>
      <c r="M12" s="51"/>
      <c r="N12" s="52"/>
      <c r="O12" s="166"/>
      <c r="P12" s="53"/>
      <c r="Q12" s="53"/>
      <c r="R12" s="166"/>
      <c r="S12" s="53"/>
      <c r="W12" s="167"/>
    </row>
    <row r="13" spans="1:23" s="58" customFormat="1" ht="69.900000000000006" customHeight="1">
      <c r="A13" s="54" t="s">
        <v>48</v>
      </c>
      <c r="B13" s="54" t="s">
        <v>85</v>
      </c>
      <c r="C13" s="159" t="s">
        <v>168</v>
      </c>
      <c r="D13" s="45" t="s">
        <v>452</v>
      </c>
      <c r="E13" s="54" t="s">
        <v>0</v>
      </c>
      <c r="F13" s="68"/>
      <c r="G13" s="54"/>
      <c r="H13" s="53"/>
      <c r="I13" s="51" t="s">
        <v>466</v>
      </c>
      <c r="J13" s="52"/>
      <c r="K13" s="52"/>
      <c r="L13" s="166"/>
      <c r="M13" s="51"/>
      <c r="N13" s="52"/>
      <c r="O13" s="166"/>
      <c r="P13" s="53"/>
      <c r="Q13" s="53"/>
      <c r="R13" s="166"/>
      <c r="S13" s="53"/>
    </row>
    <row r="14" spans="1:23" s="58" customFormat="1" ht="69.900000000000006" customHeight="1">
      <c r="A14" s="54" t="s">
        <v>46</v>
      </c>
      <c r="B14" s="54" t="s">
        <v>80</v>
      </c>
      <c r="C14" s="159" t="s">
        <v>143</v>
      </c>
      <c r="D14" s="50" t="s">
        <v>464</v>
      </c>
      <c r="E14" s="54" t="s">
        <v>175</v>
      </c>
      <c r="F14" s="68"/>
      <c r="G14" s="54"/>
      <c r="H14" s="53"/>
      <c r="I14" s="51" t="s">
        <v>466</v>
      </c>
      <c r="J14" s="52"/>
      <c r="K14" s="52"/>
      <c r="L14" s="166"/>
      <c r="M14" s="51"/>
      <c r="N14" s="52"/>
      <c r="O14" s="166"/>
      <c r="P14" s="53"/>
      <c r="Q14" s="53"/>
      <c r="R14" s="166"/>
      <c r="S14" s="53"/>
    </row>
    <row r="15" spans="1:23" s="58" customFormat="1" ht="98.25" customHeight="1">
      <c r="A15" s="55" t="s">
        <v>44</v>
      </c>
      <c r="B15" s="54" t="s">
        <v>66</v>
      </c>
      <c r="C15" s="159" t="s">
        <v>148</v>
      </c>
      <c r="D15" s="43" t="s">
        <v>573</v>
      </c>
      <c r="E15" s="54" t="s">
        <v>172</v>
      </c>
      <c r="F15" s="68"/>
      <c r="G15" s="55"/>
      <c r="H15" s="53"/>
      <c r="I15" s="51" t="s">
        <v>466</v>
      </c>
      <c r="J15" s="52"/>
      <c r="K15" s="52"/>
      <c r="L15" s="166"/>
      <c r="M15" s="51"/>
      <c r="N15" s="52"/>
      <c r="O15" s="166"/>
      <c r="P15" s="53"/>
      <c r="Q15" s="53"/>
      <c r="R15" s="166"/>
      <c r="S15" s="53"/>
    </row>
    <row r="16" spans="1:23" ht="77.400000000000006" customHeight="1">
      <c r="A16" s="55" t="s">
        <v>44</v>
      </c>
      <c r="B16" s="54" t="s">
        <v>67</v>
      </c>
      <c r="C16" s="159" t="s">
        <v>149</v>
      </c>
      <c r="D16" s="43" t="s">
        <v>457</v>
      </c>
      <c r="E16" s="54" t="s">
        <v>172</v>
      </c>
      <c r="F16" s="68"/>
      <c r="G16" s="55"/>
      <c r="H16" s="53"/>
      <c r="I16" s="51" t="s">
        <v>466</v>
      </c>
      <c r="J16" s="52"/>
      <c r="K16" s="52"/>
      <c r="L16" s="166"/>
      <c r="M16" s="51"/>
      <c r="N16" s="52"/>
      <c r="O16" s="166"/>
      <c r="P16" s="53"/>
      <c r="Q16" s="53"/>
      <c r="R16" s="166"/>
      <c r="S16" s="53"/>
    </row>
    <row r="17" spans="1:301" ht="69.900000000000006" customHeight="1">
      <c r="A17" s="55" t="s">
        <v>44</v>
      </c>
      <c r="B17" s="54" t="s">
        <v>68</v>
      </c>
      <c r="C17" s="159" t="s">
        <v>150</v>
      </c>
      <c r="D17" s="43" t="s">
        <v>451</v>
      </c>
      <c r="E17" s="54" t="s">
        <v>172</v>
      </c>
      <c r="F17" s="68"/>
      <c r="G17" s="55"/>
      <c r="H17" s="53"/>
      <c r="I17" s="51" t="s">
        <v>466</v>
      </c>
      <c r="J17" s="52"/>
      <c r="K17" s="52"/>
      <c r="L17" s="166"/>
      <c r="M17" s="51"/>
      <c r="N17" s="52"/>
      <c r="O17" s="166"/>
      <c r="P17" s="53"/>
      <c r="Q17" s="53"/>
      <c r="R17" s="166"/>
      <c r="S17" s="53"/>
    </row>
    <row r="18" spans="1:301" ht="69.900000000000006" customHeight="1">
      <c r="A18" s="55" t="s">
        <v>44</v>
      </c>
      <c r="B18" s="54" t="s">
        <v>79</v>
      </c>
      <c r="C18" s="159" t="s">
        <v>142</v>
      </c>
      <c r="D18" s="43" t="s">
        <v>450</v>
      </c>
      <c r="E18" s="54" t="s">
        <v>175</v>
      </c>
      <c r="F18" s="68"/>
      <c r="G18" s="55"/>
      <c r="H18" s="53"/>
      <c r="I18" s="51" t="s">
        <v>466</v>
      </c>
      <c r="J18" s="52"/>
      <c r="K18" s="52"/>
      <c r="L18" s="166"/>
      <c r="M18" s="51"/>
      <c r="N18" s="52"/>
      <c r="O18" s="166"/>
      <c r="P18" s="53"/>
      <c r="Q18" s="53"/>
      <c r="R18" s="166"/>
      <c r="S18" s="53"/>
    </row>
    <row r="19" spans="1:301" s="58" customFormat="1" ht="69.900000000000006" customHeight="1">
      <c r="A19" s="55" t="s">
        <v>44</v>
      </c>
      <c r="B19" s="54" t="s">
        <v>82</v>
      </c>
      <c r="C19" s="159" t="s">
        <v>165</v>
      </c>
      <c r="D19" s="43" t="s">
        <v>449</v>
      </c>
      <c r="E19" s="54" t="s">
        <v>0</v>
      </c>
      <c r="F19" s="68"/>
      <c r="G19" s="55"/>
      <c r="H19" s="53"/>
      <c r="I19" s="51" t="s">
        <v>466</v>
      </c>
      <c r="J19" s="52"/>
      <c r="K19" s="52"/>
      <c r="L19" s="166"/>
      <c r="M19" s="51"/>
      <c r="N19" s="52"/>
      <c r="O19" s="166"/>
      <c r="P19" s="53"/>
      <c r="Q19" s="53"/>
      <c r="R19" s="166"/>
      <c r="S19" s="53"/>
    </row>
    <row r="20" spans="1:301" s="58" customFormat="1" ht="50.1" customHeight="1">
      <c r="A20" s="54" t="s">
        <v>44</v>
      </c>
      <c r="B20" s="54" t="s">
        <v>72</v>
      </c>
      <c r="C20" s="159" t="s">
        <v>154</v>
      </c>
      <c r="D20" s="45" t="s">
        <v>448</v>
      </c>
      <c r="E20" s="54" t="s">
        <v>172</v>
      </c>
      <c r="F20" s="68"/>
      <c r="G20" s="54"/>
      <c r="H20" s="53"/>
      <c r="I20" s="51" t="s">
        <v>466</v>
      </c>
      <c r="J20" s="52"/>
      <c r="K20" s="52"/>
      <c r="L20" s="166"/>
      <c r="M20" s="51"/>
      <c r="N20" s="52"/>
      <c r="O20" s="166"/>
      <c r="P20" s="53"/>
      <c r="Q20" s="53"/>
      <c r="R20" s="166"/>
      <c r="S20" s="53"/>
    </row>
    <row r="21" spans="1:301" ht="50.1" customHeight="1">
      <c r="A21" s="54" t="s">
        <v>44</v>
      </c>
      <c r="B21" s="54" t="s">
        <v>73</v>
      </c>
      <c r="C21" s="159" t="s">
        <v>155</v>
      </c>
      <c r="D21" s="45" t="s">
        <v>447</v>
      </c>
      <c r="E21" s="54" t="s">
        <v>172</v>
      </c>
      <c r="F21" s="68"/>
      <c r="G21" s="54"/>
      <c r="H21" s="53"/>
      <c r="I21" s="51" t="s">
        <v>466</v>
      </c>
      <c r="J21" s="52"/>
      <c r="K21" s="52"/>
      <c r="L21" s="166"/>
      <c r="M21" s="51"/>
      <c r="N21" s="52"/>
      <c r="O21" s="166"/>
      <c r="P21" s="53"/>
      <c r="Q21" s="53"/>
      <c r="R21" s="166"/>
      <c r="S21" s="53"/>
    </row>
    <row r="22" spans="1:301" ht="50.1" customHeight="1">
      <c r="A22" s="54" t="s">
        <v>44</v>
      </c>
      <c r="B22" s="54" t="s">
        <v>74</v>
      </c>
      <c r="C22" s="159" t="s">
        <v>156</v>
      </c>
      <c r="D22" s="45" t="s">
        <v>446</v>
      </c>
      <c r="E22" s="54" t="s">
        <v>172</v>
      </c>
      <c r="F22" s="68"/>
      <c r="G22" s="54"/>
      <c r="H22" s="53"/>
      <c r="I22" s="51" t="s">
        <v>466</v>
      </c>
      <c r="J22" s="52"/>
      <c r="K22" s="52"/>
      <c r="L22" s="166"/>
      <c r="M22" s="51"/>
      <c r="N22" s="52"/>
      <c r="O22" s="166"/>
      <c r="P22" s="53"/>
      <c r="Q22" s="53"/>
      <c r="R22" s="166"/>
      <c r="S22" s="53"/>
    </row>
    <row r="23" spans="1:301" ht="50.1" customHeight="1">
      <c r="A23" s="54" t="s">
        <v>44</v>
      </c>
      <c r="B23" s="54" t="s">
        <v>75</v>
      </c>
      <c r="C23" s="159" t="s">
        <v>157</v>
      </c>
      <c r="D23" s="155" t="s">
        <v>458</v>
      </c>
      <c r="E23" s="54" t="s">
        <v>172</v>
      </c>
      <c r="F23" s="68"/>
      <c r="G23" s="54"/>
      <c r="H23" s="53"/>
      <c r="I23" s="51" t="s">
        <v>571</v>
      </c>
      <c r="J23" s="52"/>
      <c r="K23" s="52"/>
      <c r="L23" s="166"/>
      <c r="M23" s="51"/>
      <c r="N23" s="52"/>
      <c r="O23" s="166"/>
      <c r="P23" s="53"/>
      <c r="Q23" s="53"/>
      <c r="R23" s="166"/>
      <c r="S23" s="53"/>
    </row>
    <row r="24" spans="1:301" ht="50.1" customHeight="1">
      <c r="A24" s="54" t="s">
        <v>44</v>
      </c>
      <c r="B24" s="54" t="s">
        <v>76</v>
      </c>
      <c r="C24" s="159" t="s">
        <v>158</v>
      </c>
      <c r="D24" s="155" t="s">
        <v>458</v>
      </c>
      <c r="E24" s="54" t="s">
        <v>172</v>
      </c>
      <c r="F24" s="68"/>
      <c r="G24" s="54"/>
      <c r="H24" s="53"/>
      <c r="I24" s="51" t="s">
        <v>571</v>
      </c>
      <c r="J24" s="52"/>
      <c r="K24" s="52"/>
      <c r="L24" s="166"/>
      <c r="M24" s="51"/>
      <c r="N24" s="52"/>
      <c r="O24" s="166"/>
      <c r="P24" s="53"/>
      <c r="Q24" s="53"/>
      <c r="R24" s="166"/>
      <c r="S24" s="53"/>
    </row>
    <row r="25" spans="1:301" ht="107.25" customHeight="1">
      <c r="A25" s="55" t="s">
        <v>44</v>
      </c>
      <c r="B25" s="54" t="s">
        <v>77</v>
      </c>
      <c r="C25" s="159" t="s">
        <v>159</v>
      </c>
      <c r="D25" s="163" t="s">
        <v>454</v>
      </c>
      <c r="E25" s="54" t="s">
        <v>172</v>
      </c>
      <c r="F25" s="68"/>
      <c r="G25" s="60"/>
      <c r="H25" s="53"/>
      <c r="I25" s="51" t="s">
        <v>466</v>
      </c>
      <c r="J25" s="52"/>
      <c r="K25" s="52"/>
      <c r="L25" s="166"/>
      <c r="M25" s="51"/>
      <c r="N25" s="52"/>
      <c r="O25" s="166"/>
      <c r="P25" s="53"/>
      <c r="Q25" s="53"/>
      <c r="R25" s="166"/>
      <c r="S25" s="53"/>
    </row>
    <row r="26" spans="1:301" s="59" customFormat="1" ht="64.5" customHeight="1">
      <c r="A26" s="54" t="s">
        <v>44</v>
      </c>
      <c r="B26" s="54" t="s">
        <v>61</v>
      </c>
      <c r="C26" s="159" t="s">
        <v>135</v>
      </c>
      <c r="D26" s="45" t="s">
        <v>426</v>
      </c>
      <c r="E26" s="54" t="s">
        <v>174</v>
      </c>
      <c r="F26" s="68"/>
      <c r="G26" s="54"/>
      <c r="I26" s="51" t="s">
        <v>466</v>
      </c>
      <c r="J26" s="52"/>
      <c r="K26" s="52"/>
      <c r="L26" s="166"/>
      <c r="M26" s="51"/>
      <c r="N26" s="52"/>
      <c r="O26" s="166"/>
      <c r="P26" s="53"/>
      <c r="Q26" s="53"/>
      <c r="R26" s="166"/>
      <c r="S26" s="53"/>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c r="KD26" s="44"/>
      <c r="KE26" s="44"/>
      <c r="KF26" s="44"/>
      <c r="KG26" s="44"/>
      <c r="KH26" s="44"/>
      <c r="KI26" s="44"/>
      <c r="KJ26" s="44"/>
      <c r="KK26" s="44"/>
      <c r="KL26" s="44"/>
      <c r="KM26" s="44"/>
      <c r="KN26" s="44"/>
      <c r="KO26" s="44"/>
    </row>
    <row r="27" spans="1:301" ht="50.1" customHeight="1">
      <c r="A27" s="54" t="s">
        <v>44</v>
      </c>
      <c r="B27" s="54" t="s">
        <v>62</v>
      </c>
      <c r="C27" s="159" t="s">
        <v>136</v>
      </c>
      <c r="D27" s="45" t="s">
        <v>427</v>
      </c>
      <c r="E27" s="54" t="s">
        <v>174</v>
      </c>
      <c r="F27" s="68"/>
      <c r="G27" s="54"/>
      <c r="H27" s="53"/>
      <c r="I27" s="51" t="s">
        <v>569</v>
      </c>
      <c r="J27" s="52"/>
      <c r="K27" s="186" t="s">
        <v>574</v>
      </c>
      <c r="L27" s="166"/>
      <c r="M27" s="51"/>
      <c r="N27" s="52"/>
      <c r="O27" s="166"/>
      <c r="P27" s="53"/>
      <c r="Q27" s="53"/>
      <c r="R27" s="166"/>
      <c r="S27" s="53"/>
    </row>
    <row r="28" spans="1:301" ht="50.1" customHeight="1">
      <c r="A28" s="54" t="s">
        <v>44</v>
      </c>
      <c r="B28" s="54" t="s">
        <v>83</v>
      </c>
      <c r="C28" s="159" t="s">
        <v>166</v>
      </c>
      <c r="D28" s="45" t="s">
        <v>445</v>
      </c>
      <c r="E28" s="54" t="s">
        <v>0</v>
      </c>
      <c r="F28" s="68"/>
      <c r="G28" s="54"/>
      <c r="H28" s="53"/>
      <c r="I28" s="51" t="s">
        <v>569</v>
      </c>
      <c r="J28" s="52"/>
      <c r="K28" s="186" t="s">
        <v>574</v>
      </c>
      <c r="L28" s="166"/>
      <c r="M28" s="51"/>
      <c r="N28" s="52"/>
      <c r="O28" s="166"/>
      <c r="P28" s="53"/>
      <c r="Q28" s="53"/>
      <c r="R28" s="166"/>
      <c r="S28" s="53"/>
    </row>
    <row r="29" spans="1:301" ht="79.5" customHeight="1">
      <c r="A29" s="54" t="s">
        <v>49</v>
      </c>
      <c r="B29" s="54" t="s">
        <v>64</v>
      </c>
      <c r="C29" s="159" t="s">
        <v>163</v>
      </c>
      <c r="D29" s="30" t="s">
        <v>444</v>
      </c>
      <c r="E29" s="54" t="s">
        <v>172</v>
      </c>
      <c r="F29" s="68"/>
      <c r="G29" s="54"/>
      <c r="H29" s="53"/>
      <c r="I29" s="51" t="s">
        <v>466</v>
      </c>
      <c r="J29" s="52"/>
      <c r="K29" s="52"/>
      <c r="L29" s="166"/>
      <c r="M29" s="51"/>
      <c r="N29" s="52"/>
      <c r="O29" s="166"/>
      <c r="P29" s="53"/>
      <c r="Q29" s="53"/>
      <c r="R29" s="166"/>
      <c r="S29" s="53"/>
    </row>
    <row r="30" spans="1:301" ht="93.75" customHeight="1">
      <c r="A30" s="54" t="s">
        <v>45</v>
      </c>
      <c r="B30" s="54" t="s">
        <v>81</v>
      </c>
      <c r="C30" s="159" t="s">
        <v>164</v>
      </c>
      <c r="D30" s="45" t="s">
        <v>443</v>
      </c>
      <c r="E30" s="54" t="s">
        <v>0</v>
      </c>
      <c r="F30" s="68"/>
      <c r="G30" s="54"/>
      <c r="H30" s="53"/>
      <c r="I30" s="51" t="s">
        <v>466</v>
      </c>
      <c r="J30" s="52"/>
      <c r="K30" s="52"/>
      <c r="L30" s="166"/>
      <c r="M30" s="51"/>
      <c r="N30" s="52"/>
      <c r="O30" s="166"/>
      <c r="P30" s="53"/>
      <c r="Q30" s="53"/>
      <c r="R30" s="166"/>
      <c r="S30" s="53"/>
    </row>
    <row r="31" spans="1:301" ht="99.75" customHeight="1">
      <c r="A31" s="54" t="s">
        <v>45</v>
      </c>
      <c r="B31" s="54" t="s">
        <v>59</v>
      </c>
      <c r="C31" s="159" t="s">
        <v>133</v>
      </c>
      <c r="D31" s="43" t="s">
        <v>429</v>
      </c>
      <c r="E31" s="54" t="s">
        <v>174</v>
      </c>
      <c r="F31" s="68"/>
      <c r="G31" s="55"/>
      <c r="H31" s="53"/>
      <c r="I31" s="51" t="s">
        <v>466</v>
      </c>
      <c r="J31" s="52"/>
      <c r="K31" s="52"/>
      <c r="L31" s="166"/>
      <c r="M31" s="51"/>
      <c r="N31" s="52"/>
      <c r="O31" s="166"/>
      <c r="P31" s="53"/>
      <c r="Q31" s="53"/>
      <c r="R31" s="166"/>
      <c r="S31" s="53"/>
    </row>
    <row r="32" spans="1:301" ht="114.75" customHeight="1">
      <c r="A32" s="54" t="s">
        <v>45</v>
      </c>
      <c r="B32" s="54" t="s">
        <v>60</v>
      </c>
      <c r="C32" s="159" t="s">
        <v>134</v>
      </c>
      <c r="D32" s="43" t="s">
        <v>428</v>
      </c>
      <c r="E32" s="54" t="s">
        <v>174</v>
      </c>
      <c r="F32" s="68"/>
      <c r="G32" s="55"/>
      <c r="H32" s="53"/>
      <c r="I32" s="51" t="s">
        <v>466</v>
      </c>
      <c r="J32" s="52"/>
      <c r="K32" s="52"/>
      <c r="L32" s="166"/>
      <c r="M32" s="51"/>
      <c r="N32" s="52"/>
      <c r="O32" s="166"/>
      <c r="P32" s="53"/>
      <c r="Q32" s="53"/>
      <c r="R32" s="166"/>
      <c r="S32" s="53"/>
    </row>
    <row r="33" spans="1:20" ht="81" customHeight="1">
      <c r="A33" s="54" t="s">
        <v>45</v>
      </c>
      <c r="B33" s="54" t="s">
        <v>65</v>
      </c>
      <c r="C33" s="159" t="s">
        <v>147</v>
      </c>
      <c r="D33" s="43" t="s">
        <v>442</v>
      </c>
      <c r="E33" s="54" t="s">
        <v>172</v>
      </c>
      <c r="F33" s="68"/>
      <c r="G33" s="55"/>
      <c r="H33" s="53"/>
      <c r="I33" s="51" t="s">
        <v>466</v>
      </c>
      <c r="J33" s="52"/>
      <c r="K33" s="52"/>
      <c r="L33" s="166"/>
      <c r="M33" s="51"/>
      <c r="N33" s="52"/>
      <c r="O33" s="166"/>
      <c r="P33" s="53"/>
      <c r="Q33" s="53"/>
      <c r="R33" s="166"/>
      <c r="S33" s="53"/>
    </row>
    <row r="34" spans="1:20" ht="50.1" customHeight="1">
      <c r="A34" s="54" t="s">
        <v>45</v>
      </c>
      <c r="B34" s="54" t="s">
        <v>69</v>
      </c>
      <c r="C34" s="159" t="s">
        <v>151</v>
      </c>
      <c r="D34" s="45" t="s">
        <v>440</v>
      </c>
      <c r="E34" s="54" t="s">
        <v>172</v>
      </c>
      <c r="F34" s="68"/>
      <c r="G34" s="54"/>
      <c r="H34" s="54"/>
      <c r="I34" s="51" t="s">
        <v>466</v>
      </c>
      <c r="J34" s="52"/>
      <c r="K34" s="52"/>
      <c r="L34" s="166"/>
      <c r="M34" s="51"/>
      <c r="N34" s="52"/>
      <c r="O34" s="166"/>
      <c r="P34" s="53"/>
      <c r="Q34" s="53"/>
      <c r="R34" s="166"/>
      <c r="S34" s="53"/>
    </row>
    <row r="35" spans="1:20" s="58" customFormat="1" ht="50.1" customHeight="1">
      <c r="A35" s="54" t="s">
        <v>45</v>
      </c>
      <c r="B35" s="54" t="s">
        <v>70</v>
      </c>
      <c r="C35" s="159" t="s">
        <v>152</v>
      </c>
      <c r="D35" s="45" t="s">
        <v>441</v>
      </c>
      <c r="E35" s="54" t="s">
        <v>172</v>
      </c>
      <c r="F35" s="68"/>
      <c r="G35" s="54"/>
      <c r="H35" s="57"/>
      <c r="I35" s="51" t="s">
        <v>466</v>
      </c>
      <c r="J35" s="52"/>
      <c r="K35" s="52"/>
      <c r="L35" s="166"/>
      <c r="M35" s="51"/>
      <c r="N35" s="52"/>
      <c r="O35" s="166"/>
      <c r="P35" s="53"/>
      <c r="Q35" s="53"/>
      <c r="R35" s="166"/>
      <c r="S35" s="53"/>
    </row>
    <row r="36" spans="1:20" ht="50.1" customHeight="1">
      <c r="A36" s="54" t="s">
        <v>45</v>
      </c>
      <c r="B36" s="54" t="s">
        <v>71</v>
      </c>
      <c r="C36" s="159" t="s">
        <v>153</v>
      </c>
      <c r="D36" s="31" t="s">
        <v>439</v>
      </c>
      <c r="E36" s="54" t="s">
        <v>172</v>
      </c>
      <c r="F36" s="68"/>
      <c r="G36" s="54"/>
      <c r="H36" s="53"/>
      <c r="I36" s="51" t="s">
        <v>466</v>
      </c>
      <c r="J36" s="53"/>
      <c r="K36" s="53"/>
      <c r="L36" s="166"/>
      <c r="M36" s="51"/>
      <c r="N36" s="53"/>
      <c r="O36" s="166"/>
      <c r="P36" s="53"/>
      <c r="Q36" s="53"/>
      <c r="R36" s="166"/>
      <c r="S36" s="53"/>
    </row>
    <row r="37" spans="1:20" s="58" customFormat="1" ht="50.1" customHeight="1">
      <c r="A37" s="54" t="s">
        <v>45</v>
      </c>
      <c r="B37" s="54" t="s">
        <v>78</v>
      </c>
      <c r="C37" s="159" t="s">
        <v>160</v>
      </c>
      <c r="D37" s="45" t="s">
        <v>438</v>
      </c>
      <c r="E37" s="54" t="s">
        <v>172</v>
      </c>
      <c r="F37" s="68"/>
      <c r="G37" s="54"/>
      <c r="H37" s="53"/>
      <c r="I37" s="51" t="s">
        <v>466</v>
      </c>
      <c r="J37" s="53"/>
      <c r="K37" s="53"/>
      <c r="L37" s="166"/>
      <c r="M37" s="51"/>
      <c r="N37" s="53"/>
      <c r="O37" s="166"/>
      <c r="P37" s="53"/>
      <c r="Q37" s="53"/>
      <c r="R37" s="166"/>
      <c r="S37" s="53"/>
    </row>
    <row r="38" spans="1:20" s="58" customFormat="1" ht="50.1" customHeight="1">
      <c r="A38" s="54" t="s">
        <v>45</v>
      </c>
      <c r="B38" s="54" t="s">
        <v>63</v>
      </c>
      <c r="C38" s="159" t="s">
        <v>137</v>
      </c>
      <c r="D38" s="30" t="s">
        <v>430</v>
      </c>
      <c r="E38" s="54" t="s">
        <v>174</v>
      </c>
      <c r="F38" s="68"/>
      <c r="G38" s="55"/>
      <c r="H38" s="53"/>
      <c r="I38" s="51" t="s">
        <v>466</v>
      </c>
      <c r="J38" s="53"/>
      <c r="K38" s="53"/>
      <c r="L38" s="166"/>
      <c r="M38" s="51"/>
      <c r="N38" s="53"/>
      <c r="O38" s="166"/>
      <c r="P38" s="53"/>
      <c r="Q38" s="53"/>
      <c r="R38" s="166"/>
      <c r="S38" s="53"/>
    </row>
    <row r="39" spans="1:20" s="58" customFormat="1" ht="50.1" customHeight="1">
      <c r="A39" s="54" t="s">
        <v>43</v>
      </c>
      <c r="B39" s="54" t="s">
        <v>56</v>
      </c>
      <c r="C39" s="159" t="s">
        <v>141</v>
      </c>
      <c r="D39" s="155" t="s">
        <v>459</v>
      </c>
      <c r="E39" s="54" t="s">
        <v>174</v>
      </c>
      <c r="F39" s="68"/>
      <c r="G39" s="54"/>
      <c r="H39" s="53"/>
      <c r="I39" s="51" t="s">
        <v>571</v>
      </c>
      <c r="J39" s="53"/>
      <c r="K39" s="53"/>
      <c r="L39" s="166"/>
      <c r="M39" s="51"/>
      <c r="N39" s="53"/>
      <c r="O39" s="166"/>
      <c r="P39" s="53"/>
      <c r="Q39" s="53"/>
      <c r="R39" s="166"/>
      <c r="S39" s="53"/>
    </row>
    <row r="40" spans="1:20" s="58" customFormat="1" ht="50.1" customHeight="1">
      <c r="A40" s="54" t="s">
        <v>43</v>
      </c>
      <c r="B40" s="54" t="s">
        <v>88</v>
      </c>
      <c r="C40" s="159" t="s">
        <v>130</v>
      </c>
      <c r="D40" s="155" t="s">
        <v>459</v>
      </c>
      <c r="E40" s="54" t="s">
        <v>174</v>
      </c>
      <c r="F40" s="68"/>
      <c r="G40" s="54"/>
      <c r="H40" s="53"/>
      <c r="I40" s="51" t="s">
        <v>571</v>
      </c>
      <c r="J40" s="53"/>
      <c r="K40" s="53"/>
      <c r="L40" s="166"/>
      <c r="M40" s="51"/>
      <c r="N40" s="53"/>
      <c r="O40" s="166"/>
      <c r="P40" s="53"/>
      <c r="Q40" s="53"/>
      <c r="R40" s="166"/>
      <c r="S40" s="53"/>
    </row>
    <row r="41" spans="1:20" s="58" customFormat="1" ht="50.1" customHeight="1">
      <c r="A41" s="54" t="s">
        <v>43</v>
      </c>
      <c r="B41" s="54" t="s">
        <v>89</v>
      </c>
      <c r="C41" s="159" t="s">
        <v>146</v>
      </c>
      <c r="D41" s="156" t="s">
        <v>461</v>
      </c>
      <c r="E41" s="54" t="s">
        <v>175</v>
      </c>
      <c r="F41" s="68"/>
      <c r="G41" s="54"/>
      <c r="H41" s="53"/>
      <c r="I41" s="51" t="s">
        <v>571</v>
      </c>
      <c r="J41" s="53"/>
      <c r="K41" s="53"/>
      <c r="L41" s="166"/>
      <c r="M41" s="51"/>
      <c r="N41" s="53"/>
      <c r="O41" s="166"/>
      <c r="P41" s="53"/>
      <c r="Q41" s="53"/>
      <c r="R41" s="166"/>
      <c r="S41" s="53"/>
    </row>
    <row r="42" spans="1:20" s="58" customFormat="1" ht="50.1" customHeight="1">
      <c r="A42" s="54" t="s">
        <v>43</v>
      </c>
      <c r="B42" s="54" t="s">
        <v>93</v>
      </c>
      <c r="C42" s="159" t="s">
        <v>139</v>
      </c>
      <c r="D42" s="50" t="s">
        <v>431</v>
      </c>
      <c r="E42" s="54" t="s">
        <v>174</v>
      </c>
      <c r="F42" s="68"/>
      <c r="G42" s="54"/>
      <c r="H42" s="53"/>
      <c r="I42" s="51" t="s">
        <v>466</v>
      </c>
      <c r="J42" s="53"/>
      <c r="K42" s="53"/>
      <c r="L42" s="166"/>
      <c r="M42" s="51"/>
      <c r="N42" s="53"/>
      <c r="O42" s="166"/>
      <c r="P42" s="53"/>
      <c r="Q42" s="53"/>
      <c r="R42" s="166"/>
      <c r="S42" s="53"/>
    </row>
    <row r="43" spans="1:20" s="58" customFormat="1" ht="50.1" customHeight="1">
      <c r="A43" s="54" t="s">
        <v>43</v>
      </c>
      <c r="B43" s="54" t="s">
        <v>94</v>
      </c>
      <c r="C43" s="159" t="s">
        <v>161</v>
      </c>
      <c r="D43" s="50" t="s">
        <v>437</v>
      </c>
      <c r="E43" s="54" t="s">
        <v>172</v>
      </c>
      <c r="F43" s="68"/>
      <c r="G43" s="54"/>
      <c r="H43" s="53"/>
      <c r="I43" s="51" t="s">
        <v>466</v>
      </c>
      <c r="J43" s="53"/>
      <c r="K43" s="53"/>
      <c r="L43" s="166"/>
      <c r="M43" s="51"/>
      <c r="N43" s="53"/>
      <c r="O43" s="166"/>
      <c r="P43" s="53"/>
      <c r="Q43" s="53"/>
      <c r="R43" s="166"/>
      <c r="S43" s="53"/>
    </row>
    <row r="44" spans="1:20" s="58" customFormat="1" ht="50.1" customHeight="1">
      <c r="A44" s="54" t="s">
        <v>43</v>
      </c>
      <c r="B44" s="54" t="s">
        <v>96</v>
      </c>
      <c r="C44" s="159" t="s">
        <v>144</v>
      </c>
      <c r="D44" s="50" t="s">
        <v>436</v>
      </c>
      <c r="E44" s="54" t="s">
        <v>175</v>
      </c>
      <c r="F44" s="68"/>
      <c r="G44" s="54"/>
      <c r="H44" s="53"/>
      <c r="I44" s="51" t="s">
        <v>466</v>
      </c>
      <c r="J44" s="53"/>
      <c r="K44" s="53"/>
      <c r="L44" s="166"/>
      <c r="M44" s="51"/>
      <c r="N44" s="53"/>
      <c r="O44" s="166"/>
      <c r="P44" s="53"/>
      <c r="Q44" s="53"/>
      <c r="R44" s="166"/>
      <c r="S44" s="53"/>
    </row>
    <row r="45" spans="1:20" s="58" customFormat="1" ht="50.1" customHeight="1">
      <c r="A45" s="54" t="s">
        <v>43</v>
      </c>
      <c r="B45" s="54" t="s">
        <v>97</v>
      </c>
      <c r="C45" s="159" t="s">
        <v>169</v>
      </c>
      <c r="D45" s="50" t="s">
        <v>436</v>
      </c>
      <c r="E45" s="54" t="s">
        <v>0</v>
      </c>
      <c r="F45" s="68"/>
      <c r="G45" s="54"/>
      <c r="H45" s="53"/>
      <c r="I45" s="51" t="s">
        <v>466</v>
      </c>
      <c r="J45" s="53"/>
      <c r="K45" s="53"/>
      <c r="L45" s="166"/>
      <c r="M45" s="51"/>
      <c r="N45" s="53"/>
      <c r="O45" s="166"/>
      <c r="P45" s="53"/>
      <c r="Q45" s="53"/>
      <c r="R45" s="166"/>
      <c r="S45" s="53"/>
    </row>
    <row r="46" spans="1:20" ht="50.1" customHeight="1">
      <c r="A46" s="51" t="s">
        <v>383</v>
      </c>
      <c r="B46" s="51" t="s">
        <v>98</v>
      </c>
      <c r="C46" s="160" t="s">
        <v>140</v>
      </c>
      <c r="D46" s="69" t="s">
        <v>435</v>
      </c>
      <c r="E46" s="54" t="s">
        <v>174</v>
      </c>
      <c r="F46" s="68"/>
      <c r="G46" s="54"/>
      <c r="H46" s="71"/>
      <c r="I46" s="183" t="s">
        <v>466</v>
      </c>
      <c r="J46" s="53"/>
      <c r="K46" s="53"/>
      <c r="L46" s="166"/>
      <c r="M46" s="51"/>
      <c r="N46" s="53"/>
      <c r="O46" s="166"/>
      <c r="P46" s="53"/>
      <c r="Q46" s="53"/>
      <c r="R46" s="166"/>
      <c r="S46" s="53"/>
      <c r="T46" s="58"/>
    </row>
    <row r="47" spans="1:20" ht="50.1" customHeight="1">
      <c r="A47" s="51" t="s">
        <v>383</v>
      </c>
      <c r="B47" s="51" t="s">
        <v>99</v>
      </c>
      <c r="C47" s="160" t="s">
        <v>162</v>
      </c>
      <c r="D47" s="69" t="s">
        <v>434</v>
      </c>
      <c r="E47" s="54" t="s">
        <v>172</v>
      </c>
      <c r="F47" s="68"/>
      <c r="G47" s="54"/>
      <c r="H47" s="71"/>
      <c r="I47" s="183" t="s">
        <v>466</v>
      </c>
      <c r="J47" s="53"/>
      <c r="K47" s="53"/>
      <c r="L47" s="166"/>
      <c r="M47" s="51"/>
      <c r="N47" s="53"/>
      <c r="O47" s="166"/>
      <c r="P47" s="53"/>
      <c r="Q47" s="53"/>
      <c r="R47" s="166"/>
      <c r="S47" s="53"/>
      <c r="T47" s="58"/>
    </row>
    <row r="48" spans="1:20" ht="50.1" customHeight="1">
      <c r="A48" s="51" t="s">
        <v>383</v>
      </c>
      <c r="B48" s="51" t="s">
        <v>100</v>
      </c>
      <c r="C48" s="160" t="s">
        <v>145</v>
      </c>
      <c r="D48" s="69" t="s">
        <v>433</v>
      </c>
      <c r="E48" s="51" t="s">
        <v>173</v>
      </c>
      <c r="F48" s="68"/>
      <c r="G48" s="54"/>
      <c r="H48" s="71"/>
      <c r="I48" s="183" t="s">
        <v>466</v>
      </c>
      <c r="J48" s="53"/>
      <c r="K48" s="53"/>
      <c r="L48" s="166"/>
      <c r="M48" s="51"/>
      <c r="N48" s="53"/>
      <c r="O48" s="166"/>
      <c r="P48" s="53"/>
      <c r="Q48" s="53"/>
      <c r="R48" s="166"/>
      <c r="S48" s="53"/>
      <c r="T48" s="58"/>
    </row>
    <row r="49" spans="1:291" ht="50.1" customHeight="1">
      <c r="A49" s="51" t="s">
        <v>383</v>
      </c>
      <c r="B49" s="51" t="s">
        <v>101</v>
      </c>
      <c r="C49" s="160" t="s">
        <v>170</v>
      </c>
      <c r="D49" s="69" t="s">
        <v>432</v>
      </c>
      <c r="E49" s="54" t="s">
        <v>0</v>
      </c>
      <c r="F49" s="68"/>
      <c r="G49" s="54"/>
      <c r="H49" s="71"/>
      <c r="I49" s="183" t="s">
        <v>466</v>
      </c>
      <c r="J49" s="53"/>
      <c r="K49" s="53"/>
      <c r="L49" s="166"/>
      <c r="M49" s="51"/>
      <c r="N49" s="53"/>
      <c r="O49" s="166"/>
      <c r="P49" s="53"/>
      <c r="Q49" s="53"/>
      <c r="R49" s="166"/>
      <c r="S49" s="53"/>
    </row>
    <row r="50" spans="1:291" ht="50.1" customHeight="1">
      <c r="A50" s="51" t="s">
        <v>384</v>
      </c>
      <c r="B50" s="54" t="s">
        <v>56</v>
      </c>
      <c r="C50" s="159" t="s">
        <v>141</v>
      </c>
      <c r="D50" s="103" t="s">
        <v>575</v>
      </c>
      <c r="E50" s="54" t="s">
        <v>174</v>
      </c>
      <c r="F50" s="68"/>
      <c r="G50" s="54"/>
      <c r="H50" s="159" t="s">
        <v>419</v>
      </c>
      <c r="I50" s="51" t="s">
        <v>571</v>
      </c>
      <c r="J50" s="53"/>
      <c r="K50" s="53"/>
      <c r="L50" s="166"/>
      <c r="M50" s="51"/>
      <c r="N50" s="53"/>
      <c r="O50" s="166"/>
      <c r="P50" s="53"/>
      <c r="Q50" s="53"/>
      <c r="R50" s="166"/>
      <c r="S50" s="53"/>
    </row>
    <row r="51" spans="1:291" ht="50.1" customHeight="1">
      <c r="A51" s="51" t="s">
        <v>384</v>
      </c>
      <c r="B51" s="54" t="s">
        <v>88</v>
      </c>
      <c r="C51" s="159" t="s">
        <v>130</v>
      </c>
      <c r="D51" s="103" t="s">
        <v>385</v>
      </c>
      <c r="E51" s="54" t="s">
        <v>174</v>
      </c>
      <c r="F51" s="68"/>
      <c r="G51" s="54"/>
      <c r="H51" s="159" t="s">
        <v>419</v>
      </c>
      <c r="I51" s="51" t="s">
        <v>571</v>
      </c>
      <c r="J51" s="53"/>
      <c r="K51" s="53"/>
      <c r="L51" s="166"/>
      <c r="M51" s="51"/>
      <c r="N51" s="53"/>
      <c r="O51" s="166"/>
      <c r="P51" s="53"/>
      <c r="Q51" s="53"/>
      <c r="R51" s="166"/>
      <c r="S51" s="53"/>
    </row>
    <row r="52" spans="1:291" ht="50.1" customHeight="1">
      <c r="A52" s="51" t="s">
        <v>384</v>
      </c>
      <c r="B52" s="54" t="s">
        <v>75</v>
      </c>
      <c r="C52" s="159" t="s">
        <v>157</v>
      </c>
      <c r="D52" s="103" t="s">
        <v>409</v>
      </c>
      <c r="E52" s="54" t="s">
        <v>172</v>
      </c>
      <c r="F52" s="68"/>
      <c r="G52" s="54"/>
      <c r="H52" s="159" t="s">
        <v>419</v>
      </c>
      <c r="I52" s="51" t="s">
        <v>571</v>
      </c>
      <c r="J52" s="53"/>
      <c r="K52" s="53"/>
      <c r="L52" s="166"/>
      <c r="M52" s="51"/>
      <c r="N52" s="53"/>
      <c r="O52" s="166"/>
      <c r="P52" s="53"/>
      <c r="Q52" s="53"/>
      <c r="R52" s="166"/>
      <c r="S52" s="53"/>
    </row>
    <row r="53" spans="1:291" ht="50.1" customHeight="1">
      <c r="A53" s="51" t="s">
        <v>384</v>
      </c>
      <c r="B53" s="51" t="s">
        <v>412</v>
      </c>
      <c r="C53" s="160" t="s">
        <v>411</v>
      </c>
      <c r="D53" s="103" t="s">
        <v>410</v>
      </c>
      <c r="E53" s="54" t="s">
        <v>0</v>
      </c>
      <c r="F53" s="68"/>
      <c r="G53" s="54"/>
      <c r="H53" s="159" t="s">
        <v>419</v>
      </c>
      <c r="I53" s="51" t="s">
        <v>571</v>
      </c>
      <c r="J53" s="53"/>
      <c r="K53" s="53"/>
      <c r="L53" s="166"/>
      <c r="M53" s="51"/>
      <c r="N53" s="53"/>
      <c r="O53" s="166"/>
      <c r="P53" s="53"/>
      <c r="Q53" s="53"/>
      <c r="R53" s="166"/>
      <c r="S53" s="53"/>
    </row>
    <row r="54" spans="1:291" ht="75.599999999999994">
      <c r="A54" s="51" t="s">
        <v>470</v>
      </c>
      <c r="B54" s="54" t="s">
        <v>472</v>
      </c>
      <c r="C54" s="160" t="s">
        <v>420</v>
      </c>
      <c r="D54" s="103" t="s">
        <v>471</v>
      </c>
      <c r="E54" s="54" t="s">
        <v>174</v>
      </c>
      <c r="F54" s="68"/>
      <c r="G54" s="54"/>
      <c r="H54" s="159" t="s">
        <v>419</v>
      </c>
      <c r="I54" s="51" t="s">
        <v>571</v>
      </c>
      <c r="J54" s="53"/>
      <c r="K54" s="53"/>
      <c r="L54" s="166"/>
      <c r="M54" s="51"/>
      <c r="N54" s="53"/>
      <c r="O54" s="166"/>
      <c r="P54" s="53"/>
      <c r="Q54" s="53"/>
      <c r="R54" s="166"/>
      <c r="S54" s="53"/>
    </row>
    <row r="55" spans="1:291" s="53" customFormat="1" ht="117" customHeight="1">
      <c r="A55" s="54" t="s">
        <v>49</v>
      </c>
      <c r="B55" s="54" t="s">
        <v>480</v>
      </c>
      <c r="C55" s="160" t="s">
        <v>421</v>
      </c>
      <c r="D55" s="103" t="s">
        <v>484</v>
      </c>
      <c r="E55" s="54" t="s">
        <v>174</v>
      </c>
      <c r="G55" s="54"/>
      <c r="I55" s="184" t="s">
        <v>569</v>
      </c>
      <c r="J55" s="185" t="s">
        <v>570</v>
      </c>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c r="KD55" s="44"/>
      <c r="KE55" s="44"/>
    </row>
    <row r="56" spans="1:291" ht="113.25" customHeight="1">
      <c r="A56" s="54" t="s">
        <v>49</v>
      </c>
      <c r="B56" s="51" t="s">
        <v>481</v>
      </c>
      <c r="C56" s="160" t="s">
        <v>463</v>
      </c>
      <c r="D56" s="103" t="s">
        <v>485</v>
      </c>
      <c r="E56" s="54" t="s">
        <v>172</v>
      </c>
      <c r="F56" s="53"/>
      <c r="G56" s="54"/>
      <c r="H56" s="53"/>
      <c r="I56" s="184" t="s">
        <v>569</v>
      </c>
      <c r="J56" s="185" t="s">
        <v>570</v>
      </c>
      <c r="K56" s="53"/>
      <c r="L56" s="53"/>
      <c r="M56" s="53"/>
      <c r="N56" s="53"/>
      <c r="O56" s="53"/>
      <c r="P56" s="53"/>
      <c r="Q56" s="53"/>
      <c r="R56" s="53"/>
      <c r="S56" s="53"/>
    </row>
    <row r="57" spans="1:291">
      <c r="T57" s="58"/>
    </row>
  </sheetData>
  <autoFilter ref="A3:S56" xr:uid="{00000000-0009-0000-0000-000003000000}"/>
  <mergeCells count="7">
    <mergeCell ref="O1:S1"/>
    <mergeCell ref="I1:N1"/>
    <mergeCell ref="O2:Q2"/>
    <mergeCell ref="R2:S2"/>
    <mergeCell ref="A2:H2"/>
    <mergeCell ref="I2:K2"/>
    <mergeCell ref="L2:N2"/>
  </mergeCells>
  <phoneticPr fontId="65" type="noConversion"/>
  <conditionalFormatting sqref="M4:M54">
    <cfRule type="cellIs" dxfId="77" priority="68" operator="equal">
      <formula>"Disagree"</formula>
    </cfRule>
    <cfRule type="cellIs" dxfId="76" priority="69" operator="equal">
      <formula>"Agree withe reserves"</formula>
    </cfRule>
    <cfRule type="cellIs" dxfId="75" priority="70" operator="equal">
      <formula>"Not applicable"</formula>
    </cfRule>
    <cfRule type="cellIs" dxfId="74" priority="71" operator="equal">
      <formula>" Disagree"</formula>
    </cfRule>
    <cfRule type="cellIs" dxfId="73" priority="72" operator="equal">
      <formula>"Agree with reserves"</formula>
    </cfRule>
    <cfRule type="cellIs" dxfId="72" priority="73" operator="equal">
      <formula>"Agree"</formula>
    </cfRule>
  </conditionalFormatting>
  <conditionalFormatting sqref="R4:R54">
    <cfRule type="cellIs" dxfId="71" priority="40" operator="equal">
      <formula>"NOK"</formula>
    </cfRule>
    <cfRule type="cellIs" dxfId="70" priority="41" operator="equal">
      <formula>"OK"</formula>
    </cfRule>
  </conditionalFormatting>
  <conditionalFormatting sqref="I4:I45">
    <cfRule type="cellIs" dxfId="69" priority="34" operator="equal">
      <formula>"Disagree"</formula>
    </cfRule>
    <cfRule type="cellIs" dxfId="68" priority="35" operator="equal">
      <formula>"Agree withe reserves"</formula>
    </cfRule>
    <cfRule type="cellIs" dxfId="67" priority="36" operator="equal">
      <formula>"Not applicable"</formula>
    </cfRule>
    <cfRule type="cellIs" dxfId="66" priority="37" operator="equal">
      <formula>" Disagree"</formula>
    </cfRule>
    <cfRule type="cellIs" dxfId="65" priority="38" operator="equal">
      <formula>"Agree with reserves"</formula>
    </cfRule>
    <cfRule type="cellIs" dxfId="64" priority="39" operator="equal">
      <formula>"Agree"</formula>
    </cfRule>
  </conditionalFormatting>
  <conditionalFormatting sqref="O4:O54">
    <cfRule type="cellIs" dxfId="63" priority="30" operator="equal">
      <formula>"R"</formula>
    </cfRule>
    <cfRule type="cellIs" dxfId="62" priority="31" operator="equal">
      <formula>"O"</formula>
    </cfRule>
    <cfRule type="cellIs" dxfId="61" priority="32" operator="equal">
      <formula>"G"</formula>
    </cfRule>
  </conditionalFormatting>
  <conditionalFormatting sqref="L4:L54">
    <cfRule type="cellIs" dxfId="60" priority="27" operator="equal">
      <formula>"R"</formula>
    </cfRule>
    <cfRule type="cellIs" dxfId="59" priority="28" operator="equal">
      <formula>"O"</formula>
    </cfRule>
    <cfRule type="cellIs" dxfId="58" priority="29" operator="equal">
      <formula>"G"</formula>
    </cfRule>
  </conditionalFormatting>
  <conditionalFormatting sqref="I50:I54">
    <cfRule type="cellIs" dxfId="57" priority="1" operator="equal">
      <formula>"Disagree"</formula>
    </cfRule>
    <cfRule type="cellIs" dxfId="56" priority="2" operator="equal">
      <formula>"Agree withe reserves"</formula>
    </cfRule>
    <cfRule type="cellIs" dxfId="55" priority="3" operator="equal">
      <formula>"Not applicable"</formula>
    </cfRule>
    <cfRule type="cellIs" dxfId="54" priority="4" operator="equal">
      <formula>" Disagree"</formula>
    </cfRule>
    <cfRule type="cellIs" dxfId="53" priority="5" operator="equal">
      <formula>"Agree with reserves"</formula>
    </cfRule>
    <cfRule type="cellIs" dxfId="52" priority="6" operator="equal">
      <formula>"Agree"</formula>
    </cfRule>
  </conditionalFormatting>
  <dataValidations count="5">
    <dataValidation type="list" allowBlank="1" showInputMessage="1" showErrorMessage="1" sqref="M4:M54" xr:uid="{00000000-0002-0000-0300-000000000000}">
      <formula1>"Agree, Disagree, Not applicable"</formula1>
    </dataValidation>
    <dataValidation type="list" allowBlank="1" showInputMessage="1" showErrorMessage="1" sqref="I4:I45 I50:I54" xr:uid="{00000000-0002-0000-0300-000001000000}">
      <formula1>"Agree, Agree with reserves, Disagree, Not applicable"</formula1>
    </dataValidation>
    <dataValidation type="list" allowBlank="1" showInputMessage="1" showErrorMessage="1" sqref="F4:F54" xr:uid="{00000000-0002-0000-0300-000002000000}">
      <formula1>"Y,N,Mandatory"</formula1>
    </dataValidation>
    <dataValidation type="list" allowBlank="1" showInputMessage="1" showErrorMessage="1" sqref="R4:R54" xr:uid="{00000000-0002-0000-0300-000003000000}">
      <formula1>"OK,NOK"</formula1>
    </dataValidation>
    <dataValidation type="list" allowBlank="1" showInputMessage="1" showErrorMessage="1" sqref="L4:L54 O4:O54" xr:uid="{00000000-0002-0000-0300-000004000000}">
      <formula1>"G,O,R"</formula1>
    </dataValidation>
  </dataValidations>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tabColor rgb="FF92D050"/>
  </sheetPr>
  <dimension ref="A1:W26"/>
  <sheetViews>
    <sheetView topLeftCell="F1" zoomScale="90" zoomScaleNormal="90" workbookViewId="0">
      <pane ySplit="3" topLeftCell="A19" activePane="bottomLeft" state="frozen"/>
      <selection pane="bottomLeft" activeCell="K24" sqref="K24"/>
    </sheetView>
  </sheetViews>
  <sheetFormatPr baseColWidth="10" defaultColWidth="11.33203125" defaultRowHeight="12.6"/>
  <cols>
    <col min="1" max="1" width="43" style="62" customWidth="1"/>
    <col min="2" max="2" width="27.6640625" style="99" bestFit="1" customWidth="1"/>
    <col min="3" max="3" width="27.6640625" style="99" customWidth="1"/>
    <col min="4" max="4" width="27.109375" style="99" customWidth="1"/>
    <col min="5" max="5" width="90.21875" style="99" customWidth="1"/>
    <col min="6" max="6" width="22.109375" style="99" customWidth="1"/>
    <col min="7" max="7" width="17.77734375" style="44" customWidth="1"/>
    <col min="8" max="8" width="15.109375" style="62" customWidth="1"/>
    <col min="9" max="9" width="37.6640625" style="44" customWidth="1"/>
    <col min="10" max="10" width="16.6640625" style="44" customWidth="1"/>
    <col min="11" max="11" width="20.33203125" style="44" customWidth="1"/>
    <col min="12" max="12" width="21.33203125" style="44" customWidth="1"/>
    <col min="13" max="13" width="18.77734375" style="44" customWidth="1"/>
    <col min="14" max="14" width="17.6640625" style="44" customWidth="1"/>
    <col min="15" max="15" width="22.6640625" style="44" customWidth="1"/>
    <col min="16" max="16" width="16.109375" style="44" customWidth="1"/>
    <col min="17" max="17" width="19.21875" style="44" customWidth="1"/>
    <col min="18" max="18" width="20.109375" style="44" customWidth="1"/>
    <col min="19" max="19" width="13.6640625" style="44" customWidth="1"/>
    <col min="20" max="20" width="26.109375" style="44" customWidth="1"/>
    <col min="21" max="16384" width="11.33203125" style="44"/>
  </cols>
  <sheetData>
    <row r="1" spans="1:23">
      <c r="J1" s="211" t="s">
        <v>366</v>
      </c>
      <c r="K1" s="211"/>
      <c r="L1" s="211"/>
      <c r="M1" s="211"/>
      <c r="N1" s="211"/>
      <c r="O1" s="211"/>
      <c r="P1" s="211" t="s">
        <v>367</v>
      </c>
      <c r="Q1" s="211"/>
      <c r="R1" s="211"/>
      <c r="S1" s="211"/>
      <c r="T1" s="211"/>
    </row>
    <row r="2" spans="1:23" ht="31.5" customHeight="1">
      <c r="A2" s="225" t="s">
        <v>86</v>
      </c>
      <c r="B2" s="213"/>
      <c r="C2" s="213"/>
      <c r="D2" s="213"/>
      <c r="E2" s="213"/>
      <c r="F2" s="213"/>
      <c r="G2" s="213"/>
      <c r="H2" s="213"/>
      <c r="I2" s="214"/>
      <c r="J2" s="226" t="s">
        <v>50</v>
      </c>
      <c r="K2" s="227"/>
      <c r="L2" s="227"/>
      <c r="M2" s="228" t="s">
        <v>123</v>
      </c>
      <c r="N2" s="229"/>
      <c r="O2" s="230"/>
      <c r="P2" s="231" t="s">
        <v>368</v>
      </c>
      <c r="Q2" s="231"/>
      <c r="R2" s="231"/>
      <c r="S2" s="232" t="s">
        <v>369</v>
      </c>
      <c r="T2" s="232"/>
    </row>
    <row r="3" spans="1:23" s="164" customFormat="1" ht="37.799999999999997">
      <c r="A3" s="168" t="s">
        <v>178</v>
      </c>
      <c r="B3" s="168" t="s">
        <v>417</v>
      </c>
      <c r="C3" s="168" t="s">
        <v>462</v>
      </c>
      <c r="D3" s="168" t="s">
        <v>468</v>
      </c>
      <c r="E3" s="168" t="s">
        <v>3</v>
      </c>
      <c r="F3" s="168" t="s">
        <v>117</v>
      </c>
      <c r="G3" s="165" t="s">
        <v>467</v>
      </c>
      <c r="H3" s="33" t="s">
        <v>116</v>
      </c>
      <c r="I3" s="168" t="s">
        <v>122</v>
      </c>
      <c r="J3" s="48" t="s">
        <v>51</v>
      </c>
      <c r="K3" s="48" t="s">
        <v>52</v>
      </c>
      <c r="L3" s="48" t="s">
        <v>53</v>
      </c>
      <c r="M3" s="49" t="s">
        <v>54</v>
      </c>
      <c r="N3" s="49" t="s">
        <v>51</v>
      </c>
      <c r="O3" s="49" t="s">
        <v>55</v>
      </c>
      <c r="P3" s="100" t="s">
        <v>370</v>
      </c>
      <c r="Q3" s="100" t="s">
        <v>52</v>
      </c>
      <c r="R3" s="100" t="s">
        <v>414</v>
      </c>
      <c r="S3" s="100" t="s">
        <v>372</v>
      </c>
      <c r="T3" s="100" t="s">
        <v>55</v>
      </c>
      <c r="W3" s="44"/>
    </row>
    <row r="4" spans="1:23" ht="40.5" customHeight="1">
      <c r="A4" s="54" t="s">
        <v>373</v>
      </c>
      <c r="B4" s="54"/>
      <c r="C4" s="159" t="s">
        <v>502</v>
      </c>
      <c r="D4" s="54" t="s">
        <v>503</v>
      </c>
      <c r="E4" s="102" t="s">
        <v>422</v>
      </c>
      <c r="F4" s="54" t="s">
        <v>174</v>
      </c>
      <c r="G4" s="68" t="s">
        <v>111</v>
      </c>
      <c r="H4" s="54"/>
      <c r="I4" s="71"/>
      <c r="J4" s="51" t="s">
        <v>466</v>
      </c>
      <c r="K4" s="52"/>
      <c r="L4" s="52"/>
      <c r="M4" s="166"/>
      <c r="N4" s="51"/>
      <c r="O4" s="52"/>
      <c r="P4" s="166"/>
      <c r="Q4" s="53"/>
      <c r="R4" s="53"/>
      <c r="S4" s="166"/>
      <c r="T4" s="53"/>
    </row>
    <row r="5" spans="1:23" ht="25.2">
      <c r="A5" s="54" t="s">
        <v>373</v>
      </c>
      <c r="B5" s="54"/>
      <c r="C5" s="159" t="s">
        <v>516</v>
      </c>
      <c r="D5" s="54" t="s">
        <v>527</v>
      </c>
      <c r="E5" s="102" t="s">
        <v>460</v>
      </c>
      <c r="F5" s="54" t="s">
        <v>172</v>
      </c>
      <c r="G5" s="68"/>
      <c r="H5" s="54"/>
      <c r="I5" s="71"/>
      <c r="J5" s="51" t="s">
        <v>466</v>
      </c>
      <c r="K5" s="52"/>
      <c r="L5" s="52"/>
      <c r="M5" s="166"/>
      <c r="N5" s="51"/>
      <c r="O5" s="52"/>
      <c r="P5" s="166"/>
      <c r="Q5" s="53"/>
      <c r="R5" s="53"/>
      <c r="S5" s="166"/>
      <c r="T5" s="53"/>
    </row>
    <row r="6" spans="1:23" ht="25.2">
      <c r="A6" s="54" t="s">
        <v>373</v>
      </c>
      <c r="B6" s="101"/>
      <c r="C6" s="160" t="s">
        <v>528</v>
      </c>
      <c r="D6" s="54" t="s">
        <v>535</v>
      </c>
      <c r="E6" s="102" t="s">
        <v>460</v>
      </c>
      <c r="F6" s="51" t="s">
        <v>173</v>
      </c>
      <c r="G6" s="68"/>
      <c r="H6" s="54"/>
      <c r="I6" s="71"/>
      <c r="J6" s="51" t="s">
        <v>466</v>
      </c>
      <c r="K6" s="52"/>
      <c r="L6" s="52"/>
      <c r="M6" s="166"/>
      <c r="N6" s="51"/>
      <c r="O6" s="52"/>
      <c r="P6" s="166"/>
      <c r="Q6" s="53"/>
      <c r="R6" s="53"/>
      <c r="S6" s="166"/>
      <c r="T6" s="53"/>
    </row>
    <row r="7" spans="1:23" ht="25.2">
      <c r="A7" s="54" t="s">
        <v>373</v>
      </c>
      <c r="B7" s="101"/>
      <c r="C7" s="160" t="s">
        <v>536</v>
      </c>
      <c r="D7" s="54" t="s">
        <v>547</v>
      </c>
      <c r="E7" s="102" t="s">
        <v>460</v>
      </c>
      <c r="F7" s="54" t="s">
        <v>0</v>
      </c>
      <c r="G7" s="68"/>
      <c r="H7" s="54"/>
      <c r="I7" s="71"/>
      <c r="J7" s="51" t="s">
        <v>466</v>
      </c>
      <c r="K7" s="52"/>
      <c r="L7" s="52"/>
      <c r="M7" s="166"/>
      <c r="N7" s="51"/>
      <c r="O7" s="52"/>
      <c r="P7" s="166"/>
      <c r="Q7" s="53"/>
      <c r="R7" s="53"/>
      <c r="S7" s="166"/>
      <c r="T7" s="53"/>
    </row>
    <row r="8" spans="1:23" ht="35.4" customHeight="1">
      <c r="A8" s="54" t="s">
        <v>374</v>
      </c>
      <c r="B8" s="161" t="s">
        <v>375</v>
      </c>
      <c r="C8" s="159" t="s">
        <v>504</v>
      </c>
      <c r="D8" s="54" t="s">
        <v>510</v>
      </c>
      <c r="E8" s="101" t="s">
        <v>376</v>
      </c>
      <c r="F8" s="54" t="s">
        <v>174</v>
      </c>
      <c r="G8" s="68"/>
      <c r="H8" s="54"/>
      <c r="I8" s="53"/>
      <c r="J8" s="51" t="s">
        <v>466</v>
      </c>
      <c r="K8" s="53"/>
      <c r="L8" s="53"/>
      <c r="M8" s="166"/>
      <c r="N8" s="51"/>
      <c r="O8" s="53"/>
      <c r="P8" s="166"/>
      <c r="Q8" s="53"/>
      <c r="R8" s="53"/>
      <c r="S8" s="166"/>
      <c r="T8" s="53"/>
    </row>
    <row r="9" spans="1:23" ht="35.4" customHeight="1">
      <c r="A9" s="54" t="s">
        <v>374</v>
      </c>
      <c r="B9" s="161" t="s">
        <v>375</v>
      </c>
      <c r="C9" s="159" t="s">
        <v>517</v>
      </c>
      <c r="D9" s="54" t="s">
        <v>526</v>
      </c>
      <c r="E9" s="101" t="s">
        <v>376</v>
      </c>
      <c r="F9" s="54" t="s">
        <v>172</v>
      </c>
      <c r="G9" s="68"/>
      <c r="H9" s="54"/>
      <c r="I9" s="53"/>
      <c r="J9" s="51" t="s">
        <v>466</v>
      </c>
      <c r="K9" s="53"/>
      <c r="L9" s="53"/>
      <c r="M9" s="166"/>
      <c r="N9" s="51"/>
      <c r="O9" s="53"/>
      <c r="P9" s="166"/>
      <c r="Q9" s="53"/>
      <c r="R9" s="53"/>
      <c r="S9" s="166"/>
      <c r="T9" s="53"/>
    </row>
    <row r="10" spans="1:23" ht="35.4" customHeight="1">
      <c r="A10" s="54" t="s">
        <v>374</v>
      </c>
      <c r="B10" s="157" t="s">
        <v>375</v>
      </c>
      <c r="C10" s="160" t="s">
        <v>529</v>
      </c>
      <c r="D10" s="54" t="s">
        <v>534</v>
      </c>
      <c r="E10" s="101" t="s">
        <v>376</v>
      </c>
      <c r="F10" s="54" t="s">
        <v>173</v>
      </c>
      <c r="G10" s="68"/>
      <c r="H10" s="54"/>
      <c r="I10" s="53"/>
      <c r="J10" s="51" t="s">
        <v>466</v>
      </c>
      <c r="K10" s="53"/>
      <c r="L10" s="53"/>
      <c r="M10" s="166"/>
      <c r="N10" s="51"/>
      <c r="O10" s="53"/>
      <c r="P10" s="166"/>
      <c r="Q10" s="53"/>
      <c r="R10" s="53"/>
      <c r="S10" s="166"/>
      <c r="T10" s="53"/>
    </row>
    <row r="11" spans="1:23" ht="35.4" customHeight="1">
      <c r="A11" s="54" t="s">
        <v>374</v>
      </c>
      <c r="B11" s="157" t="s">
        <v>375</v>
      </c>
      <c r="C11" s="160" t="s">
        <v>537</v>
      </c>
      <c r="D11" s="54" t="s">
        <v>546</v>
      </c>
      <c r="E11" s="101" t="s">
        <v>376</v>
      </c>
      <c r="F11" s="54" t="s">
        <v>0</v>
      </c>
      <c r="G11" s="68"/>
      <c r="H11" s="54"/>
      <c r="I11" s="53"/>
      <c r="J11" s="51" t="s">
        <v>466</v>
      </c>
      <c r="K11" s="53"/>
      <c r="L11" s="53"/>
      <c r="M11" s="166"/>
      <c r="N11" s="51"/>
      <c r="O11" s="53"/>
      <c r="P11" s="166"/>
      <c r="Q11" s="53"/>
      <c r="R11" s="53"/>
      <c r="S11" s="166"/>
      <c r="T11" s="53"/>
    </row>
    <row r="12" spans="1:23" ht="100.8">
      <c r="A12" s="54" t="s">
        <v>374</v>
      </c>
      <c r="B12" s="162" t="s">
        <v>377</v>
      </c>
      <c r="C12" s="159" t="s">
        <v>505</v>
      </c>
      <c r="D12" s="54" t="s">
        <v>511</v>
      </c>
      <c r="E12" s="101" t="s">
        <v>378</v>
      </c>
      <c r="F12" s="54" t="s">
        <v>174</v>
      </c>
      <c r="G12" s="68"/>
      <c r="H12" s="54"/>
      <c r="I12" s="53"/>
      <c r="J12" s="51" t="s">
        <v>466</v>
      </c>
      <c r="K12" s="53"/>
      <c r="L12" s="53"/>
      <c r="M12" s="166"/>
      <c r="N12" s="51"/>
      <c r="O12" s="53"/>
      <c r="P12" s="166"/>
      <c r="Q12" s="53"/>
      <c r="R12" s="53"/>
      <c r="S12" s="166"/>
      <c r="T12" s="53"/>
    </row>
    <row r="13" spans="1:23" ht="100.8">
      <c r="A13" s="54" t="s">
        <v>374</v>
      </c>
      <c r="B13" s="162" t="s">
        <v>377</v>
      </c>
      <c r="C13" s="159" t="s">
        <v>518</v>
      </c>
      <c r="D13" s="54" t="s">
        <v>525</v>
      </c>
      <c r="E13" s="101" t="s">
        <v>378</v>
      </c>
      <c r="F13" s="54" t="s">
        <v>172</v>
      </c>
      <c r="G13" s="68"/>
      <c r="H13" s="54"/>
      <c r="I13" s="53"/>
      <c r="J13" s="51" t="s">
        <v>466</v>
      </c>
      <c r="K13" s="53"/>
      <c r="L13" s="53"/>
      <c r="M13" s="166"/>
      <c r="N13" s="51"/>
      <c r="O13" s="53"/>
      <c r="P13" s="166"/>
      <c r="Q13" s="53"/>
      <c r="R13" s="53"/>
      <c r="S13" s="166"/>
      <c r="T13" s="53"/>
    </row>
    <row r="14" spans="1:23" ht="100.8">
      <c r="A14" s="54" t="s">
        <v>374</v>
      </c>
      <c r="B14" s="158" t="s">
        <v>377</v>
      </c>
      <c r="C14" s="160" t="s">
        <v>530</v>
      </c>
      <c r="D14" s="54" t="s">
        <v>533</v>
      </c>
      <c r="E14" s="101" t="s">
        <v>378</v>
      </c>
      <c r="F14" s="54" t="s">
        <v>173</v>
      </c>
      <c r="G14" s="68"/>
      <c r="H14" s="54"/>
      <c r="I14" s="53"/>
      <c r="J14" s="51" t="s">
        <v>466</v>
      </c>
      <c r="K14" s="53"/>
      <c r="L14" s="53"/>
      <c r="M14" s="166"/>
      <c r="N14" s="51"/>
      <c r="O14" s="53"/>
      <c r="P14" s="166"/>
      <c r="Q14" s="53"/>
      <c r="R14" s="53"/>
      <c r="S14" s="166"/>
      <c r="T14" s="53"/>
    </row>
    <row r="15" spans="1:23" ht="100.8">
      <c r="A15" s="54" t="s">
        <v>374</v>
      </c>
      <c r="B15" s="158" t="s">
        <v>377</v>
      </c>
      <c r="C15" s="160" t="s">
        <v>538</v>
      </c>
      <c r="D15" s="54" t="s">
        <v>545</v>
      </c>
      <c r="E15" s="101" t="s">
        <v>378</v>
      </c>
      <c r="F15" s="54" t="s">
        <v>0</v>
      </c>
      <c r="G15" s="68"/>
      <c r="H15" s="54"/>
      <c r="I15" s="53"/>
      <c r="J15" s="51" t="s">
        <v>466</v>
      </c>
      <c r="K15" s="53"/>
      <c r="L15" s="53"/>
      <c r="M15" s="166"/>
      <c r="N15" s="51"/>
      <c r="O15" s="53"/>
      <c r="P15" s="166"/>
      <c r="Q15" s="53"/>
      <c r="R15" s="53"/>
      <c r="S15" s="166"/>
      <c r="T15" s="53"/>
    </row>
    <row r="16" spans="1:23" ht="63">
      <c r="A16" s="54" t="s">
        <v>374</v>
      </c>
      <c r="B16" s="162" t="s">
        <v>379</v>
      </c>
      <c r="C16" s="159" t="s">
        <v>506</v>
      </c>
      <c r="D16" s="54" t="s">
        <v>512</v>
      </c>
      <c r="E16" s="101" t="s">
        <v>380</v>
      </c>
      <c r="F16" s="54" t="s">
        <v>174</v>
      </c>
      <c r="G16" s="68"/>
      <c r="H16" s="54"/>
      <c r="I16" s="53"/>
      <c r="J16" s="51" t="s">
        <v>466</v>
      </c>
      <c r="K16" s="53"/>
      <c r="L16" s="53"/>
      <c r="M16" s="166"/>
      <c r="N16" s="51"/>
      <c r="O16" s="53"/>
      <c r="P16" s="166"/>
      <c r="Q16" s="53"/>
      <c r="R16" s="53"/>
      <c r="S16" s="166"/>
      <c r="T16" s="53"/>
    </row>
    <row r="17" spans="1:21" ht="63">
      <c r="A17" s="54" t="s">
        <v>374</v>
      </c>
      <c r="B17" s="162" t="s">
        <v>379</v>
      </c>
      <c r="C17" s="159" t="s">
        <v>519</v>
      </c>
      <c r="D17" s="54" t="s">
        <v>524</v>
      </c>
      <c r="E17" s="101" t="s">
        <v>380</v>
      </c>
      <c r="F17" s="54" t="s">
        <v>172</v>
      </c>
      <c r="G17" s="68"/>
      <c r="H17" s="54"/>
      <c r="I17" s="53"/>
      <c r="J17" s="51" t="s">
        <v>466</v>
      </c>
      <c r="K17" s="53"/>
      <c r="L17" s="53"/>
      <c r="M17" s="166"/>
      <c r="N17" s="51"/>
      <c r="O17" s="53"/>
      <c r="P17" s="166"/>
      <c r="Q17" s="53"/>
      <c r="R17" s="53"/>
      <c r="S17" s="166"/>
      <c r="T17" s="53"/>
    </row>
    <row r="18" spans="1:21" ht="63">
      <c r="A18" s="54" t="s">
        <v>374</v>
      </c>
      <c r="B18" s="158" t="s">
        <v>379</v>
      </c>
      <c r="C18" s="160" t="s">
        <v>531</v>
      </c>
      <c r="D18" s="54" t="s">
        <v>532</v>
      </c>
      <c r="E18" s="101" t="s">
        <v>380</v>
      </c>
      <c r="F18" s="54" t="s">
        <v>173</v>
      </c>
      <c r="G18" s="68"/>
      <c r="H18" s="54"/>
      <c r="I18" s="53"/>
      <c r="J18" s="51" t="s">
        <v>466</v>
      </c>
      <c r="K18" s="53"/>
      <c r="L18" s="53"/>
      <c r="M18" s="166"/>
      <c r="N18" s="51"/>
      <c r="O18" s="53"/>
      <c r="P18" s="166"/>
      <c r="Q18" s="53"/>
      <c r="R18" s="53"/>
      <c r="S18" s="166"/>
      <c r="T18" s="53"/>
    </row>
    <row r="19" spans="1:21" ht="63">
      <c r="A19" s="54" t="s">
        <v>374</v>
      </c>
      <c r="B19" s="158" t="s">
        <v>379</v>
      </c>
      <c r="C19" s="160" t="s">
        <v>539</v>
      </c>
      <c r="D19" s="54" t="s">
        <v>544</v>
      </c>
      <c r="E19" s="101" t="s">
        <v>380</v>
      </c>
      <c r="F19" s="54" t="s">
        <v>0</v>
      </c>
      <c r="G19" s="68"/>
      <c r="H19" s="54"/>
      <c r="I19" s="53"/>
      <c r="J19" s="51" t="s">
        <v>466</v>
      </c>
      <c r="K19" s="53"/>
      <c r="L19" s="53"/>
      <c r="M19" s="166"/>
      <c r="N19" s="51"/>
      <c r="O19" s="53"/>
      <c r="P19" s="166"/>
      <c r="Q19" s="53"/>
      <c r="R19" s="53"/>
      <c r="S19" s="166"/>
      <c r="T19" s="53"/>
    </row>
    <row r="20" spans="1:21" ht="25.2">
      <c r="A20" s="54" t="s">
        <v>374</v>
      </c>
      <c r="B20" s="162" t="s">
        <v>381</v>
      </c>
      <c r="C20" s="159" t="s">
        <v>520</v>
      </c>
      <c r="D20" s="54" t="s">
        <v>523</v>
      </c>
      <c r="E20" s="101" t="s">
        <v>382</v>
      </c>
      <c r="F20" s="54" t="s">
        <v>172</v>
      </c>
      <c r="G20" s="68"/>
      <c r="H20" s="54"/>
      <c r="I20" s="53"/>
      <c r="J20" s="51" t="s">
        <v>466</v>
      </c>
      <c r="K20" s="53"/>
      <c r="L20" s="53"/>
      <c r="M20" s="166"/>
      <c r="N20" s="51"/>
      <c r="O20" s="53"/>
      <c r="P20" s="166"/>
      <c r="Q20" s="53"/>
      <c r="R20" s="53"/>
      <c r="S20" s="166"/>
      <c r="T20" s="53"/>
    </row>
    <row r="21" spans="1:21" ht="25.2">
      <c r="A21" s="54" t="s">
        <v>374</v>
      </c>
      <c r="B21" s="158" t="s">
        <v>381</v>
      </c>
      <c r="C21" s="160" t="s">
        <v>540</v>
      </c>
      <c r="D21" s="54" t="s">
        <v>543</v>
      </c>
      <c r="E21" s="101" t="s">
        <v>382</v>
      </c>
      <c r="F21" s="54" t="s">
        <v>0</v>
      </c>
      <c r="G21" s="68"/>
      <c r="H21" s="54"/>
      <c r="I21" s="53"/>
      <c r="J21" s="51" t="s">
        <v>466</v>
      </c>
      <c r="K21" s="53"/>
      <c r="L21" s="53"/>
      <c r="M21" s="166"/>
      <c r="N21" s="51"/>
      <c r="O21" s="53"/>
      <c r="P21" s="166"/>
      <c r="Q21" s="53"/>
      <c r="R21" s="53"/>
      <c r="S21" s="166"/>
      <c r="T21" s="53"/>
    </row>
    <row r="22" spans="1:21" ht="47.4" customHeight="1">
      <c r="A22" s="51" t="s">
        <v>384</v>
      </c>
      <c r="B22" s="51"/>
      <c r="C22" s="159" t="s">
        <v>507</v>
      </c>
      <c r="D22" s="54" t="s">
        <v>513</v>
      </c>
      <c r="E22" s="103" t="s">
        <v>416</v>
      </c>
      <c r="F22" s="54" t="s">
        <v>174</v>
      </c>
      <c r="G22" s="68"/>
      <c r="H22" s="54"/>
      <c r="I22" s="159" t="s">
        <v>418</v>
      </c>
      <c r="J22" s="51" t="s">
        <v>571</v>
      </c>
      <c r="K22" s="53"/>
      <c r="L22" s="53"/>
      <c r="M22" s="166"/>
      <c r="N22" s="51"/>
      <c r="O22" s="53"/>
      <c r="P22" s="166"/>
      <c r="Q22" s="53"/>
      <c r="R22" s="53"/>
      <c r="S22" s="166"/>
      <c r="T22" s="53"/>
      <c r="U22" s="58"/>
    </row>
    <row r="23" spans="1:21" ht="48.9" customHeight="1">
      <c r="A23" s="51" t="s">
        <v>384</v>
      </c>
      <c r="B23" s="51"/>
      <c r="C23" s="159" t="s">
        <v>508</v>
      </c>
      <c r="D23" s="54" t="s">
        <v>514</v>
      </c>
      <c r="E23" s="103" t="s">
        <v>385</v>
      </c>
      <c r="F23" s="54" t="s">
        <v>174</v>
      </c>
      <c r="G23" s="68"/>
      <c r="H23" s="54"/>
      <c r="I23" s="159" t="s">
        <v>418</v>
      </c>
      <c r="J23" s="51" t="s">
        <v>571</v>
      </c>
      <c r="K23" s="53"/>
      <c r="L23" s="53"/>
      <c r="M23" s="166"/>
      <c r="N23" s="51"/>
      <c r="O23" s="53"/>
      <c r="P23" s="166"/>
      <c r="Q23" s="53"/>
      <c r="R23" s="53"/>
      <c r="S23" s="166"/>
      <c r="T23" s="53"/>
      <c r="U23" s="58"/>
    </row>
    <row r="24" spans="1:21" ht="48.9" customHeight="1">
      <c r="A24" s="51" t="s">
        <v>384</v>
      </c>
      <c r="B24" s="51"/>
      <c r="C24" s="159" t="s">
        <v>521</v>
      </c>
      <c r="D24" s="54" t="s">
        <v>522</v>
      </c>
      <c r="E24" s="103" t="s">
        <v>409</v>
      </c>
      <c r="F24" s="54" t="s">
        <v>172</v>
      </c>
      <c r="G24" s="68"/>
      <c r="H24" s="54"/>
      <c r="I24" s="159" t="s">
        <v>418</v>
      </c>
      <c r="J24" s="51" t="s">
        <v>571</v>
      </c>
      <c r="K24" s="53"/>
      <c r="L24" s="53"/>
      <c r="M24" s="166"/>
      <c r="N24" s="51"/>
      <c r="P24" s="166"/>
      <c r="Q24" s="53"/>
      <c r="R24" s="53"/>
      <c r="S24" s="166"/>
      <c r="T24" s="53"/>
      <c r="U24" s="58"/>
    </row>
    <row r="25" spans="1:21" ht="48.9" customHeight="1">
      <c r="A25" s="51" t="s">
        <v>384</v>
      </c>
      <c r="B25" s="51"/>
      <c r="C25" s="160" t="s">
        <v>541</v>
      </c>
      <c r="D25" s="54" t="s">
        <v>542</v>
      </c>
      <c r="E25" s="103" t="s">
        <v>410</v>
      </c>
      <c r="F25" s="54" t="s">
        <v>0</v>
      </c>
      <c r="G25" s="68"/>
      <c r="H25" s="54"/>
      <c r="I25" s="159" t="s">
        <v>418</v>
      </c>
      <c r="J25" s="51" t="s">
        <v>571</v>
      </c>
      <c r="L25" s="53"/>
      <c r="M25" s="166"/>
      <c r="N25" s="51"/>
      <c r="O25" s="53"/>
      <c r="P25" s="166"/>
      <c r="Q25" s="53"/>
      <c r="R25" s="53"/>
      <c r="S25" s="166"/>
      <c r="T25" s="53"/>
      <c r="U25" s="58"/>
    </row>
    <row r="26" spans="1:21" ht="75.599999999999994">
      <c r="A26" s="51" t="s">
        <v>470</v>
      </c>
      <c r="B26" s="51"/>
      <c r="C26" s="160" t="s">
        <v>509</v>
      </c>
      <c r="D26" s="54" t="s">
        <v>515</v>
      </c>
      <c r="E26" s="103" t="s">
        <v>471</v>
      </c>
      <c r="F26" s="54" t="s">
        <v>174</v>
      </c>
      <c r="G26" s="68"/>
      <c r="H26" s="54"/>
      <c r="I26" s="159" t="s">
        <v>418</v>
      </c>
      <c r="J26" s="51" t="s">
        <v>571</v>
      </c>
      <c r="K26" s="53"/>
      <c r="L26" s="53"/>
      <c r="M26" s="166"/>
      <c r="N26" s="51"/>
      <c r="O26" s="53"/>
      <c r="P26" s="166"/>
      <c r="Q26" s="53"/>
      <c r="R26" s="53"/>
      <c r="S26" s="166"/>
      <c r="T26" s="53"/>
      <c r="U26" s="58"/>
    </row>
  </sheetData>
  <autoFilter ref="A3:T26" xr:uid="{00000000-0009-0000-0000-000004000000}">
    <sortState xmlns:xlrd2="http://schemas.microsoft.com/office/spreadsheetml/2017/richdata2" ref="A4:T22">
      <sortCondition ref="B3:B18"/>
    </sortState>
  </autoFilter>
  <mergeCells count="7">
    <mergeCell ref="A2:I2"/>
    <mergeCell ref="J1:O1"/>
    <mergeCell ref="P1:T1"/>
    <mergeCell ref="J2:L2"/>
    <mergeCell ref="M2:O2"/>
    <mergeCell ref="P2:R2"/>
    <mergeCell ref="S2:T2"/>
  </mergeCells>
  <phoneticPr fontId="65" type="noConversion"/>
  <conditionalFormatting sqref="N4:N26 J4:J26">
    <cfRule type="cellIs" dxfId="51" priority="30" operator="equal">
      <formula>"Disagree"</formula>
    </cfRule>
    <cfRule type="cellIs" dxfId="50" priority="31" operator="equal">
      <formula>"Agree withe reserves"</formula>
    </cfRule>
    <cfRule type="cellIs" dxfId="49" priority="32" operator="equal">
      <formula>"Not applicable"</formula>
    </cfRule>
    <cfRule type="cellIs" dxfId="48" priority="33" operator="equal">
      <formula>" Disagree"</formula>
    </cfRule>
    <cfRule type="cellIs" dxfId="47" priority="34" operator="equal">
      <formula>"Agree with reserves"</formula>
    </cfRule>
    <cfRule type="cellIs" dxfId="46" priority="35" operator="equal">
      <formula>"Agree"</formula>
    </cfRule>
  </conditionalFormatting>
  <conditionalFormatting sqref="M4:M26">
    <cfRule type="cellIs" dxfId="45" priority="9" operator="equal">
      <formula>"R"</formula>
    </cfRule>
    <cfRule type="cellIs" dxfId="44" priority="10" operator="equal">
      <formula>"O"</formula>
    </cfRule>
    <cfRule type="cellIs" dxfId="43" priority="11" operator="equal">
      <formula>"G"</formula>
    </cfRule>
  </conditionalFormatting>
  <conditionalFormatting sqref="P4:P26">
    <cfRule type="cellIs" dxfId="42" priority="1" operator="equal">
      <formula>"R"</formula>
    </cfRule>
    <cfRule type="cellIs" dxfId="41" priority="2" operator="equal">
      <formula>"O"</formula>
    </cfRule>
    <cfRule type="cellIs" dxfId="40" priority="3" operator="equal">
      <formula>"G"</formula>
    </cfRule>
  </conditionalFormatting>
  <conditionalFormatting sqref="S4:S26">
    <cfRule type="cellIs" dxfId="39" priority="4" operator="equal">
      <formula>"NOK"</formula>
    </cfRule>
    <cfRule type="cellIs" dxfId="38" priority="5" operator="equal">
      <formula>"OK"</formula>
    </cfRule>
  </conditionalFormatting>
  <dataValidations count="5">
    <dataValidation type="list" allowBlank="1" showInputMessage="1" showErrorMessage="1" sqref="J4:J26" xr:uid="{00000000-0002-0000-0400-000000000000}">
      <formula1>"Agree, Agree with reserves, Disagree, Not applicable"</formula1>
    </dataValidation>
    <dataValidation type="list" allowBlank="1" showInputMessage="1" showErrorMessage="1" sqref="N4:N26" xr:uid="{00000000-0002-0000-0400-000001000000}">
      <formula1>"Agree, Disagree, Not applicable"</formula1>
    </dataValidation>
    <dataValidation type="list" allowBlank="1" showInputMessage="1" showErrorMessage="1" sqref="G4:G26" xr:uid="{00000000-0002-0000-0400-000002000000}">
      <formula1>"Y,N,Mandatory"</formula1>
    </dataValidation>
    <dataValidation type="list" allowBlank="1" showInputMessage="1" showErrorMessage="1" sqref="P4:P26 M4:M26" xr:uid="{00000000-0002-0000-0400-000003000000}">
      <formula1>"G,O,R"</formula1>
    </dataValidation>
    <dataValidation type="list" allowBlank="1" showInputMessage="1" showErrorMessage="1" sqref="S4:S26" xr:uid="{00000000-0002-0000-0400-000004000000}">
      <formula1>"OK,NOK"</formula1>
    </dataValidation>
  </dataValidations>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tint="0.39997558519241921"/>
    <pageSetUpPr fitToPage="1"/>
  </sheetPr>
  <dimension ref="A1:T69"/>
  <sheetViews>
    <sheetView zoomScale="85" zoomScaleNormal="85" workbookViewId="0">
      <pane xSplit="2" ySplit="3" topLeftCell="C59" activePane="bottomRight" state="frozen"/>
      <selection pane="topRight" activeCell="C1" sqref="C1"/>
      <selection pane="bottomLeft" activeCell="A2" sqref="A2"/>
      <selection pane="bottomRight" activeCell="I63" sqref="I63"/>
    </sheetView>
  </sheetViews>
  <sheetFormatPr baseColWidth="10" defaultColWidth="11.33203125" defaultRowHeight="22.8"/>
  <cols>
    <col min="1" max="1" width="23" style="85" customWidth="1"/>
    <col min="2" max="2" width="20" style="85" customWidth="1"/>
    <col min="3" max="3" width="85.77734375" style="86" customWidth="1"/>
    <col min="4" max="4" width="11.33203125" style="85"/>
    <col min="5" max="5" width="19.33203125" style="85" customWidth="1"/>
    <col min="6" max="6" width="19" style="85" customWidth="1"/>
    <col min="7" max="7" width="36.6640625" style="85" customWidth="1"/>
    <col min="8" max="8" width="14" style="85" customWidth="1"/>
    <col min="9" max="9" width="24" style="85" customWidth="1"/>
    <col min="10" max="10" width="18.109375" style="85" customWidth="1"/>
    <col min="11" max="11" width="18.33203125" style="85" customWidth="1"/>
    <col min="12" max="12" width="16.33203125" style="85" customWidth="1"/>
    <col min="13" max="13" width="33.33203125" style="85" customWidth="1"/>
    <col min="14" max="14" width="13.109375" style="85" customWidth="1"/>
    <col min="15" max="15" width="27.21875" style="85" customWidth="1"/>
    <col min="16" max="16" width="24.109375" style="85" customWidth="1"/>
    <col min="17" max="17" width="11.88671875" style="85" customWidth="1"/>
    <col min="18" max="18" width="27.6640625" style="85" customWidth="1"/>
    <col min="19" max="16384" width="11.33203125" style="85"/>
  </cols>
  <sheetData>
    <row r="1" spans="1:20">
      <c r="H1" s="241" t="s">
        <v>366</v>
      </c>
      <c r="I1" s="241"/>
      <c r="J1" s="241"/>
      <c r="K1" s="241"/>
      <c r="L1" s="241"/>
      <c r="M1" s="241"/>
      <c r="N1" s="241" t="s">
        <v>367</v>
      </c>
      <c r="O1" s="241"/>
      <c r="P1" s="241"/>
      <c r="Q1" s="241"/>
      <c r="R1" s="241"/>
    </row>
    <row r="2" spans="1:20">
      <c r="B2" s="233" t="s">
        <v>86</v>
      </c>
      <c r="C2" s="234"/>
      <c r="D2" s="234"/>
      <c r="E2" s="234"/>
      <c r="F2" s="234"/>
      <c r="G2" s="235"/>
      <c r="H2" s="236" t="s">
        <v>50</v>
      </c>
      <c r="I2" s="237"/>
      <c r="J2" s="237"/>
      <c r="K2" s="238" t="s">
        <v>123</v>
      </c>
      <c r="L2" s="239"/>
      <c r="M2" s="240"/>
      <c r="N2" s="231" t="s">
        <v>368</v>
      </c>
      <c r="O2" s="231"/>
      <c r="P2" s="231"/>
      <c r="Q2" s="232" t="s">
        <v>369</v>
      </c>
      <c r="R2" s="232"/>
    </row>
    <row r="3" spans="1:20" s="86" customFormat="1" ht="40.799999999999997">
      <c r="A3" s="87" t="s">
        <v>178</v>
      </c>
      <c r="B3" s="87" t="s">
        <v>180</v>
      </c>
      <c r="C3" s="87" t="s">
        <v>3</v>
      </c>
      <c r="D3" s="87" t="s">
        <v>209</v>
      </c>
      <c r="E3" s="165" t="s">
        <v>467</v>
      </c>
      <c r="F3" s="88" t="s">
        <v>116</v>
      </c>
      <c r="G3" s="87" t="s">
        <v>119</v>
      </c>
      <c r="H3" s="89" t="s">
        <v>51</v>
      </c>
      <c r="I3" s="89" t="s">
        <v>52</v>
      </c>
      <c r="J3" s="89" t="s">
        <v>53</v>
      </c>
      <c r="K3" s="90" t="s">
        <v>54</v>
      </c>
      <c r="L3" s="90" t="s">
        <v>51</v>
      </c>
      <c r="M3" s="90" t="s">
        <v>55</v>
      </c>
      <c r="N3" s="100" t="s">
        <v>370</v>
      </c>
      <c r="O3" s="100" t="s">
        <v>52</v>
      </c>
      <c r="P3" s="100" t="s">
        <v>371</v>
      </c>
      <c r="Q3" s="100" t="s">
        <v>372</v>
      </c>
      <c r="R3" s="100" t="s">
        <v>55</v>
      </c>
      <c r="T3" s="85"/>
    </row>
    <row r="4" spans="1:20" ht="40.799999999999997">
      <c r="A4" s="91" t="s">
        <v>210</v>
      </c>
      <c r="B4" s="92" t="s">
        <v>211</v>
      </c>
      <c r="C4" s="91" t="s">
        <v>212</v>
      </c>
      <c r="D4" s="92" t="s">
        <v>213</v>
      </c>
      <c r="E4" s="68" t="s">
        <v>111</v>
      </c>
      <c r="F4" s="92"/>
      <c r="G4" s="92"/>
      <c r="H4" s="92" t="s">
        <v>466</v>
      </c>
      <c r="I4" s="93"/>
      <c r="J4" s="93"/>
      <c r="K4" s="166" t="s">
        <v>465</v>
      </c>
      <c r="L4" s="51" t="s">
        <v>466</v>
      </c>
      <c r="M4" s="93"/>
      <c r="N4" s="166" t="s">
        <v>465</v>
      </c>
      <c r="O4" s="53"/>
      <c r="P4" s="53"/>
      <c r="Q4" s="166" t="s">
        <v>415</v>
      </c>
      <c r="R4" s="93"/>
    </row>
    <row r="5" spans="1:20" ht="57.9" customHeight="1">
      <c r="A5" s="91" t="s">
        <v>210</v>
      </c>
      <c r="B5" s="92" t="s">
        <v>214</v>
      </c>
      <c r="C5" s="94" t="s">
        <v>215</v>
      </c>
      <c r="D5" s="92" t="s">
        <v>216</v>
      </c>
      <c r="E5" s="68"/>
      <c r="F5" s="92"/>
      <c r="G5" s="92"/>
      <c r="H5" s="92" t="s">
        <v>466</v>
      </c>
      <c r="I5" s="93"/>
      <c r="J5" s="93"/>
      <c r="K5" s="166"/>
      <c r="L5" s="51"/>
      <c r="M5" s="93"/>
      <c r="N5" s="166"/>
      <c r="O5" s="93"/>
      <c r="P5" s="93"/>
      <c r="Q5" s="166"/>
      <c r="R5" s="93"/>
    </row>
    <row r="6" spans="1:20" ht="103.5" customHeight="1">
      <c r="A6" s="91" t="s">
        <v>210</v>
      </c>
      <c r="B6" s="92" t="s">
        <v>217</v>
      </c>
      <c r="C6" s="95" t="s">
        <v>218</v>
      </c>
      <c r="D6" s="92" t="s">
        <v>219</v>
      </c>
      <c r="E6" s="68"/>
      <c r="F6" s="92"/>
      <c r="G6" s="92"/>
      <c r="H6" s="92" t="s">
        <v>466</v>
      </c>
      <c r="I6" s="93"/>
      <c r="J6" s="93"/>
      <c r="K6" s="166"/>
      <c r="L6" s="51"/>
      <c r="M6" s="93"/>
      <c r="N6" s="166"/>
      <c r="O6" s="93"/>
      <c r="P6" s="93"/>
      <c r="Q6" s="166"/>
      <c r="R6" s="93"/>
    </row>
    <row r="7" spans="1:20" ht="61.2">
      <c r="A7" s="91" t="s">
        <v>210</v>
      </c>
      <c r="B7" s="92" t="s">
        <v>220</v>
      </c>
      <c r="C7" s="95" t="s">
        <v>221</v>
      </c>
      <c r="D7" s="92" t="s">
        <v>216</v>
      </c>
      <c r="E7" s="68"/>
      <c r="F7" s="92"/>
      <c r="G7" s="92"/>
      <c r="H7" s="92" t="s">
        <v>466</v>
      </c>
      <c r="I7" s="93"/>
      <c r="J7" s="93"/>
      <c r="K7" s="166"/>
      <c r="L7" s="51"/>
      <c r="M7" s="93"/>
      <c r="N7" s="166"/>
      <c r="O7" s="93"/>
      <c r="P7" s="93"/>
      <c r="Q7" s="166"/>
      <c r="R7" s="93"/>
    </row>
    <row r="8" spans="1:20" ht="285.60000000000002">
      <c r="A8" s="91" t="s">
        <v>210</v>
      </c>
      <c r="B8" s="92" t="s">
        <v>222</v>
      </c>
      <c r="C8" s="94" t="s">
        <v>223</v>
      </c>
      <c r="D8" s="91" t="s">
        <v>224</v>
      </c>
      <c r="E8" s="68"/>
      <c r="F8" s="92"/>
      <c r="G8" s="92"/>
      <c r="H8" s="92" t="s">
        <v>466</v>
      </c>
      <c r="I8" s="93"/>
      <c r="J8" s="93"/>
      <c r="K8" s="166"/>
      <c r="L8" s="51"/>
      <c r="M8" s="93"/>
      <c r="N8" s="166"/>
      <c r="O8" s="93"/>
      <c r="P8" s="93"/>
      <c r="Q8" s="166"/>
      <c r="R8" s="93"/>
    </row>
    <row r="9" spans="1:20" ht="123.75" customHeight="1">
      <c r="A9" s="91" t="s">
        <v>210</v>
      </c>
      <c r="B9" s="92" t="s">
        <v>225</v>
      </c>
      <c r="C9" s="95" t="s">
        <v>226</v>
      </c>
      <c r="D9" s="91" t="s">
        <v>227</v>
      </c>
      <c r="E9" s="68"/>
      <c r="F9" s="92"/>
      <c r="G9" s="92"/>
      <c r="H9" s="92" t="s">
        <v>466</v>
      </c>
      <c r="I9" s="93"/>
      <c r="J9" s="93"/>
      <c r="K9" s="166"/>
      <c r="L9" s="51"/>
      <c r="M9" s="93"/>
      <c r="N9" s="166"/>
      <c r="O9" s="93"/>
      <c r="P9" s="93"/>
      <c r="Q9" s="166"/>
      <c r="R9" s="93"/>
    </row>
    <row r="10" spans="1:20">
      <c r="A10" s="92" t="s">
        <v>210</v>
      </c>
      <c r="B10" s="92" t="s">
        <v>228</v>
      </c>
      <c r="C10" s="91" t="s">
        <v>229</v>
      </c>
      <c r="D10" s="92" t="s">
        <v>41</v>
      </c>
      <c r="E10" s="68"/>
      <c r="F10" s="92"/>
      <c r="G10" s="92"/>
      <c r="H10" s="92" t="s">
        <v>466</v>
      </c>
      <c r="I10" s="93"/>
      <c r="J10" s="93"/>
      <c r="K10" s="166"/>
      <c r="L10" s="51"/>
      <c r="M10" s="93"/>
      <c r="N10" s="166"/>
      <c r="O10" s="93"/>
      <c r="P10" s="93"/>
      <c r="Q10" s="166"/>
      <c r="R10" s="93"/>
    </row>
    <row r="11" spans="1:20" ht="40.799999999999997">
      <c r="A11" s="92" t="s">
        <v>230</v>
      </c>
      <c r="B11" s="92" t="s">
        <v>231</v>
      </c>
      <c r="C11" s="91" t="s">
        <v>232</v>
      </c>
      <c r="D11" s="92" t="s">
        <v>219</v>
      </c>
      <c r="E11" s="68"/>
      <c r="F11" s="92"/>
      <c r="G11" s="92"/>
      <c r="H11" s="92" t="s">
        <v>466</v>
      </c>
      <c r="I11" s="93"/>
      <c r="J11" s="93"/>
      <c r="K11" s="166"/>
      <c r="L11" s="51"/>
      <c r="M11" s="93"/>
      <c r="N11" s="166"/>
      <c r="O11" s="93"/>
      <c r="P11" s="93"/>
      <c r="Q11" s="166"/>
      <c r="R11" s="93"/>
    </row>
    <row r="12" spans="1:20" ht="163.19999999999999">
      <c r="A12" s="92" t="s">
        <v>233</v>
      </c>
      <c r="B12" s="92" t="s">
        <v>234</v>
      </c>
      <c r="C12" s="91" t="s">
        <v>235</v>
      </c>
      <c r="D12" s="92" t="s">
        <v>236</v>
      </c>
      <c r="E12" s="68"/>
      <c r="F12" s="92"/>
      <c r="G12" s="92"/>
      <c r="H12" s="92" t="s">
        <v>466</v>
      </c>
      <c r="I12" s="93"/>
      <c r="J12" s="93"/>
      <c r="K12" s="166"/>
      <c r="L12" s="51"/>
      <c r="M12" s="93"/>
      <c r="N12" s="166"/>
      <c r="O12" s="93"/>
      <c r="P12" s="93"/>
      <c r="Q12" s="166"/>
      <c r="R12" s="93"/>
    </row>
    <row r="13" spans="1:20" ht="163.19999999999999">
      <c r="A13" s="92" t="s">
        <v>233</v>
      </c>
      <c r="B13" s="92" t="s">
        <v>237</v>
      </c>
      <c r="C13" s="91" t="s">
        <v>238</v>
      </c>
      <c r="D13" s="92" t="s">
        <v>236</v>
      </c>
      <c r="E13" s="68"/>
      <c r="F13" s="92"/>
      <c r="G13" s="92"/>
      <c r="H13" s="92" t="s">
        <v>466</v>
      </c>
      <c r="I13" s="93"/>
      <c r="J13" s="93"/>
      <c r="K13" s="166"/>
      <c r="L13" s="51"/>
      <c r="M13" s="93"/>
      <c r="N13" s="166"/>
      <c r="O13" s="93"/>
      <c r="P13" s="93"/>
      <c r="Q13" s="166"/>
      <c r="R13" s="93"/>
    </row>
    <row r="14" spans="1:20" ht="163.19999999999999">
      <c r="A14" s="92" t="s">
        <v>233</v>
      </c>
      <c r="B14" s="92" t="s">
        <v>239</v>
      </c>
      <c r="C14" s="91" t="s">
        <v>240</v>
      </c>
      <c r="D14" s="92" t="s">
        <v>236</v>
      </c>
      <c r="E14" s="68"/>
      <c r="F14" s="92"/>
      <c r="G14" s="92"/>
      <c r="H14" s="92" t="s">
        <v>466</v>
      </c>
      <c r="I14" s="93"/>
      <c r="J14" s="93"/>
      <c r="K14" s="166"/>
      <c r="L14" s="51"/>
      <c r="M14" s="93"/>
      <c r="N14" s="166"/>
      <c r="O14" s="93"/>
      <c r="P14" s="93"/>
      <c r="Q14" s="166"/>
      <c r="R14" s="93"/>
    </row>
    <row r="15" spans="1:20" ht="409.6">
      <c r="A15" s="92" t="s">
        <v>233</v>
      </c>
      <c r="B15" s="92" t="s">
        <v>241</v>
      </c>
      <c r="C15" s="91" t="s">
        <v>242</v>
      </c>
      <c r="D15" s="92" t="s">
        <v>236</v>
      </c>
      <c r="E15" s="68"/>
      <c r="F15" s="92"/>
      <c r="G15" s="92"/>
      <c r="H15" s="92" t="s">
        <v>466</v>
      </c>
      <c r="I15" s="93"/>
      <c r="J15" s="93"/>
      <c r="K15" s="166"/>
      <c r="L15" s="51"/>
      <c r="M15" s="93"/>
      <c r="N15" s="166"/>
      <c r="O15" s="93"/>
      <c r="P15" s="93"/>
      <c r="Q15" s="166"/>
      <c r="R15" s="93"/>
    </row>
    <row r="16" spans="1:20" ht="163.19999999999999">
      <c r="A16" s="92" t="s">
        <v>233</v>
      </c>
      <c r="B16" s="92" t="s">
        <v>243</v>
      </c>
      <c r="C16" s="91" t="s">
        <v>244</v>
      </c>
      <c r="D16" s="92" t="s">
        <v>236</v>
      </c>
      <c r="E16" s="68"/>
      <c r="F16" s="92"/>
      <c r="G16" s="92"/>
      <c r="H16" s="92" t="s">
        <v>466</v>
      </c>
      <c r="I16" s="93"/>
      <c r="J16" s="93"/>
      <c r="K16" s="166"/>
      <c r="L16" s="51"/>
      <c r="M16" s="93"/>
      <c r="N16" s="166"/>
      <c r="O16" s="93"/>
      <c r="P16" s="93"/>
      <c r="Q16" s="166"/>
      <c r="R16" s="93"/>
    </row>
    <row r="17" spans="1:18" ht="409.6">
      <c r="A17" s="92" t="s">
        <v>233</v>
      </c>
      <c r="B17" s="92" t="s">
        <v>245</v>
      </c>
      <c r="C17" s="91" t="s">
        <v>246</v>
      </c>
      <c r="D17" s="92" t="s">
        <v>236</v>
      </c>
      <c r="E17" s="68"/>
      <c r="F17" s="92"/>
      <c r="G17" s="92"/>
      <c r="H17" s="92" t="s">
        <v>466</v>
      </c>
      <c r="I17" s="93"/>
      <c r="J17" s="93"/>
      <c r="K17" s="166"/>
      <c r="L17" s="51"/>
      <c r="M17" s="93"/>
      <c r="N17" s="166"/>
      <c r="O17" s="93"/>
      <c r="P17" s="93"/>
      <c r="Q17" s="166"/>
      <c r="R17" s="93"/>
    </row>
    <row r="18" spans="1:18" ht="409.6">
      <c r="A18" s="92" t="s">
        <v>233</v>
      </c>
      <c r="B18" s="92" t="s">
        <v>247</v>
      </c>
      <c r="C18" s="91" t="s">
        <v>248</v>
      </c>
      <c r="D18" s="92" t="s">
        <v>236</v>
      </c>
      <c r="E18" s="68"/>
      <c r="F18" s="92"/>
      <c r="G18" s="92"/>
      <c r="H18" s="92" t="s">
        <v>466</v>
      </c>
      <c r="I18" s="93"/>
      <c r="J18" s="93"/>
      <c r="K18" s="166"/>
      <c r="L18" s="51"/>
      <c r="M18" s="93"/>
      <c r="N18" s="166"/>
      <c r="O18" s="93"/>
      <c r="P18" s="93"/>
      <c r="Q18" s="166"/>
      <c r="R18" s="93"/>
    </row>
    <row r="19" spans="1:18" ht="163.19999999999999">
      <c r="A19" s="92" t="s">
        <v>233</v>
      </c>
      <c r="B19" s="92" t="s">
        <v>249</v>
      </c>
      <c r="C19" s="91" t="s">
        <v>250</v>
      </c>
      <c r="D19" s="92" t="s">
        <v>236</v>
      </c>
      <c r="E19" s="68"/>
      <c r="F19" s="92"/>
      <c r="G19" s="92"/>
      <c r="H19" s="92" t="s">
        <v>466</v>
      </c>
      <c r="I19" s="93"/>
      <c r="J19" s="93"/>
      <c r="K19" s="166"/>
      <c r="L19" s="51"/>
      <c r="M19" s="93"/>
      <c r="N19" s="166"/>
      <c r="O19" s="93"/>
      <c r="P19" s="93"/>
      <c r="Q19" s="166"/>
      <c r="R19" s="93"/>
    </row>
    <row r="20" spans="1:18" ht="163.19999999999999">
      <c r="A20" s="92" t="s">
        <v>233</v>
      </c>
      <c r="B20" s="92" t="s">
        <v>251</v>
      </c>
      <c r="C20" s="91" t="s">
        <v>252</v>
      </c>
      <c r="D20" s="92" t="s">
        <v>236</v>
      </c>
      <c r="E20" s="68"/>
      <c r="F20" s="92"/>
      <c r="G20" s="92"/>
      <c r="H20" s="92" t="s">
        <v>466</v>
      </c>
      <c r="I20" s="93"/>
      <c r="J20" s="93"/>
      <c r="K20" s="166"/>
      <c r="L20" s="51"/>
      <c r="M20" s="93"/>
      <c r="N20" s="166"/>
      <c r="O20" s="93"/>
      <c r="P20" s="93"/>
      <c r="Q20" s="166"/>
      <c r="R20" s="93"/>
    </row>
    <row r="21" spans="1:18" ht="163.19999999999999">
      <c r="A21" s="92" t="s">
        <v>233</v>
      </c>
      <c r="B21" s="92" t="s">
        <v>253</v>
      </c>
      <c r="C21" s="91" t="s">
        <v>254</v>
      </c>
      <c r="D21" s="92" t="s">
        <v>236</v>
      </c>
      <c r="E21" s="68"/>
      <c r="F21" s="92"/>
      <c r="G21" s="92"/>
      <c r="H21" s="92" t="s">
        <v>466</v>
      </c>
      <c r="I21" s="93"/>
      <c r="J21" s="93"/>
      <c r="K21" s="166"/>
      <c r="L21" s="51"/>
      <c r="M21" s="93"/>
      <c r="N21" s="166"/>
      <c r="O21" s="93"/>
      <c r="P21" s="93"/>
      <c r="Q21" s="166"/>
      <c r="R21" s="93"/>
    </row>
    <row r="22" spans="1:18">
      <c r="A22" s="92" t="s">
        <v>233</v>
      </c>
      <c r="B22" s="92" t="s">
        <v>255</v>
      </c>
      <c r="C22" s="91" t="s">
        <v>256</v>
      </c>
      <c r="D22" s="92" t="s">
        <v>41</v>
      </c>
      <c r="E22" s="68"/>
      <c r="F22" s="92"/>
      <c r="G22" s="92"/>
      <c r="H22" s="92" t="s">
        <v>466</v>
      </c>
      <c r="I22" s="93"/>
      <c r="J22" s="93"/>
      <c r="K22" s="166"/>
      <c r="L22" s="51"/>
      <c r="M22" s="93"/>
      <c r="N22" s="166"/>
      <c r="O22" s="93"/>
      <c r="P22" s="93"/>
      <c r="Q22" s="166"/>
      <c r="R22" s="93"/>
    </row>
    <row r="23" spans="1:18" ht="163.19999999999999">
      <c r="A23" s="92" t="s">
        <v>233</v>
      </c>
      <c r="B23" s="92" t="s">
        <v>257</v>
      </c>
      <c r="C23" s="91" t="s">
        <v>258</v>
      </c>
      <c r="D23" s="92" t="s">
        <v>236</v>
      </c>
      <c r="E23" s="68"/>
      <c r="F23" s="92"/>
      <c r="G23" s="92"/>
      <c r="H23" s="92" t="s">
        <v>466</v>
      </c>
      <c r="I23" s="93"/>
      <c r="J23" s="93"/>
      <c r="K23" s="166"/>
      <c r="L23" s="51"/>
      <c r="M23" s="93"/>
      <c r="N23" s="166"/>
      <c r="O23" s="93"/>
      <c r="P23" s="93"/>
      <c r="Q23" s="166"/>
      <c r="R23" s="93"/>
    </row>
    <row r="24" spans="1:18" ht="163.19999999999999">
      <c r="A24" s="92" t="s">
        <v>233</v>
      </c>
      <c r="B24" s="92" t="s">
        <v>259</v>
      </c>
      <c r="C24" s="91" t="s">
        <v>260</v>
      </c>
      <c r="D24" s="92" t="s">
        <v>236</v>
      </c>
      <c r="E24" s="68"/>
      <c r="F24" s="92"/>
      <c r="G24" s="92"/>
      <c r="H24" s="92" t="s">
        <v>466</v>
      </c>
      <c r="I24" s="93"/>
      <c r="J24" s="93"/>
      <c r="K24" s="166"/>
      <c r="L24" s="51"/>
      <c r="M24" s="93"/>
      <c r="N24" s="166"/>
      <c r="O24" s="93"/>
      <c r="P24" s="93"/>
      <c r="Q24" s="166"/>
      <c r="R24" s="93"/>
    </row>
    <row r="25" spans="1:18" ht="163.19999999999999">
      <c r="A25" s="92" t="s">
        <v>233</v>
      </c>
      <c r="B25" s="92" t="s">
        <v>261</v>
      </c>
      <c r="C25" s="91" t="s">
        <v>262</v>
      </c>
      <c r="D25" s="92" t="s">
        <v>236</v>
      </c>
      <c r="E25" s="68"/>
      <c r="F25" s="92"/>
      <c r="G25" s="92"/>
      <c r="H25" s="92" t="s">
        <v>466</v>
      </c>
      <c r="I25" s="93"/>
      <c r="J25" s="93"/>
      <c r="K25" s="166"/>
      <c r="L25" s="51"/>
      <c r="M25" s="93"/>
      <c r="N25" s="166"/>
      <c r="O25" s="93"/>
      <c r="P25" s="93"/>
      <c r="Q25" s="166"/>
      <c r="R25" s="93"/>
    </row>
    <row r="26" spans="1:18" ht="111.9" customHeight="1">
      <c r="A26" s="92" t="s">
        <v>233</v>
      </c>
      <c r="B26" s="92" t="s">
        <v>263</v>
      </c>
      <c r="C26" s="91" t="s">
        <v>264</v>
      </c>
      <c r="D26" s="92" t="s">
        <v>236</v>
      </c>
      <c r="E26" s="68"/>
      <c r="F26" s="92"/>
      <c r="G26" s="92"/>
      <c r="H26" s="92" t="s">
        <v>466</v>
      </c>
      <c r="I26" s="93"/>
      <c r="J26" s="93"/>
      <c r="K26" s="166"/>
      <c r="L26" s="51"/>
      <c r="M26" s="93"/>
      <c r="N26" s="166"/>
      <c r="O26" s="93"/>
      <c r="P26" s="93"/>
      <c r="Q26" s="166"/>
      <c r="R26" s="93"/>
    </row>
    <row r="27" spans="1:18" ht="40.799999999999997">
      <c r="A27" s="92" t="s">
        <v>233</v>
      </c>
      <c r="B27" s="92" t="s">
        <v>265</v>
      </c>
      <c r="C27" s="91" t="s">
        <v>266</v>
      </c>
      <c r="D27" s="92" t="s">
        <v>41</v>
      </c>
      <c r="E27" s="68"/>
      <c r="F27" s="92"/>
      <c r="G27" s="92"/>
      <c r="H27" s="92" t="s">
        <v>466</v>
      </c>
      <c r="I27" s="93"/>
      <c r="J27" s="93"/>
      <c r="K27" s="166"/>
      <c r="L27" s="51"/>
      <c r="M27" s="93"/>
      <c r="N27" s="166"/>
      <c r="O27" s="93"/>
      <c r="P27" s="93"/>
      <c r="Q27" s="166"/>
      <c r="R27" s="93"/>
    </row>
    <row r="28" spans="1:18" ht="40.799999999999997">
      <c r="A28" s="92" t="s">
        <v>233</v>
      </c>
      <c r="B28" s="92" t="s">
        <v>267</v>
      </c>
      <c r="C28" s="91" t="s">
        <v>268</v>
      </c>
      <c r="D28" s="92" t="s">
        <v>41</v>
      </c>
      <c r="E28" s="68"/>
      <c r="F28" s="92"/>
      <c r="G28" s="92"/>
      <c r="H28" s="92" t="s">
        <v>466</v>
      </c>
      <c r="I28" s="93"/>
      <c r="J28" s="93"/>
      <c r="K28" s="166"/>
      <c r="L28" s="51"/>
      <c r="M28" s="93"/>
      <c r="N28" s="166"/>
      <c r="O28" s="93"/>
      <c r="P28" s="93"/>
      <c r="Q28" s="166"/>
      <c r="R28" s="93"/>
    </row>
    <row r="29" spans="1:18" ht="40.799999999999997">
      <c r="A29" s="92" t="s">
        <v>233</v>
      </c>
      <c r="B29" s="92" t="s">
        <v>269</v>
      </c>
      <c r="C29" s="91" t="s">
        <v>270</v>
      </c>
      <c r="D29" s="92" t="s">
        <v>213</v>
      </c>
      <c r="E29" s="68"/>
      <c r="F29" s="92"/>
      <c r="G29" s="92"/>
      <c r="H29" s="92" t="s">
        <v>466</v>
      </c>
      <c r="I29" s="93"/>
      <c r="J29" s="93"/>
      <c r="K29" s="166"/>
      <c r="L29" s="51"/>
      <c r="M29" s="93"/>
      <c r="N29" s="166"/>
      <c r="O29" s="93"/>
      <c r="P29" s="93"/>
      <c r="Q29" s="166"/>
      <c r="R29" s="93"/>
    </row>
    <row r="30" spans="1:18" ht="51.9" customHeight="1">
      <c r="A30" s="92" t="s">
        <v>233</v>
      </c>
      <c r="B30" s="92" t="s">
        <v>271</v>
      </c>
      <c r="C30" s="91" t="s">
        <v>272</v>
      </c>
      <c r="D30" s="92" t="s">
        <v>213</v>
      </c>
      <c r="E30" s="68"/>
      <c r="F30" s="92"/>
      <c r="G30" s="92"/>
      <c r="H30" s="92" t="s">
        <v>466</v>
      </c>
      <c r="I30" s="93"/>
      <c r="J30" s="93"/>
      <c r="K30" s="166"/>
      <c r="L30" s="51"/>
      <c r="M30" s="93"/>
      <c r="N30" s="166"/>
      <c r="O30" s="93"/>
      <c r="P30" s="93"/>
      <c r="Q30" s="166"/>
      <c r="R30" s="93"/>
    </row>
    <row r="31" spans="1:18" ht="183.6">
      <c r="A31" s="91" t="s">
        <v>273</v>
      </c>
      <c r="B31" s="92" t="s">
        <v>274</v>
      </c>
      <c r="C31" s="95" t="s">
        <v>275</v>
      </c>
      <c r="D31" s="91" t="s">
        <v>276</v>
      </c>
      <c r="E31" s="68"/>
      <c r="F31" s="92"/>
      <c r="G31" s="92"/>
      <c r="H31" s="92" t="s">
        <v>466</v>
      </c>
      <c r="I31" s="93"/>
      <c r="J31" s="93"/>
      <c r="K31" s="166"/>
      <c r="L31" s="51"/>
      <c r="M31" s="93"/>
      <c r="N31" s="166"/>
      <c r="O31" s="93"/>
      <c r="P31" s="93"/>
      <c r="Q31" s="166"/>
      <c r="R31" s="93"/>
    </row>
    <row r="32" spans="1:18" ht="40.799999999999997">
      <c r="A32" s="91" t="s">
        <v>273</v>
      </c>
      <c r="B32" s="92" t="s">
        <v>277</v>
      </c>
      <c r="C32" s="91" t="s">
        <v>278</v>
      </c>
      <c r="D32" s="92" t="s">
        <v>279</v>
      </c>
      <c r="E32" s="68"/>
      <c r="F32" s="92"/>
      <c r="G32" s="92"/>
      <c r="H32" s="92" t="s">
        <v>466</v>
      </c>
      <c r="I32" s="93"/>
      <c r="J32" s="93"/>
      <c r="K32" s="166"/>
      <c r="L32" s="51"/>
      <c r="M32" s="93"/>
      <c r="N32" s="166"/>
      <c r="O32" s="93"/>
      <c r="P32" s="93"/>
      <c r="Q32" s="166"/>
      <c r="R32" s="93"/>
    </row>
    <row r="33" spans="1:18" ht="40.799999999999997">
      <c r="A33" s="91" t="s">
        <v>273</v>
      </c>
      <c r="B33" s="92" t="s">
        <v>280</v>
      </c>
      <c r="C33" s="91" t="s">
        <v>281</v>
      </c>
      <c r="D33" s="92" t="s">
        <v>41</v>
      </c>
      <c r="E33" s="68"/>
      <c r="F33" s="92"/>
      <c r="G33" s="92"/>
      <c r="H33" s="92" t="s">
        <v>571</v>
      </c>
      <c r="I33" s="93"/>
      <c r="J33" s="187" t="s">
        <v>576</v>
      </c>
      <c r="K33" s="166"/>
      <c r="L33" s="51"/>
      <c r="M33" s="93"/>
      <c r="N33" s="166"/>
      <c r="O33" s="93"/>
      <c r="P33" s="93"/>
      <c r="Q33" s="166"/>
      <c r="R33" s="93"/>
    </row>
    <row r="34" spans="1:18" ht="40.799999999999997">
      <c r="A34" s="91" t="s">
        <v>273</v>
      </c>
      <c r="B34" s="92" t="s">
        <v>282</v>
      </c>
      <c r="C34" s="91" t="s">
        <v>283</v>
      </c>
      <c r="D34" s="92" t="s">
        <v>41</v>
      </c>
      <c r="E34" s="68"/>
      <c r="F34" s="92"/>
      <c r="G34" s="92"/>
      <c r="H34" s="92" t="s">
        <v>571</v>
      </c>
      <c r="I34" s="93"/>
      <c r="J34" s="187" t="s">
        <v>576</v>
      </c>
      <c r="K34" s="166"/>
      <c r="L34" s="51"/>
      <c r="M34" s="93"/>
      <c r="N34" s="166"/>
      <c r="O34" s="93"/>
      <c r="P34" s="93"/>
      <c r="Q34" s="166"/>
      <c r="R34" s="93"/>
    </row>
    <row r="35" spans="1:18" ht="40.799999999999997">
      <c r="A35" s="91" t="s">
        <v>273</v>
      </c>
      <c r="B35" s="92" t="s">
        <v>284</v>
      </c>
      <c r="C35" s="91" t="s">
        <v>285</v>
      </c>
      <c r="D35" s="92" t="s">
        <v>286</v>
      </c>
      <c r="E35" s="68"/>
      <c r="F35" s="92"/>
      <c r="G35" s="92"/>
      <c r="H35" s="92" t="s">
        <v>571</v>
      </c>
      <c r="I35" s="93"/>
      <c r="J35" s="187" t="s">
        <v>576</v>
      </c>
      <c r="K35" s="166"/>
      <c r="L35" s="51"/>
      <c r="M35" s="93"/>
      <c r="N35" s="166"/>
      <c r="O35" s="93"/>
      <c r="P35" s="93"/>
      <c r="Q35" s="166"/>
      <c r="R35" s="93"/>
    </row>
    <row r="36" spans="1:18" ht="61.2">
      <c r="A36" s="91" t="s">
        <v>273</v>
      </c>
      <c r="B36" s="92" t="s">
        <v>287</v>
      </c>
      <c r="C36" s="91" t="s">
        <v>288</v>
      </c>
      <c r="D36" s="92" t="s">
        <v>289</v>
      </c>
      <c r="E36" s="68"/>
      <c r="F36" s="92"/>
      <c r="G36" s="92"/>
      <c r="H36" s="92" t="s">
        <v>571</v>
      </c>
      <c r="I36" s="93"/>
      <c r="J36" s="187" t="s">
        <v>576</v>
      </c>
      <c r="K36" s="166"/>
      <c r="L36" s="51"/>
      <c r="M36" s="93"/>
      <c r="N36" s="166"/>
      <c r="O36" s="93"/>
      <c r="P36" s="93"/>
      <c r="Q36" s="166"/>
      <c r="R36" s="93"/>
    </row>
    <row r="37" spans="1:18" ht="61.2">
      <c r="A37" s="91" t="s">
        <v>273</v>
      </c>
      <c r="B37" s="92" t="s">
        <v>290</v>
      </c>
      <c r="C37" s="91" t="s">
        <v>291</v>
      </c>
      <c r="D37" s="92" t="s">
        <v>292</v>
      </c>
      <c r="E37" s="68"/>
      <c r="F37" s="92"/>
      <c r="G37" s="92"/>
      <c r="H37" s="92" t="s">
        <v>571</v>
      </c>
      <c r="I37" s="93"/>
      <c r="J37" s="187" t="s">
        <v>576</v>
      </c>
      <c r="K37" s="166"/>
      <c r="L37" s="51"/>
      <c r="M37" s="93"/>
      <c r="N37" s="166"/>
      <c r="O37" s="93"/>
      <c r="P37" s="93"/>
      <c r="Q37" s="166"/>
      <c r="R37" s="93"/>
    </row>
    <row r="38" spans="1:18" ht="40.799999999999997">
      <c r="A38" s="91" t="s">
        <v>273</v>
      </c>
      <c r="B38" s="92" t="s">
        <v>293</v>
      </c>
      <c r="C38" s="91" t="s">
        <v>294</v>
      </c>
      <c r="D38" s="92" t="s">
        <v>289</v>
      </c>
      <c r="E38" s="68"/>
      <c r="F38" s="92"/>
      <c r="G38" s="92"/>
      <c r="H38" s="92" t="s">
        <v>571</v>
      </c>
      <c r="I38" s="93"/>
      <c r="J38" s="187" t="s">
        <v>576</v>
      </c>
      <c r="K38" s="166"/>
      <c r="L38" s="51"/>
      <c r="M38" s="93"/>
      <c r="N38" s="166"/>
      <c r="O38" s="93"/>
      <c r="P38" s="93"/>
      <c r="Q38" s="166"/>
      <c r="R38" s="93"/>
    </row>
    <row r="39" spans="1:18" ht="40.799999999999997">
      <c r="A39" s="91" t="s">
        <v>273</v>
      </c>
      <c r="B39" s="92" t="s">
        <v>295</v>
      </c>
      <c r="C39" s="91" t="s">
        <v>296</v>
      </c>
      <c r="D39" s="92" t="s">
        <v>289</v>
      </c>
      <c r="E39" s="68"/>
      <c r="F39" s="92"/>
      <c r="G39" s="92"/>
      <c r="H39" s="92" t="s">
        <v>571</v>
      </c>
      <c r="I39" s="93"/>
      <c r="J39" s="187" t="s">
        <v>576</v>
      </c>
      <c r="K39" s="166"/>
      <c r="L39" s="51"/>
      <c r="M39" s="93"/>
      <c r="N39" s="166"/>
      <c r="O39" s="93"/>
      <c r="P39" s="93"/>
      <c r="Q39" s="166"/>
      <c r="R39" s="93"/>
    </row>
    <row r="40" spans="1:18" ht="40.799999999999997">
      <c r="A40" s="91" t="s">
        <v>273</v>
      </c>
      <c r="B40" s="92" t="s">
        <v>297</v>
      </c>
      <c r="C40" s="91" t="s">
        <v>298</v>
      </c>
      <c r="D40" s="92" t="s">
        <v>41</v>
      </c>
      <c r="E40" s="68"/>
      <c r="F40" s="92"/>
      <c r="G40" s="92"/>
      <c r="H40" s="92" t="s">
        <v>466</v>
      </c>
      <c r="I40" s="93"/>
      <c r="J40" s="93"/>
      <c r="K40" s="166"/>
      <c r="L40" s="51"/>
      <c r="M40" s="93"/>
      <c r="N40" s="166"/>
      <c r="O40" s="93"/>
      <c r="P40" s="93"/>
      <c r="Q40" s="166"/>
      <c r="R40" s="93"/>
    </row>
    <row r="41" spans="1:18" ht="224.4">
      <c r="A41" s="91" t="s">
        <v>273</v>
      </c>
      <c r="B41" s="92" t="s">
        <v>299</v>
      </c>
      <c r="C41" s="95" t="s">
        <v>300</v>
      </c>
      <c r="D41" s="91" t="s">
        <v>301</v>
      </c>
      <c r="E41" s="68"/>
      <c r="F41" s="92"/>
      <c r="G41" s="92"/>
      <c r="H41" s="92" t="s">
        <v>466</v>
      </c>
      <c r="I41" s="93"/>
      <c r="J41" s="93"/>
      <c r="K41" s="166"/>
      <c r="L41" s="51"/>
      <c r="M41" s="93"/>
      <c r="N41" s="166"/>
      <c r="O41" s="93"/>
      <c r="P41" s="93"/>
      <c r="Q41" s="166"/>
      <c r="R41" s="93"/>
    </row>
    <row r="42" spans="1:18" ht="142.80000000000001">
      <c r="A42" s="91" t="s">
        <v>273</v>
      </c>
      <c r="B42" s="92" t="s">
        <v>302</v>
      </c>
      <c r="C42" s="94" t="s">
        <v>303</v>
      </c>
      <c r="D42" s="91" t="s">
        <v>304</v>
      </c>
      <c r="E42" s="68"/>
      <c r="F42" s="92"/>
      <c r="G42" s="92"/>
      <c r="H42" s="92" t="s">
        <v>466</v>
      </c>
      <c r="I42" s="93"/>
      <c r="J42" s="93"/>
      <c r="K42" s="166"/>
      <c r="L42" s="51"/>
      <c r="M42" s="93"/>
      <c r="N42" s="166"/>
      <c r="O42" s="93"/>
      <c r="P42" s="93"/>
      <c r="Q42" s="166"/>
      <c r="R42" s="93"/>
    </row>
    <row r="43" spans="1:18">
      <c r="A43" s="92" t="s">
        <v>42</v>
      </c>
      <c r="B43" s="92" t="s">
        <v>305</v>
      </c>
      <c r="C43" s="91" t="s">
        <v>306</v>
      </c>
      <c r="D43" s="92" t="s">
        <v>307</v>
      </c>
      <c r="E43" s="68"/>
      <c r="F43" s="92"/>
      <c r="G43" s="92"/>
      <c r="H43" s="92" t="s">
        <v>571</v>
      </c>
      <c r="I43" s="188"/>
      <c r="J43" s="188" t="s">
        <v>577</v>
      </c>
      <c r="K43" s="166"/>
      <c r="L43" s="51"/>
      <c r="M43" s="93"/>
      <c r="N43" s="166"/>
      <c r="O43" s="93"/>
      <c r="P43" s="93"/>
      <c r="Q43" s="166"/>
      <c r="R43" s="93"/>
    </row>
    <row r="44" spans="1:18" ht="103.5" customHeight="1">
      <c r="A44" s="92" t="s">
        <v>42</v>
      </c>
      <c r="B44" s="92" t="s">
        <v>308</v>
      </c>
      <c r="C44" s="91" t="s">
        <v>309</v>
      </c>
      <c r="D44" s="92" t="s">
        <v>219</v>
      </c>
      <c r="E44" s="68"/>
      <c r="F44" s="92"/>
      <c r="G44" s="92"/>
      <c r="H44" s="92" t="s">
        <v>466</v>
      </c>
      <c r="I44" s="93"/>
      <c r="J44" s="93"/>
      <c r="K44" s="166"/>
      <c r="L44" s="51"/>
      <c r="M44" s="93"/>
      <c r="N44" s="166"/>
      <c r="O44" s="93"/>
      <c r="P44" s="93"/>
      <c r="Q44" s="166"/>
      <c r="R44" s="93"/>
    </row>
    <row r="45" spans="1:18">
      <c r="A45" s="92" t="s">
        <v>42</v>
      </c>
      <c r="B45" s="92" t="s">
        <v>310</v>
      </c>
      <c r="C45" s="91" t="s">
        <v>311</v>
      </c>
      <c r="D45" s="92" t="s">
        <v>307</v>
      </c>
      <c r="E45" s="68"/>
      <c r="F45" s="92"/>
      <c r="G45" s="92"/>
      <c r="H45" s="92" t="s">
        <v>466</v>
      </c>
      <c r="I45" s="93"/>
      <c r="J45" s="93"/>
      <c r="K45" s="166"/>
      <c r="L45" s="51"/>
      <c r="M45" s="93"/>
      <c r="N45" s="166"/>
      <c r="O45" s="93"/>
      <c r="P45" s="93"/>
      <c r="Q45" s="166"/>
      <c r="R45" s="93"/>
    </row>
    <row r="46" spans="1:18" ht="183.6">
      <c r="A46" s="92" t="s">
        <v>42</v>
      </c>
      <c r="B46" s="92" t="s">
        <v>312</v>
      </c>
      <c r="C46" s="91" t="s">
        <v>313</v>
      </c>
      <c r="D46" s="92" t="s">
        <v>227</v>
      </c>
      <c r="E46" s="68"/>
      <c r="F46" s="92"/>
      <c r="G46" s="92"/>
      <c r="H46" s="92" t="s">
        <v>466</v>
      </c>
      <c r="I46" s="93"/>
      <c r="J46" s="93"/>
      <c r="K46" s="166"/>
      <c r="L46" s="51"/>
      <c r="M46" s="93"/>
      <c r="N46" s="166"/>
      <c r="O46" s="93"/>
      <c r="P46" s="93"/>
      <c r="Q46" s="166"/>
      <c r="R46" s="93"/>
    </row>
    <row r="47" spans="1:18" ht="204">
      <c r="A47" s="92" t="s">
        <v>42</v>
      </c>
      <c r="B47" s="92" t="s">
        <v>314</v>
      </c>
      <c r="C47" s="91" t="s">
        <v>315</v>
      </c>
      <c r="D47" s="91" t="s">
        <v>292</v>
      </c>
      <c r="E47" s="68"/>
      <c r="F47" s="92"/>
      <c r="G47" s="92"/>
      <c r="H47" s="92" t="s">
        <v>466</v>
      </c>
      <c r="I47" s="93"/>
      <c r="J47" s="93"/>
      <c r="K47" s="166"/>
      <c r="L47" s="51"/>
      <c r="M47" s="93"/>
      <c r="N47" s="166"/>
      <c r="O47" s="93"/>
      <c r="P47" s="93"/>
      <c r="Q47" s="166"/>
      <c r="R47" s="93"/>
    </row>
    <row r="48" spans="1:18" ht="40.799999999999997">
      <c r="A48" s="92" t="s">
        <v>42</v>
      </c>
      <c r="B48" s="92" t="s">
        <v>316</v>
      </c>
      <c r="C48" s="91" t="s">
        <v>317</v>
      </c>
      <c r="D48" s="92" t="s">
        <v>41</v>
      </c>
      <c r="E48" s="68"/>
      <c r="F48" s="92"/>
      <c r="G48" s="92"/>
      <c r="H48" s="92" t="s">
        <v>466</v>
      </c>
      <c r="I48" s="93"/>
      <c r="J48" s="93"/>
      <c r="K48" s="166"/>
      <c r="L48" s="51"/>
      <c r="M48" s="93"/>
      <c r="N48" s="166"/>
      <c r="O48" s="93"/>
      <c r="P48" s="93"/>
      <c r="Q48" s="166"/>
      <c r="R48" s="93"/>
    </row>
    <row r="49" spans="1:18" ht="61.2">
      <c r="A49" s="92" t="s">
        <v>42</v>
      </c>
      <c r="B49" s="92" t="s">
        <v>318</v>
      </c>
      <c r="C49" s="91" t="s">
        <v>319</v>
      </c>
      <c r="D49" s="92" t="s">
        <v>301</v>
      </c>
      <c r="E49" s="68"/>
      <c r="F49" s="92"/>
      <c r="G49" s="92"/>
      <c r="H49" s="92" t="s">
        <v>466</v>
      </c>
      <c r="I49" s="93"/>
      <c r="J49" s="93"/>
      <c r="K49" s="166"/>
      <c r="L49" s="51"/>
      <c r="M49" s="93"/>
      <c r="N49" s="166"/>
      <c r="O49" s="93"/>
      <c r="P49" s="93"/>
      <c r="Q49" s="166"/>
      <c r="R49" s="93"/>
    </row>
    <row r="50" spans="1:18" ht="40.799999999999997">
      <c r="A50" s="92" t="s">
        <v>42</v>
      </c>
      <c r="B50" s="92" t="s">
        <v>320</v>
      </c>
      <c r="C50" s="91" t="s">
        <v>321</v>
      </c>
      <c r="D50" s="92" t="s">
        <v>213</v>
      </c>
      <c r="E50" s="68"/>
      <c r="F50" s="92"/>
      <c r="G50" s="92"/>
      <c r="H50" s="92" t="s">
        <v>466</v>
      </c>
      <c r="I50" s="93"/>
      <c r="J50" s="93"/>
      <c r="K50" s="166"/>
      <c r="L50" s="51"/>
      <c r="M50" s="93"/>
      <c r="N50" s="166"/>
      <c r="O50" s="93"/>
      <c r="P50" s="93"/>
      <c r="Q50" s="166"/>
      <c r="R50" s="93"/>
    </row>
    <row r="51" spans="1:18" ht="102">
      <c r="A51" s="91" t="s">
        <v>42</v>
      </c>
      <c r="B51" s="92" t="s">
        <v>322</v>
      </c>
      <c r="C51" s="95" t="s">
        <v>323</v>
      </c>
      <c r="D51" s="92" t="s">
        <v>301</v>
      </c>
      <c r="E51" s="68"/>
      <c r="F51" s="96"/>
      <c r="G51" s="96"/>
      <c r="H51" s="92" t="s">
        <v>466</v>
      </c>
      <c r="I51" s="93"/>
      <c r="J51" s="93"/>
      <c r="K51" s="166"/>
      <c r="L51" s="51"/>
      <c r="M51" s="93"/>
      <c r="N51" s="166"/>
      <c r="O51" s="93"/>
      <c r="P51" s="93"/>
      <c r="Q51" s="166"/>
      <c r="R51" s="93"/>
    </row>
    <row r="52" spans="1:18" ht="40.799999999999997">
      <c r="A52" s="91" t="s">
        <v>42</v>
      </c>
      <c r="B52" s="92" t="s">
        <v>324</v>
      </c>
      <c r="C52" s="95" t="s">
        <v>325</v>
      </c>
      <c r="D52" s="92" t="s">
        <v>301</v>
      </c>
      <c r="E52" s="68"/>
      <c r="F52" s="96"/>
      <c r="G52" s="96"/>
      <c r="H52" s="92" t="s">
        <v>466</v>
      </c>
      <c r="I52" s="93"/>
      <c r="J52" s="93"/>
      <c r="K52" s="166"/>
      <c r="L52" s="51"/>
      <c r="M52" s="93"/>
      <c r="N52" s="166"/>
      <c r="O52" s="93"/>
      <c r="P52" s="93"/>
      <c r="Q52" s="166"/>
      <c r="R52" s="93"/>
    </row>
    <row r="53" spans="1:18" ht="178.5" customHeight="1">
      <c r="A53" s="91" t="s">
        <v>42</v>
      </c>
      <c r="B53" s="92" t="s">
        <v>326</v>
      </c>
      <c r="C53" s="95" t="s">
        <v>327</v>
      </c>
      <c r="D53" s="91" t="s">
        <v>328</v>
      </c>
      <c r="E53" s="68"/>
      <c r="F53" s="97"/>
      <c r="G53" s="96"/>
      <c r="H53" s="92" t="s">
        <v>466</v>
      </c>
      <c r="I53" s="93"/>
      <c r="J53" s="93"/>
      <c r="K53" s="166"/>
      <c r="L53" s="51"/>
      <c r="M53" s="93"/>
      <c r="N53" s="166"/>
      <c r="O53" s="93"/>
      <c r="P53" s="93"/>
      <c r="Q53" s="166"/>
      <c r="R53" s="93"/>
    </row>
    <row r="54" spans="1:18" ht="102">
      <c r="A54" s="91" t="s">
        <v>42</v>
      </c>
      <c r="B54" s="92" t="s">
        <v>329</v>
      </c>
      <c r="C54" s="95" t="s">
        <v>330</v>
      </c>
      <c r="D54" s="91" t="s">
        <v>41</v>
      </c>
      <c r="E54" s="68"/>
      <c r="F54" s="98"/>
      <c r="G54" s="98"/>
      <c r="H54" s="92" t="s">
        <v>466</v>
      </c>
      <c r="I54" s="93"/>
      <c r="J54" s="93"/>
      <c r="K54" s="166"/>
      <c r="L54" s="51"/>
      <c r="M54" s="93"/>
      <c r="N54" s="166"/>
      <c r="O54" s="93"/>
      <c r="P54" s="93"/>
      <c r="Q54" s="166"/>
      <c r="R54" s="93"/>
    </row>
    <row r="55" spans="1:18" ht="242.1" customHeight="1">
      <c r="A55" s="98" t="s">
        <v>42</v>
      </c>
      <c r="B55" s="92" t="s">
        <v>331</v>
      </c>
      <c r="C55" s="91" t="s">
        <v>332</v>
      </c>
      <c r="D55" s="92" t="s">
        <v>213</v>
      </c>
      <c r="E55" s="68"/>
      <c r="F55" s="98"/>
      <c r="G55" s="98"/>
      <c r="H55" s="92" t="s">
        <v>466</v>
      </c>
      <c r="I55" s="93"/>
      <c r="J55" s="93"/>
      <c r="K55" s="166"/>
      <c r="L55" s="51"/>
      <c r="M55" s="93"/>
      <c r="N55" s="166"/>
      <c r="O55" s="93"/>
      <c r="P55" s="93"/>
      <c r="Q55" s="166"/>
      <c r="R55" s="93"/>
    </row>
    <row r="56" spans="1:18" ht="61.2">
      <c r="A56" s="98" t="s">
        <v>42</v>
      </c>
      <c r="B56" s="92" t="s">
        <v>333</v>
      </c>
      <c r="C56" s="91" t="s">
        <v>334</v>
      </c>
      <c r="D56" s="92" t="s">
        <v>213</v>
      </c>
      <c r="E56" s="68"/>
      <c r="F56" s="98"/>
      <c r="G56" s="98"/>
      <c r="H56" s="92" t="s">
        <v>466</v>
      </c>
      <c r="I56" s="93"/>
      <c r="J56" s="93"/>
      <c r="K56" s="166"/>
      <c r="L56" s="51"/>
      <c r="M56" s="93"/>
      <c r="N56" s="166"/>
      <c r="O56" s="93"/>
      <c r="P56" s="93"/>
      <c r="Q56" s="166"/>
      <c r="R56" s="93"/>
    </row>
    <row r="57" spans="1:18" ht="40.799999999999997">
      <c r="A57" s="92" t="s">
        <v>335</v>
      </c>
      <c r="B57" s="92" t="s">
        <v>336</v>
      </c>
      <c r="C57" s="95" t="s">
        <v>337</v>
      </c>
      <c r="D57" s="92" t="s">
        <v>41</v>
      </c>
      <c r="E57" s="68"/>
      <c r="F57" s="98"/>
      <c r="G57" s="98"/>
      <c r="H57" s="92" t="s">
        <v>466</v>
      </c>
      <c r="I57" s="93"/>
      <c r="J57" s="93"/>
      <c r="K57" s="166"/>
      <c r="L57" s="51"/>
      <c r="M57" s="93"/>
      <c r="N57" s="166"/>
      <c r="O57" s="93"/>
      <c r="P57" s="93"/>
      <c r="Q57" s="166"/>
      <c r="R57" s="93"/>
    </row>
    <row r="58" spans="1:18" ht="75.900000000000006" customHeight="1">
      <c r="A58" s="92" t="s">
        <v>335</v>
      </c>
      <c r="B58" s="92" t="s">
        <v>338</v>
      </c>
      <c r="C58" s="95" t="s">
        <v>339</v>
      </c>
      <c r="D58" s="92" t="s">
        <v>41</v>
      </c>
      <c r="E58" s="68"/>
      <c r="F58" s="98"/>
      <c r="G58" s="98"/>
      <c r="H58" s="92" t="s">
        <v>466</v>
      </c>
      <c r="I58" s="93"/>
      <c r="J58" s="93"/>
      <c r="K58" s="166"/>
      <c r="L58" s="51"/>
      <c r="M58" s="93"/>
      <c r="N58" s="166"/>
      <c r="O58" s="93"/>
      <c r="P58" s="93"/>
      <c r="Q58" s="166"/>
      <c r="R58" s="93"/>
    </row>
    <row r="59" spans="1:18" ht="40.799999999999997">
      <c r="A59" s="92" t="s">
        <v>335</v>
      </c>
      <c r="B59" s="92" t="s">
        <v>340</v>
      </c>
      <c r="C59" s="95" t="s">
        <v>341</v>
      </c>
      <c r="D59" s="92" t="s">
        <v>41</v>
      </c>
      <c r="E59" s="68"/>
      <c r="F59" s="98"/>
      <c r="G59" s="98"/>
      <c r="H59" s="92" t="s">
        <v>466</v>
      </c>
      <c r="I59" s="93"/>
      <c r="J59" s="93"/>
      <c r="K59" s="166"/>
      <c r="L59" s="51"/>
      <c r="M59" s="93"/>
      <c r="N59" s="166"/>
      <c r="O59" s="93"/>
      <c r="P59" s="93"/>
      <c r="Q59" s="166"/>
      <c r="R59" s="93"/>
    </row>
    <row r="60" spans="1:18" ht="62.25" customHeight="1">
      <c r="A60" s="92" t="s">
        <v>335</v>
      </c>
      <c r="B60" s="92" t="s">
        <v>342</v>
      </c>
      <c r="C60" s="91" t="s">
        <v>343</v>
      </c>
      <c r="D60" s="92" t="s">
        <v>41</v>
      </c>
      <c r="E60" s="68"/>
      <c r="F60" s="98"/>
      <c r="G60" s="98"/>
      <c r="H60" s="92" t="s">
        <v>466</v>
      </c>
      <c r="I60" s="93"/>
      <c r="J60" s="189"/>
      <c r="K60" s="166"/>
      <c r="L60" s="51"/>
      <c r="M60" s="93"/>
      <c r="N60" s="166"/>
      <c r="O60" s="93"/>
      <c r="P60" s="93"/>
      <c r="Q60" s="166"/>
      <c r="R60" s="93"/>
    </row>
    <row r="61" spans="1:18" ht="222.75" customHeight="1">
      <c r="A61" s="92" t="s">
        <v>335</v>
      </c>
      <c r="B61" s="92" t="s">
        <v>344</v>
      </c>
      <c r="C61" s="91" t="s">
        <v>345</v>
      </c>
      <c r="D61" s="92" t="s">
        <v>41</v>
      </c>
      <c r="E61" s="68"/>
      <c r="F61" s="98"/>
      <c r="G61" s="98"/>
      <c r="H61" s="190" t="s">
        <v>571</v>
      </c>
      <c r="I61" s="93"/>
      <c r="J61" s="187" t="s">
        <v>576</v>
      </c>
      <c r="K61" s="166"/>
      <c r="L61" s="51"/>
      <c r="M61" s="93"/>
      <c r="N61" s="166"/>
      <c r="O61" s="93"/>
      <c r="P61" s="93"/>
      <c r="Q61" s="166"/>
      <c r="R61" s="93"/>
    </row>
    <row r="62" spans="1:18" ht="61.2">
      <c r="A62" s="92" t="s">
        <v>335</v>
      </c>
      <c r="B62" s="92" t="s">
        <v>346</v>
      </c>
      <c r="C62" s="91" t="s">
        <v>347</v>
      </c>
      <c r="D62" s="92" t="s">
        <v>301</v>
      </c>
      <c r="E62" s="68"/>
      <c r="F62" s="98"/>
      <c r="G62" s="98"/>
      <c r="H62" s="190" t="s">
        <v>571</v>
      </c>
      <c r="I62" s="93"/>
      <c r="J62" s="187" t="s">
        <v>576</v>
      </c>
      <c r="K62" s="166"/>
      <c r="L62" s="51"/>
      <c r="M62" s="93"/>
      <c r="N62" s="166"/>
      <c r="O62" s="93"/>
      <c r="P62" s="93"/>
      <c r="Q62" s="166"/>
      <c r="R62" s="93"/>
    </row>
    <row r="63" spans="1:18" ht="209.25" customHeight="1">
      <c r="A63" s="92" t="s">
        <v>335</v>
      </c>
      <c r="B63" s="92" t="s">
        <v>348</v>
      </c>
      <c r="C63" s="91" t="s">
        <v>349</v>
      </c>
      <c r="D63" s="92" t="s">
        <v>213</v>
      </c>
      <c r="E63" s="68"/>
      <c r="F63" s="98"/>
      <c r="G63" s="98"/>
      <c r="H63" s="92" t="s">
        <v>466</v>
      </c>
      <c r="I63" s="93"/>
      <c r="J63" s="93"/>
      <c r="K63" s="166"/>
      <c r="L63" s="51"/>
      <c r="M63" s="93"/>
      <c r="N63" s="166"/>
      <c r="O63" s="93"/>
      <c r="P63" s="93"/>
      <c r="Q63" s="166"/>
      <c r="R63" s="93"/>
    </row>
    <row r="64" spans="1:18" ht="81.599999999999994">
      <c r="A64" s="92" t="s">
        <v>335</v>
      </c>
      <c r="B64" s="92" t="s">
        <v>350</v>
      </c>
      <c r="C64" s="91" t="s">
        <v>351</v>
      </c>
      <c r="D64" s="92" t="s">
        <v>213</v>
      </c>
      <c r="E64" s="68"/>
      <c r="F64" s="98"/>
      <c r="G64" s="98"/>
      <c r="H64" s="92" t="s">
        <v>466</v>
      </c>
      <c r="I64" s="93"/>
      <c r="J64" s="93"/>
      <c r="K64" s="166"/>
      <c r="L64" s="51"/>
      <c r="M64" s="93"/>
      <c r="N64" s="166"/>
      <c r="O64" s="93"/>
      <c r="P64" s="93"/>
      <c r="Q64" s="166"/>
      <c r="R64" s="93"/>
    </row>
    <row r="65" spans="1:18" ht="285" customHeight="1">
      <c r="A65" s="92" t="s">
        <v>352</v>
      </c>
      <c r="B65" s="92" t="s">
        <v>353</v>
      </c>
      <c r="C65" s="91" t="s">
        <v>354</v>
      </c>
      <c r="D65" s="92" t="s">
        <v>289</v>
      </c>
      <c r="E65" s="68"/>
      <c r="F65" s="98"/>
      <c r="G65" s="98"/>
      <c r="H65" s="92" t="s">
        <v>466</v>
      </c>
      <c r="I65" s="93"/>
      <c r="J65" s="93"/>
      <c r="K65" s="166"/>
      <c r="L65" s="51"/>
      <c r="M65" s="93"/>
      <c r="N65" s="166"/>
      <c r="O65" s="93"/>
      <c r="P65" s="93"/>
      <c r="Q65" s="166"/>
      <c r="R65" s="93"/>
    </row>
    <row r="66" spans="1:18" ht="40.799999999999997">
      <c r="A66" s="92" t="s">
        <v>352</v>
      </c>
      <c r="B66" s="92" t="s">
        <v>355</v>
      </c>
      <c r="C66" s="91" t="s">
        <v>356</v>
      </c>
      <c r="D66" s="92" t="s">
        <v>292</v>
      </c>
      <c r="E66" s="68"/>
      <c r="F66" s="98"/>
      <c r="G66" s="98"/>
      <c r="H66" s="92" t="s">
        <v>466</v>
      </c>
      <c r="I66" s="98"/>
      <c r="J66" s="98"/>
      <c r="K66" s="166"/>
      <c r="L66" s="51"/>
      <c r="M66" s="98"/>
      <c r="N66" s="166"/>
      <c r="O66" s="93"/>
      <c r="P66" s="93"/>
      <c r="Q66" s="166"/>
      <c r="R66" s="93"/>
    </row>
    <row r="67" spans="1:18" ht="40.799999999999997">
      <c r="A67" s="92" t="s">
        <v>352</v>
      </c>
      <c r="B67" s="92" t="s">
        <v>357</v>
      </c>
      <c r="C67" s="95" t="s">
        <v>358</v>
      </c>
      <c r="D67" s="92" t="s">
        <v>279</v>
      </c>
      <c r="E67" s="68"/>
      <c r="F67" s="98"/>
      <c r="G67" s="98"/>
      <c r="H67" s="92" t="s">
        <v>466</v>
      </c>
      <c r="I67" s="98"/>
      <c r="J67" s="98"/>
      <c r="K67" s="166"/>
      <c r="L67" s="51"/>
      <c r="M67" s="98"/>
      <c r="N67" s="166"/>
      <c r="O67" s="93"/>
      <c r="P67" s="93"/>
      <c r="Q67" s="166"/>
      <c r="R67" s="93"/>
    </row>
    <row r="68" spans="1:18">
      <c r="A68" s="92" t="s">
        <v>352</v>
      </c>
      <c r="B68" s="92" t="s">
        <v>359</v>
      </c>
      <c r="C68" s="95" t="s">
        <v>360</v>
      </c>
      <c r="D68" s="92" t="s">
        <v>289</v>
      </c>
      <c r="E68" s="68"/>
      <c r="F68" s="98"/>
      <c r="G68" s="98"/>
      <c r="H68" s="92" t="s">
        <v>466</v>
      </c>
      <c r="I68" s="98"/>
      <c r="J68" s="98"/>
      <c r="K68" s="166"/>
      <c r="L68" s="51"/>
      <c r="M68" s="98"/>
      <c r="N68" s="166"/>
      <c r="O68" s="93"/>
      <c r="P68" s="93"/>
      <c r="Q68" s="166"/>
      <c r="R68" s="93"/>
    </row>
    <row r="69" spans="1:18" ht="40.799999999999997">
      <c r="A69" s="92" t="s">
        <v>352</v>
      </c>
      <c r="B69" s="92" t="s">
        <v>361</v>
      </c>
      <c r="C69" s="95" t="s">
        <v>362</v>
      </c>
      <c r="D69" s="92" t="s">
        <v>279</v>
      </c>
      <c r="E69" s="68"/>
      <c r="F69" s="98"/>
      <c r="G69" s="98"/>
      <c r="H69" s="92" t="s">
        <v>466</v>
      </c>
      <c r="I69" s="98"/>
      <c r="J69" s="98"/>
      <c r="K69" s="166"/>
      <c r="L69" s="51"/>
      <c r="M69" s="98"/>
      <c r="N69" s="166"/>
      <c r="O69" s="93"/>
      <c r="P69" s="93"/>
      <c r="Q69" s="166"/>
      <c r="R69" s="93"/>
    </row>
  </sheetData>
  <autoFilter ref="A3:R69" xr:uid="{00000000-0009-0000-0000-000005000000}"/>
  <mergeCells count="7">
    <mergeCell ref="B2:G2"/>
    <mergeCell ref="H2:J2"/>
    <mergeCell ref="K2:M2"/>
    <mergeCell ref="H1:M1"/>
    <mergeCell ref="N1:R1"/>
    <mergeCell ref="N2:P2"/>
    <mergeCell ref="Q2:R2"/>
  </mergeCells>
  <phoneticPr fontId="65" type="noConversion"/>
  <conditionalFormatting sqref="L4:L69">
    <cfRule type="cellIs" dxfId="37" priority="15" operator="equal">
      <formula>"Disagree"</formula>
    </cfRule>
    <cfRule type="cellIs" dxfId="36" priority="16" operator="equal">
      <formula>"Agree withe reserves"</formula>
    </cfRule>
    <cfRule type="cellIs" dxfId="35" priority="17" operator="equal">
      <formula>"Not applicable"</formula>
    </cfRule>
    <cfRule type="cellIs" dxfId="34" priority="18" operator="equal">
      <formula>" Disagree"</formula>
    </cfRule>
    <cfRule type="cellIs" dxfId="33" priority="19" operator="equal">
      <formula>"Agree with reserves"</formula>
    </cfRule>
    <cfRule type="cellIs" dxfId="32" priority="20" operator="equal">
      <formula>"Agree"</formula>
    </cfRule>
  </conditionalFormatting>
  <conditionalFormatting sqref="K4:K69">
    <cfRule type="cellIs" dxfId="31" priority="12" operator="equal">
      <formula>"R"</formula>
    </cfRule>
    <cfRule type="cellIs" dxfId="30" priority="13" operator="equal">
      <formula>"O"</formula>
    </cfRule>
    <cfRule type="cellIs" dxfId="29" priority="14" operator="equal">
      <formula>"G"</formula>
    </cfRule>
  </conditionalFormatting>
  <conditionalFormatting sqref="N4:N69">
    <cfRule type="cellIs" dxfId="28" priority="7" operator="equal">
      <formula>"R"</formula>
    </cfRule>
    <cfRule type="cellIs" dxfId="27" priority="8" operator="equal">
      <formula>"O"</formula>
    </cfRule>
    <cfRule type="cellIs" dxfId="26" priority="9" operator="equal">
      <formula>"G"</formula>
    </cfRule>
  </conditionalFormatting>
  <conditionalFormatting sqref="Q4:Q69">
    <cfRule type="cellIs" dxfId="25" priority="10" operator="equal">
      <formula>"NOK"</formula>
    </cfRule>
    <cfRule type="cellIs" dxfId="24" priority="11" operator="equal">
      <formula>"OK"</formula>
    </cfRule>
  </conditionalFormatting>
  <conditionalFormatting sqref="H4:H60 H63:H69">
    <cfRule type="cellIs" dxfId="23" priority="1" operator="equal">
      <formula>"Disagree"</formula>
    </cfRule>
    <cfRule type="cellIs" dxfId="22" priority="2" operator="equal">
      <formula>"Agree withe reserves"</formula>
    </cfRule>
    <cfRule type="cellIs" dxfId="21" priority="3" operator="equal">
      <formula>"Not applicable"</formula>
    </cfRule>
    <cfRule type="cellIs" dxfId="20" priority="4" operator="equal">
      <formula>" Disagree"</formula>
    </cfRule>
    <cfRule type="cellIs" dxfId="19" priority="5" operator="equal">
      <formula>"Agree with reserves"</formula>
    </cfRule>
    <cfRule type="cellIs" dxfId="18" priority="6" operator="equal">
      <formula>"Agree"</formula>
    </cfRule>
  </conditionalFormatting>
  <dataValidations count="5">
    <dataValidation type="list" allowBlank="1" showInputMessage="1" showErrorMessage="1" sqref="H4:H60 H63:H69" xr:uid="{00000000-0002-0000-0500-000000000000}">
      <formula1>"Agree, Agree with reserves, Disagree, Not applicable"</formula1>
    </dataValidation>
    <dataValidation type="list" allowBlank="1" showInputMessage="1" showErrorMessage="1" sqref="L4:L69" xr:uid="{00000000-0002-0000-0500-000001000000}">
      <formula1>"Agree, Disagree, Not applicable"</formula1>
    </dataValidation>
    <dataValidation type="list" allowBlank="1" showInputMessage="1" showErrorMessage="1" sqref="K4:K69 N4:N69" xr:uid="{00000000-0002-0000-0500-000002000000}">
      <formula1>"G,O,R"</formula1>
    </dataValidation>
    <dataValidation type="list" allowBlank="1" showInputMessage="1" showErrorMessage="1" sqref="Q4:Q69" xr:uid="{00000000-0002-0000-0500-000003000000}">
      <formula1>"OK,NOK"</formula1>
    </dataValidation>
    <dataValidation type="list" allowBlank="1" showInputMessage="1" showErrorMessage="1" sqref="E4:E69" xr:uid="{00000000-0002-0000-0500-000004000000}">
      <formula1>"Y,N,Mandatory"</formula1>
    </dataValidation>
  </dataValidations>
  <pageMargins left="0.25" right="0.25" top="0.75" bottom="0.75" header="0.3" footer="0.3"/>
  <pageSetup paperSize="8" scale="64"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7" tint="0.59999389629810485"/>
    <pageSetUpPr fitToPage="1"/>
  </sheetPr>
  <dimension ref="A1:Q17"/>
  <sheetViews>
    <sheetView zoomScale="85" zoomScaleNormal="85" workbookViewId="0">
      <pane xSplit="2" ySplit="2" topLeftCell="C3" activePane="bottomRight" state="frozen"/>
      <selection pane="topRight" activeCell="C1" sqref="C1"/>
      <selection pane="bottomLeft" activeCell="A2" sqref="A2"/>
      <selection pane="bottomRight" activeCell="C9" sqref="C9"/>
    </sheetView>
  </sheetViews>
  <sheetFormatPr baseColWidth="10" defaultColWidth="11.33203125" defaultRowHeight="14.4"/>
  <cols>
    <col min="1" max="1" width="23" style="37" customWidth="1"/>
    <col min="2" max="2" width="21.21875" style="39" customWidth="1"/>
    <col min="3" max="3" width="90.33203125" style="37" customWidth="1"/>
    <col min="4" max="6" width="11.33203125" style="37"/>
    <col min="7" max="7" width="22.6640625" style="37" customWidth="1"/>
    <col min="8" max="8" width="14.21875" style="37" customWidth="1"/>
    <col min="9" max="9" width="16.21875" style="37" customWidth="1"/>
    <col min="10" max="10" width="11.33203125" style="37"/>
    <col min="11" max="11" width="13.88671875" style="37" customWidth="1"/>
    <col min="12" max="12" width="11.33203125" style="37"/>
    <col min="13" max="13" width="12.21875" style="37" customWidth="1"/>
    <col min="14" max="16384" width="11.33203125" style="37"/>
  </cols>
  <sheetData>
    <row r="1" spans="1:17" ht="18">
      <c r="H1" s="220" t="s">
        <v>50</v>
      </c>
      <c r="I1" s="221"/>
      <c r="J1" s="221"/>
      <c r="K1" s="222" t="s">
        <v>123</v>
      </c>
      <c r="L1" s="223"/>
      <c r="M1" s="224"/>
      <c r="Q1" s="66" t="s">
        <v>111</v>
      </c>
    </row>
    <row r="2" spans="1:17" s="34" customFormat="1" ht="37.799999999999997">
      <c r="A2" s="65" t="s">
        <v>178</v>
      </c>
      <c r="B2" s="65" t="s">
        <v>179</v>
      </c>
      <c r="C2" s="65" t="s">
        <v>3</v>
      </c>
      <c r="D2" s="65" t="s">
        <v>117</v>
      </c>
      <c r="E2" s="65" t="s">
        <v>110</v>
      </c>
      <c r="F2" s="33" t="s">
        <v>116</v>
      </c>
      <c r="G2" s="65" t="s">
        <v>119</v>
      </c>
      <c r="H2" s="48" t="s">
        <v>51</v>
      </c>
      <c r="I2" s="48" t="s">
        <v>52</v>
      </c>
      <c r="J2" s="48" t="s">
        <v>53</v>
      </c>
      <c r="K2" s="49" t="s">
        <v>54</v>
      </c>
      <c r="L2" s="49" t="s">
        <v>51</v>
      </c>
      <c r="M2" s="49" t="s">
        <v>55</v>
      </c>
      <c r="Q2" s="67" t="s">
        <v>40</v>
      </c>
    </row>
    <row r="3" spans="1:17" ht="126" customHeight="1">
      <c r="A3" s="35" t="s">
        <v>176</v>
      </c>
      <c r="B3" s="36" t="s">
        <v>548</v>
      </c>
      <c r="C3" s="64" t="s">
        <v>200</v>
      </c>
      <c r="D3" s="36" t="s">
        <v>558</v>
      </c>
      <c r="E3" s="68"/>
      <c r="F3" s="35"/>
      <c r="G3" s="35"/>
      <c r="H3" s="51" t="s">
        <v>466</v>
      </c>
      <c r="I3" s="52"/>
      <c r="J3" s="52"/>
      <c r="K3" s="46"/>
      <c r="L3" s="51"/>
      <c r="M3" s="52"/>
    </row>
    <row r="4" spans="1:17" ht="48" customHeight="1">
      <c r="A4" s="35" t="s">
        <v>176</v>
      </c>
      <c r="B4" s="36" t="s">
        <v>549</v>
      </c>
      <c r="C4" s="64" t="s">
        <v>103</v>
      </c>
      <c r="D4" s="36" t="s">
        <v>558</v>
      </c>
      <c r="E4" s="68"/>
      <c r="F4" s="35"/>
      <c r="G4" s="35"/>
      <c r="H4" s="51" t="s">
        <v>466</v>
      </c>
      <c r="I4" s="52"/>
      <c r="J4" s="52"/>
      <c r="K4" s="46"/>
      <c r="L4" s="51"/>
      <c r="M4" s="52"/>
    </row>
    <row r="5" spans="1:17" ht="77.25" customHeight="1">
      <c r="A5" s="35" t="s">
        <v>176</v>
      </c>
      <c r="B5" s="36" t="s">
        <v>550</v>
      </c>
      <c r="C5" s="64" t="s">
        <v>104</v>
      </c>
      <c r="D5" s="36" t="s">
        <v>558</v>
      </c>
      <c r="E5" s="68"/>
      <c r="F5" s="35"/>
      <c r="G5" s="35"/>
      <c r="H5" s="51" t="s">
        <v>466</v>
      </c>
      <c r="I5" s="52"/>
      <c r="J5" s="52"/>
      <c r="K5" s="46"/>
      <c r="L5" s="51"/>
      <c r="M5" s="52"/>
    </row>
    <row r="6" spans="1:17" ht="96.6" customHeight="1">
      <c r="A6" s="35" t="s">
        <v>176</v>
      </c>
      <c r="B6" s="36" t="s">
        <v>551</v>
      </c>
      <c r="C6" s="64" t="s">
        <v>198</v>
      </c>
      <c r="D6" s="36" t="s">
        <v>558</v>
      </c>
      <c r="E6" s="68"/>
      <c r="F6" s="35"/>
      <c r="G6" s="35"/>
      <c r="H6" s="51" t="s">
        <v>571</v>
      </c>
      <c r="J6" s="191" t="s">
        <v>578</v>
      </c>
      <c r="K6" s="46"/>
      <c r="L6" s="51"/>
      <c r="M6" s="52"/>
    </row>
    <row r="7" spans="1:17" ht="48" customHeight="1">
      <c r="A7" s="35" t="s">
        <v>176</v>
      </c>
      <c r="B7" s="36" t="s">
        <v>552</v>
      </c>
      <c r="C7" s="64" t="s">
        <v>105</v>
      </c>
      <c r="D7" s="36" t="s">
        <v>558</v>
      </c>
      <c r="E7" s="68"/>
      <c r="F7" s="35"/>
      <c r="G7" s="35"/>
      <c r="H7" s="51" t="s">
        <v>466</v>
      </c>
      <c r="I7" s="52"/>
      <c r="J7" s="52"/>
      <c r="K7" s="46"/>
      <c r="L7" s="51"/>
      <c r="M7" s="52"/>
    </row>
    <row r="8" spans="1:17" ht="64.5" customHeight="1">
      <c r="A8" s="35" t="s">
        <v>176</v>
      </c>
      <c r="B8" s="36" t="s">
        <v>553</v>
      </c>
      <c r="C8" s="64" t="s">
        <v>106</v>
      </c>
      <c r="D8" s="36" t="s">
        <v>558</v>
      </c>
      <c r="E8" s="68"/>
      <c r="F8" s="35"/>
      <c r="G8" s="35"/>
      <c r="H8" s="51" t="s">
        <v>466</v>
      </c>
      <c r="I8" s="52"/>
      <c r="J8" s="52"/>
      <c r="K8" s="46"/>
      <c r="L8" s="51"/>
      <c r="M8" s="52"/>
    </row>
    <row r="9" spans="1:17" ht="103.5" customHeight="1">
      <c r="A9" s="35" t="s">
        <v>177</v>
      </c>
      <c r="B9" s="36" t="s">
        <v>554</v>
      </c>
      <c r="C9" s="64" t="s">
        <v>199</v>
      </c>
      <c r="D9" s="36" t="s">
        <v>558</v>
      </c>
      <c r="E9" s="68"/>
      <c r="F9" s="35"/>
      <c r="G9" s="35"/>
      <c r="H9" s="51" t="s">
        <v>466</v>
      </c>
      <c r="I9" s="192"/>
      <c r="J9" s="52" t="s">
        <v>579</v>
      </c>
      <c r="K9" s="46"/>
      <c r="L9" s="51"/>
      <c r="M9" s="52"/>
    </row>
    <row r="10" spans="1:17" ht="48" customHeight="1">
      <c r="A10" s="35" t="s">
        <v>177</v>
      </c>
      <c r="B10" s="36" t="s">
        <v>555</v>
      </c>
      <c r="C10" s="64" t="s">
        <v>103</v>
      </c>
      <c r="D10" s="36" t="s">
        <v>558</v>
      </c>
      <c r="E10" s="68"/>
      <c r="F10" s="35"/>
      <c r="G10" s="35"/>
      <c r="H10" s="51" t="s">
        <v>466</v>
      </c>
      <c r="I10" s="52"/>
      <c r="J10" s="52" t="s">
        <v>580</v>
      </c>
      <c r="K10" s="46"/>
      <c r="L10" s="51"/>
      <c r="M10" s="52"/>
    </row>
    <row r="11" spans="1:17" ht="61.5" customHeight="1">
      <c r="A11" s="35" t="s">
        <v>176</v>
      </c>
      <c r="B11" s="36" t="s">
        <v>556</v>
      </c>
      <c r="C11" s="64" t="s">
        <v>107</v>
      </c>
      <c r="D11" s="36" t="s">
        <v>558</v>
      </c>
      <c r="E11" s="68"/>
      <c r="F11" s="35"/>
      <c r="G11" s="35"/>
      <c r="H11" s="51" t="s">
        <v>466</v>
      </c>
      <c r="I11" s="52"/>
      <c r="J11" s="52" t="s">
        <v>581</v>
      </c>
      <c r="K11" s="46"/>
      <c r="L11" s="51"/>
      <c r="M11" s="52"/>
    </row>
    <row r="12" spans="1:17" ht="48" customHeight="1">
      <c r="A12" s="35" t="s">
        <v>177</v>
      </c>
      <c r="B12" s="36" t="s">
        <v>557</v>
      </c>
      <c r="C12" s="64" t="s">
        <v>106</v>
      </c>
      <c r="D12" s="36" t="s">
        <v>558</v>
      </c>
      <c r="E12" s="68"/>
      <c r="F12" s="35"/>
      <c r="G12" s="35"/>
      <c r="H12" s="51" t="s">
        <v>466</v>
      </c>
      <c r="I12" s="52"/>
      <c r="J12" s="52" t="s">
        <v>579</v>
      </c>
      <c r="K12" s="46"/>
      <c r="L12" s="51"/>
      <c r="M12" s="52"/>
    </row>
    <row r="13" spans="1:17">
      <c r="A13" s="35"/>
      <c r="B13" s="36"/>
      <c r="C13" s="40"/>
      <c r="D13" s="35"/>
      <c r="E13" s="35"/>
      <c r="F13" s="35"/>
      <c r="G13" s="35"/>
      <c r="H13" s="51"/>
      <c r="I13" s="52"/>
      <c r="J13" s="52"/>
      <c r="K13" s="46"/>
      <c r="L13" s="51"/>
      <c r="M13" s="52"/>
    </row>
    <row r="14" spans="1:17">
      <c r="A14" s="35"/>
      <c r="B14" s="36"/>
      <c r="C14" s="40"/>
      <c r="D14" s="35"/>
      <c r="E14" s="35"/>
      <c r="F14" s="35"/>
      <c r="G14" s="35"/>
      <c r="H14" s="51"/>
      <c r="I14" s="52"/>
      <c r="J14" s="52"/>
      <c r="K14" s="46"/>
      <c r="L14" s="51"/>
      <c r="M14" s="52"/>
    </row>
    <row r="15" spans="1:17">
      <c r="A15" s="38"/>
      <c r="B15" s="36"/>
      <c r="C15" s="40"/>
      <c r="D15" s="38"/>
      <c r="E15" s="38"/>
      <c r="F15" s="38"/>
      <c r="G15" s="38"/>
      <c r="H15" s="51"/>
      <c r="I15" s="52"/>
      <c r="J15" s="52"/>
      <c r="K15" s="46"/>
      <c r="L15" s="51"/>
      <c r="M15" s="52"/>
    </row>
    <row r="16" spans="1:17">
      <c r="A16" s="38"/>
      <c r="B16" s="36"/>
      <c r="C16" s="42"/>
      <c r="D16" s="38"/>
      <c r="E16" s="38"/>
      <c r="F16" s="38"/>
      <c r="G16" s="38"/>
      <c r="H16" s="51"/>
      <c r="I16" s="52"/>
      <c r="J16" s="52"/>
      <c r="K16" s="46"/>
      <c r="L16" s="51"/>
      <c r="M16" s="52"/>
    </row>
    <row r="17" spans="1:13">
      <c r="A17" s="38"/>
      <c r="B17" s="36"/>
      <c r="C17" s="41"/>
      <c r="D17" s="38"/>
      <c r="E17" s="38"/>
      <c r="F17" s="38"/>
      <c r="G17" s="38"/>
      <c r="H17" s="51"/>
      <c r="I17" s="52"/>
      <c r="J17" s="52"/>
      <c r="K17" s="46"/>
      <c r="L17" s="51"/>
      <c r="M17" s="52"/>
    </row>
  </sheetData>
  <autoFilter ref="A2:G17" xr:uid="{00000000-0009-0000-0000-000006000000}"/>
  <mergeCells count="2">
    <mergeCell ref="H1:J1"/>
    <mergeCell ref="K1:M1"/>
  </mergeCells>
  <phoneticPr fontId="34" type="noConversion"/>
  <conditionalFormatting sqref="L10:L17 H13:H17 L3:L8">
    <cfRule type="cellIs" dxfId="17" priority="13" operator="equal">
      <formula>"Disagree"</formula>
    </cfRule>
    <cfRule type="cellIs" dxfId="16" priority="14" operator="equal">
      <formula>"Agree withe reserves"</formula>
    </cfRule>
    <cfRule type="cellIs" dxfId="15" priority="15" operator="equal">
      <formula>"Not applicable"</formula>
    </cfRule>
    <cfRule type="cellIs" dxfId="14" priority="16" operator="equal">
      <formula>" Disagree"</formula>
    </cfRule>
    <cfRule type="cellIs" dxfId="13" priority="17" operator="equal">
      <formula>"Agree with reserves"</formula>
    </cfRule>
    <cfRule type="cellIs" dxfId="12" priority="18" operator="equal">
      <formula>"Agree"</formula>
    </cfRule>
  </conditionalFormatting>
  <conditionalFormatting sqref="L9">
    <cfRule type="cellIs" dxfId="11" priority="7" operator="equal">
      <formula>"Disagree"</formula>
    </cfRule>
    <cfRule type="cellIs" dxfId="10" priority="8" operator="equal">
      <formula>"Agree withe reserves"</formula>
    </cfRule>
    <cfRule type="cellIs" dxfId="9" priority="9" operator="equal">
      <formula>"Not applicable"</formula>
    </cfRule>
    <cfRule type="cellIs" dxfId="8" priority="10" operator="equal">
      <formula>" Disagree"</formula>
    </cfRule>
    <cfRule type="cellIs" dxfId="7" priority="11" operator="equal">
      <formula>"Agree with reserves"</formula>
    </cfRule>
    <cfRule type="cellIs" dxfId="6" priority="12" operator="equal">
      <formula>"Agree"</formula>
    </cfRule>
  </conditionalFormatting>
  <conditionalFormatting sqref="H3:H12">
    <cfRule type="cellIs" dxfId="5" priority="1" operator="equal">
      <formula>"Disagree"</formula>
    </cfRule>
    <cfRule type="cellIs" dxfId="4" priority="2" operator="equal">
      <formula>"Agree withe reserves"</formula>
    </cfRule>
    <cfRule type="cellIs" dxfId="3" priority="3" operator="equal">
      <formula>"Not applicable"</formula>
    </cfRule>
    <cfRule type="cellIs" dxfId="2" priority="4" operator="equal">
      <formula>" Disagree"</formula>
    </cfRule>
    <cfRule type="cellIs" dxfId="1" priority="5" operator="equal">
      <formula>"Agree with reserves"</formula>
    </cfRule>
    <cfRule type="cellIs" dxfId="0" priority="6" operator="equal">
      <formula>"Agree"</formula>
    </cfRule>
  </conditionalFormatting>
  <dataValidations count="3">
    <dataValidation type="list" allowBlank="1" showInputMessage="1" showErrorMessage="1" sqref="H3:H17" xr:uid="{00000000-0002-0000-0600-000000000000}">
      <formula1>"Agree, Agree with reserves, Disagree, Not applicable"</formula1>
    </dataValidation>
    <dataValidation type="list" allowBlank="1" showInputMessage="1" showErrorMessage="1" sqref="L3:L17" xr:uid="{00000000-0002-0000-0600-000001000000}">
      <formula1>"Agree, Disagree, Not applicable"</formula1>
    </dataValidation>
    <dataValidation type="list" allowBlank="1" showInputMessage="1" showErrorMessage="1" sqref="E3:E12" xr:uid="{00000000-0002-0000-0600-000002000000}">
      <formula1>$Q$1:$Q$2</formula1>
    </dataValidation>
  </dataValidations>
  <pageMargins left="0.25" right="0.25" top="0.75" bottom="0.75" header="0.3" footer="0.3"/>
  <pageSetup paperSize="8" scale="64"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
  <dimension ref="A1:K27"/>
  <sheetViews>
    <sheetView tabSelected="1" workbookViewId="0">
      <selection activeCell="F33" sqref="F33"/>
    </sheetView>
  </sheetViews>
  <sheetFormatPr baseColWidth="10" defaultColWidth="10.88671875" defaultRowHeight="14.4"/>
  <cols>
    <col min="1" max="1" width="46.6640625" customWidth="1"/>
    <col min="2" max="2" width="2" customWidth="1"/>
    <col min="3" max="5" width="18.33203125" customWidth="1"/>
    <col min="6" max="6" width="11.21875" customWidth="1"/>
    <col min="7" max="7" width="18.33203125" customWidth="1"/>
    <col min="8" max="8" width="10.109375" customWidth="1"/>
    <col min="9" max="9" width="10.77734375" customWidth="1"/>
    <col min="10" max="10" width="1.21875" customWidth="1"/>
  </cols>
  <sheetData>
    <row r="1" spans="1:10" ht="15" thickBot="1"/>
    <row r="2" spans="1:10" ht="51.6">
      <c r="A2" s="3" t="s">
        <v>124</v>
      </c>
    </row>
    <row r="3" spans="1:10" ht="15" thickBot="1"/>
    <row r="4" spans="1:10" ht="27.75" customHeight="1">
      <c r="A4" s="3" t="s">
        <v>125</v>
      </c>
    </row>
    <row r="5" spans="1:10" ht="15" thickBot="1"/>
    <row r="6" spans="1:10" ht="25.8">
      <c r="A6" s="3" t="s">
        <v>38</v>
      </c>
    </row>
    <row r="9" spans="1:10">
      <c r="A9" t="s">
        <v>39</v>
      </c>
    </row>
    <row r="10" spans="1:10" ht="15" thickBot="1"/>
    <row r="11" spans="1:10" ht="15.6">
      <c r="A11" s="29" t="s">
        <v>37</v>
      </c>
    </row>
    <row r="12" spans="1:10">
      <c r="C12" s="7" t="s">
        <v>24</v>
      </c>
      <c r="D12" s="8" t="str">
        <f>psa_reference</f>
        <v>20931_26_00271</v>
      </c>
      <c r="E12" s="9"/>
      <c r="F12" s="10" t="s">
        <v>25</v>
      </c>
      <c r="G12" s="11" t="str">
        <f>psa_version</f>
        <v>0.2</v>
      </c>
      <c r="H12" s="9"/>
      <c r="I12" s="12"/>
    </row>
    <row r="13" spans="1:10" ht="24">
      <c r="C13" s="13" t="s">
        <v>26</v>
      </c>
      <c r="D13" s="14" t="str">
        <f>psa_titre</f>
        <v>APQP G1-17E ENG Specific Req</v>
      </c>
      <c r="E13" s="1"/>
      <c r="F13" s="15" t="s">
        <v>27</v>
      </c>
      <c r="G13" s="16" t="str">
        <f>psa_status</f>
        <v>brouillon</v>
      </c>
      <c r="I13" s="17"/>
      <c r="J13" s="18"/>
    </row>
    <row r="14" spans="1:10">
      <c r="C14" s="19" t="s">
        <v>28</v>
      </c>
      <c r="D14" s="16" t="str">
        <f>psa_communaute</f>
        <v>z - Ext amont Thème Conception et Développement 13</v>
      </c>
      <c r="F14" s="15" t="s">
        <v>29</v>
      </c>
      <c r="G14" s="16" t="str">
        <f>psa_type_doc</f>
        <v/>
      </c>
      <c r="I14" s="17"/>
      <c r="J14" s="18"/>
    </row>
    <row r="15" spans="1:10">
      <c r="C15" s="20"/>
      <c r="D15" s="16"/>
      <c r="I15" s="17"/>
      <c r="J15" s="18"/>
    </row>
    <row r="16" spans="1:10">
      <c r="C16" s="19" t="s">
        <v>30</v>
      </c>
      <c r="D16" s="16" t="str">
        <f>psa_auteur</f>
        <v xml:space="preserve">LE BLEGUET CHRISTOPHE - V178340 (TIANMA EUROPE GMBH) </v>
      </c>
      <c r="I16" s="17"/>
      <c r="J16" s="18"/>
    </row>
    <row r="17" spans="3:11">
      <c r="C17" s="19" t="s">
        <v>31</v>
      </c>
      <c r="D17" s="21" t="str">
        <f>psa_date_creation</f>
        <v>14/04/2026 16:01</v>
      </c>
      <c r="I17" s="17"/>
      <c r="J17" s="18"/>
    </row>
    <row r="18" spans="3:11">
      <c r="C18" s="19" t="s">
        <v>32</v>
      </c>
      <c r="D18" s="21" t="str">
        <f>psa_date_modification</f>
        <v>27/04/2026 13:58</v>
      </c>
      <c r="F18" s="28" t="s">
        <v>23</v>
      </c>
      <c r="I18" s="17"/>
      <c r="J18" s="18"/>
    </row>
    <row r="19" spans="3:11">
      <c r="C19" s="22"/>
      <c r="D19" s="16"/>
      <c r="I19" s="17"/>
      <c r="J19" s="18"/>
    </row>
    <row r="20" spans="3:11">
      <c r="C20" s="23" t="s">
        <v>33</v>
      </c>
      <c r="D20" s="16" t="str">
        <f>psa_niveau_confidentialite</f>
        <v>C1 - Public</v>
      </c>
      <c r="I20" s="17"/>
      <c r="J20" s="18"/>
    </row>
    <row r="21" spans="3:11">
      <c r="C21" s="23" t="s">
        <v>34</v>
      </c>
      <c r="D21" s="16">
        <v>0</v>
      </c>
      <c r="I21" s="17"/>
      <c r="J21" s="18"/>
    </row>
    <row r="22" spans="3:11">
      <c r="C22" s="24"/>
      <c r="I22" s="17"/>
      <c r="J22" s="18"/>
    </row>
    <row r="23" spans="3:11" ht="18.75" customHeight="1">
      <c r="C23" s="25" t="s">
        <v>35</v>
      </c>
      <c r="D23" s="242" t="str">
        <f>psa_commentaire</f>
        <v/>
      </c>
      <c r="E23" s="242"/>
      <c r="F23" s="242"/>
      <c r="G23" s="242"/>
      <c r="H23" s="242"/>
      <c r="I23" s="243"/>
      <c r="J23" s="18"/>
    </row>
    <row r="24" spans="3:11">
      <c r="C24" s="23"/>
      <c r="I24" s="17"/>
      <c r="J24" s="18"/>
    </row>
    <row r="25" spans="3:11">
      <c r="C25" s="26" t="s">
        <v>36</v>
      </c>
      <c r="D25" s="244" t="s">
        <v>121</v>
      </c>
      <c r="E25" s="245"/>
      <c r="F25" s="245"/>
      <c r="G25" s="245"/>
      <c r="H25" s="245"/>
      <c r="I25" s="246"/>
      <c r="J25" s="18"/>
    </row>
    <row r="26" spans="3:11" ht="6" customHeight="1">
      <c r="D26" s="18"/>
      <c r="E26" s="18"/>
      <c r="F26" s="18"/>
      <c r="G26" s="18"/>
      <c r="H26" s="18"/>
      <c r="I26" s="18"/>
      <c r="J26" s="18"/>
    </row>
    <row r="27" spans="3:11">
      <c r="H27" s="27"/>
      <c r="I27" s="27"/>
      <c r="J27" s="27"/>
      <c r="K27" s="27"/>
    </row>
  </sheetData>
  <mergeCells count="2">
    <mergeCell ref="D23:I23"/>
    <mergeCell ref="D25:I25"/>
  </mergeCells>
  <phoneticPr fontId="65" type="noConversion"/>
  <hyperlinks>
    <hyperlink ref="F18" r:id="rId1" xr:uid="{00000000-0004-0000-0700-000000000000}"/>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37780-23A7-4FE5-83E6-1527738061DD}">
  <dimension ref="A1:B25"/>
  <sheetViews>
    <sheetView workbookViewId="0">
      <selection activeCell="B25" sqref="B25"/>
    </sheetView>
  </sheetViews>
  <sheetFormatPr baseColWidth="10" defaultRowHeight="14.4"/>
  <sheetData>
    <row r="1" spans="1:2">
      <c r="A1" t="s">
        <v>4</v>
      </c>
      <c r="B1" s="5" t="s">
        <v>582</v>
      </c>
    </row>
    <row r="2" spans="1:2">
      <c r="A2" t="s">
        <v>5</v>
      </c>
      <c r="B2" s="5" t="s">
        <v>583</v>
      </c>
    </row>
    <row r="3" spans="1:2">
      <c r="A3" t="s">
        <v>7</v>
      </c>
      <c r="B3" s="5" t="s">
        <v>584</v>
      </c>
    </row>
    <row r="4" spans="1:2">
      <c r="A4" t="s">
        <v>8</v>
      </c>
      <c r="B4" s="5" t="s">
        <v>585</v>
      </c>
    </row>
    <row r="5" spans="1:2">
      <c r="A5" t="s">
        <v>9</v>
      </c>
      <c r="B5" s="5" t="s">
        <v>586</v>
      </c>
    </row>
    <row r="6" spans="1:2">
      <c r="A6" t="s">
        <v>10</v>
      </c>
      <c r="B6" s="5" t="s">
        <v>586</v>
      </c>
    </row>
    <row r="7" spans="1:2">
      <c r="A7" t="s">
        <v>11</v>
      </c>
      <c r="B7" s="5" t="s">
        <v>587</v>
      </c>
    </row>
    <row r="8" spans="1:2">
      <c r="A8" t="s">
        <v>12</v>
      </c>
      <c r="B8" s="5" t="s">
        <v>588</v>
      </c>
    </row>
    <row r="9" spans="1:2">
      <c r="A9" t="s">
        <v>13</v>
      </c>
      <c r="B9" s="5" t="s">
        <v>14</v>
      </c>
    </row>
    <row r="10" spans="1:2">
      <c r="A10" t="s">
        <v>15</v>
      </c>
      <c r="B10" s="5" t="s">
        <v>589</v>
      </c>
    </row>
    <row r="11" spans="1:2">
      <c r="A11" t="s">
        <v>16</v>
      </c>
      <c r="B11" s="5" t="s">
        <v>588</v>
      </c>
    </row>
    <row r="12" spans="1:2">
      <c r="A12" t="s">
        <v>17</v>
      </c>
      <c r="B12" s="5" t="s">
        <v>590</v>
      </c>
    </row>
    <row r="13" spans="1:2">
      <c r="A13" t="s">
        <v>18</v>
      </c>
      <c r="B13" s="5" t="s">
        <v>120</v>
      </c>
    </row>
    <row r="14" spans="1:2">
      <c r="A14" t="s">
        <v>19</v>
      </c>
      <c r="B14" s="5" t="s">
        <v>591</v>
      </c>
    </row>
    <row r="15" spans="1:2">
      <c r="A15" t="s">
        <v>20</v>
      </c>
      <c r="B15" s="5" t="s">
        <v>592</v>
      </c>
    </row>
    <row r="16" spans="1:2">
      <c r="A16" t="s">
        <v>21</v>
      </c>
      <c r="B16" s="5" t="s">
        <v>588</v>
      </c>
    </row>
    <row r="25" spans="1:2">
      <c r="A25" t="s">
        <v>22</v>
      </c>
      <c r="B25" s="6" t="s">
        <v>23</v>
      </c>
    </row>
  </sheetData>
  <hyperlinks>
    <hyperlink ref="B25" r:id="rId1" xr:uid="{B019A1F2-C7BD-4ADF-BAD9-C8D68FAC0226}"/>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Comments xmlns="4c2767fa-af50-448b-be2e-f65ce6607914" xsi:nil="true"/>
    <lcf76f155ced4ddcb4097134ff3c332f xmlns="4c2767fa-af50-448b-be2e-f65ce660791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91980C5C918C4684F59D2494840182" ma:contentTypeVersion="17" ma:contentTypeDescription="Create a new document." ma:contentTypeScope="" ma:versionID="c38c76a046081d84affea60e64f99f72">
  <xsd:schema xmlns:xsd="http://www.w3.org/2001/XMLSchema" xmlns:xs="http://www.w3.org/2001/XMLSchema" xmlns:p="http://schemas.microsoft.com/office/2006/metadata/properties" xmlns:ns2="4c2767fa-af50-448b-be2e-f65ce6607914" xmlns:ns3="8919c726-fcca-4e26-901c-b5f9cceed740" targetNamespace="http://schemas.microsoft.com/office/2006/metadata/properties" ma:root="true" ma:fieldsID="dbb023eab920653a5bf024a289815fc4" ns2:_="" ns3:_="">
    <xsd:import namespace="4c2767fa-af50-448b-be2e-f65ce6607914"/>
    <xsd:import namespace="8919c726-fcca-4e26-901c-b5f9cceed74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3:SharedWithUsers" minOccurs="0"/>
                <xsd:element ref="ns3:SharedWithDetails" minOccurs="0"/>
                <xsd:element ref="ns2:Comments" minOccurs="0"/>
                <xsd:element ref="ns2:MediaServiceBillingMetadata"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2767fa-af50-448b-be2e-f65ce66079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9247bebf-ce0e-4fa1-bae7-748a1283d6fa"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Comments" ma:index="21" nillable="true" ma:displayName="Comments" ma:format="Dropdown" ma:internalName="Comments">
      <xsd:simpleType>
        <xsd:restriction base="dms:Text">
          <xsd:maxLength value="255"/>
        </xsd:restriction>
      </xsd:simpleType>
    </xsd:element>
    <xsd:element name="MediaServiceBillingMetadata" ma:index="22" nillable="true" ma:displayName="MediaServiceBillingMetadata" ma:hidden="true" ma:internalName="MediaServiceBillingMetadata"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919c726-fcca-4e26-901c-b5f9cceed740"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D481049-F723-4978-B9EA-A917EFF956B1}">
  <ds:schemaRefs>
    <ds:schemaRef ds:uri="http://purl.org/dc/terms/"/>
    <ds:schemaRef ds:uri="http://purl.org/dc/dcmitype/"/>
    <ds:schemaRef ds:uri="8919c726-fcca-4e26-901c-b5f9cceed740"/>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4c2767fa-af50-448b-be2e-f65ce6607914"/>
    <ds:schemaRef ds:uri="http://purl.org/dc/elements/1.1/"/>
  </ds:schemaRefs>
</ds:datastoreItem>
</file>

<file path=customXml/itemProps2.xml><?xml version="1.0" encoding="utf-8"?>
<ds:datastoreItem xmlns:ds="http://schemas.openxmlformats.org/officeDocument/2006/customXml" ds:itemID="{0B9F3BAF-AFBB-4C91-A32A-F86B54B3DC37}"/>
</file>

<file path=customXml/itemProps3.xml><?xml version="1.0" encoding="utf-8"?>
<ds:datastoreItem xmlns:ds="http://schemas.openxmlformats.org/officeDocument/2006/customXml" ds:itemID="{37B10291-9ED1-4398-BA82-9C1CFE4B822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18</vt:i4>
      </vt:variant>
    </vt:vector>
  </HeadingPairs>
  <TitlesOfParts>
    <vt:vector size="27" baseType="lpstr">
      <vt:lpstr>Cover - History</vt:lpstr>
      <vt:lpstr>Template History</vt:lpstr>
      <vt:lpstr>How to use</vt:lpstr>
      <vt:lpstr>EE Generic List</vt:lpstr>
      <vt:lpstr>SW Generic List</vt:lpstr>
      <vt:lpstr>Connector Generic List</vt:lpstr>
      <vt:lpstr>Design Generic List</vt:lpstr>
      <vt:lpstr>Development</vt:lpstr>
      <vt:lpstr>psa_docinfo</vt:lpstr>
      <vt:lpstr>psa_auteur</vt:lpstr>
      <vt:lpstr>psa_commentaire</vt:lpstr>
      <vt:lpstr>psa_communaute</vt:lpstr>
      <vt:lpstr>psa_date_creation</vt:lpstr>
      <vt:lpstr>psa_date_modification</vt:lpstr>
      <vt:lpstr>psa_date_publication</vt:lpstr>
      <vt:lpstr>psa_emetteur</vt:lpstr>
      <vt:lpstr>psa_langue_principale</vt:lpstr>
      <vt:lpstr>psa_niveau_confidentialite</vt:lpstr>
      <vt:lpstr>psa_reference</vt:lpstr>
      <vt:lpstr>psa_status</vt:lpstr>
      <vt:lpstr>psa_titre</vt:lpstr>
      <vt:lpstr>psa_type_doc</vt:lpstr>
      <vt:lpstr>psa_url_fiche</vt:lpstr>
      <vt:lpstr>psa_url_modification</vt:lpstr>
      <vt:lpstr>psa_urlFiche</vt:lpstr>
      <vt:lpstr>psa_version</vt:lpstr>
      <vt:lpstr>'Cover - History'!Zone_d_impression</vt:lpstr>
    </vt:vector>
  </TitlesOfParts>
  <Company>PSA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 DE LANGLE - J508079</dc:creator>
  <cp:lastModifiedBy>PATRICK GARCIA</cp:lastModifiedBy>
  <dcterms:created xsi:type="dcterms:W3CDTF">2015-11-26T10:24:25Z</dcterms:created>
  <dcterms:modified xsi:type="dcterms:W3CDTF">2026-05-19T11:54:13Z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sa_titre">
    <vt:lpwstr>APQP G1-17E ENG Specific Req</vt:lpwstr>
  </property>
  <property fmtid="{D5CDD505-2E9C-101B-9397-08002B2CF9AE}" pid="3" name="psa_reference">
    <vt:lpwstr>20931_26_00271</vt:lpwstr>
  </property>
  <property fmtid="{D5CDD505-2E9C-101B-9397-08002B2CF9AE}" pid="4" name="psa_date_creation">
    <vt:lpwstr>14/04/2026 16:01</vt:lpwstr>
  </property>
  <property fmtid="{D5CDD505-2E9C-101B-9397-08002B2CF9AE}" pid="5" name="psa_date_modification">
    <vt:lpwstr>27/04/2026 13:58</vt:lpwstr>
  </property>
  <property fmtid="{D5CDD505-2E9C-101B-9397-08002B2CF9AE}" pid="6" name="psa_auteur">
    <vt:lpwstr>LE BLEGUET CHRISTOPHE - V178340 (TIANMA EUROPE GMBH) </vt:lpwstr>
  </property>
  <property fmtid="{D5CDD505-2E9C-101B-9397-08002B2CF9AE}" pid="7" name="psa_emetteur">
    <vt:lpwstr>LE BLEGUET CHRISTOPHE - V178340 (TIANMA EUROPE GMBH) </vt:lpwstr>
  </property>
  <property fmtid="{D5CDD505-2E9C-101B-9397-08002B2CF9AE}" pid="8" name="psa_version">
    <vt:lpwstr>0.2</vt:lpwstr>
  </property>
  <property fmtid="{D5CDD505-2E9C-101B-9397-08002B2CF9AE}" pid="9" name="psa_commentaire">
    <vt:lpwstr/>
  </property>
  <property fmtid="{D5CDD505-2E9C-101B-9397-08002B2CF9AE}" pid="10" name="psa_langue_principale">
    <vt:lpwstr>Français</vt:lpwstr>
  </property>
  <property fmtid="{D5CDD505-2E9C-101B-9397-08002B2CF9AE}" pid="11" name="psa_status">
    <vt:lpwstr>brouillon</vt:lpwstr>
  </property>
  <property fmtid="{D5CDD505-2E9C-101B-9397-08002B2CF9AE}" pid="12" name="psa_type_doc">
    <vt:lpwstr/>
  </property>
  <property fmtid="{D5CDD505-2E9C-101B-9397-08002B2CF9AE}" pid="13" name="psa_communaute">
    <vt:lpwstr>z - Ext amont Thème Conception et Développement 13</vt:lpwstr>
  </property>
  <property fmtid="{D5CDD505-2E9C-101B-9397-08002B2CF9AE}" pid="14" name="psa_niveau_confidentialite">
    <vt:lpwstr>C1 - Public</vt:lpwstr>
  </property>
  <property fmtid="{D5CDD505-2E9C-101B-9397-08002B2CF9AE}" pid="15" name="psa_url_fiche">
    <vt:lpwstr>https://docinfogroupe.inetpsa.com/ead/doc/ref.20931_26_00271/v.0.2</vt:lpwstr>
  </property>
  <property fmtid="{D5CDD505-2E9C-101B-9397-08002B2CF9AE}" pid="16" name="psa_url_modification">
    <vt:lpwstr>https://docinfogroupe.inetpsa.com/ead/doc/modif/ref.20931_26_00271/fiche</vt:lpwstr>
  </property>
  <property fmtid="{D5CDD505-2E9C-101B-9397-08002B2CF9AE}" pid="17" name="psa_date_publication">
    <vt:lpwstr/>
  </property>
  <property fmtid="{D5CDD505-2E9C-101B-9397-08002B2CF9AE}" pid="18" name="MSIP_Label_2fd53d93-3f4c-4b90-b511-bd6bdbb4fba9_Enabled">
    <vt:lpwstr>true</vt:lpwstr>
  </property>
  <property fmtid="{D5CDD505-2E9C-101B-9397-08002B2CF9AE}" pid="19" name="MSIP_Label_2fd53d93-3f4c-4b90-b511-bd6bdbb4fba9_SetDate">
    <vt:lpwstr>2021-01-18T16:21:40Z</vt:lpwstr>
  </property>
  <property fmtid="{D5CDD505-2E9C-101B-9397-08002B2CF9AE}" pid="20" name="MSIP_Label_2fd53d93-3f4c-4b90-b511-bd6bdbb4fba9_Method">
    <vt:lpwstr>Standard</vt:lpwstr>
  </property>
  <property fmtid="{D5CDD505-2E9C-101B-9397-08002B2CF9AE}" pid="21" name="MSIP_Label_2fd53d93-3f4c-4b90-b511-bd6bdbb4fba9_Name">
    <vt:lpwstr>2fd53d93-3f4c-4b90-b511-bd6bdbb4fba9</vt:lpwstr>
  </property>
  <property fmtid="{D5CDD505-2E9C-101B-9397-08002B2CF9AE}" pid="22" name="MSIP_Label_2fd53d93-3f4c-4b90-b511-bd6bdbb4fba9_SiteId">
    <vt:lpwstr>d852d5cd-724c-4128-8812-ffa5db3f8507</vt:lpwstr>
  </property>
  <property fmtid="{D5CDD505-2E9C-101B-9397-08002B2CF9AE}" pid="23" name="MSIP_Label_2fd53d93-3f4c-4b90-b511-bd6bdbb4fba9_ActionId">
    <vt:lpwstr/>
  </property>
  <property fmtid="{D5CDD505-2E9C-101B-9397-08002B2CF9AE}" pid="24" name="MSIP_Label_2fd53d93-3f4c-4b90-b511-bd6bdbb4fba9_ContentBits">
    <vt:lpwstr>0</vt:lpwstr>
  </property>
  <property fmtid="{D5CDD505-2E9C-101B-9397-08002B2CF9AE}" pid="25" name="ContentTypeId">
    <vt:lpwstr>0x0101005A91980C5C918C4684F59D2494840182</vt:lpwstr>
  </property>
  <property fmtid="{D5CDD505-2E9C-101B-9397-08002B2CF9AE}" pid="26" name="MediaServiceImageTags">
    <vt:lpwstr/>
  </property>
</Properties>
</file>