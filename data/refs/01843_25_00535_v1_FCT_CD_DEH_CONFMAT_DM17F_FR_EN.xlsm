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 ContentType="application/vnd.ms-powerpoint"/>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0_报价项目\06_S_DM12F\RFQ technical specification DM12F\004_FUNCTIONAL_&amp;_HMI_SPECIFICATIONS\3_CONFORMITY_MATRIX\"/>
    </mc:Choice>
  </mc:AlternateContent>
  <bookViews>
    <workbookView xWindow="14390" yWindow="-20" windowWidth="14430" windowHeight="11760" tabRatio="773" activeTab="1"/>
  </bookViews>
  <sheets>
    <sheet name="First page" sheetId="2" r:id="rId1"/>
    <sheet name="Application &amp; Conformity matrix" sheetId="1" r:id="rId2"/>
    <sheet name="Check" sheetId="8" r:id="rId3"/>
    <sheet name="Specific Parameters" sheetId="5" r:id="rId4"/>
    <sheet name="Help1" sheetId="3" r:id="rId5"/>
    <sheet name="Help2" sheetId="6" r:id="rId6"/>
    <sheet name="Audit_MDC" sheetId="9" r:id="rId7"/>
    <sheet name="CONFIG" sheetId="7" r:id="rId8"/>
  </sheets>
  <externalReferences>
    <externalReference r:id="rId9"/>
  </externalReferences>
  <definedNames>
    <definedName name="_xlnm._FilterDatabase" localSheetId="1" hidden="1">'Application &amp; Conformity matrix'!$A$36:$R$258</definedName>
    <definedName name="_xlnm._FilterDatabase" localSheetId="0" hidden="1">'First page'!#REF!</definedName>
    <definedName name="_Hlk194206330" localSheetId="1">'Application &amp; Conformity matrix'!#REF!</definedName>
    <definedName name="Liste1">[1]Version!$I$14:$I$16</definedName>
  </definedNames>
  <calcPr calcId="152511"/>
</workbook>
</file>

<file path=xl/calcChain.xml><?xml version="1.0" encoding="utf-8"?>
<calcChain xmlns="http://schemas.openxmlformats.org/spreadsheetml/2006/main">
  <c r="K33" i="1" l="1"/>
  <c r="K32" i="1"/>
  <c r="K31" i="1"/>
  <c r="L31" i="1" s="1"/>
  <c r="K30" i="1"/>
  <c r="L30" i="1" s="1"/>
  <c r="K29" i="1"/>
  <c r="K28" i="1"/>
  <c r="L32" i="1" l="1"/>
  <c r="L29" i="1"/>
  <c r="L28" i="1" s="1"/>
  <c r="L33" i="1"/>
  <c r="D43" i="2" l="1"/>
  <c r="F43" i="2"/>
</calcChain>
</file>

<file path=xl/sharedStrings.xml><?xml version="1.0" encoding="utf-8"?>
<sst xmlns="http://schemas.openxmlformats.org/spreadsheetml/2006/main" count="1359" uniqueCount="797">
  <si>
    <r>
      <t xml:space="preserve">La/Les matrices d'application/conformité sont référencées et stockées sous </t>
    </r>
    <r>
      <rPr>
        <b/>
        <sz val="10"/>
        <rFont val="Arial"/>
        <family val="2"/>
      </rPr>
      <t xml:space="preserve">DocInfo.
L'officialisation sous SAP </t>
    </r>
    <r>
      <rPr>
        <sz val="10"/>
        <rFont val="Arial"/>
        <family val="2"/>
      </rPr>
      <t xml:space="preserve">de l'ensemble des matrices d'application/conformité d'un organe avec une référence 98M est de la responsabilité du Chargé de développement. </t>
    </r>
  </si>
  <si>
    <t>La matrice d'application/conformité sera officialisée à chaque pack de livraison (envoi de spécifications) sous : 
- SAP par le Chargé de développement, 
- DocInfo (version publiée) par le rédacteur de la/des ST concernées</t>
  </si>
  <si>
    <r>
      <t xml:space="preserve">Nature des modifications / </t>
    </r>
    <r>
      <rPr>
        <sz val="10"/>
        <color indexed="12"/>
        <rFont val="Arial"/>
        <family val="2"/>
      </rPr>
      <t>Nature of the modifications</t>
    </r>
  </si>
  <si>
    <t>Les évolutions (dans les grandes lignes) sont mentionnées dans la colonne "Nature des modifications" à chaque diffusion du document vers le fournisseur.</t>
  </si>
  <si>
    <t>Liste de toutes les exigences d'une ou plusieurs ST Fonctionnelles applicables à l'organe</t>
  </si>
  <si>
    <t>Liste de toutes les exigences d'une ou plusieurs ST IHM applicables à l'organe</t>
  </si>
  <si>
    <t xml:space="preserve">Indique la version "réelle" de chaque exigence à la date de figeage des spécifications. </t>
  </si>
  <si>
    <t xml:space="preserve">Cette colonne permet de renseigner, à titre informatif uniquement, un extrait du descriptif de la dernière version de l'exigence. Le remplissage de cette colonne est optionnel et libre choix est donné au référent de la ST concernée de la renseigner ou non. </t>
  </si>
  <si>
    <r>
      <t>Référence/</t>
    </r>
    <r>
      <rPr>
        <b/>
        <sz val="10"/>
        <color indexed="12"/>
        <rFont val="Arial"/>
        <family val="2"/>
      </rPr>
      <t>Reference</t>
    </r>
    <r>
      <rPr>
        <b/>
        <sz val="10"/>
        <rFont val="Arial"/>
        <family val="2"/>
      </rPr>
      <t> :</t>
    </r>
  </si>
  <si>
    <r>
      <t>Nom/</t>
    </r>
    <r>
      <rPr>
        <sz val="10"/>
        <color indexed="12"/>
        <rFont val="Arial"/>
        <family val="2"/>
      </rPr>
      <t>Name</t>
    </r>
    <r>
      <rPr>
        <sz val="10"/>
        <rFont val="Arial"/>
        <family val="2"/>
      </rPr>
      <t xml:space="preserve"> : </t>
    </r>
  </si>
  <si>
    <r>
      <t>Date/</t>
    </r>
    <r>
      <rPr>
        <sz val="10"/>
        <color indexed="12"/>
        <rFont val="Arial"/>
        <family val="2"/>
      </rPr>
      <t>Date</t>
    </r>
    <r>
      <rPr>
        <sz val="10"/>
        <rFont val="Arial"/>
        <family val="2"/>
      </rPr>
      <t xml:space="preserve"> :</t>
    </r>
  </si>
  <si>
    <r>
      <t>Signature/</t>
    </r>
    <r>
      <rPr>
        <sz val="10"/>
        <color indexed="12"/>
        <rFont val="Arial"/>
        <family val="2"/>
      </rPr>
      <t>Signature</t>
    </r>
    <r>
      <rPr>
        <sz val="10"/>
        <rFont val="Arial"/>
        <family val="2"/>
      </rPr>
      <t xml:space="preserve"> :</t>
    </r>
  </si>
  <si>
    <r>
      <t>Entité/</t>
    </r>
    <r>
      <rPr>
        <sz val="10"/>
        <color indexed="12"/>
        <rFont val="Arial"/>
        <family val="2"/>
      </rPr>
      <t>Entity</t>
    </r>
    <r>
      <rPr>
        <sz val="10"/>
        <rFont val="Arial"/>
        <family val="2"/>
      </rPr>
      <t xml:space="preserve"> :</t>
    </r>
    <r>
      <rPr>
        <b/>
        <sz val="10"/>
        <rFont val="Arial"/>
        <family val="2"/>
      </rPr>
      <t xml:space="preserve"> </t>
    </r>
  </si>
  <si>
    <r>
      <t>Entité/</t>
    </r>
    <r>
      <rPr>
        <sz val="10"/>
        <color indexed="12"/>
        <rFont val="Arial"/>
        <family val="2"/>
      </rPr>
      <t>Entity</t>
    </r>
    <r>
      <rPr>
        <sz val="10"/>
        <rFont val="Arial"/>
        <family val="2"/>
      </rPr>
      <t xml:space="preserve"> :</t>
    </r>
    <r>
      <rPr>
        <b/>
        <sz val="10"/>
        <rFont val="Arial"/>
        <family val="2"/>
      </rPr>
      <t/>
    </r>
  </si>
  <si>
    <r>
      <t xml:space="preserve">Confidentialité / </t>
    </r>
    <r>
      <rPr>
        <sz val="8"/>
        <color indexed="12"/>
        <rFont val="Arial"/>
        <family val="2"/>
      </rPr>
      <t>Confidentiality</t>
    </r>
  </si>
  <si>
    <r>
      <t xml:space="preserve">Usage interne / 
</t>
    </r>
    <r>
      <rPr>
        <sz val="8"/>
        <color indexed="12"/>
        <rFont val="Arial"/>
        <family val="2"/>
      </rPr>
      <t>Internal use</t>
    </r>
  </si>
  <si>
    <r>
      <t xml:space="preserve">Découpage PSA / 
</t>
    </r>
    <r>
      <rPr>
        <sz val="8"/>
        <color indexed="12"/>
        <rFont val="Arial"/>
        <family val="2"/>
      </rPr>
      <t>PSA Breakdown</t>
    </r>
  </si>
  <si>
    <r>
      <t>Tout projet</t>
    </r>
    <r>
      <rPr>
        <b/>
        <sz val="9"/>
        <color indexed="12"/>
        <rFont val="Arial"/>
        <family val="2"/>
      </rPr>
      <t xml:space="preserve"> </t>
    </r>
    <r>
      <rPr>
        <b/>
        <sz val="9"/>
        <rFont val="Arial"/>
        <family val="2"/>
      </rPr>
      <t>/</t>
    </r>
    <r>
      <rPr>
        <b/>
        <sz val="9"/>
        <color indexed="12"/>
        <rFont val="Arial"/>
        <family val="2"/>
      </rPr>
      <t xml:space="preserve"> 
Any project</t>
    </r>
  </si>
  <si>
    <r>
      <t xml:space="preserve">Projet(s) / 
</t>
    </r>
    <r>
      <rPr>
        <sz val="8"/>
        <color indexed="12"/>
        <rFont val="Arial"/>
        <family val="2"/>
      </rPr>
      <t>Project(s)</t>
    </r>
  </si>
  <si>
    <r>
      <t xml:space="preserve">Site / 
</t>
    </r>
    <r>
      <rPr>
        <sz val="8"/>
        <color indexed="12"/>
        <rFont val="Arial"/>
        <family val="2"/>
      </rPr>
      <t>Site</t>
    </r>
  </si>
  <si>
    <r>
      <t xml:space="preserve">Page / 
</t>
    </r>
    <r>
      <rPr>
        <sz val="8"/>
        <color indexed="12"/>
        <rFont val="Arial"/>
        <family val="2"/>
      </rPr>
      <t>Page</t>
    </r>
  </si>
  <si>
    <r>
      <t xml:space="preserve">Version / 
</t>
    </r>
    <r>
      <rPr>
        <sz val="8"/>
        <color indexed="12"/>
        <rFont val="Arial"/>
        <family val="2"/>
      </rPr>
      <t>Version</t>
    </r>
  </si>
  <si>
    <r>
      <t xml:space="preserve">Référence / 
</t>
    </r>
    <r>
      <rPr>
        <sz val="8"/>
        <color indexed="12"/>
        <rFont val="Arial"/>
        <family val="2"/>
      </rPr>
      <t>Reference</t>
    </r>
  </si>
  <si>
    <r>
      <t xml:space="preserve">Rédacteur / </t>
    </r>
    <r>
      <rPr>
        <i/>
        <sz val="10"/>
        <color indexed="12"/>
        <rFont val="Arial"/>
        <family val="2"/>
      </rPr>
      <t>Writer</t>
    </r>
  </si>
  <si>
    <r>
      <t xml:space="preserve">Vérificateur / </t>
    </r>
    <r>
      <rPr>
        <i/>
        <sz val="10"/>
        <color indexed="12"/>
        <rFont val="Arial"/>
        <family val="2"/>
      </rPr>
      <t>Verifier</t>
    </r>
  </si>
  <si>
    <r>
      <t xml:space="preserve">Approbateur / </t>
    </r>
    <r>
      <rPr>
        <i/>
        <sz val="10"/>
        <color indexed="12"/>
        <rFont val="Arial"/>
        <family val="2"/>
      </rPr>
      <t>Approved by</t>
    </r>
  </si>
  <si>
    <t>/</t>
  </si>
  <si>
    <r>
      <t xml:space="preserve">Indice / </t>
    </r>
    <r>
      <rPr>
        <sz val="10"/>
        <color indexed="12"/>
        <rFont val="Arial"/>
        <family val="2"/>
      </rPr>
      <t>Index</t>
    </r>
  </si>
  <si>
    <r>
      <t xml:space="preserve">Date / </t>
    </r>
    <r>
      <rPr>
        <sz val="10"/>
        <color indexed="12"/>
        <rFont val="Arial"/>
        <family val="2"/>
      </rPr>
      <t>Date</t>
    </r>
  </si>
  <si>
    <r>
      <t xml:space="preserve">HISTORIQUE / </t>
    </r>
    <r>
      <rPr>
        <b/>
        <u/>
        <sz val="10"/>
        <color indexed="12"/>
        <rFont val="Arial"/>
        <family val="2"/>
      </rPr>
      <t>HISTORY</t>
    </r>
  </si>
  <si>
    <r>
      <t xml:space="preserve">Erreur de régression dans la version de l'exigence/document par rapport à la précédente livraison
</t>
    </r>
    <r>
      <rPr>
        <sz val="8"/>
        <color indexed="12"/>
        <rFont val="Arial"/>
        <family val="2"/>
      </rPr>
      <t>Error of regression in the version of the requirement/document compared to the preceding consignment</t>
    </r>
  </si>
  <si>
    <r>
      <t xml:space="preserve">Exigence/document supprimé ou non applicable
</t>
    </r>
    <r>
      <rPr>
        <sz val="8"/>
        <color indexed="12"/>
        <rFont val="Arial"/>
        <family val="2"/>
      </rPr>
      <t xml:space="preserve">Requirement/document not applicable or removed </t>
    </r>
  </si>
  <si>
    <r>
      <t xml:space="preserve">Evolution de la version d'exigence/document par rapport à la précédente livraison
</t>
    </r>
    <r>
      <rPr>
        <sz val="8"/>
        <color indexed="12"/>
        <rFont val="Arial"/>
        <family val="2"/>
      </rPr>
      <t>Evolution of the version of requirement/document compared to the preceding consignment</t>
    </r>
  </si>
  <si>
    <t>Elle permet de centraliser dans un ou plusieurs fichiers l'ensemble des exigences et documents applicables à un organe/projet donné et également d'avoir un retour de la part du fournisseur sur la conformité et la validation de chacune de ces exigences/documents.</t>
  </si>
  <si>
    <r>
      <t xml:space="preserve">La syntaxe du fichier informatique sera la suivante : 
</t>
    </r>
    <r>
      <rPr>
        <b/>
        <sz val="10"/>
        <rFont val="Arial"/>
        <family val="2"/>
      </rPr>
      <t>xxxxx_xx_xxxxx_v1_Matrice_application_conformité_specifications_FUNCTIONy_DEVICEz.xls</t>
    </r>
  </si>
  <si>
    <t>Libellés</t>
  </si>
  <si>
    <t>GEN</t>
  </si>
  <si>
    <t>FCT</t>
  </si>
  <si>
    <t>IHM</t>
  </si>
  <si>
    <t>3.2 Documents applicables (ST GEN)</t>
  </si>
  <si>
    <t>Base graphique IHM</t>
  </si>
  <si>
    <r>
      <t xml:space="preserve">Liste des documents et exigences applicables
</t>
    </r>
    <r>
      <rPr>
        <b/>
        <i/>
        <sz val="10"/>
        <color indexed="12"/>
        <rFont val="Arial"/>
        <family val="2"/>
      </rPr>
      <t>List of applicable documents and requirements</t>
    </r>
  </si>
  <si>
    <r>
      <t xml:space="preserve">Commentaires
</t>
    </r>
    <r>
      <rPr>
        <i/>
        <sz val="10"/>
        <color indexed="12"/>
        <rFont val="Arial"/>
        <family val="2"/>
      </rPr>
      <t>Comments</t>
    </r>
  </si>
  <si>
    <r>
      <t xml:space="preserve">Conformité
</t>
    </r>
    <r>
      <rPr>
        <i/>
        <sz val="10"/>
        <color indexed="12"/>
        <rFont val="Arial"/>
        <family val="2"/>
      </rPr>
      <t>Conformity</t>
    </r>
  </si>
  <si>
    <t>OK</t>
  </si>
  <si>
    <t>NOK</t>
  </si>
  <si>
    <r>
      <t xml:space="preserve">Statut Test FNR
</t>
    </r>
    <r>
      <rPr>
        <i/>
        <sz val="10"/>
        <color indexed="12"/>
        <rFont val="Arial"/>
        <family val="2"/>
      </rPr>
      <t>Supplier Test's status</t>
    </r>
  </si>
  <si>
    <r>
      <t xml:space="preserve">Référence Test
</t>
    </r>
    <r>
      <rPr>
        <i/>
        <sz val="10"/>
        <color indexed="12"/>
        <rFont val="Arial"/>
        <family val="2"/>
      </rPr>
      <t>Test ID</t>
    </r>
  </si>
  <si>
    <t>Retour</t>
  </si>
  <si>
    <t>Aide Générale</t>
  </si>
  <si>
    <t>Le mode de fonctionnement</t>
  </si>
  <si>
    <t>Localisation</t>
  </si>
  <si>
    <t>Fonctionnement</t>
  </si>
  <si>
    <t>Le rôle de la matrice d'application/conformité PSA</t>
  </si>
  <si>
    <t>Le rôle de la page de garde</t>
  </si>
  <si>
    <t>La page de garde permet de renseigner l'historique des modifications.</t>
  </si>
  <si>
    <t>Colonnes</t>
  </si>
  <si>
    <t xml:space="preserve">Description des colonnes </t>
  </si>
  <si>
    <t>Aide "First page"</t>
  </si>
  <si>
    <t>Aide "Application &amp; Conformity matrix"</t>
  </si>
  <si>
    <t>Le rôle de l'onglet "Application &amp; Conformity matrix"</t>
  </si>
  <si>
    <t>Cet onglet contient 2 parties :
- Une partie « Etat réel » (Photo) des documents (liste des exigences avec indice, indice de normes, indice des documents amonts applicables (CAN, DIAG)) à chaque date de figeage pour livraison (partie Orange)
- Une partie « Applicative Projet » à chaque date de figeage pour livraison -&gt; indice des exigences et documents à réellement appliquer sur l‘organe. Cette partie est encore scindée en deux parties : une correspondant à la matrice d'application des exigences et documents (partie Verte) et l'autre correspondant à la matrice de conformité (partie Jaune).</t>
  </si>
  <si>
    <t>Description des lignes</t>
  </si>
  <si>
    <t>Description des colonnes</t>
  </si>
  <si>
    <t>Lignes</t>
  </si>
  <si>
    <t xml:space="preserve">Description des lignes </t>
  </si>
  <si>
    <t>Liste de toutes les exigences ou documents correspondant à la base graphique IHM de l'organe</t>
  </si>
  <si>
    <t>Messageries réseaux (CAN, LIN, DIAG)</t>
  </si>
  <si>
    <t>Liste des messageries appliquées à l'organe</t>
  </si>
  <si>
    <t>Polices</t>
  </si>
  <si>
    <t>Référence des polices utilisées</t>
  </si>
  <si>
    <t>Fichier contenant l'ensemble des libellés de l'organe (traduit ou non)</t>
  </si>
  <si>
    <t>Liste de tous les documents applicables à l'organe (Normes, STE, …)</t>
  </si>
  <si>
    <t>Contributeur</t>
  </si>
  <si>
    <t>Liste des documents et exigences applicables</t>
  </si>
  <si>
    <t>PSA</t>
  </si>
  <si>
    <t>Version</t>
  </si>
  <si>
    <t>Cette colonne liste toutes les exigences (sans version) de tous les documents applicables ainsi que les documents applicables à l'organe</t>
  </si>
  <si>
    <t>Version applicable</t>
  </si>
  <si>
    <t>Conformité / Commentaires</t>
  </si>
  <si>
    <t>FNR</t>
  </si>
  <si>
    <t>Statut PSA / Commentaires</t>
  </si>
  <si>
    <r>
      <t xml:space="preserve">Version appliquée
</t>
    </r>
    <r>
      <rPr>
        <i/>
        <sz val="10"/>
        <color indexed="12"/>
        <rFont val="Arial"/>
        <family val="2"/>
      </rPr>
      <t>Applied version</t>
    </r>
  </si>
  <si>
    <t>Version appliquée / Statut Test FNR / Référence Test / Commentaires</t>
  </si>
  <si>
    <t>Le fournisseur renseignera ces colonnes à chaque livraison de pièces à PSA . Le fournisseur indique les versions d'exigences et de documents appliqués et si elles ont été testées ou non et renseigne sa référence de test interne. Des commentaires peuvent être rajoutés à chaque statut.</t>
  </si>
  <si>
    <t>Référence</t>
  </si>
  <si>
    <t>Référence des documents</t>
  </si>
  <si>
    <t>Liste des exigences de la ST Générique de l'organe. 
Les exigences taguées en Violet sont des exigences avec paramètres propre à chaque projet applicateur dont les valeurs sont spécifiées sous forme d'exigences dans l'onglet "Specific parameters"</t>
  </si>
  <si>
    <t>Aide "Specific Parameters"</t>
  </si>
  <si>
    <t>Cet onglet contient des exigences applicatives à un projet donné qui précisent les paramètres.</t>
  </si>
  <si>
    <t>Service PSA contributeur</t>
  </si>
  <si>
    <t>DEVIATION</t>
  </si>
  <si>
    <r>
      <t xml:space="preserve">Version Software / </t>
    </r>
    <r>
      <rPr>
        <i/>
        <sz val="10"/>
        <color indexed="12"/>
        <rFont val="Arial"/>
        <family val="2"/>
      </rPr>
      <t>Software version</t>
    </r>
    <r>
      <rPr>
        <b/>
        <sz val="10"/>
        <rFont val="Arial"/>
        <family val="2"/>
      </rPr>
      <t xml:space="preserve"> : SW1.0
Version Hardware / </t>
    </r>
    <r>
      <rPr>
        <i/>
        <sz val="10"/>
        <color indexed="12"/>
        <rFont val="Arial"/>
        <family val="2"/>
      </rPr>
      <t>Hardware version</t>
    </r>
    <r>
      <rPr>
        <b/>
        <sz val="10"/>
        <rFont val="Arial"/>
        <family val="2"/>
      </rPr>
      <t xml:space="preserve"> : HW1.0</t>
    </r>
  </si>
  <si>
    <r>
      <t xml:space="preserve">Version Software / </t>
    </r>
    <r>
      <rPr>
        <i/>
        <sz val="10"/>
        <color indexed="12"/>
        <rFont val="Arial"/>
        <family val="2"/>
      </rPr>
      <t>Software version</t>
    </r>
    <r>
      <rPr>
        <b/>
        <sz val="10"/>
        <rFont val="Arial"/>
        <family val="2"/>
      </rPr>
      <t xml:space="preserve"> : SW2.0
Version Hardware / </t>
    </r>
    <r>
      <rPr>
        <i/>
        <sz val="10"/>
        <color indexed="12"/>
        <rFont val="Arial"/>
        <family val="2"/>
      </rPr>
      <t>Hardware version</t>
    </r>
    <r>
      <rPr>
        <b/>
        <sz val="10"/>
        <rFont val="Arial"/>
        <family val="2"/>
      </rPr>
      <t xml:space="preserve"> : HW1.0</t>
    </r>
  </si>
  <si>
    <t>Responsable PSA de validation</t>
  </si>
  <si>
    <t>Descriptif de la dernière version de l'exigence pour information uniquement (optionnel)</t>
  </si>
  <si>
    <r>
      <t xml:space="preserve">Descriptif de la dernière version de l'exigence pour information uniquement (optionnel)
</t>
    </r>
    <r>
      <rPr>
        <i/>
        <sz val="10"/>
        <color indexed="12"/>
        <rFont val="Arial"/>
        <family val="2"/>
      </rPr>
      <t>Description of the  last requirement version for information only (optional)</t>
    </r>
  </si>
  <si>
    <t>Permet de renseigner l'entité responsable de la validation de l'exigence/document en question afin de facilité la création du Plan de Validation Organe (PVO).</t>
  </si>
  <si>
    <r>
      <t>Fournisseur/</t>
    </r>
    <r>
      <rPr>
        <b/>
        <sz val="10"/>
        <color indexed="12"/>
        <rFont val="Arial"/>
        <family val="2"/>
      </rPr>
      <t>Supplier</t>
    </r>
    <r>
      <rPr>
        <b/>
        <sz val="10"/>
        <rFont val="Arial"/>
        <family val="2"/>
      </rPr>
      <t> :</t>
    </r>
  </si>
  <si>
    <t>Chargé de développement</t>
  </si>
  <si>
    <t>Spécialiste métier HW</t>
  </si>
  <si>
    <t>Spécialiste métier Méca</t>
  </si>
  <si>
    <t>Spécialiste métier Optique</t>
  </si>
  <si>
    <t xml:space="preserve">Spécialiste métier Logiciel embarqué </t>
  </si>
  <si>
    <t>Spécialiste métier Matériaux</t>
  </si>
  <si>
    <t>Spécialiste métier Accoustique</t>
  </si>
  <si>
    <t>Spécialiste métier Thermique</t>
  </si>
  <si>
    <t>Garant Qualité (GAQO)</t>
  </si>
  <si>
    <t>Spécialiste métier CCA</t>
  </si>
  <si>
    <t>Spécialiste métier SDF</t>
  </si>
  <si>
    <t>Expert prestation Optique</t>
  </si>
  <si>
    <t>Expert prestation Audio</t>
  </si>
  <si>
    <t>Expert prestation Tactile</t>
  </si>
  <si>
    <t>Expert prestation Navigation</t>
  </si>
  <si>
    <t>Chargé de Validation Fonctionnelle</t>
  </si>
  <si>
    <t>Chargé de Validation Couches Basses</t>
  </si>
  <si>
    <t>Chargé de Validation Diagnostic</t>
  </si>
  <si>
    <t>Chargé de Validation EE et CEM</t>
  </si>
  <si>
    <t>Chargé de Validation PHYS</t>
  </si>
  <si>
    <t>EN ATTENTE</t>
  </si>
  <si>
    <t>Début Exigences (ne pas supprimer!)</t>
  </si>
  <si>
    <t>Fin Figeage (ne pas supprimer!)</t>
  </si>
  <si>
    <t>xxxxxxxx</t>
  </si>
  <si>
    <t>SX/VV</t>
  </si>
  <si>
    <t>STOP</t>
  </si>
  <si>
    <r>
      <t xml:space="preserve">Code couleur / </t>
    </r>
    <r>
      <rPr>
        <b/>
        <sz val="8"/>
        <color indexed="12"/>
        <rFont val="Arial"/>
        <family val="2"/>
      </rPr>
      <t xml:space="preserve">Color code </t>
    </r>
    <r>
      <rPr>
        <sz val="8"/>
        <rFont val="Arial"/>
        <family val="2"/>
      </rPr>
      <t xml:space="preserve">(Colonne "Version" et "Version applicable" / </t>
    </r>
    <r>
      <rPr>
        <sz val="8"/>
        <color indexed="12"/>
        <rFont val="Arial"/>
        <family val="2"/>
      </rPr>
      <t>"Version" and "Applicable version" Column</t>
    </r>
    <r>
      <rPr>
        <sz val="8"/>
        <rFont val="Arial"/>
        <family val="2"/>
      </rPr>
      <t>)</t>
    </r>
  </si>
  <si>
    <t>Indique la version applicable de chaque exigence ou de chaque document (Norme, …).
Le Statut "NA" devra être renseigné pour les exigences supprimées</t>
  </si>
  <si>
    <t>Applicable version</t>
  </si>
  <si>
    <t>Liste Organes</t>
  </si>
  <si>
    <t xml:space="preserve">Liste fichiers trouvés : </t>
  </si>
  <si>
    <t>Titre DocInfo</t>
  </si>
  <si>
    <t>Conformité Tag "Pack", 'Début", "Fin"</t>
  </si>
  <si>
    <t>Version Template</t>
  </si>
  <si>
    <t>Conformité version du  Pack</t>
  </si>
  <si>
    <t>Conformité NA</t>
  </si>
  <si>
    <t>Description des fichiers analysés</t>
  </si>
  <si>
    <t>Analyse de la conformité du format et données de la MdC</t>
  </si>
  <si>
    <r>
      <t>Description de la spécification Technique</t>
    </r>
    <r>
      <rPr>
        <sz val="10"/>
        <rFont val="Arial"/>
        <family val="2"/>
      </rPr>
      <t xml:space="preserve"> (partie Orange de la MDC)</t>
    </r>
  </si>
  <si>
    <r>
      <t>Analyse de l'allocation des exigences</t>
    </r>
    <r>
      <rPr>
        <sz val="10"/>
        <rFont val="Arial"/>
        <family val="2"/>
      </rPr>
      <t xml:space="preserve"> (partie verte de la MdC)</t>
    </r>
  </si>
  <si>
    <t>Analyse des retours FNR et PSA
Pack N</t>
  </si>
  <si>
    <t>Analyse des retours FNR et PSA
Pack N-1</t>
  </si>
  <si>
    <t>Conformité mnémonique de la ST</t>
  </si>
  <si>
    <t>Version de la ST "N"</t>
  </si>
  <si>
    <t>Pack de la ST "N"</t>
  </si>
  <si>
    <t>Nombre d'exigence ST "N"</t>
  </si>
  <si>
    <t>Version ST du pack précédent "N-1"</t>
  </si>
  <si>
    <t>Pack de la ST précédente "N-1"</t>
  </si>
  <si>
    <t>Pack N</t>
  </si>
  <si>
    <t>Pack N-1</t>
  </si>
  <si>
    <t>Exigence Applicable</t>
  </si>
  <si>
    <t>Exigence Nouvelle</t>
  </si>
  <si>
    <t>Exigence Modifiée</t>
  </si>
  <si>
    <t>Exigence Supprimée</t>
  </si>
  <si>
    <t>Exigence non renseignée</t>
  </si>
  <si>
    <t>Applibilité OK</t>
  </si>
  <si>
    <t>Applibilité WAIT</t>
  </si>
  <si>
    <t>Applibilité DEVIATION</t>
  </si>
  <si>
    <t>Applibilité BLOCKING</t>
  </si>
  <si>
    <t>Applibilité Not clear</t>
  </si>
  <si>
    <t>Pour mettre à jour une MdC avec ce modèle, activer les macros et appuyer sur CTRL+m</t>
  </si>
  <si>
    <t>[FCT_GEN_TS_ONOFF]</t>
  </si>
  <si>
    <t>[FCT_GEN_TS_ALARMS] Gestionnaire alertes BSI</t>
  </si>
  <si>
    <t xml:space="preserve">[FCT_GEN_TS_ALARMS_TAB] Tableau des alertes BSI </t>
  </si>
  <si>
    <t>[FCT_GEN_TS_AQIPS] Audio Quality In Phone Source</t>
  </si>
  <si>
    <t>[FCT_GEN_TS_AUDIO_PARAM]</t>
  </si>
  <si>
    <t>[FCT_GEN_TS_BRIGHTNESS]</t>
  </si>
  <si>
    <t>[FCT_GEN_TS_CEDC] Consumer Electronics Device Control</t>
  </si>
  <si>
    <t>[FCT_GEN_TS_CLIMATE]</t>
  </si>
  <si>
    <t>[FCT_GEN_TS_CONNECT]</t>
  </si>
  <si>
    <t>[FCT_GEN_TS_DOUBLE_PHONE]</t>
  </si>
  <si>
    <t>[FCT_GEN_TS_DRIVE]</t>
  </si>
  <si>
    <t>[FCT_GEN_TS_DRIVE_SPEED_CONTROL]</t>
  </si>
  <si>
    <t>[FCT_GEN_TS_ENGINE_MODE] TS ENGINEERING MODE</t>
  </si>
  <si>
    <t>[FCT_GEN_TS_HYBRID]</t>
  </si>
  <si>
    <t>[FCT_GEN_TS_LVDS_BIDIR_NETWORK_DATA_OF_FUNCTIONAL_MANAGEMENT]</t>
  </si>
  <si>
    <t>[FCT_GEN_TS_MEDIA]</t>
  </si>
  <si>
    <t>[FCT_GEN_TS_MESS_SERVICES]</t>
  </si>
  <si>
    <t>[FCT_GEN_TS_MOBILE_OFFICE]</t>
  </si>
  <si>
    <t>[FCT_GEN_TS_NAV]</t>
  </si>
  <si>
    <t>[FCT_GEN_TS_OBC] On_Board Computer</t>
  </si>
  <si>
    <t>[FCT_GEN_TS_PAS] Parking and Aid System</t>
  </si>
  <si>
    <t>[FCT_GEN_TS_PHONE]</t>
  </si>
  <si>
    <t>[FCT_GEN_TS_RADIO_RECEPT]</t>
  </si>
  <si>
    <t>[FCT_GEN_TS_SERVICE_MANAGEMENT]</t>
  </si>
  <si>
    <t>[FCT_GEN_TS_SETTINGS] Vehicle Settings</t>
  </si>
  <si>
    <t>[FCT_GEN_TS_TIM] ST interprétation cdes écran tactile</t>
  </si>
  <si>
    <t>[FCT_GEN_TS_USER_CMD]</t>
  </si>
  <si>
    <t>[FCT_GEN_TS_VHLF_CAN] CAN for Vehicle function</t>
  </si>
  <si>
    <t>[FCT_GEN_TS_VOICE_RECO_SMARTPHONE] Voice Recognition Smartphone</t>
  </si>
  <si>
    <t>[FCT_RCC_TS_DIAG_DEF_MAT] Matrice des défauts RCC</t>
  </si>
  <si>
    <t>[HMI_GEN_TS_HYPHENATION_TEXT_RULES] ST IHM Régle de césure automatique</t>
  </si>
  <si>
    <t>[Services] FCT_GEN_TS_UPGRADE</t>
  </si>
  <si>
    <t>[Services] FCT_GEN_TS_WEB</t>
  </si>
  <si>
    <t>02017_12_01302_TS_SMARTAPPS</t>
  </si>
  <si>
    <t>Application Framework Software Requirements Specifications</t>
  </si>
  <si>
    <t>CDC Connect pour BTEL</t>
  </si>
  <si>
    <t>Complément règles de com CAN_LS pour les organes multimédia</t>
  </si>
  <si>
    <t>Enhanced Positioning Software Requirements Specification</t>
  </si>
  <si>
    <t>GEN-BTEL-ST-HANDWRITING</t>
  </si>
  <si>
    <t>GEN-BTEL-ST-HMI</t>
  </si>
  <si>
    <t>GEN-BTEL-ST-SPEECHRECO</t>
  </si>
  <si>
    <t>Generic HMI</t>
  </si>
  <si>
    <t>HMI Framework Software Requirements Specifications</t>
  </si>
  <si>
    <t>HMI-OVIP-ST-ADDRBOOK</t>
  </si>
  <si>
    <t>HMI-OVIP-ST-AUDIO</t>
  </si>
  <si>
    <t>HMI-OVIP-ST-CLIMATE</t>
  </si>
  <si>
    <t>HMI-OVIP-ST-CONNECTIVITY</t>
  </si>
  <si>
    <t>HMI-OVIP-ST-CUSTOM</t>
  </si>
  <si>
    <t>HMI-OVIP-ST-DIAGNOSIS</t>
  </si>
  <si>
    <t>HMI-OVIP-ST-DRIVE</t>
  </si>
  <si>
    <t>HMI-OVIP-ST-INPUTDEV</t>
  </si>
  <si>
    <t>HMI-OVIP-ST-INSTRUCTIONS</t>
  </si>
  <si>
    <t>HMI-OVIP-ST-INTERNET</t>
  </si>
  <si>
    <t>HMI-OVIP-ST-MEDIA</t>
  </si>
  <si>
    <t>HMI-OVIP-ST-ONOFF</t>
  </si>
  <si>
    <t>HMI-OVIP-ST-PHONE</t>
  </si>
  <si>
    <t>HMI-OVIP-ST-PICTURE</t>
  </si>
  <si>
    <t>HMI-OVIP-ST-RADIO</t>
  </si>
  <si>
    <t>HMI-OVIP-ST-SETTINGS</t>
  </si>
  <si>
    <t>HMI-OVIP-ST-SYSUPDATE</t>
  </si>
  <si>
    <t>HMI-OVIP-ST-VIDEO_TV</t>
  </si>
  <si>
    <t>Platform Software Requirements Specification</t>
  </si>
  <si>
    <t>ST_DATA_EXCHANGE_MECHANISMS Over USB link</t>
  </si>
  <si>
    <t>ST_GEN_USB</t>
  </si>
  <si>
    <t>TS DATA FLOWS PROTOCOLS BTEL</t>
  </si>
  <si>
    <t>Visio Park Core Software Requirements Specification</t>
  </si>
  <si>
    <t>HMI-CMB_MOD-ST-GEN</t>
  </si>
  <si>
    <t>HMI_CMBNUM_TS_Alert</t>
  </si>
  <si>
    <t>HMI_CMBNUM_TS_Climate</t>
  </si>
  <si>
    <t>HMI_CMBNUM_TS_Drive</t>
  </si>
  <si>
    <t>HMI_CMBNUM_TS_Gauge</t>
  </si>
  <si>
    <t>HMI_CMBNUM_TS_Gearbox</t>
  </si>
  <si>
    <t>HMI_CMBNUM_TS_Hybrid</t>
  </si>
  <si>
    <t>HMI_CMBNUM_TS_OBC</t>
  </si>
  <si>
    <t>HMI_CMBNUM_TS_Park</t>
  </si>
  <si>
    <t>HMI_CMBNUM_TS_Settings</t>
  </si>
  <si>
    <t>HMI_CMBNUM_TS_Telltales</t>
  </si>
  <si>
    <t>HMI_CMBNUM_TS_AUDIO</t>
  </si>
  <si>
    <t>HMI_CMBNUM_TS_PHONE</t>
  </si>
  <si>
    <t>HMI-CMBNUM-TS-NAVIGATION</t>
  </si>
  <si>
    <t>HMI-CMBNUM-TS-ONOFF</t>
  </si>
  <si>
    <t>HMI-CMBNUM-TS-INPUTDEV</t>
  </si>
  <si>
    <t>HMI_VHL_ST_GEN</t>
  </si>
  <si>
    <t>HMI-CMBNUM-TS-GEN</t>
  </si>
  <si>
    <t>HMI-CMB-TS-GEARBOX</t>
  </si>
  <si>
    <t>HMI-CMB-TS-GAUGE</t>
  </si>
  <si>
    <t>HMI-CMB-TS-TELLTALE</t>
  </si>
  <si>
    <t>HMI-CMB-TS-DRIVE</t>
  </si>
  <si>
    <t>HMI-CMB-TS-OBC</t>
  </si>
  <si>
    <t>HMI-CMB-TS-ALERT</t>
  </si>
  <si>
    <t>HMI-CMB-TS-SETTINGS</t>
  </si>
  <si>
    <t>HMI-CMB-TS-PARK</t>
  </si>
  <si>
    <t>HMI-CMB-TS-NAVIGATION</t>
  </si>
  <si>
    <t>HMI-CMB-TS-ONOFF</t>
  </si>
  <si>
    <t>HMI-CMB_MOD-ST-INPUTDEV</t>
  </si>
  <si>
    <t>Feature</t>
  </si>
  <si>
    <t>ATT_RESP@PTF</t>
  </si>
  <si>
    <t>ATT_RESP@INT</t>
  </si>
  <si>
    <t>ATT_RESP@SW</t>
  </si>
  <si>
    <r>
      <t xml:space="preserve">Descriptif de la dernière version de la déviation le cas échéant
</t>
    </r>
    <r>
      <rPr>
        <i/>
        <sz val="10"/>
        <color indexed="12"/>
        <rFont val="Arial"/>
        <family val="2"/>
      </rPr>
      <t>Description of the  last version of the deviation if necessary</t>
    </r>
  </si>
  <si>
    <t>ATT_RESP@FULL</t>
  </si>
  <si>
    <t>ATT_RESP@DEV</t>
  </si>
  <si>
    <t>ATT_RESP@DEV
ATT_RESP@SW</t>
  </si>
  <si>
    <t xml:space="preserve"> </t>
  </si>
  <si>
    <r>
      <t xml:space="preserve">Validation FNR
</t>
    </r>
    <r>
      <rPr>
        <i/>
        <sz val="10"/>
        <color indexed="12"/>
        <rFont val="Arial"/>
        <family val="2"/>
      </rPr>
      <t>Validation status from supplier, to be completed by supplier</t>
    </r>
  </si>
  <si>
    <t>ATT_RESP@DEV
ATT_RESP@PTF</t>
  </si>
  <si>
    <t>ATT_RESP@NONE</t>
  </si>
  <si>
    <t>ATT_RESP@INT
ATT_RESP@PTF</t>
  </si>
  <si>
    <t>ATT_RESP@DEV_INT</t>
  </si>
  <si>
    <t>ATT_RESP@DEV_INT
ATT_RESP@PTF</t>
  </si>
  <si>
    <t>Template 02017_12_05435 V7.7</t>
  </si>
  <si>
    <r>
      <t xml:space="preserve">MATRICE DE CONFORMITE
</t>
    </r>
    <r>
      <rPr>
        <b/>
        <i/>
        <sz val="14"/>
        <color indexed="12"/>
        <rFont val="Arial"/>
        <family val="2"/>
      </rPr>
      <t>CONFORMITY MATRIX</t>
    </r>
  </si>
  <si>
    <r>
      <t xml:space="preserve">DIRECTION RECHERCHE ET DEVELOPPEMENT
</t>
    </r>
    <r>
      <rPr>
        <sz val="9"/>
        <color indexed="12"/>
        <rFont val="Arial"/>
        <family val="2"/>
      </rPr>
      <t>RESEARCH AND DEVELOPMENT DIVISION</t>
    </r>
    <r>
      <rPr>
        <sz val="9"/>
        <rFont val="Arial"/>
        <family val="2"/>
      </rPr>
      <t xml:space="preserve">
</t>
    </r>
  </si>
  <si>
    <r>
      <t>Matrice de Conformité</t>
    </r>
    <r>
      <rPr>
        <b/>
        <sz val="10"/>
        <color indexed="12"/>
        <rFont val="Arial"/>
        <family val="2"/>
      </rPr>
      <t xml:space="preserve">
Conformity matrix
</t>
    </r>
  </si>
  <si>
    <t xml:space="preserve">Le nombre de matrice d'application/conformité propre à un organe donné, dependra de l'organe et du nombre de référents fonctions ISD impliqués.
Chaque rédacteur de STO remplira conjointement avec le CD la partie applicative de la matrice d’application/conformité correspondante à la STO avant livraison.
Le CD est pilote et garant du remplissage de chacune des matrices par tous les contributeurs PSA à la date de livraison. </t>
  </si>
  <si>
    <t>AIDA2020</t>
  </si>
  <si>
    <t>NA</t>
  </si>
  <si>
    <t>BLOCK</t>
  </si>
  <si>
    <t>CONVERGED</t>
  </si>
  <si>
    <t>NOT CONVERGED</t>
  </si>
  <si>
    <t>Le fournisseur indique son engagement sur la tenue de chaque exigence ou l'applicabilité de chaque document (Statut OK ou NOK). Des commentaires / justifications doivent être rajoutés à chaque statut.</t>
  </si>
  <si>
    <t>02017_16_05371_ComplianceMatrixProcess</t>
  </si>
  <si>
    <t>Current version : 1.0</t>
  </si>
  <si>
    <t>Extract :</t>
  </si>
  <si>
    <t>Nb of req. to conv.</t>
  </si>
  <si>
    <r>
      <t xml:space="preserve">Matrice de conformité /  </t>
    </r>
    <r>
      <rPr>
        <b/>
        <i/>
        <sz val="10"/>
        <color indexed="12"/>
        <rFont val="Arial"/>
        <family val="2"/>
      </rPr>
      <t>Conformity matrix</t>
    </r>
  </si>
  <si>
    <t>Matrice de conformité Validation par livraison de pièces</t>
  </si>
  <si>
    <t>Validation conformity matrix by part delivery</t>
  </si>
  <si>
    <t>PSA indique son statut (OK, NOK, NA, DEVIATION, EN ATTENTE) en face de chaque statut "Conformité" renseigné par le fournisseur. Des commentaires peuvent être rajoutés à chaque statut.
En cas de DEVIATION, le champ Commentaires contiendra le lien DocInfo vers la note technique de justification du fournisseur</t>
  </si>
  <si>
    <t>Justification</t>
  </si>
  <si>
    <r>
      <t xml:space="preserve">CE DOCUMENT EST LA PROPRIETE DU GROUPE STELLANTIS ET NE PEUT ETRE REPRODUIT OU COMMUNIQUE SANS SON AUTORISATION
</t>
    </r>
    <r>
      <rPr>
        <sz val="7"/>
        <color indexed="12"/>
        <rFont val="Arial Narrow"/>
        <family val="2"/>
      </rPr>
      <t xml:space="preserve">THIS DOCUMENT IS THE PROPERTY OF STELLANTIS GROUP AND MAY NOT BE REPRODUCED OR DISCLOSED WITHOUT ITS AUTHORIZATION </t>
    </r>
  </si>
  <si>
    <t>AUDIT MdC</t>
  </si>
  <si>
    <t>jeudi 24 octobre 2013</t>
  </si>
  <si>
    <t xml:space="preserve">Note </t>
  </si>
  <si>
    <t>Document de référence</t>
  </si>
  <si>
    <t>Matrice de conformité - modèle AISL  (TEMPLATE)</t>
  </si>
  <si>
    <t>http://docinfogroupe.inetpsa.com/ead/doc/ref.02017_12_05435/v.vc/fiche</t>
  </si>
  <si>
    <t>Outil de contrôle des matrice de conformité</t>
  </si>
  <si>
    <t>http://docinfogroupe.inetpsa.com/ead/doc/ref.02017_13_09769/v.vc/fiche</t>
  </si>
  <si>
    <t>Note - Matrice de conformité mode d'emploi</t>
  </si>
  <si>
    <t>Processus de création/mise à jour de matrice de conformité.</t>
  </si>
  <si>
    <t>http://docinfogroupe.inetpsa.com/ead/doc/ref.02017_12_01062/v.dp/fiche</t>
  </si>
  <si>
    <t>[AISL] Trame type Revue Technique</t>
  </si>
  <si>
    <t>http://docinfogroupe.inetpsa.com/ead/doc/ref.02017_13_01490/v.vc/fiche</t>
  </si>
  <si>
    <t>Quand faut-il mettre à jour la matrice de conformité ?</t>
  </si>
  <si>
    <t>Une MdC est modifiée en version si au moins 1 exigence de la STO a été modifié (suppression,  ajout, modification (d’indice))  ou si l’applicabilité à évoluée (indice d’exigence, NA). Ces mises à jour doivent apparaitre :</t>
  </si>
  <si>
    <t>- Dans la partie Référentiel (image de la STO courante) – pack de livraison en cours</t>
  </si>
  <si>
    <t>- Dans la partie applicabilité (image de l’application à l’organe) – pack de livraison en cours</t>
  </si>
  <si>
    <t>Une MdC est modifiée pour y reporter les évaluations /Commentaire Fournisseur.</t>
  </si>
  <si>
    <t>Note : on n'ajoute pas la colonne de « pack de livraison » courant,  si aucune modification n'a été apportée à la MdC.</t>
  </si>
  <si>
    <t>Par conséquent, une MDC ne trace pas l'ensemble des pack de livraison mais seulement les mises à jour de la STO.</t>
  </si>
  <si>
    <r>
      <t> </t>
    </r>
    <r>
      <rPr>
        <b/>
        <sz val="13"/>
        <color rgb="FF366092"/>
        <rFont val="Calibri"/>
        <family val="2"/>
      </rPr>
      <t xml:space="preserve">ue faut-il contrôler dans la matrice d'application ? </t>
    </r>
  </si>
  <si>
    <t>Contrôle sur le format de la MdC</t>
  </si>
  <si>
    <t>Statistique sur MdC en cours</t>
  </si>
  <si>
    <t>Statistique sur le Delta MDC Pack N et M (ou N et N-1)</t>
  </si>
  <si>
    <t xml:space="preserve"> Qui ? </t>
  </si>
  <si>
    <t>1) Le rédacteur de la STO doit veiller à la conformité de la matrice d'application.</t>
  </si>
  <si>
    <t>2) L'administrateur lors des livraisons de Pack</t>
  </si>
  <si>
    <t xml:space="preserve">Annexe : </t>
  </si>
  <si>
    <t>L'outil réalise l'analyse suivante</t>
  </si>
  <si>
    <t>Conformité du format de la MdC</t>
  </si>
  <si>
    <t>modèle du fichier MdC. La matrice d'application doit être conforme au modèle AISL. (cellule 1,1)</t>
  </si>
  <si>
    <t>Ligne 1, présence du  Tag "Fin Figeage (ne pas supprimer!)"  et "STOP"</t>
  </si>
  <si>
    <t>Colonne 1, Le tag "début exigence"Version du pack. La version du pack doit être renseignée selon le modèle 1xVx (13V2)</t>
  </si>
  <si>
    <t>Valeur (ex: NA). La syntaxe "NA" doit être respectée (syntaxe refusée N/A)</t>
  </si>
  <si>
    <r>
      <t xml:space="preserve"> TS name (</t>
    </r>
    <r>
      <rPr>
        <i/>
        <sz val="11"/>
        <color rgb="FF000000"/>
        <rFont val="Calibri"/>
        <family val="2"/>
      </rPr>
      <t>mnémonique organe. Il doit être conforme à la liste de référence (voir Référentiel))</t>
    </r>
  </si>
  <si>
    <t>TS last version + pack</t>
  </si>
  <si>
    <t>TS previous version + pack</t>
  </si>
  <si>
    <t>Contenu de référentiel</t>
  </si>
  <si>
    <t>Nom du Pack N</t>
  </si>
  <si>
    <t>Version de la ST du pack N</t>
  </si>
  <si>
    <t>Nombre d'exigence de la ST du pack N</t>
  </si>
  <si>
    <t>Nom du Pack N-1</t>
  </si>
  <si>
    <t>Version de la ST du pack N-1</t>
  </si>
  <si>
    <t>Analyse de l'allocation</t>
  </si>
  <si>
    <t>Nom du pack N-1</t>
  </si>
  <si>
    <r>
      <t xml:space="preserve">Nombre d'exigences </t>
    </r>
    <r>
      <rPr>
        <i/>
        <sz val="11"/>
        <color rgb="FF000000"/>
        <rFont val="Calibri"/>
        <family val="2"/>
      </rPr>
      <t>Applicables</t>
    </r>
    <r>
      <rPr>
        <sz val="11"/>
        <color rgb="FF000000"/>
        <rFont val="Calibri"/>
        <family val="2"/>
      </rPr>
      <t xml:space="preserve">  du pack N</t>
    </r>
  </si>
  <si>
    <r>
      <t xml:space="preserve">Nombre d'exigences </t>
    </r>
    <r>
      <rPr>
        <i/>
        <sz val="11"/>
        <color rgb="FF000000"/>
        <rFont val="Calibri"/>
        <family val="2"/>
      </rPr>
      <t>Nouvelles</t>
    </r>
    <r>
      <rPr>
        <sz val="11"/>
        <color rgb="FF000000"/>
        <rFont val="Calibri"/>
        <family val="2"/>
      </rPr>
      <t xml:space="preserve">  du pack N</t>
    </r>
  </si>
  <si>
    <t>Nombre d'exigences Modifiées du pack N</t>
  </si>
  <si>
    <r>
      <t xml:space="preserve">Nombre d'exigences </t>
    </r>
    <r>
      <rPr>
        <i/>
        <sz val="11"/>
        <color rgb="FF000000"/>
        <rFont val="Calibri"/>
        <family val="2"/>
      </rPr>
      <t>Supprimées</t>
    </r>
    <r>
      <rPr>
        <sz val="11"/>
        <color rgb="FF000000"/>
        <rFont val="Calibri"/>
        <family val="2"/>
      </rPr>
      <t xml:space="preserve"> du pack N</t>
    </r>
  </si>
  <si>
    <r>
      <t xml:space="preserve">Nombre d'exigences </t>
    </r>
    <r>
      <rPr>
        <i/>
        <sz val="11"/>
        <color rgb="FF000000"/>
        <rFont val="Calibri"/>
        <family val="2"/>
      </rPr>
      <t>Non Allouées</t>
    </r>
    <r>
      <rPr>
        <sz val="11"/>
        <color rgb="FF000000"/>
        <rFont val="Calibri"/>
        <family val="2"/>
      </rPr>
      <t xml:space="preserve"> du pack N</t>
    </r>
  </si>
  <si>
    <t>Analyse des retours FNR / PSA</t>
  </si>
  <si>
    <r>
      <t xml:space="preserve">Nombre d'exigences </t>
    </r>
    <r>
      <rPr>
        <i/>
        <sz val="11"/>
        <color rgb="FF000000"/>
        <rFont val="Calibri"/>
        <family val="2"/>
      </rPr>
      <t xml:space="preserve">Applicabilité OK </t>
    </r>
    <r>
      <rPr>
        <sz val="11"/>
        <color rgb="FF000000"/>
        <rFont val="Calibri"/>
        <family val="2"/>
      </rPr>
      <t>du pack N</t>
    </r>
  </si>
  <si>
    <t>Avis FNR</t>
  </si>
  <si>
    <t>Avis PSA</t>
  </si>
  <si>
    <t>Vide</t>
  </si>
  <si>
    <r>
      <t xml:space="preserve">Nombre d'exigences </t>
    </r>
    <r>
      <rPr>
        <i/>
        <sz val="11"/>
        <color rgb="FF000000"/>
        <rFont val="Calibri"/>
        <family val="2"/>
      </rPr>
      <t xml:space="preserve">Applicabilité EN ATTENTE </t>
    </r>
    <r>
      <rPr>
        <sz val="11"/>
        <color rgb="FF000000"/>
        <rFont val="Calibri"/>
        <family val="2"/>
      </rPr>
      <t>du pack N</t>
    </r>
  </si>
  <si>
    <r>
      <t xml:space="preserve">Nombre d'exigences </t>
    </r>
    <r>
      <rPr>
        <i/>
        <sz val="11"/>
        <color rgb="FF000000"/>
        <rFont val="Calibri"/>
        <family val="2"/>
      </rPr>
      <t xml:space="preserve">Applicabilité en DEVIATION </t>
    </r>
    <r>
      <rPr>
        <sz val="11"/>
        <color rgb="FF000000"/>
        <rFont val="Calibri"/>
        <family val="2"/>
      </rPr>
      <t>du pack N</t>
    </r>
  </si>
  <si>
    <r>
      <t xml:space="preserve">Nombre d'exigences </t>
    </r>
    <r>
      <rPr>
        <i/>
        <sz val="11"/>
        <color rgb="FF000000"/>
        <rFont val="Calibri"/>
        <family val="2"/>
      </rPr>
      <t xml:space="preserve">Applicabilité en BLOCAGE </t>
    </r>
    <r>
      <rPr>
        <sz val="11"/>
        <color rgb="FF000000"/>
        <rFont val="Calibri"/>
        <family val="2"/>
      </rPr>
      <t>du pack N</t>
    </r>
  </si>
  <si>
    <r>
      <t xml:space="preserve">Nombre d'exigences </t>
    </r>
    <r>
      <rPr>
        <i/>
        <sz val="11"/>
        <color rgb="FF000000"/>
        <rFont val="Calibri"/>
        <family val="2"/>
      </rPr>
      <t>Applicabilité NON CONFORME</t>
    </r>
    <r>
      <rPr>
        <sz val="11"/>
        <color rgb="FF000000"/>
        <rFont val="Calibri"/>
        <family val="2"/>
      </rPr>
      <t xml:space="preserve"> du pack N</t>
    </r>
  </si>
  <si>
    <t>vide</t>
  </si>
  <si>
    <t>No STELLANTIS Answer</t>
  </si>
  <si>
    <r>
      <t xml:space="preserve">Statut STELLANTIS
</t>
    </r>
    <r>
      <rPr>
        <i/>
        <sz val="10"/>
        <color indexed="12"/>
        <rFont val="Arial"/>
        <family val="2"/>
      </rPr>
      <t>STELLANTIS's status</t>
    </r>
  </si>
  <si>
    <t>No SUPLIER Answer</t>
  </si>
  <si>
    <t>DM17F</t>
  </si>
  <si>
    <t>25Q3 - 04/07/2025
02017_18_04575 V22.0
RSP-0001654 V21</t>
  </si>
  <si>
    <t>V21</t>
  </si>
  <si>
    <t>REQ-0388469</t>
  </si>
  <si>
    <t>F</t>
  </si>
  <si>
    <t>DAT_LI_COMPTEUR_TEMPOREL_VEHICULE
(COMPTEUR_TEMPOREL_VEHICULE)
Att_var@ CANHS7_IN.(DEH_2010+DEH_2020).CLUSTER_DEH</t>
  </si>
  <si>
    <t>REQ-0712327</t>
  </si>
  <si>
    <t>D</t>
  </si>
  <si>
    <t>DAT_LI_COMPTEUR_TEMPOREL_VEHICULE
(COMPTEUR_TEMPOREL_VEHICULE)
Att_var@ CANFD7_IN.DEH_R2</t>
  </si>
  <si>
    <t>REQ-0587466</t>
  </si>
  <si>
    <t>DAT_LI_COMPTEUR_TEMPOREL_VEHICULE
(COMPTEUR_TEMPOREL_VEHICULE)
Att_var@ CANHS4_IN.(DEH_2010+DEH_2020).CLUSTER_DEH</t>
  </si>
  <si>
    <t>REQ-0757880</t>
  </si>
  <si>
    <t>A</t>
  </si>
  <si>
    <t>DAT_LI_COMPTEUR_TEMPOREL_VEHICULE
(COMPTEUR_TEMPOREL_VEHICULE)
Att_var@ CANHS3_IN.DEH_2010.CLUSTER_DEH</t>
  </si>
  <si>
    <t>REQ-0406534</t>
  </si>
  <si>
    <t>C</t>
  </si>
  <si>
    <t>Deleted requirement
Att_var@ NULL</t>
  </si>
  <si>
    <t>REQ-0406541</t>
  </si>
  <si>
    <t>REQ-0406542</t>
  </si>
  <si>
    <t>REQ-0406543</t>
  </si>
  <si>
    <t>REQ-0413064</t>
  </si>
  <si>
    <t>REQ-0413066</t>
  </si>
  <si>
    <t>REQ-0416361</t>
  </si>
  <si>
    <t>E</t>
  </si>
  <si>
    <t>DAT_LI_DEFAUT_LVDS_1
(FAULT_INFO_FRAME(1)
Att_var@ LVDS_IN.DEH_2020.CENTRAL</t>
  </si>
  <si>
    <t>REQ-0416362</t>
  </si>
  <si>
    <t>DAT_LI_DEFAUT_LVDS_2
(FAULT_INFO_FRAME(1)
Att_var@ LVDS_IN.DEH_2020.SECONDARY</t>
  </si>
  <si>
    <t>REQ-0586766</t>
  </si>
  <si>
    <t>DAT_LI_DEFAUT_LVDS_3
(FAULT_INFO_FRAME(1)
Att_var@ LVDS_IN.DEH_2020.CLUSTER</t>
  </si>
  <si>
    <t>REQ-0416363</t>
  </si>
  <si>
    <t>DAT_LI_DEFAUT_LVDS_4
(FAULT_INFO_FRAME(1)
Att_var@ LVDS_IN.DEH_2020.HUD</t>
  </si>
  <si>
    <t>REQ-0416364</t>
  </si>
  <si>
    <t>DAT_LI_TYPE_EVT_LVDS_1
(FAULT_INFO_FRAME(1)
Att_var@ LVDS_IN.DEH_2020.CENTRAL</t>
  </si>
  <si>
    <t>REQ-0416365</t>
  </si>
  <si>
    <t>DAT_LI_TYPE_EVT_LVDS_2
(FAULT_INFO_FRAME(1)
Att_var@ LVDS_IN.DEH_2020.SECONDARY</t>
  </si>
  <si>
    <t>REQ-0586767</t>
  </si>
  <si>
    <t>DAT_LI_TYPE_EVT_LVDS_3
(FAULT_INFO_FRAME(1)
Att_var@ LVDS_IN.DEH_2020.CLUSTER</t>
  </si>
  <si>
    <t>REQ-0416366</t>
  </si>
  <si>
    <t>DAT_LI_TYPE_EVT_LVDS_4
(FAULT_INFO_FRAME(1)
Att_var@ LVDS_IN.DEH_2020.HUD</t>
  </si>
  <si>
    <t>REQ-0824228</t>
  </si>
  <si>
    <t>DAT_LI_VIN_DATA
(NotFound)
Att_var@ LVDS_2_0.LVDS_IN_PM.SLAVE.SECONDARY</t>
  </si>
  <si>
    <t>REQ-0825938</t>
  </si>
  <si>
    <t>DAT_LI_VIN_DATA
(NotFound)
Att_var@ LVDS_3_0.LVDS_IN_PM.SLAVE.HUD</t>
  </si>
  <si>
    <t>REQ-0823814</t>
  </si>
  <si>
    <t>DAT_LI_VIN_DATA
(NotFound)
Att_var@ LVDS_1_0.LVDS_IN_PM.SLAVE.CENTRAL</t>
  </si>
  <si>
    <t>REQ-0823815</t>
  </si>
  <si>
    <t>DAT_LI_VIN_MSG
(NotFound)
Att_var@ LVDS_2_0.LVDS_IN_PM.SLAVE.SECONDARY</t>
  </si>
  <si>
    <t>REQ-0825934</t>
  </si>
  <si>
    <t>DAT_LI_VIN_MSG
(NotFound)
Att_var@ LVDS_1_0.LVDS_IN_PM.SLAVE.CENTRAL</t>
  </si>
  <si>
    <t>REQ-0824370</t>
  </si>
  <si>
    <t>DAT_LI_VIN_MSG
(NotFound)
Att_var@ LVDS_3_0.LVDS_IN_PM.SLAVE.HUD</t>
  </si>
  <si>
    <t>REQ-0823816</t>
  </si>
  <si>
    <t>DAT_LI_VehicleSpeedVSOSig
(VehicleSpeedVSOSig)
Att_var@ LVDS_1_0.LVDS_IN_PM.SLAVE.CENTRAL</t>
  </si>
  <si>
    <t>REQ-0824264</t>
  </si>
  <si>
    <t>DAT_LI_VehicleSpeedVSOSig
(VehicleSpeedVSOSig)
Att_var@ LVDS_2_0.LVDS_IN_PM.SLAVE.SECONDARY</t>
  </si>
  <si>
    <t>REQ-0825951</t>
  </si>
  <si>
    <t>DAT_LI_VehicleSpeedVSOSig
(VehicleSpeedVSOSig)
Att_var@ LVDS_3_0.LVDS_IN_PM.SLAVE.HUD</t>
  </si>
  <si>
    <t>REQ-0823818</t>
  </si>
  <si>
    <t>DAT_LI_EngineSpeed_W
(EngineSpeed_W)
Att_var@ LVDS_1_0.LVDS_IN_PM.SLAVE.CENTRAL</t>
  </si>
  <si>
    <t>REQ-0824265</t>
  </si>
  <si>
    <t>DAT_LI_EngineSpeed_W
(EngineSpeed_W)
Att_var@ LVDS_2_0.LVDS_IN_PM.SLAVE.SECONDARY</t>
  </si>
  <si>
    <t>REQ-0825941</t>
  </si>
  <si>
    <t>DAT_LI_EngineSpeed_W
(EngineSpeed_W)
Att_var@ LVDS_3_0.LVDS_IN_PM.SLAVE.HUD</t>
  </si>
  <si>
    <t>REQ-0823819</t>
  </si>
  <si>
    <t>DAT_LI_Battery_Volt_1
(Battery_Volt_1)
Att_var@ LVDS_1_0.LVDS_IN_PM.SLAVE.CENTRAL</t>
  </si>
  <si>
    <t>REQ-0824266</t>
  </si>
  <si>
    <t>DAT_LI_Battery_Volt_1
(Battery_Volt_1)
Att_var@ LVDS_2_0.LVDS_IN_PM.SLAVE.SECONDARY</t>
  </si>
  <si>
    <t>REQ-0825942</t>
  </si>
  <si>
    <t>DAT_LI_Battery_Volt_1
(Battery_Volt_1)
Att_var@ LVDS_3_0.LVDS_IN_PM.SLAVE.HUD</t>
  </si>
  <si>
    <t>REQ-0824161</t>
  </si>
  <si>
    <t>DAT_LI_ExternalTemperature
(ExternalTemperature)
Att_var@ LVDS_1_0.LVDS_IN_PM.SLAVE.CENTRAL</t>
  </si>
  <si>
    <t>REQ-0824267</t>
  </si>
  <si>
    <t>DAT_LI_ExternalTemperature
(ExternalTemperature)
Att_var@ LVDS_2_0.LVDS_IN_PM.SLAVE.SECONDARY</t>
  </si>
  <si>
    <t>REQ-0825943</t>
  </si>
  <si>
    <t>DAT_LI_ExternalTemperature
(ExternalTemperature)
Att_var@ LVDS_3_0.LVDS_IN_PM.SLAVE.HUD</t>
  </si>
  <si>
    <t>REQ-0824168</t>
  </si>
  <si>
    <t>DAT_LI_TotalOdometer
(TotalOdometer)
Att_var@ LVDS_1_0.LVDS_IN_PM.SLAVE.CENTRAL</t>
  </si>
  <si>
    <t>REQ-0824268</t>
  </si>
  <si>
    <t>DAT_LI_TotalOdometer
(TotalOdometer)
Att_var@ LVDS_2_0.LVDS_IN_PM.SLAVE.SECONDARY</t>
  </si>
  <si>
    <t>REQ-0825944</t>
  </si>
  <si>
    <t>DAT_LI_TotalOdometer
(TotalOdometer)
Att_var@ LVDS_3_0.LVDS_IN_PM.SLAVE.HUD</t>
  </si>
  <si>
    <t>REQ-0824170</t>
  </si>
  <si>
    <t>DAT_LI_CmdIgnSts
(CmdIgnSts)
Att_var@ LVDS_1_0.LVDS_IN_PM.SLAVE.CENTRAL</t>
  </si>
  <si>
    <t>REQ-0824269</t>
  </si>
  <si>
    <t>DAT_LI_CmdIgnSts
(CmdIgnSts)
Att_var@ LVDS_2_0.LVDS_IN_PM.SLAVE.SECONDARY</t>
  </si>
  <si>
    <t>REQ-0825945</t>
  </si>
  <si>
    <t>DAT_LI_CmdIgnSts
(CmdIgnSts)
Att_var@ LVDS_3_0.LVDS_IN_PM.SLAVE.HUD</t>
  </si>
  <si>
    <t>REQ-0824174</t>
  </si>
  <si>
    <t>DAT_LI_IgnitionOnCounter
(IgnitionOnCounter)
Att_var@ LVDS_1_0.LVDS_IN_PM.SLAVE.CENTRAL</t>
  </si>
  <si>
    <t>REQ-0824270</t>
  </si>
  <si>
    <t>DAT_LI_IgnitionOnCounter
(IgnitionOnCounter)
Att_var@ LVDS_2_0.LVDS_IN_PM.SLAVE.SECONDARY</t>
  </si>
  <si>
    <t>REQ-0825946</t>
  </si>
  <si>
    <t>DAT_LI_IgnitionOnCounter_x000D_
(IgnitionOnCounter
Att_var@ LVDS_3_0.LVDS_IN_PM.SLAVE.HUD</t>
  </si>
  <si>
    <t>REQ-0500891</t>
  </si>
  <si>
    <t>DAT_LO_TYPE_EVT_LVDS
(TYPE_EVT_CENTRAL)
Att_var@ LVDS_OUT.DEH_2020.SLAVE.CENTRAL</t>
  </si>
  <si>
    <t>REQ-0500893</t>
  </si>
  <si>
    <t>DAT_LO_TYPE_EVT_LVDS
(TYPE_EVT_2ND_TACT)
Att_var@ LVDS_OUT.DEH_2020.SLAVE.SECONDARY</t>
  </si>
  <si>
    <t>REQ-0500896</t>
  </si>
  <si>
    <t>DAT_LO_TYPE_EVT_LVDS
(TYPE_EVT_HUD)
Att_var@ LVDS_OUT.DEH_2020.SLAVE.HUD</t>
  </si>
  <si>
    <t>REQ-0600235</t>
  </si>
  <si>
    <t>DAT_LO_TYPE_EVT_LVDS
(FAULT_INFO_FRAME(1)
Att_var@ LVDS_OUT.LVDS3.DEH_2020.SLAVE</t>
  </si>
  <si>
    <t>REQ-0824180</t>
  </si>
  <si>
    <t>DAT_LO_FaultReception
(NotFound)
Att_var@ LVDS_1_0.LVDS_OUT_PM.SLAVE.CENTRAL</t>
  </si>
  <si>
    <t>REQ-0824279</t>
  </si>
  <si>
    <t>DAT_LO_FaultReception
(NotFound)
Att_var@ LVDS_2_0.LVDS_OUT_PM.SLAVE.SECONDARY</t>
  </si>
  <si>
    <t>REQ-0825947</t>
  </si>
  <si>
    <t>DAT_LO_FaultReception
(NotFound)
Att_var@ LVDS_3_0.LVDS_OUT_PM.SLAVE.HUD</t>
  </si>
  <si>
    <t>REQ-0824182</t>
  </si>
  <si>
    <t>DAT_LO_Defect_BCSDCode
(NotFound)
Att_var@ LVDS_1_0.LVDS_OUT_PM.SLAVE.CENTRAL</t>
  </si>
  <si>
    <t>REQ-0824280</t>
  </si>
  <si>
    <t>DAT_LO_Defect_BCSDCode
(NotApplicable)
Att_var@ LVDS_2_0.LVDS_OUT_PM.SLAVE.SECONDARY</t>
  </si>
  <si>
    <t>REQ-0825948</t>
  </si>
  <si>
    <t>DAT_LO_Defect_BCSDCode
(NotFound)
Att_var@ LVDS_3_0.LVDS_OUT_PM.SLAVE.HUD</t>
  </si>
  <si>
    <t>REQ-0416397</t>
  </si>
  <si>
    <t>DAT_DG_ECU_CODE_MASTER
(NoUpstreamRequest)
Att_var@ DIAG_RW.(DEH_2010+DEH_2020)</t>
  </si>
  <si>
    <t>REQ-0587468</t>
  </si>
  <si>
    <t>DAT_DG_ECU_CODE_TELLTALESBOX
(NoUpstreamRequest)
Att_var@ DIAG_RW.(DEH_2010+DEH_2020).CLUSTER_DEH</t>
  </si>
  <si>
    <t>REQ-0416398</t>
  </si>
  <si>
    <t>DAT_DG_ECU_CODE_LVDS_1
(NoUpstreamRequest)
Att_var@ DIAG_RW.(DEH_2010+DEH_2020).CENTRAL</t>
  </si>
  <si>
    <t>REQ-0416399</t>
  </si>
  <si>
    <t>DAT_DG_ECU_CODE_LVDS_2
(NoUpstreamRequest)
Att_var@ DIAG_RW.(DEH_2010+DEH_2020).SECONDARY</t>
  </si>
  <si>
    <t>REQ-0586768</t>
  </si>
  <si>
    <t>DAT_DG_ECU_CODE_LVDS_3
(NoUpstreamRequest)
Att_var@ DIAG_RW.(DEH_2010+DEH_2020).CLUSTER</t>
  </si>
  <si>
    <t>REQ-0586769</t>
  </si>
  <si>
    <t>DAT_DG_TYPE_CLUSTER_DIAG
(NoUpstreamRequest)
Att_var@ DIAG_RW.DEH_2010+DEH_2020</t>
  </si>
  <si>
    <t>REQ-0416400</t>
  </si>
  <si>
    <t>DAT_DG_ECU_CODE_LVDS_4
(NoUpstreamRequest)
Att_var@ DIAG_RW.(DEH_2010+DEH_2020).HUD</t>
  </si>
  <si>
    <t>REQ-0406636</t>
  </si>
  <si>
    <t>DAT_DG_TYPE_MESSAGE
(NoUpstreamRequest)
Att_var@ DIAG_RW.(DEH_2010+DEH_2020).CLUSTER_DEH</t>
  </si>
  <si>
    <t>REQ-0414346</t>
  </si>
  <si>
    <t>EV_LO_EVENEMENT_DEFAUT_DEH_2020
(EVENEMENT_DEFAUT_DEH_2020)
Att_var@ INTERNAL.DEH_2020.CLUSTER_DEH</t>
  </si>
  <si>
    <t>REQ-0413058</t>
  </si>
  <si>
    <t>EV_LO_EVENEMENT_DEFAUT_DEH_2020.TYPEEVENEMENT
Att_var@ INTERNAL.DEH_2020.CLUSTER_DEH</t>
  </si>
  <si>
    <t>REQ-0413059</t>
  </si>
  <si>
    <t>EV_LO_EVENEMENT_DEFAUT_DEH_2020.DATEDEFAUTBRUTE
Att_var@ INTERNAL.DEH_2020.CLUSTER_DEH</t>
  </si>
  <si>
    <t>REQ-0406550</t>
  </si>
  <si>
    <t>Specification flow name_x000D_
Description_x000D_
Specification flow Values_x000D_
Deleted requirement
Att_var@ NULL</t>
  </si>
  <si>
    <t>REQ-0406552</t>
  </si>
  <si>
    <t>EV_LO_EVENEMENT_DEFAUT_DEH_2020.RELEVANCEDATE
Att_var@ INTERNAL.DEH_2020.CLUSTER_DEH</t>
  </si>
  <si>
    <t>REQ-0406631</t>
  </si>
  <si>
    <t>EV_LO_EVENEMENT_DEFAUT_DEH_2020.DTCFORMATIDENTIFIER
Att_var@ INTERNAL.DEH_2020.CLUSTER_DEH</t>
  </si>
  <si>
    <t>REQ-0406633</t>
  </si>
  <si>
    <t>EV_LO_EVENEMENT_DEFAUT_DEH_2020.ECUCODE
Att_var@ INTERNAL.DEH_2020.CLUSTER_DEH</t>
  </si>
  <si>
    <t>REQ-0408823</t>
  </si>
  <si>
    <t>EV_LO_EVENEMENT_DEFAUT_DEH_2020.TYPEECU
Att_var@ INTERNAL.CLUSTER_DEH</t>
  </si>
  <si>
    <t>REQ-0408895</t>
  </si>
  <si>
    <t>REQ-0408896</t>
  </si>
  <si>
    <t>REQ-0408897</t>
  </si>
  <si>
    <t>REQ-0416357</t>
  </si>
  <si>
    <t>EV_LO_EVENEMENT_DEFAUT_DEH_2020.CODEDEFAUT
Att_var@ INTERNAL.DEH_2020.CLUSTER_DEH</t>
  </si>
  <si>
    <t>REQ-0416359</t>
  </si>
  <si>
    <t>EV_LO_EVENEMENT_DEFAUT_DEH_2020.FAULTMILEAGE
Att_var@ INTERNAL.DEH_2020.CLUSTER_DEH</t>
  </si>
  <si>
    <t>REQ-0406540</t>
  </si>
  <si>
    <t>DAT_LI_TOTAL_ODO
(ODOMETRE_TOTAL)
Att_var@ INTERNAL.(DEH_2010+DEH_2020).CLUSTER_DEH</t>
  </si>
  <si>
    <t>REQ-0413061</t>
  </si>
  <si>
    <t>REQ-0413062</t>
  </si>
  <si>
    <t>REQ-0416382</t>
  </si>
  <si>
    <t>DAT_DG_LVDS_LVDS_OUT_1
Att_var@ INTERNAL.(DEH_2020+DEH_2010)</t>
  </si>
  <si>
    <t>REQ-0416385</t>
  </si>
  <si>
    <t>DAT_DG_LVDS_LVDS_OUT_4_HUD/EHUD
Att_var@ INTERNAL.(DEH_2020+DEH_2010)</t>
  </si>
  <si>
    <t>REQ-0416386</t>
  </si>
  <si>
    <t>DAT_DG_LVDS_LVDS_OUT_2
Att_var@ INTERNAL.(DEH_2020+DEH_2010)</t>
  </si>
  <si>
    <t>REQ-0586770</t>
  </si>
  <si>
    <t>DAT_DG_LVDS_LVDS_OUT_3
Att_var@ INTERNAL.(DEH_2020+DEH_2010).CLUSTER</t>
  </si>
  <si>
    <t>REQ-0416378</t>
  </si>
  <si>
    <t>VAR_DATE_VALIDE
Att_var@ INTERNAL.(DEH_2010+DEH_2020).CLUSTER_DEH</t>
  </si>
  <si>
    <t>REQ-0416379</t>
  </si>
  <si>
    <t>VAR_COMPTEUR_TEMPOREL_LOCAL
Att_var@ INTERNAL.(DEH_2010+DEH_2020).CLUSTER_DEH</t>
  </si>
  <si>
    <t>REQ-0416380</t>
  </si>
  <si>
    <t>VAR_Fault_State
(Fault_State)
Att_var@ INTERNAL.(DEH_2010+DEH_2020).CLUSTER_DEH</t>
  </si>
  <si>
    <t>REQ-0416381</t>
  </si>
  <si>
    <t>VAR_Fault_Detection_Counter
(Fault_Detection_Counter)
Att_var@ INTERNAL.(DEH_2010+DEH_2020).CLUSTER_DEH</t>
  </si>
  <si>
    <t>REQ-0416368</t>
  </si>
  <si>
    <t>VAR_DEFAUT_MASTER
Att_var@ INTERNAL.DEH_2020.CLUSTER_DEH</t>
  </si>
  <si>
    <t>REQ-0416369</t>
  </si>
  <si>
    <t>VAR_DEFAUT_LVDS_1
Att_var@ INTERNAL.DEH_2020.CENTRAL</t>
  </si>
  <si>
    <t>REQ-0416376</t>
  </si>
  <si>
    <t>VAR_DEFAUT_LVDS_2
Att_var@ INTERNAL.DEH_2020.SECONDARY</t>
  </si>
  <si>
    <t>REQ-0586771</t>
  </si>
  <si>
    <t>VAR_DEFAUT_LVDS_3
Att_var@ INTERNAL.DEH_2020.CLUSTER</t>
  </si>
  <si>
    <t>REQ-0416371</t>
  </si>
  <si>
    <t>VAR_DEFAUT_LVDS_4
Att_var@ INTERNAL.DEH_2020.HUD</t>
  </si>
  <si>
    <t>REQ-0416372</t>
  </si>
  <si>
    <t>VAR_MILEAGE_MASTER
Att_var@ INTERNAL.DEH_2020.CLUSTER_DEH</t>
  </si>
  <si>
    <t>REQ-0416373</t>
  </si>
  <si>
    <t>VAR_MILEAGE_LVDS_1
Att_var@ INTERNAL.DEH_2020.CENTRAL</t>
  </si>
  <si>
    <t>REQ-0416374</t>
  </si>
  <si>
    <t>VAR_MILEAGE_LVDS_2
Att_var@ INTERNAL.DEH_2020.SECONDARY</t>
  </si>
  <si>
    <t>REQ-0586772</t>
  </si>
  <si>
    <t>VAR_MILEAGE_LVDS_3
Att_var@ INTERNAL.DEH_2020.CLUSTER</t>
  </si>
  <si>
    <t>REQ-0416375</t>
  </si>
  <si>
    <t>VAR_MILEAGE_LVDS_4
Att_var@ INTERNAL.DEH_2020.HUD</t>
  </si>
  <si>
    <t>REQ-0586775</t>
  </si>
  <si>
    <t>VAR_INVERSE_DTC_1
Att_var@ INTERNAL.DEH_2020.CENTRAL</t>
  </si>
  <si>
    <t>REQ-0586776</t>
  </si>
  <si>
    <t>VAR_INVERSE_DTC_2
Att_var@ INTERNAL.DEH_2020.SECONDARY</t>
  </si>
  <si>
    <t>REQ-0586773</t>
  </si>
  <si>
    <t>VAR_INVERSE_DTC_3
Att_var@ INTERNAL.DEH_2020.CLUSTER</t>
  </si>
  <si>
    <t>REQ-0586777</t>
  </si>
  <si>
    <t>VAR_INVERSE_DTC_4
Att_var@ INTERNAL.DEH_2020.HUD</t>
  </si>
  <si>
    <t>REQ-0416401</t>
  </si>
  <si>
    <t>VAR_DATE_DEFAUT_BRUTE_MASTER
Att_var@ INTERNAL.DEH_2020.CLUSTER_DEH</t>
  </si>
  <si>
    <t>REQ-0416402</t>
  </si>
  <si>
    <t>VAR_DATE_DEFAUT_BRUTE_LVDS_1
Att_var@ INTERNAL.DEH_2020.CENTRAL</t>
  </si>
  <si>
    <t>REQ-0416403</t>
  </si>
  <si>
    <t>VAR_DATE_DEFAUT_BRUTE_LVDS_2
Att_var@ INTERNAL.DEH_2020.SECONDARY</t>
  </si>
  <si>
    <t>REQ-0586774</t>
  </si>
  <si>
    <t>VAR_DATE_DEFAUT_BRUTE_LVDS_3
Att_var@ INTERNAL.DEH_2020.CLUSTER</t>
  </si>
  <si>
    <t>REQ-0416404</t>
  </si>
  <si>
    <t>VAR_DATE_DEFAUT_BRUTE_LVDS_4
Att_var@ INTERNAL.DEH_2020.HUD</t>
  </si>
  <si>
    <t>REQ-0388357</t>
  </si>
  <si>
    <t>If _x000D_
DAT_DG_TYPE_MESSAGE =  DEH2020 ECU _x000D_
Then_x000D_
The ECU shall set the internal variables VAR_COMPTEUR_TEMPOREL_LOCAL and VAR_DATE_VALIDE to 0 at the time of ECU initialization. _x000D_
EndIf
Att_var@ DEH_2010+DEH_2020.CLUSTER_DEH</t>
  </si>
  <si>
    <t>REQ-0390106</t>
  </si>
  <si>
    <t>If_x000D_
DAT_DG_TYPE_MESSAGE =  DEH2020 ECU _x000D_
Then_x000D_
The ECU shall be activated in standby, Activated, Nominal Run, Test Run, Crashed functional states: It should perform all the requirements of the AIS_DEFAULT_EVENT_CONSTRUCTION in all its life cycles._x000D_
EndIf_x000D_
The ECU should not be activated in demonstration functional states (MODE_CONFIG_VHL=Showroom)
Att_var@ (DEH_2010+DEH_2020).CLUSTER_DEH</t>
  </si>
  <si>
    <t>REQ-0390107</t>
  </si>
  <si>
    <t>If_x000D_
DAT_DG_TYPE_MESSAGE=  DEH2020 ECU _x000D_
Then_x000D_
The ECU shall perform a synchronization with DAT_LI_COMPTEUR_TEMPOREL_VEHICULE in less than 50ms, if the DAT_LI_COMPTEUR_TEMPOREL_VEHICULE information is different of UNAVAILABLE or INVALID :_x000D_
VAR_DATE_VALIDE = DAT_LI_COMPTEUR_TEMPOREL_VEHICULE_x000D_
EndIf
Att_var@ (DEH_2010+DEH_2020).CLUSTER_DEH</t>
  </si>
  <si>
    <t>REQ-0398964</t>
  </si>
  <si>
    <t>If_x000D_
DAT_DG_TYPE_MESSAGE =  DEH2020 ECU  _x000D_
Then_x000D_
The ECU shall not perform the synchronization if the DAT_LI_COMPTEUR_TEMPOREL_VEHICULE information received is equal to UNAVAILABLE or INVALID. _x000D_
EndIf
Att_var@ (DEH_2010+DEH_2020).CLUSTER_DEH</t>
  </si>
  <si>
    <t>REQ-0390203</t>
  </si>
  <si>
    <t>If _x000D_
DAT_DG_TYPE_MESSAGE =  DEH2020 ECU _x000D_
Then_x000D_
The ECU shall have a local dating counter VAR_COMPTEUR_TEMPOREL_LOCAL that is incremented each 100 ms before the first synchronization with DAT_LI_COMPTEUR_TEMPOREL_VEHICULE and between two synchronizations._x000D_
At each synchronization, VAR_COMPTEUR_TEMPOREL_LOCAL = 0._x000D_
     If _x000D_
     VAR_COMPTEUR_TEMPOREL_LOCAL has reached the maximum possible value,_x000D_
    Then _x000D_
     ECU shall freeze this value (no reset)._x000D_
     EndIf_x000D_
The VAR_COMPTEUR_TEMPOREL_LOCAL counter must not drift more than 100ms in 5 seconds._x000D_
EndIf
Att_var@ (DEH_2010+DEH_2020).CLUSTER_DEH</t>
  </si>
  <si>
    <t>REQ-0390204</t>
  </si>
  <si>
    <t>Fault on Master ECU and connected cameras_x000D_
If _x000D_
DAT_DG_TYPE_MESSAGE =  DEH2020 ECU  _x000D_
Then_x000D_
The ECU shall detect the moment of the first appearance of a fault on Master ECU and connected cameras: _x000D_
The first appearance of the fault is detected when : _x000D_
VAR_Fault_State = State_Absent AND first transition from VAR_Fault_Detection_Counter (N+1) &gt; VAR_Fault_Detection_Counter (N)_x000D_
OR_x000D_
VAR_Fault_State = State_Absent AND first transition from VAR_Fault_Detection_Counter = Passed_Threshold to VAR_Fault_Detection_Counter  ≠ Passed_Threshold_x000D_
EndIf_x000D_
N.B: The behaviour of ‘VAR_Fault_State’ and ‘VAR_Fault_Detection_Counter’ is given in the documents [6] and [7].
Att_var@ (DEH_2010+DEH_2020).CLUSTER_DEH</t>
  </si>
  <si>
    <t>REQ-0390205</t>
  </si>
  <si>
    <t>Fault on Master ECU and connected cameras_x000D_
If_x000D_
DAT_DG_TYPE_MESSAGE =  DEH2020 ECU_x000D_
 Then_x000D_
The ECU shall detect the moment of the first disappearance of a fault on Master ECU and connected cameras: _x000D_
._x000D_
The first disappearance of the fault is detected when: _x000D_
VAR_Fault_State = State_Present AND first transition from VAR_Fault_Detection_Counter (N+1) &lt; VAR_Fault_Detection_Counter (N)._x000D_
OR_x000D_
VAR_Fault_State = State_Present AND first transition from VAR_Fault_Detection_Counter = Failed_Threshold to VAR_Fault_Detection_Counter ≠ Failed_Threshold._x000D_
EndIf_x000D_
N.B: The behaviour of ‘VAR_Fault_State’ and ‘VAR_Fault_Detection_Counter’ is given in the documents [6] and [7].
Att_var@ DEH_2010+DEH_2020</t>
  </si>
  <si>
    <t>REQ-0390206</t>
  </si>
  <si>
    <t>Fault on Master ECU and connected cameras_x000D_
If _x000D_
DAT_DG_TYPE_MESSAGE=  DEH2020 ECU _x000D_
Then_x000D_
The ECU shall confirm the appearance of a fault on Master ECU and connected cameras: _x000D_
The fault appearance (EV_LO_EVENEMENT_DEFAUT_DEH_2020.TYPEEVENEMENT = Apparition) is confirmed when : _x000D_
Transition from VAR_Fault_State = State_Absent to VAR_Fault_State = State_Present _x000D_
OR_x000D_
Transition from VAR_Fault_State = State_Ponctual to VAR_Fault_State = State_Present_x000D_
EndIf_x000D_
N.B: The behaviour of ‘VAR_Fault_State’ is given in the documents [6] and [7].
Att_var@ (DEH_2010+DEH_2020).CLUSTER_DEH</t>
  </si>
  <si>
    <t>REQ-0390207</t>
  </si>
  <si>
    <t>B</t>
  </si>
  <si>
    <t>Particular case of a fault sent by a slave ECU:_x000D_
If _x000D_
DAT_DG_TYPE_MESSAGE =  DEH2020 ECU  _x000D_
Then_x000D_
   If_x000D_
   (DAT_DG_LVDS_LVDS_OUT_1!= Absence and     DAT_LI_TYPE_EVT_LVDS_1 becomes apparition)_x000D_
Or _x000D_
(DAT_DG_LVDS_LVDS_OUT_2!= Absence and DAT_LI_TYPE_EVT_LVDS_2 becomes apparition)_x000D_
Or _x000D_
(DAT_DG_LVDS_LVDS_OUT_4_HUD/EHUD!= Absence and DAT_LI_TYPE_EVT_LVDS_4 becomes apparition)_x000D_
 Then_x000D_
 The ECU shall confirm the appearance of a fault on connected slaves devices :_x000D_
EV_LO_EVENEMENT_DEFAUT_DEH_2020.TYPEEVENEMENT= Apparition_x000D_
  EndIf_x000D_
 EndIf
Att_var@ DEH_2010+DEH_2020</t>
  </si>
  <si>
    <t>REQ-0586778</t>
  </si>
  <si>
    <t>Particular case of a fault sent by a slave ECU:_x000D_
If _x000D_
DAT_DG_TYPE_MESSAGE =  DEH2020 ECU AND DAT_DG_TYPE_CLUSTER_DIAG = LVDS_x000D_
Then_x000D_
   If_x000D_
(DAT_DG_LVDS_LVDS_OUT_3 != Absence and DAT_LI_TYPE_EVT_LVDS_3 becomes apparition)_x000D_
Then_x000D_
 The ECU shall confirm the appearance of a fault on connected slaves devices :_x000D_
EV_LO_EVENEMENT_DEFAUT_DEH_2020.TYPEEVENEMENT= Apparition_x000D_
  EndIf_x000D_
 EndIf
Att_var@ (DEH_2010+DEH_2020).CLUSTER</t>
  </si>
  <si>
    <t>REQ-0390208</t>
  </si>
  <si>
    <t>Fault on Master ECU and connected cameras_x000D_
If_x000D_
DAT_DG_TYPE_MESSAGE =  DEH2020 ECU _x000D_
Then _x000D_
    If _x000D_
   Transition from VAR_Fault_State = State_Present to VAR_Fault_State = State_Absent _x000D_
   Then _x000D_
   The ECU shall confirm the disappearance of a fault on Master ECU and connected cameras: _x000D_
 _x000D_
EV_LO_EVENEMENT_DEFAUT_DEH_2020.TYPEEVENEMENT= disaparition_x000D_
   EndIf_x000D_
EndIf_x000D_
N.B: The behaviour of ‘VAR_Fault_State’ is given in the documents [6] and [7].
Att_var@ (DEH_2010+DEH_2020).CLUSTER_DEH</t>
  </si>
  <si>
    <t>REQ-0390209</t>
  </si>
  <si>
    <t>Particular case of a fault sent by a slave ECU:_x000D_
If_x000D_
DAT_DG_TYPE_MESSAGE =  DEH2020 ECU _x000D_
Then_x000D_
  If _x000D_
(DAT_DG_LVDS_LVDS_OUT_1 != Absence and DAT_LI_TYPE_EVT_LVDS_1 becomes disaparition)_x000D_
Or _x000D_
(DAT_DG_LVDS_LVDS_OUT_2 != Absence and DAT_LI_TYPE_EVT_LVDS_2 becomes disaparition)_x000D_
Or _x000D_
(DAT_DG_LVDS_LVDS_OUT_4_HUD/EHUD!= Absence and DAT_LI_TYPE_EVT_LVDS_4 becomes disaparition)_x000D_
  Then_x000D_
The ECU shall confirm the disappearance of a fault on connected slaves devices: _x000D_
EV_LO_EVENEMENT_DEFAUT_DEH_2020.TYPEEVENEMENT= disaparition_x000D_
   EndIf_x000D_
EndIf
Att_var@ DEH_2010+DEH_2020</t>
  </si>
  <si>
    <t>REQ-0390530</t>
  </si>
  <si>
    <t>Fault on Master ECU and connected cameras_x000D_
If _x000D_
DAT_DG_TYPE_MESSAGE =  DEH2020 ECU _x000D_
Then_x000D_
at the moment of the first detection of the appearance/disappearance of the fault on Master ECU and connected cameras _x000D_
The ECU shall freeze and store the fault date VAR_DATE_DEFAUT_BRUTE_MASTER with the associated fault code (DTC) on the VAR_DEFAUT_MASTER. _x000D_
1st case : _x000D_
The first synchronization already took place and the VAR_ COMPTEUR_TEMPOREL_LOCAL did not reach its maximum value yet: _x000D_
VAR_DATE_DEFAUT_BRUTE_MASTER=VAR_DATE_VALIDE +VAR_COMPTEUR_TEMPOREL_LOCAL_x000D_
2nd case: _x000D_
The first synchronization already took place and the VAR_COMPTEUR_TEMPOREL_LOCAL did reach its maximum value: _x000D_
VAR_DATE_DEFAUT_BRUTE_MASTER= INVALID_x000D_
3rd case: _x000D_
The first synchronization not already took place and the VAR_COMPTEUR_TEMPOREL_LOCAL did not reach its maximum value yet and VAR_COMPTEUR_TEMPOREL_LOCAL (immediately before synchro) &gt; VAR_DATE_VALIDE (after synchro): _x000D_
VAR_DATE_DEFAUT_BRUTE_MASTER= INVALID_x000D_
4th case: _x000D_
The first synchronization not already took place and the VAR_COMPTEUR_TEMPOREL_LOCAL did not reach its maximum value yet and VAR_COMPTEUR_TEMPOREL_LOCAL (immediately before synchro) &lt; DAT_LO_DATE_VALIDE (after synchro):  _x000D_
VAR_DATE_DEFAUT_BRUTE_MASTER= VAR_DATE_VALIDE (after synchro)  VAR_COMPTEUR_TEMPOREL_LOCAL (immediately before synchro) + DATE_DEFAUT_PROVISOIRE, with DATE_DEFAUT_PROVISOIRE, the value of VAR_COMPTEUR_TEMPOREL_LOCAL at the moment of the detection of (the appearance or the disappearance) of the fault._x000D_
5th case: _x000D_
No synchronization took place during the activation cycle of ECU._x000D_
At the first valid synchronization in the next activation cycle of ECU:_x000D_
VAR_DATE_DEFAUT_BRUTE_MASTER= INVALID _x000D_
EndIf
Att_var@ (DEH_2010+DEH_2020).CLUSTER_DEH</t>
  </si>
  <si>
    <t>REQ-0586779</t>
  </si>
  <si>
    <t>Particular case of a fault sent by a slave ECU:_x000D_
If_x000D_
DAT_DG_TYPE_MESSAGE =  DEH2020 ECU AND_x000D_
DAT_DG_TYPE_CLUSTER_DIAG = LVDS_x000D_
Then_x000D_
  If _x000D_
 DAT_DG_LVDS_LVDS_OUT_3 != Absence and DAT_LI_TYPE_EVT_LVDS_3  becomes disaparition)_x000D_
  Then_x000D_
The ECU shall confirm the disappearance of a fault on connected slaves devices: _x000D_
EV_LO_EVENEMENT_DEFAUT_DEH_2020.TYPEEVENEMENT= disaparition_x000D_
   EndIf_x000D_
EndIf
Att_var@ (DEH_2010+DEH_2020).CLUSTER</t>
  </si>
  <si>
    <t>REQ-0586780</t>
  </si>
  <si>
    <t>The ECU shall have the possibility to inverse the MSB and the LSB of the DTC received depending on the value of VAR_INVERSE_DTC_X. Supplier to Propose diversity management solution_x000D_
X= 1, 2, 3 ou 4
Att_var@ DEH_2020</t>
  </si>
  <si>
    <t>REQ-0586785</t>
  </si>
  <si>
    <t>If _x000D_
VAR_INVERSE_DTC_X = Active_x000D_
Then _x000D_
The ECU should  inverse the MSB and the LSB of the DTC signal received from the upstream network_x000D_
if_x000D_
VAR_INVERSE_DTC_X = Inactive_x000D_
Then _x000D_
The ECU should not inverse the MSB and the LSB of the DTC signal received on the upstream network
Att_var@ DEH_2020</t>
  </si>
  <si>
    <t>REQ-0586781</t>
  </si>
  <si>
    <t>The ECU shall store the DTC received from an upstream network in accordance to the endianness of the downstream network it is meant to be transmitted.
Att_var@ DEH_2020</t>
  </si>
  <si>
    <t>REQ-0390578</t>
  </si>
  <si>
    <t>Particular case of a fault sent by Central display:_x000D_
If_x000D_
DAT_DG_TYPE_MESSAGE = DEH2020 ECU or 2010EEA ECU_x000D_
Then_x000D_
  If_x000D_
  ((DAT_LI_TYPE_EVT_LVDS_1 becomes disaparition and EV_LO_EVENEMENT_DEFAUT_DEH_2020.TYPEEVENEMENT=disaparition) _x000D_
  Or_x000D_
  (DAT_LI_TYPE_EVT_LVDS_1 becomes apparition and EV_LO_EVENEMENT_DEFAUT_DEH_2020.TYPEEVENEMENT=apparition))_x000D_
   Then_x000D_
   The ECU shall freeze and store the fault date VAR_DATE_DEFAUT_BRUTE_LVDS_1  with the associated fault code (DTC)_x000D_
either inversed or not depending of the value of the parameter VAR_INVERSE_DTC_1_x000D_
VAR_DEFAUT_LVDS_1=DAT_LI_DEFAUT_LVDS_1_x000D_
1st case : _x000D_
The first synchronization already took place and the VAR_COMPTEUR_TEMPOREL_LOCAL did not reach its maximum value yet: _x000D_
VAR_DATE_DEFAUT_BRUTE_LVDS_1= VAR_DATE_VALIDE + VAR_COMPTEUR_TEMPOREL_LOCAL_x000D_
2nd case: _x000D_
The first synchronization already took place and the VAR_COMPTEUR_TEMPOREL_LOCAL did reach its maximum value: _x000D_
VAR_DATE_DEFAUT_BRUTE_LVDS_1= INVALID_x000D_
3rd case: _x000D_
The first synchronization not already took place and the VAR_COMPTEUR_TEMPOREL_LOCAL did not reach its maximum value yet and VAR_COMPTEUR_TEMPOREL_LOCAL (immediately before synchro) &gt; DATE_VALIDE (after synchro): _x000D_
VAR_DATE_DEFAUT_BRUTE_LVDS_1= INVALID_x000D_
4th case: _x000D_
The first synchronization not already took place and the VAR_COMPTEUR_TEMPOREL_LOCAL did not reach its maximum value yet and VAR_COMPTEUR_TEMPOREL_LOCAL (immediately before synchro) &lt; VAR_DATE_VALIDE (after synchro):  _x000D_
VAR_DATE_DEFAUT_BRUTE_LVDS_1=VAR_ DATE_VALIDE (after synchro) - VAR_COMPTEUR_TEMPOREL_LOCAL (immediately before synchro) + DATE_DEFAUT_PROVISOIRE, with DATE_DEFAUT_PROVISOIRE, the value of VAR_COMPTEUR_TEMPOREL_LOCAL at the moment of the confirmation (the appearance or the disappearance) of the fault._x000D_
5th case: _x000D_
No synchronization took place during the activation cycle of ECU._x000D_
At the first valid synchronization in the next activation cycle of ECU:_x000D_
VAR_DATE_DEFAUT_BRUTE_LVDS_1= INVALID _x000D_
   EndIf_x000D_
EndIf
Att_var@ (DEH_2010+DEH_2020).CENTRAL</t>
  </si>
  <si>
    <t>REQ-0416405</t>
  </si>
  <si>
    <t>Particular case of a fault sent by a Secondary display :_x000D_
If _x000D_
DAT_DG_TYPE_MESSAGE = DEH2020 ECU or 2010EEA ECU_x000D_
Then_x000D_
   If _x000D_
  ((DAT_LI_TYPE_EVT_LVDS_2 becomes disaparition and EV_LO_EVENEMENT_DEFAUT_DEH_2020.TYPEEVENEMENT=disaparition)_x000D_
  Or _x000D_
  (DAT_LI_TYPE_EVT_LVDS_2 becomes apparition and EV_LO_EVENEMENT_DEFAUT_DEH_2020.TYPEEVENEMENT=apparition))_x000D_
  Then_x000D_
  The ECU shall freeze and store the fault date VAR_DATE_DEFAUT_BRUTE_LVDS_2 with the associated fault code (DTC)_x000D_
either inversed or not depending of the value of the parameter VAR_INVERSE_DTC_2_x000D_
VAR_DEFAUT_LVDS_2=DAT_LI_DEFAUT_LVDS_2_x000D_
1st case : _x000D_
The first synchronization already took place and the VAR_COMPTEUR_TEMPOREL_LOCAL did not reach its maximum value yet: _x000D_
VAR_DATE_DEFAUT_BRUTE_LVDS_2= VAR_DATE_VALIDE + VAR_COMPTEUR_TEMPOREL_LOCAL_x000D_
2nd case: _x000D_
The first synchronization already took place and the VAR_COMPTEUR_TEMPOREL_LOCAL did reach its maximum value: _x000D_
VAR_DATE_DEFAUT_BRUTE_LVDS_2= INVALID_x000D_
3rd case: _x000D_
The first synchronization not already took place and the VAR_COMPTEUR_TEMPOREL_LOCAL did not reach its maximum value yet and VAR_COMPTEUR_TEMPOREL_LOCAL (immediately before synchro) &gt; DATE_VALIDE (after synchro): _x000D_
VAR_DATE_DEFAUT_BRUTE_LVDS_2= INVALID_x000D_
4th case: _x000D_
The first synchronization not already took place and the VAR_COMPTEUR_TEMPOREL_LOCAL did not reach its maximum value yet and VAR_COMPTEUR_TEMPOREL_LOCAL (immediately before synchro) &lt; VAR_DATE_VALIDE (after synchro):  _x000D_
VAR_DATE_DEFAUT_BRUTE_LVDS_2=VAR_ DATE_VALIDE (after synchro) - VAR_COMPTEUR_TEMPOREL_LOCAL (immediately before synchro) + DATE_DEFAUT_PROVISOIRE, with DATE_DEFAUT_PROVISOIRE, the value of VAR_COMPTEUR_TEMPOREL_LOCAL at the moment of the confirmation (the appearance or the disappearance) of the fault._x000D_
5th case: _x000D_
No synchronization took place during the activation cycle of ECU._x000D_
At the first valid synchronization in the next activation cycle of ECU:_x000D_
VAR_DATE_DEFAUT_BRUTE_LVDS_2= INVALID _x000D_
   EndIf_x000D_
EndIf
Att_var@ (DEH_2020+DEH_2010).SECONDARY</t>
  </si>
  <si>
    <t>REQ-0416406</t>
  </si>
  <si>
    <t>Particular case of a fault sent by HUD:_x000D_
If _x000D_
DAT_DG_TYPE_MESSAGE = DEH2020 ECU or 2010EEA ECU_x000D_
Then_x000D_
  If _x000D_
   ((DAT_LI_TYPE_EVT_LVDS_4 becomes disaparition and EV_LO_EVENEMENT_DEFAUT_DEH_2020.TYPEEVENEMENT=disaparition)_x000D_
 Or _x000D_
  (DAT_LI_TYPE_EVT_LVDS_4 becomes apparition and EV_LO_EVENEMENT_DEFAUT_DEH_2020.TYPEEVENEMENT=apparition))_x000D_
 Then_x000D_
 The ECU shall freeze and store the fault date (VAR_DATE_DEFAUT_BRUTE_LVDS_4) with the associated fault code (DTC)_x000D_
either inversed or not depending of the value of the parameter VAR_INVERSE_DTC_4_x000D_
VAR_DEFAUT_LVDS_4=DAT_LI_DEFAUT_LVDS_4_x000D_
1st case : _x000D_
The first synchronization already took place and the VAR_COMPTEUR_TEMPOREL_LOCAL did not reach its maximum value yet: _x000D_
VAR_DATE_DEFAUT_BRUTE_LVDS_4= VAR_DATE_VALIDE + VAR_COMPTEUR_TEMPOREL_LOCAL_x000D_
2nd case: _x000D_
The first synchronization already took place and the VAR_COMPTEUR_TEMPOREL_LOCAL did reach its maximum value: _x000D_
VAR_DATE_DEFAUT_BRUTE_LVDS_4= INVALID_x000D_
3rd case: _x000D_
The first synchronization not already took place and the VAR_COMPTEUR_TEMPOREL_LOCAL did not reach its maximum value yet and VAR_COMPTEUR_TEMPOREL_LOCAL (immediately before synchro) &gt; DATE_VALIDE (after synchro): _x000D_
VAR_DATE_DEFAUT_BRUTE_LVDS_4= INVALID_x000D_
4th case: _x000D_
The first synchronization not already took place and the VAR_COMPTEUR_TEMPOREL_LOCAL did not reach its maximum value yet and VAR_COMPTEUR_TEMPOREL_LOCAL (immediately before synchro) &lt; VAR_DATE_VALIDE (after synchro):  _x000D_
VAR_DATE_DEFAUT_BRUTE_LVDS_4=VAR_ DATE_VALIDE (after synchro) - VAR_COMPTEUR_TEMPOREL_LOCAL (immediately before synchro) + DATE_DEFAUT_PROVISOIRE, with DATE_DEFAUT_PROVISOIRE, the value of VAR_COMPTEUR_TEMPOREL_LOCAL at the moment of the confirmation of the (appearance/disappearance) of the fault._x000D_
5th case: _x000D_
No synchronization took place during the activation cycle of ECU._x000D_
At the first valid synchronization in the next activation cycle of ECU:_x000D_
VAR_DATE_DEFAUT_BRUTE_LVDS_4= INVALID _x000D_
   EndIf_x000D_
EndIf
Att_var@ (DEH_2020+DEH_2010).HUD</t>
  </si>
  <si>
    <t>REQ-0586786</t>
  </si>
  <si>
    <t>Particular case of a fault sent by CLUSTER display using LVDS:_x000D_
If_x000D_
DAT_DG_TYPE_MESSAGE =  DEH2020 ECU AND _x000D_
DAT_DG_TYPE_CLUSTER_DIAG = LVDS_x000D_
Then_x000D_
  If_x000D_
  ((DAT_LI_TYPE_EVT_LVDS_3 becomes disaparition and EV_LO_EVENEMENT_DEFAUT_DEH_2020.TYPEEVENEMENT=disaparition) _x000D_
  Or_x000D_
  (DAT_LI_TYPE_EVT_LVDS_3 becomes apparition and EV_LO_EVENEMENT_DEFAUT_DEH_2020.TYPEEVENEMENT=apparition))_x000D_
   Then_x000D_
   The ECU shall freeze and store the fault date VAR_DATE_DEFAUT_BRUTE_LVDS_3  with the associated fault code (DTC)_x000D_
either inversed or not depending of the value of the parameter VAR_INVERSE_DTC_3_x000D_
VAR_DEFAUT_LVDS_1=DAT_LI_DEFAUT_LVDS_3_x000D_
1st case : _x000D_
The first synchronization already took place and the VAR_COMPTEUR_TEMPOREL_LOCAL did not reach its maximum value yet: _x000D_
VAR_DATE_DEFAUT_BRUTE_LVDS_3 = VAR_DATE_VALIDE + VAR_COMPTEUR_TEMPOREL_LOCAL_x000D_
2nd case: _x000D_
The first synchronization already took place and the VAR_COMPTEUR_TEMPOREL_LOCAL did reach its maximum value: _x000D_
VAR_DATE_DEFAUT_BRUTE_LVDS_3= INVALID_x000D_
3rd case: _x000D_
The first synchronization not already took place and the VAR_COMPTEUR_TEMPOREL_LOCAL did not reach its maximum value yet and VAR_COMPTEUR_TEMPOREL_LOCAL (immediately before synchro) &gt; DATE_VALIDE (after synchro): _x000D_
VAR_DATE_DEFAUT_BRUTE_LVDS_3= INVALID_x000D_
4th case: _x000D_
The first synchronization not already took place and the VAR_COMPTEUR_TEMPOREL_LOCAL did not reach its maximum value yet and VAR_COMPTEUR_TEMPOREL_LOCAL (immediately before synchro) &lt; VAR_DATE_VALIDE (after synchro):  _x000D_
VAR_DATE_DEFAUT_BRUTE_LVDS_3=VAR_ DATE_VALIDE (after synchro) - VAR_COMPTEUR_TEMPOREL_LOCAL (immediately before synchro) + DATE_DEFAUT_PROVISOIRE, with DATE_DEFAUT_PROVISOIRE, the value of VAR_COMPTEUR_TEMPOREL_LOCAL at the moment of the confirmation (the appearance or the disappearance) of the fault._x000D_
5th case: _x000D_
No synchronization took place during the activation cycle of ECU._x000D_
At the first valid synchronization in the next activation cycle of ECU:_x000D_
VAR_DATE_DEFAUT_BRUTE_LVDS_3 = INVALID _x000D_
   EndIf_x000D_
EndIf
Att_var@ (DEH_2010+DEH_2020).CLUSTER</t>
  </si>
  <si>
    <t>REQ-0390623</t>
  </si>
  <si>
    <t>REQ-0394901</t>
  </si>
  <si>
    <t>REQ-0394902</t>
  </si>
  <si>
    <t>REQ-0394903</t>
  </si>
  <si>
    <t>Fault on Master ECU and connected cameras_x000D_
If _x000D_
DAT_DG_TYPE_MESSAGE=  DEH2020 ECU _x000D_
Then_x000D_
at the moment of the first detection of the appearance/disappearance of the fault_x000D_
The ECU shall freeze and store the value of the mileage _x000D_
VAR_MILEAGE_MASTER =DAT_LI_TOTAL_ODO_x000D_
EndIf
Att_var@ DEH_2020.CLUSTER_DEH</t>
  </si>
  <si>
    <t>REQ-0416407</t>
  </si>
  <si>
    <t>Particular case of a fault sent by Central display: _x000D_
If _x000D_
DAT_DG_TYPE_MESSAGE=  DEH2020 ECU _x000D_
Then_x000D_
   If _x000D_
   ((DAT_LI_TYPE_EVT_LVDS_1  becomes disaparition and EV_LO_EVENEMENT_DEFAUT_DEH_2020.TYPEEVENEMENT=disaparition) _x000D_
   Or_x000D_
   (DAT_LI_TYPE_EVT_LVDS_1 becomes apparition and EV_LO_EVENEMENT_DEFAUT_DEH_2020.TYPEEVENEMENT=apparition))_x000D_
  Then _x000D_
  The ECU shall freeze and store the value of the mileage _x000D_
  VAR_MILEAGE_LVDS_1 =DAT_LI_TOTAL_ODO_x000D_
   EndIf_x000D_
EndIf
Att_var@ DEH_2020.CENTRAL</t>
  </si>
  <si>
    <t>REQ-0416408</t>
  </si>
  <si>
    <t>Particular case of a fault sent by Secondary display: _x000D_
If _x000D_
DAT_DG_TYPE_MESSAGE=  DEH2020 ECU _x000D_
Then_x000D_
  If _x000D_
  ((DAT_LI_TYPE_EVT_LVDS_2 becomes disaparition and EV_LO_EVENEMENT_DEFAUT_DEH_2020.TYPEEVENEMENT=disaparition) _x000D_
  Or _x000D_
  (DAT_LI_TYPE_EVT_LVDS_2 becomes apparition and EV_LO_EVENEMENT_DEFAUT_DEH_2020.TYPEEVENEMENT=apparition))_x000D_
  Then _x000D_
  The ECU shall freeze and store the value of the mileage _x000D_
  VAR_MILEAGE_LVDS_2 =DAT_LI_TOTAL_ODO_x000D_
  EndIf_x000D_
EndIf
Att_var@ DEH_2020.SECONDARY</t>
  </si>
  <si>
    <t>REQ-0416409</t>
  </si>
  <si>
    <t>Particular case of a fault sent by HUD: _x000D_
If DAT_DG_TYPE_MESSAGE=  DEH2020 ECU _x000D_
Then_x000D_
  If_x000D_
  ((DAT_LI_TYPE_EVT_LVDS_4 becomes disaparition and EV_LO_EVENEMENT_DEFAUT_DEH_2020.TYPEEVENEMENT=disaparition) _x000D_
  Or _x000D_
   (DAT_LI_TYPE_EVT_LVDS_4 becomes apparition and EV_LO_EVENEMENT_DEFAUT_DEH_2020.TYPEEVENEMENT=apparition))_x000D_
  Then_x000D_
   The ECU shall freeze and store the value of the mileage _x000D_
   VAR_MILEAGE_LVDS_4 =DAT_LI_TOTAL_ODO_x000D_
   EndIf_x000D_
EndIf
Att_var@ DEH_2020.HUD</t>
  </si>
  <si>
    <t>REQ-0586787</t>
  </si>
  <si>
    <t>Particular case of a fault sent by CLUSTER display using LVDS: _x000D_
If _x000D_
DAT_DG_TYPE_MESSAGE=  DEH2020 ECU AND_x000D_
DAT_DG_TYPE_CLUSTER_DIAG = LVDS_x000D_
Then_x000D_
   If _x000D_
   ((DAT_LI_TYPE_EVT_LVDS_3  becomes disaparition and EV_LO_EVENEMENT_DEFAUT_DEH_2020.TYPEEVENEMENT=disaparition) _x000D_
   Or_x000D_
   (DAT_LI_TYPE_EVT_LVDS_3 becomes apparition and EV_LO_EVENEMENT_DEFAUT_DEH_2020.TYPEEVENEMENT=apparition))_x000D_
  Then _x000D_
  The ECU shall freeze and store the value of the mileage _x000D_
  VAR_MILEAGE_LVDS_3 =DAT_LI_TOTAL_ODO_x000D_
   EndIf_x000D_
EndIf
Att_var@ DEH_2020.CLUSTER</t>
  </si>
  <si>
    <t>REQ-0395537</t>
  </si>
  <si>
    <t>REQ-0395538</t>
  </si>
  <si>
    <t>REQ-0395904</t>
  </si>
  <si>
    <t>Fault on Master ECU and connected cameras: _x000D_
If _x000D_
(DAT_DG_TYPE_MESSAGE =  DEH2020 ECU and EV_LO_EVENEMENT_DEFAUT_DEH_2020.TYPE_EVENEMENT = apparition)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 _x000D_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Apparition _x000D_
EV_LO_EVENEMENT_DEFAUT_DEH_2020.DATEDEFAUTBRUTE=VAR_DATE_DEFAUT_BRUTE_MASTER_x000D_
EV_LO_EVENEMENT_DEFAUT_DEH_2020.FAULTMILEAGE=VAR_MILEAGE_MASTER_x000D_
EV_LO_EVENEMENT_DEFAUT_DEH_2020.TYPEECU = DEH2020 ECU_x000D_
EV_LO_EVENEMENT_DEFAUT_DEH_2020.RELEVANCE = PERTINENT_x000D_
EV_LO_EVENEMENT_DEFAUT_DEH_2020.ECUCODE = DAT_DG_ECU_CODE_MASTER_x000D_
EV_LO_EVENEMENT_DEFAUT_DEH_2020.DTCFormatIdentifier ="00 = SAE_J2012-DA_DTCFormat_00" _x000D_
EV_LO_EVENEMENT_DEFAUT_DEH_2020.CODEDEFAUT=VAR_DEFAUT_MASTER _x000D_
        EndIf_x000D_
EndIf
Att_var@ DEH_2020.CLUSTER_DEH</t>
  </si>
  <si>
    <t>REQ-0416412</t>
  </si>
  <si>
    <t>Particular case of a fault sent by Central display: _x000D_
If _x000D_
(DAT_DG_TYPE_MESSAGE=  DEH2020 ECU and DAT_LI_TYPE_EVT_LVDS_1 becomes apparition and _x000D_
EV_LO_EVENEMENT_DEFAUT_DEH_2020.TYPE_EVENEMENT = apparition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apparition _x000D_
EV_LO_EVENEMENT_DEFAUT_DEH_2020.FAULTMILEAGE=VAR_MILEAGE_LVDS_1_x000D_
EV_LO_EVENEMENT_DEFAUT_DEH_2020.TYPEECU = DEH2020 ECU_x000D_
EV_LO_EVENEMENT_DEFAUT_DEH_2020.RELEVANCE = NON PERTINENT_x000D_
EV_LO_EVENEMENT_DEFAUT_DEH_2020.ECUCODE =DAT_DG_ECU_CODE_LVDS_1_x000D_
EV_LO_EVENEMENT_DEFAUT_DEH_2020.DTCFormatIdentifier ="00 = SAE_J2012-DA_DTCFormat_00" _x000D_
EV_LO_EVENEMENT_DEFAUT_DEH_2020.CODEDEFAUT=VAR_DEFAUT_LVDS_1_x000D_
        EndIf_x000D_
EndIf
Att_var@ DEH_2020.CENTRAL</t>
  </si>
  <si>
    <t>REQ-0416413</t>
  </si>
  <si>
    <t>Particular case of a fault sent by Secondary display: _x000D_
If _x000D_
(DAT_DG_TYPE_MESSAGE=DEH2020 ECU and DAT_LI_TYPE_EVT_LVDS_2 becomes apparition and EV_LO_EVENEMENT_DEFAUT_DEH_2020.TYPE_EVENEMENT = apparition)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 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apparition _x000D_
EV_LO_EVENEMENT_DEFAUT_DEH_2020.FAULTMILEAGE=VAR_MILEAGE_LVDS_2_x000D_
EV_LO_EVENEMENT_DEFAUT_DEH_2020.TYPEECU = DEH2020 ECU_x000D_
EV_LO_EVENEMENT_DEFAUT_DEH_2020.RELEVANCE = NON PERTINENT_x000D_
EV_LO_EVENEMENT_DEFAUT_DEH_2020.ECUCODE = DAT_DG_ECU_CODE_LVDS_2_x000D_
EV_LO_EVENEMENT_DEFAUT_DEH_2020.DTCFormatIdentifier ="00 = SAE_J2012-DA_DTCFormat_00" _x000D_
EV_LO_EVENEMENT_DEFAUT_DEH_2020.CODEDEFAUT=VAR_DEFAUT_LVDS_2_x000D_
        EndIf_x000D_
EndIf
Att_var@ DEH_2020.SECONDARY</t>
  </si>
  <si>
    <t>REQ-0416414</t>
  </si>
  <si>
    <t>Particular case of a fault sent by HUD_x000D_
If _x000D_
(DAT_DG_TYPE_MESSAGE=  DEH2020 ECU and DAT_LI_TYPE_EVT_LVDS_4 becomes apparition and EV_LO_EVENEMENT_DEFAUT_DEH_2020.TYPE_EVENEMENT = apparition)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apparition _x000D_
EV_LO_EVENEMENT_DEFAUT_DEH_2020.FAULTMILEAGE=VAR_MILEAGE_LVDS_4_x000D_
EV_LO_EVENEMENT_DEFAUT_DEH_2020.TYPEECU = DEH2020 ECU_x000D_
EV_LO_EVENEMENT_DEFAUT_DEH_2020.RELEVANCE = NON PERTINENT_x000D_
EV_LO_EVENEMENT_DEFAUT_DEH_2020.ECUCODE = DAT_DG_ECU_CODE_LVDS_4_x000D_
EV_LO_EVENEMENT_DEFAUT_DEH_2020.DTCFormatIdentifier ="00 = SAE_J2012-DA_DTCFormat_00" _x000D_
EV_LO_EVENEMENT_DEFAUT_DEH_2020.CODEDEFAUT=VAR_DEFAUT_LVDS_4_x000D_
        EndIf_x000D_
EndIf
Att_var@ DEH_2020.HUD</t>
  </si>
  <si>
    <t>REQ-0586788</t>
  </si>
  <si>
    <t>Particular case of a fault sent by CLUSTER display using LVDS: _x000D_
If _x000D_
(DAT_DG_TYPE_MESSAGE=  DEH2020 ECU  AND DAT_DG_TYPE_CLUSTER_DIAG = LVDS AND_x000D_
DAT_LI_TYPE_EVT_LVDS_3 becomes apparition AND _x000D_
EV_LO_EVENEMENT_DEFAUT_DEH_2020.TYPE_EVENEMENT = apparition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apparition _x000D_
EV_LO_EVENEMENT_DEFAUT_DEH_2020.FAULTMILEAGE=VAR_MILEAGE_LVDS_3_x000D_
EV_LO_EVENEMENT_DEFAUT_DEH_2020.TYPEECU = DEH2020 ECU_x000D_
EV_LO_EVENEMENT_DEFAUT_DEH_2020.RELEVANCE = NON PERTINENT_x000D_
EV_LO_EVENEMENT_DEFAUT_DEH_2020.ECUCODE =DAT_DG_ECU_CODE_LVDS_3_x000D_
EV_LO_EVENEMENT_DEFAUT_DEH_2020.DTCFormatIdentifier ="00 = SAE_J2012-DA_DTCFormat_00" _x000D_
EV_LO_EVENEMENT_DEFAUT_DEH_2020.CODEDEFAUT=VAR_DEFAUT_LVDS_3_x000D_
        EndIf_x000D_
EndIf
Att_var@ DEH_2020.CLUSTER</t>
  </si>
  <si>
    <t>REQ-0395905</t>
  </si>
  <si>
    <t>Fault on Master ECU and connected cameras: _x000D_
If _x000D_
(DAT_DG_TYPE_MESSAGE=  DEH2020 ECU and EV_LO_EVENEMENT_DEFAUT_DEH_2020.TYPE_EVENEMENT = disaparition) 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disaparition _x000D_
EV_LO_EVENEMENT_DEFAUT_DEH_2020.DATEDEFAUTBRUTE=VAR_DATE_DEFAUT_BRUTE_MASTER_x000D_
EV_LO_EVENEMENT_DEFAUT_DEH_2020.FAULTMILEAGE=VAR_MILEAGE_MASTER_x000D_
EV_LO_EVENEMENT_DEFAUT_DEH_2020.TYPEECU = DEH2020 ECU_x000D_
EV_LO_EVENEMENT_DEFAUT_DEH_2020.RELEVANCE = PERTINENT_x000D_
EV_LO_EVENEMENT_DEFAUT_DEH_2020.ECUCODE = DAT_DG_ECU_CODE_MASTER_x000D_
EV_LO_EVENEMENT_DEFAUT_DEH_2020.DTCFormatIdentifier ="00 = SAE_J2012-DA_DTCFormat_00" _x000D_
EV_LO_EVENEMENT_DEFAUT_DEH_2020.CODEDEFAUT=VAR_DEFAUT_MASTER _x000D_
        EndIf_x000D_
EndIf
Att_var@ DEH_2020.CLUSTER_DEH</t>
  </si>
  <si>
    <t>REQ-0416415</t>
  </si>
  <si>
    <t>Particular case of a fault sent by Central Display_x000D_
If _x000D_
(DAT_DG_TYPE_MESSAGE=  DEH2020 ECU and DAT_LI_TYPE_EVT_LVDS_1 becomes disparition and EV_LO_EVENEMENT_DEFAUT_DEH_2020.TYPE_EVENEMENT = disaparition)_x000D_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disaparition _x000D_
EV_LO_EVENEMENT_DEFAUT_DEH_2020.FAULTMILEAGE=VAR_MILEAGE_LVDS_1_x000D_
EV_LO_EVENEMENT_DEFAUT_DEH_2020.TYPEECU = DEH2020 ECU_x000D_
EV_LO_EVENEMENT_DEFAUT_DEH_2020.RELEVANCE = NON PERTINENT_x000D_
EV_LO_EVENEMENT_DEFAUT_DEH_2020.ECUCODE = DAT_DG_ECU_CODE_LVDS_1_x000D_
EV_LO_EVENEMENT_DEFAUT_DEH_2020.DTCFormatIdentifier ="00 = SAE_J2012-DA_DTCFormat_00" _x000D_
EV_LO_EVENEMENT_DEFAUT_DEH_2020.CODEDEFAUT=VAR_DEFAUT_LVDS_1_x000D_
        EndIf_x000D_
EndIf
Att_var@ DEH_2020.CENTRAL</t>
  </si>
  <si>
    <t>REQ-0416416</t>
  </si>
  <si>
    <t>Particular case of a fault sent by Secondary Display_x000D_
If _x000D_
(DAT_DG_TYPE_MESSAGE=  DEH2020 ECU and DAT_LI_TYPE_EVT_LVDS_2 becomes disaparition and EV_LO_EVENEMENT_DEFAUT_DEH_2020.TYPE_EVENEMENT = disaparition)_x000D_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 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disaparition _x000D_
EV_LO_EVENEMENT_DEFAUT_DEH_2020.FAULTMILEAGE=VAR_MILEAGE_LVDS_2_x000D_
EV_LO_EVENEMENT_DEFAUT_DEH_2020.TYPEECU = DEH2020 ECU_x000D_
EV_LO_EVENEMENT_DEFAUT_DEH_2020.RELEVANCE = NON PERTINENT_x000D_
EV_LO_EVENEMENT_DEFAUT_DEH_2020.ECUCODE = DAT_DG_ECU_CODE_LVDS_2_x000D_
EV_LO_EVENEMENT_DEFAUT_DEH_2020.DTCFormatIdentifier ="00 = SAE_J2012-DA_DTCFormat_00" _x000D_
EV_LO_EVENEMENT_DEFAUT_DEH_2020.CODEDEFAUT=VAR_DEFAUT_LVDS_2_x000D_
        EndIf_x000D_
EndIf
Att_var@ DEH_2020.SECONDARY</t>
  </si>
  <si>
    <t>REQ-0416417</t>
  </si>
  <si>
    <t>Particular case of a fault sent by HUD_x000D_
If _x000D_
(DAT_DG_TYPE_MESSAGE=  DEH2020 ECU and DAT_LI_TYPE_EVT_LVDS_4 becomes disaparition and EV_LO_EVENEMENT_DEFAUT_DEH_2020.TYPE_EVENEMENT = disaparition)_x000D_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disaparition _x000D_
EV_LO_EVENEMENT_DEFAUT_DEH_2020.FAULTMILEAGE=VAR_MILEAGE_LVDS_4_x000D_
EV_LO_EVENEMENT_DEFAUT_DEH_2020.TYPEECU = DEH2020 ECU_x000D_
EV_LO_EVENEMENT_DEFAUT_DEH_2020.RELEVANCE = NON PERTINENT_x000D_
EV_LO_EVENEMENT_DEFAUT_DEH_2020.ECUCODE = DAT_DG_ECU_CODE_LVDS_4_x000D_
EV_LO_EVENEMENT_DEFAUT_DEH_2020.DTCFormatIdentifier ="00 = SAE_J2012-DA_DTCFormat_00" _x000D_
EV_LO_EVENEMENT_DEFAUT_DEH_2020.CODEDEFAUT=VAR_DEFAUT_LVDS_4_x000D_
        EndIf_x000D_
EndIf
Att_var@ DEH_2020.HUD</t>
  </si>
  <si>
    <t>REQ-0586789</t>
  </si>
  <si>
    <t>Particular case of a fault sent by CLUSTER Display using LVDS_x000D_
If _x000D_
(DAT_DG_TYPE_MESSAGE=  DEH2020 ECU AND DAT_DG_TYPE_CLUSTER_DIAG = LVDS and DAT_LI_TYPE_EVT_LVDS_3 becomes disparition and EV_LO_EVENEMENT_DEFAUT_DEH_2020.TYPE_EVENEMENT = disaparition)_x000D_
Then_x000D_
   If _x000D_
   DAT_LI_COMPTEUR_TEMPOREL_VEHICULE is received with a value different from invalid or unavailable_x000D_
   Then_x000D_
   The ECU shall trigger the fault event EV_LO_EVENEMENT_DEFAUT_DEH_2020 with the information stored in memory at the time of the freezing of contexts._x000D_
   Else if _x000D_
   DAT_LI_COMPTEUR_TEMPOREL_VEHICULE is not received with a value different from invalid or unavailable,_x000D_
   Then_x000D_
   The  ECU shall keep in memory the fault event EV_LO_EVENEMENT_DEFAUT_DEH_2020  and trigger it as soon as DAT_LI_COMPTEUR_TEMPOREL_VEHICULE is received with a value different from invalid or unavailable_x000D_
The fault event is completed with the following information:_x000D_
EV_LO_EVENEMENT_DEFAUT_DEH_2020.TYPE_EVENEMENT= disaparition _x000D_
EV_LO_EVENEMENT_DEFAUT_DEH_2020.FAULTMILEAGE=VAR_MILEAGE_LVDS_3_x000D_
EV_LO_EVENEMENT_DEFAUT_DEH_2020.TYPEECU = DEH2020 ECU_x000D_
EV_LO_EVENEMENT_DEFAUT_DEH_2020.RELEVANCE = NON PERTINENT_x000D_
EV_LO_EVENEMENT_DEFAUT_DEH_2020.ECUCODE = DAT_DG_ECU_CODE_LVDS_3_x000D_
EV_LO_EVENEMENT_DEFAUT_DEH_2020.DTCFormatIdentifier ="00 = SAE_J2012-DA_DTCFormat_00" _x000D_
EV_LO_EVENEMENT_DEFAUT_DEH_2020.CODEDEFAUT=VAR_DEFAUT_LVDS_3_x000D_
        EndIf_x000D_
EndIf
Att_var@ DEH_2020.CLUSTER</t>
  </si>
  <si>
    <t>REQ-0395906</t>
  </si>
  <si>
    <t>REQ-0398283</t>
  </si>
  <si>
    <t>If_x000D_
DAT_DG_TYPE_MESSAGE=  DEH2020 ECU_x000D_
Then_x000D_
The ECU shall not generate any fault event message, for faults which are not cleared with a request from the diagnostic tool (e.g.: downloading not done, variant coding not done, learning not done, etc.), neither at the time of the appearance, nor at the time of the disappearance of the fault._x000D_
EndIf
Att_var@ DEH_2020.CLUSTER_DEH</t>
  </si>
  <si>
    <t>REQ-0395907</t>
  </si>
  <si>
    <t>The ECU shall implement a mechanism to switch from the DEH_2020 to the JDD_2010 (switch by calibration : DAT_DG_TYPE_MESSAGE).
Att_var@ (DEH_2010+DEH_2020).CLUSTER_DEH</t>
  </si>
  <si>
    <t>REQ-0485467</t>
  </si>
  <si>
    <t>If _x000D_
DAT_DG_TYPE_MESSAGE=  EEA2010 ECU _x000D_
Then_x000D_
   If _x000D_
   DAT_DG_LVDS_LVDS_OUT_1!= Absence_x000D_
   AND_x000D_
   DAT_LI_DEFAUT_LVDS_1 !=0XFFFFFF And  DAT_LI_DEFAUT_LVDS_1 is similar to the last received value _x000D_
   AND_x000D_
   DAT_LI_TYPE_EVT_LVDS_1 switchs from appearance to disapearance or conversely_x000D_
   Then _x000D_
    if not unknown the ECU shall record the fault event in its FHU by putting the sender ECU CODE DAT_DG_ECU_CODE_LVDS_1 in the filed “Number ECU”and by inserting the information(DATE_DEFAUT_HAB_Y, CONTEXTES_DEFAUT_HAB_Y) freeze during the reception of the slave fault event._x000D_
   End if._x000D_
End if._x000D_
Please refer to the document [10] for more details about  DATE_DEFAUT_HAB_Y, CONTEXTES_DEFAUT_HAB_Y and Number ECU parameters
Att_var@ DEH_2010.CENTRAL</t>
  </si>
  <si>
    <t>REQ-0485468</t>
  </si>
  <si>
    <t>If _x000D_
DAT_DG_TYPE_MESSAGE=  EEA2010 ECU _x000D_
Then_x000D_
   If _x000D_
   DAT_DG_LVDS_LVDS_OUT_4_HUD/EHUD!= Absence _x000D_
   AND_x000D_
   DAT_LI_DEFAUT_LVDS_4 !=0XFFFFFF And DAT_LI_DEFAUT_LVDS_4 is similar to the last received value _x000D_
   AND_x000D_
   DAT_LI_TYPE_EVT_LVDS_4 switchs from appearance to disapearance or conversely_x000D_
   Then _x000D_
    if not unknown the ECU shall record the fault event in its FHU by putting the sender ECU CODE DAT_DG_ECU_CODE_LVDS_4 in the filed “Number ECU”and by inserting the information(DATE_DEFAUT_HAB_Y, CONTEXTES_DEFAUT_HAB_Y) freeze during the reception of the slave fault event._x000D_
   End if._x000D_
End if._x000D_
Please refer to the document [10] for more details about  DATE_DEFAUT_HAB_Y, CONTEXTES_DEFAUT_HAB_Y and Number ECU parameters.
Att_var@ DEH_2010.HUD</t>
  </si>
  <si>
    <t>REQ-0586790</t>
  </si>
  <si>
    <t>If _x000D_
DAT_DG_TYPE_MESSAGE=  EEA2010 ECU AND DAT_DG_TYPE_CLUSTER_DIAG = LVDS_x000D_
Then_x000D_
   If _x000D_
   DAT_DG_LVDS_LVDS_OUT_3!= Absence_x000D_
   AND_x000D_
   DAT_LI_DEFAUT_LVDS_3 !=0XFFFFFF And  DAT_LI_DEFAUT_LVDS_3 is similar to the last received value _x000D_
   AND_x000D_
   DAT_LI_TYPE_EVT_LVDS_3 switchs from appearance to disapearance or conversely_x000D_
   Then _x000D_
    if not unknown the ECU shall record the fault event in its FHU by putting the sender ECU CODE DAT_DG_ECU_CODE_LVDS_3 in the filed “Number ECU” and by inserting the information(DATE_DEFAUT_HAB_Y, CONTEXTES_DEFAUT_HAB_Y) freeze during the reception of the slave fault event._x000D_
   End if._x000D_
End if._x000D_
Please refer to the document [10] for more details about  DATE_DEFAUT_HAB_Y, CONTEXTES_DEFAUT_HAB_Y and Number ECU parameters
Att_var@ DEH_2010.CLUSTER</t>
  </si>
  <si>
    <t>REQ-0500908</t>
  </si>
  <si>
    <t>The slave ECU should send :  _x000D_
DAT_LO_TYPE_EVT_LVDS = apparition when_x000D_
Transition from VAR_Fault_State = State_Absent to VAR_Fault_State = State_Present _x000D_
OR_x000D_
Transition from VAR_Fault_State = State_Ponctual to VAR_Fault_State = State_Present_x000D_
EndIf_x000D_
N.B: The behaviour of ‘VAR_Fault_State’ is given in the documents [6] and [7].
Att_var@ DEH_2020.SLAVE</t>
  </si>
  <si>
    <t>REQ-0500909</t>
  </si>
  <si>
    <t>The slave ECU should send :  _x000D_
DAT_LO_TYPE_EVT_LVDS = disparition when_x000D_
Transition from VAR_Fault_State = State_Present to VAR_Fault_State = State_Absent_x000D_
EndIf_x000D_
N.B: The behaviour of ‘VAR_Fault_State’ is given in the documents [6] and [7].
Att_var@ DEH_2020.SLAVE</t>
  </si>
  <si>
    <t>REQ-0776480</t>
  </si>
  <si>
    <t>If the fault events messages have not been transmitted to the DEH server before the end of the current operation cycle, the ECU shall transmit them at the next operation cycle.
Att_var@ DEH_2020.DEH_R2</t>
  </si>
  <si>
    <t>REQ-0776481</t>
  </si>
  <si>
    <t>Upon its wakeup, the ECU shall ensure that a fault present during the previous operation cycle do not generate a fault event message transmission as long as the associated diagnostic has not been performed.
Att_var@ DEH_2020.DEH_R2</t>
  </si>
  <si>
    <t>REQ-0776482</t>
  </si>
  <si>
    <t>In the network life phases when sending of fault event messages to the DEH server is prohibited but the internal storage of faults is possible (Bus off, fault of loss of communication with the DEH server, mute mode,specific state of life phases in which the transmission are not possible), the ECU shall store in non-volatile memory, at least for each fault, the last event of appearance and the last event of disappearance of the fault for later sending them to the DEH server.
Att_var@ DEH_2020.DEH_R2</t>
  </si>
  <si>
    <t>REQ-0776483</t>
  </si>
  <si>
    <t>The ECU shall send the fault events, which are stored - because of the unavailability of the vehicle communication network or the premature shut down the electronic control unit - when the network return to Normal mode. For each fault, if the number of stored events is odd, the ECU shall transmit only the last fault event message to the JDD server. If this number is even, the ECU shall transmit the two last fault events messages by respecting their chronology (the oldest is sent the first).
Att_var@ DEH_2020.DEH_R2</t>
  </si>
  <si>
    <t>REQ-0776484</t>
  </si>
  <si>
    <t>The ECU shall have completely finished transmitting a fault event before transmitting another. The complete transmission of a fault event includes re-transmissions because of lack of acknowledgement by the DEH server.
Att_var@ DEH_2020.DEH_R2</t>
  </si>
  <si>
    <t>REQ-0485451</t>
  </si>
  <si>
    <t>DAT_LI_ETAT_PRINCIP_SEV
(ETAT_PRINCIP_SEV)
Att_var@ CANHS7_IN.(DEH_2010+DEH_2020).CLUSTER_DEH</t>
  </si>
  <si>
    <t>REQ-0712328</t>
  </si>
  <si>
    <t>DAT_LI_ETAT_PRINCIP_SEV
(ETAT_PRINCIP_SEV)
Att_var@ CANFD7_IN.DEH_R2</t>
  </si>
  <si>
    <t>REQ-0587523</t>
  </si>
  <si>
    <t>DAT_LI_ETAT_PRINCIP_SEV
(ETAT_PRINCIP_SEV)
Att_var@ CANHS4_IN.(DEH_2010+DEH_2020).CLUSTER_DEH</t>
  </si>
  <si>
    <t>REQ-0757885</t>
  </si>
  <si>
    <t>DAT_LI_ETAT_PRINCIP_SEV
(ETAT_PRINCIP_SEV)
Att_var@ CANHS3_IN.DEH_2010.CLUSTER_DEH</t>
  </si>
  <si>
    <t>REQ-0600237</t>
  </si>
  <si>
    <t>DAT_LI_DEM_EFFAC_DEF_LVDS_3
(REQ_GLOBAL_DELETE_INTERNAL_DEF_ON_NETWORKS)
Att_var@ LVDS_IN.LVDS3.DEH_2020.SLAVE</t>
  </si>
  <si>
    <t>REQ-0586791</t>
  </si>
  <si>
    <t>EV_LI_DEM_EFFAC_DEF_LVDS_1
Att_var@ LVDS_IN.DEH_2020.SLAVE.CENTRAL</t>
  </si>
  <si>
    <t>REQ-0586792</t>
  </si>
  <si>
    <t>EV_LI_DEM_EFFAC_DEF_LVDS_2
Att_var@ LVDS_IN.DEH_2020.SLAVE.SECONDARY</t>
  </si>
  <si>
    <t>REQ-0586793</t>
  </si>
  <si>
    <t>EV_LI_DEM_EFFAC_DEF_LVDS_4
Att_var@ LVDS_IN.DEH_2020.SLAVE.HUD</t>
  </si>
  <si>
    <t>REQ-0416715</t>
  </si>
  <si>
    <t>EV_LO_DEM_EFFAC_DEF_LVDS_1
Att_var@ LVDS_OUT.DEH_2020.CENTRAL</t>
  </si>
  <si>
    <t>REQ-0416716</t>
  </si>
  <si>
    <t>EV_LO_DEM_EFFAC_DEF_LVDS_2
Att_var@ LVDS_OUT.DEH_2020.SECONDARY</t>
  </si>
  <si>
    <t>REQ-0416718</t>
  </si>
  <si>
    <t>EV_LO_DEM_EFFAC_DEF_LVDS_4
Att_var@ LVDS_OUT.DEH_2020.HUD</t>
  </si>
  <si>
    <t>REQ-0586794</t>
  </si>
  <si>
    <t>EV_LO_DEM_EFFAC_DEF_LVDS_3
Att_var@ LVDS_OUT.LVDS3.DEH_2020.CLUSTER</t>
  </si>
  <si>
    <t>REQ-0416576</t>
  </si>
  <si>
    <t>DAT_DG_TYPE_MESSAGE
(NoUpstreamRequest)
Att_var@ DIAG_RW.(DEH_2020+DEH_2010).CLUSTER_DEH</t>
  </si>
  <si>
    <t>REQ-0406337</t>
  </si>
  <si>
    <t>DAT_LI_REQ_GLOBAL_DELETE_INTERNAL_DEF_ON_NETWORKS
(REQ_GLOBAL_DELETE_INTERNAL_DEF_ON_NETWORKS)
Att_var@ INTERNAL.(DEH_2010+DEH_2020).CLUSTER_DEH</t>
  </si>
  <si>
    <t>REQ-0407673</t>
  </si>
  <si>
    <t>DAT_LI_DIAG_MUX_ON
Att_var@ INTERNAL.(DEH_2020+DEH_2010).CLUSTER_DEH</t>
  </si>
  <si>
    <t>REQ-0396037</t>
  </si>
  <si>
    <t>If _x000D_
DAT_DG_TYPE_MESSAGE=  DEH2020 ECU _x000D_
Then_x000D_
     If _x000D_
      DAT_LI_ETAT_PRINCIP_SEV= Stop_x000D_
     The ECU shall not activate the deletion of the internal fault memory ._x000D_
(the deletion of the internal fault memory  shall be activated only on   Activated functional state(ETAT_PRINCIP_SEV = CONTACT)_x000D_
     End IF _x000D_
End IF
Att_var@ (DEH_2010+DEH_2020).CLUSTER_DEH</t>
  </si>
  <si>
    <t>REQ-0396119</t>
  </si>
  <si>
    <t>If _x000D_
DAT_DG_TYPE_MESSAGE=  DEH2020 ECU _x000D_
Then_x000D_
The ECU shall clear its internal faults memory in less than 3,8s after  3 consecutive reception of the faults clear request DAT_LI_REQ_GLOBAL_DELETE_INTERNAL_DEF_ON_NETWORKS = ACTIVE  within one second._x000D_
EndIf
Att_var@ (DEH_2010+DEH_2020).CLUSTER_DEH</t>
  </si>
  <si>
    <t>REQ-0407570</t>
  </si>
  <si>
    <t>If _x000D_
DAT_DG_TYPE_MESSAGE=  DEH2020 ECU_x000D_
Then_x000D_
The ECU shall ignore the "request of global clearing of vehicle faults" DAT_LI_REQ_GLOBAL_DELETE_INTERNAL_DEF_ON_NETWORKS when the DAT_LI_DIAG_MUX_ON =autorisation_x000D_
EndIf
Att_var@ (DEH_2020+DEH_2010).CLUSTER_DEH</t>
  </si>
  <si>
    <t>REQ-0416735</t>
  </si>
  <si>
    <t>Fault on LVDS_1 Device _x000D_
If _x000D_
DAT_DG_TYPE_MESSAGE=  DEH2020 ECU _x000D_
Then_x000D_
After three times consecutive  reception of  the faults clear request DAT_LI_REQ_GLOBAL_DELETE_INTERNAL_DEF_ON_NETWORKS = ACTIVE  within one second._x000D_
Then the ECU  should send  the Frame:_x000D_
LVDS_1_CMDE_DGT_x000D_
with the specific value:_x000D_
EV_LO_DEM_EFFAC_DEF_LVDS_1= Clearing request_x000D_
EndIf
Att_var@ (DEH_2020+DEH_2010).CENTRAL</t>
  </si>
  <si>
    <t>REQ-0416736</t>
  </si>
  <si>
    <t>Fault on LVDS_2 Device_x000D_
If _x000D_
DAT_DG_TYPE_MESSAGE=  DEH2020 ECU _x000D_
Then_x000D_
After three times consecutive  reception of  the faults clear request DAT_LI_REQ_GLOBAL_DELETE_INTERNAL_DEF_ON_NETWORKS = ACTIVE  within one second._x000D_
Then the ECU  should send the Frame:_x000D_
LVDS_2_CMDE_DGT_x000D_
with the specific value:_x000D_
EV_LO_DEM_EFFAC_DEF_LVDS_2= Clearing request_x000D_
EndIf
Att_var@ (DEH_2020+DEH_2010).SECONDARY</t>
  </si>
  <si>
    <t>REQ-0416737</t>
  </si>
  <si>
    <t>Fault on LVDS_4 Device_x000D_
If DAT_DG_TYPE_MESSAGE=  DEH2020 ECU _x000D_
Then_x000D_
After three times consecutive  reception of  the faults clear request DAT_LI_REQ_GLOBAL_DELETE_INTERNAL_DEF_ON_NETWORKS = ACTIVE  within one second._x000D_
Then the ECU  should send the Frame:_x000D_
LVDS_4_CDE_VTH_4_x000D_
with the specific value:_x000D_
EV_LO_DEM_EFFAC_DEF_LVDS_4= Clearing request_x000D_
EndIf
Att_var@ (DEH_2020+DEH_2010).HUD</t>
  </si>
  <si>
    <t>REQ-0586795</t>
  </si>
  <si>
    <t>Fault on LVDS_3 Device _x000D_
If _x000D_
DAT_DG_TYPE_MESSAGE=  DEH2020 ECU AND _x000D_
DAT_DG_TYPE_CLUSTER_DIAG = LVDS_x000D_
Then_x000D_
After three times consecutive  reception of  the faults clear request DAT_LI_REQ_GLOBAL_DELETE_INTERNAL_DEF_ON_NETWORKS = ACTIVE  within one second._x000D_
Then the ECU  should send  the Frame:_x000D_
LVDS_3_CMDE_DGT_x000D_
with the specific value:_x000D_
EV_LO_DEM_EFFAC_DEF_LVDS_3= Clearing request_x000D_
EndIf
Att_var@ (DEH_2020+DEH_2010).CLUSTER</t>
  </si>
  <si>
    <t>REQ-0500919</t>
  </si>
  <si>
    <t>Central_display slave should clear its internal fault memory in less than 3.8s when reception of frame LVDS_1_CMDE_DGT_x000D_
With the specific value _x000D_
EV_LI_DEM_EFFAC_DEF_LVDS_1= Clearing request
Att_var@ DEH_2020.CENTRAL.SLAVE</t>
  </si>
  <si>
    <t>REQ-0500920</t>
  </si>
  <si>
    <t>Secondary_display slave should clear its internal fault memory in less than 3.8s when reception of frame:_x000D_
 LVDS_2_CMDE_DGT_x000D_
With the specific value:_x000D_
EV_LI_DEM_EFFAC_DEF_LVDS_2= Clearing request
Att_var@ DEH_2020.SECONDARY.SLAVE</t>
  </si>
  <si>
    <t>REQ-0500921</t>
  </si>
  <si>
    <t>VTH should clear its internal fault memory memory in less than 3.8s when reception of frame _x000D_
LVDS_4_CDE_VTH_4_x000D_
With the specific value _x000D_
EV_LI_DEM_EFFAC_DEF_LVDS_4= Clearing request
Att_var@ DEH_2020.HUD.SLAVE</t>
  </si>
  <si>
    <t>REQ-0600567</t>
  </si>
  <si>
    <t>Cluster display slave should clear its internal fault memory in less than 3.8s when reception of frame LVDS_3_CMDE_DGT_x000D_
With the specific value _x000D_
DAT_LI_DEM_EFFAC_DEF_LVDS_3 = Clearing request
Att_var@ DEH_2020.CLUSTER.SLAVE</t>
  </si>
  <si>
    <t>REQ-0413631</t>
  </si>
  <si>
    <t>VAR_COMPTEUR_TEMPOREL_LOCAL
Att_var@ INTERNAL.(DEH_2020+DEH_2010).CLUSTER_DEH</t>
  </si>
  <si>
    <t>REQ-0415979</t>
  </si>
  <si>
    <t>DAT_LI_ACQUITEMENT_MED
Att_var@ INTERNAL.(DEH_2010+DEH_2020).CLUSTER_DEH</t>
  </si>
  <si>
    <t>REQ-0416738</t>
  </si>
  <si>
    <t>REQ-0415976</t>
  </si>
  <si>
    <t>If_x000D_
DAT_DG_TYPE_MESSAGE=  DEH2020 ECU _x000D_
Then_x000D_
DAT_LI_ACQUITTEMENT_MED is defined on 1 byte as follows:_x000D_
_x0001__x000D_
EndIf
Att_var@ DEH_2020.CLUSTER_DEH</t>
  </si>
  <si>
    <t>REQ-0586801</t>
  </si>
  <si>
    <t>If _x000D_
DAT_DG_TYPE_MESSAGE= DEH2020 ECU _x000D_
Then_x000D_
The ECU shall acquire the fault event acknowledge message transmitted by the Fault History Unit (FHU)._x000D_
EndIf
Att_var@ (DEH_2020+DEH_2010).CLUSTER_DEH</t>
  </si>
  <si>
    <t>REQ-0587524</t>
  </si>
  <si>
    <t>If_x000D_
DAT_DG_TYPE_MESSAGE=  DEH2020 ECU _x000D_
Then_x000D_
The ECU shall take into account only fault event acknowledge message that includes its own ECU number. The value of the ECU no., coded on 1 byte and specific to each ECU, _x000D_
Bit 7_x000D_
Bit 6_x000D_
Bit 5_x000D_
Bit 4_x000D_
Bit 3_x000D_
Bit 2_x000D_
Bit 1_x000D_
Bit 0_x000D_
ECU no. (Code Unité Electronique)_x000D_
EndIf
Att_var@ (DEH_2020+DEH_2010).CLUSTER_DEH</t>
  </si>
  <si>
    <t>REQ-0587525</t>
  </si>
  <si>
    <t>If _x000D_
DAT_DG_TYPE_MESSAGE=  DEH2020 ECU _x000D_
Then_x000D_
The ECU shall ensure that the VAR_COMPTEUR_TEMPOREL_LOCAL counter must not drift more than 100ms in 5 seconds._x000D_
EndIf
Att_var@ (DEH_2020+DEH_2010).CLUSTER_DEH</t>
  </si>
  <si>
    <t>REQ-0587526</t>
  </si>
  <si>
    <t>If _x000D_
DAT_DG_TYPE_MESSAGE=  DEH2020 ECU _x000D_
Then_x000D_
The ECU shall leave at least 100 ms between the frames that constitute a given fault event message. A fault event message is the pair of frames characterizing the fault transmitted to the Fault History Unit (FHU)._x000D_
EndIf
Att_var@ (DEH_2020+DEH_2010).CLUSTER_DEH</t>
  </si>
  <si>
    <t>REQ-0587527</t>
  </si>
  <si>
    <t>If _x000D_
DAT_DG_TYPE_MESSAGE=  DEH2020 ECU _x000D_
Then_x000D_
The ECU shall not exceed 5 seconds to complete the whole process of transmission of a fault event message to the JDD server._x000D_
EndIf
Att_var@ (DEH_2020+DEH_2010).CLUSTER_DEH</t>
  </si>
  <si>
    <t>REQ-0407342</t>
  </si>
  <si>
    <t>REQ-0407344</t>
  </si>
  <si>
    <t>REQ-0561661</t>
  </si>
  <si>
    <t>If _x000D_
DAT_DG_TYPE_MESSAGE=  DEH2020 ECU _x000D_
Then   _x000D_
The ECU should send/receive the acknowledgment and the defect event frame only when the network is in nominal or com-off mode ( ECU receives DAT_LI_PHASE_VIE_CAN = Normal mode or DAT_LI_PHASE_VIE_CAN = COM_OFF   .
Att_var@ DEH_2020.CLUSTER_DEH</t>
  </si>
  <si>
    <t>REQ-0485147</t>
  </si>
  <si>
    <t>DAT_LI_PHASE_VIE_CAN
(CDE_PDV_CAN_HS7)
Att_var@ CANHS7_IN.(DEH_2020+DEH_2010).CLUSTER_DEH</t>
  </si>
  <si>
    <t>REQ-0587528</t>
  </si>
  <si>
    <t>Specification flow name_x000D_
Description_x000D_
Specification flow Values_x000D_
Network signal values_x000D_
Network Signal name_x000D_
Network Frame name_x000D_
DAT_LI_PHASE_VIE_CAN
(CDE_PDV_CAN_HS4)
Att_var@ CANHS4_IN.(DEH_2020+DEH_2010).CLUSTER_DEH</t>
  </si>
  <si>
    <t>REQ-0757888</t>
  </si>
  <si>
    <t>Specification flow name_x000D_
Description_x000D_
Specification flow Values_x000D_
Network signal values_x000D_
Network Signal name_x000D_
Network Frame name_x000D_
DAT_LI_PHASE_VIE_CAN_x000D_
This flow describes CAN LS life phases_x000D_
Standy_x000D_
Normal mode_x000D_
Switch to standby_x000D_
Wake_x000D_
COM_OFF_x000D_
Standby=000:Standby_x000D_
Normal mode=001:Normal mode_x000D_
Switch to standby=010:Switch to standby_x000D_
Wake=011:Wake_x000D_
COM_OFF=100:COM_OFF_x000D_
Not used=111:Not used_x000D_
PHASE_VIE_x000D_
HS3_COMMANDES_BSI
Att_var@ CANHS3_IN.DEH_2010.CLUSTER_DEH</t>
  </si>
  <si>
    <t>REQ-0712329</t>
  </si>
  <si>
    <t>DAT_LI_PHASE_VIE_CAN
(CDE_PDV_CAN_HS7)
Att_var@ CANFD7_IN.DEH_R2</t>
  </si>
  <si>
    <t>REQ-0416581</t>
  </si>
  <si>
    <t>REQ-0407341</t>
  </si>
  <si>
    <t>DAT_LI_REQ_GLOBAL_DELETE_INTERNAL_DEF_ON_NETWORKS
Att_var@ INTERNAL.(DEH_2020+DEH_2010).CLUSTER_DEH</t>
  </si>
  <si>
    <t>REQ-0485454</t>
  </si>
  <si>
    <t>REQ-0416974</t>
  </si>
  <si>
    <t>DAT_LI_DEFAUT_LVDS_1
Att_var@ INTERNAL.DEH_2020.CENTRAL</t>
  </si>
  <si>
    <t>REQ-0416975</t>
  </si>
  <si>
    <t>DAT_LI_DEFAUT_LVDS_2
Att_var@ INTERNAL.DEH_2020.SECONDARY</t>
  </si>
  <si>
    <t>REQ-0586796</t>
  </si>
  <si>
    <t>DAT_LI_DEFAUT_LVDS_3
Att_var@ INTERNAL.DEH_2020.CLUSTER</t>
  </si>
  <si>
    <t>REQ-0416976</t>
  </si>
  <si>
    <t>DAT_LI_DEFAUT_LVDS_4
Att_var@ INTERNAL.DEH_2020.HUD</t>
  </si>
  <si>
    <t>REQ-0416978</t>
  </si>
  <si>
    <t>REQ-0500924</t>
  </si>
  <si>
    <t>DAT_LO_DEFAUT_LVDS
(CENTRAL_DISPLAY)
Att_var@ LVDS_OUT.DEH_2020.SLAVE.CENTRAL</t>
  </si>
  <si>
    <t>REQ-0500925</t>
  </si>
  <si>
    <t>DAT_LO_DEFAUT_LVDS
(DEFAUT_2ND_DISPLAY)
Att_var@ LVDS_OUT.DEH_2020.SLAVE.SECONDARY</t>
  </si>
  <si>
    <t>REQ-0500926</t>
  </si>
  <si>
    <t>DAT_LO_DEFAUT_LVDS
(FAULT_INFO_FRAME(1)
Att_var@ LVDS_OUT.DEH_2020.SLAVE.HUD</t>
  </si>
  <si>
    <t>REQ-0600236</t>
  </si>
  <si>
    <t>DAT_LO_DEFAUT_LVDS
(FAULT_INFO_FRAME(1)
Att_var@ LVDS_OUT.LVDS3.DEH_2020.SLAVE</t>
  </si>
  <si>
    <t>REQ-0416979</t>
  </si>
  <si>
    <t>If _x000D_
DAT_DG_TYPE_MESSAGE=  DEH2020 ECU _x000D_
Then_x000D_
   When ECU receives :_x000D_
   DAT_LI_DEFAUT_LVDS_1 = 0xFFFFFF,_x000D_
   OR _x000D_
   DAT_LI_DEFAUT_LVDS_2 = 0xFFFFFF,_x000D_
   OR _x000D_
   DAT_LI_DEFAUT_LVDS_3 = 0xFFFFFF,_x000D_
   Then _x000D_
   It sends no fault event message._x000D_
EndIf
Att_var@ DEH_2020</t>
  </si>
  <si>
    <t>REQ-0500927</t>
  </si>
  <si>
    <t>When _x000D_
slave ECU does not have a new fault information to upload:_x000D_
then_x000D_
   DAT_LO_DEFAUT_LVDS = 0xFFFFFF,_x000D_
EndIf
Att_var@ DEH_2020.SLAVE</t>
  </si>
  <si>
    <t>REQ-0586797</t>
  </si>
  <si>
    <t>If _x000D_
DAT_DG_TYPE_MESSAGE=  DEH2020 ECU AND DAT_DG_TYPE_CLUSTER_DIAG = LVDS_x000D_
Then_x000D_
   When ECU receives :_x000D_
   DAT_LI_DEFAUT_LVDS_3 = 0xFFFFFF,_x000D_
   Then _x000D_
   It sends no fault event message._x000D_
EndIf
Att_var@ DEH_2020.CLUSTER</t>
  </si>
  <si>
    <t>REQ-0793031</t>
  </si>
  <si>
    <t>If a slave ECU does not have a new fault information to upload (appearance or disappearance), it puts a specific fault, “LIN or LVDS fault not present” code 0xFFFFFF, in the 3 bytes “DTC” and the value 0x1F for the byte “Safety mode” of the periodic status frame header.
Att_var@ FAULT_INFO.SLAVE</t>
  </si>
  <si>
    <t>REQ-0968124</t>
  </si>
  <si>
    <t>When_x000D_
slave ECU does not have a new fault information to upload:_x000D_
then_x000D_
   DAT_LO_Defect_BCSDCode= 0xFFFFFF,_x000D_
EndIf
Att_var@ FAULT_INFO.SLAVE</t>
  </si>
  <si>
    <t>REQ-1011554</t>
  </si>
  <si>
    <t>The Slave ECU  has a new fault information to upload_x000D_
It’s shall  tansmite the fault detection and Confirmation :_x000D_
DAT_LO_Defect_BCSDCode (3 bytes of Diagnostic Trouble code) _x000D_
And_x000D_
DAT_LO_FaultReception(appearance or disappearance)
Att_var@ FAULT_INFO.SLAVE</t>
  </si>
  <si>
    <t>REQ-1011555</t>
  </si>
  <si>
    <t>If appearance of a fault is confirmed _x000D_
The slave ECU shall send :  _x000D_
DAT_LO_FaultReception= Appearance_x000D_
And _x000D_
DAT_LO_Defect_BCSDCode refer to the (CS.00099 or CS.00253 for more details)
Att_var@ FAULT_INFO.SLAVE</t>
  </si>
  <si>
    <t>REQ-1011556</t>
  </si>
  <si>
    <t>If disappearance of a fault is confirmed _x000D_
The slave ECU shall send :  _x000D_
DAT_LO_FaultReception= Disappearance_x000D_
And _x000D_
DAT_LO_Defect_BCSDCode refer to the (CS.00099 or CS.00253 for more details)
Att_var@ FAULT_INFO.SLAVE</t>
  </si>
  <si>
    <t xml:space="preserve"> 25Q4- 12/12/2025</t>
  </si>
  <si>
    <t xml:space="preserve">01843_25_00535
  </t>
  </si>
  <si>
    <t>1.0</t>
  </si>
  <si>
    <t>CCB_BRAIN_0060_A_00 : Pack RFQ v1 DM17F
- DM17F</t>
  </si>
  <si>
    <r>
      <t>Nom/</t>
    </r>
    <r>
      <rPr>
        <sz val="10"/>
        <color indexed="12"/>
        <rFont val="Arial"/>
        <family val="2"/>
      </rPr>
      <t>Name</t>
    </r>
    <r>
      <rPr>
        <sz val="10"/>
        <rFont val="Arial"/>
        <family val="2"/>
      </rPr>
      <t xml:space="preserve"> : SOUAD NISSABOURI </t>
    </r>
  </si>
  <si>
    <r>
      <t>Nom/</t>
    </r>
    <r>
      <rPr>
        <sz val="10"/>
        <color indexed="12"/>
        <rFont val="Arial"/>
        <family val="2"/>
      </rPr>
      <t>Name</t>
    </r>
    <r>
      <rPr>
        <sz val="10"/>
        <rFont val="Arial"/>
        <family val="2"/>
      </rPr>
      <t xml:space="preserve"> : Melissa BONNARDEL</t>
    </r>
  </si>
  <si>
    <r>
      <t>Nom/</t>
    </r>
    <r>
      <rPr>
        <sz val="10"/>
        <color indexed="12"/>
        <rFont val="Arial"/>
        <family val="2"/>
      </rPr>
      <t>Name</t>
    </r>
    <r>
      <rPr>
        <sz val="10"/>
        <rFont val="Arial"/>
        <family val="2"/>
      </rPr>
      <t xml:space="preserve"> : SEBASTIEN WEBER</t>
    </r>
  </si>
  <si>
    <t>DM17F (CD DEH)</t>
  </si>
  <si>
    <t>02017_18_04575_V22_RSP-0001654_FCT_GEN_CD_DEH_FR_EN.docx</t>
  </si>
  <si>
    <r>
      <t xml:space="preserve">Dates figeage spécifications
</t>
    </r>
    <r>
      <rPr>
        <b/>
        <sz val="10"/>
        <color rgb="FF0000FF"/>
        <rFont val="Arial"/>
        <family val="2"/>
      </rPr>
      <t>Frozen dates specification</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</si>
  <si>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</si>
  <si>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EXE/PDT/SWE/CKPT/CIDI/DICD</t>
    </r>
  </si>
</sst>
</file>

<file path=xl/styles.xml><?xml version="1.0" encoding="utf-8"?>
<styleSheet xmlns="http://schemas.openxmlformats.org/spreadsheetml/2006/main" xmlns:mc="http://schemas.openxmlformats.org/markup-compatibility/2006" xmlns:x14ac="http://schemas.microsoft.com/office/spreadsheetml/2009/9/ac" mc:Ignorable="x14ac">
  <fonts count="71" x14ac:knownFonts="1">
    <font>
      <sz val="10"/>
      <name val="Arial"/>
    </font>
    <font>
      <sz val="11"/>
      <color theme="1"/>
      <name val="宋体"/>
      <family val="2"/>
      <scheme val="minor"/>
    </font>
    <font>
      <sz val="10"/>
      <name val="Arial"/>
      <family val="2"/>
    </font>
    <font>
      <sz val="10"/>
      <name val="Arial"/>
      <family val="2"/>
    </font>
    <font>
      <sz val="8"/>
      <name val="Arial"/>
      <family val="2"/>
    </font>
    <font>
      <b/>
      <sz val="10"/>
      <name val="Arial"/>
      <family val="2"/>
    </font>
    <font>
      <u/>
      <sz val="10"/>
      <color indexed="12"/>
      <name val="Arial"/>
      <family val="2"/>
    </font>
    <font>
      <b/>
      <sz val="10"/>
      <name val="Arial"/>
      <family val="2"/>
    </font>
    <font>
      <sz val="9"/>
      <name val="Arial"/>
      <family val="2"/>
    </font>
    <font>
      <b/>
      <sz val="9"/>
      <name val="Arial"/>
      <family val="2"/>
    </font>
    <font>
      <b/>
      <sz val="9"/>
      <color indexed="12"/>
      <name val="Arial"/>
      <family val="2"/>
    </font>
    <font>
      <sz val="10"/>
      <color indexed="12"/>
      <name val="Arial"/>
      <family val="2"/>
    </font>
    <font>
      <b/>
      <sz val="10"/>
      <color indexed="12"/>
      <name val="Arial"/>
      <family val="2"/>
    </font>
    <font>
      <i/>
      <sz val="10"/>
      <name val="Arial"/>
      <family val="2"/>
    </font>
    <font>
      <i/>
      <sz val="10"/>
      <name val="Arial"/>
      <family val="2"/>
    </font>
    <font>
      <sz val="10"/>
      <color indexed="10"/>
      <name val="Arial"/>
      <family val="2"/>
    </font>
    <font>
      <b/>
      <sz val="12"/>
      <name val="Arial"/>
      <family val="2"/>
    </font>
    <font>
      <u/>
      <sz val="10"/>
      <name val="Arial"/>
      <family val="2"/>
    </font>
    <font>
      <b/>
      <i/>
      <sz val="14"/>
      <name val="Arial"/>
      <family val="2"/>
    </font>
    <font>
      <sz val="10"/>
      <name val="Arial"/>
      <family val="2"/>
      <charset val="178"/>
    </font>
    <font>
      <i/>
      <sz val="10"/>
      <color indexed="12"/>
      <name val="Arial"/>
      <family val="2"/>
    </font>
    <font>
      <b/>
      <i/>
      <sz val="10"/>
      <color indexed="12"/>
      <name val="Arial"/>
      <family val="2"/>
    </font>
    <font>
      <b/>
      <sz val="9"/>
      <color indexed="10"/>
      <name val="Arial"/>
      <family val="2"/>
    </font>
    <font>
      <sz val="9"/>
      <color indexed="10"/>
      <name val="Arial"/>
      <family val="2"/>
    </font>
    <font>
      <b/>
      <sz val="9"/>
      <color indexed="8"/>
      <name val="Arial"/>
      <family val="2"/>
    </font>
    <font>
      <sz val="8"/>
      <color indexed="8"/>
      <name val="Arial"/>
      <family val="2"/>
    </font>
    <font>
      <b/>
      <sz val="8"/>
      <color indexed="8"/>
      <name val="Arial"/>
      <family val="2"/>
    </font>
    <font>
      <b/>
      <sz val="8.5"/>
      <color indexed="8"/>
      <name val="Arial"/>
      <family val="2"/>
    </font>
    <font>
      <b/>
      <sz val="10"/>
      <color indexed="22"/>
      <name val="Arial"/>
      <family val="2"/>
    </font>
    <font>
      <sz val="10"/>
      <color indexed="22"/>
      <name val="Arial"/>
      <family val="2"/>
    </font>
    <font>
      <b/>
      <u/>
      <sz val="10"/>
      <name val="Arial"/>
      <family val="2"/>
    </font>
    <font>
      <sz val="7"/>
      <name val="Arial"/>
      <family val="2"/>
    </font>
    <font>
      <b/>
      <u/>
      <sz val="10"/>
      <color indexed="12"/>
      <name val="Arial"/>
      <family val="2"/>
    </font>
    <font>
      <b/>
      <sz val="14"/>
      <name val="Arial"/>
      <family val="2"/>
    </font>
    <font>
      <sz val="8"/>
      <name val="Arial"/>
      <family val="2"/>
    </font>
    <font>
      <b/>
      <sz val="8"/>
      <name val="Arial"/>
      <family val="2"/>
    </font>
    <font>
      <sz val="7"/>
      <name val="Arial Narrow"/>
      <family val="2"/>
    </font>
    <font>
      <sz val="7"/>
      <name val="Arial"/>
      <family val="2"/>
    </font>
    <font>
      <b/>
      <i/>
      <sz val="14"/>
      <color indexed="12"/>
      <name val="Arial"/>
      <family val="2"/>
    </font>
    <font>
      <b/>
      <sz val="10"/>
      <color indexed="10"/>
      <name val="Arial"/>
      <family val="2"/>
    </font>
    <font>
      <b/>
      <sz val="14"/>
      <color indexed="10"/>
      <name val="Arial"/>
      <family val="2"/>
    </font>
    <font>
      <sz val="8"/>
      <color indexed="12"/>
      <name val="Arial"/>
      <family val="2"/>
    </font>
    <font>
      <b/>
      <sz val="8"/>
      <color indexed="12"/>
      <name val="Arial"/>
      <family val="2"/>
    </font>
    <font>
      <sz val="7"/>
      <color indexed="12"/>
      <name val="Arial Narrow"/>
      <family val="2"/>
    </font>
    <font>
      <sz val="9"/>
      <color indexed="12"/>
      <name val="Arial"/>
      <family val="2"/>
    </font>
    <font>
      <sz val="10"/>
      <name val="Arial"/>
      <family val="2"/>
    </font>
    <font>
      <b/>
      <sz val="10"/>
      <name val="Arial"/>
      <family val="2"/>
    </font>
    <font>
      <u/>
      <sz val="10"/>
      <color indexed="12"/>
      <name val="Arial"/>
      <family val="2"/>
    </font>
    <font>
      <sz val="8"/>
      <name val="Tahoma"/>
      <family val="2"/>
    </font>
    <font>
      <sz val="11"/>
      <color theme="1"/>
      <name val="宋体"/>
      <family val="2"/>
      <scheme val="minor"/>
    </font>
    <font>
      <sz val="11"/>
      <color rgb="FFFF0000"/>
      <name val="宋体"/>
      <family val="2"/>
      <scheme val="minor"/>
    </font>
    <font>
      <b/>
      <sz val="11"/>
      <color theme="1"/>
      <name val="宋体"/>
      <family val="2"/>
      <scheme val="minor"/>
    </font>
    <font>
      <b/>
      <sz val="11"/>
      <color rgb="FFFF0000"/>
      <name val="宋体"/>
      <family val="2"/>
      <scheme val="minor"/>
    </font>
    <font>
      <b/>
      <i/>
      <sz val="11"/>
      <color theme="1"/>
      <name val="宋体"/>
      <family val="2"/>
      <scheme val="minor"/>
    </font>
    <font>
      <b/>
      <sz val="11"/>
      <name val="宋体"/>
      <family val="2"/>
      <scheme val="minor"/>
    </font>
    <font>
      <b/>
      <sz val="11"/>
      <color rgb="FF00B050"/>
      <name val="宋体"/>
      <family val="2"/>
      <scheme val="minor"/>
    </font>
    <font>
      <sz val="10"/>
      <color rgb="FFFF0000"/>
      <name val="Arial"/>
      <family val="2"/>
    </font>
    <font>
      <sz val="10"/>
      <name val="Arial"/>
      <family val="2"/>
    </font>
    <font>
      <sz val="11"/>
      <name val="Calibri"/>
      <family val="2"/>
    </font>
    <font>
      <sz val="17"/>
      <name val="Calibri"/>
      <family val="2"/>
    </font>
    <font>
      <sz val="10"/>
      <color rgb="FF808080"/>
      <name val="Calibri"/>
      <family val="2"/>
    </font>
    <font>
      <b/>
      <sz val="16"/>
      <color rgb="FF17365D"/>
      <name val="Calibri"/>
      <family val="2"/>
    </font>
    <font>
      <b/>
      <i/>
      <sz val="11"/>
      <name val="Calibri"/>
      <family val="2"/>
    </font>
    <font>
      <b/>
      <sz val="13"/>
      <color rgb="FF366092"/>
      <name val="Calibri"/>
      <family val="2"/>
    </font>
    <font>
      <b/>
      <sz val="11"/>
      <color rgb="FF366092"/>
      <name val="Calibri"/>
      <family val="2"/>
    </font>
    <font>
      <sz val="11"/>
      <color rgb="FF000000"/>
      <name val="Calibri"/>
      <family val="2"/>
    </font>
    <font>
      <i/>
      <sz val="11"/>
      <color rgb="FF000000"/>
      <name val="Calibri"/>
      <family val="2"/>
    </font>
    <font>
      <i/>
      <sz val="11"/>
      <name val="Calibri"/>
      <family val="2"/>
    </font>
    <font>
      <sz val="10"/>
      <name val="Arial"/>
      <family val="2"/>
    </font>
    <font>
      <b/>
      <sz val="10"/>
      <color rgb="FF0000FF"/>
      <name val="Arial"/>
      <family val="2"/>
    </font>
    <font>
      <sz val="9"/>
      <name val="宋体"/>
      <family val="3"/>
      <charset val="134"/>
    </font>
  </fonts>
  <fills count="2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1"/>
        <bgColor indexed="64"/>
      </patternFill>
    </fill>
    <fill>
      <patternFill patternType="solid">
        <fgColor indexed="45"/>
        <bgColor indexed="64"/>
      </patternFill>
    </fill>
    <fill>
      <patternFill patternType="solid">
        <fgColor indexed="4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8" tint="0.79998168889431442"/>
        <bgColor indexed="64"/>
      </patternFill>
    </fill>
    <fill>
      <patternFill patternType="solid">
        <fgColor rgb="FFFFFFE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A3A3A3"/>
      </left>
      <right style="medium">
        <color rgb="FFA3A3A3"/>
      </right>
      <top style="medium">
        <color rgb="FFA3A3A3"/>
      </top>
      <bottom style="medium">
        <color rgb="FFA3A3A3"/>
      </bottom>
      <diagonal/>
    </border>
    <border>
      <left style="thin">
        <color rgb="FFD3D3D3"/>
      </left>
      <right style="thin">
        <color rgb="FFD3D3D3"/>
      </right>
      <top style="thin">
        <color rgb="FFD3D3D3"/>
      </top>
      <bottom style="thin">
        <color rgb="FFD3D3D3"/>
      </bottom>
      <diagonal/>
    </border>
  </borders>
  <cellStyleXfs count="32">
    <xf numFmtId="0" fontId="0" fillId="0" borderId="0"/>
    <xf numFmtId="0" fontId="7" fillId="0" borderId="0" applyNumberFormat="0" applyFill="0" applyBorder="0" applyAlignment="0" applyProtection="0"/>
    <xf numFmtId="0" fontId="13" fillId="0" borderId="0" applyNumberFormat="0" applyFill="0" applyBorder="0" applyAlignment="0" applyProtection="0"/>
    <xf numFmtId="0" fontId="2" fillId="0" borderId="1"/>
    <xf numFmtId="0" fontId="45" fillId="0" borderId="1"/>
    <xf numFmtId="0" fontId="6" fillId="0" borderId="0" applyNumberFormat="0" applyFill="0" applyBorder="0" applyAlignment="0" applyProtection="0">
      <alignment vertical="top"/>
      <protection locked="0"/>
    </xf>
    <xf numFmtId="0" fontId="47" fillId="0" borderId="0" applyNumberFormat="0" applyFill="0" applyBorder="0" applyAlignment="0" applyProtection="0">
      <alignment vertical="top"/>
      <protection locked="0"/>
    </xf>
    <xf numFmtId="0" fontId="49" fillId="0" borderId="0"/>
    <xf numFmtId="0" fontId="3" fillId="0" borderId="0"/>
    <xf numFmtId="0" fontId="3" fillId="0" borderId="0"/>
    <xf numFmtId="0" fontId="16" fillId="0" borderId="0">
      <alignment horizontal="center"/>
    </xf>
    <xf numFmtId="0" fontId="16" fillId="0" borderId="0"/>
    <xf numFmtId="0" fontId="5" fillId="0" borderId="0"/>
    <xf numFmtId="0" fontId="17"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5" fillId="0" borderId="1"/>
    <xf numFmtId="0" fontId="18" fillId="0" borderId="2"/>
    <xf numFmtId="0" fontId="1" fillId="0" borderId="0"/>
    <xf numFmtId="9" fontId="57" fillId="0" borderId="0" applyFont="0" applyFill="0" applyBorder="0" applyAlignment="0" applyProtection="0"/>
    <xf numFmtId="49" fontId="68" fillId="22" borderId="29" applyAlignment="0" applyProtection="0"/>
    <xf numFmtId="0" fontId="2" fillId="0" borderId="0"/>
  </cellStyleXfs>
  <cellXfs count="342">
    <xf numFmtId="0" fontId="0" fillId="0" borderId="0" xfId="0"/>
    <xf numFmtId="0" fontId="3" fillId="3" borderId="16" xfId="0" applyFont="1" applyFill="1" applyBorder="1" applyAlignment="1">
      <alignment horizontal="center" vertical="top" wrapText="1"/>
    </xf>
    <xf numFmtId="0" fontId="3" fillId="3" borderId="1" xfId="0" applyFont="1" applyFill="1" applyBorder="1" applyAlignment="1">
      <alignment horizontal="center" vertical="center" wrapText="1"/>
    </xf>
    <xf numFmtId="0" fontId="0" fillId="2" borderId="0" xfId="0" applyFill="1" applyBorder="1"/>
    <xf numFmtId="0" fontId="0" fillId="3" borderId="0" xfId="0" applyFill="1"/>
    <xf numFmtId="0" fontId="0" fillId="2" borderId="0" xfId="0" applyFill="1"/>
    <xf numFmtId="0" fontId="19" fillId="0" borderId="0" xfId="0" applyFont="1"/>
    <xf numFmtId="0" fontId="6" fillId="0" borderId="0" xfId="5" applyBorder="1" applyAlignment="1" applyProtection="1">
      <alignment horizontal="left" vertical="center" wrapText="1"/>
    </xf>
    <xf numFmtId="0" fontId="8" fillId="0" borderId="3" xfId="0"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Alignment="1">
      <alignment horizontal="left" vertical="center" wrapText="1"/>
    </xf>
    <xf numFmtId="0" fontId="8" fillId="0" borderId="0" xfId="0" applyFont="1" applyBorder="1" applyAlignment="1">
      <alignment horizontal="center" vertical="center" wrapText="1"/>
    </xf>
    <xf numFmtId="0" fontId="19" fillId="5" borderId="0" xfId="0" applyFont="1" applyFill="1"/>
    <xf numFmtId="0" fontId="14" fillId="5" borderId="0" xfId="0" applyFont="1" applyFill="1"/>
    <xf numFmtId="14" fontId="24" fillId="3" borderId="1" xfId="0" applyNumberFormat="1" applyFont="1" applyFill="1" applyBorder="1" applyAlignment="1">
      <alignment horizontal="center" vertical="center" wrapText="1"/>
    </xf>
    <xf numFmtId="0" fontId="23" fillId="0" borderId="0" xfId="0" applyFont="1" applyFill="1" applyBorder="1" applyAlignment="1">
      <alignment vertical="center"/>
    </xf>
    <xf numFmtId="0" fontId="27" fillId="3" borderId="1"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2" fillId="0" borderId="0" xfId="0" applyFont="1" applyFill="1" applyBorder="1" applyAlignment="1">
      <alignment vertical="center"/>
    </xf>
    <xf numFmtId="0" fontId="8" fillId="0" borderId="0" xfId="0" applyFont="1" applyBorder="1" applyAlignment="1">
      <alignment vertical="center"/>
    </xf>
    <xf numFmtId="0" fontId="8" fillId="0" borderId="0" xfId="0" applyFont="1" applyFill="1" applyBorder="1" applyAlignment="1">
      <alignment horizontal="center" vertical="center"/>
    </xf>
    <xf numFmtId="0" fontId="8" fillId="0" borderId="0" xfId="0" applyFont="1" applyFill="1" applyBorder="1" applyAlignment="1">
      <alignment horizontal="right" vertical="center"/>
    </xf>
    <xf numFmtId="0" fontId="8" fillId="0" borderId="0" xfId="0" applyFont="1" applyAlignment="1">
      <alignment vertical="center"/>
    </xf>
    <xf numFmtId="0" fontId="27" fillId="0" borderId="0" xfId="0" applyFont="1" applyFill="1" applyBorder="1" applyAlignment="1">
      <alignment horizontal="center" vertical="center" wrapText="1"/>
    </xf>
    <xf numFmtId="0" fontId="25" fillId="0" borderId="0" xfId="0" applyFont="1" applyFill="1" applyBorder="1" applyAlignment="1">
      <alignment vertical="center"/>
    </xf>
    <xf numFmtId="0" fontId="26" fillId="0" borderId="0" xfId="0" applyFont="1" applyFill="1" applyBorder="1" applyAlignment="1">
      <alignment vertical="center"/>
    </xf>
    <xf numFmtId="0" fontId="19" fillId="0" borderId="0" xfId="0" applyFont="1" applyAlignment="1">
      <alignment wrapText="1"/>
    </xf>
    <xf numFmtId="14" fontId="24" fillId="3" borderId="1" xfId="0" applyNumberFormat="1" applyFont="1" applyFill="1" applyBorder="1" applyAlignment="1">
      <alignment vertical="center"/>
    </xf>
    <xf numFmtId="0" fontId="8" fillId="0" borderId="1" xfId="0" applyFont="1" applyBorder="1" applyAlignment="1">
      <alignment horizontal="left" vertical="center"/>
    </xf>
    <xf numFmtId="0" fontId="20" fillId="2" borderId="0" xfId="0" applyFont="1" applyFill="1" applyBorder="1" applyAlignment="1">
      <alignment horizontal="center" vertical="center"/>
    </xf>
    <xf numFmtId="0" fontId="0" fillId="2" borderId="0" xfId="0" applyFill="1" applyBorder="1" applyAlignment="1"/>
    <xf numFmtId="0" fontId="31" fillId="2" borderId="0" xfId="0" applyFont="1" applyFill="1" applyBorder="1" applyAlignment="1">
      <alignment vertical="top" wrapText="1"/>
    </xf>
    <xf numFmtId="0" fontId="3" fillId="2" borderId="0" xfId="0" applyFont="1" applyFill="1" applyBorder="1" applyAlignment="1">
      <alignment vertical="top" wrapText="1"/>
    </xf>
    <xf numFmtId="0" fontId="0" fillId="2" borderId="6" xfId="0" applyFill="1" applyBorder="1"/>
    <xf numFmtId="0" fontId="0" fillId="2" borderId="3" xfId="0" applyFill="1" applyBorder="1"/>
    <xf numFmtId="0" fontId="0" fillId="2" borderId="7" xfId="0" applyFill="1" applyBorder="1"/>
    <xf numFmtId="0" fontId="0" fillId="2" borderId="8" xfId="0" applyFill="1" applyBorder="1" applyAlignment="1"/>
    <xf numFmtId="0" fontId="31" fillId="2" borderId="8" xfId="0" applyFont="1" applyFill="1" applyBorder="1" applyAlignment="1">
      <alignment vertical="top" wrapText="1"/>
    </xf>
    <xf numFmtId="0" fontId="15" fillId="2" borderId="5" xfId="0" applyFont="1" applyFill="1" applyBorder="1" applyAlignment="1">
      <alignment horizontal="center"/>
    </xf>
    <xf numFmtId="0" fontId="0" fillId="2" borderId="9" xfId="0" applyFill="1" applyBorder="1" applyAlignment="1"/>
    <xf numFmtId="0" fontId="1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49" fontId="34" fillId="2" borderId="0" xfId="0" applyNumberFormat="1" applyFont="1" applyFill="1" applyBorder="1" applyAlignment="1">
      <alignment horizontal="center" vertical="center" wrapText="1"/>
    </xf>
    <xf numFmtId="0" fontId="35" fillId="2" borderId="0" xfId="0" applyFont="1" applyFill="1" applyBorder="1" applyAlignment="1">
      <alignment horizontal="center" vertical="center" wrapText="1"/>
    </xf>
    <xf numFmtId="49" fontId="9" fillId="2" borderId="0" xfId="0" applyNumberFormat="1" applyFont="1" applyFill="1" applyBorder="1" applyAlignment="1">
      <alignment horizontal="center" vertical="center" wrapText="1"/>
    </xf>
    <xf numFmtId="0" fontId="34"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49" fontId="34" fillId="4" borderId="1" xfId="0" applyNumberFormat="1" applyFont="1" applyFill="1" applyBorder="1" applyAlignment="1">
      <alignment horizontal="center" vertical="center" wrapText="1"/>
    </xf>
    <xf numFmtId="49" fontId="9" fillId="4" borderId="1" xfId="0" applyNumberFormat="1" applyFont="1" applyFill="1" applyBorder="1" applyAlignment="1">
      <alignment horizontal="center" vertical="center" wrapText="1"/>
    </xf>
    <xf numFmtId="0" fontId="3" fillId="2" borderId="4" xfId="0" applyFont="1" applyFill="1" applyBorder="1" applyAlignment="1">
      <alignment vertical="top" wrapText="1"/>
    </xf>
    <xf numFmtId="0" fontId="3" fillId="2" borderId="10" xfId="0" applyFont="1" applyFill="1" applyBorder="1" applyAlignment="1">
      <alignment vertical="top" wrapText="1"/>
    </xf>
    <xf numFmtId="0" fontId="3" fillId="2" borderId="11" xfId="0" applyFont="1" applyFill="1" applyBorder="1" applyAlignment="1">
      <alignment vertical="top" wrapText="1"/>
    </xf>
    <xf numFmtId="0" fontId="3" fillId="0" borderId="10" xfId="0" applyFont="1" applyBorder="1" applyAlignment="1">
      <alignment vertical="top" wrapText="1"/>
    </xf>
    <xf numFmtId="0" fontId="3" fillId="0" borderId="0" xfId="0" applyFont="1" applyBorder="1" applyAlignment="1">
      <alignment vertical="top" wrapText="1"/>
    </xf>
    <xf numFmtId="0" fontId="3" fillId="2" borderId="6" xfId="0" applyFont="1" applyFill="1" applyBorder="1" applyAlignment="1">
      <alignment vertical="top" wrapText="1"/>
    </xf>
    <xf numFmtId="0" fontId="3" fillId="2" borderId="5" xfId="0" applyFont="1" applyFill="1" applyBorder="1" applyAlignment="1">
      <alignment vertical="top" wrapText="1"/>
    </xf>
    <xf numFmtId="0" fontId="3" fillId="2" borderId="9" xfId="0" applyFont="1" applyFill="1" applyBorder="1" applyAlignment="1">
      <alignment vertical="top" wrapText="1"/>
    </xf>
    <xf numFmtId="0" fontId="3" fillId="2" borderId="3" xfId="0" applyFont="1" applyFill="1" applyBorder="1" applyAlignment="1">
      <alignment vertical="top" wrapText="1"/>
    </xf>
    <xf numFmtId="0" fontId="3" fillId="2" borderId="12" xfId="0" applyFont="1" applyFill="1" applyBorder="1" applyAlignment="1">
      <alignment vertical="top" wrapText="1"/>
    </xf>
    <xf numFmtId="0" fontId="5" fillId="3" borderId="0" xfId="0" applyFont="1" applyFill="1" applyBorder="1" applyAlignment="1">
      <alignment vertical="center" wrapText="1"/>
    </xf>
    <xf numFmtId="0" fontId="3" fillId="3" borderId="0" xfId="0" applyFont="1" applyFill="1" applyBorder="1" applyAlignment="1">
      <alignment vertical="center" wrapText="1"/>
    </xf>
    <xf numFmtId="0" fontId="3" fillId="3"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4" fontId="23" fillId="2" borderId="1" xfId="0" applyNumberFormat="1"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6" borderId="1" xfId="0" applyFont="1" applyFill="1" applyBorder="1" applyAlignment="1">
      <alignment horizontal="justify"/>
    </xf>
    <xf numFmtId="0" fontId="4" fillId="3" borderId="1" xfId="0" applyFont="1" applyFill="1" applyBorder="1" applyAlignment="1">
      <alignment horizontal="justify"/>
    </xf>
    <xf numFmtId="0" fontId="4" fillId="7" borderId="1" xfId="0" applyFont="1" applyFill="1" applyBorder="1" applyAlignment="1">
      <alignment horizontal="justify"/>
    </xf>
    <xf numFmtId="0" fontId="13" fillId="5" borderId="0" xfId="0" applyFont="1" applyFill="1"/>
    <xf numFmtId="0" fontId="47" fillId="0" borderId="0" xfId="6" applyAlignment="1" applyProtection="1">
      <alignment horizontal="left" vertical="center" wrapText="1"/>
    </xf>
    <xf numFmtId="0" fontId="47" fillId="0" borderId="0" xfId="6" applyBorder="1" applyAlignment="1" applyProtection="1">
      <alignment horizontal="left" vertical="center" wrapText="1"/>
    </xf>
    <xf numFmtId="0" fontId="51" fillId="12" borderId="0" xfId="7" applyFont="1" applyFill="1" applyAlignment="1">
      <alignment horizontal="center"/>
    </xf>
    <xf numFmtId="0" fontId="49" fillId="12" borderId="0" xfId="7" applyFill="1" applyAlignment="1">
      <alignment horizontal="center"/>
    </xf>
    <xf numFmtId="0" fontId="49" fillId="12" borderId="0" xfId="7" applyFill="1"/>
    <xf numFmtId="0" fontId="49" fillId="0" borderId="0" xfId="7"/>
    <xf numFmtId="0" fontId="49" fillId="0" borderId="0" xfId="7" applyAlignment="1">
      <alignment horizontal="center"/>
    </xf>
    <xf numFmtId="4" fontId="49" fillId="0" borderId="0" xfId="7" applyNumberFormat="1"/>
    <xf numFmtId="0" fontId="0" fillId="13" borderId="0" xfId="0" applyFill="1" applyAlignment="1">
      <alignment horizontal="center"/>
    </xf>
    <xf numFmtId="0" fontId="50" fillId="13" borderId="0" xfId="0" applyFont="1" applyFill="1" applyAlignment="1">
      <alignment vertical="center"/>
    </xf>
    <xf numFmtId="0" fontId="52" fillId="13" borderId="0" xfId="0" applyFont="1" applyFill="1" applyAlignment="1">
      <alignment horizontal="right" vertical="center"/>
    </xf>
    <xf numFmtId="0" fontId="51" fillId="13" borderId="0" xfId="0" applyFont="1" applyFill="1" applyBorder="1" applyAlignment="1">
      <alignment horizontal="center"/>
    </xf>
    <xf numFmtId="0" fontId="0" fillId="13" borderId="0" xfId="0" applyFill="1" applyAlignment="1">
      <alignment horizontal="right"/>
    </xf>
    <xf numFmtId="0" fontId="53" fillId="14" borderId="13" xfId="0" applyFont="1" applyFill="1" applyBorder="1" applyAlignment="1">
      <alignment horizontal="center" vertical="center"/>
    </xf>
    <xf numFmtId="0" fontId="53" fillId="14" borderId="14" xfId="0" applyFont="1" applyFill="1" applyBorder="1" applyAlignment="1">
      <alignment horizontal="center" vertical="center"/>
    </xf>
    <xf numFmtId="0" fontId="53" fillId="14" borderId="15" xfId="0" applyFont="1" applyFill="1" applyBorder="1" applyAlignment="1">
      <alignment horizontal="center" vertical="center"/>
    </xf>
    <xf numFmtId="0" fontId="51" fillId="15" borderId="13" xfId="0" applyFont="1" applyFill="1" applyBorder="1" applyAlignment="1">
      <alignment vertical="center"/>
    </xf>
    <xf numFmtId="0" fontId="51" fillId="15" borderId="14" xfId="0" applyFont="1" applyFill="1" applyBorder="1" applyAlignment="1">
      <alignment vertical="center"/>
    </xf>
    <xf numFmtId="0" fontId="0" fillId="15" borderId="14" xfId="0" applyFill="1" applyBorder="1" applyAlignment="1">
      <alignment vertical="center"/>
    </xf>
    <xf numFmtId="0" fontId="51" fillId="15" borderId="15" xfId="0" applyFont="1" applyFill="1" applyBorder="1" applyAlignment="1">
      <alignment vertical="center"/>
    </xf>
    <xf numFmtId="0" fontId="0" fillId="0" borderId="0" xfId="0" applyAlignment="1">
      <alignment vertical="center"/>
    </xf>
    <xf numFmtId="0" fontId="51" fillId="13" borderId="10" xfId="0" applyFont="1" applyFill="1" applyBorder="1" applyAlignment="1">
      <alignment horizontal="center" vertical="center" wrapText="1"/>
    </xf>
    <xf numFmtId="0" fontId="54" fillId="16" borderId="10" xfId="0" applyFont="1" applyFill="1" applyBorder="1" applyAlignment="1">
      <alignment horizontal="center" vertical="center" textRotation="90" wrapText="1"/>
    </xf>
    <xf numFmtId="0" fontId="51" fillId="16" borderId="10" xfId="0" applyFont="1" applyFill="1" applyBorder="1" applyAlignment="1">
      <alignment horizontal="center" vertical="center" textRotation="90" wrapText="1"/>
    </xf>
    <xf numFmtId="0" fontId="51" fillId="16" borderId="10" xfId="0" applyFont="1" applyFill="1" applyBorder="1" applyAlignment="1">
      <alignment horizontal="left" vertical="center" textRotation="90" wrapText="1"/>
    </xf>
    <xf numFmtId="0" fontId="51" fillId="17" borderId="10" xfId="0" applyFont="1" applyFill="1" applyBorder="1" applyAlignment="1">
      <alignment horizontal="center" vertical="center" textRotation="90" wrapText="1"/>
    </xf>
    <xf numFmtId="0" fontId="51" fillId="17" borderId="11" xfId="0" applyFont="1" applyFill="1" applyBorder="1" applyAlignment="1">
      <alignment horizontal="center" vertical="center" textRotation="90" wrapText="1"/>
    </xf>
    <xf numFmtId="0" fontId="51" fillId="15" borderId="11" xfId="0" applyFont="1" applyFill="1" applyBorder="1" applyAlignment="1">
      <alignment horizontal="center" vertical="center" textRotation="90" wrapText="1"/>
    </xf>
    <xf numFmtId="0" fontId="51" fillId="15" borderId="10" xfId="0" applyFont="1" applyFill="1" applyBorder="1" applyAlignment="1">
      <alignment horizontal="center" vertical="center" textRotation="90" wrapText="1"/>
    </xf>
    <xf numFmtId="0" fontId="55" fillId="15" borderId="10" xfId="0" applyFont="1" applyFill="1" applyBorder="1" applyAlignment="1">
      <alignment horizontal="center" vertical="center" textRotation="90" wrapText="1"/>
    </xf>
    <xf numFmtId="0" fontId="52" fillId="15" borderId="10" xfId="0" applyFont="1" applyFill="1" applyBorder="1" applyAlignment="1">
      <alignment horizontal="center" vertical="center" textRotation="90" wrapText="1"/>
    </xf>
    <xf numFmtId="0" fontId="54" fillId="15" borderId="10" xfId="0" applyFont="1" applyFill="1" applyBorder="1" applyAlignment="1">
      <alignment horizontal="center" vertical="center" textRotation="90" wrapText="1"/>
    </xf>
    <xf numFmtId="0" fontId="0" fillId="0" borderId="0" xfId="0" applyAlignment="1">
      <alignment wrapText="1"/>
    </xf>
    <xf numFmtId="0" fontId="56" fillId="0" borderId="0" xfId="0" applyFont="1"/>
    <xf numFmtId="0" fontId="12" fillId="4" borderId="5" xfId="0" applyFont="1" applyFill="1" applyBorder="1" applyAlignment="1">
      <alignment vertical="center" wrapText="1"/>
    </xf>
    <xf numFmtId="0" fontId="12" fillId="4" borderId="8" xfId="0" applyFont="1" applyFill="1" applyBorder="1" applyAlignment="1">
      <alignment vertical="center" wrapText="1"/>
    </xf>
    <xf numFmtId="0" fontId="12" fillId="4" borderId="9" xfId="0" applyFont="1" applyFill="1" applyBorder="1" applyAlignment="1">
      <alignment vertical="center" wrapText="1"/>
    </xf>
    <xf numFmtId="0" fontId="12" fillId="4" borderId="19" xfId="0" applyFont="1" applyFill="1" applyBorder="1" applyAlignment="1">
      <alignment vertical="center" wrapText="1"/>
    </xf>
    <xf numFmtId="1" fontId="7" fillId="0" borderId="0" xfId="1" applyNumberFormat="1" applyFill="1" applyBorder="1" applyAlignment="1">
      <alignment horizontal="left" vertical="top"/>
    </xf>
    <xf numFmtId="1" fontId="28" fillId="3" borderId="0" xfId="1" applyNumberFormat="1" applyFont="1" applyFill="1" applyBorder="1" applyAlignment="1">
      <alignment horizontal="left" vertical="top"/>
    </xf>
    <xf numFmtId="1" fontId="7" fillId="3" borderId="0" xfId="1" applyNumberFormat="1" applyFill="1" applyBorder="1" applyAlignment="1">
      <alignment horizontal="left" vertical="top"/>
    </xf>
    <xf numFmtId="1" fontId="3" fillId="0" borderId="0" xfId="0" applyNumberFormat="1" applyFont="1" applyFill="1" applyBorder="1" applyAlignment="1">
      <alignment horizontal="left" vertical="top"/>
    </xf>
    <xf numFmtId="0" fontId="0" fillId="3" borderId="0" xfId="0" applyFill="1" applyAlignment="1">
      <alignment horizontal="left" vertical="top"/>
    </xf>
    <xf numFmtId="0" fontId="0" fillId="0" borderId="0" xfId="0" applyFill="1" applyAlignment="1">
      <alignment horizontal="left" vertical="top"/>
    </xf>
    <xf numFmtId="0" fontId="48" fillId="0" borderId="0" xfId="0" applyFont="1" applyAlignment="1">
      <alignment horizontal="left" vertical="top"/>
    </xf>
    <xf numFmtId="0" fontId="0" fillId="0" borderId="0" xfId="0" applyFill="1" applyAlignment="1">
      <alignment horizontal="left" vertical="top" wrapText="1"/>
    </xf>
    <xf numFmtId="49" fontId="0" fillId="0" borderId="0" xfId="0" applyNumberFormat="1" applyFill="1" applyBorder="1" applyAlignment="1">
      <alignment horizontal="left" vertical="top"/>
    </xf>
    <xf numFmtId="49" fontId="3" fillId="0" borderId="0" xfId="0" applyNumberFormat="1" applyFont="1" applyFill="1" applyBorder="1" applyAlignment="1">
      <alignment horizontal="left" vertical="top"/>
    </xf>
    <xf numFmtId="0" fontId="3" fillId="0" borderId="0" xfId="0" applyFont="1" applyAlignment="1">
      <alignment horizontal="left" vertical="top"/>
    </xf>
    <xf numFmtId="0" fontId="11" fillId="0" borderId="0" xfId="0" applyFont="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wrapText="1"/>
    </xf>
    <xf numFmtId="0" fontId="3" fillId="0" borderId="1" xfId="1" applyNumberFormat="1" applyFont="1" applyFill="1" applyBorder="1" applyAlignment="1">
      <alignment horizontal="left" vertical="top"/>
    </xf>
    <xf numFmtId="0" fontId="3" fillId="3" borderId="1" xfId="1" applyNumberFormat="1" applyFont="1" applyFill="1" applyBorder="1" applyAlignment="1">
      <alignment horizontal="left" vertical="top"/>
    </xf>
    <xf numFmtId="0" fontId="0" fillId="0" borderId="1" xfId="3" applyFont="1" applyAlignment="1">
      <alignment horizontal="left" vertical="top"/>
    </xf>
    <xf numFmtId="0" fontId="2" fillId="0" borderId="1" xfId="3" applyAlignment="1">
      <alignment horizontal="left" vertical="top"/>
    </xf>
    <xf numFmtId="0" fontId="0" fillId="0" borderId="1" xfId="3" applyFont="1" applyAlignment="1">
      <alignment horizontal="left" vertical="top" wrapText="1"/>
    </xf>
    <xf numFmtId="0" fontId="2" fillId="0" borderId="1" xfId="3" applyFill="1" applyAlignment="1">
      <alignment horizontal="left" vertical="top"/>
    </xf>
    <xf numFmtId="0" fontId="0" fillId="0" borderId="1" xfId="0" applyBorder="1" applyAlignment="1">
      <alignment horizontal="left" vertical="top"/>
    </xf>
    <xf numFmtId="0" fontId="2" fillId="0" borderId="1" xfId="3" applyFill="1" applyBorder="1" applyAlignment="1" applyProtection="1">
      <alignment horizontal="left" vertical="top" wrapText="1"/>
      <protection locked="0"/>
    </xf>
    <xf numFmtId="0" fontId="2" fillId="0" borderId="1" xfId="3" applyFont="1" applyFill="1" applyBorder="1" applyAlignment="1" applyProtection="1">
      <alignment horizontal="left" vertical="top" wrapText="1"/>
      <protection locked="0"/>
    </xf>
    <xf numFmtId="0" fontId="3" fillId="0" borderId="1" xfId="1" applyNumberFormat="1" applyFont="1" applyFill="1" applyBorder="1" applyAlignment="1" applyProtection="1">
      <alignment horizontal="left" vertical="top"/>
      <protection locked="0"/>
    </xf>
    <xf numFmtId="0" fontId="2" fillId="0" borderId="1" xfId="3" applyFill="1" applyBorder="1" applyAlignment="1">
      <alignment horizontal="left" vertical="top"/>
    </xf>
    <xf numFmtId="0" fontId="3" fillId="0" borderId="1" xfId="0" applyFont="1" applyBorder="1" applyAlignment="1">
      <alignment horizontal="left" vertical="top"/>
    </xf>
    <xf numFmtId="49" fontId="0" fillId="0" borderId="20" xfId="0" applyNumberFormat="1" applyFill="1" applyBorder="1" applyAlignment="1">
      <alignment horizontal="left" vertical="top"/>
    </xf>
    <xf numFmtId="49" fontId="3" fillId="0" borderId="20" xfId="0" applyNumberFormat="1" applyFont="1" applyFill="1" applyBorder="1" applyAlignment="1">
      <alignment horizontal="left" vertical="top"/>
    </xf>
    <xf numFmtId="0" fontId="19" fillId="0" borderId="0" xfId="0" applyFont="1" applyAlignment="1">
      <alignment horizontal="center" vertical="top"/>
    </xf>
    <xf numFmtId="0" fontId="19" fillId="0" borderId="0" xfId="0" applyFont="1" applyAlignment="1">
      <alignment horizontal="center" vertical="top" wrapText="1"/>
    </xf>
    <xf numFmtId="0" fontId="0" fillId="3" borderId="5" xfId="0" applyFill="1" applyBorder="1" applyAlignment="1">
      <alignment horizontal="center" vertical="top"/>
    </xf>
    <xf numFmtId="0" fontId="0" fillId="0" borderId="0" xfId="0" applyFill="1" applyAlignment="1">
      <alignment horizontal="center" vertical="top"/>
    </xf>
    <xf numFmtId="0" fontId="0" fillId="0" borderId="0" xfId="0" applyFill="1" applyAlignment="1">
      <alignment horizontal="center" vertical="top" wrapText="1"/>
    </xf>
    <xf numFmtId="0" fontId="15" fillId="0" borderId="0" xfId="0" applyFont="1" applyFill="1" applyAlignment="1">
      <alignment horizontal="center" vertical="top" wrapText="1"/>
    </xf>
    <xf numFmtId="14" fontId="46" fillId="3" borderId="5" xfId="0" applyNumberFormat="1" applyFont="1" applyFill="1" applyBorder="1" applyAlignment="1">
      <alignment horizontal="center" vertical="top" wrapText="1"/>
    </xf>
    <xf numFmtId="0" fontId="0" fillId="3" borderId="0" xfId="0" applyFill="1" applyBorder="1" applyAlignment="1">
      <alignment horizontal="center" vertical="top"/>
    </xf>
    <xf numFmtId="0" fontId="0" fillId="3" borderId="0" xfId="0" applyFill="1" applyAlignment="1">
      <alignment horizontal="center" vertical="top"/>
    </xf>
    <xf numFmtId="14" fontId="46" fillId="3" borderId="0"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1" fontId="3" fillId="8" borderId="16" xfId="1" applyNumberFormat="1" applyFont="1" applyFill="1" applyBorder="1" applyAlignment="1">
      <alignment horizontal="center" vertical="top" wrapText="1"/>
    </xf>
    <xf numFmtId="1" fontId="3" fillId="3" borderId="12" xfId="1" applyNumberFormat="1" applyFont="1" applyFill="1" applyBorder="1" applyAlignment="1">
      <alignment horizontal="center" vertical="top" wrapText="1"/>
    </xf>
    <xf numFmtId="49" fontId="0" fillId="4" borderId="1" xfId="0" applyNumberFormat="1" applyFill="1" applyBorder="1" applyAlignment="1">
      <alignment horizontal="center" vertical="top" wrapText="1"/>
    </xf>
    <xf numFmtId="49" fontId="3" fillId="10" borderId="1" xfId="0" applyNumberFormat="1" applyFont="1" applyFill="1" applyBorder="1" applyAlignment="1">
      <alignment horizontal="center" vertical="top" wrapText="1"/>
    </xf>
    <xf numFmtId="49" fontId="0" fillId="10" borderId="1" xfId="0" applyNumberFormat="1" applyFill="1" applyBorder="1" applyAlignment="1">
      <alignment horizontal="center" vertical="top" wrapText="1"/>
    </xf>
    <xf numFmtId="0" fontId="28" fillId="3" borderId="1" xfId="0" applyFont="1" applyFill="1" applyBorder="1" applyAlignment="1">
      <alignment horizontal="left" vertical="top" wrapText="1"/>
    </xf>
    <xf numFmtId="1" fontId="29" fillId="3" borderId="1" xfId="1" applyNumberFormat="1" applyFont="1" applyFill="1" applyBorder="1" applyAlignment="1">
      <alignment horizontal="left" vertical="top" wrapText="1"/>
    </xf>
    <xf numFmtId="1" fontId="29" fillId="3" borderId="19" xfId="1" applyNumberFormat="1" applyFont="1" applyFill="1" applyBorder="1" applyAlignment="1">
      <alignment horizontal="left" vertical="top" wrapText="1"/>
    </xf>
    <xf numFmtId="49" fontId="0" fillId="3" borderId="19" xfId="0" applyNumberFormat="1" applyFill="1" applyBorder="1" applyAlignment="1">
      <alignment horizontal="left" vertical="top" wrapText="1"/>
    </xf>
    <xf numFmtId="49" fontId="29" fillId="3" borderId="17" xfId="0" applyNumberFormat="1" applyFont="1" applyFill="1" applyBorder="1" applyAlignment="1">
      <alignment horizontal="left" vertical="top" wrapText="1"/>
    </xf>
    <xf numFmtId="49" fontId="29" fillId="3" borderId="1" xfId="0" applyNumberFormat="1" applyFont="1" applyFill="1" applyBorder="1" applyAlignment="1">
      <alignment horizontal="left" vertical="top" wrapText="1"/>
    </xf>
    <xf numFmtId="0" fontId="29" fillId="3" borderId="0" xfId="0" applyFont="1" applyFill="1" applyAlignment="1">
      <alignment horizontal="left" vertical="top"/>
    </xf>
    <xf numFmtId="0" fontId="13" fillId="11" borderId="1" xfId="2" applyFont="1" applyFill="1" applyBorder="1" applyAlignment="1">
      <alignment horizontal="left" vertical="top" wrapText="1"/>
    </xf>
    <xf numFmtId="0" fontId="13" fillId="11" borderId="16" xfId="2" applyFont="1" applyFill="1" applyBorder="1" applyAlignment="1">
      <alignment horizontal="left" vertical="top" wrapText="1"/>
    </xf>
    <xf numFmtId="49" fontId="14" fillId="11" borderId="1" xfId="2" applyNumberFormat="1" applyFont="1" applyFill="1" applyBorder="1" applyAlignment="1">
      <alignment horizontal="left" vertical="top"/>
    </xf>
    <xf numFmtId="49" fontId="13" fillId="11" borderId="1" xfId="2" applyNumberFormat="1" applyFill="1" applyBorder="1" applyAlignment="1">
      <alignment horizontal="left" vertical="top"/>
    </xf>
    <xf numFmtId="0" fontId="13" fillId="0" borderId="0" xfId="2" applyFill="1" applyAlignment="1">
      <alignment horizontal="left" vertical="top"/>
    </xf>
    <xf numFmtId="0" fontId="2" fillId="0" borderId="0" xfId="0" applyFont="1" applyAlignment="1">
      <alignment horizontal="left" vertical="top"/>
    </xf>
    <xf numFmtId="0" fontId="2" fillId="0" borderId="1" xfId="0" applyFont="1" applyBorder="1" applyAlignment="1" applyProtection="1">
      <alignment horizontal="left" vertical="top"/>
      <protection locked="0"/>
    </xf>
    <xf numFmtId="0" fontId="19" fillId="0" borderId="22" xfId="0" applyFont="1" applyBorder="1"/>
    <xf numFmtId="0" fontId="0" fillId="0" borderId="22" xfId="0" applyBorder="1"/>
    <xf numFmtId="0" fontId="0" fillId="0" borderId="23" xfId="0" applyBorder="1"/>
    <xf numFmtId="0" fontId="19" fillId="0" borderId="20" xfId="0" applyFont="1" applyBorder="1"/>
    <xf numFmtId="0" fontId="8" fillId="0" borderId="0" xfId="0" applyFont="1" applyBorder="1" applyAlignment="1">
      <alignment horizontal="left" vertical="center"/>
    </xf>
    <xf numFmtId="0" fontId="19" fillId="0" borderId="0" xfId="0" applyFont="1" applyBorder="1"/>
    <xf numFmtId="0" fontId="0" fillId="0" borderId="0" xfId="0" applyBorder="1"/>
    <xf numFmtId="0" fontId="0" fillId="0" borderId="24" xfId="0" applyBorder="1"/>
    <xf numFmtId="0" fontId="23" fillId="0" borderId="20" xfId="0" applyFont="1" applyFill="1" applyBorder="1" applyAlignment="1">
      <alignment vertical="center"/>
    </xf>
    <xf numFmtId="0" fontId="8" fillId="0" borderId="20" xfId="0" applyFont="1" applyBorder="1" applyAlignment="1">
      <alignment vertical="center"/>
    </xf>
    <xf numFmtId="0" fontId="19" fillId="0" borderId="25" xfId="0" applyFont="1" applyBorder="1"/>
    <xf numFmtId="0" fontId="19" fillId="0" borderId="26" xfId="0" applyFont="1" applyBorder="1"/>
    <xf numFmtId="0" fontId="0" fillId="0" borderId="26" xfId="0" applyBorder="1"/>
    <xf numFmtId="0" fontId="0" fillId="0" borderId="27" xfId="0" applyBorder="1"/>
    <xf numFmtId="0" fontId="6" fillId="0" borderId="21" xfId="5" applyBorder="1" applyAlignment="1" applyProtection="1"/>
    <xf numFmtId="0" fontId="2" fillId="19"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2" fillId="20" borderId="1" xfId="0" applyFont="1" applyFill="1" applyBorder="1" applyAlignment="1">
      <alignment horizontal="center" vertical="top" wrapText="1"/>
    </xf>
    <xf numFmtId="9" fontId="2" fillId="18" borderId="1" xfId="29" applyFont="1" applyFill="1" applyBorder="1" applyAlignment="1">
      <alignment horizontal="center" vertical="top" wrapText="1"/>
    </xf>
    <xf numFmtId="9" fontId="2" fillId="20" borderId="1" xfId="29" applyFont="1" applyFill="1" applyBorder="1" applyAlignment="1">
      <alignment horizontal="center" vertical="top" wrapText="1"/>
    </xf>
    <xf numFmtId="9" fontId="2" fillId="19" borderId="1" xfId="29" applyFont="1" applyFill="1" applyBorder="1" applyAlignment="1">
      <alignment horizontal="center" vertical="top" wrapText="1"/>
    </xf>
    <xf numFmtId="0" fontId="2" fillId="0" borderId="1" xfId="0" applyFont="1" applyFill="1" applyBorder="1" applyAlignment="1" applyProtection="1">
      <alignment horizontal="left" vertical="top"/>
      <protection locked="0"/>
    </xf>
    <xf numFmtId="9" fontId="5" fillId="4" borderId="1" xfId="29" applyFont="1" applyFill="1" applyBorder="1" applyAlignment="1">
      <alignment horizontal="center" vertical="top" wrapText="1"/>
    </xf>
    <xf numFmtId="1" fontId="2" fillId="8" borderId="1" xfId="1" applyNumberFormat="1" applyFont="1" applyFill="1" applyBorder="1" applyAlignment="1">
      <alignment horizontal="center" vertical="top" wrapText="1"/>
    </xf>
    <xf numFmtId="0" fontId="5" fillId="4" borderId="1" xfId="0" applyNumberFormat="1" applyFont="1" applyFill="1" applyBorder="1" applyAlignment="1">
      <alignment horizontal="center" vertical="top" wrapText="1"/>
    </xf>
    <xf numFmtId="0" fontId="59" fillId="0" borderId="0" xfId="0" applyFont="1" applyAlignment="1">
      <alignment vertical="center"/>
    </xf>
    <xf numFmtId="0" fontId="60" fillId="0" borderId="0" xfId="0" applyFont="1" applyAlignment="1">
      <alignment vertical="center"/>
    </xf>
    <xf numFmtId="20" fontId="60" fillId="0" borderId="0" xfId="0" applyNumberFormat="1" applyFont="1" applyAlignment="1">
      <alignment vertical="center"/>
    </xf>
    <xf numFmtId="0" fontId="61" fillId="0" borderId="0" xfId="0" applyFont="1" applyAlignment="1">
      <alignment vertical="center"/>
    </xf>
    <xf numFmtId="0" fontId="58" fillId="0" borderId="0" xfId="0" applyFont="1" applyAlignment="1">
      <alignment vertical="center"/>
    </xf>
    <xf numFmtId="0" fontId="62" fillId="0" borderId="28" xfId="0" applyFont="1" applyBorder="1" applyAlignment="1">
      <alignment vertical="center" wrapText="1"/>
    </xf>
    <xf numFmtId="0" fontId="58" fillId="0" borderId="28" xfId="0" applyFont="1" applyBorder="1" applyAlignment="1">
      <alignment vertical="center" wrapText="1"/>
    </xf>
    <xf numFmtId="0" fontId="6" fillId="0" borderId="28" xfId="5" applyBorder="1" applyAlignment="1" applyProtection="1">
      <alignment vertical="center" wrapText="1"/>
    </xf>
    <xf numFmtId="0" fontId="63" fillId="0" borderId="0" xfId="0" applyFont="1" applyAlignment="1">
      <alignment vertical="center"/>
    </xf>
    <xf numFmtId="0" fontId="64" fillId="0" borderId="0" xfId="0" applyFont="1" applyAlignment="1">
      <alignment vertical="center"/>
    </xf>
    <xf numFmtId="0" fontId="65" fillId="0" borderId="0" xfId="0" applyFont="1" applyAlignment="1">
      <alignment vertical="center"/>
    </xf>
    <xf numFmtId="0" fontId="67" fillId="0" borderId="28" xfId="0" applyFont="1" applyBorder="1" applyAlignment="1">
      <alignment vertical="center" wrapText="1"/>
    </xf>
    <xf numFmtId="49" fontId="2" fillId="4" borderId="1" xfId="0" applyNumberFormat="1" applyFont="1" applyFill="1" applyBorder="1" applyAlignment="1">
      <alignment horizontal="center" vertical="top" wrapText="1"/>
    </xf>
    <xf numFmtId="0" fontId="2" fillId="21" borderId="1" xfId="0" applyFont="1" applyFill="1" applyBorder="1" applyAlignment="1">
      <alignment horizontal="center" vertical="top" wrapText="1"/>
    </xf>
    <xf numFmtId="9" fontId="2" fillId="21" borderId="1" xfId="29" applyFont="1" applyFill="1" applyBorder="1" applyAlignment="1">
      <alignment horizontal="center" vertical="top" wrapText="1"/>
    </xf>
    <xf numFmtId="1" fontId="0" fillId="0" borderId="0" xfId="0" applyNumberFormat="1" applyFill="1" applyBorder="1" applyAlignment="1">
      <alignment horizontal="left" vertical="top"/>
    </xf>
    <xf numFmtId="49" fontId="7" fillId="0" borderId="0" xfId="1" applyNumberFormat="1" applyFill="1" applyBorder="1" applyAlignment="1">
      <alignment horizontal="left" vertical="top"/>
    </xf>
    <xf numFmtId="49" fontId="7" fillId="3" borderId="19" xfId="1" applyNumberFormat="1" applyFill="1" applyBorder="1" applyAlignment="1">
      <alignment horizontal="left" vertical="top" wrapText="1"/>
    </xf>
    <xf numFmtId="0" fontId="7" fillId="0" borderId="1" xfId="1" applyBorder="1" applyAlignment="1">
      <alignment horizontal="left" vertical="top"/>
    </xf>
    <xf numFmtId="0" fontId="7" fillId="3" borderId="0" xfId="1" applyFill="1" applyAlignment="1">
      <alignment horizontal="left" vertical="top"/>
    </xf>
    <xf numFmtId="0" fontId="3" fillId="0" borderId="1" xfId="1" applyNumberFormat="1" applyFont="1" applyFill="1" applyBorder="1" applyAlignment="1">
      <alignment horizontal="left" vertical="top" wrapText="1"/>
    </xf>
    <xf numFmtId="0" fontId="3" fillId="0" borderId="17" xfId="0" applyFont="1" applyBorder="1" applyAlignment="1">
      <alignment horizontal="center" vertical="top" wrapText="1"/>
    </xf>
    <xf numFmtId="0" fontId="3" fillId="3" borderId="6" xfId="0" applyFont="1" applyFill="1" applyBorder="1" applyAlignment="1">
      <alignment horizontal="center" vertical="top" wrapText="1"/>
    </xf>
    <xf numFmtId="0" fontId="3" fillId="0" borderId="7" xfId="0" applyFont="1" applyBorder="1" applyAlignment="1">
      <alignment horizontal="center" vertical="top" wrapText="1"/>
    </xf>
    <xf numFmtId="0" fontId="8" fillId="2" borderId="19" xfId="0" applyFont="1" applyFill="1" applyBorder="1" applyAlignment="1">
      <alignment horizontal="right" vertical="top" wrapText="1"/>
    </xf>
    <xf numFmtId="0" fontId="8" fillId="2" borderId="11" xfId="0" applyFont="1" applyFill="1" applyBorder="1" applyAlignment="1">
      <alignment horizontal="right" vertical="top" wrapText="1"/>
    </xf>
    <xf numFmtId="0" fontId="8" fillId="2" borderId="17" xfId="0" applyFont="1" applyFill="1" applyBorder="1" applyAlignment="1">
      <alignment horizontal="right" vertical="top" wrapText="1"/>
    </xf>
    <xf numFmtId="0" fontId="8" fillId="2" borderId="1" xfId="0" applyFont="1" applyFill="1" applyBorder="1" applyAlignment="1">
      <alignment horizontal="right" vertical="top" wrapText="1"/>
    </xf>
    <xf numFmtId="0" fontId="3" fillId="3" borderId="1" xfId="0" applyFont="1" applyFill="1" applyBorder="1" applyAlignment="1">
      <alignment horizontal="center" vertical="top" wrapText="1"/>
    </xf>
    <xf numFmtId="0" fontId="3" fillId="0" borderId="1" xfId="0" applyFont="1" applyBorder="1" applyAlignment="1">
      <alignment horizontal="center" vertical="top" wrapText="1"/>
    </xf>
    <xf numFmtId="0" fontId="2" fillId="0" borderId="9" xfId="31" applyFont="1" applyBorder="1" applyAlignment="1">
      <alignment wrapText="1"/>
    </xf>
    <xf numFmtId="0" fontId="2" fillId="0" borderId="19" xfId="31" applyBorder="1" applyAlignment="1">
      <alignment wrapText="1"/>
    </xf>
    <xf numFmtId="0" fontId="3" fillId="0" borderId="1" xfId="0" applyFont="1" applyBorder="1" applyAlignment="1">
      <alignment wrapText="1"/>
    </xf>
    <xf numFmtId="0" fontId="0" fillId="0" borderId="1" xfId="0" applyBorder="1" applyAlignment="1">
      <alignment wrapText="1"/>
    </xf>
    <xf numFmtId="0" fontId="3" fillId="0" borderId="1" xfId="0" applyFont="1" applyBorder="1" applyAlignment="1">
      <alignment vertical="top" wrapText="1"/>
    </xf>
    <xf numFmtId="0" fontId="0" fillId="0" borderId="1" xfId="0" applyBorder="1" applyAlignment="1">
      <alignment vertical="top" wrapText="1"/>
    </xf>
    <xf numFmtId="0" fontId="40" fillId="2" borderId="0" xfId="0" applyFont="1" applyFill="1" applyBorder="1" applyAlignment="1">
      <alignment horizontal="center" vertical="center" wrapText="1"/>
    </xf>
    <xf numFmtId="0" fontId="0" fillId="2" borderId="0" xfId="0" applyFill="1" applyBorder="1" applyAlignment="1">
      <alignment horizontal="center" vertical="center"/>
    </xf>
    <xf numFmtId="0" fontId="33" fillId="2" borderId="0" xfId="0" applyFont="1" applyFill="1" applyBorder="1" applyAlignment="1">
      <alignment horizontal="center" vertical="center" wrapText="1"/>
    </xf>
    <xf numFmtId="0" fontId="5" fillId="2" borderId="6" xfId="0" applyFont="1" applyFill="1" applyBorder="1" applyAlignment="1">
      <alignment horizontal="center" vertical="top" wrapText="1"/>
    </xf>
    <xf numFmtId="0" fontId="5" fillId="2" borderId="3" xfId="0" applyFont="1" applyFill="1" applyBorder="1" applyAlignment="1">
      <alignment horizontal="center" vertical="top" wrapText="1"/>
    </xf>
    <xf numFmtId="0" fontId="5" fillId="2" borderId="5" xfId="0" applyFont="1" applyFill="1" applyBorder="1" applyAlignment="1">
      <alignment horizontal="left" vertical="top" wrapText="1"/>
    </xf>
    <xf numFmtId="0" fontId="5" fillId="2" borderId="0" xfId="0" applyFont="1" applyFill="1" applyBorder="1" applyAlignment="1">
      <alignment horizontal="left" vertical="top" wrapText="1"/>
    </xf>
    <xf numFmtId="0" fontId="39" fillId="0" borderId="5" xfId="0" applyFont="1" applyFill="1" applyBorder="1" applyAlignment="1">
      <alignment horizontal="center" vertical="top" wrapText="1"/>
    </xf>
    <xf numFmtId="0" fontId="39" fillId="0" borderId="8" xfId="0" applyFont="1" applyFill="1" applyBorder="1" applyAlignment="1">
      <alignment horizontal="center" vertical="top" wrapText="1"/>
    </xf>
    <xf numFmtId="0" fontId="5" fillId="2" borderId="9" xfId="0" applyFont="1" applyFill="1" applyBorder="1" applyAlignment="1">
      <alignment horizontal="left" vertical="top" wrapText="1"/>
    </xf>
    <xf numFmtId="0" fontId="5" fillId="2" borderId="12" xfId="0" applyFont="1" applyFill="1" applyBorder="1" applyAlignment="1">
      <alignment horizontal="left" vertical="top" wrapText="1"/>
    </xf>
    <xf numFmtId="0" fontId="39" fillId="2" borderId="5" xfId="0" applyFont="1" applyFill="1" applyBorder="1" applyAlignment="1">
      <alignment horizontal="center" vertical="top" wrapText="1"/>
    </xf>
    <xf numFmtId="0" fontId="39" fillId="2" borderId="0" xfId="0" applyFont="1" applyFill="1" applyBorder="1" applyAlignment="1">
      <alignment horizontal="center" vertical="top" wrapText="1"/>
    </xf>
    <xf numFmtId="0" fontId="8" fillId="2" borderId="1" xfId="0" applyFont="1" applyFill="1" applyBorder="1" applyAlignment="1">
      <alignment vertical="center" wrapText="1"/>
    </xf>
    <xf numFmtId="0" fontId="36" fillId="0" borderId="1" xfId="0" applyFont="1" applyBorder="1" applyAlignment="1">
      <alignment horizontal="center" wrapText="1"/>
    </xf>
    <xf numFmtId="0" fontId="37" fillId="0" borderId="1" xfId="0" applyFont="1" applyBorder="1" applyAlignment="1"/>
    <xf numFmtId="0" fontId="2" fillId="0" borderId="1" xfId="31" applyFont="1" applyBorder="1" applyAlignment="1">
      <alignment vertical="top" wrapText="1"/>
    </xf>
    <xf numFmtId="0" fontId="2" fillId="0" borderId="1" xfId="31" applyBorder="1" applyAlignment="1">
      <alignment vertical="top" wrapText="1"/>
    </xf>
    <xf numFmtId="0" fontId="2" fillId="0" borderId="16" xfId="31" applyFont="1" applyBorder="1" applyAlignment="1">
      <alignment vertical="top" wrapText="1"/>
    </xf>
    <xf numFmtId="0" fontId="2" fillId="0" borderId="17" xfId="31" applyBorder="1" applyAlignment="1">
      <alignment vertical="top" wrapText="1"/>
    </xf>
    <xf numFmtId="0" fontId="5" fillId="4" borderId="6"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8" fillId="2" borderId="16" xfId="0" applyFont="1" applyFill="1" applyBorder="1" applyAlignment="1">
      <alignment vertical="center" wrapText="1"/>
    </xf>
    <xf numFmtId="0" fontId="8" fillId="2" borderId="18" xfId="0" applyFont="1" applyFill="1" applyBorder="1" applyAlignment="1">
      <alignment vertical="center" wrapText="1"/>
    </xf>
    <xf numFmtId="0" fontId="8" fillId="2" borderId="17" xfId="0" applyFont="1" applyFill="1" applyBorder="1" applyAlignment="1">
      <alignment vertical="center" wrapText="1"/>
    </xf>
    <xf numFmtId="0" fontId="30" fillId="2" borderId="0" xfId="0" applyFont="1" applyFill="1" applyBorder="1" applyAlignment="1">
      <alignment horizontal="left" vertical="center" wrapText="1"/>
    </xf>
    <xf numFmtId="0" fontId="34" fillId="3" borderId="1" xfId="0" applyFont="1" applyFill="1" applyBorder="1" applyAlignment="1">
      <alignment horizontal="center" vertical="center" wrapText="1"/>
    </xf>
    <xf numFmtId="0" fontId="22" fillId="4" borderId="1" xfId="0" applyFont="1" applyFill="1" applyBorder="1" applyAlignment="1">
      <alignment horizontal="center" vertical="center" wrapText="1"/>
    </xf>
    <xf numFmtId="49" fontId="20" fillId="5" borderId="4" xfId="0" applyNumberFormat="1" applyFont="1" applyFill="1" applyBorder="1" applyAlignment="1">
      <alignment horizontal="center" vertical="top" wrapText="1"/>
    </xf>
    <xf numFmtId="49" fontId="3" fillId="5" borderId="10" xfId="0" applyNumberFormat="1" applyFont="1" applyFill="1" applyBorder="1" applyAlignment="1">
      <alignment horizontal="center" vertical="top" wrapText="1"/>
    </xf>
    <xf numFmtId="49" fontId="3" fillId="5" borderId="11" xfId="0" applyNumberFormat="1" applyFont="1" applyFill="1" applyBorder="1" applyAlignment="1">
      <alignment horizontal="center" vertical="top" wrapText="1"/>
    </xf>
    <xf numFmtId="49" fontId="5" fillId="4" borderId="16" xfId="0" applyNumberFormat="1" applyFont="1" applyFill="1" applyBorder="1" applyAlignment="1">
      <alignment horizontal="center" vertical="top" wrapText="1"/>
    </xf>
    <xf numFmtId="49" fontId="5" fillId="4" borderId="18" xfId="0" applyNumberFormat="1" applyFont="1" applyFill="1" applyBorder="1" applyAlignment="1">
      <alignment horizontal="center" vertical="top" wrapText="1"/>
    </xf>
    <xf numFmtId="49" fontId="5" fillId="4" borderId="17" xfId="0" applyNumberFormat="1" applyFont="1" applyFill="1" applyBorder="1" applyAlignment="1">
      <alignment horizontal="center" vertical="top" wrapText="1"/>
    </xf>
    <xf numFmtId="0" fontId="2" fillId="18" borderId="16" xfId="0" applyFont="1" applyFill="1" applyBorder="1" applyAlignment="1">
      <alignment horizontal="center" vertical="top" wrapText="1"/>
    </xf>
    <xf numFmtId="0" fontId="2" fillId="18" borderId="17" xfId="0" applyFont="1" applyFill="1" applyBorder="1" applyAlignment="1">
      <alignment horizontal="center" vertical="top" wrapText="1"/>
    </xf>
    <xf numFmtId="0" fontId="2" fillId="20" borderId="16" xfId="0" applyFont="1" applyFill="1" applyBorder="1" applyAlignment="1">
      <alignment horizontal="center" vertical="top" wrapText="1"/>
    </xf>
    <xf numFmtId="0" fontId="2" fillId="20" borderId="17" xfId="0" applyFont="1" applyFill="1" applyBorder="1" applyAlignment="1">
      <alignment horizontal="center" vertical="top" wrapText="1"/>
    </xf>
    <xf numFmtId="0" fontId="2" fillId="19" borderId="16" xfId="0" applyFont="1" applyFill="1" applyBorder="1" applyAlignment="1">
      <alignment horizontal="center" vertical="top"/>
    </xf>
    <xf numFmtId="0" fontId="2" fillId="19" borderId="17" xfId="0" applyFont="1" applyFill="1" applyBorder="1" applyAlignment="1">
      <alignment horizontal="center" vertical="top"/>
    </xf>
    <xf numFmtId="0" fontId="2" fillId="21" borderId="16" xfId="0" applyFont="1" applyFill="1" applyBorder="1" applyAlignment="1">
      <alignment horizontal="center" vertical="top"/>
    </xf>
    <xf numFmtId="0" fontId="2" fillId="21" borderId="17" xfId="0" applyFont="1" applyFill="1" applyBorder="1" applyAlignment="1">
      <alignment horizontal="center" vertical="top"/>
    </xf>
    <xf numFmtId="14" fontId="5" fillId="8" borderId="4" xfId="0" applyNumberFormat="1" applyFont="1" applyFill="1" applyBorder="1" applyAlignment="1">
      <alignment horizontal="center" vertical="center" wrapText="1"/>
    </xf>
    <xf numFmtId="14" fontId="5" fillId="8" borderId="10" xfId="0" applyNumberFormat="1" applyFont="1" applyFill="1" applyBorder="1" applyAlignment="1">
      <alignment horizontal="center" vertical="center" wrapText="1"/>
    </xf>
    <xf numFmtId="14" fontId="5" fillId="8" borderId="11" xfId="0" applyNumberFormat="1" applyFont="1" applyFill="1" applyBorder="1" applyAlignment="1">
      <alignment horizontal="center" vertical="center" wrapText="1"/>
    </xf>
    <xf numFmtId="0" fontId="5" fillId="10" borderId="3" xfId="0" applyFont="1" applyFill="1" applyBorder="1" applyAlignment="1">
      <alignment horizontal="center" vertical="top" wrapText="1"/>
    </xf>
    <xf numFmtId="0" fontId="0" fillId="0" borderId="3" xfId="0" applyBorder="1" applyAlignment="1">
      <alignment horizontal="center" vertical="top"/>
    </xf>
    <xf numFmtId="0" fontId="0" fillId="0" borderId="7" xfId="0" applyBorder="1" applyAlignment="1">
      <alignment horizontal="center" vertical="top"/>
    </xf>
    <xf numFmtId="0" fontId="21" fillId="10" borderId="12" xfId="0" applyFont="1" applyFill="1" applyBorder="1" applyAlignment="1">
      <alignment horizontal="center" vertical="top" wrapText="1"/>
    </xf>
    <xf numFmtId="0" fontId="0" fillId="0" borderId="12" xfId="0" applyBorder="1" applyAlignment="1">
      <alignment horizontal="center" vertical="top"/>
    </xf>
    <xf numFmtId="0" fontId="0" fillId="0" borderId="19" xfId="0" applyBorder="1" applyAlignment="1">
      <alignment horizontal="center" vertical="top"/>
    </xf>
    <xf numFmtId="0" fontId="5" fillId="10" borderId="5" xfId="0" applyFont="1" applyFill="1" applyBorder="1" applyAlignment="1">
      <alignment horizontal="center" vertical="top" wrapText="1"/>
    </xf>
    <xf numFmtId="0" fontId="5" fillId="10" borderId="0" xfId="0" applyFont="1" applyFill="1" applyBorder="1" applyAlignment="1">
      <alignment horizontal="center" vertical="top" wrapText="1"/>
    </xf>
    <xf numFmtId="0" fontId="5" fillId="10" borderId="8" xfId="0" applyFont="1" applyFill="1" applyBorder="1" applyAlignment="1">
      <alignment horizontal="center" vertical="top" wrapText="1"/>
    </xf>
    <xf numFmtId="0" fontId="5" fillId="10" borderId="9" xfId="0" applyFont="1" applyFill="1" applyBorder="1" applyAlignment="1">
      <alignment horizontal="center" vertical="top" wrapText="1"/>
    </xf>
    <xf numFmtId="0" fontId="5" fillId="10" borderId="12" xfId="0" applyFont="1" applyFill="1" applyBorder="1" applyAlignment="1">
      <alignment horizontal="center" vertical="top" wrapText="1"/>
    </xf>
    <xf numFmtId="0" fontId="5" fillId="10" borderId="19" xfId="0" applyFont="1" applyFill="1" applyBorder="1" applyAlignment="1">
      <alignment horizontal="center" vertical="top" wrapText="1"/>
    </xf>
    <xf numFmtId="0" fontId="5" fillId="10" borderId="6" xfId="0" applyFont="1" applyFill="1" applyBorder="1" applyAlignment="1">
      <alignment horizontal="center" vertical="top" wrapText="1"/>
    </xf>
    <xf numFmtId="0" fontId="5" fillId="10" borderId="7" xfId="0" applyFont="1" applyFill="1" applyBorder="1" applyAlignment="1">
      <alignment horizontal="center" vertical="top" wrapText="1"/>
    </xf>
    <xf numFmtId="14" fontId="3" fillId="9" borderId="1"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0" fontId="5" fillId="3" borderId="4" xfId="0" applyFont="1" applyFill="1" applyBorder="1" applyAlignment="1">
      <alignment horizontal="center" vertical="top"/>
    </xf>
    <xf numFmtId="0" fontId="5" fillId="3" borderId="11" xfId="0" applyFont="1" applyFill="1" applyBorder="1" applyAlignment="1">
      <alignment horizontal="center" vertical="top"/>
    </xf>
    <xf numFmtId="14" fontId="3" fillId="9" borderId="4" xfId="0" applyNumberFormat="1" applyFont="1" applyFill="1" applyBorder="1" applyAlignment="1">
      <alignment horizontal="center" vertical="top" wrapText="1"/>
    </xf>
    <xf numFmtId="14" fontId="3" fillId="9" borderId="10" xfId="0" applyNumberFormat="1" applyFont="1" applyFill="1" applyBorder="1" applyAlignment="1">
      <alignment horizontal="center" vertical="top" wrapText="1"/>
    </xf>
    <xf numFmtId="14" fontId="3" fillId="9" borderId="11" xfId="0" applyNumberFormat="1" applyFont="1" applyFill="1" applyBorder="1" applyAlignment="1">
      <alignment horizontal="center" vertical="top" wrapText="1"/>
    </xf>
    <xf numFmtId="0" fontId="5" fillId="8" borderId="4" xfId="0" applyFont="1" applyFill="1" applyBorder="1" applyAlignment="1">
      <alignment horizontal="center" vertical="top"/>
    </xf>
    <xf numFmtId="0" fontId="0" fillId="0" borderId="11" xfId="0" applyBorder="1" applyAlignment="1">
      <alignment horizontal="center" vertical="top"/>
    </xf>
    <xf numFmtId="0" fontId="7" fillId="5" borderId="6" xfId="1" applyFill="1" applyBorder="1" applyAlignment="1">
      <alignment horizontal="center" vertical="center"/>
    </xf>
    <xf numFmtId="0" fontId="7" fillId="5" borderId="3" xfId="1" applyFill="1" applyBorder="1" applyAlignment="1">
      <alignment horizontal="center" vertical="center"/>
    </xf>
    <xf numFmtId="0" fontId="7" fillId="5" borderId="7" xfId="1" applyFill="1" applyBorder="1" applyAlignment="1">
      <alignment horizontal="center" vertical="center"/>
    </xf>
    <xf numFmtId="0" fontId="7" fillId="5" borderId="9" xfId="1" applyFill="1" applyBorder="1" applyAlignment="1">
      <alignment horizontal="center" vertical="center"/>
    </xf>
    <xf numFmtId="0" fontId="7" fillId="5" borderId="12" xfId="1" applyFill="1" applyBorder="1" applyAlignment="1">
      <alignment horizontal="center" vertical="center"/>
    </xf>
    <xf numFmtId="0" fontId="7" fillId="5" borderId="19" xfId="1" applyFill="1" applyBorder="1" applyAlignment="1">
      <alignment horizontal="center" vertical="center"/>
    </xf>
    <xf numFmtId="49" fontId="5" fillId="5" borderId="16" xfId="1" applyNumberFormat="1" applyFont="1" applyFill="1" applyBorder="1" applyAlignment="1">
      <alignment horizontal="center" vertical="center" wrapText="1"/>
    </xf>
    <xf numFmtId="49" fontId="7" fillId="5" borderId="18" xfId="1" applyNumberFormat="1" applyFill="1" applyBorder="1" applyAlignment="1">
      <alignment horizontal="center" vertical="center" wrapText="1"/>
    </xf>
    <xf numFmtId="49" fontId="7" fillId="5" borderId="17" xfId="1" applyNumberFormat="1" applyFill="1" applyBorder="1" applyAlignment="1">
      <alignment horizontal="center" vertical="center" wrapText="1"/>
    </xf>
    <xf numFmtId="49" fontId="7" fillId="5" borderId="4" xfId="1" applyNumberFormat="1" applyFill="1" applyBorder="1" applyAlignment="1">
      <alignment horizontal="center" vertical="top" wrapText="1"/>
    </xf>
    <xf numFmtId="49" fontId="7" fillId="5" borderId="10" xfId="1" applyNumberFormat="1" applyFill="1" applyBorder="1" applyAlignment="1">
      <alignment horizontal="center" vertical="top" wrapText="1"/>
    </xf>
    <xf numFmtId="49" fontId="7" fillId="5" borderId="11" xfId="1" applyNumberFormat="1" applyFill="1" applyBorder="1" applyAlignment="1">
      <alignment horizontal="center" vertical="top" wrapText="1"/>
    </xf>
    <xf numFmtId="0" fontId="54" fillId="16" borderId="13" xfId="0" applyFont="1" applyFill="1" applyBorder="1" applyAlignment="1">
      <alignment horizontal="center" vertical="center"/>
    </xf>
    <xf numFmtId="0" fontId="54" fillId="16" borderId="14" xfId="0" applyFont="1" applyFill="1" applyBorder="1" applyAlignment="1">
      <alignment horizontal="center" vertical="center"/>
    </xf>
    <xf numFmtId="0" fontId="54" fillId="16" borderId="15" xfId="0" applyFont="1" applyFill="1" applyBorder="1" applyAlignment="1">
      <alignment horizontal="center" vertical="center"/>
    </xf>
    <xf numFmtId="0" fontId="51" fillId="17" borderId="13" xfId="0" applyFont="1" applyFill="1" applyBorder="1" applyAlignment="1">
      <alignment horizontal="center" vertical="center" wrapText="1"/>
    </xf>
    <xf numFmtId="0" fontId="51" fillId="17" borderId="14" xfId="0" applyFont="1" applyFill="1" applyBorder="1" applyAlignment="1">
      <alignment horizontal="center" vertical="center" wrapText="1"/>
    </xf>
    <xf numFmtId="0" fontId="51" fillId="17" borderId="15" xfId="0" applyFont="1" applyFill="1" applyBorder="1" applyAlignment="1">
      <alignment horizontal="center" vertical="center" wrapText="1"/>
    </xf>
    <xf numFmtId="0" fontId="54" fillId="15" borderId="13" xfId="0" applyFont="1" applyFill="1" applyBorder="1" applyAlignment="1">
      <alignment horizontal="center" vertical="center" wrapText="1"/>
    </xf>
    <xf numFmtId="0" fontId="54" fillId="15" borderId="14" xfId="0" applyFont="1" applyFill="1" applyBorder="1" applyAlignment="1">
      <alignment horizontal="center" vertical="center" wrapText="1"/>
    </xf>
    <xf numFmtId="0" fontId="54" fillId="15" borderId="15" xfId="0" applyFont="1" applyFill="1" applyBorder="1" applyAlignment="1">
      <alignment horizontal="center" vertical="center" wrapText="1"/>
    </xf>
    <xf numFmtId="14" fontId="16" fillId="7" borderId="3" xfId="0" applyNumberFormat="1" applyFont="1" applyFill="1" applyBorder="1" applyAlignment="1">
      <alignment horizontal="center" vertical="center" wrapText="1"/>
    </xf>
    <xf numFmtId="14" fontId="16" fillId="7" borderId="12" xfId="0" applyNumberFormat="1" applyFont="1" applyFill="1" applyBorder="1" applyAlignment="1">
      <alignment horizontal="center" vertical="center" wrapText="1"/>
    </xf>
    <xf numFmtId="0" fontId="19" fillId="0" borderId="0" xfId="0" applyFont="1" applyAlignment="1">
      <alignment vertical="top" wrapText="1"/>
    </xf>
    <xf numFmtId="0" fontId="19" fillId="0" borderId="0" xfId="0" applyFont="1" applyAlignment="1">
      <alignment horizontal="left" wrapText="1"/>
    </xf>
    <xf numFmtId="14" fontId="25" fillId="3" borderId="1" xfId="0" applyNumberFormat="1" applyFont="1" applyFill="1" applyBorder="1" applyAlignment="1">
      <alignment horizontal="left" vertical="center" wrapText="1"/>
    </xf>
    <xf numFmtId="14" fontId="24" fillId="3" borderId="16" xfId="0" applyNumberFormat="1" applyFont="1" applyFill="1" applyBorder="1" applyAlignment="1">
      <alignment horizontal="left" vertical="center"/>
    </xf>
    <xf numFmtId="14" fontId="24" fillId="3" borderId="18" xfId="0" applyNumberFormat="1" applyFont="1" applyFill="1" applyBorder="1" applyAlignment="1">
      <alignment horizontal="left" vertical="center"/>
    </xf>
    <xf numFmtId="14" fontId="24" fillId="3" borderId="17" xfId="0" applyNumberFormat="1" applyFont="1" applyFill="1" applyBorder="1" applyAlignment="1">
      <alignment horizontal="left" vertical="center"/>
    </xf>
    <xf numFmtId="0" fontId="25" fillId="3" borderId="1" xfId="0" applyFont="1" applyFill="1" applyBorder="1" applyAlignment="1">
      <alignment horizontal="left" vertical="center" wrapText="1"/>
    </xf>
    <xf numFmtId="0" fontId="25" fillId="3" borderId="16" xfId="0" applyFont="1" applyFill="1" applyBorder="1" applyAlignment="1">
      <alignment horizontal="left" vertical="center" wrapText="1"/>
    </xf>
    <xf numFmtId="0" fontId="25" fillId="3" borderId="18" xfId="0" applyFont="1" applyFill="1" applyBorder="1" applyAlignment="1">
      <alignment horizontal="left" vertical="center" wrapText="1"/>
    </xf>
    <xf numFmtId="0" fontId="25" fillId="3" borderId="17" xfId="0" applyFont="1" applyFill="1" applyBorder="1" applyAlignment="1">
      <alignment horizontal="left" vertical="center" wrapText="1"/>
    </xf>
    <xf numFmtId="0" fontId="4" fillId="2" borderId="1" xfId="0" applyFont="1" applyFill="1" applyBorder="1" applyAlignment="1">
      <alignment horizontal="left" wrapText="1"/>
    </xf>
    <xf numFmtId="0" fontId="4" fillId="3" borderId="1" xfId="0" applyFont="1" applyFill="1" applyBorder="1" applyAlignment="1">
      <alignment horizontal="left" vertical="top" wrapText="1"/>
    </xf>
    <xf numFmtId="14" fontId="25" fillId="3" borderId="16" xfId="0" applyNumberFormat="1" applyFont="1" applyFill="1" applyBorder="1" applyAlignment="1">
      <alignment horizontal="left" vertical="center" wrapText="1"/>
    </xf>
    <xf numFmtId="14" fontId="25" fillId="3" borderId="18" xfId="0" applyNumberFormat="1" applyFont="1" applyFill="1" applyBorder="1" applyAlignment="1">
      <alignment horizontal="left" vertical="center" wrapText="1"/>
    </xf>
    <xf numFmtId="14" fontId="25" fillId="3" borderId="17" xfId="0" applyNumberFormat="1" applyFont="1" applyFill="1" applyBorder="1" applyAlignment="1">
      <alignment horizontal="left" vertical="center" wrapText="1"/>
    </xf>
    <xf numFmtId="0" fontId="35" fillId="2" borderId="16" xfId="0" applyFont="1" applyFill="1" applyBorder="1" applyAlignment="1">
      <alignment horizontal="left"/>
    </xf>
    <xf numFmtId="0" fontId="35" fillId="2" borderId="18" xfId="0" applyFont="1" applyFill="1" applyBorder="1" applyAlignment="1">
      <alignment horizontal="left"/>
    </xf>
    <xf numFmtId="0" fontId="35" fillId="2" borderId="17" xfId="0" applyFont="1" applyFill="1" applyBorder="1" applyAlignment="1">
      <alignment horizontal="left"/>
    </xf>
    <xf numFmtId="0" fontId="4" fillId="3" borderId="18" xfId="0" applyFont="1" applyFill="1" applyBorder="1" applyAlignment="1">
      <alignment horizontal="left" vertical="top" wrapText="1"/>
    </xf>
    <xf numFmtId="0" fontId="4" fillId="3" borderId="17" xfId="0" applyFont="1" applyFill="1" applyBorder="1" applyAlignment="1">
      <alignment horizontal="left" vertical="top" wrapText="1"/>
    </xf>
  </cellXfs>
  <cellStyles count="32">
    <cellStyle name="ColLevel_1" xfId="1" builtinId="2" iLevel="0"/>
    <cellStyle name="entry" xfId="3"/>
    <cellStyle name="entry 2" xfId="4"/>
    <cellStyle name="Lien hypertexte 2" xfId="6"/>
    <cellStyle name="Normal 2" xfId="7"/>
    <cellStyle name="Normal 3" xfId="8"/>
    <cellStyle name="Normal 4" xfId="28"/>
    <cellStyle name="Normal 5" xfId="31"/>
    <cellStyle name="p::v Condition Cells" xfId="30"/>
    <cellStyle name="para" xfId="9"/>
    <cellStyle name="RowLevel_2" xfId="2" builtinId="1" iLevel="1"/>
    <cellStyle name="sect" xfId="10"/>
    <cellStyle name="sect1" xfId="11"/>
    <cellStyle name="sect2" xfId="12"/>
    <cellStyle name="sect3" xfId="13"/>
    <cellStyle name="sect4" xfId="14"/>
    <cellStyle name="sect4 2" xfId="15"/>
    <cellStyle name="sect5" xfId="16"/>
    <cellStyle name="sect5 2" xfId="17"/>
    <cellStyle name="sect6" xfId="18"/>
    <cellStyle name="sect6 2" xfId="19"/>
    <cellStyle name="sect7" xfId="20"/>
    <cellStyle name="sect7 2" xfId="21"/>
    <cellStyle name="sect8" xfId="22"/>
    <cellStyle name="sect8 2" xfId="23"/>
    <cellStyle name="sect9" xfId="24"/>
    <cellStyle name="sect9 2" xfId="25"/>
    <cellStyle name="tableTitle" xfId="26"/>
    <cellStyle name="title" xfId="27"/>
    <cellStyle name="百分比" xfId="29" builtinId="5"/>
    <cellStyle name="常规" xfId="0" builtinId="0"/>
    <cellStyle name="超链接" xfId="5" builtinId="8"/>
  </cellStyles>
  <dxfs count="49">
    <dxf>
      <fill>
        <patternFill>
          <fgColor indexed="64"/>
          <bgColor theme="0" tint="-0.24994659260841701"/>
        </patternFill>
      </fill>
    </dxf>
    <dxf>
      <fill>
        <patternFill>
          <fgColor indexed="64"/>
          <bgColor rgb="FFFF0000"/>
        </patternFill>
      </fill>
    </dxf>
    <dxf>
      <fill>
        <patternFill>
          <fgColor indexed="64"/>
          <bgColor rgb="FFFF000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s>
  <tableStyles count="0" defaultTableStyle="TableStyleMedium2" defaultPivotStyle="PivotStyleLight16"/>
  <colors>
    <mruColors>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theme" Target="theme/theme1.xml"/>
  <Relationship Id="rId11" Type="http://schemas.openxmlformats.org/officeDocument/2006/relationships/styles" Target="styles.xml"/>
  <Relationship Id="rId12" Type="http://schemas.openxmlformats.org/officeDocument/2006/relationships/sharedStrings" Target="sharedStrings.xml"/>
  <Relationship Id="rId13" Type="http://schemas.openxmlformats.org/officeDocument/2006/relationships/calcChain" Target="calcChain.xml"/>
  <Relationship Id="rId14" Type="http://schemas.openxmlformats.org/officeDocument/2006/relationships/customXml" Target="../customXml/item1.xml"/>
  <Relationship Id="rId15" Type="http://schemas.openxmlformats.org/officeDocument/2006/relationships/customXml" Target="../customXml/item2.xml"/>
  <Relationship Id="rId16" Type="http://schemas.openxmlformats.org/officeDocument/2006/relationships/customXml" Target="../customXml/item3.xml"/>
  <Relationship Id="rId17"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externalLink" Target="externalLinks/externalLink1.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_rels/drawing2.xml.rels><?xml version="1.0" encoding="UTF-8"?>

<Relationships xmlns="http://schemas.openxmlformats.org/package/2006/relationships">
  <Relationship Id="rId1" Type="http://schemas.openxmlformats.org/officeDocument/2006/relationships/image" Target="../media/image3.png"/>
</Relationships>

</file>

<file path=xl/drawings/_rels/vmlDrawing1.vml.rels><?xml version="1.0" encoding="UTF-8"?>

<Relationships xmlns="http://schemas.openxmlformats.org/package/2006/relationships">
  <Relationship Id="rId1" Type="http://schemas.openxmlformats.org/officeDocument/2006/relationships/image" Target="../media/image2.emf"/>
</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grpSp>
      <xdr:nvGrpSpPr>
        <xdr:cNvPr id="9700" name="Group 1"/>
        <xdr:cNvGrpSpPr>
          <a:grpSpLocks/>
        </xdr:cNvGrpSpPr>
      </xdr:nvGrpSpPr>
      <xdr:grpSpPr bwMode="auto">
        <a:xfrm>
          <a:off x="0" y="0"/>
          <a:ext cx="0" cy="0"/>
          <a:chOff x="6768" y="1440"/>
          <a:chExt cx="3888" cy="1008"/>
        </a:xfrm>
      </xdr:grpSpPr>
      <xdr:grpSp>
        <xdr:nvGrpSpPr>
          <xdr:cNvPr id="9702" name="Group 2"/>
          <xdr:cNvGrpSpPr>
            <a:grpSpLocks/>
          </xdr:cNvGrpSpPr>
        </xdr:nvGrpSpPr>
        <xdr:grpSpPr bwMode="auto">
          <a:xfrm>
            <a:off x="9648" y="1440"/>
            <a:ext cx="976" cy="720"/>
            <a:chOff x="5359" y="2448"/>
            <a:chExt cx="1840" cy="1705"/>
          </a:xfrm>
        </xdr:grpSpPr>
        <xdr:sp macro="" textlink="">
          <xdr:nvSpPr>
            <xdr:cNvPr id="9704" name="Freeform 3"/>
            <xdr:cNvSpPr>
              <a:spLocks/>
            </xdr:cNvSpPr>
          </xdr:nvSpPr>
          <xdr:spPr bwMode="auto">
            <a:xfrm>
              <a:off x="5359" y="2449"/>
              <a:ext cx="1705" cy="143"/>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19988" y="0"/>
                  </a:moveTo>
                  <a:lnTo>
                    <a:pt x="19988" y="19860"/>
                  </a:lnTo>
                  <a:lnTo>
                    <a:pt x="1666" y="19860"/>
                  </a:lnTo>
                  <a:lnTo>
                    <a:pt x="0" y="0"/>
                  </a:lnTo>
                  <a:lnTo>
                    <a:pt x="19988" y="0"/>
                  </a:lnTo>
                  <a:close/>
                </a:path>
              </a:pathLst>
            </a:custGeom>
            <a:solidFill>
              <a:srgbClr val="0000FF"/>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sp macro="" textlink="">
          <xdr:nvSpPr>
            <xdr:cNvPr id="9705" name="Freeform 4"/>
            <xdr:cNvSpPr>
              <a:spLocks/>
            </xdr:cNvSpPr>
          </xdr:nvSpPr>
          <xdr:spPr bwMode="auto">
            <a:xfrm>
              <a:off x="7056" y="2448"/>
              <a:ext cx="143" cy="1705"/>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0" y="0"/>
                  </a:moveTo>
                  <a:lnTo>
                    <a:pt x="19860" y="0"/>
                  </a:lnTo>
                  <a:lnTo>
                    <a:pt x="19860" y="18323"/>
                  </a:lnTo>
                  <a:lnTo>
                    <a:pt x="0" y="19988"/>
                  </a:lnTo>
                  <a:lnTo>
                    <a:pt x="0" y="0"/>
                  </a:lnTo>
                  <a:close/>
                </a:path>
              </a:pathLst>
            </a:custGeom>
            <a:solidFill>
              <a:srgbClr val="FF0000"/>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grpSp>
      <xdr:sp macro="" textlink="">
        <xdr:nvSpPr>
          <xdr:cNvPr id="2053" name="Text Box 5"/>
          <xdr:cNvSpPr txBox="1">
            <a:spLocks noChangeArrowheads="1"/>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alpha val="50000"/>
                  </a:srgbClr>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1400" b="0" i="0" u="none" strike="noStrike" baseline="0">
                <a:solidFill>
                  <a:srgbClr val="000000"/>
                </a:solidFill>
                <a:latin typeface="Arial"/>
                <a:cs typeface="Arial"/>
              </a:rPr>
              <a:t>PSA PEUGEOT CITROEN</a:t>
            </a:r>
          </a:p>
        </xdr:txBody>
      </xdr:sp>
    </xdr:grpSp>
    <xdr:clientData/>
  </xdr:twoCellAnchor>
  <xdr:twoCellAnchor editAs="oneCell">
    <xdr:from>
      <xdr:col>7</xdr:col>
      <xdr:colOff>560297</xdr:colOff>
      <xdr:row>0</xdr:row>
      <xdr:rowOff>33616</xdr:rowOff>
    </xdr:from>
    <xdr:to>
      <xdr:col>8</xdr:col>
      <xdr:colOff>1165414</xdr:colOff>
      <xdr:row>3</xdr:row>
      <xdr:rowOff>11205</xdr:rowOff>
    </xdr:to>
    <xdr:pic>
      <xdr:nvPicPr>
        <xdr:cNvPr id="8" name="Image 7" descr="Logo_Stellantis_Signature_RGB-02"/>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07209" y="33616"/>
          <a:ext cx="1848970" cy="448236"/>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84669</xdr:colOff>
      <xdr:row>19</xdr:row>
      <xdr:rowOff>44091</xdr:rowOff>
    </xdr:from>
    <xdr:to>
      <xdr:col>17</xdr:col>
      <xdr:colOff>419589</xdr:colOff>
      <xdr:row>39</xdr:row>
      <xdr:rowOff>1</xdr:rowOff>
    </xdr:to>
    <xdr:pic>
      <xdr:nvPicPr>
        <xdr:cNvPr id="2" name="Image 1"/>
        <xdr:cNvPicPr>
          <a:picLocks noChangeAspect="1"/>
        </xdr:cNvPicPr>
      </xdr:nvPicPr>
      <xdr:blipFill>
        <a:blip xmlns:r="http://schemas.openxmlformats.org/officeDocument/2006/relationships" r:embed="rId1"/>
        <a:stretch>
          <a:fillRect/>
        </a:stretch>
      </xdr:blipFill>
      <xdr:spPr>
        <a:xfrm>
          <a:off x="8329086" y="3483674"/>
          <a:ext cx="8716920" cy="58508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374650</xdr:colOff>
          <xdr:row>13</xdr:row>
          <xdr:rowOff>76200</xdr:rowOff>
        </xdr:from>
        <xdr:to>
          <xdr:col>10</xdr:col>
          <xdr:colOff>527050</xdr:colOff>
          <xdr:row>16</xdr:row>
          <xdr:rowOff>114300</xdr:rowOff>
        </xdr:to>
        <xdr:sp macro="" textlink="">
          <xdr:nvSpPr>
            <xdr:cNvPr id="6145" name="Object 1" hidden="1">
              <a:extLst>
                <a:ext uri="{63B3BB69-23CF-44E3-9099-C40C66FF867C}">
                  <a14:compatExt spid="_x0000_s614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file:///C:/Users/u336688/AppData/Local/Temp/notesDF67E6/01255_10_01271_matrice_conformit&#233;_ST_Alertes_SMEGplus.xls"/>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v"/>
      <sheetName val="Version"/>
      <sheetName val="Matrice"/>
      <sheetName val="List"/>
    </sheetNames>
    <sheetDataSet>
      <sheetData sheetId="0" refreshError="1"/>
      <sheetData sheetId="1">
        <row r="14">
          <cell r="I14" t="str">
            <v>OK</v>
          </cell>
        </row>
        <row r="15">
          <cell r="I15" t="str">
            <v>N/OK</v>
          </cell>
        </row>
        <row r="16">
          <cell r="I16" t="str">
            <v>Partiel</v>
          </cell>
        </row>
      </sheetData>
      <sheetData sheetId="2" refreshError="1"/>
      <sheetData sheetId="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hyperlink" TargetMode="External" Target="mailto:ATT_RESP@SW"/>
  <Relationship Id="rId10" Type="http://schemas.openxmlformats.org/officeDocument/2006/relationships/hyperlink" TargetMode="External" Target="mailto:ATT_RESP@NONE"/>
  <Relationship Id="rId11" Type="http://schemas.openxmlformats.org/officeDocument/2006/relationships/hyperlink" TargetMode="External" Target="mailto:ATT_RESP@NONE"/>
  <Relationship Id="rId12" Type="http://schemas.openxmlformats.org/officeDocument/2006/relationships/hyperlink" TargetMode="External" Target="mailto:ATT_RESP@DEV_INT"/>
  <Relationship Id="rId13" Type="http://schemas.openxmlformats.org/officeDocument/2006/relationships/hyperlink" TargetMode="External" Target="mailto:ATT_RESP@PTF"/>
  <Relationship Id="rId14" Type="http://schemas.openxmlformats.org/officeDocument/2006/relationships/printerSettings" Target="../printerSettings/printerSettings2.bin"/>
  <Relationship Id="rId2" Type="http://schemas.openxmlformats.org/officeDocument/2006/relationships/hyperlink" TargetMode="External" Target="mailto:ATT_RESP@DEV"/>
  <Relationship Id="rId3" Type="http://schemas.openxmlformats.org/officeDocument/2006/relationships/hyperlink" TargetMode="External" Target="mailto:ATT_RESP@FULL"/>
  <Relationship Id="rId4" Type="http://schemas.openxmlformats.org/officeDocument/2006/relationships/hyperlink" TargetMode="External" Target="mailto:ATT_RESP@SW"/>
  <Relationship Id="rId5" Type="http://schemas.openxmlformats.org/officeDocument/2006/relationships/hyperlink" TargetMode="External" Target="mailto:ATT_RESP@FULL"/>
  <Relationship Id="rId6" Type="http://schemas.openxmlformats.org/officeDocument/2006/relationships/hyperlink" TargetMode="External" Target="mailto:ATT_RESP@DEV"/>
  <Relationship Id="rId7" Type="http://schemas.openxmlformats.org/officeDocument/2006/relationships/hyperlink" TargetMode="External" Target="mailto:ATT_RESP@PTF"/>
  <Relationship Id="rId8" Type="http://schemas.openxmlformats.org/officeDocument/2006/relationships/hyperlink" TargetMode="External" Target="mailto:ATT_RESP@INT"/>
  <Relationship Id="rId9" Type="http://schemas.openxmlformats.org/officeDocument/2006/relationships/hyperlink" TargetMode="External" Target="mailto:ATT_RESP@PTF"/>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_rels/sheet6.xml.rels><?xml version="1.0" encoding="UTF-8"?>

<Relationships xmlns="http://schemas.openxmlformats.org/package/2006/relationships">
  <Relationship Id="rId1" Type="http://schemas.openxmlformats.org/officeDocument/2006/relationships/hyperlink" TargetMode="External" Target="http://docinfogroupe.inetpsa.com/ead/doc/ref.02017_16_05371/v.1.0/pj"/>
  <Relationship Id="rId2" Type="http://schemas.openxmlformats.org/officeDocument/2006/relationships/printerSettings" Target="../printerSettings/printerSettings6.bin"/>
  <Relationship Id="rId3" Type="http://schemas.openxmlformats.org/officeDocument/2006/relationships/drawing" Target="../drawings/drawing2.xml"/>
  <Relationship Id="rId4" Type="http://schemas.openxmlformats.org/officeDocument/2006/relationships/vmlDrawing" Target="../drawings/vmlDrawing1.vml"/>
  <Relationship Id="rId5" Type="http://schemas.openxmlformats.org/officeDocument/2006/relationships/oleObject" Target="../embeddings/Microsoft_PowerPoint_97-2003_____1.ppt"/>
  <Relationship Id="rId6" Type="http://schemas.openxmlformats.org/officeDocument/2006/relationships/image" Target="../media/image2.emf"/>
</Relationships>

</file>

<file path=xl/worksheets/_rels/sheet7.xml.rels><?xml version="1.0" encoding="UTF-8"?>

<Relationships xmlns="http://schemas.openxmlformats.org/package/2006/relationships">
  <Relationship Id="rId1" Type="http://schemas.openxmlformats.org/officeDocument/2006/relationships/hyperlink" TargetMode="External" Target="http://docinfogroupe.inetpsa.com/ead/doc/ref.02017_12_05435/v.vc/fiche"/>
  <Relationship Id="rId2" Type="http://schemas.openxmlformats.org/officeDocument/2006/relationships/hyperlink" TargetMode="External" Target="http://docinfogroupe.inetpsa.com/ead/doc/ref.02017_13_09769/v.vc/fiche"/>
  <Relationship Id="rId3" Type="http://schemas.openxmlformats.org/officeDocument/2006/relationships/hyperlink" TargetMode="External" Target="http://docinfogroupe.inetpsa.com/ead/doc/ref.02017_13_09769/v.vc/fiche"/>
  <Relationship Id="rId4" Type="http://schemas.openxmlformats.org/officeDocument/2006/relationships/hyperlink" TargetMode="External" Target="http://docinfogroupe.inetpsa.com/ead/doc/ref.02017_12_01062/v.dp/fiche"/>
  <Relationship Id="rId5" Type="http://schemas.openxmlformats.org/officeDocument/2006/relationships/hyperlink" TargetMode="External" Target="http://docinfogroupe.inetpsa.com/ead/doc/ref.02017_13_01490/v.vc/fiche"/>
  <Relationship Id="rId6" Type="http://schemas.openxmlformats.org/officeDocument/2006/relationships/printerSettings" Target="../printerSettings/printerSettings7.bin"/>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8.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D1:K47"/>
  <sheetViews>
    <sheetView zoomScale="85" zoomScaleNormal="85" workbookViewId="0">
      <selection activeCell="D19" sqref="D19:I19"/>
    </sheetView>
  </sheetViews>
  <sheetFormatPr defaultColWidth="11.453125" defaultRowHeight="12.5" x14ac:dyDescent="0.25"/>
  <cols>
    <col min="1" max="3" width="2.81640625" style="4" customWidth="1"/>
    <col min="4" max="9" width="18.7265625" style="4" customWidth="1"/>
    <col min="10" max="16384" width="11.453125" style="4"/>
  </cols>
  <sheetData>
    <row r="1" spans="4:9" ht="13" x14ac:dyDescent="0.25">
      <c r="D1" s="232" t="s">
        <v>8</v>
      </c>
      <c r="E1" s="233"/>
      <c r="F1" s="34"/>
      <c r="G1" s="35"/>
      <c r="H1" s="35"/>
      <c r="I1" s="36"/>
    </row>
    <row r="2" spans="4:9" ht="13" x14ac:dyDescent="0.25">
      <c r="D2" s="240" t="s">
        <v>786</v>
      </c>
      <c r="E2" s="241"/>
      <c r="F2" s="39"/>
      <c r="G2" s="31"/>
      <c r="H2" s="31"/>
      <c r="I2" s="37"/>
    </row>
    <row r="3" spans="4:9" ht="12.75" customHeight="1" x14ac:dyDescent="0.25">
      <c r="D3" s="234"/>
      <c r="E3" s="235"/>
      <c r="F3" s="39"/>
      <c r="G3" s="3"/>
      <c r="H3" s="32"/>
      <c r="I3" s="38"/>
    </row>
    <row r="4" spans="4:9" ht="13" x14ac:dyDescent="0.25">
      <c r="D4" s="232" t="s">
        <v>98</v>
      </c>
      <c r="E4" s="233"/>
      <c r="F4" s="39"/>
      <c r="G4" s="217" t="s">
        <v>272</v>
      </c>
      <c r="H4" s="218"/>
      <c r="I4" s="218"/>
    </row>
    <row r="5" spans="4:9" ht="13" x14ac:dyDescent="0.25">
      <c r="D5" s="236" t="s">
        <v>122</v>
      </c>
      <c r="E5" s="237"/>
      <c r="F5" s="39"/>
      <c r="G5" s="219"/>
      <c r="H5" s="220"/>
      <c r="I5" s="220"/>
    </row>
    <row r="6" spans="4:9" ht="13" x14ac:dyDescent="0.25">
      <c r="D6" s="238"/>
      <c r="E6" s="239"/>
      <c r="F6" s="40"/>
      <c r="G6" s="219"/>
      <c r="H6" s="220"/>
      <c r="I6" s="220"/>
    </row>
    <row r="7" spans="4:9" ht="13" x14ac:dyDescent="0.25">
      <c r="D7" s="30"/>
      <c r="E7" s="30"/>
      <c r="F7" s="30"/>
      <c r="G7" s="30"/>
      <c r="H7" s="30"/>
      <c r="I7" s="30"/>
    </row>
    <row r="8" spans="4:9" ht="13" x14ac:dyDescent="0.25">
      <c r="D8" s="30"/>
      <c r="E8" s="30"/>
      <c r="F8" s="30"/>
      <c r="G8" s="30"/>
      <c r="H8" s="30"/>
      <c r="I8" s="30"/>
    </row>
    <row r="9" spans="4:9" ht="13" x14ac:dyDescent="0.25">
      <c r="D9" s="30"/>
      <c r="E9" s="30"/>
      <c r="F9" s="30"/>
      <c r="G9" s="30"/>
      <c r="H9" s="30"/>
      <c r="I9" s="30"/>
    </row>
    <row r="10" spans="4:9" x14ac:dyDescent="0.25">
      <c r="D10" s="3"/>
      <c r="E10" s="231" t="s">
        <v>271</v>
      </c>
      <c r="F10" s="231"/>
      <c r="G10" s="231"/>
      <c r="H10" s="231"/>
      <c r="I10" s="3"/>
    </row>
    <row r="11" spans="4:9" x14ac:dyDescent="0.25">
      <c r="D11" s="3"/>
      <c r="E11" s="231"/>
      <c r="F11" s="231"/>
      <c r="G11" s="231"/>
      <c r="H11" s="231"/>
      <c r="I11" s="3"/>
    </row>
    <row r="12" spans="4:9" x14ac:dyDescent="0.25">
      <c r="D12" s="3"/>
      <c r="E12" s="231"/>
      <c r="F12" s="231"/>
      <c r="G12" s="231"/>
      <c r="H12" s="231"/>
      <c r="I12" s="3"/>
    </row>
    <row r="13" spans="4:9" x14ac:dyDescent="0.25">
      <c r="D13" s="3"/>
      <c r="E13" s="229" t="s">
        <v>792</v>
      </c>
      <c r="F13" s="230"/>
      <c r="G13" s="230"/>
      <c r="H13" s="230"/>
      <c r="I13" s="3"/>
    </row>
    <row r="14" spans="4:9" x14ac:dyDescent="0.25">
      <c r="D14" s="3"/>
      <c r="E14" s="230"/>
      <c r="F14" s="230"/>
      <c r="G14" s="230"/>
      <c r="H14" s="230"/>
      <c r="I14" s="3"/>
    </row>
    <row r="15" spans="4:9" ht="13" x14ac:dyDescent="0.25">
      <c r="D15" s="30"/>
      <c r="E15" s="30"/>
      <c r="F15" s="30"/>
      <c r="G15" s="30"/>
      <c r="H15" s="30"/>
      <c r="I15" s="30"/>
    </row>
    <row r="16" spans="4:9" x14ac:dyDescent="0.25">
      <c r="D16" s="5"/>
      <c r="E16" s="5"/>
      <c r="F16" s="5"/>
      <c r="G16" s="5"/>
      <c r="H16" s="5"/>
      <c r="I16" s="5"/>
    </row>
    <row r="17" spans="4:9" x14ac:dyDescent="0.25">
      <c r="D17" s="1" t="s">
        <v>23</v>
      </c>
      <c r="E17" s="214"/>
      <c r="F17" s="215" t="s">
        <v>24</v>
      </c>
      <c r="G17" s="216"/>
      <c r="H17" s="221" t="s">
        <v>25</v>
      </c>
      <c r="I17" s="222"/>
    </row>
    <row r="18" spans="4:9" ht="12.75" customHeight="1" x14ac:dyDescent="0.25">
      <c r="D18" s="247" t="s">
        <v>789</v>
      </c>
      <c r="E18" s="248"/>
      <c r="F18" s="247" t="s">
        <v>790</v>
      </c>
      <c r="G18" s="248"/>
      <c r="H18" s="245" t="s">
        <v>791</v>
      </c>
      <c r="I18" s="246"/>
    </row>
    <row r="19" spans="4:9" ht="12.75" customHeight="1" x14ac:dyDescent="0.25">
      <c r="D19" s="223" t="s">
        <v>795</v>
      </c>
      <c r="E19" s="224"/>
      <c r="F19" s="223" t="s">
        <v>796</v>
      </c>
      <c r="G19" s="224"/>
      <c r="H19" s="223" t="s">
        <v>795</v>
      </c>
      <c r="I19" s="224"/>
    </row>
    <row r="20" spans="4:9" ht="12.75" customHeight="1" x14ac:dyDescent="0.25">
      <c r="D20" s="51" t="s">
        <v>10</v>
      </c>
      <c r="E20" s="51" t="s">
        <v>11</v>
      </c>
      <c r="F20" s="51" t="s">
        <v>10</v>
      </c>
      <c r="G20" s="33" t="s">
        <v>11</v>
      </c>
      <c r="H20" s="51" t="s">
        <v>10</v>
      </c>
      <c r="I20" s="51" t="s">
        <v>11</v>
      </c>
    </row>
    <row r="21" spans="4:9" x14ac:dyDescent="0.25">
      <c r="D21" s="52"/>
      <c r="E21" s="52"/>
      <c r="F21" s="52"/>
      <c r="G21" s="33"/>
      <c r="H21" s="52"/>
      <c r="I21" s="52"/>
    </row>
    <row r="22" spans="4:9" ht="12.75" customHeight="1" x14ac:dyDescent="0.25">
      <c r="D22" s="52"/>
      <c r="E22" s="52"/>
      <c r="F22" s="52"/>
      <c r="G22" s="33"/>
      <c r="H22" s="52"/>
      <c r="I22" s="52"/>
    </row>
    <row r="23" spans="4:9" x14ac:dyDescent="0.25">
      <c r="D23" s="52"/>
      <c r="E23" s="52"/>
      <c r="F23" s="54"/>
      <c r="G23" s="55"/>
      <c r="H23" s="52"/>
      <c r="I23" s="52"/>
    </row>
    <row r="24" spans="4:9" ht="13.5" customHeight="1" x14ac:dyDescent="0.25">
      <c r="D24" s="221" t="s">
        <v>23</v>
      </c>
      <c r="E24" s="222"/>
      <c r="F24" s="221" t="s">
        <v>24</v>
      </c>
      <c r="G24" s="222"/>
      <c r="H24" s="221" t="s">
        <v>25</v>
      </c>
      <c r="I24" s="222"/>
    </row>
    <row r="25" spans="4:9" x14ac:dyDescent="0.25">
      <c r="D25" s="227" t="s">
        <v>9</v>
      </c>
      <c r="E25" s="228"/>
      <c r="F25" s="227" t="s">
        <v>9</v>
      </c>
      <c r="G25" s="228"/>
      <c r="H25" s="227" t="s">
        <v>9</v>
      </c>
      <c r="I25" s="228"/>
    </row>
    <row r="26" spans="4:9" x14ac:dyDescent="0.25">
      <c r="D26" s="225" t="s">
        <v>13</v>
      </c>
      <c r="E26" s="226"/>
      <c r="F26" s="225" t="s">
        <v>12</v>
      </c>
      <c r="G26" s="226"/>
      <c r="H26" s="225" t="s">
        <v>12</v>
      </c>
      <c r="I26" s="226"/>
    </row>
    <row r="27" spans="4:9" x14ac:dyDescent="0.25">
      <c r="D27" s="56" t="s">
        <v>10</v>
      </c>
      <c r="E27" s="51" t="s">
        <v>11</v>
      </c>
      <c r="F27" s="59" t="s">
        <v>10</v>
      </c>
      <c r="G27" s="51" t="s">
        <v>11</v>
      </c>
      <c r="H27" s="59" t="s">
        <v>10</v>
      </c>
      <c r="I27" s="51" t="s">
        <v>11</v>
      </c>
    </row>
    <row r="28" spans="4:9" x14ac:dyDescent="0.25">
      <c r="D28" s="57"/>
      <c r="E28" s="52"/>
      <c r="F28" s="33"/>
      <c r="G28" s="52"/>
      <c r="H28" s="33"/>
      <c r="I28" s="52"/>
    </row>
    <row r="29" spans="4:9" x14ac:dyDescent="0.25">
      <c r="D29" s="57"/>
      <c r="E29" s="52"/>
      <c r="F29" s="33"/>
      <c r="G29" s="52"/>
      <c r="H29" s="33"/>
      <c r="I29" s="52"/>
    </row>
    <row r="30" spans="4:9" x14ac:dyDescent="0.25">
      <c r="D30" s="58"/>
      <c r="E30" s="53"/>
      <c r="F30" s="60"/>
      <c r="G30" s="53"/>
      <c r="H30" s="60"/>
      <c r="I30" s="53"/>
    </row>
    <row r="31" spans="4:9" x14ac:dyDescent="0.25">
      <c r="D31" s="33"/>
      <c r="E31" s="33"/>
      <c r="F31" s="33"/>
      <c r="G31" s="33"/>
      <c r="H31" s="33"/>
      <c r="I31" s="33"/>
    </row>
    <row r="32" spans="4:9" ht="13" x14ac:dyDescent="0.25">
      <c r="D32" s="41"/>
      <c r="E32" s="41"/>
      <c r="F32" s="42"/>
      <c r="G32" s="43"/>
      <c r="H32" s="44"/>
      <c r="I32" s="45"/>
    </row>
    <row r="33" spans="4:11" ht="13" x14ac:dyDescent="0.25">
      <c r="D33" s="256" t="s">
        <v>29</v>
      </c>
      <c r="E33" s="256"/>
      <c r="F33" s="256"/>
      <c r="G33" s="256"/>
      <c r="H33" s="256"/>
      <c r="I33" s="256"/>
    </row>
    <row r="34" spans="4:11" ht="13" x14ac:dyDescent="0.25">
      <c r="D34" s="41"/>
      <c r="E34" s="41"/>
      <c r="F34" s="42"/>
      <c r="G34" s="43"/>
      <c r="H34" s="44"/>
      <c r="I34" s="45"/>
    </row>
    <row r="35" spans="4:11" ht="13.5" customHeight="1" x14ac:dyDescent="0.25">
      <c r="D35" s="63" t="s">
        <v>27</v>
      </c>
      <c r="E35" s="63" t="s">
        <v>28</v>
      </c>
      <c r="F35" s="2" t="s">
        <v>2</v>
      </c>
      <c r="G35" s="2"/>
      <c r="H35" s="2"/>
      <c r="I35" s="2"/>
      <c r="J35" s="61"/>
      <c r="K35" s="61"/>
    </row>
    <row r="36" spans="4:11" ht="42.75" customHeight="1" x14ac:dyDescent="0.25">
      <c r="D36" s="64" t="s">
        <v>787</v>
      </c>
      <c r="E36" s="65">
        <v>46003</v>
      </c>
      <c r="F36" s="253" t="s">
        <v>788</v>
      </c>
      <c r="G36" s="254"/>
      <c r="H36" s="254"/>
      <c r="I36" s="255"/>
      <c r="J36" s="62"/>
      <c r="K36" s="62"/>
    </row>
    <row r="37" spans="4:11" x14ac:dyDescent="0.25">
      <c r="D37" s="64"/>
      <c r="E37" s="66"/>
      <c r="F37" s="253"/>
      <c r="G37" s="254"/>
      <c r="H37" s="254"/>
      <c r="I37" s="255"/>
      <c r="J37" s="62"/>
      <c r="K37" s="62"/>
    </row>
    <row r="38" spans="4:11" x14ac:dyDescent="0.25">
      <c r="D38" s="64"/>
      <c r="E38" s="66"/>
      <c r="F38" s="242"/>
      <c r="G38" s="242"/>
      <c r="H38" s="242"/>
      <c r="I38" s="242"/>
      <c r="J38" s="62"/>
      <c r="K38" s="62"/>
    </row>
    <row r="39" spans="4:11" x14ac:dyDescent="0.25">
      <c r="D39" s="64"/>
      <c r="E39" s="66"/>
      <c r="F39" s="242"/>
      <c r="G39" s="242"/>
      <c r="H39" s="242"/>
      <c r="I39" s="242"/>
      <c r="J39" s="62"/>
      <c r="K39" s="62"/>
    </row>
    <row r="40" spans="4:11" x14ac:dyDescent="0.25">
      <c r="D40" s="64"/>
      <c r="E40" s="66"/>
      <c r="F40" s="242"/>
      <c r="G40" s="242"/>
      <c r="H40" s="242"/>
      <c r="I40" s="242"/>
      <c r="J40" s="62"/>
      <c r="K40" s="62"/>
    </row>
    <row r="41" spans="4:11" x14ac:dyDescent="0.25">
      <c r="D41" s="64"/>
      <c r="E41" s="66"/>
      <c r="F41" s="242"/>
      <c r="G41" s="242"/>
      <c r="H41" s="242"/>
      <c r="I41" s="242"/>
    </row>
    <row r="42" spans="4:11" ht="39" customHeight="1" x14ac:dyDescent="0.25">
      <c r="D42" s="249" t="s">
        <v>273</v>
      </c>
      <c r="E42" s="250"/>
      <c r="F42" s="257" t="s">
        <v>22</v>
      </c>
      <c r="G42" s="257"/>
      <c r="H42" s="46" t="s">
        <v>21</v>
      </c>
      <c r="I42" s="46" t="s">
        <v>14</v>
      </c>
    </row>
    <row r="43" spans="4:11" ht="20" x14ac:dyDescent="0.25">
      <c r="D43" s="251" t="str">
        <f>E13</f>
        <v>DM17F (CD DEH)</v>
      </c>
      <c r="E43" s="252"/>
      <c r="F43" s="258" t="str">
        <f>D2</f>
        <v xml:space="preserve">01843_25_00535
  </v>
      </c>
      <c r="G43" s="258"/>
      <c r="H43" s="47" t="s">
        <v>787</v>
      </c>
      <c r="I43" s="48" t="s">
        <v>15</v>
      </c>
    </row>
    <row r="44" spans="4:11" ht="20" x14ac:dyDescent="0.25">
      <c r="D44" s="106"/>
      <c r="E44" s="107"/>
      <c r="F44" s="46" t="s">
        <v>18</v>
      </c>
      <c r="G44" s="46" t="s">
        <v>16</v>
      </c>
      <c r="H44" s="46" t="s">
        <v>19</v>
      </c>
      <c r="I44" s="46" t="s">
        <v>20</v>
      </c>
    </row>
    <row r="45" spans="4:11" ht="23" x14ac:dyDescent="0.25">
      <c r="D45" s="108"/>
      <c r="E45" s="109"/>
      <c r="F45" s="47" t="s">
        <v>17</v>
      </c>
      <c r="G45" s="49" t="s">
        <v>26</v>
      </c>
      <c r="H45" s="67" t="s">
        <v>123</v>
      </c>
      <c r="I45" s="50" t="s">
        <v>26</v>
      </c>
    </row>
    <row r="46" spans="4:11" ht="13" x14ac:dyDescent="0.25">
      <c r="D46" s="41"/>
      <c r="E46" s="41"/>
      <c r="F46" s="42"/>
      <c r="G46" s="43"/>
      <c r="H46" s="44"/>
      <c r="I46" s="45"/>
    </row>
    <row r="47" spans="4:11" ht="21" customHeight="1" x14ac:dyDescent="0.25">
      <c r="D47" s="243" t="s">
        <v>290</v>
      </c>
      <c r="E47" s="244"/>
      <c r="F47" s="244"/>
      <c r="G47" s="244"/>
      <c r="H47" s="244"/>
      <c r="I47" s="244"/>
    </row>
  </sheetData>
  <mergeCells count="40">
    <mergeCell ref="F40:I40"/>
    <mergeCell ref="D47:I47"/>
    <mergeCell ref="H18:I18"/>
    <mergeCell ref="F18:G18"/>
    <mergeCell ref="D18:E18"/>
    <mergeCell ref="F19:G19"/>
    <mergeCell ref="D42:E42"/>
    <mergeCell ref="D43:E43"/>
    <mergeCell ref="F39:I39"/>
    <mergeCell ref="F41:I41"/>
    <mergeCell ref="F36:I36"/>
    <mergeCell ref="D33:I33"/>
    <mergeCell ref="F37:I37"/>
    <mergeCell ref="F38:I38"/>
    <mergeCell ref="F42:G42"/>
    <mergeCell ref="F43:G43"/>
    <mergeCell ref="D24:E24"/>
    <mergeCell ref="H19:I19"/>
    <mergeCell ref="D1:E1"/>
    <mergeCell ref="D3:E3"/>
    <mergeCell ref="D4:E4"/>
    <mergeCell ref="D5:E5"/>
    <mergeCell ref="D6:E6"/>
    <mergeCell ref="D2:E2"/>
    <mergeCell ref="F35:I35"/>
    <mergeCell ref="D17:E17"/>
    <mergeCell ref="F17:G17"/>
    <mergeCell ref="G4:I6"/>
    <mergeCell ref="H24:I24"/>
    <mergeCell ref="D19:E19"/>
    <mergeCell ref="D26:E26"/>
    <mergeCell ref="F25:G25"/>
    <mergeCell ref="D25:E25"/>
    <mergeCell ref="H25:I25"/>
    <mergeCell ref="H17:I17"/>
    <mergeCell ref="F26:G26"/>
    <mergeCell ref="H26:I26"/>
    <mergeCell ref="E13:H14"/>
    <mergeCell ref="E10:H12"/>
    <mergeCell ref="F24:G24"/>
  </mergeCells>
  <phoneticPr fontId="4"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filterMode="1">
    <outlinePr applyStyles="1" summaryBelow="0" summaryRight="0"/>
  </sheetPr>
  <dimension ref="A1:V258"/>
  <sheetViews>
    <sheetView tabSelected="1" zoomScale="70" zoomScaleNormal="70" workbookViewId="0">
      <pane xSplit="3" ySplit="36" topLeftCell="D37" activePane="bottomRight" state="frozenSplit"/>
      <selection activeCell="A24" sqref="A24"/>
      <selection pane="topRight" activeCell="D24" sqref="D24"/>
      <selection pane="bottomLeft" activeCell="A36" sqref="A36"/>
      <selection pane="bottomRight" activeCell="I263" sqref="I263"/>
    </sheetView>
  </sheetViews>
  <sheetFormatPr defaultColWidth="11.453125" defaultRowHeight="13" outlineLevelCol="1" x14ac:dyDescent="0.25"/>
  <cols>
    <col min="1" max="1" width="66.453125" style="115" bestFit="1" customWidth="1"/>
    <col min="2" max="2" width="21" style="115" customWidth="1"/>
    <col min="3" max="3" width="32.1796875" style="117" bestFit="1" customWidth="1"/>
    <col min="4" max="4" width="19.7265625" style="110" customWidth="1"/>
    <col min="5" max="5" width="27" style="110" customWidth="1"/>
    <col min="6" max="6" width="3.26953125" style="112" customWidth="1"/>
    <col min="7" max="7" width="31.54296875" style="212" customWidth="1"/>
    <col min="8" max="8" width="29" style="208" customWidth="1" outlineLevel="1"/>
    <col min="9" max="11" width="12.81640625" style="137" customWidth="1" outlineLevel="1"/>
    <col min="12" max="12" width="12.81640625" style="136" customWidth="1" outlineLevel="1"/>
    <col min="13" max="15" width="12.81640625" style="137" customWidth="1"/>
    <col min="16" max="16" width="12.81640625" style="136" customWidth="1"/>
    <col min="17" max="18" width="7.1796875" style="115" customWidth="1"/>
    <col min="19" max="16384" width="11.453125" style="115"/>
  </cols>
  <sheetData>
    <row r="1" spans="1:22" ht="12.75" hidden="1" customHeight="1" x14ac:dyDescent="0.25">
      <c r="A1" s="116" t="s">
        <v>270</v>
      </c>
      <c r="F1" s="111" t="s">
        <v>121</v>
      </c>
      <c r="G1" s="209"/>
      <c r="H1" s="118"/>
      <c r="I1" s="119"/>
      <c r="J1" s="118"/>
      <c r="K1" s="119"/>
      <c r="L1" s="118"/>
      <c r="M1" s="114" t="s">
        <v>124</v>
      </c>
      <c r="N1" s="110"/>
      <c r="O1" s="119"/>
      <c r="P1" s="119"/>
      <c r="Q1" s="119"/>
      <c r="R1" s="118"/>
      <c r="S1" s="119"/>
      <c r="T1" s="119"/>
      <c r="U1" s="119"/>
      <c r="V1" s="118"/>
    </row>
    <row r="2" spans="1:22" ht="12.75" hidden="1" customHeight="1" x14ac:dyDescent="0.25">
      <c r="A2" s="120" t="s">
        <v>44</v>
      </c>
      <c r="B2" s="120"/>
      <c r="C2" s="121" t="s">
        <v>99</v>
      </c>
      <c r="D2" s="113"/>
      <c r="G2" s="209"/>
      <c r="H2" s="118"/>
      <c r="I2" s="119"/>
      <c r="J2" s="118"/>
      <c r="K2" s="119"/>
      <c r="L2" s="118"/>
      <c r="M2" s="114"/>
      <c r="N2" s="110"/>
      <c r="O2" s="119"/>
      <c r="P2" s="119"/>
      <c r="Q2" s="119"/>
      <c r="R2" s="118"/>
      <c r="S2" s="119"/>
      <c r="T2" s="119"/>
      <c r="U2" s="119"/>
      <c r="V2" s="118"/>
    </row>
    <row r="3" spans="1:22" ht="12.75" hidden="1" customHeight="1" x14ac:dyDescent="0.25">
      <c r="A3" s="120" t="s">
        <v>45</v>
      </c>
      <c r="B3" s="120"/>
      <c r="C3" s="121" t="s">
        <v>100</v>
      </c>
      <c r="D3" s="113"/>
      <c r="G3" s="209"/>
      <c r="H3" s="118"/>
      <c r="I3" s="119"/>
      <c r="J3" s="118"/>
      <c r="K3" s="119"/>
      <c r="L3" s="118"/>
      <c r="M3" s="114"/>
      <c r="N3" s="110"/>
      <c r="O3" s="119"/>
      <c r="P3" s="119"/>
      <c r="Q3" s="119"/>
      <c r="R3" s="118"/>
      <c r="S3" s="119"/>
      <c r="T3" s="119"/>
      <c r="U3" s="119"/>
      <c r="V3" s="118"/>
    </row>
    <row r="4" spans="1:22" ht="12.75" hidden="1" customHeight="1" x14ac:dyDescent="0.25">
      <c r="A4" s="166" t="s">
        <v>276</v>
      </c>
      <c r="B4" s="120"/>
      <c r="C4" s="121" t="s">
        <v>101</v>
      </c>
      <c r="D4" s="113"/>
      <c r="G4" s="209"/>
      <c r="H4" s="118"/>
      <c r="I4" s="119"/>
      <c r="J4" s="118"/>
      <c r="K4" s="119"/>
      <c r="L4" s="118"/>
      <c r="M4" s="114"/>
      <c r="N4" s="110"/>
      <c r="O4" s="119"/>
      <c r="P4" s="119"/>
      <c r="Q4" s="119"/>
      <c r="R4" s="118"/>
      <c r="S4" s="119"/>
      <c r="T4" s="119"/>
      <c r="U4" s="119"/>
      <c r="V4" s="118"/>
    </row>
    <row r="5" spans="1:22" ht="12.75" hidden="1" customHeight="1" x14ac:dyDescent="0.25">
      <c r="A5" s="120" t="s">
        <v>119</v>
      </c>
      <c r="B5" s="120"/>
      <c r="C5" s="121"/>
      <c r="D5" s="113"/>
      <c r="G5" s="209"/>
      <c r="H5" s="118"/>
      <c r="I5" s="119"/>
      <c r="J5" s="118"/>
      <c r="K5" s="119"/>
      <c r="L5" s="118"/>
      <c r="M5" s="114"/>
      <c r="N5" s="110"/>
      <c r="O5" s="119"/>
      <c r="P5" s="119"/>
      <c r="Q5" s="119"/>
      <c r="R5" s="118"/>
      <c r="S5" s="119"/>
      <c r="T5" s="119"/>
      <c r="U5" s="119"/>
      <c r="V5" s="118"/>
    </row>
    <row r="6" spans="1:22" ht="12.75" hidden="1" customHeight="1" x14ac:dyDescent="0.25">
      <c r="A6" s="120" t="s">
        <v>91</v>
      </c>
      <c r="B6" s="120"/>
      <c r="C6" s="121" t="s">
        <v>102</v>
      </c>
      <c r="D6" s="113"/>
      <c r="G6" s="209"/>
      <c r="H6" s="118"/>
      <c r="I6" s="119"/>
      <c r="J6" s="118"/>
      <c r="K6" s="119"/>
      <c r="L6" s="118"/>
      <c r="M6" s="114"/>
      <c r="N6" s="110"/>
      <c r="O6" s="119"/>
      <c r="P6" s="119"/>
      <c r="Q6" s="119"/>
      <c r="R6" s="118"/>
      <c r="S6" s="119"/>
      <c r="T6" s="119"/>
      <c r="U6" s="119"/>
      <c r="V6" s="118"/>
    </row>
    <row r="7" spans="1:22" ht="25.5" hidden="1" customHeight="1" x14ac:dyDescent="0.25">
      <c r="A7" s="120"/>
      <c r="B7" s="120"/>
      <c r="C7" s="121" t="s">
        <v>103</v>
      </c>
      <c r="D7" s="113"/>
      <c r="G7" s="209"/>
      <c r="H7" s="118"/>
      <c r="I7" s="119"/>
      <c r="J7" s="118"/>
      <c r="K7" s="119"/>
      <c r="L7" s="118"/>
      <c r="M7" s="114"/>
      <c r="N7" s="110"/>
      <c r="O7" s="119"/>
      <c r="P7" s="119"/>
      <c r="Q7" s="119"/>
      <c r="R7" s="118"/>
      <c r="S7" s="119"/>
      <c r="T7" s="119"/>
      <c r="U7" s="119"/>
      <c r="V7" s="118"/>
    </row>
    <row r="8" spans="1:22" ht="12.75" hidden="1" customHeight="1" x14ac:dyDescent="0.25">
      <c r="A8" s="122" t="s">
        <v>260</v>
      </c>
      <c r="B8" s="120"/>
      <c r="C8" s="121" t="s">
        <v>104</v>
      </c>
      <c r="D8" s="113"/>
      <c r="G8" s="209"/>
      <c r="H8" s="118"/>
      <c r="I8" s="119"/>
      <c r="J8" s="118"/>
      <c r="K8" s="119"/>
      <c r="L8" s="118"/>
      <c r="M8" s="114"/>
      <c r="N8" s="110"/>
      <c r="O8" s="119"/>
      <c r="P8" s="119"/>
      <c r="Q8" s="119"/>
      <c r="R8" s="118"/>
      <c r="S8" s="119"/>
      <c r="T8" s="119"/>
      <c r="U8" s="119"/>
      <c r="V8" s="118"/>
    </row>
    <row r="9" spans="1:22" ht="12.75" hidden="1" customHeight="1" x14ac:dyDescent="0.25">
      <c r="A9" s="122" t="s">
        <v>258</v>
      </c>
      <c r="B9" s="120"/>
      <c r="C9" s="121" t="s">
        <v>105</v>
      </c>
      <c r="D9" s="113"/>
      <c r="G9" s="209"/>
      <c r="H9" s="118"/>
      <c r="I9" s="119"/>
      <c r="J9" s="118"/>
      <c r="K9" s="119"/>
      <c r="L9" s="118"/>
      <c r="M9" s="114"/>
      <c r="N9" s="110"/>
      <c r="O9" s="119"/>
      <c r="P9" s="119"/>
      <c r="Q9" s="119"/>
      <c r="R9" s="118"/>
      <c r="S9" s="119"/>
      <c r="T9" s="119"/>
      <c r="U9" s="119"/>
      <c r="V9" s="118"/>
    </row>
    <row r="10" spans="1:22" ht="12.75" hidden="1" customHeight="1" x14ac:dyDescent="0.25">
      <c r="A10" s="122" t="s">
        <v>261</v>
      </c>
      <c r="B10" s="120"/>
      <c r="C10" s="121" t="s">
        <v>106</v>
      </c>
      <c r="D10" s="122"/>
      <c r="G10" s="209"/>
      <c r="H10" s="118"/>
      <c r="I10" s="119"/>
      <c r="J10" s="118"/>
      <c r="K10" s="119"/>
      <c r="L10" s="118"/>
      <c r="M10" s="114"/>
      <c r="N10" s="110"/>
      <c r="O10" s="119"/>
      <c r="P10" s="119"/>
      <c r="Q10" s="119"/>
      <c r="R10" s="118"/>
      <c r="S10" s="119"/>
      <c r="T10" s="119"/>
      <c r="U10" s="119"/>
      <c r="V10" s="118"/>
    </row>
    <row r="11" spans="1:22" ht="25.5" hidden="1" customHeight="1" x14ac:dyDescent="0.25">
      <c r="A11" s="122" t="s">
        <v>262</v>
      </c>
      <c r="B11" s="120"/>
      <c r="C11" s="121" t="s">
        <v>108</v>
      </c>
      <c r="D11" s="122"/>
      <c r="G11" s="209"/>
      <c r="H11" s="118"/>
      <c r="I11" s="119"/>
      <c r="J11" s="118"/>
      <c r="K11" s="119"/>
      <c r="L11" s="118"/>
      <c r="M11" s="114"/>
      <c r="N11" s="110"/>
      <c r="O11" s="119"/>
      <c r="P11" s="119"/>
      <c r="Q11" s="119"/>
      <c r="R11" s="118"/>
      <c r="S11" s="119"/>
      <c r="T11" s="119"/>
      <c r="U11" s="119"/>
      <c r="V11" s="118"/>
    </row>
    <row r="12" spans="1:22" ht="25.5" hidden="1" customHeight="1" x14ac:dyDescent="0.25">
      <c r="A12" s="122" t="s">
        <v>266</v>
      </c>
      <c r="B12" s="120"/>
      <c r="C12" s="121" t="s">
        <v>109</v>
      </c>
      <c r="D12" s="122"/>
      <c r="G12" s="209"/>
      <c r="H12" s="118"/>
      <c r="I12" s="119"/>
      <c r="J12" s="118"/>
      <c r="K12" s="119"/>
      <c r="L12" s="118"/>
      <c r="M12" s="114"/>
      <c r="N12" s="110"/>
      <c r="O12" s="119"/>
      <c r="P12" s="119"/>
      <c r="Q12" s="119"/>
      <c r="R12" s="118"/>
      <c r="S12" s="119"/>
      <c r="T12" s="119"/>
      <c r="U12" s="119"/>
      <c r="V12" s="118"/>
    </row>
    <row r="13" spans="1:22" ht="12.75" hidden="1" customHeight="1" x14ac:dyDescent="0.25">
      <c r="A13" s="122"/>
      <c r="B13" s="120"/>
      <c r="C13" s="121" t="s">
        <v>110</v>
      </c>
      <c r="D13" s="122"/>
      <c r="G13" s="209"/>
      <c r="H13" s="118"/>
      <c r="I13" s="119"/>
      <c r="J13" s="118"/>
      <c r="K13" s="119"/>
      <c r="L13" s="118"/>
      <c r="M13" s="114"/>
      <c r="N13" s="110"/>
      <c r="O13" s="119"/>
      <c r="P13" s="119"/>
      <c r="Q13" s="119"/>
      <c r="R13" s="118"/>
      <c r="S13" s="119"/>
      <c r="T13" s="119"/>
      <c r="U13" s="119"/>
      <c r="V13" s="118"/>
    </row>
    <row r="14" spans="1:22" ht="25.5" hidden="1" customHeight="1" x14ac:dyDescent="0.25">
      <c r="A14" s="122" t="s">
        <v>260</v>
      </c>
      <c r="B14" s="120"/>
      <c r="C14" s="121" t="s">
        <v>111</v>
      </c>
      <c r="D14" s="122"/>
      <c r="G14" s="209"/>
      <c r="H14" s="118"/>
      <c r="I14" s="119"/>
      <c r="J14" s="118"/>
      <c r="K14" s="119"/>
      <c r="L14" s="118"/>
      <c r="M14" s="114"/>
      <c r="N14" s="110"/>
      <c r="O14" s="119"/>
      <c r="P14" s="119"/>
      <c r="Q14" s="119"/>
      <c r="R14" s="118"/>
      <c r="S14" s="119"/>
      <c r="T14" s="119"/>
      <c r="U14" s="119"/>
      <c r="V14" s="118"/>
    </row>
    <row r="15" spans="1:22" ht="12.75" hidden="1" customHeight="1" x14ac:dyDescent="0.25">
      <c r="A15" s="122" t="s">
        <v>257</v>
      </c>
      <c r="B15" s="120"/>
      <c r="C15" s="121" t="s">
        <v>112</v>
      </c>
      <c r="D15" s="122"/>
      <c r="G15" s="209"/>
      <c r="H15" s="118"/>
      <c r="I15" s="119"/>
      <c r="J15" s="118"/>
      <c r="K15" s="119"/>
      <c r="L15" s="118"/>
      <c r="M15" s="114"/>
      <c r="N15" s="110"/>
      <c r="O15" s="119"/>
      <c r="P15" s="119"/>
      <c r="Q15" s="119"/>
      <c r="R15" s="118"/>
      <c r="S15" s="119"/>
      <c r="T15" s="119"/>
      <c r="U15" s="119"/>
      <c r="V15" s="118"/>
    </row>
    <row r="16" spans="1:22" ht="25.5" hidden="1" customHeight="1" x14ac:dyDescent="0.25">
      <c r="A16" s="122" t="s">
        <v>267</v>
      </c>
      <c r="B16" s="120"/>
      <c r="C16" s="121" t="s">
        <v>113</v>
      </c>
      <c r="D16" s="122"/>
      <c r="G16" s="209"/>
      <c r="H16" s="118"/>
      <c r="I16" s="119"/>
      <c r="J16" s="118"/>
      <c r="K16" s="119"/>
      <c r="L16" s="118"/>
      <c r="M16" s="114"/>
      <c r="N16" s="110"/>
      <c r="O16" s="119"/>
      <c r="P16" s="119"/>
      <c r="Q16" s="119"/>
      <c r="R16" s="118"/>
      <c r="S16" s="119"/>
      <c r="T16" s="119"/>
      <c r="U16" s="119"/>
      <c r="V16" s="118"/>
    </row>
    <row r="17" spans="1:22" ht="12.75" hidden="1" customHeight="1" x14ac:dyDescent="0.25">
      <c r="A17" s="122" t="s">
        <v>256</v>
      </c>
      <c r="B17" s="120"/>
      <c r="C17" s="121" t="s">
        <v>107</v>
      </c>
      <c r="D17" s="122"/>
      <c r="G17" s="209"/>
      <c r="H17" s="118"/>
      <c r="I17" s="119"/>
      <c r="J17" s="118"/>
      <c r="K17" s="119"/>
      <c r="L17" s="118"/>
      <c r="M17" s="114"/>
      <c r="N17" s="110"/>
      <c r="O17" s="119"/>
      <c r="P17" s="119"/>
      <c r="Q17" s="119"/>
      <c r="R17" s="118"/>
      <c r="S17" s="119"/>
      <c r="T17" s="119"/>
      <c r="U17" s="119"/>
      <c r="V17" s="118"/>
    </row>
    <row r="18" spans="1:22" ht="25.5" hidden="1" customHeight="1" x14ac:dyDescent="0.25">
      <c r="A18" s="122" t="s">
        <v>261</v>
      </c>
      <c r="B18" s="120"/>
      <c r="C18" s="123" t="s">
        <v>114</v>
      </c>
      <c r="D18" s="122"/>
      <c r="G18" s="209"/>
      <c r="H18" s="118"/>
      <c r="I18" s="119"/>
      <c r="J18" s="118"/>
      <c r="K18" s="119"/>
      <c r="L18" s="118"/>
      <c r="M18" s="114"/>
      <c r="N18" s="110"/>
      <c r="O18" s="119"/>
      <c r="P18" s="119"/>
      <c r="Q18" s="119"/>
      <c r="R18" s="118"/>
      <c r="S18" s="119"/>
      <c r="T18" s="119"/>
      <c r="U18" s="119"/>
      <c r="V18" s="118"/>
    </row>
    <row r="19" spans="1:22" ht="25.5" hidden="1" customHeight="1" x14ac:dyDescent="0.25">
      <c r="A19" s="122" t="s">
        <v>265</v>
      </c>
      <c r="B19" s="120"/>
      <c r="C19" s="123" t="s">
        <v>115</v>
      </c>
      <c r="D19" s="122"/>
      <c r="G19" s="209"/>
      <c r="H19" s="118"/>
      <c r="I19" s="119"/>
      <c r="J19" s="118"/>
      <c r="K19" s="119"/>
      <c r="L19" s="118"/>
      <c r="M19" s="114"/>
      <c r="N19" s="110"/>
      <c r="O19" s="119"/>
      <c r="P19" s="119"/>
      <c r="Q19" s="119"/>
      <c r="R19" s="118"/>
      <c r="S19" s="119"/>
      <c r="T19" s="119"/>
      <c r="U19" s="119"/>
      <c r="V19" s="118"/>
    </row>
    <row r="20" spans="1:22" ht="25.5" hidden="1" customHeight="1" x14ac:dyDescent="0.25">
      <c r="A20" s="122" t="s">
        <v>266</v>
      </c>
      <c r="B20" s="120"/>
      <c r="C20" s="123" t="s">
        <v>116</v>
      </c>
      <c r="D20" s="122"/>
      <c r="G20" s="209"/>
      <c r="H20" s="118"/>
      <c r="I20" s="119"/>
      <c r="J20" s="118"/>
      <c r="K20" s="119"/>
      <c r="L20" s="118"/>
      <c r="M20" s="114"/>
      <c r="N20" s="110"/>
      <c r="O20" s="119"/>
      <c r="P20" s="119"/>
      <c r="Q20" s="119"/>
      <c r="R20" s="118"/>
      <c r="S20" s="119"/>
      <c r="T20" s="119"/>
      <c r="U20" s="119"/>
      <c r="V20" s="118"/>
    </row>
    <row r="21" spans="1:22" ht="12.75" hidden="1" customHeight="1" x14ac:dyDescent="0.25">
      <c r="A21" s="122" t="s">
        <v>268</v>
      </c>
      <c r="B21" s="120"/>
      <c r="C21" s="123" t="s">
        <v>117</v>
      </c>
      <c r="D21" s="113"/>
      <c r="G21" s="209"/>
      <c r="H21" s="118"/>
      <c r="I21" s="119"/>
      <c r="J21" s="118"/>
      <c r="K21" s="119"/>
      <c r="L21" s="118"/>
      <c r="M21" s="114"/>
      <c r="N21" s="110"/>
      <c r="O21" s="119"/>
      <c r="P21" s="119"/>
      <c r="Q21" s="119"/>
      <c r="R21" s="118"/>
      <c r="S21" s="119"/>
      <c r="T21" s="119"/>
      <c r="U21" s="119"/>
      <c r="V21" s="118"/>
    </row>
    <row r="22" spans="1:22" ht="25.5" hidden="1" customHeight="1" x14ac:dyDescent="0.25">
      <c r="A22" s="122" t="s">
        <v>269</v>
      </c>
      <c r="B22" s="120"/>
      <c r="C22" s="123" t="s">
        <v>118</v>
      </c>
      <c r="D22" s="113"/>
      <c r="G22" s="209"/>
      <c r="H22" s="118"/>
      <c r="I22" s="119"/>
      <c r="J22" s="118"/>
      <c r="K22" s="119"/>
      <c r="L22" s="118"/>
      <c r="M22" s="114"/>
      <c r="N22" s="110"/>
      <c r="O22" s="119"/>
      <c r="P22" s="119"/>
      <c r="Q22" s="119"/>
      <c r="R22" s="118"/>
      <c r="S22" s="119"/>
      <c r="T22" s="119"/>
      <c r="U22" s="119"/>
      <c r="V22" s="118"/>
    </row>
    <row r="23" spans="1:22" ht="12.75" hidden="1" customHeight="1" x14ac:dyDescent="0.25">
      <c r="B23" s="120"/>
      <c r="C23" s="123"/>
      <c r="D23" s="113"/>
      <c r="G23" s="209"/>
      <c r="H23" s="118"/>
      <c r="I23" s="119"/>
      <c r="J23" s="118"/>
      <c r="K23" s="119"/>
      <c r="L23" s="118"/>
      <c r="M23" s="114"/>
      <c r="N23" s="110"/>
      <c r="O23" s="119"/>
      <c r="P23" s="119"/>
      <c r="Q23" s="119"/>
      <c r="R23" s="118"/>
      <c r="S23" s="119"/>
      <c r="T23" s="119"/>
      <c r="U23" s="119"/>
      <c r="V23" s="118"/>
    </row>
    <row r="24" spans="1:22" s="141" customFormat="1" ht="12.75" customHeight="1" x14ac:dyDescent="0.25">
      <c r="A24" s="138"/>
      <c r="B24" s="138"/>
      <c r="C24" s="139"/>
      <c r="D24" s="291" t="s">
        <v>794</v>
      </c>
      <c r="E24" s="291"/>
      <c r="F24" s="292"/>
      <c r="G24" s="299" t="s">
        <v>354</v>
      </c>
      <c r="H24" s="300"/>
      <c r="I24" s="300"/>
      <c r="J24" s="300"/>
      <c r="K24" s="300"/>
      <c r="L24" s="301"/>
      <c r="M24" s="140"/>
      <c r="N24" s="297"/>
      <c r="O24" s="276" t="s">
        <v>286</v>
      </c>
      <c r="P24" s="276"/>
      <c r="Q24" s="276"/>
      <c r="R24" s="276"/>
      <c r="S24" s="277"/>
      <c r="T24" s="277"/>
      <c r="U24" s="277"/>
      <c r="V24" s="278"/>
    </row>
    <row r="25" spans="1:22" s="141" customFormat="1" x14ac:dyDescent="0.25">
      <c r="C25" s="142"/>
      <c r="D25" s="291"/>
      <c r="E25" s="291"/>
      <c r="F25" s="293"/>
      <c r="G25" s="302"/>
      <c r="H25" s="303"/>
      <c r="I25" s="303"/>
      <c r="J25" s="303"/>
      <c r="K25" s="303"/>
      <c r="L25" s="304"/>
      <c r="M25" s="140"/>
      <c r="N25" s="298"/>
      <c r="O25" s="279" t="s">
        <v>287</v>
      </c>
      <c r="P25" s="279"/>
      <c r="Q25" s="279"/>
      <c r="R25" s="279"/>
      <c r="S25" s="280"/>
      <c r="T25" s="280"/>
      <c r="U25" s="280"/>
      <c r="V25" s="281"/>
    </row>
    <row r="26" spans="1:22" s="141" customFormat="1" ht="25.5" customHeight="1" x14ac:dyDescent="0.25">
      <c r="A26" s="143" t="s">
        <v>159</v>
      </c>
      <c r="C26" s="142"/>
      <c r="D26" s="273" t="s">
        <v>355</v>
      </c>
      <c r="E26" s="290" t="s">
        <v>96</v>
      </c>
      <c r="F26" s="144"/>
      <c r="G26" s="305" t="s">
        <v>785</v>
      </c>
      <c r="H26" s="306"/>
      <c r="I26" s="306"/>
      <c r="J26" s="306"/>
      <c r="K26" s="306"/>
      <c r="L26" s="307"/>
      <c r="M26" s="140"/>
      <c r="N26" s="294" t="s">
        <v>259</v>
      </c>
      <c r="O26" s="282" t="s">
        <v>92</v>
      </c>
      <c r="P26" s="283"/>
      <c r="Q26" s="283"/>
      <c r="R26" s="284"/>
      <c r="S26" s="282" t="s">
        <v>93</v>
      </c>
      <c r="T26" s="283"/>
      <c r="U26" s="283"/>
      <c r="V26" s="284"/>
    </row>
    <row r="27" spans="1:22" s="141" customFormat="1" ht="12.75" customHeight="1" x14ac:dyDescent="0.25">
      <c r="A27" s="143"/>
      <c r="D27" s="274"/>
      <c r="E27" s="290"/>
      <c r="F27" s="144"/>
      <c r="G27" s="308" t="s">
        <v>127</v>
      </c>
      <c r="H27" s="259" t="s">
        <v>289</v>
      </c>
      <c r="I27" s="262" t="s">
        <v>285</v>
      </c>
      <c r="J27" s="263"/>
      <c r="K27" s="263"/>
      <c r="L27" s="264"/>
      <c r="M27" s="145"/>
      <c r="N27" s="295"/>
      <c r="O27" s="285"/>
      <c r="P27" s="286"/>
      <c r="Q27" s="286"/>
      <c r="R27" s="287"/>
      <c r="S27" s="285"/>
      <c r="T27" s="286"/>
      <c r="U27" s="286"/>
      <c r="V27" s="287"/>
    </row>
    <row r="28" spans="1:22" s="141" customFormat="1" ht="12.75" customHeight="1" x14ac:dyDescent="0.25">
      <c r="A28" s="142"/>
      <c r="D28" s="274"/>
      <c r="E28" s="290"/>
      <c r="F28" s="144"/>
      <c r="G28" s="309"/>
      <c r="H28" s="260"/>
      <c r="I28" s="262" t="s">
        <v>284</v>
      </c>
      <c r="J28" s="264"/>
      <c r="K28" s="192">
        <f>COUNTIFS(G37:G1048576,"&lt;&gt;",G37:G1048576,"&lt;&gt;NA")</f>
        <v>16</v>
      </c>
      <c r="L28" s="190">
        <f>SUM(L29:L31)</f>
        <v>1</v>
      </c>
      <c r="M28" s="146"/>
      <c r="N28" s="295"/>
      <c r="O28" s="288" t="s">
        <v>264</v>
      </c>
      <c r="P28" s="276"/>
      <c r="Q28" s="276"/>
      <c r="R28" s="289"/>
      <c r="S28" s="288" t="s">
        <v>264</v>
      </c>
      <c r="T28" s="276"/>
      <c r="U28" s="276"/>
      <c r="V28" s="289"/>
    </row>
    <row r="29" spans="1:22" s="141" customFormat="1" x14ac:dyDescent="0.25">
      <c r="D29" s="274"/>
      <c r="E29" s="290"/>
      <c r="F29" s="144"/>
      <c r="G29" s="309"/>
      <c r="H29" s="260"/>
      <c r="I29" s="265" t="s">
        <v>277</v>
      </c>
      <c r="J29" s="266"/>
      <c r="K29" s="184">
        <f>COUNTIFS(G37:G1048576,"&lt;&gt;",G37:G1048576,"&lt;&gt;NA",I37:I1048576,"NOK",K37:K1048576,"NOK")</f>
        <v>0</v>
      </c>
      <c r="L29" s="186">
        <f>K29/K$28</f>
        <v>0</v>
      </c>
      <c r="M29" s="146"/>
      <c r="N29" s="295"/>
      <c r="O29" s="282"/>
      <c r="P29" s="283"/>
      <c r="Q29" s="283"/>
      <c r="R29" s="284"/>
      <c r="S29" s="282"/>
      <c r="T29" s="283"/>
      <c r="U29" s="283"/>
      <c r="V29" s="284"/>
    </row>
    <row r="30" spans="1:22" s="141" customFormat="1" x14ac:dyDescent="0.25">
      <c r="D30" s="274"/>
      <c r="E30" s="290"/>
      <c r="F30" s="144"/>
      <c r="G30" s="309"/>
      <c r="H30" s="260"/>
      <c r="I30" s="267" t="s">
        <v>278</v>
      </c>
      <c r="J30" s="268"/>
      <c r="K30" s="185">
        <f>COUNTIFS(G37:G1048576,"&lt;&gt;",G37:G1048576,"&lt;&gt;NA",I37:I1048576,"OK",K37:K1048576,"NA")+
COUNTIFS(G37:G1048576,"&lt;&gt;",G37:G1048576,"&lt;&gt;NA",I37:I1048576,"OK",K37:K1048576,"OK")+
COUNTIFS(G37:G1048576,"&lt;&gt;",G37:G1048576,"&lt;&gt;NA",I37:I1048576,"NOK",K37:K1048576,"NA")+
COUNTIFS(G37:G1048576,"&lt;&gt;",G37:G1048576,"&lt;&gt;NA",I37:I1048576,"NOK",K37:K1048576,"DEVIATION")</f>
        <v>0</v>
      </c>
      <c r="L30" s="187">
        <f>K30/K$28</f>
        <v>0</v>
      </c>
      <c r="M30" s="146"/>
      <c r="N30" s="295"/>
      <c r="O30" s="282"/>
      <c r="P30" s="283"/>
      <c r="Q30" s="283"/>
      <c r="R30" s="284"/>
      <c r="S30" s="282"/>
      <c r="T30" s="283"/>
      <c r="U30" s="283"/>
      <c r="V30" s="284"/>
    </row>
    <row r="31" spans="1:22" s="141" customFormat="1" x14ac:dyDescent="0.25">
      <c r="D31" s="274"/>
      <c r="E31" s="290"/>
      <c r="F31" s="147"/>
      <c r="G31" s="309"/>
      <c r="H31" s="260"/>
      <c r="I31" s="269" t="s">
        <v>279</v>
      </c>
      <c r="J31" s="270"/>
      <c r="K31" s="183">
        <f>COUNTIFS(G37:G1048576,"&lt;&gt;",G37:G1048576,"&lt;&gt;NA",I37:I1048576,"OK",K37:K1048576,"NOK")+
COUNTIFS(G37:G1048576,"&lt;&gt;",G37:G1048576,"&lt;&gt;NA",I37:I1048576,"OK",K37:K1048576,"EN ATTENTE")+
COUNTIFS(G37:G1048576,"&lt;&gt;",G37:G1048576,"&lt;&gt;NA",I37:I1048576,"NOK",K37:K1048576,"EN ATTENTE")+
COUNTIFS(G37:G1048576,"&lt;&gt;",G37:G1048576,"&lt;&gt;NA",I37:I1048576,"=")+
COUNTIFS(G37:G1048576,"&lt;&gt;",G37:G1048576,"&lt;&gt;NA",I37:I1048576,"&lt;&gt;",K37:K1048576,"=")</f>
        <v>16</v>
      </c>
      <c r="L31" s="188">
        <f>K31/K$28</f>
        <v>1</v>
      </c>
      <c r="M31" s="146"/>
      <c r="N31" s="295"/>
      <c r="O31" s="282"/>
      <c r="P31" s="283"/>
      <c r="Q31" s="283"/>
      <c r="R31" s="284"/>
      <c r="S31" s="282"/>
      <c r="T31" s="283"/>
      <c r="U31" s="283"/>
      <c r="V31" s="284"/>
    </row>
    <row r="32" spans="1:22" s="141" customFormat="1" x14ac:dyDescent="0.25">
      <c r="D32" s="274"/>
      <c r="E32" s="290"/>
      <c r="F32" s="147"/>
      <c r="G32" s="309"/>
      <c r="H32" s="260"/>
      <c r="I32" s="271" t="s">
        <v>351</v>
      </c>
      <c r="J32" s="272"/>
      <c r="K32" s="206">
        <f>COUNTIFS(G37:G1048576,"&lt;&gt;",G37:G1048576,"&lt;&gt;NA",I37:I1048576,"&lt;&gt;",K37:K1048576,"=")</f>
        <v>16</v>
      </c>
      <c r="L32" s="207">
        <f>K32/K$28</f>
        <v>1</v>
      </c>
      <c r="M32" s="146"/>
      <c r="N32" s="295"/>
      <c r="O32" s="282"/>
      <c r="P32" s="283"/>
      <c r="Q32" s="283"/>
      <c r="R32" s="284"/>
      <c r="S32" s="282"/>
      <c r="T32" s="283"/>
      <c r="U32" s="283"/>
      <c r="V32" s="284"/>
    </row>
    <row r="33" spans="1:22" s="141" customFormat="1" x14ac:dyDescent="0.25">
      <c r="D33" s="275"/>
      <c r="E33" s="290"/>
      <c r="F33" s="147"/>
      <c r="G33" s="309"/>
      <c r="H33" s="260"/>
      <c r="I33" s="271" t="s">
        <v>353</v>
      </c>
      <c r="J33" s="272"/>
      <c r="K33" s="206">
        <f>COUNTIFS(G37:G1048576,"&lt;&gt;",G37:G1048576,"&lt;&gt;NA",I37:I1048576,"=")</f>
        <v>0</v>
      </c>
      <c r="L33" s="207">
        <f>K33/K$28</f>
        <v>0</v>
      </c>
      <c r="M33" s="146"/>
      <c r="N33" s="295"/>
      <c r="O33" s="285"/>
      <c r="P33" s="286"/>
      <c r="Q33" s="286"/>
      <c r="R33" s="287"/>
      <c r="S33" s="285"/>
      <c r="T33" s="286"/>
      <c r="U33" s="286"/>
      <c r="V33" s="287"/>
    </row>
    <row r="34" spans="1:22" s="141" customFormat="1" ht="51" x14ac:dyDescent="0.25">
      <c r="A34" s="148" t="s">
        <v>41</v>
      </c>
      <c r="B34" s="149"/>
      <c r="C34" s="149" t="s">
        <v>255</v>
      </c>
      <c r="D34" s="191" t="s">
        <v>76</v>
      </c>
      <c r="E34" s="290"/>
      <c r="F34" s="150"/>
      <c r="G34" s="310"/>
      <c r="H34" s="261"/>
      <c r="I34" s="151" t="s">
        <v>43</v>
      </c>
      <c r="J34" s="151" t="s">
        <v>42</v>
      </c>
      <c r="K34" s="205" t="s">
        <v>352</v>
      </c>
      <c r="L34" s="151" t="s">
        <v>42</v>
      </c>
      <c r="M34" s="146"/>
      <c r="N34" s="296"/>
      <c r="O34" s="152" t="s">
        <v>82</v>
      </c>
      <c r="P34" s="152" t="s">
        <v>46</v>
      </c>
      <c r="Q34" s="152" t="s">
        <v>47</v>
      </c>
      <c r="R34" s="153" t="s">
        <v>42</v>
      </c>
      <c r="S34" s="152" t="s">
        <v>82</v>
      </c>
      <c r="T34" s="152" t="s">
        <v>46</v>
      </c>
      <c r="U34" s="152" t="s">
        <v>47</v>
      </c>
      <c r="V34" s="153" t="s">
        <v>42</v>
      </c>
    </row>
    <row r="35" spans="1:22" s="160" customFormat="1" x14ac:dyDescent="0.25">
      <c r="A35" s="154" t="s">
        <v>120</v>
      </c>
      <c r="B35" s="155"/>
      <c r="C35" s="155"/>
      <c r="D35" s="156"/>
      <c r="E35" s="156"/>
      <c r="F35" s="156"/>
      <c r="G35" s="210"/>
      <c r="H35" s="157"/>
      <c r="I35" s="158"/>
      <c r="J35" s="158"/>
      <c r="K35" s="158"/>
      <c r="L35" s="158"/>
      <c r="M35" s="159"/>
      <c r="N35" s="156"/>
      <c r="O35" s="159"/>
      <c r="P35" s="159"/>
      <c r="Q35" s="158"/>
      <c r="R35" s="159"/>
      <c r="S35" s="159"/>
      <c r="T35" s="159"/>
      <c r="U35" s="158"/>
      <c r="V35" s="159"/>
    </row>
    <row r="36" spans="1:22" s="165" customFormat="1" x14ac:dyDescent="0.25">
      <c r="A36" s="161" t="s">
        <v>793</v>
      </c>
      <c r="B36" s="162"/>
      <c r="C36" s="162"/>
      <c r="D36" s="162"/>
      <c r="E36" s="124"/>
      <c r="F36" s="125" t="s">
        <v>263</v>
      </c>
      <c r="G36" s="210" t="s">
        <v>356</v>
      </c>
      <c r="H36" s="157"/>
      <c r="I36" s="158"/>
      <c r="J36" s="158"/>
      <c r="K36" s="158"/>
      <c r="L36" s="158"/>
      <c r="M36" s="125" t="s">
        <v>263</v>
      </c>
      <c r="N36" s="124"/>
      <c r="O36" s="163"/>
      <c r="P36" s="163"/>
      <c r="Q36" s="163"/>
      <c r="R36" s="164"/>
      <c r="S36" s="163"/>
      <c r="T36" s="163"/>
      <c r="U36" s="163"/>
      <c r="V36" s="164"/>
    </row>
    <row r="37" spans="1:22" ht="15" hidden="1" customHeight="1" x14ac:dyDescent="0.25">
      <c r="A37" s="126" t="s">
        <v>357</v>
      </c>
      <c r="B37" s="127"/>
      <c r="C37" s="128"/>
      <c r="D37" s="129" t="s">
        <v>358</v>
      </c>
      <c r="E37" s="213" t="s">
        <v>359</v>
      </c>
      <c r="F37" s="125"/>
      <c r="G37" s="211" t="s">
        <v>276</v>
      </c>
      <c r="H37" s="130"/>
      <c r="I37" s="189"/>
      <c r="J37" s="131"/>
      <c r="K37" s="167"/>
      <c r="L37" s="132"/>
      <c r="M37" s="125"/>
      <c r="N37" s="133"/>
      <c r="O37" s="134"/>
      <c r="P37" s="135"/>
      <c r="Q37" s="135"/>
      <c r="R37" s="134"/>
      <c r="S37" s="134"/>
      <c r="T37" s="135"/>
      <c r="U37" s="135"/>
      <c r="V37" s="134"/>
    </row>
    <row r="38" spans="1:22" ht="15" hidden="1" customHeight="1" x14ac:dyDescent="0.25">
      <c r="A38" s="126" t="s">
        <v>360</v>
      </c>
      <c r="B38" s="127"/>
      <c r="C38" s="128"/>
      <c r="D38" s="129" t="s">
        <v>361</v>
      </c>
      <c r="E38" s="213" t="s">
        <v>362</v>
      </c>
      <c r="F38" s="125"/>
      <c r="G38" s="211" t="s">
        <v>276</v>
      </c>
      <c r="H38" s="130"/>
      <c r="I38" s="189"/>
      <c r="J38" s="131"/>
      <c r="K38" s="167"/>
      <c r="L38" s="132"/>
      <c r="M38" s="125"/>
      <c r="N38" s="133"/>
      <c r="O38" s="134"/>
      <c r="P38" s="135"/>
      <c r="Q38" s="135"/>
      <c r="R38" s="134"/>
      <c r="S38" s="134"/>
      <c r="T38" s="135"/>
      <c r="U38" s="135"/>
      <c r="V38" s="134"/>
    </row>
    <row r="39" spans="1:22" ht="15" hidden="1" customHeight="1" x14ac:dyDescent="0.25">
      <c r="A39" s="126" t="s">
        <v>363</v>
      </c>
      <c r="B39" s="127"/>
      <c r="C39" s="128"/>
      <c r="D39" s="129" t="s">
        <v>361</v>
      </c>
      <c r="E39" s="213" t="s">
        <v>364</v>
      </c>
      <c r="F39" s="125"/>
      <c r="G39" s="211" t="s">
        <v>276</v>
      </c>
      <c r="H39" s="130"/>
      <c r="I39" s="189"/>
      <c r="J39" s="131"/>
      <c r="K39" s="167"/>
      <c r="L39" s="132"/>
      <c r="M39" s="125"/>
      <c r="N39" s="133"/>
      <c r="O39" s="134"/>
      <c r="P39" s="135"/>
      <c r="Q39" s="135"/>
      <c r="R39" s="134"/>
      <c r="S39" s="134"/>
      <c r="T39" s="135"/>
      <c r="U39" s="135"/>
      <c r="V39" s="134"/>
    </row>
    <row r="40" spans="1:22" ht="15" hidden="1" customHeight="1" x14ac:dyDescent="0.25">
      <c r="A40" s="126" t="s">
        <v>365</v>
      </c>
      <c r="B40" s="127"/>
      <c r="C40" s="128"/>
      <c r="D40" s="129" t="s">
        <v>366</v>
      </c>
      <c r="E40" s="213" t="s">
        <v>367</v>
      </c>
      <c r="F40" s="125"/>
      <c r="G40" s="211" t="s">
        <v>276</v>
      </c>
      <c r="H40" s="130"/>
      <c r="I40" s="189"/>
      <c r="J40" s="131"/>
      <c r="K40" s="167"/>
      <c r="L40" s="132"/>
      <c r="M40" s="125"/>
      <c r="N40" s="133"/>
      <c r="O40" s="134"/>
      <c r="P40" s="135"/>
      <c r="Q40" s="135"/>
      <c r="R40" s="134"/>
      <c r="S40" s="134"/>
      <c r="T40" s="135"/>
      <c r="U40" s="135"/>
      <c r="V40" s="134"/>
    </row>
    <row r="41" spans="1:22" ht="15" hidden="1" customHeight="1" x14ac:dyDescent="0.25">
      <c r="A41" s="126" t="s">
        <v>368</v>
      </c>
      <c r="B41" s="127"/>
      <c r="C41" s="128"/>
      <c r="D41" s="129" t="s">
        <v>369</v>
      </c>
      <c r="E41" s="213" t="s">
        <v>370</v>
      </c>
      <c r="F41" s="125"/>
      <c r="G41" s="211" t="s">
        <v>276</v>
      </c>
      <c r="H41" s="130"/>
      <c r="I41" s="189"/>
      <c r="J41" s="131"/>
      <c r="K41" s="167"/>
      <c r="L41" s="132"/>
      <c r="M41" s="125"/>
      <c r="N41" s="133"/>
      <c r="O41" s="134"/>
      <c r="P41" s="135"/>
      <c r="Q41" s="135"/>
      <c r="R41" s="134"/>
      <c r="S41" s="134"/>
      <c r="T41" s="135"/>
      <c r="U41" s="135"/>
      <c r="V41" s="134"/>
    </row>
    <row r="42" spans="1:22" ht="15" hidden="1" customHeight="1" x14ac:dyDescent="0.25">
      <c r="A42" s="126" t="s">
        <v>371</v>
      </c>
      <c r="B42" s="127"/>
      <c r="C42" s="128"/>
      <c r="D42" s="129" t="s">
        <v>361</v>
      </c>
      <c r="E42" s="213" t="s">
        <v>370</v>
      </c>
      <c r="F42" s="125"/>
      <c r="G42" s="211" t="s">
        <v>276</v>
      </c>
      <c r="H42" s="130"/>
      <c r="I42" s="189"/>
      <c r="J42" s="131"/>
      <c r="K42" s="167"/>
      <c r="L42" s="132"/>
      <c r="M42" s="125"/>
      <c r="N42" s="133"/>
      <c r="O42" s="134"/>
      <c r="P42" s="135"/>
      <c r="Q42" s="135"/>
      <c r="R42" s="134"/>
      <c r="S42" s="134"/>
      <c r="T42" s="135"/>
      <c r="U42" s="135"/>
      <c r="V42" s="134"/>
    </row>
    <row r="43" spans="1:22" ht="15" hidden="1" customHeight="1" x14ac:dyDescent="0.25">
      <c r="A43" s="126" t="s">
        <v>372</v>
      </c>
      <c r="B43" s="127"/>
      <c r="C43" s="128"/>
      <c r="D43" s="129" t="s">
        <v>361</v>
      </c>
      <c r="E43" s="213" t="s">
        <v>370</v>
      </c>
      <c r="F43" s="125"/>
      <c r="G43" s="211" t="s">
        <v>276</v>
      </c>
      <c r="H43" s="130"/>
      <c r="I43" s="189"/>
      <c r="J43" s="131"/>
      <c r="K43" s="167"/>
      <c r="L43" s="132"/>
      <c r="M43" s="125"/>
      <c r="N43" s="133"/>
      <c r="O43" s="134"/>
      <c r="P43" s="135"/>
      <c r="Q43" s="135"/>
      <c r="R43" s="134"/>
      <c r="S43" s="134"/>
      <c r="T43" s="135"/>
      <c r="U43" s="135"/>
      <c r="V43" s="134"/>
    </row>
    <row r="44" spans="1:22" ht="15" hidden="1" customHeight="1" x14ac:dyDescent="0.25">
      <c r="A44" s="126" t="s">
        <v>373</v>
      </c>
      <c r="B44" s="127"/>
      <c r="C44" s="128"/>
      <c r="D44" s="129" t="s">
        <v>369</v>
      </c>
      <c r="E44" s="213" t="s">
        <v>370</v>
      </c>
      <c r="F44" s="125"/>
      <c r="G44" s="211" t="s">
        <v>276</v>
      </c>
      <c r="H44" s="130"/>
      <c r="I44" s="189"/>
      <c r="J44" s="131"/>
      <c r="K44" s="167"/>
      <c r="L44" s="132"/>
      <c r="M44" s="125"/>
      <c r="N44" s="133"/>
      <c r="O44" s="134"/>
      <c r="P44" s="135"/>
      <c r="Q44" s="135"/>
      <c r="R44" s="134"/>
      <c r="S44" s="134"/>
      <c r="T44" s="135"/>
      <c r="U44" s="135"/>
      <c r="V44" s="134"/>
    </row>
    <row r="45" spans="1:22" ht="15" hidden="1" customHeight="1" x14ac:dyDescent="0.25">
      <c r="A45" s="126" t="s">
        <v>374</v>
      </c>
      <c r="B45" s="127"/>
      <c r="C45" s="128"/>
      <c r="D45" s="129" t="s">
        <v>369</v>
      </c>
      <c r="E45" s="213" t="s">
        <v>370</v>
      </c>
      <c r="F45" s="125"/>
      <c r="G45" s="211" t="s">
        <v>276</v>
      </c>
      <c r="H45" s="130"/>
      <c r="I45" s="189"/>
      <c r="J45" s="131"/>
      <c r="K45" s="167"/>
      <c r="L45" s="132"/>
      <c r="M45" s="125"/>
      <c r="N45" s="133"/>
      <c r="O45" s="134"/>
      <c r="P45" s="135"/>
      <c r="Q45" s="135"/>
      <c r="R45" s="134"/>
      <c r="S45" s="134"/>
      <c r="T45" s="135"/>
      <c r="U45" s="135"/>
      <c r="V45" s="134"/>
    </row>
    <row r="46" spans="1:22" ht="15" hidden="1" customHeight="1" x14ac:dyDescent="0.25">
      <c r="A46" s="126" t="s">
        <v>375</v>
      </c>
      <c r="B46" s="127"/>
      <c r="C46" s="128"/>
      <c r="D46" s="129" t="s">
        <v>369</v>
      </c>
      <c r="E46" s="213" t="s">
        <v>370</v>
      </c>
      <c r="F46" s="125"/>
      <c r="G46" s="211" t="s">
        <v>276</v>
      </c>
      <c r="H46" s="130"/>
      <c r="I46" s="189"/>
      <c r="J46" s="131"/>
      <c r="K46" s="167"/>
      <c r="L46" s="132"/>
      <c r="M46" s="125"/>
      <c r="N46" s="133"/>
      <c r="O46" s="134"/>
      <c r="P46" s="135"/>
      <c r="Q46" s="135"/>
      <c r="R46" s="134"/>
      <c r="S46" s="134"/>
      <c r="T46" s="135"/>
      <c r="U46" s="135"/>
      <c r="V46" s="134"/>
    </row>
    <row r="47" spans="1:22" ht="15" hidden="1" customHeight="1" x14ac:dyDescent="0.25">
      <c r="A47" s="126" t="s">
        <v>376</v>
      </c>
      <c r="B47" s="127"/>
      <c r="C47" s="128"/>
      <c r="D47" s="129" t="s">
        <v>377</v>
      </c>
      <c r="E47" s="213" t="s">
        <v>378</v>
      </c>
      <c r="F47" s="125"/>
      <c r="G47" s="211" t="s">
        <v>276</v>
      </c>
      <c r="H47" s="130"/>
      <c r="I47" s="189"/>
      <c r="J47" s="131"/>
      <c r="K47" s="167"/>
      <c r="L47" s="132"/>
      <c r="M47" s="125"/>
      <c r="N47" s="133"/>
      <c r="O47" s="134"/>
      <c r="P47" s="135"/>
      <c r="Q47" s="135"/>
      <c r="R47" s="134"/>
      <c r="S47" s="134"/>
      <c r="T47" s="135"/>
      <c r="U47" s="135"/>
      <c r="V47" s="134"/>
    </row>
    <row r="48" spans="1:22" ht="15" hidden="1" customHeight="1" x14ac:dyDescent="0.25">
      <c r="A48" s="126" t="s">
        <v>379</v>
      </c>
      <c r="B48" s="127"/>
      <c r="C48" s="128"/>
      <c r="D48" s="129" t="s">
        <v>377</v>
      </c>
      <c r="E48" s="213" t="s">
        <v>380</v>
      </c>
      <c r="F48" s="125"/>
      <c r="G48" s="211" t="s">
        <v>276</v>
      </c>
      <c r="H48" s="130"/>
      <c r="I48" s="189"/>
      <c r="J48" s="131"/>
      <c r="K48" s="167"/>
      <c r="L48" s="132"/>
      <c r="M48" s="125"/>
      <c r="N48" s="133"/>
      <c r="O48" s="134"/>
      <c r="P48" s="135"/>
      <c r="Q48" s="135"/>
      <c r="R48" s="134"/>
      <c r="S48" s="134"/>
      <c r="T48" s="135"/>
      <c r="U48" s="135"/>
      <c r="V48" s="134"/>
    </row>
    <row r="49" spans="1:22" ht="15" hidden="1" customHeight="1" x14ac:dyDescent="0.25">
      <c r="A49" s="126" t="s">
        <v>381</v>
      </c>
      <c r="B49" s="127"/>
      <c r="C49" s="128"/>
      <c r="D49" s="129" t="s">
        <v>377</v>
      </c>
      <c r="E49" s="213" t="s">
        <v>382</v>
      </c>
      <c r="F49" s="125"/>
      <c r="G49" s="211" t="s">
        <v>276</v>
      </c>
      <c r="H49" s="130"/>
      <c r="I49" s="189"/>
      <c r="J49" s="131"/>
      <c r="K49" s="167"/>
      <c r="L49" s="132"/>
      <c r="M49" s="125"/>
      <c r="N49" s="133"/>
      <c r="O49" s="134"/>
      <c r="P49" s="135"/>
      <c r="Q49" s="135"/>
      <c r="R49" s="134"/>
      <c r="S49" s="134"/>
      <c r="T49" s="135"/>
      <c r="U49" s="135"/>
      <c r="V49" s="134"/>
    </row>
    <row r="50" spans="1:22" ht="15" hidden="1" customHeight="1" x14ac:dyDescent="0.25">
      <c r="A50" s="126" t="s">
        <v>383</v>
      </c>
      <c r="B50" s="127"/>
      <c r="C50" s="128"/>
      <c r="D50" s="129" t="s">
        <v>377</v>
      </c>
      <c r="E50" s="213" t="s">
        <v>384</v>
      </c>
      <c r="F50" s="125"/>
      <c r="G50" s="211" t="s">
        <v>276</v>
      </c>
      <c r="H50" s="130"/>
      <c r="I50" s="189"/>
      <c r="J50" s="131"/>
      <c r="K50" s="167"/>
      <c r="L50" s="132"/>
      <c r="M50" s="125"/>
      <c r="N50" s="133"/>
      <c r="O50" s="134"/>
      <c r="P50" s="135"/>
      <c r="Q50" s="135"/>
      <c r="R50" s="134"/>
      <c r="S50" s="134"/>
      <c r="T50" s="135"/>
      <c r="U50" s="135"/>
      <c r="V50" s="134"/>
    </row>
    <row r="51" spans="1:22" ht="15" hidden="1" customHeight="1" x14ac:dyDescent="0.25">
      <c r="A51" s="126" t="s">
        <v>385</v>
      </c>
      <c r="B51" s="127"/>
      <c r="C51" s="128"/>
      <c r="D51" s="129" t="s">
        <v>361</v>
      </c>
      <c r="E51" s="213" t="s">
        <v>386</v>
      </c>
      <c r="F51" s="125"/>
      <c r="G51" s="211" t="s">
        <v>276</v>
      </c>
      <c r="H51" s="130"/>
      <c r="I51" s="189"/>
      <c r="J51" s="131"/>
      <c r="K51" s="167"/>
      <c r="L51" s="132"/>
      <c r="M51" s="125"/>
      <c r="N51" s="133"/>
      <c r="O51" s="134"/>
      <c r="P51" s="135"/>
      <c r="Q51" s="135"/>
      <c r="R51" s="134"/>
      <c r="S51" s="134"/>
      <c r="T51" s="135"/>
      <c r="U51" s="135"/>
      <c r="V51" s="134"/>
    </row>
    <row r="52" spans="1:22" ht="15" hidden="1" customHeight="1" x14ac:dyDescent="0.25">
      <c r="A52" s="126" t="s">
        <v>387</v>
      </c>
      <c r="B52" s="127"/>
      <c r="C52" s="128"/>
      <c r="D52" s="129" t="s">
        <v>377</v>
      </c>
      <c r="E52" s="213" t="s">
        <v>388</v>
      </c>
      <c r="F52" s="125"/>
      <c r="G52" s="211" t="s">
        <v>276</v>
      </c>
      <c r="H52" s="130"/>
      <c r="I52" s="189"/>
      <c r="J52" s="131"/>
      <c r="K52" s="167"/>
      <c r="L52" s="132"/>
      <c r="M52" s="125"/>
      <c r="N52" s="133"/>
      <c r="O52" s="134"/>
      <c r="P52" s="135"/>
      <c r="Q52" s="135"/>
      <c r="R52" s="134"/>
      <c r="S52" s="134"/>
      <c r="T52" s="135"/>
      <c r="U52" s="135"/>
      <c r="V52" s="134"/>
    </row>
    <row r="53" spans="1:22" ht="15" hidden="1" customHeight="1" x14ac:dyDescent="0.25">
      <c r="A53" s="126" t="s">
        <v>389</v>
      </c>
      <c r="B53" s="127"/>
      <c r="C53" s="128"/>
      <c r="D53" s="129" t="s">
        <v>361</v>
      </c>
      <c r="E53" s="213" t="s">
        <v>390</v>
      </c>
      <c r="F53" s="125"/>
      <c r="G53" s="211" t="s">
        <v>276</v>
      </c>
      <c r="H53" s="130"/>
      <c r="I53" s="189"/>
      <c r="J53" s="131"/>
      <c r="K53" s="167"/>
      <c r="L53" s="132"/>
      <c r="M53" s="125"/>
      <c r="N53" s="133"/>
      <c r="O53" s="134"/>
      <c r="P53" s="135"/>
      <c r="Q53" s="135"/>
      <c r="R53" s="134"/>
      <c r="S53" s="134"/>
      <c r="T53" s="135"/>
      <c r="U53" s="135"/>
      <c r="V53" s="134"/>
    </row>
    <row r="54" spans="1:22" ht="15" hidden="1" customHeight="1" x14ac:dyDescent="0.25">
      <c r="A54" s="126" t="s">
        <v>391</v>
      </c>
      <c r="B54" s="127"/>
      <c r="C54" s="128"/>
      <c r="D54" s="129" t="s">
        <v>361</v>
      </c>
      <c r="E54" s="213" t="s">
        <v>392</v>
      </c>
      <c r="F54" s="125"/>
      <c r="G54" s="211" t="s">
        <v>276</v>
      </c>
      <c r="H54" s="130"/>
      <c r="I54" s="189"/>
      <c r="J54" s="131"/>
      <c r="K54" s="167"/>
      <c r="L54" s="132"/>
      <c r="M54" s="125"/>
      <c r="N54" s="133"/>
      <c r="O54" s="134"/>
      <c r="P54" s="135"/>
      <c r="Q54" s="135"/>
      <c r="R54" s="134"/>
      <c r="S54" s="134"/>
      <c r="T54" s="135"/>
      <c r="U54" s="135"/>
      <c r="V54" s="134"/>
    </row>
    <row r="55" spans="1:22" ht="15" hidden="1" customHeight="1" x14ac:dyDescent="0.25">
      <c r="A55" s="126" t="s">
        <v>393</v>
      </c>
      <c r="B55" s="127"/>
      <c r="C55" s="128"/>
      <c r="D55" s="129" t="s">
        <v>377</v>
      </c>
      <c r="E55" s="213" t="s">
        <v>394</v>
      </c>
      <c r="F55" s="125"/>
      <c r="G55" s="211" t="s">
        <v>276</v>
      </c>
      <c r="H55" s="130"/>
      <c r="I55" s="189"/>
      <c r="J55" s="131"/>
      <c r="K55" s="167"/>
      <c r="L55" s="132"/>
      <c r="M55" s="125"/>
      <c r="N55" s="133"/>
      <c r="O55" s="134"/>
      <c r="P55" s="135"/>
      <c r="Q55" s="135"/>
      <c r="R55" s="134"/>
      <c r="S55" s="134"/>
      <c r="T55" s="135"/>
      <c r="U55" s="135"/>
      <c r="V55" s="134"/>
    </row>
    <row r="56" spans="1:22" ht="15" hidden="1" customHeight="1" x14ac:dyDescent="0.25">
      <c r="A56" s="126" t="s">
        <v>395</v>
      </c>
      <c r="B56" s="127"/>
      <c r="C56" s="128"/>
      <c r="D56" s="129" t="s">
        <v>377</v>
      </c>
      <c r="E56" s="213" t="s">
        <v>396</v>
      </c>
      <c r="F56" s="125"/>
      <c r="G56" s="211" t="s">
        <v>276</v>
      </c>
      <c r="H56" s="130"/>
      <c r="I56" s="189"/>
      <c r="J56" s="131"/>
      <c r="K56" s="167"/>
      <c r="L56" s="132"/>
      <c r="M56" s="125"/>
      <c r="N56" s="133"/>
      <c r="O56" s="134"/>
      <c r="P56" s="135"/>
      <c r="Q56" s="135"/>
      <c r="R56" s="134"/>
      <c r="S56" s="134"/>
      <c r="T56" s="135"/>
      <c r="U56" s="135"/>
      <c r="V56" s="134"/>
    </row>
    <row r="57" spans="1:22" ht="15" customHeight="1" x14ac:dyDescent="0.25">
      <c r="A57" s="126" t="s">
        <v>397</v>
      </c>
      <c r="B57" s="127"/>
      <c r="C57" s="128"/>
      <c r="D57" s="129" t="s">
        <v>377</v>
      </c>
      <c r="E57" s="213" t="s">
        <v>398</v>
      </c>
      <c r="F57" s="125"/>
      <c r="G57" s="211" t="s">
        <v>377</v>
      </c>
      <c r="H57" s="130"/>
      <c r="I57" s="189" t="s">
        <v>44</v>
      </c>
      <c r="J57" s="131"/>
      <c r="K57" s="167"/>
      <c r="L57" s="132"/>
      <c r="M57" s="125"/>
      <c r="N57" s="133"/>
      <c r="O57" s="134"/>
      <c r="P57" s="135"/>
      <c r="Q57" s="135"/>
      <c r="R57" s="134"/>
      <c r="S57" s="134"/>
      <c r="T57" s="135"/>
      <c r="U57" s="135"/>
      <c r="V57" s="134"/>
    </row>
    <row r="58" spans="1:22" ht="15" hidden="1" customHeight="1" x14ac:dyDescent="0.25">
      <c r="A58" s="126" t="s">
        <v>399</v>
      </c>
      <c r="B58" s="127"/>
      <c r="C58" s="128"/>
      <c r="D58" s="129" t="s">
        <v>377</v>
      </c>
      <c r="E58" s="213" t="s">
        <v>400</v>
      </c>
      <c r="F58" s="125"/>
      <c r="G58" s="211" t="s">
        <v>276</v>
      </c>
      <c r="H58" s="130"/>
      <c r="I58" s="189"/>
      <c r="J58" s="131"/>
      <c r="K58" s="167"/>
      <c r="L58" s="132"/>
      <c r="M58" s="125"/>
      <c r="N58" s="133"/>
      <c r="O58" s="134"/>
      <c r="P58" s="135"/>
      <c r="Q58" s="135"/>
      <c r="R58" s="134"/>
      <c r="S58" s="134"/>
      <c r="T58" s="135"/>
      <c r="U58" s="135"/>
      <c r="V58" s="134"/>
    </row>
    <row r="59" spans="1:22" ht="15" customHeight="1" x14ac:dyDescent="0.25">
      <c r="A59" s="126" t="s">
        <v>401</v>
      </c>
      <c r="B59" s="127"/>
      <c r="C59" s="128"/>
      <c r="D59" s="129" t="s">
        <v>377</v>
      </c>
      <c r="E59" s="213" t="s">
        <v>402</v>
      </c>
      <c r="F59" s="125"/>
      <c r="G59" s="211" t="s">
        <v>377</v>
      </c>
      <c r="H59" s="130"/>
      <c r="I59" s="189" t="s">
        <v>44</v>
      </c>
      <c r="J59" s="131"/>
      <c r="K59" s="167"/>
      <c r="L59" s="132"/>
      <c r="M59" s="125"/>
      <c r="N59" s="133"/>
      <c r="O59" s="134"/>
      <c r="P59" s="135"/>
      <c r="Q59" s="135"/>
      <c r="R59" s="134"/>
      <c r="S59" s="134"/>
      <c r="T59" s="135"/>
      <c r="U59" s="135"/>
      <c r="V59" s="134"/>
    </row>
    <row r="60" spans="1:22" ht="15" hidden="1" customHeight="1" x14ac:dyDescent="0.25">
      <c r="A60" s="126" t="s">
        <v>403</v>
      </c>
      <c r="B60" s="127"/>
      <c r="C60" s="128"/>
      <c r="D60" s="129" t="s">
        <v>377</v>
      </c>
      <c r="E60" s="213" t="s">
        <v>404</v>
      </c>
      <c r="F60" s="125"/>
      <c r="G60" s="211" t="s">
        <v>276</v>
      </c>
      <c r="H60" s="130"/>
      <c r="I60" s="189"/>
      <c r="J60" s="131"/>
      <c r="K60" s="167"/>
      <c r="L60" s="132"/>
      <c r="M60" s="125"/>
      <c r="N60" s="133"/>
      <c r="O60" s="134"/>
      <c r="P60" s="135"/>
      <c r="Q60" s="135"/>
      <c r="R60" s="134"/>
      <c r="S60" s="134"/>
      <c r="T60" s="135"/>
      <c r="U60" s="135"/>
      <c r="V60" s="134"/>
    </row>
    <row r="61" spans="1:22" ht="15" customHeight="1" x14ac:dyDescent="0.25">
      <c r="A61" s="126" t="s">
        <v>405</v>
      </c>
      <c r="B61" s="127"/>
      <c r="C61" s="128"/>
      <c r="D61" s="129" t="s">
        <v>361</v>
      </c>
      <c r="E61" s="213" t="s">
        <v>406</v>
      </c>
      <c r="F61" s="125"/>
      <c r="G61" s="211" t="s">
        <v>361</v>
      </c>
      <c r="H61" s="130"/>
      <c r="I61" s="189" t="s">
        <v>44</v>
      </c>
      <c r="J61" s="131"/>
      <c r="K61" s="167"/>
      <c r="L61" s="132"/>
      <c r="M61" s="125"/>
      <c r="N61" s="133"/>
      <c r="O61" s="134"/>
      <c r="P61" s="135"/>
      <c r="Q61" s="135"/>
      <c r="R61" s="134"/>
      <c r="S61" s="134"/>
      <c r="T61" s="135"/>
      <c r="U61" s="135"/>
      <c r="V61" s="134"/>
    </row>
    <row r="62" spans="1:22" ht="15" hidden="1" customHeight="1" x14ac:dyDescent="0.25">
      <c r="A62" s="126" t="s">
        <v>407</v>
      </c>
      <c r="B62" s="127"/>
      <c r="C62" s="128"/>
      <c r="D62" s="129" t="s">
        <v>361</v>
      </c>
      <c r="E62" s="213" t="s">
        <v>408</v>
      </c>
      <c r="F62" s="125"/>
      <c r="G62" s="211" t="s">
        <v>276</v>
      </c>
      <c r="H62" s="130"/>
      <c r="I62" s="189"/>
      <c r="J62" s="131"/>
      <c r="K62" s="167"/>
      <c r="L62" s="132"/>
      <c r="M62" s="125"/>
      <c r="N62" s="133"/>
      <c r="O62" s="134"/>
      <c r="P62" s="135"/>
      <c r="Q62" s="135"/>
      <c r="R62" s="134"/>
      <c r="S62" s="134"/>
      <c r="T62" s="135"/>
      <c r="U62" s="135"/>
      <c r="V62" s="134"/>
    </row>
    <row r="63" spans="1:22" ht="15" hidden="1" customHeight="1" x14ac:dyDescent="0.25">
      <c r="A63" s="126" t="s">
        <v>409</v>
      </c>
      <c r="B63" s="127"/>
      <c r="C63" s="128"/>
      <c r="D63" s="129" t="s">
        <v>361</v>
      </c>
      <c r="E63" s="213" t="s">
        <v>410</v>
      </c>
      <c r="F63" s="125"/>
      <c r="G63" s="211" t="s">
        <v>276</v>
      </c>
      <c r="H63" s="130"/>
      <c r="I63" s="189"/>
      <c r="J63" s="131"/>
      <c r="K63" s="167"/>
      <c r="L63" s="132"/>
      <c r="M63" s="125"/>
      <c r="N63" s="133"/>
      <c r="O63" s="134"/>
      <c r="P63" s="135"/>
      <c r="Q63" s="135"/>
      <c r="R63" s="134"/>
      <c r="S63" s="134"/>
      <c r="T63" s="135"/>
      <c r="U63" s="135"/>
      <c r="V63" s="134"/>
    </row>
    <row r="64" spans="1:22" ht="15" customHeight="1" x14ac:dyDescent="0.25">
      <c r="A64" s="126" t="s">
        <v>411</v>
      </c>
      <c r="B64" s="127"/>
      <c r="C64" s="128"/>
      <c r="D64" s="129" t="s">
        <v>361</v>
      </c>
      <c r="E64" s="213" t="s">
        <v>412</v>
      </c>
      <c r="F64" s="125"/>
      <c r="G64" s="211" t="s">
        <v>361</v>
      </c>
      <c r="H64" s="130"/>
      <c r="I64" s="189" t="s">
        <v>44</v>
      </c>
      <c r="J64" s="131"/>
      <c r="K64" s="167"/>
      <c r="L64" s="132"/>
      <c r="M64" s="125"/>
      <c r="N64" s="133"/>
      <c r="O64" s="134"/>
      <c r="P64" s="135"/>
      <c r="Q64" s="135"/>
      <c r="R64" s="134"/>
      <c r="S64" s="134"/>
      <c r="T64" s="135"/>
      <c r="U64" s="135"/>
      <c r="V64" s="134"/>
    </row>
    <row r="65" spans="1:22" ht="15" hidden="1" customHeight="1" x14ac:dyDescent="0.25">
      <c r="A65" s="126" t="s">
        <v>413</v>
      </c>
      <c r="B65" s="127"/>
      <c r="C65" s="128"/>
      <c r="D65" s="129" t="s">
        <v>361</v>
      </c>
      <c r="E65" s="213" t="s">
        <v>414</v>
      </c>
      <c r="F65" s="125"/>
      <c r="G65" s="211" t="s">
        <v>276</v>
      </c>
      <c r="H65" s="130"/>
      <c r="I65" s="189"/>
      <c r="J65" s="131"/>
      <c r="K65" s="167"/>
      <c r="L65" s="132"/>
      <c r="M65" s="125"/>
      <c r="N65" s="133"/>
      <c r="O65" s="134"/>
      <c r="P65" s="135"/>
      <c r="Q65" s="135"/>
      <c r="R65" s="134"/>
      <c r="S65" s="134"/>
      <c r="T65" s="135"/>
      <c r="U65" s="135"/>
      <c r="V65" s="134"/>
    </row>
    <row r="66" spans="1:22" ht="15" hidden="1" customHeight="1" x14ac:dyDescent="0.25">
      <c r="A66" s="126" t="s">
        <v>415</v>
      </c>
      <c r="B66" s="127"/>
      <c r="C66" s="128"/>
      <c r="D66" s="129" t="s">
        <v>361</v>
      </c>
      <c r="E66" s="213" t="s">
        <v>416</v>
      </c>
      <c r="F66" s="125"/>
      <c r="G66" s="211" t="s">
        <v>276</v>
      </c>
      <c r="H66" s="130"/>
      <c r="I66" s="189"/>
      <c r="J66" s="131"/>
      <c r="K66" s="167"/>
      <c r="L66" s="132"/>
      <c r="M66" s="125"/>
      <c r="N66" s="133"/>
      <c r="O66" s="134"/>
      <c r="P66" s="135"/>
      <c r="Q66" s="135"/>
      <c r="R66" s="134"/>
      <c r="S66" s="134"/>
      <c r="T66" s="135"/>
      <c r="U66" s="135"/>
      <c r="V66" s="134"/>
    </row>
    <row r="67" spans="1:22" ht="15" customHeight="1" x14ac:dyDescent="0.25">
      <c r="A67" s="126" t="s">
        <v>417</v>
      </c>
      <c r="B67" s="127"/>
      <c r="C67" s="128"/>
      <c r="D67" s="129" t="s">
        <v>361</v>
      </c>
      <c r="E67" s="213" t="s">
        <v>418</v>
      </c>
      <c r="F67" s="125"/>
      <c r="G67" s="211" t="s">
        <v>361</v>
      </c>
      <c r="H67" s="130"/>
      <c r="I67" s="189" t="s">
        <v>44</v>
      </c>
      <c r="J67" s="131"/>
      <c r="K67" s="167"/>
      <c r="L67" s="132"/>
      <c r="M67" s="125"/>
      <c r="N67" s="133"/>
      <c r="O67" s="134"/>
      <c r="P67" s="135"/>
      <c r="Q67" s="135"/>
      <c r="R67" s="134"/>
      <c r="S67" s="134"/>
      <c r="T67" s="135"/>
      <c r="U67" s="135"/>
      <c r="V67" s="134"/>
    </row>
    <row r="68" spans="1:22" ht="15" hidden="1" customHeight="1" x14ac:dyDescent="0.25">
      <c r="A68" s="126" t="s">
        <v>419</v>
      </c>
      <c r="B68" s="127"/>
      <c r="C68" s="128"/>
      <c r="D68" s="129" t="s">
        <v>361</v>
      </c>
      <c r="E68" s="213" t="s">
        <v>420</v>
      </c>
      <c r="F68" s="125"/>
      <c r="G68" s="211" t="s">
        <v>276</v>
      </c>
      <c r="H68" s="130"/>
      <c r="I68" s="189"/>
      <c r="J68" s="131"/>
      <c r="K68" s="167"/>
      <c r="L68" s="132"/>
      <c r="M68" s="125"/>
      <c r="N68" s="133"/>
      <c r="O68" s="134"/>
      <c r="P68" s="135"/>
      <c r="Q68" s="135"/>
      <c r="R68" s="134"/>
      <c r="S68" s="134"/>
      <c r="T68" s="135"/>
      <c r="U68" s="135"/>
      <c r="V68" s="134"/>
    </row>
    <row r="69" spans="1:22" ht="15" hidden="1" customHeight="1" x14ac:dyDescent="0.25">
      <c r="A69" s="126" t="s">
        <v>421</v>
      </c>
      <c r="B69" s="127"/>
      <c r="C69" s="128"/>
      <c r="D69" s="129" t="s">
        <v>361</v>
      </c>
      <c r="E69" s="213" t="s">
        <v>422</v>
      </c>
      <c r="F69" s="125"/>
      <c r="G69" s="211" t="s">
        <v>276</v>
      </c>
      <c r="H69" s="130"/>
      <c r="I69" s="189"/>
      <c r="J69" s="131"/>
      <c r="K69" s="167"/>
      <c r="L69" s="132"/>
      <c r="M69" s="125"/>
      <c r="N69" s="133"/>
      <c r="O69" s="134"/>
      <c r="P69" s="135"/>
      <c r="Q69" s="135"/>
      <c r="R69" s="134"/>
      <c r="S69" s="134"/>
      <c r="T69" s="135"/>
      <c r="U69" s="135"/>
      <c r="V69" s="134"/>
    </row>
    <row r="70" spans="1:22" ht="15" customHeight="1" x14ac:dyDescent="0.25">
      <c r="A70" s="126" t="s">
        <v>423</v>
      </c>
      <c r="B70" s="127"/>
      <c r="C70" s="128"/>
      <c r="D70" s="129" t="s">
        <v>361</v>
      </c>
      <c r="E70" s="213" t="s">
        <v>424</v>
      </c>
      <c r="F70" s="125"/>
      <c r="G70" s="211" t="s">
        <v>361</v>
      </c>
      <c r="H70" s="130"/>
      <c r="I70" s="189" t="s">
        <v>44</v>
      </c>
      <c r="J70" s="131"/>
      <c r="K70" s="167"/>
      <c r="L70" s="132"/>
      <c r="M70" s="125"/>
      <c r="N70" s="133"/>
      <c r="O70" s="134"/>
      <c r="P70" s="135"/>
      <c r="Q70" s="135"/>
      <c r="R70" s="134"/>
      <c r="S70" s="134"/>
      <c r="T70" s="135"/>
      <c r="U70" s="135"/>
      <c r="V70" s="134"/>
    </row>
    <row r="71" spans="1:22" ht="15" hidden="1" customHeight="1" x14ac:dyDescent="0.25">
      <c r="A71" s="126" t="s">
        <v>425</v>
      </c>
      <c r="B71" s="127"/>
      <c r="C71" s="128"/>
      <c r="D71" s="129" t="s">
        <v>361</v>
      </c>
      <c r="E71" s="213" t="s">
        <v>426</v>
      </c>
      <c r="F71" s="125"/>
      <c r="G71" s="211" t="s">
        <v>276</v>
      </c>
      <c r="H71" s="130"/>
      <c r="I71" s="189"/>
      <c r="J71" s="131"/>
      <c r="K71" s="167"/>
      <c r="L71" s="132"/>
      <c r="M71" s="125"/>
      <c r="N71" s="133"/>
      <c r="O71" s="134"/>
      <c r="P71" s="135"/>
      <c r="Q71" s="135"/>
      <c r="R71" s="134"/>
      <c r="S71" s="134"/>
      <c r="T71" s="135"/>
      <c r="U71" s="135"/>
      <c r="V71" s="134"/>
    </row>
    <row r="72" spans="1:22" ht="15" hidden="1" customHeight="1" x14ac:dyDescent="0.25">
      <c r="A72" s="126" t="s">
        <v>427</v>
      </c>
      <c r="B72" s="127"/>
      <c r="C72" s="128"/>
      <c r="D72" s="129" t="s">
        <v>361</v>
      </c>
      <c r="E72" s="213" t="s">
        <v>428</v>
      </c>
      <c r="F72" s="125"/>
      <c r="G72" s="211" t="s">
        <v>276</v>
      </c>
      <c r="H72" s="130"/>
      <c r="I72" s="189"/>
      <c r="J72" s="131"/>
      <c r="K72" s="167"/>
      <c r="L72" s="132"/>
      <c r="M72" s="125"/>
      <c r="N72" s="133"/>
      <c r="O72" s="134"/>
      <c r="P72" s="135"/>
      <c r="Q72" s="135"/>
      <c r="R72" s="134"/>
      <c r="S72" s="134"/>
      <c r="T72" s="135"/>
      <c r="U72" s="135"/>
      <c r="V72" s="134"/>
    </row>
    <row r="73" spans="1:22" ht="15" customHeight="1" x14ac:dyDescent="0.25">
      <c r="A73" s="126" t="s">
        <v>429</v>
      </c>
      <c r="B73" s="127"/>
      <c r="C73" s="128"/>
      <c r="D73" s="129" t="s">
        <v>377</v>
      </c>
      <c r="E73" s="213" t="s">
        <v>430</v>
      </c>
      <c r="F73" s="125"/>
      <c r="G73" s="211" t="s">
        <v>377</v>
      </c>
      <c r="H73" s="130"/>
      <c r="I73" s="189" t="s">
        <v>44</v>
      </c>
      <c r="J73" s="131"/>
      <c r="K73" s="167"/>
      <c r="L73" s="132"/>
      <c r="M73" s="125"/>
      <c r="N73" s="133"/>
      <c r="O73" s="134"/>
      <c r="P73" s="135"/>
      <c r="Q73" s="135"/>
      <c r="R73" s="134"/>
      <c r="S73" s="134"/>
      <c r="T73" s="135"/>
      <c r="U73" s="135"/>
      <c r="V73" s="134"/>
    </row>
    <row r="74" spans="1:22" ht="15" hidden="1" customHeight="1" x14ac:dyDescent="0.25">
      <c r="A74" s="126" t="s">
        <v>431</v>
      </c>
      <c r="B74" s="127"/>
      <c r="C74" s="128"/>
      <c r="D74" s="129" t="s">
        <v>377</v>
      </c>
      <c r="E74" s="213" t="s">
        <v>432</v>
      </c>
      <c r="F74" s="125"/>
      <c r="G74" s="211" t="s">
        <v>276</v>
      </c>
      <c r="H74" s="130"/>
      <c r="I74" s="189"/>
      <c r="J74" s="131"/>
      <c r="K74" s="167"/>
      <c r="L74" s="132"/>
      <c r="M74" s="125"/>
      <c r="N74" s="133"/>
      <c r="O74" s="134"/>
      <c r="P74" s="135"/>
      <c r="Q74" s="135"/>
      <c r="R74" s="134"/>
      <c r="S74" s="134"/>
      <c r="T74" s="135"/>
      <c r="U74" s="135"/>
      <c r="V74" s="134"/>
    </row>
    <row r="75" spans="1:22" ht="15" hidden="1" customHeight="1" x14ac:dyDescent="0.25">
      <c r="A75" s="126" t="s">
        <v>433</v>
      </c>
      <c r="B75" s="127"/>
      <c r="C75" s="128"/>
      <c r="D75" s="129" t="s">
        <v>377</v>
      </c>
      <c r="E75" s="213" t="s">
        <v>434</v>
      </c>
      <c r="F75" s="125"/>
      <c r="G75" s="211" t="s">
        <v>276</v>
      </c>
      <c r="H75" s="130"/>
      <c r="I75" s="189"/>
      <c r="J75" s="131"/>
      <c r="K75" s="167"/>
      <c r="L75" s="132"/>
      <c r="M75" s="125"/>
      <c r="N75" s="133"/>
      <c r="O75" s="134"/>
      <c r="P75" s="135"/>
      <c r="Q75" s="135"/>
      <c r="R75" s="134"/>
      <c r="S75" s="134"/>
      <c r="T75" s="135"/>
      <c r="U75" s="135"/>
      <c r="V75" s="134"/>
    </row>
    <row r="76" spans="1:22" ht="15" customHeight="1" x14ac:dyDescent="0.25">
      <c r="A76" s="126" t="s">
        <v>435</v>
      </c>
      <c r="B76" s="127"/>
      <c r="C76" s="128"/>
      <c r="D76" s="129" t="s">
        <v>361</v>
      </c>
      <c r="E76" s="213" t="s">
        <v>436</v>
      </c>
      <c r="F76" s="125"/>
      <c r="G76" s="211" t="s">
        <v>361</v>
      </c>
      <c r="H76" s="130"/>
      <c r="I76" s="189" t="s">
        <v>44</v>
      </c>
      <c r="J76" s="131"/>
      <c r="K76" s="167"/>
      <c r="L76" s="132"/>
      <c r="M76" s="125"/>
      <c r="N76" s="133"/>
      <c r="O76" s="134"/>
      <c r="P76" s="135"/>
      <c r="Q76" s="135"/>
      <c r="R76" s="134"/>
      <c r="S76" s="134"/>
      <c r="T76" s="135"/>
      <c r="U76" s="135"/>
      <c r="V76" s="134"/>
    </row>
    <row r="77" spans="1:22" ht="15" hidden="1" customHeight="1" x14ac:dyDescent="0.25">
      <c r="A77" s="126" t="s">
        <v>437</v>
      </c>
      <c r="B77" s="127"/>
      <c r="C77" s="128"/>
      <c r="D77" s="129" t="s">
        <v>361</v>
      </c>
      <c r="E77" s="213" t="s">
        <v>438</v>
      </c>
      <c r="F77" s="125"/>
      <c r="G77" s="211" t="s">
        <v>276</v>
      </c>
      <c r="H77" s="130"/>
      <c r="I77" s="189"/>
      <c r="J77" s="131"/>
      <c r="K77" s="167"/>
      <c r="L77" s="132"/>
      <c r="M77" s="125"/>
      <c r="N77" s="133"/>
      <c r="O77" s="134"/>
      <c r="P77" s="135"/>
      <c r="Q77" s="135"/>
      <c r="R77" s="134"/>
      <c r="S77" s="134"/>
      <c r="T77" s="135"/>
      <c r="U77" s="135"/>
      <c r="V77" s="134"/>
    </row>
    <row r="78" spans="1:22" ht="15" hidden="1" customHeight="1" x14ac:dyDescent="0.25">
      <c r="A78" s="126" t="s">
        <v>439</v>
      </c>
      <c r="B78" s="127"/>
      <c r="C78" s="128"/>
      <c r="D78" s="129" t="s">
        <v>361</v>
      </c>
      <c r="E78" s="213" t="s">
        <v>440</v>
      </c>
      <c r="F78" s="125"/>
      <c r="G78" s="211" t="s">
        <v>276</v>
      </c>
      <c r="H78" s="130"/>
      <c r="I78" s="189"/>
      <c r="J78" s="131"/>
      <c r="K78" s="167"/>
      <c r="L78" s="132"/>
      <c r="M78" s="125"/>
      <c r="N78" s="133"/>
      <c r="O78" s="134"/>
      <c r="P78" s="135"/>
      <c r="Q78" s="135"/>
      <c r="R78" s="134"/>
      <c r="S78" s="134"/>
      <c r="T78" s="135"/>
      <c r="U78" s="135"/>
      <c r="V78" s="134"/>
    </row>
    <row r="79" spans="1:22" ht="15" customHeight="1" x14ac:dyDescent="0.25">
      <c r="A79" s="126" t="s">
        <v>441</v>
      </c>
      <c r="B79" s="127"/>
      <c r="C79" s="128"/>
      <c r="D79" s="129" t="s">
        <v>361</v>
      </c>
      <c r="E79" s="213" t="s">
        <v>442</v>
      </c>
      <c r="F79" s="125"/>
      <c r="G79" s="211" t="s">
        <v>361</v>
      </c>
      <c r="H79" s="130"/>
      <c r="I79" s="189" t="s">
        <v>44</v>
      </c>
      <c r="J79" s="131"/>
      <c r="K79" s="167"/>
      <c r="L79" s="132"/>
      <c r="M79" s="125"/>
      <c r="N79" s="133"/>
      <c r="O79" s="134"/>
      <c r="P79" s="135"/>
      <c r="Q79" s="135"/>
      <c r="R79" s="134"/>
      <c r="S79" s="134"/>
      <c r="T79" s="135"/>
      <c r="U79" s="135"/>
      <c r="V79" s="134"/>
    </row>
    <row r="80" spans="1:22" ht="15" hidden="1" customHeight="1" x14ac:dyDescent="0.25">
      <c r="A80" s="126" t="s">
        <v>443</v>
      </c>
      <c r="B80" s="127"/>
      <c r="C80" s="128"/>
      <c r="D80" s="129" t="s">
        <v>361</v>
      </c>
      <c r="E80" s="213" t="s">
        <v>444</v>
      </c>
      <c r="F80" s="125"/>
      <c r="G80" s="211" t="s">
        <v>276</v>
      </c>
      <c r="H80" s="130"/>
      <c r="I80" s="189"/>
      <c r="J80" s="131"/>
      <c r="K80" s="167"/>
      <c r="L80" s="132"/>
      <c r="M80" s="125"/>
      <c r="N80" s="133"/>
      <c r="O80" s="134"/>
      <c r="P80" s="135"/>
      <c r="Q80" s="135"/>
      <c r="R80" s="134"/>
      <c r="S80" s="134"/>
      <c r="T80" s="135"/>
      <c r="U80" s="135"/>
      <c r="V80" s="134"/>
    </row>
    <row r="81" spans="1:22" ht="15" hidden="1" customHeight="1" x14ac:dyDescent="0.25">
      <c r="A81" s="126" t="s">
        <v>445</v>
      </c>
      <c r="B81" s="127"/>
      <c r="C81" s="128"/>
      <c r="D81" s="129" t="s">
        <v>361</v>
      </c>
      <c r="E81" s="213" t="s">
        <v>446</v>
      </c>
      <c r="F81" s="125"/>
      <c r="G81" s="211" t="s">
        <v>276</v>
      </c>
      <c r="H81" s="130"/>
      <c r="I81" s="189"/>
      <c r="J81" s="131"/>
      <c r="K81" s="167"/>
      <c r="L81" s="132"/>
      <c r="M81" s="125"/>
      <c r="N81" s="133"/>
      <c r="O81" s="134"/>
      <c r="P81" s="135"/>
      <c r="Q81" s="135"/>
      <c r="R81" s="134"/>
      <c r="S81" s="134"/>
      <c r="T81" s="135"/>
      <c r="U81" s="135"/>
      <c r="V81" s="134"/>
    </row>
    <row r="82" spans="1:22" ht="15" hidden="1" customHeight="1" x14ac:dyDescent="0.25">
      <c r="A82" s="126" t="s">
        <v>447</v>
      </c>
      <c r="B82" s="127"/>
      <c r="C82" s="128"/>
      <c r="D82" s="129" t="s">
        <v>361</v>
      </c>
      <c r="E82" s="213" t="s">
        <v>448</v>
      </c>
      <c r="F82" s="125"/>
      <c r="G82" s="211" t="s">
        <v>276</v>
      </c>
      <c r="H82" s="130"/>
      <c r="I82" s="189"/>
      <c r="J82" s="131"/>
      <c r="K82" s="167"/>
      <c r="L82" s="132"/>
      <c r="M82" s="125"/>
      <c r="N82" s="133"/>
      <c r="O82" s="134"/>
      <c r="P82" s="135"/>
      <c r="Q82" s="135"/>
      <c r="R82" s="134"/>
      <c r="S82" s="134"/>
      <c r="T82" s="135"/>
      <c r="U82" s="135"/>
      <c r="V82" s="134"/>
    </row>
    <row r="83" spans="1:22" ht="15" hidden="1" customHeight="1" x14ac:dyDescent="0.25">
      <c r="A83" s="126" t="s">
        <v>449</v>
      </c>
      <c r="B83" s="127"/>
      <c r="C83" s="128"/>
      <c r="D83" s="129" t="s">
        <v>361</v>
      </c>
      <c r="E83" s="213" t="s">
        <v>450</v>
      </c>
      <c r="F83" s="125"/>
      <c r="G83" s="211" t="s">
        <v>276</v>
      </c>
      <c r="H83" s="130"/>
      <c r="I83" s="189"/>
      <c r="J83" s="131"/>
      <c r="K83" s="167"/>
      <c r="L83" s="132"/>
      <c r="M83" s="125"/>
      <c r="N83" s="133"/>
      <c r="O83" s="134"/>
      <c r="P83" s="135"/>
      <c r="Q83" s="135"/>
      <c r="R83" s="134"/>
      <c r="S83" s="134"/>
      <c r="T83" s="135"/>
      <c r="U83" s="135"/>
      <c r="V83" s="134"/>
    </row>
    <row r="84" spans="1:22" ht="15" hidden="1" customHeight="1" x14ac:dyDescent="0.25">
      <c r="A84" s="126" t="s">
        <v>451</v>
      </c>
      <c r="B84" s="127"/>
      <c r="C84" s="128"/>
      <c r="D84" s="129" t="s">
        <v>361</v>
      </c>
      <c r="E84" s="213" t="s">
        <v>452</v>
      </c>
      <c r="F84" s="125"/>
      <c r="G84" s="211" t="s">
        <v>276</v>
      </c>
      <c r="H84" s="130"/>
      <c r="I84" s="189"/>
      <c r="J84" s="131"/>
      <c r="K84" s="167"/>
      <c r="L84" s="132"/>
      <c r="M84" s="125"/>
      <c r="N84" s="133"/>
      <c r="O84" s="134"/>
      <c r="P84" s="135"/>
      <c r="Q84" s="135"/>
      <c r="R84" s="134"/>
      <c r="S84" s="134"/>
      <c r="T84" s="135"/>
      <c r="U84" s="135"/>
      <c r="V84" s="134"/>
    </row>
    <row r="85" spans="1:22" ht="15" hidden="1" customHeight="1" x14ac:dyDescent="0.25">
      <c r="A85" s="126" t="s">
        <v>453</v>
      </c>
      <c r="B85" s="127"/>
      <c r="C85" s="128"/>
      <c r="D85" s="129" t="s">
        <v>377</v>
      </c>
      <c r="E85" s="213" t="s">
        <v>454</v>
      </c>
      <c r="F85" s="125"/>
      <c r="G85" s="211" t="s">
        <v>276</v>
      </c>
      <c r="H85" s="130"/>
      <c r="I85" s="189"/>
      <c r="J85" s="131"/>
      <c r="K85" s="167"/>
      <c r="L85" s="132"/>
      <c r="M85" s="125"/>
      <c r="N85" s="133"/>
      <c r="O85" s="134"/>
      <c r="P85" s="135"/>
      <c r="Q85" s="135"/>
      <c r="R85" s="134"/>
      <c r="S85" s="134"/>
      <c r="T85" s="135"/>
      <c r="U85" s="135"/>
      <c r="V85" s="134"/>
    </row>
    <row r="86" spans="1:22" ht="15" customHeight="1" x14ac:dyDescent="0.25">
      <c r="A86" s="126" t="s">
        <v>455</v>
      </c>
      <c r="B86" s="127"/>
      <c r="C86" s="128"/>
      <c r="D86" s="129" t="s">
        <v>377</v>
      </c>
      <c r="E86" s="213" t="s">
        <v>456</v>
      </c>
      <c r="F86" s="125"/>
      <c r="G86" s="211" t="s">
        <v>377</v>
      </c>
      <c r="H86" s="130"/>
      <c r="I86" s="189" t="s">
        <v>44</v>
      </c>
      <c r="J86" s="131"/>
      <c r="K86" s="167"/>
      <c r="L86" s="132"/>
      <c r="M86" s="125"/>
      <c r="N86" s="133"/>
      <c r="O86" s="134"/>
      <c r="P86" s="135"/>
      <c r="Q86" s="135"/>
      <c r="R86" s="134"/>
      <c r="S86" s="134"/>
      <c r="T86" s="135"/>
      <c r="U86" s="135"/>
      <c r="V86" s="134"/>
    </row>
    <row r="87" spans="1:22" ht="15" hidden="1" customHeight="1" x14ac:dyDescent="0.25">
      <c r="A87" s="126" t="s">
        <v>457</v>
      </c>
      <c r="B87" s="127"/>
      <c r="C87" s="128"/>
      <c r="D87" s="129" t="s">
        <v>377</v>
      </c>
      <c r="E87" s="213" t="s">
        <v>458</v>
      </c>
      <c r="F87" s="125"/>
      <c r="G87" s="211" t="s">
        <v>276</v>
      </c>
      <c r="H87" s="130"/>
      <c r="I87" s="189"/>
      <c r="J87" s="131"/>
      <c r="K87" s="167"/>
      <c r="L87" s="132"/>
      <c r="M87" s="125"/>
      <c r="N87" s="133"/>
      <c r="O87" s="134"/>
      <c r="P87" s="135"/>
      <c r="Q87" s="135"/>
      <c r="R87" s="134"/>
      <c r="S87" s="134"/>
      <c r="T87" s="135"/>
      <c r="U87" s="135"/>
      <c r="V87" s="134"/>
    </row>
    <row r="88" spans="1:22" ht="15" hidden="1" customHeight="1" x14ac:dyDescent="0.25">
      <c r="A88" s="126" t="s">
        <v>459</v>
      </c>
      <c r="B88" s="127"/>
      <c r="C88" s="128"/>
      <c r="D88" s="129" t="s">
        <v>377</v>
      </c>
      <c r="E88" s="213" t="s">
        <v>460</v>
      </c>
      <c r="F88" s="125"/>
      <c r="G88" s="211" t="s">
        <v>276</v>
      </c>
      <c r="H88" s="130"/>
      <c r="I88" s="189"/>
      <c r="J88" s="131"/>
      <c r="K88" s="167"/>
      <c r="L88" s="132"/>
      <c r="M88" s="125"/>
      <c r="N88" s="133"/>
      <c r="O88" s="134"/>
      <c r="P88" s="135"/>
      <c r="Q88" s="135"/>
      <c r="R88" s="134"/>
      <c r="S88" s="134"/>
      <c r="T88" s="135"/>
      <c r="U88" s="135"/>
      <c r="V88" s="134"/>
    </row>
    <row r="89" spans="1:22" ht="15" customHeight="1" x14ac:dyDescent="0.25">
      <c r="A89" s="126" t="s">
        <v>461</v>
      </c>
      <c r="B89" s="127"/>
      <c r="C89" s="128"/>
      <c r="D89" s="129" t="s">
        <v>377</v>
      </c>
      <c r="E89" s="213" t="s">
        <v>462</v>
      </c>
      <c r="F89" s="125"/>
      <c r="G89" s="211" t="s">
        <v>377</v>
      </c>
      <c r="H89" s="130"/>
      <c r="I89" s="189" t="s">
        <v>44</v>
      </c>
      <c r="J89" s="131"/>
      <c r="K89" s="167"/>
      <c r="L89" s="132"/>
      <c r="M89" s="125"/>
      <c r="N89" s="133"/>
      <c r="O89" s="134"/>
      <c r="P89" s="135"/>
      <c r="Q89" s="135"/>
      <c r="R89" s="134"/>
      <c r="S89" s="134"/>
      <c r="T89" s="135"/>
      <c r="U89" s="135"/>
      <c r="V89" s="134"/>
    </row>
    <row r="90" spans="1:22" ht="15" hidden="1" customHeight="1" x14ac:dyDescent="0.25">
      <c r="A90" s="126" t="s">
        <v>463</v>
      </c>
      <c r="B90" s="127"/>
      <c r="C90" s="128"/>
      <c r="D90" s="129" t="s">
        <v>377</v>
      </c>
      <c r="E90" s="213" t="s">
        <v>464</v>
      </c>
      <c r="F90" s="125"/>
      <c r="G90" s="211" t="s">
        <v>276</v>
      </c>
      <c r="H90" s="130"/>
      <c r="I90" s="189"/>
      <c r="J90" s="131"/>
      <c r="K90" s="167"/>
      <c r="L90" s="132"/>
      <c r="M90" s="125"/>
      <c r="N90" s="133"/>
      <c r="O90" s="134"/>
      <c r="P90" s="135"/>
      <c r="Q90" s="135"/>
      <c r="R90" s="134"/>
      <c r="S90" s="134"/>
      <c r="T90" s="135"/>
      <c r="U90" s="135"/>
      <c r="V90" s="134"/>
    </row>
    <row r="91" spans="1:22" ht="15" hidden="1" customHeight="1" x14ac:dyDescent="0.25">
      <c r="A91" s="126" t="s">
        <v>465</v>
      </c>
      <c r="B91" s="127"/>
      <c r="C91" s="128"/>
      <c r="D91" s="129" t="s">
        <v>377</v>
      </c>
      <c r="E91" s="213" t="s">
        <v>466</v>
      </c>
      <c r="F91" s="125"/>
      <c r="G91" s="211" t="s">
        <v>276</v>
      </c>
      <c r="H91" s="130"/>
      <c r="I91" s="189"/>
      <c r="J91" s="131"/>
      <c r="K91" s="167"/>
      <c r="L91" s="132"/>
      <c r="M91" s="125"/>
      <c r="N91" s="133"/>
      <c r="O91" s="134"/>
      <c r="P91" s="135"/>
      <c r="Q91" s="135"/>
      <c r="R91" s="134"/>
      <c r="S91" s="134"/>
      <c r="T91" s="135"/>
      <c r="U91" s="135"/>
      <c r="V91" s="134"/>
    </row>
    <row r="92" spans="1:22" ht="15" hidden="1" customHeight="1" x14ac:dyDescent="0.25">
      <c r="A92" s="126" t="s">
        <v>467</v>
      </c>
      <c r="B92" s="127"/>
      <c r="C92" s="128"/>
      <c r="D92" s="129" t="s">
        <v>369</v>
      </c>
      <c r="E92" s="213" t="s">
        <v>468</v>
      </c>
      <c r="F92" s="125"/>
      <c r="G92" s="211" t="s">
        <v>276</v>
      </c>
      <c r="H92" s="130"/>
      <c r="I92" s="189"/>
      <c r="J92" s="131"/>
      <c r="K92" s="167"/>
      <c r="L92" s="132"/>
      <c r="M92" s="125"/>
      <c r="N92" s="133"/>
      <c r="O92" s="134"/>
      <c r="P92" s="135"/>
      <c r="Q92" s="135"/>
      <c r="R92" s="134"/>
      <c r="S92" s="134"/>
      <c r="T92" s="135"/>
      <c r="U92" s="135"/>
      <c r="V92" s="134"/>
    </row>
    <row r="93" spans="1:22" ht="15" hidden="1" customHeight="1" x14ac:dyDescent="0.25">
      <c r="A93" s="126" t="s">
        <v>469</v>
      </c>
      <c r="B93" s="127"/>
      <c r="C93" s="128"/>
      <c r="D93" s="129" t="s">
        <v>369</v>
      </c>
      <c r="E93" s="213" t="s">
        <v>470</v>
      </c>
      <c r="F93" s="125"/>
      <c r="G93" s="211" t="s">
        <v>276</v>
      </c>
      <c r="H93" s="130"/>
      <c r="I93" s="189"/>
      <c r="J93" s="131"/>
      <c r="K93" s="167"/>
      <c r="L93" s="132"/>
      <c r="M93" s="125"/>
      <c r="N93" s="133"/>
      <c r="O93" s="134"/>
      <c r="P93" s="135"/>
      <c r="Q93" s="135"/>
      <c r="R93" s="134"/>
      <c r="S93" s="134"/>
      <c r="T93" s="135"/>
      <c r="U93" s="135"/>
      <c r="V93" s="134"/>
    </row>
    <row r="94" spans="1:22" ht="15" hidden="1" customHeight="1" x14ac:dyDescent="0.25">
      <c r="A94" s="126" t="s">
        <v>471</v>
      </c>
      <c r="B94" s="127"/>
      <c r="C94" s="128"/>
      <c r="D94" s="129" t="s">
        <v>361</v>
      </c>
      <c r="E94" s="213" t="s">
        <v>472</v>
      </c>
      <c r="F94" s="125"/>
      <c r="G94" s="211" t="s">
        <v>276</v>
      </c>
      <c r="H94" s="130"/>
      <c r="I94" s="189"/>
      <c r="J94" s="131"/>
      <c r="K94" s="167"/>
      <c r="L94" s="132"/>
      <c r="M94" s="125"/>
      <c r="N94" s="133"/>
      <c r="O94" s="134"/>
      <c r="P94" s="135"/>
      <c r="Q94" s="135"/>
      <c r="R94" s="134"/>
      <c r="S94" s="134"/>
      <c r="T94" s="135"/>
      <c r="U94" s="135"/>
      <c r="V94" s="134"/>
    </row>
    <row r="95" spans="1:22" ht="15" hidden="1" customHeight="1" x14ac:dyDescent="0.25">
      <c r="A95" s="126" t="s">
        <v>473</v>
      </c>
      <c r="B95" s="127"/>
      <c r="C95" s="128"/>
      <c r="D95" s="129" t="s">
        <v>361</v>
      </c>
      <c r="E95" s="213" t="s">
        <v>474</v>
      </c>
      <c r="F95" s="125"/>
      <c r="G95" s="211" t="s">
        <v>276</v>
      </c>
      <c r="H95" s="130"/>
      <c r="I95" s="189"/>
      <c r="J95" s="131"/>
      <c r="K95" s="167"/>
      <c r="L95" s="132"/>
      <c r="M95" s="125"/>
      <c r="N95" s="133"/>
      <c r="O95" s="134"/>
      <c r="P95" s="135"/>
      <c r="Q95" s="135"/>
      <c r="R95" s="134"/>
      <c r="S95" s="134"/>
      <c r="T95" s="135"/>
      <c r="U95" s="135"/>
      <c r="V95" s="134"/>
    </row>
    <row r="96" spans="1:22" ht="15" hidden="1" customHeight="1" x14ac:dyDescent="0.25">
      <c r="A96" s="126" t="s">
        <v>475</v>
      </c>
      <c r="B96" s="127"/>
      <c r="C96" s="128"/>
      <c r="D96" s="129" t="s">
        <v>361</v>
      </c>
      <c r="E96" s="213" t="s">
        <v>476</v>
      </c>
      <c r="F96" s="125"/>
      <c r="G96" s="211" t="s">
        <v>276</v>
      </c>
      <c r="H96" s="130"/>
      <c r="I96" s="189"/>
      <c r="J96" s="131"/>
      <c r="K96" s="167"/>
      <c r="L96" s="132"/>
      <c r="M96" s="125"/>
      <c r="N96" s="133"/>
      <c r="O96" s="134"/>
      <c r="P96" s="135"/>
      <c r="Q96" s="135"/>
      <c r="R96" s="134"/>
      <c r="S96" s="134"/>
      <c r="T96" s="135"/>
      <c r="U96" s="135"/>
      <c r="V96" s="134"/>
    </row>
    <row r="97" spans="1:22" ht="15" hidden="1" customHeight="1" x14ac:dyDescent="0.25">
      <c r="A97" s="126" t="s">
        <v>477</v>
      </c>
      <c r="B97" s="127"/>
      <c r="C97" s="128"/>
      <c r="D97" s="129" t="s">
        <v>369</v>
      </c>
      <c r="E97" s="213" t="s">
        <v>478</v>
      </c>
      <c r="F97" s="125"/>
      <c r="G97" s="211" t="s">
        <v>276</v>
      </c>
      <c r="H97" s="130"/>
      <c r="I97" s="189"/>
      <c r="J97" s="131"/>
      <c r="K97" s="167"/>
      <c r="L97" s="132"/>
      <c r="M97" s="125"/>
      <c r="N97" s="133"/>
      <c r="O97" s="134"/>
      <c r="P97" s="135"/>
      <c r="Q97" s="135"/>
      <c r="R97" s="134"/>
      <c r="S97" s="134"/>
      <c r="T97" s="135"/>
      <c r="U97" s="135"/>
      <c r="V97" s="134"/>
    </row>
    <row r="98" spans="1:22" ht="15" hidden="1" customHeight="1" x14ac:dyDescent="0.25">
      <c r="A98" s="126" t="s">
        <v>479</v>
      </c>
      <c r="B98" s="127"/>
      <c r="C98" s="128"/>
      <c r="D98" s="129" t="s">
        <v>361</v>
      </c>
      <c r="E98" s="213" t="s">
        <v>480</v>
      </c>
      <c r="F98" s="125"/>
      <c r="G98" s="211" t="s">
        <v>276</v>
      </c>
      <c r="H98" s="130"/>
      <c r="I98" s="189"/>
      <c r="J98" s="131"/>
      <c r="K98" s="167"/>
      <c r="L98" s="132"/>
      <c r="M98" s="125"/>
      <c r="N98" s="133"/>
      <c r="O98" s="134"/>
      <c r="P98" s="135"/>
      <c r="Q98" s="135"/>
      <c r="R98" s="134"/>
      <c r="S98" s="134"/>
      <c r="T98" s="135"/>
      <c r="U98" s="135"/>
      <c r="V98" s="134"/>
    </row>
    <row r="99" spans="1:22" ht="15" hidden="1" customHeight="1" x14ac:dyDescent="0.25">
      <c r="A99" s="126" t="s">
        <v>481</v>
      </c>
      <c r="B99" s="127"/>
      <c r="C99" s="128"/>
      <c r="D99" s="129" t="s">
        <v>358</v>
      </c>
      <c r="E99" s="213" t="s">
        <v>482</v>
      </c>
      <c r="F99" s="125"/>
      <c r="G99" s="211" t="s">
        <v>276</v>
      </c>
      <c r="H99" s="130"/>
      <c r="I99" s="189"/>
      <c r="J99" s="131"/>
      <c r="K99" s="167"/>
      <c r="L99" s="132"/>
      <c r="M99" s="125"/>
      <c r="N99" s="133"/>
      <c r="O99" s="134"/>
      <c r="P99" s="135"/>
      <c r="Q99" s="135"/>
      <c r="R99" s="134"/>
      <c r="S99" s="134"/>
      <c r="T99" s="135"/>
      <c r="U99" s="135"/>
      <c r="V99" s="134"/>
    </row>
    <row r="100" spans="1:22" ht="15" hidden="1" customHeight="1" x14ac:dyDescent="0.25">
      <c r="A100" s="126" t="s">
        <v>483</v>
      </c>
      <c r="B100" s="127"/>
      <c r="C100" s="128"/>
      <c r="D100" s="129" t="s">
        <v>361</v>
      </c>
      <c r="E100" s="213" t="s">
        <v>484</v>
      </c>
      <c r="F100" s="125"/>
      <c r="G100" s="211" t="s">
        <v>276</v>
      </c>
      <c r="H100" s="130"/>
      <c r="I100" s="189"/>
      <c r="J100" s="131"/>
      <c r="K100" s="167"/>
      <c r="L100" s="132"/>
      <c r="M100" s="125"/>
      <c r="N100" s="133"/>
      <c r="O100" s="134"/>
      <c r="P100" s="135"/>
      <c r="Q100" s="135"/>
      <c r="R100" s="134"/>
      <c r="S100" s="134"/>
      <c r="T100" s="135"/>
      <c r="U100" s="135"/>
      <c r="V100" s="134"/>
    </row>
    <row r="101" spans="1:22" ht="15" hidden="1" customHeight="1" x14ac:dyDescent="0.25">
      <c r="A101" s="126" t="s">
        <v>485</v>
      </c>
      <c r="B101" s="127"/>
      <c r="C101" s="128"/>
      <c r="D101" s="129" t="s">
        <v>361</v>
      </c>
      <c r="E101" s="213" t="s">
        <v>486</v>
      </c>
      <c r="F101" s="125"/>
      <c r="G101" s="211" t="s">
        <v>276</v>
      </c>
      <c r="H101" s="130"/>
      <c r="I101" s="189"/>
      <c r="J101" s="131"/>
      <c r="K101" s="167"/>
      <c r="L101" s="132"/>
      <c r="M101" s="125"/>
      <c r="N101" s="133"/>
      <c r="O101" s="134"/>
      <c r="P101" s="135"/>
      <c r="Q101" s="135"/>
      <c r="R101" s="134"/>
      <c r="S101" s="134"/>
      <c r="T101" s="135"/>
      <c r="U101" s="135"/>
      <c r="V101" s="134"/>
    </row>
    <row r="102" spans="1:22" ht="15" hidden="1" customHeight="1" x14ac:dyDescent="0.25">
      <c r="A102" s="126" t="s">
        <v>487</v>
      </c>
      <c r="B102" s="127"/>
      <c r="C102" s="128"/>
      <c r="D102" s="129" t="s">
        <v>361</v>
      </c>
      <c r="E102" s="213" t="s">
        <v>488</v>
      </c>
      <c r="F102" s="125"/>
      <c r="G102" s="211" t="s">
        <v>276</v>
      </c>
      <c r="H102" s="130"/>
      <c r="I102" s="189"/>
      <c r="J102" s="131"/>
      <c r="K102" s="167"/>
      <c r="L102" s="132"/>
      <c r="M102" s="125"/>
      <c r="N102" s="133"/>
      <c r="O102" s="134"/>
      <c r="P102" s="135"/>
      <c r="Q102" s="135"/>
      <c r="R102" s="134"/>
      <c r="S102" s="134"/>
      <c r="T102" s="135"/>
      <c r="U102" s="135"/>
      <c r="V102" s="134"/>
    </row>
    <row r="103" spans="1:22" ht="15" hidden="1" customHeight="1" x14ac:dyDescent="0.25">
      <c r="A103" s="126" t="s">
        <v>489</v>
      </c>
      <c r="B103" s="127"/>
      <c r="C103" s="128"/>
      <c r="D103" s="129" t="s">
        <v>361</v>
      </c>
      <c r="E103" s="213" t="s">
        <v>490</v>
      </c>
      <c r="F103" s="125"/>
      <c r="G103" s="211" t="s">
        <v>276</v>
      </c>
      <c r="H103" s="130"/>
      <c r="I103" s="189"/>
      <c r="J103" s="131"/>
      <c r="K103" s="167"/>
      <c r="L103" s="132"/>
      <c r="M103" s="125"/>
      <c r="N103" s="133"/>
      <c r="O103" s="134"/>
      <c r="P103" s="135"/>
      <c r="Q103" s="135"/>
      <c r="R103" s="134"/>
      <c r="S103" s="134"/>
      <c r="T103" s="135"/>
      <c r="U103" s="135"/>
      <c r="V103" s="134"/>
    </row>
    <row r="104" spans="1:22" ht="15" hidden="1" customHeight="1" x14ac:dyDescent="0.25">
      <c r="A104" s="126" t="s">
        <v>491</v>
      </c>
      <c r="B104" s="127"/>
      <c r="C104" s="128"/>
      <c r="D104" s="129" t="s">
        <v>361</v>
      </c>
      <c r="E104" s="213" t="s">
        <v>492</v>
      </c>
      <c r="F104" s="125"/>
      <c r="G104" s="211" t="s">
        <v>276</v>
      </c>
      <c r="H104" s="130"/>
      <c r="I104" s="189"/>
      <c r="J104" s="131"/>
      <c r="K104" s="167"/>
      <c r="L104" s="132"/>
      <c r="M104" s="125"/>
      <c r="N104" s="133"/>
      <c r="O104" s="134"/>
      <c r="P104" s="135"/>
      <c r="Q104" s="135"/>
      <c r="R104" s="134"/>
      <c r="S104" s="134"/>
      <c r="T104" s="135"/>
      <c r="U104" s="135"/>
      <c r="V104" s="134"/>
    </row>
    <row r="105" spans="1:22" ht="15" hidden="1" customHeight="1" x14ac:dyDescent="0.25">
      <c r="A105" s="126" t="s">
        <v>493</v>
      </c>
      <c r="B105" s="127"/>
      <c r="C105" s="128"/>
      <c r="D105" s="129" t="s">
        <v>361</v>
      </c>
      <c r="E105" s="213" t="s">
        <v>494</v>
      </c>
      <c r="F105" s="125"/>
      <c r="G105" s="211" t="s">
        <v>276</v>
      </c>
      <c r="H105" s="130"/>
      <c r="I105" s="189"/>
      <c r="J105" s="131"/>
      <c r="K105" s="167"/>
      <c r="L105" s="132"/>
      <c r="M105" s="125"/>
      <c r="N105" s="133"/>
      <c r="O105" s="134"/>
      <c r="P105" s="135"/>
      <c r="Q105" s="135"/>
      <c r="R105" s="134"/>
      <c r="S105" s="134"/>
      <c r="T105" s="135"/>
      <c r="U105" s="135"/>
      <c r="V105" s="134"/>
    </row>
    <row r="106" spans="1:22" ht="15" hidden="1" customHeight="1" x14ac:dyDescent="0.25">
      <c r="A106" s="126" t="s">
        <v>495</v>
      </c>
      <c r="B106" s="127"/>
      <c r="C106" s="128"/>
      <c r="D106" s="129" t="s">
        <v>361</v>
      </c>
      <c r="E106" s="213" t="s">
        <v>496</v>
      </c>
      <c r="F106" s="125"/>
      <c r="G106" s="211" t="s">
        <v>276</v>
      </c>
      <c r="H106" s="130"/>
      <c r="I106" s="189"/>
      <c r="J106" s="131"/>
      <c r="K106" s="167"/>
      <c r="L106" s="132"/>
      <c r="M106" s="125"/>
      <c r="N106" s="133"/>
      <c r="O106" s="134"/>
      <c r="P106" s="135"/>
      <c r="Q106" s="135"/>
      <c r="R106" s="134"/>
      <c r="S106" s="134"/>
      <c r="T106" s="135"/>
      <c r="U106" s="135"/>
      <c r="V106" s="134"/>
    </row>
    <row r="107" spans="1:22" ht="15" hidden="1" customHeight="1" x14ac:dyDescent="0.25">
      <c r="A107" s="126" t="s">
        <v>497</v>
      </c>
      <c r="B107" s="127"/>
      <c r="C107" s="128"/>
      <c r="D107" s="129" t="s">
        <v>361</v>
      </c>
      <c r="E107" s="213" t="s">
        <v>498</v>
      </c>
      <c r="F107" s="125"/>
      <c r="G107" s="211" t="s">
        <v>276</v>
      </c>
      <c r="H107" s="130"/>
      <c r="I107" s="189"/>
      <c r="J107" s="131"/>
      <c r="K107" s="167"/>
      <c r="L107" s="132"/>
      <c r="M107" s="125"/>
      <c r="N107" s="133"/>
      <c r="O107" s="134"/>
      <c r="P107" s="135"/>
      <c r="Q107" s="135"/>
      <c r="R107" s="134"/>
      <c r="S107" s="134"/>
      <c r="T107" s="135"/>
      <c r="U107" s="135"/>
      <c r="V107" s="134"/>
    </row>
    <row r="108" spans="1:22" ht="15" hidden="1" customHeight="1" x14ac:dyDescent="0.25">
      <c r="A108" s="126" t="s">
        <v>499</v>
      </c>
      <c r="B108" s="127"/>
      <c r="C108" s="128"/>
      <c r="D108" s="129" t="s">
        <v>361</v>
      </c>
      <c r="E108" s="213" t="s">
        <v>370</v>
      </c>
      <c r="F108" s="125"/>
      <c r="G108" s="211" t="s">
        <v>276</v>
      </c>
      <c r="H108" s="130"/>
      <c r="I108" s="189"/>
      <c r="J108" s="131"/>
      <c r="K108" s="167"/>
      <c r="L108" s="132"/>
      <c r="M108" s="125"/>
      <c r="N108" s="133"/>
      <c r="O108" s="134"/>
      <c r="P108" s="135"/>
      <c r="Q108" s="135"/>
      <c r="R108" s="134"/>
      <c r="S108" s="134"/>
      <c r="T108" s="135"/>
      <c r="U108" s="135"/>
      <c r="V108" s="134"/>
    </row>
    <row r="109" spans="1:22" ht="15" hidden="1" customHeight="1" x14ac:dyDescent="0.25">
      <c r="A109" s="126" t="s">
        <v>500</v>
      </c>
      <c r="B109" s="127"/>
      <c r="C109" s="128"/>
      <c r="D109" s="129" t="s">
        <v>361</v>
      </c>
      <c r="E109" s="213" t="s">
        <v>370</v>
      </c>
      <c r="F109" s="125"/>
      <c r="G109" s="211" t="s">
        <v>276</v>
      </c>
      <c r="H109" s="130"/>
      <c r="I109" s="189"/>
      <c r="J109" s="131"/>
      <c r="K109" s="167"/>
      <c r="L109" s="132"/>
      <c r="M109" s="125"/>
      <c r="N109" s="133"/>
      <c r="O109" s="134"/>
      <c r="P109" s="135"/>
      <c r="Q109" s="135"/>
      <c r="R109" s="134"/>
      <c r="S109" s="134"/>
      <c r="T109" s="135"/>
      <c r="U109" s="135"/>
      <c r="V109" s="134"/>
    </row>
    <row r="110" spans="1:22" ht="15" hidden="1" customHeight="1" x14ac:dyDescent="0.25">
      <c r="A110" s="126" t="s">
        <v>501</v>
      </c>
      <c r="B110" s="127"/>
      <c r="C110" s="128"/>
      <c r="D110" s="129" t="s">
        <v>361</v>
      </c>
      <c r="E110" s="213" t="s">
        <v>370</v>
      </c>
      <c r="F110" s="125"/>
      <c r="G110" s="211" t="s">
        <v>276</v>
      </c>
      <c r="H110" s="130"/>
      <c r="I110" s="189"/>
      <c r="J110" s="131"/>
      <c r="K110" s="167"/>
      <c r="L110" s="132"/>
      <c r="M110" s="125"/>
      <c r="N110" s="133"/>
      <c r="O110" s="134"/>
      <c r="P110" s="135"/>
      <c r="Q110" s="135"/>
      <c r="R110" s="134"/>
      <c r="S110" s="134"/>
      <c r="T110" s="135"/>
      <c r="U110" s="135"/>
      <c r="V110" s="134"/>
    </row>
    <row r="111" spans="1:22" ht="15" hidden="1" customHeight="1" x14ac:dyDescent="0.25">
      <c r="A111" s="126" t="s">
        <v>502</v>
      </c>
      <c r="B111" s="127"/>
      <c r="C111" s="128"/>
      <c r="D111" s="129" t="s">
        <v>361</v>
      </c>
      <c r="E111" s="213" t="s">
        <v>503</v>
      </c>
      <c r="F111" s="125"/>
      <c r="G111" s="211" t="s">
        <v>276</v>
      </c>
      <c r="H111" s="130"/>
      <c r="I111" s="189"/>
      <c r="J111" s="131"/>
      <c r="K111" s="167"/>
      <c r="L111" s="132"/>
      <c r="M111" s="125"/>
      <c r="N111" s="133"/>
      <c r="O111" s="134"/>
      <c r="P111" s="135"/>
      <c r="Q111" s="135"/>
      <c r="R111" s="134"/>
      <c r="S111" s="134"/>
      <c r="T111" s="135"/>
      <c r="U111" s="135"/>
      <c r="V111" s="134"/>
    </row>
    <row r="112" spans="1:22" ht="15" hidden="1" customHeight="1" x14ac:dyDescent="0.25">
      <c r="A112" s="126" t="s">
        <v>504</v>
      </c>
      <c r="B112" s="127"/>
      <c r="C112" s="128"/>
      <c r="D112" s="129" t="s">
        <v>361</v>
      </c>
      <c r="E112" s="213" t="s">
        <v>505</v>
      </c>
      <c r="F112" s="125"/>
      <c r="G112" s="211" t="s">
        <v>276</v>
      </c>
      <c r="H112" s="130"/>
      <c r="I112" s="189"/>
      <c r="J112" s="131"/>
      <c r="K112" s="167"/>
      <c r="L112" s="132"/>
      <c r="M112" s="125"/>
      <c r="N112" s="133"/>
      <c r="O112" s="134"/>
      <c r="P112" s="135"/>
      <c r="Q112" s="135"/>
      <c r="R112" s="134"/>
      <c r="S112" s="134"/>
      <c r="T112" s="135"/>
      <c r="U112" s="135"/>
      <c r="V112" s="134"/>
    </row>
    <row r="113" spans="1:22" ht="15" hidden="1" customHeight="1" x14ac:dyDescent="0.25">
      <c r="A113" s="126" t="s">
        <v>506</v>
      </c>
      <c r="B113" s="127"/>
      <c r="C113" s="128"/>
      <c r="D113" s="129" t="s">
        <v>361</v>
      </c>
      <c r="E113" s="213" t="s">
        <v>507</v>
      </c>
      <c r="F113" s="125"/>
      <c r="G113" s="211" t="s">
        <v>276</v>
      </c>
      <c r="H113" s="130"/>
      <c r="I113" s="189"/>
      <c r="J113" s="131"/>
      <c r="K113" s="167"/>
      <c r="L113" s="132"/>
      <c r="M113" s="125"/>
      <c r="N113" s="133"/>
      <c r="O113" s="134"/>
      <c r="P113" s="135"/>
      <c r="Q113" s="135"/>
      <c r="R113" s="134"/>
      <c r="S113" s="134"/>
      <c r="T113" s="135"/>
      <c r="U113" s="135"/>
      <c r="V113" s="134"/>
    </row>
    <row r="114" spans="1:22" ht="15" hidden="1" customHeight="1" x14ac:dyDescent="0.25">
      <c r="A114" s="126" t="s">
        <v>508</v>
      </c>
      <c r="B114" s="127"/>
      <c r="C114" s="128"/>
      <c r="D114" s="129" t="s">
        <v>369</v>
      </c>
      <c r="E114" s="213" t="s">
        <v>370</v>
      </c>
      <c r="F114" s="125"/>
      <c r="G114" s="211" t="s">
        <v>276</v>
      </c>
      <c r="H114" s="130"/>
      <c r="I114" s="189"/>
      <c r="J114" s="131"/>
      <c r="K114" s="167"/>
      <c r="L114" s="132"/>
      <c r="M114" s="125"/>
      <c r="N114" s="133"/>
      <c r="O114" s="134"/>
      <c r="P114" s="135"/>
      <c r="Q114" s="135"/>
      <c r="R114" s="134"/>
      <c r="S114" s="134"/>
      <c r="T114" s="135"/>
      <c r="U114" s="135"/>
      <c r="V114" s="134"/>
    </row>
    <row r="115" spans="1:22" ht="15" hidden="1" customHeight="1" x14ac:dyDescent="0.25">
      <c r="A115" s="126" t="s">
        <v>509</v>
      </c>
      <c r="B115" s="127"/>
      <c r="C115" s="128"/>
      <c r="D115" s="129" t="s">
        <v>369</v>
      </c>
      <c r="E115" s="213" t="s">
        <v>370</v>
      </c>
      <c r="F115" s="125"/>
      <c r="G115" s="211" t="s">
        <v>276</v>
      </c>
      <c r="H115" s="130"/>
      <c r="I115" s="189"/>
      <c r="J115" s="131"/>
      <c r="K115" s="167"/>
      <c r="L115" s="132"/>
      <c r="M115" s="125"/>
      <c r="N115" s="133"/>
      <c r="O115" s="134"/>
      <c r="P115" s="135"/>
      <c r="Q115" s="135"/>
      <c r="R115" s="134"/>
      <c r="S115" s="134"/>
      <c r="T115" s="135"/>
      <c r="U115" s="135"/>
      <c r="V115" s="134"/>
    </row>
    <row r="116" spans="1:22" ht="15" hidden="1" customHeight="1" x14ac:dyDescent="0.25">
      <c r="A116" s="126" t="s">
        <v>510</v>
      </c>
      <c r="B116" s="127"/>
      <c r="C116" s="128"/>
      <c r="D116" s="129" t="s">
        <v>361</v>
      </c>
      <c r="E116" s="213" t="s">
        <v>511</v>
      </c>
      <c r="F116" s="125"/>
      <c r="G116" s="211" t="s">
        <v>276</v>
      </c>
      <c r="H116" s="130"/>
      <c r="I116" s="189"/>
      <c r="J116" s="131"/>
      <c r="K116" s="167"/>
      <c r="L116" s="132"/>
      <c r="M116" s="125"/>
      <c r="N116" s="133"/>
      <c r="O116" s="134"/>
      <c r="P116" s="135"/>
      <c r="Q116" s="135"/>
      <c r="R116" s="134"/>
      <c r="S116" s="134"/>
      <c r="T116" s="135"/>
      <c r="U116" s="135"/>
      <c r="V116" s="134"/>
    </row>
    <row r="117" spans="1:22" ht="15" hidden="1" customHeight="1" x14ac:dyDescent="0.25">
      <c r="A117" s="126" t="s">
        <v>512</v>
      </c>
      <c r="B117" s="127"/>
      <c r="C117" s="128"/>
      <c r="D117" s="129" t="s">
        <v>361</v>
      </c>
      <c r="E117" s="213" t="s">
        <v>513</v>
      </c>
      <c r="F117" s="125"/>
      <c r="G117" s="211" t="s">
        <v>276</v>
      </c>
      <c r="H117" s="130"/>
      <c r="I117" s="189"/>
      <c r="J117" s="131"/>
      <c r="K117" s="167"/>
      <c r="L117" s="132"/>
      <c r="M117" s="125"/>
      <c r="N117" s="133"/>
      <c r="O117" s="134"/>
      <c r="P117" s="135"/>
      <c r="Q117" s="135"/>
      <c r="R117" s="134"/>
      <c r="S117" s="134"/>
      <c r="T117" s="135"/>
      <c r="U117" s="135"/>
      <c r="V117" s="134"/>
    </row>
    <row r="118" spans="1:22" ht="15" hidden="1" customHeight="1" x14ac:dyDescent="0.25">
      <c r="A118" s="126" t="s">
        <v>514</v>
      </c>
      <c r="B118" s="127"/>
      <c r="C118" s="128"/>
      <c r="D118" s="129" t="s">
        <v>361</v>
      </c>
      <c r="E118" s="213" t="s">
        <v>515</v>
      </c>
      <c r="F118" s="125"/>
      <c r="G118" s="211" t="s">
        <v>276</v>
      </c>
      <c r="H118" s="130"/>
      <c r="I118" s="189"/>
      <c r="J118" s="131"/>
      <c r="K118" s="167"/>
      <c r="L118" s="132"/>
      <c r="M118" s="125"/>
      <c r="N118" s="133"/>
      <c r="O118" s="134"/>
      <c r="P118" s="135"/>
      <c r="Q118" s="135"/>
      <c r="R118" s="134"/>
      <c r="S118" s="134"/>
      <c r="T118" s="135"/>
      <c r="U118" s="135"/>
      <c r="V118" s="134"/>
    </row>
    <row r="119" spans="1:22" ht="15" hidden="1" customHeight="1" x14ac:dyDescent="0.25">
      <c r="A119" s="126" t="s">
        <v>516</v>
      </c>
      <c r="B119" s="127"/>
      <c r="C119" s="128"/>
      <c r="D119" s="129" t="s">
        <v>377</v>
      </c>
      <c r="E119" s="213" t="s">
        <v>517</v>
      </c>
      <c r="F119" s="125"/>
      <c r="G119" s="211" t="s">
        <v>276</v>
      </c>
      <c r="H119" s="130"/>
      <c r="I119" s="189"/>
      <c r="J119" s="131"/>
      <c r="K119" s="167"/>
      <c r="L119" s="132"/>
      <c r="M119" s="125"/>
      <c r="N119" s="133"/>
      <c r="O119" s="134"/>
      <c r="P119" s="135"/>
      <c r="Q119" s="135"/>
      <c r="R119" s="134"/>
      <c r="S119" s="134"/>
      <c r="T119" s="135"/>
      <c r="U119" s="135"/>
      <c r="V119" s="134"/>
    </row>
    <row r="120" spans="1:22" ht="15" hidden="1" customHeight="1" x14ac:dyDescent="0.25">
      <c r="A120" s="126" t="s">
        <v>518</v>
      </c>
      <c r="B120" s="127"/>
      <c r="C120" s="128"/>
      <c r="D120" s="129" t="s">
        <v>377</v>
      </c>
      <c r="E120" s="213" t="s">
        <v>519</v>
      </c>
      <c r="F120" s="125"/>
      <c r="G120" s="211" t="s">
        <v>276</v>
      </c>
      <c r="H120" s="130"/>
      <c r="I120" s="189"/>
      <c r="J120" s="131"/>
      <c r="K120" s="167"/>
      <c r="L120" s="132"/>
      <c r="M120" s="125"/>
      <c r="N120" s="133"/>
      <c r="O120" s="134"/>
      <c r="P120" s="135"/>
      <c r="Q120" s="135"/>
      <c r="R120" s="134"/>
      <c r="S120" s="134"/>
      <c r="T120" s="135"/>
      <c r="U120" s="135"/>
      <c r="V120" s="134"/>
    </row>
    <row r="121" spans="1:22" ht="15" hidden="1" customHeight="1" x14ac:dyDescent="0.25">
      <c r="A121" s="126" t="s">
        <v>520</v>
      </c>
      <c r="B121" s="127"/>
      <c r="C121" s="128"/>
      <c r="D121" s="129" t="s">
        <v>377</v>
      </c>
      <c r="E121" s="213" t="s">
        <v>521</v>
      </c>
      <c r="F121" s="125"/>
      <c r="G121" s="211" t="s">
        <v>276</v>
      </c>
      <c r="H121" s="130"/>
      <c r="I121" s="189"/>
      <c r="J121" s="131"/>
      <c r="K121" s="167"/>
      <c r="L121" s="132"/>
      <c r="M121" s="125"/>
      <c r="N121" s="133"/>
      <c r="O121" s="134"/>
      <c r="P121" s="135"/>
      <c r="Q121" s="135"/>
      <c r="R121" s="134"/>
      <c r="S121" s="134"/>
      <c r="T121" s="135"/>
      <c r="U121" s="135"/>
      <c r="V121" s="134"/>
    </row>
    <row r="122" spans="1:22" ht="15" hidden="1" customHeight="1" x14ac:dyDescent="0.25">
      <c r="A122" s="126" t="s">
        <v>522</v>
      </c>
      <c r="B122" s="127"/>
      <c r="C122" s="128"/>
      <c r="D122" s="129" t="s">
        <v>377</v>
      </c>
      <c r="E122" s="213" t="s">
        <v>523</v>
      </c>
      <c r="F122" s="125"/>
      <c r="G122" s="211" t="s">
        <v>276</v>
      </c>
      <c r="H122" s="130"/>
      <c r="I122" s="189"/>
      <c r="J122" s="131"/>
      <c r="K122" s="167"/>
      <c r="L122" s="132"/>
      <c r="M122" s="125"/>
      <c r="N122" s="133"/>
      <c r="O122" s="134"/>
      <c r="P122" s="135"/>
      <c r="Q122" s="135"/>
      <c r="R122" s="134"/>
      <c r="S122" s="134"/>
      <c r="T122" s="135"/>
      <c r="U122" s="135"/>
      <c r="V122" s="134"/>
    </row>
    <row r="123" spans="1:22" ht="15" hidden="1" customHeight="1" x14ac:dyDescent="0.25">
      <c r="A123" s="126" t="s">
        <v>524</v>
      </c>
      <c r="B123" s="127"/>
      <c r="C123" s="128"/>
      <c r="D123" s="129" t="s">
        <v>377</v>
      </c>
      <c r="E123" s="213" t="s">
        <v>525</v>
      </c>
      <c r="F123" s="125"/>
      <c r="G123" s="211" t="s">
        <v>276</v>
      </c>
      <c r="H123" s="130"/>
      <c r="I123" s="189"/>
      <c r="J123" s="131"/>
      <c r="K123" s="167"/>
      <c r="L123" s="132"/>
      <c r="M123" s="125"/>
      <c r="N123" s="133"/>
      <c r="O123" s="134"/>
      <c r="P123" s="135"/>
      <c r="Q123" s="135"/>
      <c r="R123" s="134"/>
      <c r="S123" s="134"/>
      <c r="T123" s="135"/>
      <c r="U123" s="135"/>
      <c r="V123" s="134"/>
    </row>
    <row r="124" spans="1:22" ht="15" hidden="1" customHeight="1" x14ac:dyDescent="0.25">
      <c r="A124" s="126" t="s">
        <v>526</v>
      </c>
      <c r="B124" s="127"/>
      <c r="C124" s="128"/>
      <c r="D124" s="129" t="s">
        <v>377</v>
      </c>
      <c r="E124" s="213" t="s">
        <v>527</v>
      </c>
      <c r="F124" s="125"/>
      <c r="G124" s="211" t="s">
        <v>276</v>
      </c>
      <c r="H124" s="130"/>
      <c r="I124" s="189"/>
      <c r="J124" s="131"/>
      <c r="K124" s="167"/>
      <c r="L124" s="132"/>
      <c r="M124" s="125"/>
      <c r="N124" s="133"/>
      <c r="O124" s="134"/>
      <c r="P124" s="135"/>
      <c r="Q124" s="135"/>
      <c r="R124" s="134"/>
      <c r="S124" s="134"/>
      <c r="T124" s="135"/>
      <c r="U124" s="135"/>
      <c r="V124" s="134"/>
    </row>
    <row r="125" spans="1:22" ht="15" hidden="1" customHeight="1" x14ac:dyDescent="0.25">
      <c r="A125" s="126" t="s">
        <v>528</v>
      </c>
      <c r="B125" s="127"/>
      <c r="C125" s="128"/>
      <c r="D125" s="129" t="s">
        <v>361</v>
      </c>
      <c r="E125" s="213" t="s">
        <v>529</v>
      </c>
      <c r="F125" s="125"/>
      <c r="G125" s="211" t="s">
        <v>276</v>
      </c>
      <c r="H125" s="130"/>
      <c r="I125" s="189"/>
      <c r="J125" s="131"/>
      <c r="K125" s="167"/>
      <c r="L125" s="132"/>
      <c r="M125" s="125"/>
      <c r="N125" s="133"/>
      <c r="O125" s="134"/>
      <c r="P125" s="135"/>
      <c r="Q125" s="135"/>
      <c r="R125" s="134"/>
      <c r="S125" s="134"/>
      <c r="T125" s="135"/>
      <c r="U125" s="135"/>
      <c r="V125" s="134"/>
    </row>
    <row r="126" spans="1:22" ht="15" hidden="1" customHeight="1" x14ac:dyDescent="0.25">
      <c r="A126" s="126" t="s">
        <v>530</v>
      </c>
      <c r="B126" s="127"/>
      <c r="C126" s="128"/>
      <c r="D126" s="129" t="s">
        <v>361</v>
      </c>
      <c r="E126" s="213" t="s">
        <v>531</v>
      </c>
      <c r="F126" s="125"/>
      <c r="G126" s="211" t="s">
        <v>276</v>
      </c>
      <c r="H126" s="130"/>
      <c r="I126" s="189"/>
      <c r="J126" s="131"/>
      <c r="K126" s="167"/>
      <c r="L126" s="132"/>
      <c r="M126" s="125"/>
      <c r="N126" s="133"/>
      <c r="O126" s="134"/>
      <c r="P126" s="135"/>
      <c r="Q126" s="135"/>
      <c r="R126" s="134"/>
      <c r="S126" s="134"/>
      <c r="T126" s="135"/>
      <c r="U126" s="135"/>
      <c r="V126" s="134"/>
    </row>
    <row r="127" spans="1:22" ht="15" hidden="1" customHeight="1" x14ac:dyDescent="0.25">
      <c r="A127" s="126" t="s">
        <v>532</v>
      </c>
      <c r="B127" s="127"/>
      <c r="C127" s="128"/>
      <c r="D127" s="129" t="s">
        <v>361</v>
      </c>
      <c r="E127" s="213" t="s">
        <v>533</v>
      </c>
      <c r="F127" s="125"/>
      <c r="G127" s="211" t="s">
        <v>276</v>
      </c>
      <c r="H127" s="130"/>
      <c r="I127" s="189"/>
      <c r="J127" s="131"/>
      <c r="K127" s="167"/>
      <c r="L127" s="132"/>
      <c r="M127" s="125"/>
      <c r="N127" s="133"/>
      <c r="O127" s="134"/>
      <c r="P127" s="135"/>
      <c r="Q127" s="135"/>
      <c r="R127" s="134"/>
      <c r="S127" s="134"/>
      <c r="T127" s="135"/>
      <c r="U127" s="135"/>
      <c r="V127" s="134"/>
    </row>
    <row r="128" spans="1:22" ht="15" hidden="1" customHeight="1" x14ac:dyDescent="0.25">
      <c r="A128" s="126" t="s">
        <v>534</v>
      </c>
      <c r="B128" s="127"/>
      <c r="C128" s="128"/>
      <c r="D128" s="129" t="s">
        <v>361</v>
      </c>
      <c r="E128" s="213" t="s">
        <v>535</v>
      </c>
      <c r="F128" s="125"/>
      <c r="G128" s="211" t="s">
        <v>276</v>
      </c>
      <c r="H128" s="130"/>
      <c r="I128" s="189"/>
      <c r="J128" s="131"/>
      <c r="K128" s="167"/>
      <c r="L128" s="132"/>
      <c r="M128" s="125"/>
      <c r="N128" s="133"/>
      <c r="O128" s="134"/>
      <c r="P128" s="135"/>
      <c r="Q128" s="135"/>
      <c r="R128" s="134"/>
      <c r="S128" s="134"/>
      <c r="T128" s="135"/>
      <c r="U128" s="135"/>
      <c r="V128" s="134"/>
    </row>
    <row r="129" spans="1:22" ht="15" hidden="1" customHeight="1" x14ac:dyDescent="0.25">
      <c r="A129" s="126" t="s">
        <v>536</v>
      </c>
      <c r="B129" s="127"/>
      <c r="C129" s="128"/>
      <c r="D129" s="129" t="s">
        <v>358</v>
      </c>
      <c r="E129" s="213" t="s">
        <v>537</v>
      </c>
      <c r="F129" s="125"/>
      <c r="G129" s="211" t="s">
        <v>276</v>
      </c>
      <c r="H129" s="130"/>
      <c r="I129" s="189"/>
      <c r="J129" s="131"/>
      <c r="K129" s="167"/>
      <c r="L129" s="132"/>
      <c r="M129" s="125"/>
      <c r="N129" s="133"/>
      <c r="O129" s="134"/>
      <c r="P129" s="135"/>
      <c r="Q129" s="135"/>
      <c r="R129" s="134"/>
      <c r="S129" s="134"/>
      <c r="T129" s="135"/>
      <c r="U129" s="135"/>
      <c r="V129" s="134"/>
    </row>
    <row r="130" spans="1:22" ht="15" hidden="1" customHeight="1" x14ac:dyDescent="0.25">
      <c r="A130" s="126" t="s">
        <v>538</v>
      </c>
      <c r="B130" s="127"/>
      <c r="C130" s="128"/>
      <c r="D130" s="129" t="s">
        <v>377</v>
      </c>
      <c r="E130" s="213" t="s">
        <v>539</v>
      </c>
      <c r="F130" s="125"/>
      <c r="G130" s="211" t="s">
        <v>276</v>
      </c>
      <c r="H130" s="130"/>
      <c r="I130" s="189"/>
      <c r="J130" s="131"/>
      <c r="K130" s="167"/>
      <c r="L130" s="132"/>
      <c r="M130" s="125"/>
      <c r="N130" s="133"/>
      <c r="O130" s="134"/>
      <c r="P130" s="135"/>
      <c r="Q130" s="135"/>
      <c r="R130" s="134"/>
      <c r="S130" s="134"/>
      <c r="T130" s="135"/>
      <c r="U130" s="135"/>
      <c r="V130" s="134"/>
    </row>
    <row r="131" spans="1:22" ht="15" hidden="1" customHeight="1" x14ac:dyDescent="0.25">
      <c r="A131" s="126" t="s">
        <v>540</v>
      </c>
      <c r="B131" s="127"/>
      <c r="C131" s="128"/>
      <c r="D131" s="129" t="s">
        <v>358</v>
      </c>
      <c r="E131" s="213" t="s">
        <v>541</v>
      </c>
      <c r="F131" s="125"/>
      <c r="G131" s="211" t="s">
        <v>276</v>
      </c>
      <c r="H131" s="130"/>
      <c r="I131" s="189"/>
      <c r="J131" s="131"/>
      <c r="K131" s="167"/>
      <c r="L131" s="132"/>
      <c r="M131" s="125"/>
      <c r="N131" s="133"/>
      <c r="O131" s="134"/>
      <c r="P131" s="135"/>
      <c r="Q131" s="135"/>
      <c r="R131" s="134"/>
      <c r="S131" s="134"/>
      <c r="T131" s="135"/>
      <c r="U131" s="135"/>
      <c r="V131" s="134"/>
    </row>
    <row r="132" spans="1:22" ht="15" hidden="1" customHeight="1" x14ac:dyDescent="0.25">
      <c r="A132" s="126" t="s">
        <v>542</v>
      </c>
      <c r="B132" s="127"/>
      <c r="C132" s="128"/>
      <c r="D132" s="129" t="s">
        <v>377</v>
      </c>
      <c r="E132" s="213" t="s">
        <v>543</v>
      </c>
      <c r="F132" s="125"/>
      <c r="G132" s="211" t="s">
        <v>276</v>
      </c>
      <c r="H132" s="130"/>
      <c r="I132" s="189"/>
      <c r="J132" s="131"/>
      <c r="K132" s="167"/>
      <c r="L132" s="132"/>
      <c r="M132" s="125"/>
      <c r="N132" s="133"/>
      <c r="O132" s="134"/>
      <c r="P132" s="135"/>
      <c r="Q132" s="135"/>
      <c r="R132" s="134"/>
      <c r="S132" s="134"/>
      <c r="T132" s="135"/>
      <c r="U132" s="135"/>
      <c r="V132" s="134"/>
    </row>
    <row r="133" spans="1:22" ht="15" hidden="1" customHeight="1" x14ac:dyDescent="0.25">
      <c r="A133" s="126" t="s">
        <v>544</v>
      </c>
      <c r="B133" s="127"/>
      <c r="C133" s="128"/>
      <c r="D133" s="129" t="s">
        <v>377</v>
      </c>
      <c r="E133" s="213" t="s">
        <v>545</v>
      </c>
      <c r="F133" s="125"/>
      <c r="G133" s="211" t="s">
        <v>276</v>
      </c>
      <c r="H133" s="130"/>
      <c r="I133" s="189"/>
      <c r="J133" s="131"/>
      <c r="K133" s="167"/>
      <c r="L133" s="132"/>
      <c r="M133" s="125"/>
      <c r="N133" s="133"/>
      <c r="O133" s="134"/>
      <c r="P133" s="135"/>
      <c r="Q133" s="135"/>
      <c r="R133" s="134"/>
      <c r="S133" s="134"/>
      <c r="T133" s="135"/>
      <c r="U133" s="135"/>
      <c r="V133" s="134"/>
    </row>
    <row r="134" spans="1:22" ht="15" hidden="1" customHeight="1" x14ac:dyDescent="0.25">
      <c r="A134" s="126" t="s">
        <v>546</v>
      </c>
      <c r="B134" s="127"/>
      <c r="C134" s="128"/>
      <c r="D134" s="129" t="s">
        <v>361</v>
      </c>
      <c r="E134" s="213" t="s">
        <v>547</v>
      </c>
      <c r="F134" s="125"/>
      <c r="G134" s="211" t="s">
        <v>276</v>
      </c>
      <c r="H134" s="130"/>
      <c r="I134" s="189"/>
      <c r="J134" s="131"/>
      <c r="K134" s="167"/>
      <c r="L134" s="132"/>
      <c r="M134" s="125"/>
      <c r="N134" s="133"/>
      <c r="O134" s="134"/>
      <c r="P134" s="135"/>
      <c r="Q134" s="135"/>
      <c r="R134" s="134"/>
      <c r="S134" s="134"/>
      <c r="T134" s="135"/>
      <c r="U134" s="135"/>
      <c r="V134" s="134"/>
    </row>
    <row r="135" spans="1:22" ht="15" hidden="1" customHeight="1" x14ac:dyDescent="0.25">
      <c r="A135" s="126" t="s">
        <v>548</v>
      </c>
      <c r="B135" s="127"/>
      <c r="C135" s="128"/>
      <c r="D135" s="129" t="s">
        <v>361</v>
      </c>
      <c r="E135" s="213" t="s">
        <v>549</v>
      </c>
      <c r="F135" s="125"/>
      <c r="G135" s="211" t="s">
        <v>276</v>
      </c>
      <c r="H135" s="130"/>
      <c r="I135" s="189"/>
      <c r="J135" s="131"/>
      <c r="K135" s="167"/>
      <c r="L135" s="132"/>
      <c r="M135" s="125"/>
      <c r="N135" s="133"/>
      <c r="O135" s="134"/>
      <c r="P135" s="135"/>
      <c r="Q135" s="135"/>
      <c r="R135" s="134"/>
      <c r="S135" s="134"/>
      <c r="T135" s="135"/>
      <c r="U135" s="135"/>
      <c r="V135" s="134"/>
    </row>
    <row r="136" spans="1:22" ht="15" hidden="1" customHeight="1" x14ac:dyDescent="0.25">
      <c r="A136" s="126" t="s">
        <v>550</v>
      </c>
      <c r="B136" s="127"/>
      <c r="C136" s="128"/>
      <c r="D136" s="129" t="s">
        <v>361</v>
      </c>
      <c r="E136" s="213" t="s">
        <v>551</v>
      </c>
      <c r="F136" s="125"/>
      <c r="G136" s="211" t="s">
        <v>276</v>
      </c>
      <c r="H136" s="130"/>
      <c r="I136" s="189"/>
      <c r="J136" s="131"/>
      <c r="K136" s="167"/>
      <c r="L136" s="132"/>
      <c r="M136" s="125"/>
      <c r="N136" s="133"/>
      <c r="O136" s="134"/>
      <c r="P136" s="135"/>
      <c r="Q136" s="135"/>
      <c r="R136" s="134"/>
      <c r="S136" s="134"/>
      <c r="T136" s="135"/>
      <c r="U136" s="135"/>
      <c r="V136" s="134"/>
    </row>
    <row r="137" spans="1:22" ht="15" hidden="1" customHeight="1" x14ac:dyDescent="0.25">
      <c r="A137" s="126" t="s">
        <v>552</v>
      </c>
      <c r="B137" s="127"/>
      <c r="C137" s="128"/>
      <c r="D137" s="129" t="s">
        <v>361</v>
      </c>
      <c r="E137" s="213" t="s">
        <v>553</v>
      </c>
      <c r="F137" s="125"/>
      <c r="G137" s="211" t="s">
        <v>276</v>
      </c>
      <c r="H137" s="130"/>
      <c r="I137" s="189"/>
      <c r="J137" s="131"/>
      <c r="K137" s="167"/>
      <c r="L137" s="132"/>
      <c r="M137" s="125"/>
      <c r="N137" s="133"/>
      <c r="O137" s="134"/>
      <c r="P137" s="135"/>
      <c r="Q137" s="135"/>
      <c r="R137" s="134"/>
      <c r="S137" s="134"/>
      <c r="T137" s="135"/>
      <c r="U137" s="135"/>
      <c r="V137" s="134"/>
    </row>
    <row r="138" spans="1:22" ht="15" hidden="1" customHeight="1" x14ac:dyDescent="0.25">
      <c r="A138" s="126" t="s">
        <v>554</v>
      </c>
      <c r="B138" s="127"/>
      <c r="C138" s="128"/>
      <c r="D138" s="129" t="s">
        <v>377</v>
      </c>
      <c r="E138" s="213" t="s">
        <v>555</v>
      </c>
      <c r="F138" s="125"/>
      <c r="G138" s="211" t="s">
        <v>276</v>
      </c>
      <c r="H138" s="130"/>
      <c r="I138" s="189"/>
      <c r="J138" s="131"/>
      <c r="K138" s="167"/>
      <c r="L138" s="132"/>
      <c r="M138" s="125"/>
      <c r="N138" s="133"/>
      <c r="O138" s="134"/>
      <c r="P138" s="135"/>
      <c r="Q138" s="135"/>
      <c r="R138" s="134"/>
      <c r="S138" s="134"/>
      <c r="T138" s="135"/>
      <c r="U138" s="135"/>
      <c r="V138" s="134"/>
    </row>
    <row r="139" spans="1:22" ht="15" hidden="1" customHeight="1" x14ac:dyDescent="0.25">
      <c r="A139" s="126" t="s">
        <v>556</v>
      </c>
      <c r="B139" s="127"/>
      <c r="C139" s="128"/>
      <c r="D139" s="129" t="s">
        <v>361</v>
      </c>
      <c r="E139" s="213" t="s">
        <v>557</v>
      </c>
      <c r="F139" s="125"/>
      <c r="G139" s="211" t="s">
        <v>276</v>
      </c>
      <c r="H139" s="130"/>
      <c r="I139" s="189"/>
      <c r="J139" s="131"/>
      <c r="K139" s="167"/>
      <c r="L139" s="132"/>
      <c r="M139" s="125"/>
      <c r="N139" s="133"/>
      <c r="O139" s="134"/>
      <c r="P139" s="135"/>
      <c r="Q139" s="135"/>
      <c r="R139" s="134"/>
      <c r="S139" s="134"/>
      <c r="T139" s="135"/>
      <c r="U139" s="135"/>
      <c r="V139" s="134"/>
    </row>
    <row r="140" spans="1:22" ht="15" hidden="1" customHeight="1" x14ac:dyDescent="0.25">
      <c r="A140" s="126" t="s">
        <v>558</v>
      </c>
      <c r="B140" s="127"/>
      <c r="C140" s="128"/>
      <c r="D140" s="129" t="s">
        <v>361</v>
      </c>
      <c r="E140" s="213" t="s">
        <v>559</v>
      </c>
      <c r="F140" s="125"/>
      <c r="G140" s="211" t="s">
        <v>276</v>
      </c>
      <c r="H140" s="130"/>
      <c r="I140" s="189"/>
      <c r="J140" s="131"/>
      <c r="K140" s="167"/>
      <c r="L140" s="132"/>
      <c r="M140" s="125"/>
      <c r="N140" s="133"/>
      <c r="O140" s="134"/>
      <c r="P140" s="135"/>
      <c r="Q140" s="135"/>
      <c r="R140" s="134"/>
      <c r="S140" s="134"/>
      <c r="T140" s="135"/>
      <c r="U140" s="135"/>
      <c r="V140" s="134"/>
    </row>
    <row r="141" spans="1:22" ht="15" hidden="1" customHeight="1" x14ac:dyDescent="0.25">
      <c r="A141" s="126" t="s">
        <v>560</v>
      </c>
      <c r="B141" s="127"/>
      <c r="C141" s="128"/>
      <c r="D141" s="129" t="s">
        <v>361</v>
      </c>
      <c r="E141" s="213" t="s">
        <v>561</v>
      </c>
      <c r="F141" s="125"/>
      <c r="G141" s="211" t="s">
        <v>276</v>
      </c>
      <c r="H141" s="130"/>
      <c r="I141" s="189"/>
      <c r="J141" s="131"/>
      <c r="K141" s="167"/>
      <c r="L141" s="132"/>
      <c r="M141" s="125"/>
      <c r="N141" s="133"/>
      <c r="O141" s="134"/>
      <c r="P141" s="135"/>
      <c r="Q141" s="135"/>
      <c r="R141" s="134"/>
      <c r="S141" s="134"/>
      <c r="T141" s="135"/>
      <c r="U141" s="135"/>
      <c r="V141" s="134"/>
    </row>
    <row r="142" spans="1:22" ht="15" hidden="1" customHeight="1" x14ac:dyDescent="0.25">
      <c r="A142" s="126" t="s">
        <v>562</v>
      </c>
      <c r="B142" s="127"/>
      <c r="C142" s="128"/>
      <c r="D142" s="129" t="s">
        <v>369</v>
      </c>
      <c r="E142" s="213" t="s">
        <v>563</v>
      </c>
      <c r="F142" s="125"/>
      <c r="G142" s="211" t="s">
        <v>276</v>
      </c>
      <c r="H142" s="130"/>
      <c r="I142" s="189"/>
      <c r="J142" s="131"/>
      <c r="K142" s="167"/>
      <c r="L142" s="132"/>
      <c r="M142" s="125"/>
      <c r="N142" s="133"/>
      <c r="O142" s="134"/>
      <c r="P142" s="135"/>
      <c r="Q142" s="135"/>
      <c r="R142" s="134"/>
      <c r="S142" s="134"/>
      <c r="T142" s="135"/>
      <c r="U142" s="135"/>
      <c r="V142" s="134"/>
    </row>
    <row r="143" spans="1:22" ht="15" hidden="1" customHeight="1" x14ac:dyDescent="0.25">
      <c r="A143" s="126" t="s">
        <v>564</v>
      </c>
      <c r="B143" s="127"/>
      <c r="C143" s="128"/>
      <c r="D143" s="129" t="s">
        <v>369</v>
      </c>
      <c r="E143" s="213" t="s">
        <v>565</v>
      </c>
      <c r="F143" s="125"/>
      <c r="G143" s="211" t="s">
        <v>276</v>
      </c>
      <c r="H143" s="130"/>
      <c r="I143" s="189"/>
      <c r="J143" s="131"/>
      <c r="K143" s="167"/>
      <c r="L143" s="132"/>
      <c r="M143" s="125"/>
      <c r="N143" s="133"/>
      <c r="O143" s="134"/>
      <c r="P143" s="135"/>
      <c r="Q143" s="135"/>
      <c r="R143" s="134"/>
      <c r="S143" s="134"/>
      <c r="T143" s="135"/>
      <c r="U143" s="135"/>
      <c r="V143" s="134"/>
    </row>
    <row r="144" spans="1:22" ht="15" hidden="1" customHeight="1" x14ac:dyDescent="0.25">
      <c r="A144" s="126" t="s">
        <v>566</v>
      </c>
      <c r="B144" s="127"/>
      <c r="C144" s="128"/>
      <c r="D144" s="129" t="s">
        <v>361</v>
      </c>
      <c r="E144" s="213" t="s">
        <v>567</v>
      </c>
      <c r="F144" s="125"/>
      <c r="G144" s="211" t="s">
        <v>276</v>
      </c>
      <c r="H144" s="130"/>
      <c r="I144" s="189"/>
      <c r="J144" s="131"/>
      <c r="K144" s="167"/>
      <c r="L144" s="132"/>
      <c r="M144" s="125"/>
      <c r="N144" s="133"/>
      <c r="O144" s="134"/>
      <c r="P144" s="135"/>
      <c r="Q144" s="135"/>
      <c r="R144" s="134"/>
      <c r="S144" s="134"/>
      <c r="T144" s="135"/>
      <c r="U144" s="135"/>
      <c r="V144" s="134"/>
    </row>
    <row r="145" spans="1:22" ht="15" hidden="1" customHeight="1" x14ac:dyDescent="0.25">
      <c r="A145" s="126" t="s">
        <v>568</v>
      </c>
      <c r="B145" s="127"/>
      <c r="C145" s="128"/>
      <c r="D145" s="129" t="s">
        <v>369</v>
      </c>
      <c r="E145" s="213" t="s">
        <v>569</v>
      </c>
      <c r="F145" s="125"/>
      <c r="G145" s="211" t="s">
        <v>276</v>
      </c>
      <c r="H145" s="130"/>
      <c r="I145" s="189"/>
      <c r="J145" s="131"/>
      <c r="K145" s="167"/>
      <c r="L145" s="132"/>
      <c r="M145" s="125"/>
      <c r="N145" s="133"/>
      <c r="O145" s="134"/>
      <c r="P145" s="135"/>
      <c r="Q145" s="135"/>
      <c r="R145" s="134"/>
      <c r="S145" s="134"/>
      <c r="T145" s="135"/>
      <c r="U145" s="135"/>
      <c r="V145" s="134"/>
    </row>
    <row r="146" spans="1:22" ht="15" hidden="1" customHeight="1" x14ac:dyDescent="0.25">
      <c r="A146" s="126" t="s">
        <v>570</v>
      </c>
      <c r="B146" s="127"/>
      <c r="C146" s="128"/>
      <c r="D146" s="129" t="s">
        <v>369</v>
      </c>
      <c r="E146" s="213" t="s">
        <v>571</v>
      </c>
      <c r="F146" s="125"/>
      <c r="G146" s="211" t="s">
        <v>276</v>
      </c>
      <c r="H146" s="130"/>
      <c r="I146" s="189"/>
      <c r="J146" s="131"/>
      <c r="K146" s="167"/>
      <c r="L146" s="132"/>
      <c r="M146" s="125"/>
      <c r="N146" s="133"/>
      <c r="O146" s="134"/>
      <c r="P146" s="135"/>
      <c r="Q146" s="135"/>
      <c r="R146" s="134"/>
      <c r="S146" s="134"/>
      <c r="T146" s="135"/>
      <c r="U146" s="135"/>
      <c r="V146" s="134"/>
    </row>
    <row r="147" spans="1:22" ht="15" hidden="1" customHeight="1" x14ac:dyDescent="0.25">
      <c r="A147" s="126" t="s">
        <v>572</v>
      </c>
      <c r="B147" s="127"/>
      <c r="C147" s="128"/>
      <c r="D147" s="129" t="s">
        <v>369</v>
      </c>
      <c r="E147" s="213" t="s">
        <v>573</v>
      </c>
      <c r="F147" s="125"/>
      <c r="G147" s="211" t="s">
        <v>276</v>
      </c>
      <c r="H147" s="130"/>
      <c r="I147" s="189"/>
      <c r="J147" s="131"/>
      <c r="K147" s="167"/>
      <c r="L147" s="132"/>
      <c r="M147" s="125"/>
      <c r="N147" s="133"/>
      <c r="O147" s="134"/>
      <c r="P147" s="135"/>
      <c r="Q147" s="135"/>
      <c r="R147" s="134"/>
      <c r="S147" s="134"/>
      <c r="T147" s="135"/>
      <c r="U147" s="135"/>
      <c r="V147" s="134"/>
    </row>
    <row r="148" spans="1:22" ht="15" hidden="1" customHeight="1" x14ac:dyDescent="0.25">
      <c r="A148" s="126" t="s">
        <v>574</v>
      </c>
      <c r="B148" s="127"/>
      <c r="C148" s="128"/>
      <c r="D148" s="129" t="s">
        <v>361</v>
      </c>
      <c r="E148" s="213" t="s">
        <v>575</v>
      </c>
      <c r="F148" s="125"/>
      <c r="G148" s="211" t="s">
        <v>276</v>
      </c>
      <c r="H148" s="130"/>
      <c r="I148" s="189"/>
      <c r="J148" s="131"/>
      <c r="K148" s="167"/>
      <c r="L148" s="132"/>
      <c r="M148" s="125"/>
      <c r="N148" s="133"/>
      <c r="O148" s="134"/>
      <c r="P148" s="135"/>
      <c r="Q148" s="135"/>
      <c r="R148" s="134"/>
      <c r="S148" s="134"/>
      <c r="T148" s="135"/>
      <c r="U148" s="135"/>
      <c r="V148" s="134"/>
    </row>
    <row r="149" spans="1:22" ht="15" hidden="1" customHeight="1" x14ac:dyDescent="0.25">
      <c r="A149" s="126" t="s">
        <v>576</v>
      </c>
      <c r="B149" s="127"/>
      <c r="C149" s="128"/>
      <c r="D149" s="129" t="s">
        <v>361</v>
      </c>
      <c r="E149" s="213" t="s">
        <v>577</v>
      </c>
      <c r="F149" s="125"/>
      <c r="G149" s="211" t="s">
        <v>276</v>
      </c>
      <c r="H149" s="130"/>
      <c r="I149" s="189"/>
      <c r="J149" s="131"/>
      <c r="K149" s="167"/>
      <c r="L149" s="132"/>
      <c r="M149" s="125"/>
      <c r="N149" s="133"/>
      <c r="O149" s="134"/>
      <c r="P149" s="135"/>
      <c r="Q149" s="135"/>
      <c r="R149" s="134"/>
      <c r="S149" s="134"/>
      <c r="T149" s="135"/>
      <c r="U149" s="135"/>
      <c r="V149" s="134"/>
    </row>
    <row r="150" spans="1:22" ht="15" hidden="1" customHeight="1" x14ac:dyDescent="0.25">
      <c r="A150" s="126" t="s">
        <v>578</v>
      </c>
      <c r="B150" s="127"/>
      <c r="C150" s="128"/>
      <c r="D150" s="129" t="s">
        <v>369</v>
      </c>
      <c r="E150" s="213" t="s">
        <v>579</v>
      </c>
      <c r="F150" s="125"/>
      <c r="G150" s="211" t="s">
        <v>276</v>
      </c>
      <c r="H150" s="130"/>
      <c r="I150" s="189"/>
      <c r="J150" s="131"/>
      <c r="K150" s="167"/>
      <c r="L150" s="132"/>
      <c r="M150" s="125"/>
      <c r="N150" s="133"/>
      <c r="O150" s="134"/>
      <c r="P150" s="135"/>
      <c r="Q150" s="135"/>
      <c r="R150" s="134"/>
      <c r="S150" s="134"/>
      <c r="T150" s="135"/>
      <c r="U150" s="135"/>
      <c r="V150" s="134"/>
    </row>
    <row r="151" spans="1:22" ht="15" hidden="1" customHeight="1" x14ac:dyDescent="0.25">
      <c r="A151" s="126" t="s">
        <v>580</v>
      </c>
      <c r="B151" s="127"/>
      <c r="C151" s="128"/>
      <c r="D151" s="129" t="s">
        <v>581</v>
      </c>
      <c r="E151" s="213" t="s">
        <v>582</v>
      </c>
      <c r="F151" s="125"/>
      <c r="G151" s="211" t="s">
        <v>276</v>
      </c>
      <c r="H151" s="130"/>
      <c r="I151" s="189"/>
      <c r="J151" s="131"/>
      <c r="K151" s="167"/>
      <c r="L151" s="132"/>
      <c r="M151" s="125"/>
      <c r="N151" s="133"/>
      <c r="O151" s="134"/>
      <c r="P151" s="135"/>
      <c r="Q151" s="135"/>
      <c r="R151" s="134"/>
      <c r="S151" s="134"/>
      <c r="T151" s="135"/>
      <c r="U151" s="135"/>
      <c r="V151" s="134"/>
    </row>
    <row r="152" spans="1:22" ht="15" hidden="1" customHeight="1" x14ac:dyDescent="0.25">
      <c r="A152" s="126" t="s">
        <v>583</v>
      </c>
      <c r="B152" s="127"/>
      <c r="C152" s="128"/>
      <c r="D152" s="129" t="s">
        <v>581</v>
      </c>
      <c r="E152" s="213" t="s">
        <v>584</v>
      </c>
      <c r="F152" s="125"/>
      <c r="G152" s="211" t="s">
        <v>276</v>
      </c>
      <c r="H152" s="130"/>
      <c r="I152" s="189"/>
      <c r="J152" s="131"/>
      <c r="K152" s="167"/>
      <c r="L152" s="132"/>
      <c r="M152" s="125"/>
      <c r="N152" s="133"/>
      <c r="O152" s="134"/>
      <c r="P152" s="135"/>
      <c r="Q152" s="135"/>
      <c r="R152" s="134"/>
      <c r="S152" s="134"/>
      <c r="T152" s="135"/>
      <c r="U152" s="135"/>
      <c r="V152" s="134"/>
    </row>
    <row r="153" spans="1:22" ht="15" hidden="1" customHeight="1" x14ac:dyDescent="0.25">
      <c r="A153" s="126" t="s">
        <v>585</v>
      </c>
      <c r="B153" s="127"/>
      <c r="C153" s="128"/>
      <c r="D153" s="129" t="s">
        <v>369</v>
      </c>
      <c r="E153" s="213" t="s">
        <v>586</v>
      </c>
      <c r="F153" s="125"/>
      <c r="G153" s="211" t="s">
        <v>276</v>
      </c>
      <c r="H153" s="130"/>
      <c r="I153" s="189"/>
      <c r="J153" s="131"/>
      <c r="K153" s="167"/>
      <c r="L153" s="132"/>
      <c r="M153" s="125"/>
      <c r="N153" s="133"/>
      <c r="O153" s="134"/>
      <c r="P153" s="135"/>
      <c r="Q153" s="135"/>
      <c r="R153" s="134"/>
      <c r="S153" s="134"/>
      <c r="T153" s="135"/>
      <c r="U153" s="135"/>
      <c r="V153" s="134"/>
    </row>
    <row r="154" spans="1:22" ht="15" hidden="1" customHeight="1" x14ac:dyDescent="0.25">
      <c r="A154" s="126" t="s">
        <v>587</v>
      </c>
      <c r="B154" s="127"/>
      <c r="C154" s="128"/>
      <c r="D154" s="129" t="s">
        <v>581</v>
      </c>
      <c r="E154" s="213" t="s">
        <v>588</v>
      </c>
      <c r="F154" s="125"/>
      <c r="G154" s="211" t="s">
        <v>276</v>
      </c>
      <c r="H154" s="130"/>
      <c r="I154" s="189"/>
      <c r="J154" s="131"/>
      <c r="K154" s="167"/>
      <c r="L154" s="132"/>
      <c r="M154" s="125"/>
      <c r="N154" s="133"/>
      <c r="O154" s="134"/>
      <c r="P154" s="135"/>
      <c r="Q154" s="135"/>
      <c r="R154" s="134"/>
      <c r="S154" s="134"/>
      <c r="T154" s="135"/>
      <c r="U154" s="135"/>
      <c r="V154" s="134"/>
    </row>
    <row r="155" spans="1:22" ht="15" hidden="1" customHeight="1" x14ac:dyDescent="0.25">
      <c r="A155" s="126" t="s">
        <v>589</v>
      </c>
      <c r="B155" s="127"/>
      <c r="C155" s="128"/>
      <c r="D155" s="129" t="s">
        <v>369</v>
      </c>
      <c r="E155" s="213" t="s">
        <v>590</v>
      </c>
      <c r="F155" s="125"/>
      <c r="G155" s="211" t="s">
        <v>276</v>
      </c>
      <c r="H155" s="130"/>
      <c r="I155" s="189"/>
      <c r="J155" s="131"/>
      <c r="K155" s="167"/>
      <c r="L155" s="132"/>
      <c r="M155" s="125"/>
      <c r="N155" s="133"/>
      <c r="O155" s="134"/>
      <c r="P155" s="135"/>
      <c r="Q155" s="135"/>
      <c r="R155" s="134"/>
      <c r="S155" s="134"/>
      <c r="T155" s="135"/>
      <c r="U155" s="135"/>
      <c r="V155" s="134"/>
    </row>
    <row r="156" spans="1:22" ht="15" hidden="1" customHeight="1" x14ac:dyDescent="0.25">
      <c r="A156" s="126" t="s">
        <v>591</v>
      </c>
      <c r="B156" s="127"/>
      <c r="C156" s="128"/>
      <c r="D156" s="129" t="s">
        <v>581</v>
      </c>
      <c r="E156" s="213" t="s">
        <v>592</v>
      </c>
      <c r="F156" s="125"/>
      <c r="G156" s="211" t="s">
        <v>276</v>
      </c>
      <c r="H156" s="130"/>
      <c r="I156" s="189"/>
      <c r="J156" s="131"/>
      <c r="K156" s="167"/>
      <c r="L156" s="132"/>
      <c r="M156" s="125"/>
      <c r="N156" s="133"/>
      <c r="O156" s="134"/>
      <c r="P156" s="135"/>
      <c r="Q156" s="135"/>
      <c r="R156" s="134"/>
      <c r="S156" s="134"/>
      <c r="T156" s="135"/>
      <c r="U156" s="135"/>
      <c r="V156" s="134"/>
    </row>
    <row r="157" spans="1:22" ht="15" hidden="1" customHeight="1" x14ac:dyDescent="0.25">
      <c r="A157" s="126" t="s">
        <v>593</v>
      </c>
      <c r="B157" s="127"/>
      <c r="C157" s="128"/>
      <c r="D157" s="129" t="s">
        <v>581</v>
      </c>
      <c r="E157" s="213" t="s">
        <v>594</v>
      </c>
      <c r="F157" s="125"/>
      <c r="G157" s="211" t="s">
        <v>276</v>
      </c>
      <c r="H157" s="130"/>
      <c r="I157" s="189"/>
      <c r="J157" s="131"/>
      <c r="K157" s="167"/>
      <c r="L157" s="132"/>
      <c r="M157" s="125"/>
      <c r="N157" s="133"/>
      <c r="O157" s="134"/>
      <c r="P157" s="135"/>
      <c r="Q157" s="135"/>
      <c r="R157" s="134"/>
      <c r="S157" s="134"/>
      <c r="T157" s="135"/>
      <c r="U157" s="135"/>
      <c r="V157" s="134"/>
    </row>
    <row r="158" spans="1:22" ht="15" hidden="1" customHeight="1" x14ac:dyDescent="0.25">
      <c r="A158" s="126" t="s">
        <v>595</v>
      </c>
      <c r="B158" s="127"/>
      <c r="C158" s="128"/>
      <c r="D158" s="129" t="s">
        <v>581</v>
      </c>
      <c r="E158" s="213" t="s">
        <v>596</v>
      </c>
      <c r="F158" s="125"/>
      <c r="G158" s="211" t="s">
        <v>276</v>
      </c>
      <c r="H158" s="130"/>
      <c r="I158" s="189"/>
      <c r="J158" s="131"/>
      <c r="K158" s="167"/>
      <c r="L158" s="132"/>
      <c r="M158" s="125"/>
      <c r="N158" s="133"/>
      <c r="O158" s="134"/>
      <c r="P158" s="135"/>
      <c r="Q158" s="135"/>
      <c r="R158" s="134"/>
      <c r="S158" s="134"/>
      <c r="T158" s="135"/>
      <c r="U158" s="135"/>
      <c r="V158" s="134"/>
    </row>
    <row r="159" spans="1:22" ht="15" hidden="1" customHeight="1" x14ac:dyDescent="0.25">
      <c r="A159" s="126" t="s">
        <v>597</v>
      </c>
      <c r="B159" s="127"/>
      <c r="C159" s="128"/>
      <c r="D159" s="129" t="s">
        <v>581</v>
      </c>
      <c r="E159" s="213" t="s">
        <v>598</v>
      </c>
      <c r="F159" s="125"/>
      <c r="G159" s="211" t="s">
        <v>276</v>
      </c>
      <c r="H159" s="130"/>
      <c r="I159" s="189"/>
      <c r="J159" s="131"/>
      <c r="K159" s="167"/>
      <c r="L159" s="132"/>
      <c r="M159" s="125"/>
      <c r="N159" s="133"/>
      <c r="O159" s="134"/>
      <c r="P159" s="135"/>
      <c r="Q159" s="135"/>
      <c r="R159" s="134"/>
      <c r="S159" s="134"/>
      <c r="T159" s="135"/>
      <c r="U159" s="135"/>
      <c r="V159" s="134"/>
    </row>
    <row r="160" spans="1:22" ht="15" hidden="1" customHeight="1" x14ac:dyDescent="0.25">
      <c r="A160" s="126" t="s">
        <v>599</v>
      </c>
      <c r="B160" s="127"/>
      <c r="C160" s="128"/>
      <c r="D160" s="129" t="s">
        <v>361</v>
      </c>
      <c r="E160" s="213" t="s">
        <v>600</v>
      </c>
      <c r="F160" s="125"/>
      <c r="G160" s="211" t="s">
        <v>276</v>
      </c>
      <c r="H160" s="130"/>
      <c r="I160" s="189"/>
      <c r="J160" s="131"/>
      <c r="K160" s="167"/>
      <c r="L160" s="132"/>
      <c r="M160" s="125"/>
      <c r="N160" s="133"/>
      <c r="O160" s="134"/>
      <c r="P160" s="135"/>
      <c r="Q160" s="135"/>
      <c r="R160" s="134"/>
      <c r="S160" s="134"/>
      <c r="T160" s="135"/>
      <c r="U160" s="135"/>
      <c r="V160" s="134"/>
    </row>
    <row r="161" spans="1:22" ht="15" hidden="1" customHeight="1" x14ac:dyDescent="0.25">
      <c r="A161" s="126" t="s">
        <v>601</v>
      </c>
      <c r="B161" s="127"/>
      <c r="C161" s="128"/>
      <c r="D161" s="129" t="s">
        <v>361</v>
      </c>
      <c r="E161" s="213" t="s">
        <v>602</v>
      </c>
      <c r="F161" s="125"/>
      <c r="G161" s="211" t="s">
        <v>276</v>
      </c>
      <c r="H161" s="130"/>
      <c r="I161" s="189"/>
      <c r="J161" s="131"/>
      <c r="K161" s="167"/>
      <c r="L161" s="132"/>
      <c r="M161" s="125"/>
      <c r="N161" s="133"/>
      <c r="O161" s="134"/>
      <c r="P161" s="135"/>
      <c r="Q161" s="135"/>
      <c r="R161" s="134"/>
      <c r="S161" s="134"/>
      <c r="T161" s="135"/>
      <c r="U161" s="135"/>
      <c r="V161" s="134"/>
    </row>
    <row r="162" spans="1:22" ht="15" hidden="1" customHeight="1" x14ac:dyDescent="0.25">
      <c r="A162" s="126" t="s">
        <v>603</v>
      </c>
      <c r="B162" s="127"/>
      <c r="C162" s="128"/>
      <c r="D162" s="129" t="s">
        <v>361</v>
      </c>
      <c r="E162" s="213" t="s">
        <v>604</v>
      </c>
      <c r="F162" s="125"/>
      <c r="G162" s="211" t="s">
        <v>276</v>
      </c>
      <c r="H162" s="130"/>
      <c r="I162" s="189"/>
      <c r="J162" s="131"/>
      <c r="K162" s="167"/>
      <c r="L162" s="132"/>
      <c r="M162" s="125"/>
      <c r="N162" s="133"/>
      <c r="O162" s="134"/>
      <c r="P162" s="135"/>
      <c r="Q162" s="135"/>
      <c r="R162" s="134"/>
      <c r="S162" s="134"/>
      <c r="T162" s="135"/>
      <c r="U162" s="135"/>
      <c r="V162" s="134"/>
    </row>
    <row r="163" spans="1:22" ht="15" hidden="1" customHeight="1" x14ac:dyDescent="0.25">
      <c r="A163" s="126" t="s">
        <v>605</v>
      </c>
      <c r="B163" s="127"/>
      <c r="C163" s="128"/>
      <c r="D163" s="129" t="s">
        <v>581</v>
      </c>
      <c r="E163" s="213" t="s">
        <v>606</v>
      </c>
      <c r="F163" s="125"/>
      <c r="G163" s="211" t="s">
        <v>276</v>
      </c>
      <c r="H163" s="130"/>
      <c r="I163" s="189"/>
      <c r="J163" s="131"/>
      <c r="K163" s="167"/>
      <c r="L163" s="132"/>
      <c r="M163" s="125"/>
      <c r="N163" s="133"/>
      <c r="O163" s="134"/>
      <c r="P163" s="135"/>
      <c r="Q163" s="135"/>
      <c r="R163" s="134"/>
      <c r="S163" s="134"/>
      <c r="T163" s="135"/>
      <c r="U163" s="135"/>
      <c r="V163" s="134"/>
    </row>
    <row r="164" spans="1:22" ht="15" hidden="1" customHeight="1" x14ac:dyDescent="0.25">
      <c r="A164" s="126" t="s">
        <v>607</v>
      </c>
      <c r="B164" s="127"/>
      <c r="C164" s="128"/>
      <c r="D164" s="129" t="s">
        <v>361</v>
      </c>
      <c r="E164" s="213" t="s">
        <v>370</v>
      </c>
      <c r="F164" s="125"/>
      <c r="G164" s="211" t="s">
        <v>276</v>
      </c>
      <c r="H164" s="130"/>
      <c r="I164" s="189"/>
      <c r="J164" s="131"/>
      <c r="K164" s="167"/>
      <c r="L164" s="132"/>
      <c r="M164" s="125"/>
      <c r="N164" s="133"/>
      <c r="O164" s="134"/>
      <c r="P164" s="135"/>
      <c r="Q164" s="135"/>
      <c r="R164" s="134"/>
      <c r="S164" s="134"/>
      <c r="T164" s="135"/>
      <c r="U164" s="135"/>
      <c r="V164" s="134"/>
    </row>
    <row r="165" spans="1:22" ht="15" hidden="1" customHeight="1" x14ac:dyDescent="0.25">
      <c r="A165" s="126" t="s">
        <v>608</v>
      </c>
      <c r="B165" s="127"/>
      <c r="C165" s="128"/>
      <c r="D165" s="129" t="s">
        <v>361</v>
      </c>
      <c r="E165" s="213" t="s">
        <v>370</v>
      </c>
      <c r="F165" s="125"/>
      <c r="G165" s="211" t="s">
        <v>276</v>
      </c>
      <c r="H165" s="130"/>
      <c r="I165" s="189"/>
      <c r="J165" s="131"/>
      <c r="K165" s="167"/>
      <c r="L165" s="132"/>
      <c r="M165" s="125"/>
      <c r="N165" s="133"/>
      <c r="O165" s="134"/>
      <c r="P165" s="135"/>
      <c r="Q165" s="135"/>
      <c r="R165" s="134"/>
      <c r="S165" s="134"/>
      <c r="T165" s="135"/>
      <c r="U165" s="135"/>
      <c r="V165" s="134"/>
    </row>
    <row r="166" spans="1:22" ht="15" hidden="1" customHeight="1" x14ac:dyDescent="0.25">
      <c r="A166" s="126" t="s">
        <v>609</v>
      </c>
      <c r="B166" s="127"/>
      <c r="C166" s="128"/>
      <c r="D166" s="129" t="s">
        <v>361</v>
      </c>
      <c r="E166" s="213" t="s">
        <v>370</v>
      </c>
      <c r="F166" s="125"/>
      <c r="G166" s="211" t="s">
        <v>276</v>
      </c>
      <c r="H166" s="130"/>
      <c r="I166" s="189"/>
      <c r="J166" s="131"/>
      <c r="K166" s="167"/>
      <c r="L166" s="132"/>
      <c r="M166" s="125"/>
      <c r="N166" s="133"/>
      <c r="O166" s="134"/>
      <c r="P166" s="135"/>
      <c r="Q166" s="135"/>
      <c r="R166" s="134"/>
      <c r="S166" s="134"/>
      <c r="T166" s="135"/>
      <c r="U166" s="135"/>
      <c r="V166" s="134"/>
    </row>
    <row r="167" spans="1:22" ht="15" hidden="1" customHeight="1" x14ac:dyDescent="0.25">
      <c r="A167" s="126" t="s">
        <v>610</v>
      </c>
      <c r="B167" s="127"/>
      <c r="C167" s="128"/>
      <c r="D167" s="129" t="s">
        <v>377</v>
      </c>
      <c r="E167" s="213" t="s">
        <v>611</v>
      </c>
      <c r="F167" s="125"/>
      <c r="G167" s="211" t="s">
        <v>276</v>
      </c>
      <c r="H167" s="130"/>
      <c r="I167" s="189"/>
      <c r="J167" s="131"/>
      <c r="K167" s="167"/>
      <c r="L167" s="132"/>
      <c r="M167" s="125"/>
      <c r="N167" s="133"/>
      <c r="O167" s="134"/>
      <c r="P167" s="135"/>
      <c r="Q167" s="135"/>
      <c r="R167" s="134"/>
      <c r="S167" s="134"/>
      <c r="T167" s="135"/>
      <c r="U167" s="135"/>
      <c r="V167" s="134"/>
    </row>
    <row r="168" spans="1:22" ht="15" hidden="1" customHeight="1" x14ac:dyDescent="0.25">
      <c r="A168" s="126" t="s">
        <v>612</v>
      </c>
      <c r="B168" s="127"/>
      <c r="C168" s="128"/>
      <c r="D168" s="129" t="s">
        <v>581</v>
      </c>
      <c r="E168" s="213" t="s">
        <v>613</v>
      </c>
      <c r="F168" s="125"/>
      <c r="G168" s="211" t="s">
        <v>276</v>
      </c>
      <c r="H168" s="130"/>
      <c r="I168" s="189"/>
      <c r="J168" s="131"/>
      <c r="K168" s="167"/>
      <c r="L168" s="132"/>
      <c r="M168" s="125"/>
      <c r="N168" s="133"/>
      <c r="O168" s="134"/>
      <c r="P168" s="135"/>
      <c r="Q168" s="135"/>
      <c r="R168" s="134"/>
      <c r="S168" s="134"/>
      <c r="T168" s="135"/>
      <c r="U168" s="135"/>
      <c r="V168" s="134"/>
    </row>
    <row r="169" spans="1:22" ht="15" hidden="1" customHeight="1" x14ac:dyDescent="0.25">
      <c r="A169" s="126" t="s">
        <v>614</v>
      </c>
      <c r="B169" s="127"/>
      <c r="C169" s="128"/>
      <c r="D169" s="129" t="s">
        <v>581</v>
      </c>
      <c r="E169" s="213" t="s">
        <v>615</v>
      </c>
      <c r="F169" s="125"/>
      <c r="G169" s="211" t="s">
        <v>276</v>
      </c>
      <c r="H169" s="130"/>
      <c r="I169" s="189"/>
      <c r="J169" s="131"/>
      <c r="K169" s="167"/>
      <c r="L169" s="132"/>
      <c r="M169" s="125"/>
      <c r="N169" s="133"/>
      <c r="O169" s="134"/>
      <c r="P169" s="135"/>
      <c r="Q169" s="135"/>
      <c r="R169" s="134"/>
      <c r="S169" s="134"/>
      <c r="T169" s="135"/>
      <c r="U169" s="135"/>
      <c r="V169" s="134"/>
    </row>
    <row r="170" spans="1:22" ht="15" hidden="1" customHeight="1" x14ac:dyDescent="0.25">
      <c r="A170" s="126" t="s">
        <v>616</v>
      </c>
      <c r="B170" s="127"/>
      <c r="C170" s="128"/>
      <c r="D170" s="129" t="s">
        <v>581</v>
      </c>
      <c r="E170" s="213" t="s">
        <v>617</v>
      </c>
      <c r="F170" s="125"/>
      <c r="G170" s="211" t="s">
        <v>276</v>
      </c>
      <c r="H170" s="130"/>
      <c r="I170" s="189"/>
      <c r="J170" s="131"/>
      <c r="K170" s="167"/>
      <c r="L170" s="132"/>
      <c r="M170" s="125"/>
      <c r="N170" s="133"/>
      <c r="O170" s="134"/>
      <c r="P170" s="135"/>
      <c r="Q170" s="135"/>
      <c r="R170" s="134"/>
      <c r="S170" s="134"/>
      <c r="T170" s="135"/>
      <c r="U170" s="135"/>
      <c r="V170" s="134"/>
    </row>
    <row r="171" spans="1:22" ht="15" hidden="1" customHeight="1" x14ac:dyDescent="0.25">
      <c r="A171" s="126" t="s">
        <v>618</v>
      </c>
      <c r="B171" s="127"/>
      <c r="C171" s="128"/>
      <c r="D171" s="129" t="s">
        <v>581</v>
      </c>
      <c r="E171" s="213" t="s">
        <v>619</v>
      </c>
      <c r="F171" s="125"/>
      <c r="G171" s="211" t="s">
        <v>276</v>
      </c>
      <c r="H171" s="130"/>
      <c r="I171" s="189"/>
      <c r="J171" s="131"/>
      <c r="K171" s="167"/>
      <c r="L171" s="132"/>
      <c r="M171" s="125"/>
      <c r="N171" s="133"/>
      <c r="O171" s="134"/>
      <c r="P171" s="135"/>
      <c r="Q171" s="135"/>
      <c r="R171" s="134"/>
      <c r="S171" s="134"/>
      <c r="T171" s="135"/>
      <c r="U171" s="135"/>
      <c r="V171" s="134"/>
    </row>
    <row r="172" spans="1:22" ht="15" hidden="1" customHeight="1" x14ac:dyDescent="0.25">
      <c r="A172" s="126" t="s">
        <v>620</v>
      </c>
      <c r="B172" s="127"/>
      <c r="C172" s="128"/>
      <c r="D172" s="129" t="s">
        <v>361</v>
      </c>
      <c r="E172" s="213" t="s">
        <v>370</v>
      </c>
      <c r="F172" s="125"/>
      <c r="G172" s="211" t="s">
        <v>276</v>
      </c>
      <c r="H172" s="130"/>
      <c r="I172" s="189"/>
      <c r="J172" s="131"/>
      <c r="K172" s="167"/>
      <c r="L172" s="132"/>
      <c r="M172" s="125"/>
      <c r="N172" s="133"/>
      <c r="O172" s="134"/>
      <c r="P172" s="135"/>
      <c r="Q172" s="135"/>
      <c r="R172" s="134"/>
      <c r="S172" s="134"/>
      <c r="T172" s="135"/>
      <c r="U172" s="135"/>
      <c r="V172" s="134"/>
    </row>
    <row r="173" spans="1:22" ht="15" hidden="1" customHeight="1" x14ac:dyDescent="0.25">
      <c r="A173" s="126" t="s">
        <v>621</v>
      </c>
      <c r="B173" s="127"/>
      <c r="C173" s="128"/>
      <c r="D173" s="129" t="s">
        <v>361</v>
      </c>
      <c r="E173" s="213" t="s">
        <v>370</v>
      </c>
      <c r="F173" s="125"/>
      <c r="G173" s="211" t="s">
        <v>276</v>
      </c>
      <c r="H173" s="130"/>
      <c r="I173" s="189"/>
      <c r="J173" s="131"/>
      <c r="K173" s="167"/>
      <c r="L173" s="132"/>
      <c r="M173" s="125"/>
      <c r="N173" s="133"/>
      <c r="O173" s="134"/>
      <c r="P173" s="135"/>
      <c r="Q173" s="135"/>
      <c r="R173" s="134"/>
      <c r="S173" s="134"/>
      <c r="T173" s="135"/>
      <c r="U173" s="135"/>
      <c r="V173" s="134"/>
    </row>
    <row r="174" spans="1:22" ht="15" hidden="1" customHeight="1" x14ac:dyDescent="0.25">
      <c r="A174" s="126" t="s">
        <v>622</v>
      </c>
      <c r="B174" s="127"/>
      <c r="C174" s="128"/>
      <c r="D174" s="129" t="s">
        <v>377</v>
      </c>
      <c r="E174" s="213" t="s">
        <v>623</v>
      </c>
      <c r="F174" s="125"/>
      <c r="G174" s="211" t="s">
        <v>276</v>
      </c>
      <c r="H174" s="130"/>
      <c r="I174" s="189"/>
      <c r="J174" s="131"/>
      <c r="K174" s="167"/>
      <c r="L174" s="132"/>
      <c r="M174" s="125"/>
      <c r="N174" s="133"/>
      <c r="O174" s="134"/>
      <c r="P174" s="135"/>
      <c r="Q174" s="135"/>
      <c r="R174" s="134"/>
      <c r="S174" s="134"/>
      <c r="T174" s="135"/>
      <c r="U174" s="135"/>
      <c r="V174" s="134"/>
    </row>
    <row r="175" spans="1:22" ht="15" hidden="1" customHeight="1" x14ac:dyDescent="0.25">
      <c r="A175" s="126" t="s">
        <v>624</v>
      </c>
      <c r="B175" s="127"/>
      <c r="C175" s="128"/>
      <c r="D175" s="129" t="s">
        <v>361</v>
      </c>
      <c r="E175" s="213" t="s">
        <v>625</v>
      </c>
      <c r="F175" s="125"/>
      <c r="G175" s="211" t="s">
        <v>276</v>
      </c>
      <c r="H175" s="130"/>
      <c r="I175" s="189"/>
      <c r="J175" s="131"/>
      <c r="K175" s="167"/>
      <c r="L175" s="132"/>
      <c r="M175" s="125"/>
      <c r="N175" s="133"/>
      <c r="O175" s="134"/>
      <c r="P175" s="135"/>
      <c r="Q175" s="135"/>
      <c r="R175" s="134"/>
      <c r="S175" s="134"/>
      <c r="T175" s="135"/>
      <c r="U175" s="135"/>
      <c r="V175" s="134"/>
    </row>
    <row r="176" spans="1:22" ht="15" hidden="1" customHeight="1" x14ac:dyDescent="0.25">
      <c r="A176" s="126" t="s">
        <v>626</v>
      </c>
      <c r="B176" s="127"/>
      <c r="C176" s="128"/>
      <c r="D176" s="129" t="s">
        <v>361</v>
      </c>
      <c r="E176" s="213" t="s">
        <v>627</v>
      </c>
      <c r="F176" s="125"/>
      <c r="G176" s="211" t="s">
        <v>276</v>
      </c>
      <c r="H176" s="130"/>
      <c r="I176" s="189"/>
      <c r="J176" s="131"/>
      <c r="K176" s="167"/>
      <c r="L176" s="132"/>
      <c r="M176" s="125"/>
      <c r="N176" s="133"/>
      <c r="O176" s="134"/>
      <c r="P176" s="135"/>
      <c r="Q176" s="135"/>
      <c r="R176" s="134"/>
      <c r="S176" s="134"/>
      <c r="T176" s="135"/>
      <c r="U176" s="135"/>
      <c r="V176" s="134"/>
    </row>
    <row r="177" spans="1:22" ht="15" hidden="1" customHeight="1" x14ac:dyDescent="0.25">
      <c r="A177" s="126" t="s">
        <v>628</v>
      </c>
      <c r="B177" s="127"/>
      <c r="C177" s="128"/>
      <c r="D177" s="129" t="s">
        <v>361</v>
      </c>
      <c r="E177" s="213" t="s">
        <v>629</v>
      </c>
      <c r="F177" s="125"/>
      <c r="G177" s="211" t="s">
        <v>276</v>
      </c>
      <c r="H177" s="130"/>
      <c r="I177" s="189"/>
      <c r="J177" s="131"/>
      <c r="K177" s="167"/>
      <c r="L177" s="132"/>
      <c r="M177" s="125"/>
      <c r="N177" s="133"/>
      <c r="O177" s="134"/>
      <c r="P177" s="135"/>
      <c r="Q177" s="135"/>
      <c r="R177" s="134"/>
      <c r="S177" s="134"/>
      <c r="T177" s="135"/>
      <c r="U177" s="135"/>
      <c r="V177" s="134"/>
    </row>
    <row r="178" spans="1:22" ht="15" hidden="1" customHeight="1" x14ac:dyDescent="0.25">
      <c r="A178" s="126" t="s">
        <v>630</v>
      </c>
      <c r="B178" s="127"/>
      <c r="C178" s="128"/>
      <c r="D178" s="129" t="s">
        <v>581</v>
      </c>
      <c r="E178" s="213" t="s">
        <v>631</v>
      </c>
      <c r="F178" s="125"/>
      <c r="G178" s="211" t="s">
        <v>276</v>
      </c>
      <c r="H178" s="130"/>
      <c r="I178" s="189"/>
      <c r="J178" s="131"/>
      <c r="K178" s="167"/>
      <c r="L178" s="132"/>
      <c r="M178" s="125"/>
      <c r="N178" s="133"/>
      <c r="O178" s="134"/>
      <c r="P178" s="135"/>
      <c r="Q178" s="135"/>
      <c r="R178" s="134"/>
      <c r="S178" s="134"/>
      <c r="T178" s="135"/>
      <c r="U178" s="135"/>
      <c r="V178" s="134"/>
    </row>
    <row r="179" spans="1:22" ht="15" hidden="1" customHeight="1" x14ac:dyDescent="0.25">
      <c r="A179" s="126" t="s">
        <v>632</v>
      </c>
      <c r="B179" s="127"/>
      <c r="C179" s="128"/>
      <c r="D179" s="129" t="s">
        <v>377</v>
      </c>
      <c r="E179" s="213" t="s">
        <v>633</v>
      </c>
      <c r="F179" s="125"/>
      <c r="G179" s="211" t="s">
        <v>276</v>
      </c>
      <c r="H179" s="130"/>
      <c r="I179" s="189"/>
      <c r="J179" s="131"/>
      <c r="K179" s="167"/>
      <c r="L179" s="132"/>
      <c r="M179" s="125"/>
      <c r="N179" s="133"/>
      <c r="O179" s="134"/>
      <c r="P179" s="135"/>
      <c r="Q179" s="135"/>
      <c r="R179" s="134"/>
      <c r="S179" s="134"/>
      <c r="T179" s="135"/>
      <c r="U179" s="135"/>
      <c r="V179" s="134"/>
    </row>
    <row r="180" spans="1:22" ht="15" hidden="1" customHeight="1" x14ac:dyDescent="0.25">
      <c r="A180" s="126" t="s">
        <v>634</v>
      </c>
      <c r="B180" s="127"/>
      <c r="C180" s="128"/>
      <c r="D180" s="129" t="s">
        <v>361</v>
      </c>
      <c r="E180" s="213" t="s">
        <v>635</v>
      </c>
      <c r="F180" s="125"/>
      <c r="G180" s="211" t="s">
        <v>276</v>
      </c>
      <c r="H180" s="130"/>
      <c r="I180" s="189"/>
      <c r="J180" s="131"/>
      <c r="K180" s="167"/>
      <c r="L180" s="132"/>
      <c r="M180" s="125"/>
      <c r="N180" s="133"/>
      <c r="O180" s="134"/>
      <c r="P180" s="135"/>
      <c r="Q180" s="135"/>
      <c r="R180" s="134"/>
      <c r="S180" s="134"/>
      <c r="T180" s="135"/>
      <c r="U180" s="135"/>
      <c r="V180" s="134"/>
    </row>
    <row r="181" spans="1:22" ht="15" hidden="1" customHeight="1" x14ac:dyDescent="0.25">
      <c r="A181" s="126" t="s">
        <v>636</v>
      </c>
      <c r="B181" s="127"/>
      <c r="C181" s="128"/>
      <c r="D181" s="129" t="s">
        <v>361</v>
      </c>
      <c r="E181" s="213" t="s">
        <v>637</v>
      </c>
      <c r="F181" s="125"/>
      <c r="G181" s="211" t="s">
        <v>276</v>
      </c>
      <c r="H181" s="130"/>
      <c r="I181" s="189"/>
      <c r="J181" s="131"/>
      <c r="K181" s="167"/>
      <c r="L181" s="132"/>
      <c r="M181" s="125"/>
      <c r="N181" s="133"/>
      <c r="O181" s="134"/>
      <c r="P181" s="135"/>
      <c r="Q181" s="135"/>
      <c r="R181" s="134"/>
      <c r="S181" s="134"/>
      <c r="T181" s="135"/>
      <c r="U181" s="135"/>
      <c r="V181" s="134"/>
    </row>
    <row r="182" spans="1:22" ht="15" hidden="1" customHeight="1" x14ac:dyDescent="0.25">
      <c r="A182" s="126" t="s">
        <v>638</v>
      </c>
      <c r="B182" s="127"/>
      <c r="C182" s="128"/>
      <c r="D182" s="129" t="s">
        <v>361</v>
      </c>
      <c r="E182" s="213" t="s">
        <v>639</v>
      </c>
      <c r="F182" s="125"/>
      <c r="G182" s="211" t="s">
        <v>276</v>
      </c>
      <c r="H182" s="130"/>
      <c r="I182" s="189"/>
      <c r="J182" s="131"/>
      <c r="K182" s="167"/>
      <c r="L182" s="132"/>
      <c r="M182" s="125"/>
      <c r="N182" s="133"/>
      <c r="O182" s="134"/>
      <c r="P182" s="135"/>
      <c r="Q182" s="135"/>
      <c r="R182" s="134"/>
      <c r="S182" s="134"/>
      <c r="T182" s="135"/>
      <c r="U182" s="135"/>
      <c r="V182" s="134"/>
    </row>
    <row r="183" spans="1:22" ht="15" hidden="1" customHeight="1" x14ac:dyDescent="0.25">
      <c r="A183" s="126" t="s">
        <v>640</v>
      </c>
      <c r="B183" s="127"/>
      <c r="C183" s="128"/>
      <c r="D183" s="129" t="s">
        <v>581</v>
      </c>
      <c r="E183" s="213" t="s">
        <v>641</v>
      </c>
      <c r="F183" s="125"/>
      <c r="G183" s="211" t="s">
        <v>276</v>
      </c>
      <c r="H183" s="130"/>
      <c r="I183" s="189"/>
      <c r="J183" s="131"/>
      <c r="K183" s="167"/>
      <c r="L183" s="132"/>
      <c r="M183" s="125"/>
      <c r="N183" s="133"/>
      <c r="O183" s="134"/>
      <c r="P183" s="135"/>
      <c r="Q183" s="135"/>
      <c r="R183" s="134"/>
      <c r="S183" s="134"/>
      <c r="T183" s="135"/>
      <c r="U183" s="135"/>
      <c r="V183" s="134"/>
    </row>
    <row r="184" spans="1:22" ht="15" hidden="1" customHeight="1" x14ac:dyDescent="0.25">
      <c r="A184" s="126" t="s">
        <v>642</v>
      </c>
      <c r="B184" s="127"/>
      <c r="C184" s="128"/>
      <c r="D184" s="129" t="s">
        <v>361</v>
      </c>
      <c r="E184" s="213" t="s">
        <v>370</v>
      </c>
      <c r="F184" s="125"/>
      <c r="G184" s="211" t="s">
        <v>276</v>
      </c>
      <c r="H184" s="130"/>
      <c r="I184" s="189"/>
      <c r="J184" s="131"/>
      <c r="K184" s="167"/>
      <c r="L184" s="132"/>
      <c r="M184" s="125"/>
      <c r="N184" s="133"/>
      <c r="O184" s="134"/>
      <c r="P184" s="135"/>
      <c r="Q184" s="135"/>
      <c r="R184" s="134"/>
      <c r="S184" s="134"/>
      <c r="T184" s="135"/>
      <c r="U184" s="135"/>
      <c r="V184" s="134"/>
    </row>
    <row r="185" spans="1:22" ht="15" hidden="1" customHeight="1" x14ac:dyDescent="0.25">
      <c r="A185" s="126" t="s">
        <v>643</v>
      </c>
      <c r="B185" s="127"/>
      <c r="C185" s="128"/>
      <c r="D185" s="129" t="s">
        <v>369</v>
      </c>
      <c r="E185" s="213" t="s">
        <v>644</v>
      </c>
      <c r="F185" s="125"/>
      <c r="G185" s="211" t="s">
        <v>276</v>
      </c>
      <c r="H185" s="130"/>
      <c r="I185" s="189"/>
      <c r="J185" s="131"/>
      <c r="K185" s="167"/>
      <c r="L185" s="132"/>
      <c r="M185" s="125"/>
      <c r="N185" s="133"/>
      <c r="O185" s="134"/>
      <c r="P185" s="135"/>
      <c r="Q185" s="135"/>
      <c r="R185" s="134"/>
      <c r="S185" s="134"/>
      <c r="T185" s="135"/>
      <c r="U185" s="135"/>
      <c r="V185" s="134"/>
    </row>
    <row r="186" spans="1:22" ht="15" hidden="1" customHeight="1" x14ac:dyDescent="0.25">
      <c r="A186" s="126" t="s">
        <v>645</v>
      </c>
      <c r="B186" s="127"/>
      <c r="C186" s="128"/>
      <c r="D186" s="129" t="s">
        <v>377</v>
      </c>
      <c r="E186" s="213" t="s">
        <v>646</v>
      </c>
      <c r="F186" s="125"/>
      <c r="G186" s="211" t="s">
        <v>276</v>
      </c>
      <c r="H186" s="130"/>
      <c r="I186" s="189"/>
      <c r="J186" s="131"/>
      <c r="K186" s="167"/>
      <c r="L186" s="132"/>
      <c r="M186" s="125"/>
      <c r="N186" s="133"/>
      <c r="O186" s="134"/>
      <c r="P186" s="135"/>
      <c r="Q186" s="135"/>
      <c r="R186" s="134"/>
      <c r="S186" s="134"/>
      <c r="T186" s="135"/>
      <c r="U186" s="135"/>
      <c r="V186" s="134"/>
    </row>
    <row r="187" spans="1:22" ht="15" hidden="1" customHeight="1" x14ac:dyDescent="0.25">
      <c r="A187" s="126" t="s">
        <v>647</v>
      </c>
      <c r="B187" s="127"/>
      <c r="C187" s="128"/>
      <c r="D187" s="129" t="s">
        <v>581</v>
      </c>
      <c r="E187" s="213" t="s">
        <v>648</v>
      </c>
      <c r="F187" s="125"/>
      <c r="G187" s="211" t="s">
        <v>276</v>
      </c>
      <c r="H187" s="130"/>
      <c r="I187" s="189"/>
      <c r="J187" s="131"/>
      <c r="K187" s="167"/>
      <c r="L187" s="132"/>
      <c r="M187" s="125"/>
      <c r="N187" s="133"/>
      <c r="O187" s="134"/>
      <c r="P187" s="135"/>
      <c r="Q187" s="135"/>
      <c r="R187" s="134"/>
      <c r="S187" s="134"/>
      <c r="T187" s="135"/>
      <c r="U187" s="135"/>
      <c r="V187" s="134"/>
    </row>
    <row r="188" spans="1:22" ht="15" hidden="1" customHeight="1" x14ac:dyDescent="0.25">
      <c r="A188" s="126" t="s">
        <v>649</v>
      </c>
      <c r="B188" s="127"/>
      <c r="C188" s="128"/>
      <c r="D188" s="129" t="s">
        <v>581</v>
      </c>
      <c r="E188" s="213" t="s">
        <v>650</v>
      </c>
      <c r="F188" s="125"/>
      <c r="G188" s="211" t="s">
        <v>276</v>
      </c>
      <c r="H188" s="130"/>
      <c r="I188" s="189"/>
      <c r="J188" s="131"/>
      <c r="K188" s="167"/>
      <c r="L188" s="132"/>
      <c r="M188" s="125"/>
      <c r="N188" s="133"/>
      <c r="O188" s="134"/>
      <c r="P188" s="135"/>
      <c r="Q188" s="135"/>
      <c r="R188" s="134"/>
      <c r="S188" s="134"/>
      <c r="T188" s="135"/>
      <c r="U188" s="135"/>
      <c r="V188" s="134"/>
    </row>
    <row r="189" spans="1:22" ht="15" hidden="1" customHeight="1" x14ac:dyDescent="0.25">
      <c r="A189" s="126" t="s">
        <v>651</v>
      </c>
      <c r="B189" s="127"/>
      <c r="C189" s="128"/>
      <c r="D189" s="129" t="s">
        <v>581</v>
      </c>
      <c r="E189" s="213" t="s">
        <v>652</v>
      </c>
      <c r="F189" s="125"/>
      <c r="G189" s="211" t="s">
        <v>276</v>
      </c>
      <c r="H189" s="130"/>
      <c r="I189" s="189"/>
      <c r="J189" s="131"/>
      <c r="K189" s="167"/>
      <c r="L189" s="132"/>
      <c r="M189" s="125"/>
      <c r="N189" s="133"/>
      <c r="O189" s="134"/>
      <c r="P189" s="135"/>
      <c r="Q189" s="135"/>
      <c r="R189" s="134"/>
      <c r="S189" s="134"/>
      <c r="T189" s="135"/>
      <c r="U189" s="135"/>
      <c r="V189" s="134"/>
    </row>
    <row r="190" spans="1:22" ht="15" hidden="1" customHeight="1" x14ac:dyDescent="0.25">
      <c r="A190" s="126" t="s">
        <v>653</v>
      </c>
      <c r="B190" s="127"/>
      <c r="C190" s="128"/>
      <c r="D190" s="129" t="s">
        <v>581</v>
      </c>
      <c r="E190" s="213" t="s">
        <v>654</v>
      </c>
      <c r="F190" s="125"/>
      <c r="G190" s="211" t="s">
        <v>276</v>
      </c>
      <c r="H190" s="130"/>
      <c r="I190" s="189"/>
      <c r="J190" s="131"/>
      <c r="K190" s="167"/>
      <c r="L190" s="132"/>
      <c r="M190" s="125"/>
      <c r="N190" s="133"/>
      <c r="O190" s="134"/>
      <c r="P190" s="135"/>
      <c r="Q190" s="135"/>
      <c r="R190" s="134"/>
      <c r="S190" s="134"/>
      <c r="T190" s="135"/>
      <c r="U190" s="135"/>
      <c r="V190" s="134"/>
    </row>
    <row r="191" spans="1:22" ht="15" hidden="1" customHeight="1" x14ac:dyDescent="0.25">
      <c r="A191" s="126" t="s">
        <v>655</v>
      </c>
      <c r="B191" s="127"/>
      <c r="C191" s="128"/>
      <c r="D191" s="129" t="s">
        <v>581</v>
      </c>
      <c r="E191" s="213" t="s">
        <v>656</v>
      </c>
      <c r="F191" s="125"/>
      <c r="G191" s="211" t="s">
        <v>276</v>
      </c>
      <c r="H191" s="130"/>
      <c r="I191" s="189"/>
      <c r="J191" s="131"/>
      <c r="K191" s="167"/>
      <c r="L191" s="132"/>
      <c r="M191" s="125"/>
      <c r="N191" s="133"/>
      <c r="O191" s="134"/>
      <c r="P191" s="135"/>
      <c r="Q191" s="135"/>
      <c r="R191" s="134"/>
      <c r="S191" s="134"/>
      <c r="T191" s="135"/>
      <c r="U191" s="135"/>
      <c r="V191" s="134"/>
    </row>
    <row r="192" spans="1:22" ht="15" hidden="1" customHeight="1" x14ac:dyDescent="0.25">
      <c r="A192" s="126" t="s">
        <v>657</v>
      </c>
      <c r="B192" s="127"/>
      <c r="C192" s="128"/>
      <c r="D192" s="129" t="s">
        <v>581</v>
      </c>
      <c r="E192" s="213" t="s">
        <v>658</v>
      </c>
      <c r="F192" s="125"/>
      <c r="G192" s="211" t="s">
        <v>276</v>
      </c>
      <c r="H192" s="130"/>
      <c r="I192" s="189"/>
      <c r="J192" s="131"/>
      <c r="K192" s="167"/>
      <c r="L192" s="132"/>
      <c r="M192" s="125"/>
      <c r="N192" s="133"/>
      <c r="O192" s="134"/>
      <c r="P192" s="135"/>
      <c r="Q192" s="135"/>
      <c r="R192" s="134"/>
      <c r="S192" s="134"/>
      <c r="T192" s="135"/>
      <c r="U192" s="135"/>
      <c r="V192" s="134"/>
    </row>
    <row r="193" spans="1:22" ht="15" hidden="1" customHeight="1" x14ac:dyDescent="0.25">
      <c r="A193" s="126" t="s">
        <v>659</v>
      </c>
      <c r="B193" s="127"/>
      <c r="C193" s="128"/>
      <c r="D193" s="129" t="s">
        <v>581</v>
      </c>
      <c r="E193" s="213" t="s">
        <v>660</v>
      </c>
      <c r="F193" s="125"/>
      <c r="G193" s="211" t="s">
        <v>276</v>
      </c>
      <c r="H193" s="130"/>
      <c r="I193" s="189"/>
      <c r="J193" s="131"/>
      <c r="K193" s="167"/>
      <c r="L193" s="132"/>
      <c r="M193" s="125"/>
      <c r="N193" s="133"/>
      <c r="O193" s="134"/>
      <c r="P193" s="135"/>
      <c r="Q193" s="135"/>
      <c r="R193" s="134"/>
      <c r="S193" s="134"/>
      <c r="T193" s="135"/>
      <c r="U193" s="135"/>
      <c r="V193" s="134"/>
    </row>
    <row r="194" spans="1:22" ht="15" hidden="1" customHeight="1" x14ac:dyDescent="0.25">
      <c r="A194" s="126" t="s">
        <v>661</v>
      </c>
      <c r="B194" s="127"/>
      <c r="C194" s="128"/>
      <c r="D194" s="129" t="s">
        <v>581</v>
      </c>
      <c r="E194" s="213" t="s">
        <v>662</v>
      </c>
      <c r="F194" s="125"/>
      <c r="G194" s="211" t="s">
        <v>276</v>
      </c>
      <c r="H194" s="130"/>
      <c r="I194" s="189"/>
      <c r="J194" s="131"/>
      <c r="K194" s="167"/>
      <c r="L194" s="132"/>
      <c r="M194" s="125"/>
      <c r="N194" s="133"/>
      <c r="O194" s="134"/>
      <c r="P194" s="135"/>
      <c r="Q194" s="135"/>
      <c r="R194" s="134"/>
      <c r="S194" s="134"/>
      <c r="T194" s="135"/>
      <c r="U194" s="135"/>
      <c r="V194" s="134"/>
    </row>
    <row r="195" spans="1:22" ht="15" hidden="1" customHeight="1" x14ac:dyDescent="0.25">
      <c r="A195" s="126" t="s">
        <v>663</v>
      </c>
      <c r="B195" s="127"/>
      <c r="C195" s="128"/>
      <c r="D195" s="129" t="s">
        <v>581</v>
      </c>
      <c r="E195" s="213" t="s">
        <v>664</v>
      </c>
      <c r="F195" s="125"/>
      <c r="G195" s="211" t="s">
        <v>276</v>
      </c>
      <c r="H195" s="130"/>
      <c r="I195" s="189"/>
      <c r="J195" s="131"/>
      <c r="K195" s="167"/>
      <c r="L195" s="132"/>
      <c r="M195" s="125"/>
      <c r="N195" s="133"/>
      <c r="O195" s="134"/>
      <c r="P195" s="135"/>
      <c r="Q195" s="135"/>
      <c r="R195" s="134"/>
      <c r="S195" s="134"/>
      <c r="T195" s="135"/>
      <c r="U195" s="135"/>
      <c r="V195" s="134"/>
    </row>
    <row r="196" spans="1:22" ht="15" hidden="1" customHeight="1" x14ac:dyDescent="0.25">
      <c r="A196" s="126" t="s">
        <v>665</v>
      </c>
      <c r="B196" s="127"/>
      <c r="C196" s="128"/>
      <c r="D196" s="129" t="s">
        <v>581</v>
      </c>
      <c r="E196" s="213" t="s">
        <v>666</v>
      </c>
      <c r="F196" s="125"/>
      <c r="G196" s="211" t="s">
        <v>276</v>
      </c>
      <c r="H196" s="130"/>
      <c r="I196" s="189"/>
      <c r="J196" s="131"/>
      <c r="K196" s="167"/>
      <c r="L196" s="132"/>
      <c r="M196" s="125"/>
      <c r="N196" s="133"/>
      <c r="O196" s="134"/>
      <c r="P196" s="135"/>
      <c r="Q196" s="135"/>
      <c r="R196" s="134"/>
      <c r="S196" s="134"/>
      <c r="T196" s="135"/>
      <c r="U196" s="135"/>
      <c r="V196" s="134"/>
    </row>
    <row r="197" spans="1:22" ht="15" hidden="1" customHeight="1" x14ac:dyDescent="0.25">
      <c r="A197" s="126" t="s">
        <v>667</v>
      </c>
      <c r="B197" s="127"/>
      <c r="C197" s="128"/>
      <c r="D197" s="129" t="s">
        <v>358</v>
      </c>
      <c r="E197" s="213" t="s">
        <v>668</v>
      </c>
      <c r="F197" s="125"/>
      <c r="G197" s="211" t="s">
        <v>276</v>
      </c>
      <c r="H197" s="130"/>
      <c r="I197" s="189"/>
      <c r="J197" s="131"/>
      <c r="K197" s="167"/>
      <c r="L197" s="132"/>
      <c r="M197" s="125"/>
      <c r="N197" s="133"/>
      <c r="O197" s="134"/>
      <c r="P197" s="135"/>
      <c r="Q197" s="135"/>
      <c r="R197" s="134"/>
      <c r="S197" s="134"/>
      <c r="T197" s="135"/>
      <c r="U197" s="135"/>
      <c r="V197" s="134"/>
    </row>
    <row r="198" spans="1:22" ht="15" hidden="1" customHeight="1" x14ac:dyDescent="0.25">
      <c r="A198" s="126" t="s">
        <v>669</v>
      </c>
      <c r="B198" s="127"/>
      <c r="C198" s="128"/>
      <c r="D198" s="129" t="s">
        <v>361</v>
      </c>
      <c r="E198" s="213" t="s">
        <v>670</v>
      </c>
      <c r="F198" s="125"/>
      <c r="G198" s="211" t="s">
        <v>276</v>
      </c>
      <c r="H198" s="130"/>
      <c r="I198" s="189"/>
      <c r="J198" s="131"/>
      <c r="K198" s="167"/>
      <c r="L198" s="132"/>
      <c r="M198" s="125"/>
      <c r="N198" s="133"/>
      <c r="O198" s="134"/>
      <c r="P198" s="135"/>
      <c r="Q198" s="135"/>
      <c r="R198" s="134"/>
      <c r="S198" s="134"/>
      <c r="T198" s="135"/>
      <c r="U198" s="135"/>
      <c r="V198" s="134"/>
    </row>
    <row r="199" spans="1:22" ht="15" hidden="1" customHeight="1" x14ac:dyDescent="0.25">
      <c r="A199" s="126" t="s">
        <v>671</v>
      </c>
      <c r="B199" s="127"/>
      <c r="C199" s="128"/>
      <c r="D199" s="129" t="s">
        <v>361</v>
      </c>
      <c r="E199" s="213" t="s">
        <v>672</v>
      </c>
      <c r="F199" s="125"/>
      <c r="G199" s="211" t="s">
        <v>276</v>
      </c>
      <c r="H199" s="130"/>
      <c r="I199" s="189"/>
      <c r="J199" s="131"/>
      <c r="K199" s="167"/>
      <c r="L199" s="132"/>
      <c r="M199" s="125"/>
      <c r="N199" s="133"/>
      <c r="O199" s="134"/>
      <c r="P199" s="135"/>
      <c r="Q199" s="135"/>
      <c r="R199" s="134"/>
      <c r="S199" s="134"/>
      <c r="T199" s="135"/>
      <c r="U199" s="135"/>
      <c r="V199" s="134"/>
    </row>
    <row r="200" spans="1:22" ht="15" hidden="1" customHeight="1" x14ac:dyDescent="0.25">
      <c r="A200" s="126" t="s">
        <v>673</v>
      </c>
      <c r="B200" s="127"/>
      <c r="C200" s="128"/>
      <c r="D200" s="129" t="s">
        <v>581</v>
      </c>
      <c r="E200" s="213" t="s">
        <v>674</v>
      </c>
      <c r="F200" s="125"/>
      <c r="G200" s="211" t="s">
        <v>276</v>
      </c>
      <c r="H200" s="130"/>
      <c r="I200" s="189"/>
      <c r="J200" s="131"/>
      <c r="K200" s="167"/>
      <c r="L200" s="132"/>
      <c r="M200" s="125"/>
      <c r="N200" s="133"/>
      <c r="O200" s="134"/>
      <c r="P200" s="135"/>
      <c r="Q200" s="135"/>
      <c r="R200" s="134"/>
      <c r="S200" s="134"/>
      <c r="T200" s="135"/>
      <c r="U200" s="135"/>
      <c r="V200" s="134"/>
    </row>
    <row r="201" spans="1:22" ht="15" hidden="1" customHeight="1" x14ac:dyDescent="0.25">
      <c r="A201" s="126" t="s">
        <v>675</v>
      </c>
      <c r="B201" s="127"/>
      <c r="C201" s="128"/>
      <c r="D201" s="129" t="s">
        <v>361</v>
      </c>
      <c r="E201" s="213" t="s">
        <v>676</v>
      </c>
      <c r="F201" s="125"/>
      <c r="G201" s="211" t="s">
        <v>276</v>
      </c>
      <c r="H201" s="130"/>
      <c r="I201" s="189"/>
      <c r="J201" s="131"/>
      <c r="K201" s="167"/>
      <c r="L201" s="132"/>
      <c r="M201" s="125"/>
      <c r="N201" s="133"/>
      <c r="O201" s="134"/>
      <c r="P201" s="135"/>
      <c r="Q201" s="135"/>
      <c r="R201" s="134"/>
      <c r="S201" s="134"/>
      <c r="T201" s="135"/>
      <c r="U201" s="135"/>
      <c r="V201" s="134"/>
    </row>
    <row r="202" spans="1:22" ht="15" hidden="1" customHeight="1" x14ac:dyDescent="0.25">
      <c r="A202" s="126" t="s">
        <v>677</v>
      </c>
      <c r="B202" s="127"/>
      <c r="C202" s="128"/>
      <c r="D202" s="129" t="s">
        <v>581</v>
      </c>
      <c r="E202" s="213" t="s">
        <v>678</v>
      </c>
      <c r="F202" s="125"/>
      <c r="G202" s="211" t="s">
        <v>276</v>
      </c>
      <c r="H202" s="130"/>
      <c r="I202" s="189"/>
      <c r="J202" s="131"/>
      <c r="K202" s="167"/>
      <c r="L202" s="132"/>
      <c r="M202" s="125"/>
      <c r="N202" s="133"/>
      <c r="O202" s="134"/>
      <c r="P202" s="135"/>
      <c r="Q202" s="135"/>
      <c r="R202" s="134"/>
      <c r="S202" s="134"/>
      <c r="T202" s="135"/>
      <c r="U202" s="135"/>
      <c r="V202" s="134"/>
    </row>
    <row r="203" spans="1:22" ht="15" hidden="1" customHeight="1" x14ac:dyDescent="0.25">
      <c r="A203" s="126" t="s">
        <v>679</v>
      </c>
      <c r="B203" s="127"/>
      <c r="C203" s="128"/>
      <c r="D203" s="129" t="s">
        <v>581</v>
      </c>
      <c r="E203" s="213" t="s">
        <v>680</v>
      </c>
      <c r="F203" s="125"/>
      <c r="G203" s="211" t="s">
        <v>276</v>
      </c>
      <c r="H203" s="130"/>
      <c r="I203" s="189"/>
      <c r="J203" s="131"/>
      <c r="K203" s="167"/>
      <c r="L203" s="132"/>
      <c r="M203" s="125"/>
      <c r="N203" s="133"/>
      <c r="O203" s="134"/>
      <c r="P203" s="135"/>
      <c r="Q203" s="135"/>
      <c r="R203" s="134"/>
      <c r="S203" s="134"/>
      <c r="T203" s="135"/>
      <c r="U203" s="135"/>
      <c r="V203" s="134"/>
    </row>
    <row r="204" spans="1:22" ht="15" hidden="1" customHeight="1" x14ac:dyDescent="0.25">
      <c r="A204" s="126" t="s">
        <v>681</v>
      </c>
      <c r="B204" s="127"/>
      <c r="C204" s="128"/>
      <c r="D204" s="129" t="s">
        <v>581</v>
      </c>
      <c r="E204" s="213" t="s">
        <v>682</v>
      </c>
      <c r="F204" s="125"/>
      <c r="G204" s="211" t="s">
        <v>276</v>
      </c>
      <c r="H204" s="130"/>
      <c r="I204" s="189"/>
      <c r="J204" s="131"/>
      <c r="K204" s="167"/>
      <c r="L204" s="132"/>
      <c r="M204" s="125"/>
      <c r="N204" s="133"/>
      <c r="O204" s="134"/>
      <c r="P204" s="135"/>
      <c r="Q204" s="135"/>
      <c r="R204" s="134"/>
      <c r="S204" s="134"/>
      <c r="T204" s="135"/>
      <c r="U204" s="135"/>
      <c r="V204" s="134"/>
    </row>
    <row r="205" spans="1:22" ht="15" hidden="1" customHeight="1" x14ac:dyDescent="0.25">
      <c r="A205" s="126" t="s">
        <v>683</v>
      </c>
      <c r="B205" s="127"/>
      <c r="C205" s="128"/>
      <c r="D205" s="129" t="s">
        <v>581</v>
      </c>
      <c r="E205" s="213" t="s">
        <v>684</v>
      </c>
      <c r="F205" s="125"/>
      <c r="G205" s="211" t="s">
        <v>276</v>
      </c>
      <c r="H205" s="130"/>
      <c r="I205" s="189"/>
      <c r="J205" s="131"/>
      <c r="K205" s="167"/>
      <c r="L205" s="132"/>
      <c r="M205" s="125"/>
      <c r="N205" s="133"/>
      <c r="O205" s="134"/>
      <c r="P205" s="135"/>
      <c r="Q205" s="135"/>
      <c r="R205" s="134"/>
      <c r="S205" s="134"/>
      <c r="T205" s="135"/>
      <c r="U205" s="135"/>
      <c r="V205" s="134"/>
    </row>
    <row r="206" spans="1:22" ht="15" hidden="1" customHeight="1" x14ac:dyDescent="0.25">
      <c r="A206" s="126" t="s">
        <v>685</v>
      </c>
      <c r="B206" s="127"/>
      <c r="C206" s="128"/>
      <c r="D206" s="129" t="s">
        <v>581</v>
      </c>
      <c r="E206" s="213" t="s">
        <v>686</v>
      </c>
      <c r="F206" s="125"/>
      <c r="G206" s="211" t="s">
        <v>276</v>
      </c>
      <c r="H206" s="130"/>
      <c r="I206" s="189"/>
      <c r="J206" s="131"/>
      <c r="K206" s="167"/>
      <c r="L206" s="132"/>
      <c r="M206" s="125"/>
      <c r="N206" s="133"/>
      <c r="O206" s="134"/>
      <c r="P206" s="135"/>
      <c r="Q206" s="135"/>
      <c r="R206" s="134"/>
      <c r="S206" s="134"/>
      <c r="T206" s="135"/>
      <c r="U206" s="135"/>
      <c r="V206" s="134"/>
    </row>
    <row r="207" spans="1:22" ht="15" hidden="1" customHeight="1" x14ac:dyDescent="0.25">
      <c r="A207" s="126" t="s">
        <v>687</v>
      </c>
      <c r="B207" s="127"/>
      <c r="C207" s="128"/>
      <c r="D207" s="129" t="s">
        <v>581</v>
      </c>
      <c r="E207" s="213" t="s">
        <v>688</v>
      </c>
      <c r="F207" s="125"/>
      <c r="G207" s="211" t="s">
        <v>276</v>
      </c>
      <c r="H207" s="130"/>
      <c r="I207" s="189"/>
      <c r="J207" s="131"/>
      <c r="K207" s="167"/>
      <c r="L207" s="132"/>
      <c r="M207" s="125"/>
      <c r="N207" s="133"/>
      <c r="O207" s="134"/>
      <c r="P207" s="135"/>
      <c r="Q207" s="135"/>
      <c r="R207" s="134"/>
      <c r="S207" s="134"/>
      <c r="T207" s="135"/>
      <c r="U207" s="135"/>
      <c r="V207" s="134"/>
    </row>
    <row r="208" spans="1:22" ht="15" hidden="1" customHeight="1" x14ac:dyDescent="0.25">
      <c r="A208" s="126" t="s">
        <v>689</v>
      </c>
      <c r="B208" s="127"/>
      <c r="C208" s="128"/>
      <c r="D208" s="129" t="s">
        <v>361</v>
      </c>
      <c r="E208" s="213" t="s">
        <v>690</v>
      </c>
      <c r="F208" s="125"/>
      <c r="G208" s="211" t="s">
        <v>276</v>
      </c>
      <c r="H208" s="130"/>
      <c r="I208" s="189"/>
      <c r="J208" s="131"/>
      <c r="K208" s="167"/>
      <c r="L208" s="132"/>
      <c r="M208" s="125"/>
      <c r="N208" s="133"/>
      <c r="O208" s="134"/>
      <c r="P208" s="135"/>
      <c r="Q208" s="135"/>
      <c r="R208" s="134"/>
      <c r="S208" s="134"/>
      <c r="T208" s="135"/>
      <c r="U208" s="135"/>
      <c r="V208" s="134"/>
    </row>
    <row r="209" spans="1:22" ht="15" hidden="1" customHeight="1" x14ac:dyDescent="0.25">
      <c r="A209" s="126" t="s">
        <v>691</v>
      </c>
      <c r="B209" s="127"/>
      <c r="C209" s="128"/>
      <c r="D209" s="129" t="s">
        <v>377</v>
      </c>
      <c r="E209" s="213" t="s">
        <v>692</v>
      </c>
      <c r="F209" s="125"/>
      <c r="G209" s="211" t="s">
        <v>276</v>
      </c>
      <c r="H209" s="130"/>
      <c r="I209" s="189"/>
      <c r="J209" s="131"/>
      <c r="K209" s="167"/>
      <c r="L209" s="132"/>
      <c r="M209" s="125"/>
      <c r="N209" s="133"/>
      <c r="O209" s="134"/>
      <c r="P209" s="135"/>
      <c r="Q209" s="135"/>
      <c r="R209" s="134"/>
      <c r="S209" s="134"/>
      <c r="T209" s="135"/>
      <c r="U209" s="135"/>
      <c r="V209" s="134"/>
    </row>
    <row r="210" spans="1:22" ht="15" hidden="1" customHeight="1" x14ac:dyDescent="0.25">
      <c r="A210" s="126" t="s">
        <v>693</v>
      </c>
      <c r="B210" s="127"/>
      <c r="C210" s="128"/>
      <c r="D210" s="129" t="s">
        <v>361</v>
      </c>
      <c r="E210" s="213" t="s">
        <v>694</v>
      </c>
      <c r="F210" s="125"/>
      <c r="G210" s="211" t="s">
        <v>276</v>
      </c>
      <c r="H210" s="130"/>
      <c r="I210" s="189"/>
      <c r="J210" s="131"/>
      <c r="K210" s="167"/>
      <c r="L210" s="132"/>
      <c r="M210" s="125"/>
      <c r="N210" s="133"/>
      <c r="O210" s="134"/>
      <c r="P210" s="135"/>
      <c r="Q210" s="135"/>
      <c r="R210" s="134"/>
      <c r="S210" s="134"/>
      <c r="T210" s="135"/>
      <c r="U210" s="135"/>
      <c r="V210" s="134"/>
    </row>
    <row r="211" spans="1:22" ht="15" hidden="1" customHeight="1" x14ac:dyDescent="0.25">
      <c r="A211" s="126" t="s">
        <v>695</v>
      </c>
      <c r="B211" s="127"/>
      <c r="C211" s="128"/>
      <c r="D211" s="129" t="s">
        <v>361</v>
      </c>
      <c r="E211" s="213" t="s">
        <v>696</v>
      </c>
      <c r="F211" s="125"/>
      <c r="G211" s="211" t="s">
        <v>276</v>
      </c>
      <c r="H211" s="130"/>
      <c r="I211" s="189"/>
      <c r="J211" s="131"/>
      <c r="K211" s="167"/>
      <c r="L211" s="132"/>
      <c r="M211" s="125"/>
      <c r="N211" s="133"/>
      <c r="O211" s="134"/>
      <c r="P211" s="135"/>
      <c r="Q211" s="135"/>
      <c r="R211" s="134"/>
      <c r="S211" s="134"/>
      <c r="T211" s="135"/>
      <c r="U211" s="135"/>
      <c r="V211" s="134"/>
    </row>
    <row r="212" spans="1:22" ht="15" hidden="1" customHeight="1" x14ac:dyDescent="0.25">
      <c r="A212" s="126" t="s">
        <v>697</v>
      </c>
      <c r="B212" s="127"/>
      <c r="C212" s="128"/>
      <c r="D212" s="129" t="s">
        <v>377</v>
      </c>
      <c r="E212" s="213" t="s">
        <v>698</v>
      </c>
      <c r="F212" s="125"/>
      <c r="G212" s="211" t="s">
        <v>276</v>
      </c>
      <c r="H212" s="130"/>
      <c r="I212" s="189"/>
      <c r="J212" s="131"/>
      <c r="K212" s="167"/>
      <c r="L212" s="132"/>
      <c r="M212" s="125"/>
      <c r="N212" s="133"/>
      <c r="O212" s="134"/>
      <c r="P212" s="135"/>
      <c r="Q212" s="135"/>
      <c r="R212" s="134"/>
      <c r="S212" s="134"/>
      <c r="T212" s="135"/>
      <c r="U212" s="135"/>
      <c r="V212" s="134"/>
    </row>
    <row r="213" spans="1:22" ht="15" hidden="1" customHeight="1" x14ac:dyDescent="0.25">
      <c r="A213" s="126" t="s">
        <v>699</v>
      </c>
      <c r="B213" s="127"/>
      <c r="C213" s="128"/>
      <c r="D213" s="129" t="s">
        <v>369</v>
      </c>
      <c r="E213" s="213" t="s">
        <v>700</v>
      </c>
      <c r="F213" s="125"/>
      <c r="G213" s="211" t="s">
        <v>276</v>
      </c>
      <c r="H213" s="130"/>
      <c r="I213" s="189"/>
      <c r="J213" s="131"/>
      <c r="K213" s="167"/>
      <c r="L213" s="132"/>
      <c r="M213" s="125"/>
      <c r="N213" s="133"/>
      <c r="O213" s="134"/>
      <c r="P213" s="135"/>
      <c r="Q213" s="135"/>
      <c r="R213" s="134"/>
      <c r="S213" s="134"/>
      <c r="T213" s="135"/>
      <c r="U213" s="135"/>
      <c r="V213" s="134"/>
    </row>
    <row r="214" spans="1:22" ht="15" hidden="1" customHeight="1" x14ac:dyDescent="0.25">
      <c r="A214" s="126" t="s">
        <v>701</v>
      </c>
      <c r="B214" s="127"/>
      <c r="C214" s="128"/>
      <c r="D214" s="129" t="s">
        <v>369</v>
      </c>
      <c r="E214" s="213" t="s">
        <v>702</v>
      </c>
      <c r="F214" s="125"/>
      <c r="G214" s="211" t="s">
        <v>276</v>
      </c>
      <c r="H214" s="130"/>
      <c r="I214" s="189"/>
      <c r="J214" s="131"/>
      <c r="K214" s="167"/>
      <c r="L214" s="132"/>
      <c r="M214" s="125"/>
      <c r="N214" s="133"/>
      <c r="O214" s="134"/>
      <c r="P214" s="135"/>
      <c r="Q214" s="135"/>
      <c r="R214" s="134"/>
      <c r="S214" s="134"/>
      <c r="T214" s="135"/>
      <c r="U214" s="135"/>
      <c r="V214" s="134"/>
    </row>
    <row r="215" spans="1:22" ht="15" hidden="1" customHeight="1" x14ac:dyDescent="0.25">
      <c r="A215" s="126" t="s">
        <v>703</v>
      </c>
      <c r="B215" s="127"/>
      <c r="C215" s="128"/>
      <c r="D215" s="129" t="s">
        <v>581</v>
      </c>
      <c r="E215" s="213" t="s">
        <v>704</v>
      </c>
      <c r="F215" s="125"/>
      <c r="G215" s="211" t="s">
        <v>276</v>
      </c>
      <c r="H215" s="130"/>
      <c r="I215" s="189"/>
      <c r="J215" s="131"/>
      <c r="K215" s="167"/>
      <c r="L215" s="132"/>
      <c r="M215" s="125"/>
      <c r="N215" s="133"/>
      <c r="O215" s="134"/>
      <c r="P215" s="135"/>
      <c r="Q215" s="135"/>
      <c r="R215" s="134"/>
      <c r="S215" s="134"/>
      <c r="T215" s="135"/>
      <c r="U215" s="135"/>
      <c r="V215" s="134"/>
    </row>
    <row r="216" spans="1:22" ht="15" hidden="1" customHeight="1" x14ac:dyDescent="0.25">
      <c r="A216" s="126" t="s">
        <v>705</v>
      </c>
      <c r="B216" s="127"/>
      <c r="C216" s="128"/>
      <c r="D216" s="129" t="s">
        <v>581</v>
      </c>
      <c r="E216" s="213" t="s">
        <v>706</v>
      </c>
      <c r="F216" s="125"/>
      <c r="G216" s="211" t="s">
        <v>276</v>
      </c>
      <c r="H216" s="130"/>
      <c r="I216" s="189"/>
      <c r="J216" s="131"/>
      <c r="K216" s="167"/>
      <c r="L216" s="132"/>
      <c r="M216" s="125"/>
      <c r="N216" s="133"/>
      <c r="O216" s="134"/>
      <c r="P216" s="135"/>
      <c r="Q216" s="135"/>
      <c r="R216" s="134"/>
      <c r="S216" s="134"/>
      <c r="T216" s="135"/>
      <c r="U216" s="135"/>
      <c r="V216" s="134"/>
    </row>
    <row r="217" spans="1:22" ht="15" hidden="1" customHeight="1" x14ac:dyDescent="0.25">
      <c r="A217" s="126" t="s">
        <v>707</v>
      </c>
      <c r="B217" s="127"/>
      <c r="C217" s="128"/>
      <c r="D217" s="129" t="s">
        <v>581</v>
      </c>
      <c r="E217" s="213" t="s">
        <v>708</v>
      </c>
      <c r="F217" s="125"/>
      <c r="G217" s="211" t="s">
        <v>276</v>
      </c>
      <c r="H217" s="130"/>
      <c r="I217" s="189"/>
      <c r="J217" s="131"/>
      <c r="K217" s="167"/>
      <c r="L217" s="132"/>
      <c r="M217" s="125"/>
      <c r="N217" s="133"/>
      <c r="O217" s="134"/>
      <c r="P217" s="135"/>
      <c r="Q217" s="135"/>
      <c r="R217" s="134"/>
      <c r="S217" s="134"/>
      <c r="T217" s="135"/>
      <c r="U217" s="135"/>
      <c r="V217" s="134"/>
    </row>
    <row r="218" spans="1:22" ht="15" hidden="1" customHeight="1" x14ac:dyDescent="0.25">
      <c r="A218" s="126" t="s">
        <v>709</v>
      </c>
      <c r="B218" s="127"/>
      <c r="C218" s="128"/>
      <c r="D218" s="129" t="s">
        <v>581</v>
      </c>
      <c r="E218" s="213" t="s">
        <v>710</v>
      </c>
      <c r="F218" s="125"/>
      <c r="G218" s="211" t="s">
        <v>276</v>
      </c>
      <c r="H218" s="130"/>
      <c r="I218" s="189"/>
      <c r="J218" s="131"/>
      <c r="K218" s="167"/>
      <c r="L218" s="132"/>
      <c r="M218" s="125"/>
      <c r="N218" s="133"/>
      <c r="O218" s="134"/>
      <c r="P218" s="135"/>
      <c r="Q218" s="135"/>
      <c r="R218" s="134"/>
      <c r="S218" s="134"/>
      <c r="T218" s="135"/>
      <c r="U218" s="135"/>
      <c r="V218" s="134"/>
    </row>
    <row r="219" spans="1:22" ht="15" hidden="1" customHeight="1" x14ac:dyDescent="0.25">
      <c r="A219" s="126" t="s">
        <v>711</v>
      </c>
      <c r="B219" s="127"/>
      <c r="C219" s="128"/>
      <c r="D219" s="129" t="s">
        <v>361</v>
      </c>
      <c r="E219" s="213" t="s">
        <v>712</v>
      </c>
      <c r="F219" s="125"/>
      <c r="G219" s="211" t="s">
        <v>276</v>
      </c>
      <c r="H219" s="130"/>
      <c r="I219" s="189"/>
      <c r="J219" s="131"/>
      <c r="K219" s="167"/>
      <c r="L219" s="132"/>
      <c r="M219" s="125"/>
      <c r="N219" s="133"/>
      <c r="O219" s="134"/>
      <c r="P219" s="135"/>
      <c r="Q219" s="135"/>
      <c r="R219" s="134"/>
      <c r="S219" s="134"/>
      <c r="T219" s="135"/>
      <c r="U219" s="135"/>
      <c r="V219" s="134"/>
    </row>
    <row r="220" spans="1:22" ht="15" hidden="1" customHeight="1" x14ac:dyDescent="0.25">
      <c r="A220" s="126" t="s">
        <v>713</v>
      </c>
      <c r="B220" s="127"/>
      <c r="C220" s="128"/>
      <c r="D220" s="129" t="s">
        <v>361</v>
      </c>
      <c r="E220" s="213" t="s">
        <v>714</v>
      </c>
      <c r="F220" s="125"/>
      <c r="G220" s="211" t="s">
        <v>276</v>
      </c>
      <c r="H220" s="130"/>
      <c r="I220" s="189"/>
      <c r="J220" s="131"/>
      <c r="K220" s="167"/>
      <c r="L220" s="132"/>
      <c r="M220" s="125"/>
      <c r="N220" s="133"/>
      <c r="O220" s="134"/>
      <c r="P220" s="135"/>
      <c r="Q220" s="135"/>
      <c r="R220" s="134"/>
      <c r="S220" s="134"/>
      <c r="T220" s="135"/>
      <c r="U220" s="135"/>
      <c r="V220" s="134"/>
    </row>
    <row r="221" spans="1:22" ht="15" hidden="1" customHeight="1" x14ac:dyDescent="0.25">
      <c r="A221" s="126" t="s">
        <v>715</v>
      </c>
      <c r="B221" s="127"/>
      <c r="C221" s="128"/>
      <c r="D221" s="129" t="s">
        <v>361</v>
      </c>
      <c r="E221" s="213" t="s">
        <v>716</v>
      </c>
      <c r="F221" s="125"/>
      <c r="G221" s="211" t="s">
        <v>276</v>
      </c>
      <c r="H221" s="130"/>
      <c r="I221" s="189"/>
      <c r="J221" s="131"/>
      <c r="K221" s="167"/>
      <c r="L221" s="132"/>
      <c r="M221" s="125"/>
      <c r="N221" s="133"/>
      <c r="O221" s="134"/>
      <c r="P221" s="135"/>
      <c r="Q221" s="135"/>
      <c r="R221" s="134"/>
      <c r="S221" s="134"/>
      <c r="T221" s="135"/>
      <c r="U221" s="135"/>
      <c r="V221" s="134"/>
    </row>
    <row r="222" spans="1:22" ht="15" hidden="1" customHeight="1" x14ac:dyDescent="0.25">
      <c r="A222" s="126" t="s">
        <v>717</v>
      </c>
      <c r="B222" s="127"/>
      <c r="C222" s="128"/>
      <c r="D222" s="129" t="s">
        <v>369</v>
      </c>
      <c r="E222" s="213" t="s">
        <v>718</v>
      </c>
      <c r="F222" s="125"/>
      <c r="G222" s="211" t="s">
        <v>276</v>
      </c>
      <c r="H222" s="130"/>
      <c r="I222" s="189"/>
      <c r="J222" s="131"/>
      <c r="K222" s="167"/>
      <c r="L222" s="132"/>
      <c r="M222" s="125"/>
      <c r="N222" s="133"/>
      <c r="O222" s="134"/>
      <c r="P222" s="135"/>
      <c r="Q222" s="135"/>
      <c r="R222" s="134"/>
      <c r="S222" s="134"/>
      <c r="T222" s="135"/>
      <c r="U222" s="135"/>
      <c r="V222" s="134"/>
    </row>
    <row r="223" spans="1:22" ht="15" hidden="1" customHeight="1" x14ac:dyDescent="0.25">
      <c r="A223" s="126" t="s">
        <v>719</v>
      </c>
      <c r="B223" s="127"/>
      <c r="C223" s="128"/>
      <c r="D223" s="129" t="s">
        <v>361</v>
      </c>
      <c r="E223" s="213" t="s">
        <v>720</v>
      </c>
      <c r="F223" s="125"/>
      <c r="G223" s="211" t="s">
        <v>276</v>
      </c>
      <c r="H223" s="130"/>
      <c r="I223" s="189"/>
      <c r="J223" s="131"/>
      <c r="K223" s="167"/>
      <c r="L223" s="132"/>
      <c r="M223" s="125"/>
      <c r="N223" s="133"/>
      <c r="O223" s="134"/>
      <c r="P223" s="135"/>
      <c r="Q223" s="135"/>
      <c r="R223" s="134"/>
      <c r="S223" s="134"/>
      <c r="T223" s="135"/>
      <c r="U223" s="135"/>
      <c r="V223" s="134"/>
    </row>
    <row r="224" spans="1:22" ht="15" hidden="1" customHeight="1" x14ac:dyDescent="0.25">
      <c r="A224" s="126" t="s">
        <v>721</v>
      </c>
      <c r="B224" s="127"/>
      <c r="C224" s="128"/>
      <c r="D224" s="129" t="s">
        <v>361</v>
      </c>
      <c r="E224" s="213" t="s">
        <v>722</v>
      </c>
      <c r="F224" s="125"/>
      <c r="G224" s="211" t="s">
        <v>276</v>
      </c>
      <c r="H224" s="130"/>
      <c r="I224" s="189"/>
      <c r="J224" s="131"/>
      <c r="K224" s="167"/>
      <c r="L224" s="132"/>
      <c r="M224" s="125"/>
      <c r="N224" s="133"/>
      <c r="O224" s="134"/>
      <c r="P224" s="135"/>
      <c r="Q224" s="135"/>
      <c r="R224" s="134"/>
      <c r="S224" s="134"/>
      <c r="T224" s="135"/>
      <c r="U224" s="135"/>
      <c r="V224" s="134"/>
    </row>
    <row r="225" spans="1:22" ht="15" hidden="1" customHeight="1" x14ac:dyDescent="0.25">
      <c r="A225" s="126" t="s">
        <v>723</v>
      </c>
      <c r="B225" s="127"/>
      <c r="C225" s="128"/>
      <c r="D225" s="129" t="s">
        <v>358</v>
      </c>
      <c r="E225" s="213" t="s">
        <v>692</v>
      </c>
      <c r="F225" s="125"/>
      <c r="G225" s="211" t="s">
        <v>276</v>
      </c>
      <c r="H225" s="130"/>
      <c r="I225" s="189"/>
      <c r="J225" s="131"/>
      <c r="K225" s="167"/>
      <c r="L225" s="132"/>
      <c r="M225" s="125"/>
      <c r="N225" s="133"/>
      <c r="O225" s="134"/>
      <c r="P225" s="135"/>
      <c r="Q225" s="135"/>
      <c r="R225" s="134"/>
      <c r="S225" s="134"/>
      <c r="T225" s="135"/>
      <c r="U225" s="135"/>
      <c r="V225" s="134"/>
    </row>
    <row r="226" spans="1:22" ht="15" hidden="1" customHeight="1" x14ac:dyDescent="0.25">
      <c r="A226" s="126" t="s">
        <v>724</v>
      </c>
      <c r="B226" s="127"/>
      <c r="C226" s="128"/>
      <c r="D226" s="129" t="s">
        <v>361</v>
      </c>
      <c r="E226" s="213" t="s">
        <v>725</v>
      </c>
      <c r="F226" s="125"/>
      <c r="G226" s="211" t="s">
        <v>276</v>
      </c>
      <c r="H226" s="130"/>
      <c r="I226" s="189"/>
      <c r="J226" s="131"/>
      <c r="K226" s="167"/>
      <c r="L226" s="132"/>
      <c r="M226" s="125"/>
      <c r="N226" s="133"/>
      <c r="O226" s="134"/>
      <c r="P226" s="135"/>
      <c r="Q226" s="135"/>
      <c r="R226" s="134"/>
      <c r="S226" s="134"/>
      <c r="T226" s="135"/>
      <c r="U226" s="135"/>
      <c r="V226" s="134"/>
    </row>
    <row r="227" spans="1:22" ht="15" hidden="1" customHeight="1" x14ac:dyDescent="0.25">
      <c r="A227" s="126" t="s">
        <v>726</v>
      </c>
      <c r="B227" s="127"/>
      <c r="C227" s="128"/>
      <c r="D227" s="129" t="s">
        <v>369</v>
      </c>
      <c r="E227" s="213" t="s">
        <v>727</v>
      </c>
      <c r="F227" s="125"/>
      <c r="G227" s="211" t="s">
        <v>276</v>
      </c>
      <c r="H227" s="130"/>
      <c r="I227" s="189"/>
      <c r="J227" s="131"/>
      <c r="K227" s="167"/>
      <c r="L227" s="132"/>
      <c r="M227" s="125"/>
      <c r="N227" s="133"/>
      <c r="O227" s="134"/>
      <c r="P227" s="135"/>
      <c r="Q227" s="135"/>
      <c r="R227" s="134"/>
      <c r="S227" s="134"/>
      <c r="T227" s="135"/>
      <c r="U227" s="135"/>
      <c r="V227" s="134"/>
    </row>
    <row r="228" spans="1:22" ht="15" hidden="1" customHeight="1" x14ac:dyDescent="0.25">
      <c r="A228" s="126" t="s">
        <v>728</v>
      </c>
      <c r="B228" s="127"/>
      <c r="C228" s="128"/>
      <c r="D228" s="129" t="s">
        <v>581</v>
      </c>
      <c r="E228" s="213" t="s">
        <v>729</v>
      </c>
      <c r="F228" s="125"/>
      <c r="G228" s="211" t="s">
        <v>276</v>
      </c>
      <c r="H228" s="130"/>
      <c r="I228" s="189"/>
      <c r="J228" s="131"/>
      <c r="K228" s="167"/>
      <c r="L228" s="132"/>
      <c r="M228" s="125"/>
      <c r="N228" s="133"/>
      <c r="O228" s="134"/>
      <c r="P228" s="135"/>
      <c r="Q228" s="135"/>
      <c r="R228" s="134"/>
      <c r="S228" s="134"/>
      <c r="T228" s="135"/>
      <c r="U228" s="135"/>
      <c r="V228" s="134"/>
    </row>
    <row r="229" spans="1:22" ht="15" hidden="1" customHeight="1" x14ac:dyDescent="0.25">
      <c r="A229" s="126" t="s">
        <v>730</v>
      </c>
      <c r="B229" s="127"/>
      <c r="C229" s="128"/>
      <c r="D229" s="129" t="s">
        <v>581</v>
      </c>
      <c r="E229" s="213" t="s">
        <v>731</v>
      </c>
      <c r="F229" s="125"/>
      <c r="G229" s="211" t="s">
        <v>276</v>
      </c>
      <c r="H229" s="130"/>
      <c r="I229" s="189"/>
      <c r="J229" s="131"/>
      <c r="K229" s="167"/>
      <c r="L229" s="132"/>
      <c r="M229" s="125"/>
      <c r="N229" s="133"/>
      <c r="O229" s="134"/>
      <c r="P229" s="135"/>
      <c r="Q229" s="135"/>
      <c r="R229" s="134"/>
      <c r="S229" s="134"/>
      <c r="T229" s="135"/>
      <c r="U229" s="135"/>
      <c r="V229" s="134"/>
    </row>
    <row r="230" spans="1:22" ht="15" hidden="1" customHeight="1" x14ac:dyDescent="0.25">
      <c r="A230" s="126" t="s">
        <v>732</v>
      </c>
      <c r="B230" s="127"/>
      <c r="C230" s="128"/>
      <c r="D230" s="129" t="s">
        <v>581</v>
      </c>
      <c r="E230" s="213" t="s">
        <v>733</v>
      </c>
      <c r="F230" s="125"/>
      <c r="G230" s="211" t="s">
        <v>276</v>
      </c>
      <c r="H230" s="130"/>
      <c r="I230" s="189"/>
      <c r="J230" s="131"/>
      <c r="K230" s="167"/>
      <c r="L230" s="132"/>
      <c r="M230" s="125"/>
      <c r="N230" s="133"/>
      <c r="O230" s="134"/>
      <c r="P230" s="135"/>
      <c r="Q230" s="135"/>
      <c r="R230" s="134"/>
      <c r="S230" s="134"/>
      <c r="T230" s="135"/>
      <c r="U230" s="135"/>
      <c r="V230" s="134"/>
    </row>
    <row r="231" spans="1:22" ht="15" hidden="1" customHeight="1" x14ac:dyDescent="0.25">
      <c r="A231" s="126" t="s">
        <v>734</v>
      </c>
      <c r="B231" s="127"/>
      <c r="C231" s="128"/>
      <c r="D231" s="129" t="s">
        <v>581</v>
      </c>
      <c r="E231" s="213" t="s">
        <v>735</v>
      </c>
      <c r="F231" s="125"/>
      <c r="G231" s="211" t="s">
        <v>276</v>
      </c>
      <c r="H231" s="130"/>
      <c r="I231" s="189"/>
      <c r="J231" s="131"/>
      <c r="K231" s="167"/>
      <c r="L231" s="132"/>
      <c r="M231" s="125"/>
      <c r="N231" s="133"/>
      <c r="O231" s="134"/>
      <c r="P231" s="135"/>
      <c r="Q231" s="135"/>
      <c r="R231" s="134"/>
      <c r="S231" s="134"/>
      <c r="T231" s="135"/>
      <c r="U231" s="135"/>
      <c r="V231" s="134"/>
    </row>
    <row r="232" spans="1:22" ht="15" hidden="1" customHeight="1" x14ac:dyDescent="0.25">
      <c r="A232" s="126" t="s">
        <v>736</v>
      </c>
      <c r="B232" s="127"/>
      <c r="C232" s="128"/>
      <c r="D232" s="129" t="s">
        <v>377</v>
      </c>
      <c r="E232" s="213" t="s">
        <v>370</v>
      </c>
      <c r="F232" s="125"/>
      <c r="G232" s="211" t="s">
        <v>276</v>
      </c>
      <c r="H232" s="130"/>
      <c r="I232" s="189"/>
      <c r="J232" s="131"/>
      <c r="K232" s="167"/>
      <c r="L232" s="132"/>
      <c r="M232" s="125"/>
      <c r="N232" s="133"/>
      <c r="O232" s="134"/>
      <c r="P232" s="135"/>
      <c r="Q232" s="135"/>
      <c r="R232" s="134"/>
      <c r="S232" s="134"/>
      <c r="T232" s="135"/>
      <c r="U232" s="135"/>
      <c r="V232" s="134"/>
    </row>
    <row r="233" spans="1:22" ht="15" hidden="1" customHeight="1" x14ac:dyDescent="0.25">
      <c r="A233" s="126" t="s">
        <v>737</v>
      </c>
      <c r="B233" s="127"/>
      <c r="C233" s="128"/>
      <c r="D233" s="129" t="s">
        <v>377</v>
      </c>
      <c r="E233" s="213" t="s">
        <v>370</v>
      </c>
      <c r="F233" s="125"/>
      <c r="G233" s="211" t="s">
        <v>276</v>
      </c>
      <c r="H233" s="130"/>
      <c r="I233" s="189"/>
      <c r="J233" s="131"/>
      <c r="K233" s="167"/>
      <c r="L233" s="132"/>
      <c r="M233" s="125"/>
      <c r="N233" s="133"/>
      <c r="O233" s="134"/>
      <c r="P233" s="135"/>
      <c r="Q233" s="135"/>
      <c r="R233" s="134"/>
      <c r="S233" s="134"/>
      <c r="T233" s="135"/>
      <c r="U233" s="135"/>
      <c r="V233" s="134"/>
    </row>
    <row r="234" spans="1:22" ht="15" hidden="1" customHeight="1" x14ac:dyDescent="0.25">
      <c r="A234" s="126" t="s">
        <v>738</v>
      </c>
      <c r="B234" s="127"/>
      <c r="C234" s="128"/>
      <c r="D234" s="129" t="s">
        <v>361</v>
      </c>
      <c r="E234" s="213" t="s">
        <v>739</v>
      </c>
      <c r="F234" s="125"/>
      <c r="G234" s="211" t="s">
        <v>276</v>
      </c>
      <c r="H234" s="130"/>
      <c r="I234" s="189"/>
      <c r="J234" s="131"/>
      <c r="K234" s="167"/>
      <c r="L234" s="132"/>
      <c r="M234" s="125"/>
      <c r="N234" s="133"/>
      <c r="O234" s="134"/>
      <c r="P234" s="135"/>
      <c r="Q234" s="135"/>
      <c r="R234" s="134"/>
      <c r="S234" s="134"/>
      <c r="T234" s="135"/>
      <c r="U234" s="135"/>
      <c r="V234" s="134"/>
    </row>
    <row r="235" spans="1:22" ht="15" hidden="1" customHeight="1" x14ac:dyDescent="0.25">
      <c r="A235" s="126" t="s">
        <v>740</v>
      </c>
      <c r="B235" s="127"/>
      <c r="C235" s="128"/>
      <c r="D235" s="129" t="s">
        <v>377</v>
      </c>
      <c r="E235" s="213" t="s">
        <v>741</v>
      </c>
      <c r="F235" s="125"/>
      <c r="G235" s="211" t="s">
        <v>276</v>
      </c>
      <c r="H235" s="130"/>
      <c r="I235" s="189"/>
      <c r="J235" s="131"/>
      <c r="K235" s="167"/>
      <c r="L235" s="132"/>
      <c r="M235" s="125"/>
      <c r="N235" s="133"/>
      <c r="O235" s="134"/>
      <c r="P235" s="135"/>
      <c r="Q235" s="135"/>
      <c r="R235" s="134"/>
      <c r="S235" s="134"/>
      <c r="T235" s="135"/>
      <c r="U235" s="135"/>
      <c r="V235" s="134"/>
    </row>
    <row r="236" spans="1:22" ht="15" hidden="1" customHeight="1" x14ac:dyDescent="0.25">
      <c r="A236" s="126" t="s">
        <v>742</v>
      </c>
      <c r="B236" s="127"/>
      <c r="C236" s="128"/>
      <c r="D236" s="129" t="s">
        <v>369</v>
      </c>
      <c r="E236" s="213" t="s">
        <v>743</v>
      </c>
      <c r="F236" s="125"/>
      <c r="G236" s="211" t="s">
        <v>276</v>
      </c>
      <c r="H236" s="130"/>
      <c r="I236" s="189"/>
      <c r="J236" s="131"/>
      <c r="K236" s="167"/>
      <c r="L236" s="132"/>
      <c r="M236" s="125"/>
      <c r="N236" s="133"/>
      <c r="O236" s="134"/>
      <c r="P236" s="135"/>
      <c r="Q236" s="135"/>
      <c r="R236" s="134"/>
      <c r="S236" s="134"/>
      <c r="T236" s="135"/>
      <c r="U236" s="135"/>
      <c r="V236" s="134"/>
    </row>
    <row r="237" spans="1:22" ht="15" hidden="1" customHeight="1" x14ac:dyDescent="0.25">
      <c r="A237" s="126" t="s">
        <v>744</v>
      </c>
      <c r="B237" s="127"/>
      <c r="C237" s="128"/>
      <c r="D237" s="129" t="s">
        <v>366</v>
      </c>
      <c r="E237" s="213" t="s">
        <v>745</v>
      </c>
      <c r="F237" s="125"/>
      <c r="G237" s="211" t="s">
        <v>276</v>
      </c>
      <c r="H237" s="130"/>
      <c r="I237" s="189"/>
      <c r="J237" s="131"/>
      <c r="K237" s="167"/>
      <c r="L237" s="132"/>
      <c r="M237" s="125"/>
      <c r="N237" s="133"/>
      <c r="O237" s="134"/>
      <c r="P237" s="135"/>
      <c r="Q237" s="135"/>
      <c r="R237" s="134"/>
      <c r="S237" s="134"/>
      <c r="T237" s="135"/>
      <c r="U237" s="135"/>
      <c r="V237" s="134"/>
    </row>
    <row r="238" spans="1:22" ht="15" hidden="1" customHeight="1" x14ac:dyDescent="0.25">
      <c r="A238" s="126" t="s">
        <v>746</v>
      </c>
      <c r="B238" s="127"/>
      <c r="C238" s="128"/>
      <c r="D238" s="129" t="s">
        <v>361</v>
      </c>
      <c r="E238" s="213" t="s">
        <v>747</v>
      </c>
      <c r="F238" s="125"/>
      <c r="G238" s="211" t="s">
        <v>276</v>
      </c>
      <c r="H238" s="130"/>
      <c r="I238" s="189"/>
      <c r="J238" s="131"/>
      <c r="K238" s="167"/>
      <c r="L238" s="132"/>
      <c r="M238" s="125"/>
      <c r="N238" s="133"/>
      <c r="O238" s="134"/>
      <c r="P238" s="135"/>
      <c r="Q238" s="135"/>
      <c r="R238" s="134"/>
      <c r="S238" s="134"/>
      <c r="T238" s="135"/>
      <c r="U238" s="135"/>
      <c r="V238" s="134"/>
    </row>
    <row r="239" spans="1:22" ht="15" hidden="1" customHeight="1" x14ac:dyDescent="0.25">
      <c r="A239" s="126" t="s">
        <v>748</v>
      </c>
      <c r="B239" s="127"/>
      <c r="C239" s="128"/>
      <c r="D239" s="129" t="s">
        <v>377</v>
      </c>
      <c r="E239" s="213" t="s">
        <v>692</v>
      </c>
      <c r="F239" s="125"/>
      <c r="G239" s="211" t="s">
        <v>276</v>
      </c>
      <c r="H239" s="130"/>
      <c r="I239" s="189"/>
      <c r="J239" s="131"/>
      <c r="K239" s="167"/>
      <c r="L239" s="132"/>
      <c r="M239" s="125"/>
      <c r="N239" s="133"/>
      <c r="O239" s="134"/>
      <c r="P239" s="135"/>
      <c r="Q239" s="135"/>
      <c r="R239" s="134"/>
      <c r="S239" s="134"/>
      <c r="T239" s="135"/>
      <c r="U239" s="135"/>
      <c r="V239" s="134"/>
    </row>
    <row r="240" spans="1:22" ht="15" hidden="1" customHeight="1" x14ac:dyDescent="0.25">
      <c r="A240" s="126" t="s">
        <v>749</v>
      </c>
      <c r="B240" s="127"/>
      <c r="C240" s="128"/>
      <c r="D240" s="129" t="s">
        <v>361</v>
      </c>
      <c r="E240" s="213" t="s">
        <v>750</v>
      </c>
      <c r="F240" s="125"/>
      <c r="G240" s="211" t="s">
        <v>276</v>
      </c>
      <c r="H240" s="130"/>
      <c r="I240" s="189"/>
      <c r="J240" s="131"/>
      <c r="K240" s="167"/>
      <c r="L240" s="132"/>
      <c r="M240" s="125"/>
      <c r="N240" s="133"/>
      <c r="O240" s="134"/>
      <c r="P240" s="135"/>
      <c r="Q240" s="135"/>
      <c r="R240" s="134"/>
      <c r="S240" s="134"/>
      <c r="T240" s="135"/>
      <c r="U240" s="135"/>
      <c r="V240" s="134"/>
    </row>
    <row r="241" spans="1:22" ht="15" hidden="1" customHeight="1" x14ac:dyDescent="0.25">
      <c r="A241" s="126" t="s">
        <v>751</v>
      </c>
      <c r="B241" s="127"/>
      <c r="C241" s="128"/>
      <c r="D241" s="129" t="s">
        <v>361</v>
      </c>
      <c r="E241" s="213" t="s">
        <v>722</v>
      </c>
      <c r="F241" s="125"/>
      <c r="G241" s="211" t="s">
        <v>276</v>
      </c>
      <c r="H241" s="130"/>
      <c r="I241" s="189"/>
      <c r="J241" s="131"/>
      <c r="K241" s="167"/>
      <c r="L241" s="132"/>
      <c r="M241" s="125"/>
      <c r="N241" s="133"/>
      <c r="O241" s="134"/>
      <c r="P241" s="135"/>
      <c r="Q241" s="135"/>
      <c r="R241" s="134"/>
      <c r="S241" s="134"/>
      <c r="T241" s="135"/>
      <c r="U241" s="135"/>
      <c r="V241" s="134"/>
    </row>
    <row r="242" spans="1:22" ht="15" hidden="1" customHeight="1" x14ac:dyDescent="0.25">
      <c r="A242" s="126" t="s">
        <v>752</v>
      </c>
      <c r="B242" s="127"/>
      <c r="C242" s="128"/>
      <c r="D242" s="129" t="s">
        <v>369</v>
      </c>
      <c r="E242" s="213" t="s">
        <v>753</v>
      </c>
      <c r="F242" s="125"/>
      <c r="G242" s="211" t="s">
        <v>276</v>
      </c>
      <c r="H242" s="130"/>
      <c r="I242" s="189"/>
      <c r="J242" s="131"/>
      <c r="K242" s="167"/>
      <c r="L242" s="132"/>
      <c r="M242" s="125"/>
      <c r="N242" s="133"/>
      <c r="O242" s="134"/>
      <c r="P242" s="135"/>
      <c r="Q242" s="135"/>
      <c r="R242" s="134"/>
      <c r="S242" s="134"/>
      <c r="T242" s="135"/>
      <c r="U242" s="135"/>
      <c r="V242" s="134"/>
    </row>
    <row r="243" spans="1:22" ht="15" hidden="1" customHeight="1" x14ac:dyDescent="0.25">
      <c r="A243" s="126" t="s">
        <v>754</v>
      </c>
      <c r="B243" s="127"/>
      <c r="C243" s="128"/>
      <c r="D243" s="129" t="s">
        <v>369</v>
      </c>
      <c r="E243" s="213" t="s">
        <v>755</v>
      </c>
      <c r="F243" s="125"/>
      <c r="G243" s="211" t="s">
        <v>276</v>
      </c>
      <c r="H243" s="130"/>
      <c r="I243" s="189"/>
      <c r="J243" s="131"/>
      <c r="K243" s="167"/>
      <c r="L243" s="132"/>
      <c r="M243" s="125"/>
      <c r="N243" s="133"/>
      <c r="O243" s="134"/>
      <c r="P243" s="135"/>
      <c r="Q243" s="135"/>
      <c r="R243" s="134"/>
      <c r="S243" s="134"/>
      <c r="T243" s="135"/>
      <c r="U243" s="135"/>
      <c r="V243" s="134"/>
    </row>
    <row r="244" spans="1:22" ht="15" hidden="1" customHeight="1" x14ac:dyDescent="0.25">
      <c r="A244" s="126" t="s">
        <v>756</v>
      </c>
      <c r="B244" s="127"/>
      <c r="C244" s="128"/>
      <c r="D244" s="129" t="s">
        <v>369</v>
      </c>
      <c r="E244" s="213" t="s">
        <v>757</v>
      </c>
      <c r="F244" s="125"/>
      <c r="G244" s="211" t="s">
        <v>276</v>
      </c>
      <c r="H244" s="130"/>
      <c r="I244" s="189"/>
      <c r="J244" s="131"/>
      <c r="K244" s="167"/>
      <c r="L244" s="132"/>
      <c r="M244" s="125"/>
      <c r="N244" s="133"/>
      <c r="O244" s="134"/>
      <c r="P244" s="135"/>
      <c r="Q244" s="135"/>
      <c r="R244" s="134"/>
      <c r="S244" s="134"/>
      <c r="T244" s="135"/>
      <c r="U244" s="135"/>
      <c r="V244" s="134"/>
    </row>
    <row r="245" spans="1:22" ht="15" hidden="1" customHeight="1" x14ac:dyDescent="0.25">
      <c r="A245" s="126" t="s">
        <v>758</v>
      </c>
      <c r="B245" s="127"/>
      <c r="C245" s="128"/>
      <c r="D245" s="129" t="s">
        <v>369</v>
      </c>
      <c r="E245" s="213" t="s">
        <v>759</v>
      </c>
      <c r="F245" s="125"/>
      <c r="G245" s="211" t="s">
        <v>276</v>
      </c>
      <c r="H245" s="130"/>
      <c r="I245" s="189"/>
      <c r="J245" s="131"/>
      <c r="K245" s="167"/>
      <c r="L245" s="132"/>
      <c r="M245" s="125"/>
      <c r="N245" s="133"/>
      <c r="O245" s="134"/>
      <c r="P245" s="135"/>
      <c r="Q245" s="135"/>
      <c r="R245" s="134"/>
      <c r="S245" s="134"/>
      <c r="T245" s="135"/>
      <c r="U245" s="135"/>
      <c r="V245" s="134"/>
    </row>
    <row r="246" spans="1:22" ht="15" hidden="1" customHeight="1" x14ac:dyDescent="0.25">
      <c r="A246" s="126" t="s">
        <v>760</v>
      </c>
      <c r="B246" s="127"/>
      <c r="C246" s="128"/>
      <c r="D246" s="129" t="s">
        <v>377</v>
      </c>
      <c r="E246" s="213" t="s">
        <v>692</v>
      </c>
      <c r="F246" s="125"/>
      <c r="G246" s="211" t="s">
        <v>276</v>
      </c>
      <c r="H246" s="130"/>
      <c r="I246" s="189"/>
      <c r="J246" s="131"/>
      <c r="K246" s="167"/>
      <c r="L246" s="132"/>
      <c r="M246" s="125"/>
      <c r="N246" s="133"/>
      <c r="O246" s="134"/>
      <c r="P246" s="135"/>
      <c r="Q246" s="135"/>
      <c r="R246" s="134"/>
      <c r="S246" s="134"/>
      <c r="T246" s="135"/>
      <c r="U246" s="135"/>
      <c r="V246" s="134"/>
    </row>
    <row r="247" spans="1:22" ht="15" hidden="1" customHeight="1" x14ac:dyDescent="0.25">
      <c r="A247" s="126" t="s">
        <v>761</v>
      </c>
      <c r="B247" s="127"/>
      <c r="C247" s="128"/>
      <c r="D247" s="129" t="s">
        <v>361</v>
      </c>
      <c r="E247" s="213" t="s">
        <v>762</v>
      </c>
      <c r="F247" s="125"/>
      <c r="G247" s="211" t="s">
        <v>276</v>
      </c>
      <c r="H247" s="130"/>
      <c r="I247" s="189"/>
      <c r="J247" s="131"/>
      <c r="K247" s="167"/>
      <c r="L247" s="132"/>
      <c r="M247" s="125"/>
      <c r="N247" s="133"/>
      <c r="O247" s="134"/>
      <c r="P247" s="135"/>
      <c r="Q247" s="135"/>
      <c r="R247" s="134"/>
      <c r="S247" s="134"/>
      <c r="T247" s="135"/>
      <c r="U247" s="135"/>
      <c r="V247" s="134"/>
    </row>
    <row r="248" spans="1:22" ht="15" hidden="1" customHeight="1" x14ac:dyDescent="0.25">
      <c r="A248" s="126" t="s">
        <v>763</v>
      </c>
      <c r="B248" s="127"/>
      <c r="C248" s="128"/>
      <c r="D248" s="129" t="s">
        <v>361</v>
      </c>
      <c r="E248" s="213" t="s">
        <v>764</v>
      </c>
      <c r="F248" s="125"/>
      <c r="G248" s="211" t="s">
        <v>276</v>
      </c>
      <c r="H248" s="130"/>
      <c r="I248" s="189"/>
      <c r="J248" s="131"/>
      <c r="K248" s="167"/>
      <c r="L248" s="132"/>
      <c r="M248" s="125"/>
      <c r="N248" s="133"/>
      <c r="O248" s="134"/>
      <c r="P248" s="135"/>
      <c r="Q248" s="135"/>
      <c r="R248" s="134"/>
      <c r="S248" s="134"/>
      <c r="T248" s="135"/>
      <c r="U248" s="135"/>
      <c r="V248" s="134"/>
    </row>
    <row r="249" spans="1:22" ht="15" hidden="1" customHeight="1" x14ac:dyDescent="0.25">
      <c r="A249" s="126" t="s">
        <v>765</v>
      </c>
      <c r="B249" s="127"/>
      <c r="C249" s="128"/>
      <c r="D249" s="129" t="s">
        <v>377</v>
      </c>
      <c r="E249" s="213" t="s">
        <v>766</v>
      </c>
      <c r="F249" s="125"/>
      <c r="G249" s="211" t="s">
        <v>276</v>
      </c>
      <c r="H249" s="130"/>
      <c r="I249" s="189"/>
      <c r="J249" s="131"/>
      <c r="K249" s="167"/>
      <c r="L249" s="132"/>
      <c r="M249" s="125"/>
      <c r="N249" s="133"/>
      <c r="O249" s="134"/>
      <c r="P249" s="135"/>
      <c r="Q249" s="135"/>
      <c r="R249" s="134"/>
      <c r="S249" s="134"/>
      <c r="T249" s="135"/>
      <c r="U249" s="135"/>
      <c r="V249" s="134"/>
    </row>
    <row r="250" spans="1:22" ht="15" hidden="1" customHeight="1" x14ac:dyDescent="0.25">
      <c r="A250" s="126" t="s">
        <v>767</v>
      </c>
      <c r="B250" s="127"/>
      <c r="C250" s="128"/>
      <c r="D250" s="129" t="s">
        <v>377</v>
      </c>
      <c r="E250" s="213" t="s">
        <v>768</v>
      </c>
      <c r="F250" s="125"/>
      <c r="G250" s="211" t="s">
        <v>276</v>
      </c>
      <c r="H250" s="130"/>
      <c r="I250" s="189"/>
      <c r="J250" s="131"/>
      <c r="K250" s="167"/>
      <c r="L250" s="132"/>
      <c r="M250" s="125"/>
      <c r="N250" s="133"/>
      <c r="O250" s="134"/>
      <c r="P250" s="135"/>
      <c r="Q250" s="135"/>
      <c r="R250" s="134"/>
      <c r="S250" s="134"/>
      <c r="T250" s="135"/>
      <c r="U250" s="135"/>
      <c r="V250" s="134"/>
    </row>
    <row r="251" spans="1:22" ht="15" hidden="1" customHeight="1" x14ac:dyDescent="0.25">
      <c r="A251" s="126" t="s">
        <v>769</v>
      </c>
      <c r="B251" s="127"/>
      <c r="C251" s="128"/>
      <c r="D251" s="129" t="s">
        <v>581</v>
      </c>
      <c r="E251" s="213" t="s">
        <v>770</v>
      </c>
      <c r="F251" s="125"/>
      <c r="G251" s="211" t="s">
        <v>276</v>
      </c>
      <c r="H251" s="130"/>
      <c r="I251" s="189"/>
      <c r="J251" s="131"/>
      <c r="K251" s="167"/>
      <c r="L251" s="132"/>
      <c r="M251" s="125"/>
      <c r="N251" s="133"/>
      <c r="O251" s="134"/>
      <c r="P251" s="135"/>
      <c r="Q251" s="135"/>
      <c r="R251" s="134"/>
      <c r="S251" s="134"/>
      <c r="T251" s="135"/>
      <c r="U251" s="135"/>
      <c r="V251" s="134"/>
    </row>
    <row r="252" spans="1:22" ht="15" hidden="1" customHeight="1" x14ac:dyDescent="0.25">
      <c r="A252" s="126" t="s">
        <v>771</v>
      </c>
      <c r="B252" s="127"/>
      <c r="C252" s="128"/>
      <c r="D252" s="129" t="s">
        <v>369</v>
      </c>
      <c r="E252" s="213" t="s">
        <v>772</v>
      </c>
      <c r="F252" s="125"/>
      <c r="G252" s="211" t="s">
        <v>276</v>
      </c>
      <c r="H252" s="130"/>
      <c r="I252" s="189"/>
      <c r="J252" s="131"/>
      <c r="K252" s="167"/>
      <c r="L252" s="132"/>
      <c r="M252" s="125"/>
      <c r="N252" s="133"/>
      <c r="O252" s="134"/>
      <c r="P252" s="135"/>
      <c r="Q252" s="135"/>
      <c r="R252" s="134"/>
      <c r="S252" s="134"/>
      <c r="T252" s="135"/>
      <c r="U252" s="135"/>
      <c r="V252" s="134"/>
    </row>
    <row r="253" spans="1:22" ht="15" hidden="1" customHeight="1" x14ac:dyDescent="0.25">
      <c r="A253" s="126" t="s">
        <v>773</v>
      </c>
      <c r="B253" s="127"/>
      <c r="C253" s="128"/>
      <c r="D253" s="129" t="s">
        <v>581</v>
      </c>
      <c r="E253" s="213" t="s">
        <v>774</v>
      </c>
      <c r="F253" s="125"/>
      <c r="G253" s="211" t="s">
        <v>276</v>
      </c>
      <c r="H253" s="130"/>
      <c r="I253" s="189"/>
      <c r="J253" s="131"/>
      <c r="K253" s="167"/>
      <c r="L253" s="132"/>
      <c r="M253" s="125"/>
      <c r="N253" s="133"/>
      <c r="O253" s="134"/>
      <c r="P253" s="135"/>
      <c r="Q253" s="135"/>
      <c r="R253" s="134"/>
      <c r="S253" s="134"/>
      <c r="T253" s="135"/>
      <c r="U253" s="135"/>
      <c r="V253" s="134"/>
    </row>
    <row r="254" spans="1:22" ht="15" customHeight="1" x14ac:dyDescent="0.25">
      <c r="A254" s="126" t="s">
        <v>775</v>
      </c>
      <c r="B254" s="127"/>
      <c r="C254" s="128"/>
      <c r="D254" s="129" t="s">
        <v>366</v>
      </c>
      <c r="E254" s="213" t="s">
        <v>776</v>
      </c>
      <c r="F254" s="125"/>
      <c r="G254" s="211" t="s">
        <v>366</v>
      </c>
      <c r="H254" s="130"/>
      <c r="I254" s="189" t="s">
        <v>44</v>
      </c>
      <c r="J254" s="131"/>
      <c r="K254" s="167"/>
      <c r="L254" s="132"/>
      <c r="M254" s="125"/>
      <c r="N254" s="133"/>
      <c r="O254" s="134"/>
      <c r="P254" s="135"/>
      <c r="Q254" s="135"/>
      <c r="R254" s="134"/>
      <c r="S254" s="134"/>
      <c r="T254" s="135"/>
      <c r="U254" s="135"/>
      <c r="V254" s="134"/>
    </row>
    <row r="255" spans="1:22" ht="15" customHeight="1" x14ac:dyDescent="0.25">
      <c r="A255" s="126" t="s">
        <v>777</v>
      </c>
      <c r="B255" s="127"/>
      <c r="C255" s="128"/>
      <c r="D255" s="129" t="s">
        <v>581</v>
      </c>
      <c r="E255" s="213" t="s">
        <v>778</v>
      </c>
      <c r="F255" s="125"/>
      <c r="G255" s="211" t="s">
        <v>581</v>
      </c>
      <c r="H255" s="130"/>
      <c r="I255" s="189" t="s">
        <v>44</v>
      </c>
      <c r="J255" s="131"/>
      <c r="K255" s="167"/>
      <c r="L255" s="132"/>
      <c r="M255" s="125"/>
      <c r="N255" s="133"/>
      <c r="O255" s="134"/>
      <c r="P255" s="135"/>
      <c r="Q255" s="135"/>
      <c r="R255" s="134"/>
      <c r="S255" s="134"/>
      <c r="T255" s="135"/>
      <c r="U255" s="135"/>
      <c r="V255" s="134"/>
    </row>
    <row r="256" spans="1:22" ht="15" customHeight="1" x14ac:dyDescent="0.25">
      <c r="A256" s="126" t="s">
        <v>779</v>
      </c>
      <c r="B256" s="127"/>
      <c r="C256" s="128"/>
      <c r="D256" s="129" t="s">
        <v>366</v>
      </c>
      <c r="E256" s="213" t="s">
        <v>780</v>
      </c>
      <c r="F256" s="125"/>
      <c r="G256" s="211" t="s">
        <v>366</v>
      </c>
      <c r="H256" s="130"/>
      <c r="I256" s="189" t="s">
        <v>44</v>
      </c>
      <c r="J256" s="131"/>
      <c r="K256" s="167"/>
      <c r="L256" s="132"/>
      <c r="M256" s="125"/>
      <c r="N256" s="133"/>
      <c r="O256" s="134"/>
      <c r="P256" s="135"/>
      <c r="Q256" s="135"/>
      <c r="R256" s="134"/>
      <c r="S256" s="134"/>
      <c r="T256" s="135"/>
      <c r="U256" s="135"/>
      <c r="V256" s="134"/>
    </row>
    <row r="257" spans="1:22" ht="15" customHeight="1" x14ac:dyDescent="0.25">
      <c r="A257" s="126" t="s">
        <v>781</v>
      </c>
      <c r="B257" s="127"/>
      <c r="C257" s="128"/>
      <c r="D257" s="129" t="s">
        <v>366</v>
      </c>
      <c r="E257" s="213" t="s">
        <v>782</v>
      </c>
      <c r="F257" s="125"/>
      <c r="G257" s="211" t="s">
        <v>366</v>
      </c>
      <c r="H257" s="130"/>
      <c r="I257" s="189" t="s">
        <v>44</v>
      </c>
      <c r="J257" s="131"/>
      <c r="K257" s="167"/>
      <c r="L257" s="132"/>
      <c r="M257" s="125"/>
      <c r="N257" s="133"/>
      <c r="O257" s="134"/>
      <c r="P257" s="135"/>
      <c r="Q257" s="135"/>
      <c r="R257" s="134"/>
      <c r="S257" s="134"/>
      <c r="T257" s="135"/>
      <c r="U257" s="135"/>
      <c r="V257" s="134"/>
    </row>
    <row r="258" spans="1:22" ht="15" customHeight="1" x14ac:dyDescent="0.25">
      <c r="A258" s="126" t="s">
        <v>783</v>
      </c>
      <c r="B258" s="127"/>
      <c r="C258" s="128"/>
      <c r="D258" s="129" t="s">
        <v>366</v>
      </c>
      <c r="E258" s="213" t="s">
        <v>784</v>
      </c>
      <c r="F258" s="125"/>
      <c r="G258" s="211" t="s">
        <v>366</v>
      </c>
      <c r="H258" s="130"/>
      <c r="I258" s="189" t="s">
        <v>44</v>
      </c>
      <c r="J258" s="131"/>
      <c r="K258" s="167"/>
      <c r="L258" s="132"/>
      <c r="M258" s="125"/>
      <c r="N258" s="133"/>
      <c r="O258" s="134"/>
      <c r="P258" s="135"/>
      <c r="Q258" s="135"/>
      <c r="R258" s="134"/>
      <c r="S258" s="134"/>
      <c r="T258" s="135"/>
      <c r="U258" s="135"/>
      <c r="V258" s="134"/>
    </row>
  </sheetData>
  <sheetProtection autoFilter="0"/>
  <autoFilter ref="A36:R258">
    <filterColumn colId="6">
      <filters>
        <filter val="A"/>
        <filter val="B"/>
        <filter val="D"/>
        <filter val="E"/>
      </filters>
    </filterColumn>
  </autoFilter>
  <dataConsolidate/>
  <mergeCells count="23">
    <mergeCell ref="D26:D33"/>
    <mergeCell ref="O24:V24"/>
    <mergeCell ref="O25:V25"/>
    <mergeCell ref="O26:R27"/>
    <mergeCell ref="O28:R33"/>
    <mergeCell ref="S26:V27"/>
    <mergeCell ref="S28:V33"/>
    <mergeCell ref="E26:E34"/>
    <mergeCell ref="D24:E25"/>
    <mergeCell ref="F24:F25"/>
    <mergeCell ref="N26:N34"/>
    <mergeCell ref="N24:N25"/>
    <mergeCell ref="G24:L25"/>
    <mergeCell ref="G26:L26"/>
    <mergeCell ref="G27:G34"/>
    <mergeCell ref="H27:H34"/>
    <mergeCell ref="I27:L27"/>
    <mergeCell ref="I28:J28"/>
    <mergeCell ref="I29:J29"/>
    <mergeCell ref="I30:J30"/>
    <mergeCell ref="I31:J31"/>
    <mergeCell ref="I32:J32"/>
    <mergeCell ref="I33:J33"/>
  </mergeCells>
  <phoneticPr fontId="4" type="noConversion"/>
  <conditionalFormatting sqref="E36:E37 N36:N37">
    <cfRule type="cellIs" dxfId="48" priority="974" stopIfTrue="1" operator="greaterThan">
      <formula>#REF!</formula>
    </cfRule>
    <cfRule type="cellIs" dxfId="47" priority="975" stopIfTrue="1" operator="equal">
      <formula>""</formula>
    </cfRule>
    <cfRule type="cellIs" dxfId="46" priority="976" stopIfTrue="1" operator="lessThan">
      <formula>#REF!</formula>
    </cfRule>
  </conditionalFormatting>
  <conditionalFormatting sqref="Q37 U37">
    <cfRule type="cellIs" dxfId="45" priority="188" stopIfTrue="1" operator="equal">
      <formula>"NOK"</formula>
    </cfRule>
    <cfRule type="cellIs" dxfId="44" priority="189" stopIfTrue="1" operator="equal">
      <formula>"OK"</formula>
    </cfRule>
    <cfRule type="cellIs" dxfId="43" priority="190" stopIfTrue="1" operator="equal">
      <formula>"Partiel"</formula>
    </cfRule>
  </conditionalFormatting>
  <conditionalFormatting sqref="P37 T37">
    <cfRule type="cellIs" dxfId="42" priority="191" stopIfTrue="1" operator="equal">
      <formula>"Test NOK"</formula>
    </cfRule>
    <cfRule type="cellIs" dxfId="41" priority="192" stopIfTrue="1" operator="equal">
      <formula>"Test OK"</formula>
    </cfRule>
  </conditionalFormatting>
  <conditionalFormatting sqref="I37">
    <cfRule type="expression" priority="44" stopIfTrue="1">
      <formula>G37=""</formula>
    </cfRule>
    <cfRule type="cellIs" dxfId="40" priority="46" operator="equal">
      <formula>"NOK"</formula>
    </cfRule>
    <cfRule type="expression" dxfId="39" priority="59">
      <formula>G37&lt;&gt;"NA"</formula>
    </cfRule>
  </conditionalFormatting>
  <conditionalFormatting sqref="K37">
    <cfRule type="expression" dxfId="38" priority="47">
      <formula>AND(I37="NOK",K37="EN ATTENTE")</formula>
    </cfRule>
    <cfRule type="expression" dxfId="37" priority="48">
      <formula>AND(I37="NOK",K37="")</formula>
    </cfRule>
    <cfRule type="expression" dxfId="36" priority="49">
      <formula>AND(I37="OK",K37="")</formula>
    </cfRule>
    <cfRule type="expression" dxfId="35" priority="50">
      <formula>AND(I37="OK",K37="EN ATTENTE")</formula>
    </cfRule>
    <cfRule type="expression" dxfId="34" priority="51">
      <formula>AND(I37="OK",K37="NOK")</formula>
    </cfRule>
    <cfRule type="expression" dxfId="33" priority="52">
      <formula>AND(I37="NOK",K37="DEVIATION")</formula>
    </cfRule>
    <cfRule type="expression" dxfId="32" priority="53">
      <formula>AND(I37="NOK",K37="NA")</formula>
    </cfRule>
    <cfRule type="expression" dxfId="31" priority="54">
      <formula>AND(I37="OK",K37="OK")</formula>
    </cfRule>
    <cfRule type="expression" dxfId="30" priority="55">
      <formula>AND(I37="OK",K37="NA")</formula>
    </cfRule>
    <cfRule type="expression" dxfId="29" priority="56">
      <formula>AND(I37="NOK",K37="NOK")</formula>
    </cfRule>
  </conditionalFormatting>
  <conditionalFormatting sqref="I37">
    <cfRule type="cellIs" dxfId="28" priority="57" stopIfTrue="1" operator="equal">
      <formula>"NOK"</formula>
    </cfRule>
    <cfRule type="cellIs" dxfId="27" priority="58" stopIfTrue="1" operator="equal">
      <formula>"OK"</formula>
    </cfRule>
  </conditionalFormatting>
  <conditionalFormatting sqref="I37">
    <cfRule type="cellIs" dxfId="26" priority="45" operator="equal">
      <formula>"OK"</formula>
    </cfRule>
  </conditionalFormatting>
  <conditionalFormatting sqref="E38:E258 N38:N258">
    <cfRule type="cellIs" dxfId="25" priority="41" stopIfTrue="1" operator="greaterThan">
      <formula>#REF!</formula>
    </cfRule>
    <cfRule type="cellIs" dxfId="24" priority="42" stopIfTrue="1" operator="equal">
      <formula>""</formula>
    </cfRule>
    <cfRule type="cellIs" dxfId="23" priority="43" stopIfTrue="1" operator="lessThan">
      <formula>#REF!</formula>
    </cfRule>
  </conditionalFormatting>
  <conditionalFormatting sqref="Q38:Q258 U38:U258">
    <cfRule type="cellIs" dxfId="22" priority="35" stopIfTrue="1" operator="equal">
      <formula>"NOK"</formula>
    </cfRule>
    <cfRule type="cellIs" dxfId="21" priority="36" stopIfTrue="1" operator="equal">
      <formula>"OK"</formula>
    </cfRule>
    <cfRule type="cellIs" dxfId="20" priority="37" stopIfTrue="1" operator="equal">
      <formula>"Partiel"</formula>
    </cfRule>
  </conditionalFormatting>
  <conditionalFormatting sqref="P38:P258 T38:T258">
    <cfRule type="cellIs" dxfId="19" priority="38" stopIfTrue="1" operator="equal">
      <formula>"Test NOK"</formula>
    </cfRule>
    <cfRule type="cellIs" dxfId="18" priority="39" stopIfTrue="1" operator="equal">
      <formula>"Test OK"</formula>
    </cfRule>
  </conditionalFormatting>
  <conditionalFormatting sqref="I38:I258">
    <cfRule type="expression" priority="4" stopIfTrue="1">
      <formula>G38=""</formula>
    </cfRule>
    <cfRule type="cellIs" dxfId="17" priority="6" operator="equal">
      <formula>"NOK"</formula>
    </cfRule>
    <cfRule type="expression" dxfId="16" priority="19">
      <formula>G38&lt;&gt;"NA"</formula>
    </cfRule>
  </conditionalFormatting>
  <conditionalFormatting sqref="K38:K258">
    <cfRule type="expression" dxfId="15" priority="7">
      <formula>AND(I38="NOK",K38="EN ATTENTE")</formula>
    </cfRule>
    <cfRule type="expression" dxfId="14" priority="8">
      <formula>AND(I38="NOK",K38="")</formula>
    </cfRule>
    <cfRule type="expression" dxfId="13" priority="9">
      <formula>AND(I38="OK",K38="")</formula>
    </cfRule>
    <cfRule type="expression" dxfId="12" priority="10">
      <formula>AND(I38="OK",K38="EN ATTENTE")</formula>
    </cfRule>
    <cfRule type="expression" dxfId="11" priority="11">
      <formula>AND(I38="OK",K38="NOK")</formula>
    </cfRule>
    <cfRule type="expression" dxfId="10" priority="12">
      <formula>AND(I38="NOK",K38="DEVIATION")</formula>
    </cfRule>
    <cfRule type="expression" dxfId="9" priority="13">
      <formula>AND(I38="NOK",K38="NA")</formula>
    </cfRule>
    <cfRule type="expression" dxfId="8" priority="14">
      <formula>AND(I38="OK",K38="OK")</formula>
    </cfRule>
    <cfRule type="expression" dxfId="7" priority="15">
      <formula>AND(I38="OK",K38="NA")</formula>
    </cfRule>
    <cfRule type="expression" dxfId="6" priority="16">
      <formula>AND(I38="NOK",K38="NOK")</formula>
    </cfRule>
  </conditionalFormatting>
  <conditionalFormatting sqref="I38:I258">
    <cfRule type="cellIs" dxfId="5" priority="17" stopIfTrue="1" operator="equal">
      <formula>"NOK"</formula>
    </cfRule>
    <cfRule type="cellIs" dxfId="4" priority="18" stopIfTrue="1" operator="equal">
      <formula>"OK"</formula>
    </cfRule>
  </conditionalFormatting>
  <conditionalFormatting sqref="I38:I258">
    <cfRule type="cellIs" dxfId="3" priority="5" operator="equal">
      <formula>"OK"</formula>
    </cfRule>
  </conditionalFormatting>
  <conditionalFormatting sqref="D37:D258">
    <cfRule type="expression" dxfId="2" priority="3" stopIfTrue="1">
      <formula>D37&lt;&gt;#REF!</formula>
    </cfRule>
  </conditionalFormatting>
  <conditionalFormatting sqref="D37:D258">
    <cfRule type="expression" dxfId="1" priority="2" stopIfTrue="1">
      <formula>AND(#REF!= "",D37&lt;&gt;"")</formula>
    </cfRule>
  </conditionalFormatting>
  <conditionalFormatting sqref="G37:G258">
    <cfRule type="expression" dxfId="0" priority="1" stopIfTrue="1">
      <formula>OR(G37="",G37="NA")</formula>
    </cfRule>
  </conditionalFormatting>
  <dataValidations count="5">
    <dataValidation type="list" showInputMessage="1" showErrorMessage="1" sqref="I37:I258">
      <formula1>$A$2:$A$3</formula1>
    </dataValidation>
    <dataValidation showDropDown="1" showInputMessage="1" showErrorMessage="1" sqref="J37:J258"/>
    <dataValidation type="list" showInputMessage="1" showErrorMessage="1" sqref="U37:U258 Q37:Q258">
      <formula1>$A$1:$A$3</formula1>
    </dataValidation>
    <dataValidation type="list" showInputMessage="1" showErrorMessage="1" sqref="T37:T258 P37:P258">
      <formula1>#REF!</formula1>
    </dataValidation>
    <dataValidation type="list" allowBlank="1" showInputMessage="1" showErrorMessage="1" sqref="K37:K258">
      <formula1>IF(INDEX($1:$1048576,ROW(),COLUMN()-2)=$A$2,$A$2:$A$5,$A$3:$A$6)</formula1>
    </dataValidation>
  </dataValidations>
  <hyperlinks>
    <hyperlink ref="A9" r:id="rId1"/>
    <hyperlink ref="A10" r:id="rId2"/>
    <hyperlink ref="A8" r:id="rId3"/>
    <hyperlink ref="A11" r:id="rId4" display="ATT_RESP@SW"/>
    <hyperlink ref="A14" r:id="rId5"/>
    <hyperlink ref="A18" r:id="rId6"/>
    <hyperlink ref="A17" r:id="rId7"/>
    <hyperlink ref="A15" r:id="rId8"/>
    <hyperlink ref="A19" r:id="rId9" display="ATT_RESP@PTF"/>
    <hyperlink ref="A12" r:id="rId10"/>
    <hyperlink ref="A20" r:id="rId11"/>
    <hyperlink ref="A21" r:id="rId12"/>
    <hyperlink ref="A22" r:id="rId13" display="ATT_RESP@PTF"/>
  </hyperlinks>
  <pageMargins left="0.78740157499999996" right="0.78740157499999996" top="0.984251969" bottom="0.984251969" header="0.4921259845" footer="0.4921259845"/>
  <pageSetup paperSize="9" orientation="portrait" r:id="rId14"/>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C000"/>
  </sheetPr>
  <dimension ref="A1:AO20"/>
  <sheetViews>
    <sheetView workbookViewId="0">
      <selection activeCell="B17" sqref="B17"/>
    </sheetView>
  </sheetViews>
  <sheetFormatPr defaultColWidth="11.453125" defaultRowHeight="13.5" customHeight="1" x14ac:dyDescent="0.25"/>
  <cols>
    <col min="1" max="1" width="26.81640625" style="77" customWidth="1"/>
    <col min="2" max="2" width="17.453125" style="77" customWidth="1"/>
    <col min="3" max="3" width="18.453125" style="77" customWidth="1"/>
    <col min="4" max="4" width="28" style="77" customWidth="1"/>
    <col min="5" max="5" width="20" style="77" customWidth="1"/>
    <col min="6" max="6" width="16.26953125" style="77" customWidth="1"/>
    <col min="7" max="7" width="12.26953125" style="77" customWidth="1"/>
    <col min="8" max="8" width="9.26953125" style="77" customWidth="1"/>
    <col min="9" max="9" width="16.1796875" style="77" customWidth="1"/>
    <col min="10" max="13" width="6.81640625" style="77" customWidth="1"/>
    <col min="14" max="14" width="2.26953125" style="77" customWidth="1"/>
    <col min="15" max="16" width="10.7265625" style="77" customWidth="1"/>
    <col min="17" max="33" width="3.7265625" style="77" customWidth="1"/>
    <col min="34" max="16384" width="11.453125" style="77"/>
  </cols>
  <sheetData>
    <row r="1" spans="1:41" customFormat="1" ht="14" x14ac:dyDescent="0.25">
      <c r="A1" s="82"/>
      <c r="B1" s="82"/>
      <c r="C1" s="82"/>
      <c r="D1" s="82"/>
      <c r="E1" s="82"/>
      <c r="F1" s="82"/>
      <c r="G1" s="82"/>
      <c r="H1" s="82"/>
      <c r="I1" s="82"/>
      <c r="J1" s="80"/>
      <c r="K1" s="80"/>
      <c r="L1" s="80"/>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1" customFormat="1" ht="14" x14ac:dyDescent="0.25">
      <c r="A2" s="82"/>
      <c r="B2" s="82"/>
      <c r="C2" s="82"/>
      <c r="D2" s="82"/>
      <c r="E2" s="82"/>
      <c r="F2" s="82"/>
      <c r="G2" s="82"/>
      <c r="H2" s="82"/>
      <c r="I2" s="82"/>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row>
    <row r="3" spans="1:41" customFormat="1" ht="14.5" thickBot="1" x14ac:dyDescent="0.3">
      <c r="A3" s="83"/>
      <c r="B3" s="83"/>
      <c r="C3" s="84"/>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row>
    <row r="4" spans="1:41" s="92" customFormat="1" ht="39" customHeight="1" thickBot="1" x14ac:dyDescent="0.3">
      <c r="A4" s="85" t="s">
        <v>135</v>
      </c>
      <c r="B4" s="86"/>
      <c r="C4" s="87"/>
      <c r="D4" s="311" t="s">
        <v>136</v>
      </c>
      <c r="E4" s="312"/>
      <c r="F4" s="312"/>
      <c r="G4" s="312"/>
      <c r="H4" s="313"/>
      <c r="I4" s="314" t="s">
        <v>137</v>
      </c>
      <c r="J4" s="315"/>
      <c r="K4" s="315"/>
      <c r="L4" s="315"/>
      <c r="M4" s="316"/>
      <c r="N4" s="81"/>
      <c r="O4" s="88" t="s">
        <v>138</v>
      </c>
      <c r="P4" s="89"/>
      <c r="Q4" s="89"/>
      <c r="R4" s="90"/>
      <c r="S4" s="90"/>
      <c r="T4" s="90"/>
      <c r="U4" s="91"/>
      <c r="V4" s="81"/>
      <c r="W4" s="317" t="s">
        <v>139</v>
      </c>
      <c r="X4" s="318"/>
      <c r="Y4" s="318"/>
      <c r="Z4" s="318"/>
      <c r="AA4" s="319"/>
      <c r="AB4" s="81"/>
      <c r="AC4" s="317" t="s">
        <v>140</v>
      </c>
      <c r="AD4" s="318"/>
      <c r="AE4" s="318"/>
      <c r="AF4" s="318"/>
      <c r="AG4" s="319"/>
      <c r="AH4" s="81"/>
      <c r="AI4" s="81"/>
      <c r="AJ4" s="81"/>
      <c r="AK4" s="81"/>
      <c r="AL4" s="81"/>
      <c r="AM4" s="81"/>
      <c r="AN4" s="81"/>
      <c r="AO4" s="81"/>
    </row>
    <row r="5" spans="1:41" customFormat="1" ht="113.25" customHeight="1" x14ac:dyDescent="0.25">
      <c r="A5" s="93" t="s">
        <v>129</v>
      </c>
      <c r="B5" s="93" t="s">
        <v>130</v>
      </c>
      <c r="C5" s="93" t="s">
        <v>85</v>
      </c>
      <c r="D5" s="94" t="s">
        <v>132</v>
      </c>
      <c r="E5" s="95" t="s">
        <v>131</v>
      </c>
      <c r="F5" s="95" t="s">
        <v>141</v>
      </c>
      <c r="G5" s="95" t="s">
        <v>133</v>
      </c>
      <c r="H5" s="96" t="s">
        <v>134</v>
      </c>
      <c r="I5" s="97" t="s">
        <v>142</v>
      </c>
      <c r="J5" s="97" t="s">
        <v>143</v>
      </c>
      <c r="K5" s="97" t="s">
        <v>144</v>
      </c>
      <c r="L5" s="97" t="s">
        <v>145</v>
      </c>
      <c r="M5" s="98" t="s">
        <v>146</v>
      </c>
      <c r="N5" s="81"/>
      <c r="O5" s="99" t="s">
        <v>147</v>
      </c>
      <c r="P5" s="100" t="s">
        <v>148</v>
      </c>
      <c r="Q5" s="100" t="s">
        <v>149</v>
      </c>
      <c r="R5" s="100" t="s">
        <v>150</v>
      </c>
      <c r="S5" s="100" t="s">
        <v>151</v>
      </c>
      <c r="T5" s="100" t="s">
        <v>152</v>
      </c>
      <c r="U5" s="100" t="s">
        <v>153</v>
      </c>
      <c r="V5" s="81"/>
      <c r="W5" s="101" t="s">
        <v>154</v>
      </c>
      <c r="X5" s="100" t="s">
        <v>155</v>
      </c>
      <c r="Y5" s="100" t="s">
        <v>156</v>
      </c>
      <c r="Z5" s="102" t="s">
        <v>157</v>
      </c>
      <c r="AA5" s="103" t="s">
        <v>158</v>
      </c>
      <c r="AB5" s="81"/>
      <c r="AC5" s="101" t="s">
        <v>154</v>
      </c>
      <c r="AD5" s="100" t="s">
        <v>155</v>
      </c>
      <c r="AE5" s="100" t="s">
        <v>156</v>
      </c>
      <c r="AF5" s="102" t="s">
        <v>157</v>
      </c>
      <c r="AG5" s="103" t="s">
        <v>158</v>
      </c>
      <c r="AH5" s="81"/>
      <c r="AI5" s="81"/>
      <c r="AJ5" s="81"/>
      <c r="AK5" s="81"/>
      <c r="AL5" s="81"/>
      <c r="AM5" s="81"/>
      <c r="AN5" s="81"/>
      <c r="AO5" s="81"/>
    </row>
    <row r="6" spans="1:41" customFormat="1" ht="62.25" customHeight="1" x14ac:dyDescent="0.25">
      <c r="F6" s="105"/>
      <c r="J6" s="104"/>
      <c r="M6" s="104"/>
      <c r="O6" s="104"/>
      <c r="P6" s="104"/>
    </row>
    <row r="20" spans="5:5" ht="13.5" customHeight="1" x14ac:dyDescent="0.25">
      <c r="E20" s="79"/>
    </row>
  </sheetData>
  <mergeCells count="4">
    <mergeCell ref="D4:H4"/>
    <mergeCell ref="I4:M4"/>
    <mergeCell ref="W4:AA4"/>
    <mergeCell ref="AC4:AG4"/>
  </mergeCells>
  <phoneticPr fontId="7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3"/>
  </sheetPr>
  <dimension ref="A1"/>
  <sheetViews>
    <sheetView workbookViewId="0">
      <selection activeCell="H45" sqref="H45"/>
    </sheetView>
  </sheetViews>
  <sheetFormatPr defaultColWidth="10.90625" defaultRowHeight="12.5" x14ac:dyDescent="0.25"/>
  <sheetData/>
  <phoneticPr fontId="4"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N24"/>
  <sheetViews>
    <sheetView zoomScale="90" workbookViewId="0">
      <selection activeCell="J47" sqref="J47"/>
    </sheetView>
  </sheetViews>
  <sheetFormatPr defaultColWidth="11.453125" defaultRowHeight="12.5" x14ac:dyDescent="0.25"/>
  <cols>
    <col min="1" max="1" width="11.453125" style="6"/>
    <col min="2" max="2" width="13.1796875" style="6" customWidth="1"/>
    <col min="3" max="3" width="13.81640625" style="6" customWidth="1"/>
    <col min="4" max="8" width="11.453125" style="6"/>
    <col min="9" max="9" width="9" style="6" customWidth="1"/>
    <col min="10" max="13" width="11.453125" style="6"/>
    <col min="14" max="14" width="36.453125" style="6" customWidth="1"/>
    <col min="15" max="15" width="24.7265625" style="6" customWidth="1"/>
    <col min="16" max="16384" width="11.453125" style="6"/>
  </cols>
  <sheetData>
    <row r="1" spans="1:14" ht="12.75" customHeight="1" x14ac:dyDescent="0.25">
      <c r="A1" s="7" t="s">
        <v>48</v>
      </c>
      <c r="B1" s="8"/>
      <c r="C1" s="320" t="s">
        <v>49</v>
      </c>
      <c r="D1" s="320"/>
      <c r="E1" s="320"/>
      <c r="F1" s="320"/>
      <c r="G1" s="320"/>
      <c r="H1" s="9"/>
      <c r="I1" s="10"/>
      <c r="J1" s="11"/>
      <c r="K1" s="11"/>
    </row>
    <row r="2" spans="1:14" ht="15.75" customHeight="1" x14ac:dyDescent="0.25">
      <c r="A2" s="9"/>
      <c r="B2" s="12"/>
      <c r="C2" s="321"/>
      <c r="D2" s="321"/>
      <c r="E2" s="321"/>
      <c r="F2" s="321"/>
      <c r="G2" s="321"/>
      <c r="H2" s="10"/>
      <c r="I2" s="10"/>
      <c r="J2" s="11"/>
      <c r="K2" s="11"/>
    </row>
    <row r="4" spans="1:14" x14ac:dyDescent="0.25">
      <c r="A4" s="13" t="s">
        <v>53</v>
      </c>
      <c r="B4" s="13"/>
      <c r="C4" s="13"/>
      <c r="D4" s="13"/>
      <c r="E4" s="13"/>
      <c r="F4" s="13"/>
      <c r="G4" s="13"/>
      <c r="H4" s="13"/>
      <c r="I4" s="13"/>
      <c r="J4" s="13"/>
    </row>
    <row r="5" spans="1:14" ht="41.25" customHeight="1" x14ac:dyDescent="0.25">
      <c r="A5" s="323" t="s">
        <v>33</v>
      </c>
      <c r="B5" s="323"/>
      <c r="C5" s="323"/>
      <c r="D5" s="323"/>
      <c r="E5" s="323"/>
      <c r="F5" s="323"/>
      <c r="G5" s="323"/>
      <c r="H5" s="323"/>
      <c r="I5" s="323"/>
      <c r="J5" s="323"/>
      <c r="K5" s="27"/>
      <c r="L5" s="27"/>
      <c r="M5" s="27"/>
      <c r="N5" s="27"/>
    </row>
    <row r="6" spans="1:14" ht="27" customHeight="1" x14ac:dyDescent="0.3">
      <c r="A6" s="323" t="s">
        <v>34</v>
      </c>
      <c r="B6" s="323"/>
      <c r="C6" s="323"/>
      <c r="D6" s="323"/>
      <c r="E6" s="323"/>
      <c r="F6" s="323"/>
      <c r="G6" s="323"/>
      <c r="H6" s="323"/>
      <c r="I6" s="323"/>
      <c r="J6" s="323"/>
    </row>
    <row r="8" spans="1:14" x14ac:dyDescent="0.25">
      <c r="A8" s="13" t="s">
        <v>50</v>
      </c>
      <c r="B8" s="13"/>
      <c r="C8" s="13"/>
      <c r="D8" s="13"/>
      <c r="E8" s="13"/>
      <c r="F8" s="13"/>
      <c r="G8" s="13"/>
      <c r="H8" s="13"/>
      <c r="I8" s="13"/>
      <c r="J8" s="13"/>
    </row>
    <row r="9" spans="1:14" ht="13" x14ac:dyDescent="0.3">
      <c r="B9" s="14" t="s">
        <v>51</v>
      </c>
      <c r="C9" s="14"/>
      <c r="D9" s="14"/>
      <c r="E9" s="14"/>
      <c r="F9" s="14"/>
      <c r="G9" s="14"/>
      <c r="H9" s="14"/>
      <c r="I9" s="14"/>
      <c r="J9" s="14"/>
    </row>
    <row r="10" spans="1:14" ht="45" customHeight="1" x14ac:dyDescent="0.25">
      <c r="B10" s="323" t="s">
        <v>0</v>
      </c>
      <c r="C10" s="323"/>
      <c r="D10" s="323"/>
      <c r="E10" s="323"/>
      <c r="F10" s="323"/>
      <c r="G10" s="323"/>
      <c r="H10" s="323"/>
      <c r="I10" s="323"/>
      <c r="J10" s="323"/>
    </row>
    <row r="12" spans="1:14" ht="13" x14ac:dyDescent="0.3">
      <c r="B12" s="14" t="s">
        <v>52</v>
      </c>
      <c r="C12" s="14"/>
      <c r="D12" s="14"/>
      <c r="E12" s="14"/>
      <c r="F12" s="14"/>
      <c r="G12" s="14"/>
      <c r="H12" s="14"/>
      <c r="I12" s="14"/>
      <c r="J12" s="14"/>
    </row>
    <row r="13" spans="1:14" ht="43.5" customHeight="1" x14ac:dyDescent="0.25">
      <c r="B13" s="323" t="s">
        <v>1</v>
      </c>
      <c r="C13" s="323"/>
      <c r="D13" s="323"/>
      <c r="E13" s="323"/>
      <c r="F13" s="323"/>
      <c r="G13" s="323"/>
      <c r="H13" s="323"/>
      <c r="I13" s="323"/>
      <c r="J13" s="323"/>
    </row>
    <row r="16" spans="1:14" x14ac:dyDescent="0.25">
      <c r="C16" s="320" t="s">
        <v>58</v>
      </c>
      <c r="D16" s="320"/>
      <c r="E16" s="320"/>
      <c r="F16" s="320"/>
      <c r="G16" s="320"/>
    </row>
    <row r="17" spans="1:10" x14ac:dyDescent="0.25">
      <c r="C17" s="321"/>
      <c r="D17" s="321"/>
      <c r="E17" s="321"/>
      <c r="F17" s="321"/>
      <c r="G17" s="321"/>
    </row>
    <row r="19" spans="1:10" x14ac:dyDescent="0.25">
      <c r="A19" s="13" t="s">
        <v>54</v>
      </c>
      <c r="B19" s="13"/>
      <c r="C19" s="13"/>
      <c r="D19" s="13"/>
      <c r="E19" s="13"/>
      <c r="F19" s="13"/>
      <c r="G19" s="13"/>
      <c r="H19" s="13"/>
      <c r="I19" s="13"/>
      <c r="J19" s="13"/>
    </row>
    <row r="20" spans="1:10" x14ac:dyDescent="0.25">
      <c r="A20" s="6" t="s">
        <v>55</v>
      </c>
    </row>
    <row r="22" spans="1:10" x14ac:dyDescent="0.25">
      <c r="A22" s="13" t="s">
        <v>50</v>
      </c>
      <c r="B22" s="13"/>
      <c r="C22" s="13"/>
      <c r="D22" s="13"/>
      <c r="E22" s="13"/>
      <c r="F22" s="13"/>
      <c r="G22" s="13"/>
      <c r="H22" s="13"/>
      <c r="I22" s="13"/>
      <c r="J22" s="13"/>
    </row>
    <row r="23" spans="1:10" ht="12.75" customHeight="1" x14ac:dyDescent="0.25">
      <c r="B23" s="322" t="s">
        <v>3</v>
      </c>
      <c r="C23" s="322"/>
      <c r="D23" s="322"/>
      <c r="E23" s="322"/>
      <c r="F23" s="322"/>
      <c r="G23" s="322"/>
      <c r="H23" s="322"/>
      <c r="I23" s="322"/>
      <c r="J23" s="322"/>
    </row>
    <row r="24" spans="1:10" ht="12.75" customHeight="1" x14ac:dyDescent="0.25">
      <c r="B24" s="322"/>
      <c r="C24" s="322"/>
      <c r="D24" s="322"/>
      <c r="E24" s="322"/>
      <c r="F24" s="322"/>
      <c r="G24" s="322"/>
      <c r="H24" s="322"/>
      <c r="I24" s="322"/>
      <c r="J24" s="322"/>
    </row>
  </sheetData>
  <mergeCells count="7">
    <mergeCell ref="C1:G2"/>
    <mergeCell ref="C16:G17"/>
    <mergeCell ref="B23:J24"/>
    <mergeCell ref="A5:J5"/>
    <mergeCell ref="A6:J6"/>
    <mergeCell ref="B13:J13"/>
    <mergeCell ref="B10:J10"/>
  </mergeCells>
  <phoneticPr fontId="4" type="noConversion"/>
  <hyperlinks>
    <hyperlink ref="A1" location="'First page'!A1" display="Retour"/>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R43"/>
  <sheetViews>
    <sheetView showGridLines="0" topLeftCell="A25" zoomScale="90" workbookViewId="0">
      <selection activeCell="I12" sqref="I12"/>
    </sheetView>
  </sheetViews>
  <sheetFormatPr defaultColWidth="11.453125" defaultRowHeight="12.5" x14ac:dyDescent="0.25"/>
  <cols>
    <col min="1" max="1" width="11.453125" style="6"/>
    <col min="2" max="2" width="19.54296875" style="6" customWidth="1"/>
    <col min="3" max="5" width="11.453125" style="6"/>
    <col min="6" max="6" width="24.1796875" style="6" customWidth="1"/>
    <col min="7" max="7" width="22.81640625" style="6" customWidth="1"/>
    <col min="8" max="11" width="11.453125" style="6"/>
    <col min="12" max="12" width="34.26953125" customWidth="1"/>
    <col min="13" max="18" width="10.90625" customWidth="1"/>
    <col min="19" max="16384" width="11.453125" style="6"/>
  </cols>
  <sheetData>
    <row r="1" spans="1:18" ht="25" x14ac:dyDescent="0.25">
      <c r="A1" s="73" t="s">
        <v>48</v>
      </c>
      <c r="B1" s="8"/>
      <c r="C1" s="320" t="s">
        <v>59</v>
      </c>
      <c r="D1" s="320"/>
      <c r="E1" s="320"/>
      <c r="F1" s="320"/>
      <c r="G1" s="320"/>
      <c r="H1" s="9"/>
      <c r="I1" s="10"/>
      <c r="J1" s="72" t="s">
        <v>49</v>
      </c>
      <c r="K1" s="11"/>
    </row>
    <row r="2" spans="1:18" x14ac:dyDescent="0.25">
      <c r="A2" s="9"/>
      <c r="B2" s="12"/>
      <c r="C2" s="321"/>
      <c r="D2" s="321"/>
      <c r="E2" s="321"/>
      <c r="F2" s="321"/>
      <c r="G2" s="321"/>
      <c r="H2" s="10"/>
      <c r="I2" s="10"/>
      <c r="J2" s="11"/>
      <c r="K2" s="11"/>
    </row>
    <row r="4" spans="1:18" x14ac:dyDescent="0.25">
      <c r="A4" s="13" t="s">
        <v>60</v>
      </c>
      <c r="B4" s="13"/>
      <c r="C4" s="13"/>
      <c r="D4" s="13"/>
      <c r="E4" s="13"/>
      <c r="F4" s="13"/>
      <c r="G4" s="13"/>
      <c r="H4" s="13"/>
      <c r="I4" s="13"/>
      <c r="J4" s="13"/>
    </row>
    <row r="5" spans="1:18" x14ac:dyDescent="0.25">
      <c r="A5" s="323" t="s">
        <v>61</v>
      </c>
      <c r="B5" s="323"/>
      <c r="C5" s="323"/>
      <c r="D5" s="323"/>
      <c r="E5" s="323"/>
      <c r="F5" s="323"/>
      <c r="G5" s="323"/>
      <c r="H5" s="323"/>
      <c r="I5" s="323"/>
      <c r="J5" s="323"/>
    </row>
    <row r="6" spans="1:18" x14ac:dyDescent="0.25">
      <c r="A6" s="323" t="s">
        <v>274</v>
      </c>
      <c r="B6" s="323"/>
      <c r="C6" s="323"/>
      <c r="D6" s="323"/>
      <c r="E6" s="323"/>
      <c r="F6" s="323"/>
      <c r="G6" s="323"/>
      <c r="H6" s="323"/>
      <c r="I6" s="323"/>
      <c r="J6" s="323"/>
    </row>
    <row r="8" spans="1:18" x14ac:dyDescent="0.25">
      <c r="A8" s="13" t="s">
        <v>50</v>
      </c>
      <c r="B8" s="13"/>
      <c r="C8" s="13"/>
      <c r="D8" s="13"/>
      <c r="E8" s="13"/>
      <c r="F8" s="13"/>
      <c r="G8" s="13"/>
      <c r="H8" s="13"/>
      <c r="I8" s="13"/>
      <c r="J8" s="13"/>
    </row>
    <row r="10" spans="1:18" ht="13" x14ac:dyDescent="0.3">
      <c r="B10" s="71" t="s">
        <v>62</v>
      </c>
      <c r="C10" s="71"/>
      <c r="D10" s="71"/>
      <c r="E10" s="71"/>
      <c r="F10" s="71"/>
      <c r="G10" s="71"/>
      <c r="H10" s="71"/>
      <c r="I10" s="71"/>
      <c r="J10" s="71"/>
    </row>
    <row r="11" spans="1:18" ht="13" thickBot="1" x14ac:dyDescent="0.3"/>
    <row r="12" spans="1:18" x14ac:dyDescent="0.25">
      <c r="B12" s="15" t="s">
        <v>64</v>
      </c>
      <c r="C12" s="325" t="s">
        <v>65</v>
      </c>
      <c r="D12" s="326"/>
      <c r="E12" s="326"/>
      <c r="F12" s="327"/>
      <c r="G12" s="28" t="s">
        <v>90</v>
      </c>
      <c r="I12" s="182" t="s">
        <v>281</v>
      </c>
      <c r="J12" s="168"/>
      <c r="K12" s="168"/>
      <c r="L12" s="169"/>
      <c r="M12" s="169"/>
      <c r="N12" s="169"/>
      <c r="O12" s="169"/>
      <c r="P12" s="169"/>
      <c r="Q12" s="169"/>
      <c r="R12" s="170"/>
    </row>
    <row r="13" spans="1:18" x14ac:dyDescent="0.25">
      <c r="B13" s="18" t="s">
        <v>36</v>
      </c>
      <c r="C13" s="324" t="s">
        <v>87</v>
      </c>
      <c r="D13" s="324"/>
      <c r="E13" s="324"/>
      <c r="F13" s="324"/>
      <c r="G13" s="29"/>
      <c r="H13" s="16"/>
      <c r="I13" s="171"/>
      <c r="J13" s="172" t="s">
        <v>282</v>
      </c>
      <c r="K13" s="173"/>
      <c r="L13" s="174"/>
      <c r="M13" s="174"/>
      <c r="N13" s="174"/>
      <c r="O13" s="174"/>
      <c r="P13" s="174"/>
      <c r="Q13" s="174"/>
      <c r="R13" s="175"/>
    </row>
    <row r="14" spans="1:18" ht="22" x14ac:dyDescent="0.25">
      <c r="A14" s="9"/>
      <c r="B14" s="18" t="s">
        <v>39</v>
      </c>
      <c r="C14" s="328" t="s">
        <v>72</v>
      </c>
      <c r="D14" s="328"/>
      <c r="E14" s="328"/>
      <c r="F14" s="328"/>
      <c r="G14" s="29"/>
      <c r="H14" s="16"/>
      <c r="I14" s="171"/>
      <c r="J14" s="173"/>
      <c r="K14" s="173"/>
      <c r="L14" s="174"/>
      <c r="M14" s="174"/>
      <c r="N14" s="174"/>
      <c r="O14" s="174"/>
      <c r="P14" s="174"/>
      <c r="Q14" s="174"/>
      <c r="R14" s="175"/>
    </row>
    <row r="15" spans="1:18" x14ac:dyDescent="0.25">
      <c r="B15" s="18" t="s">
        <v>37</v>
      </c>
      <c r="C15" s="324" t="s">
        <v>4</v>
      </c>
      <c r="D15" s="324"/>
      <c r="E15" s="324"/>
      <c r="F15" s="324"/>
      <c r="G15" s="29"/>
      <c r="H15" s="16"/>
      <c r="I15" s="171"/>
      <c r="J15" s="173"/>
      <c r="K15" s="173"/>
      <c r="L15" s="174"/>
      <c r="M15" s="174"/>
      <c r="N15" s="174"/>
      <c r="O15" s="174"/>
      <c r="P15" s="174"/>
      <c r="Q15" s="174"/>
      <c r="R15" s="175"/>
    </row>
    <row r="16" spans="1:18" ht="22" x14ac:dyDescent="0.25">
      <c r="B16" s="18" t="s">
        <v>67</v>
      </c>
      <c r="C16" s="328" t="s">
        <v>68</v>
      </c>
      <c r="D16" s="328"/>
      <c r="E16" s="328"/>
      <c r="F16" s="328"/>
      <c r="G16" s="29"/>
      <c r="H16" s="19"/>
      <c r="I16" s="171"/>
      <c r="J16" s="173"/>
      <c r="K16" s="173"/>
      <c r="L16" s="174"/>
      <c r="M16" s="174"/>
      <c r="N16" s="174"/>
      <c r="O16" s="174"/>
      <c r="P16" s="174"/>
      <c r="Q16" s="174"/>
      <c r="R16" s="175"/>
    </row>
    <row r="17" spans="1:18" x14ac:dyDescent="0.25">
      <c r="A17" s="9"/>
      <c r="B17" s="18" t="s">
        <v>35</v>
      </c>
      <c r="C17" s="328" t="s">
        <v>71</v>
      </c>
      <c r="D17" s="328"/>
      <c r="E17" s="328"/>
      <c r="F17" s="328"/>
      <c r="G17" s="29"/>
      <c r="H17" s="16"/>
      <c r="I17" s="176"/>
      <c r="J17" s="173"/>
      <c r="K17" s="9"/>
      <c r="L17" s="174"/>
      <c r="M17" s="174"/>
      <c r="N17" s="174"/>
      <c r="O17" s="174"/>
      <c r="P17" s="174"/>
      <c r="Q17" s="174"/>
      <c r="R17" s="175"/>
    </row>
    <row r="18" spans="1:18" x14ac:dyDescent="0.25">
      <c r="B18" s="18" t="s">
        <v>38</v>
      </c>
      <c r="C18" s="324" t="s">
        <v>5</v>
      </c>
      <c r="D18" s="324"/>
      <c r="E18" s="324"/>
      <c r="F18" s="324"/>
      <c r="G18" s="29"/>
      <c r="H18" s="16"/>
      <c r="I18" s="171"/>
      <c r="J18" s="20" t="s">
        <v>283</v>
      </c>
      <c r="K18" s="173"/>
      <c r="L18" s="174"/>
      <c r="M18" s="174"/>
      <c r="N18" s="174"/>
      <c r="O18" s="174"/>
      <c r="P18" s="174"/>
      <c r="Q18" s="174"/>
      <c r="R18" s="175"/>
    </row>
    <row r="19" spans="1:18" x14ac:dyDescent="0.25">
      <c r="B19" s="18" t="s">
        <v>40</v>
      </c>
      <c r="C19" s="324" t="s">
        <v>66</v>
      </c>
      <c r="D19" s="324"/>
      <c r="E19" s="324"/>
      <c r="F19" s="324"/>
      <c r="G19" s="29"/>
      <c r="H19" s="16"/>
      <c r="I19" s="171"/>
      <c r="J19" s="173"/>
      <c r="K19" s="173"/>
      <c r="L19" s="174"/>
      <c r="M19" s="174"/>
      <c r="N19" s="174"/>
      <c r="O19" s="174"/>
      <c r="P19" s="174"/>
      <c r="Q19" s="174"/>
      <c r="R19" s="175"/>
    </row>
    <row r="20" spans="1:18" x14ac:dyDescent="0.25">
      <c r="A20" s="9"/>
      <c r="B20" s="17" t="s">
        <v>69</v>
      </c>
      <c r="C20" s="329" t="s">
        <v>70</v>
      </c>
      <c r="D20" s="330"/>
      <c r="E20" s="330"/>
      <c r="F20" s="331"/>
      <c r="G20" s="29"/>
      <c r="H20" s="16"/>
      <c r="I20" s="176"/>
      <c r="J20" s="9"/>
      <c r="K20" s="9"/>
      <c r="L20" s="174"/>
      <c r="M20" s="174"/>
      <c r="N20" s="174"/>
      <c r="O20" s="174"/>
      <c r="P20" s="174"/>
      <c r="Q20" s="174"/>
      <c r="R20" s="175"/>
    </row>
    <row r="21" spans="1:18" x14ac:dyDescent="0.25">
      <c r="A21" s="20"/>
      <c r="B21" s="21"/>
      <c r="C21" s="24"/>
      <c r="D21" s="25"/>
      <c r="E21" s="26"/>
      <c r="F21" s="26"/>
      <c r="G21" s="22"/>
      <c r="H21" s="23"/>
      <c r="I21" s="176"/>
      <c r="J21" s="20"/>
      <c r="K21" s="20"/>
      <c r="L21" s="174"/>
      <c r="M21" s="174"/>
      <c r="N21" s="174"/>
      <c r="O21" s="174"/>
      <c r="P21" s="174"/>
      <c r="Q21" s="174"/>
      <c r="R21" s="175"/>
    </row>
    <row r="22" spans="1:18" ht="13" x14ac:dyDescent="0.3">
      <c r="A22" s="20"/>
      <c r="B22" s="71" t="s">
        <v>63</v>
      </c>
      <c r="C22" s="71"/>
      <c r="D22" s="71"/>
      <c r="E22" s="71"/>
      <c r="F22" s="71"/>
      <c r="G22" s="71"/>
      <c r="H22" s="23"/>
      <c r="I22" s="176"/>
      <c r="J22" s="20"/>
      <c r="K22" s="20"/>
      <c r="L22" s="174"/>
      <c r="M22" s="174"/>
      <c r="N22" s="174"/>
      <c r="O22" s="174"/>
      <c r="P22" s="174"/>
      <c r="Q22" s="174"/>
      <c r="R22" s="175"/>
    </row>
    <row r="23" spans="1:18" x14ac:dyDescent="0.25">
      <c r="A23" s="20"/>
      <c r="H23" s="23"/>
      <c r="I23" s="176"/>
      <c r="J23" s="20"/>
      <c r="K23" s="173"/>
      <c r="L23" s="174"/>
      <c r="M23" s="174"/>
      <c r="N23" s="174"/>
      <c r="O23" s="174"/>
      <c r="P23" s="174"/>
      <c r="Q23" s="174"/>
      <c r="R23" s="175"/>
    </row>
    <row r="24" spans="1:18" x14ac:dyDescent="0.25">
      <c r="A24" s="20"/>
      <c r="B24" s="15" t="s">
        <v>56</v>
      </c>
      <c r="C24" s="325" t="s">
        <v>57</v>
      </c>
      <c r="D24" s="326"/>
      <c r="E24" s="326"/>
      <c r="F24" s="327"/>
      <c r="G24" s="28" t="s">
        <v>73</v>
      </c>
      <c r="H24" s="23"/>
      <c r="I24" s="176"/>
      <c r="J24" s="20"/>
      <c r="K24" s="20"/>
      <c r="L24" s="174"/>
      <c r="M24" s="174"/>
      <c r="N24" s="174"/>
      <c r="O24" s="174"/>
      <c r="P24" s="174"/>
      <c r="Q24" s="174"/>
      <c r="R24" s="175"/>
    </row>
    <row r="25" spans="1:18" ht="22" x14ac:dyDescent="0.25">
      <c r="A25" s="20"/>
      <c r="B25" s="18" t="s">
        <v>74</v>
      </c>
      <c r="C25" s="324" t="s">
        <v>77</v>
      </c>
      <c r="D25" s="324"/>
      <c r="E25" s="324"/>
      <c r="F25" s="324"/>
      <c r="G25" s="29" t="s">
        <v>75</v>
      </c>
      <c r="H25" s="23"/>
      <c r="I25" s="176"/>
      <c r="J25" s="20"/>
      <c r="K25" s="20"/>
      <c r="L25" s="174"/>
      <c r="M25" s="174"/>
      <c r="N25" s="174"/>
      <c r="O25" s="174"/>
      <c r="P25" s="174"/>
      <c r="Q25" s="174"/>
      <c r="R25" s="175"/>
    </row>
    <row r="26" spans="1:18" x14ac:dyDescent="0.25">
      <c r="A26" s="20"/>
      <c r="B26" s="18" t="s">
        <v>85</v>
      </c>
      <c r="C26" s="334" t="s">
        <v>86</v>
      </c>
      <c r="D26" s="335"/>
      <c r="E26" s="335"/>
      <c r="F26" s="336"/>
      <c r="G26" s="29" t="s">
        <v>75</v>
      </c>
      <c r="H26" s="23"/>
      <c r="I26" s="176"/>
      <c r="J26" s="20"/>
      <c r="K26" s="20"/>
      <c r="L26" s="174"/>
      <c r="M26" s="174"/>
      <c r="N26" s="174"/>
      <c r="O26" s="174"/>
      <c r="P26" s="174"/>
      <c r="Q26" s="174"/>
      <c r="R26" s="175"/>
    </row>
    <row r="27" spans="1:18" ht="22" x14ac:dyDescent="0.25">
      <c r="A27" s="20"/>
      <c r="B27" s="18" t="s">
        <v>94</v>
      </c>
      <c r="C27" s="334" t="s">
        <v>97</v>
      </c>
      <c r="D27" s="335"/>
      <c r="E27" s="335"/>
      <c r="F27" s="336"/>
      <c r="G27" s="29" t="s">
        <v>75</v>
      </c>
      <c r="H27" s="23"/>
      <c r="I27" s="176"/>
      <c r="J27" s="20"/>
      <c r="K27" s="20"/>
      <c r="L27" s="174"/>
      <c r="M27" s="174"/>
      <c r="N27" s="174"/>
      <c r="O27" s="174"/>
      <c r="P27" s="174"/>
      <c r="Q27" s="174"/>
      <c r="R27" s="175"/>
    </row>
    <row r="28" spans="1:18" x14ac:dyDescent="0.25">
      <c r="B28" s="18" t="s">
        <v>76</v>
      </c>
      <c r="C28" s="324" t="s">
        <v>6</v>
      </c>
      <c r="D28" s="324"/>
      <c r="E28" s="324"/>
      <c r="F28" s="324"/>
      <c r="G28" s="29" t="s">
        <v>75</v>
      </c>
      <c r="I28" s="176"/>
      <c r="J28" s="20"/>
      <c r="K28" s="20"/>
      <c r="L28" s="174"/>
      <c r="M28" s="174"/>
      <c r="N28" s="174"/>
      <c r="O28" s="174"/>
      <c r="P28" s="174"/>
      <c r="Q28" s="174"/>
      <c r="R28" s="175"/>
    </row>
    <row r="29" spans="1:18" ht="44" x14ac:dyDescent="0.25">
      <c r="B29" s="18" t="s">
        <v>95</v>
      </c>
      <c r="C29" s="334" t="s">
        <v>7</v>
      </c>
      <c r="D29" s="335"/>
      <c r="E29" s="335"/>
      <c r="F29" s="336"/>
      <c r="G29" s="29" t="s">
        <v>75</v>
      </c>
      <c r="I29" s="176"/>
      <c r="J29" s="20"/>
      <c r="K29" s="20"/>
      <c r="L29" s="174"/>
      <c r="M29" s="174"/>
      <c r="N29" s="174"/>
      <c r="O29" s="174"/>
      <c r="P29" s="174"/>
      <c r="Q29" s="174"/>
      <c r="R29" s="175"/>
    </row>
    <row r="30" spans="1:18" x14ac:dyDescent="0.25">
      <c r="B30" s="17" t="s">
        <v>78</v>
      </c>
      <c r="C30" s="328" t="s">
        <v>126</v>
      </c>
      <c r="D30" s="328"/>
      <c r="E30" s="328"/>
      <c r="F30" s="328"/>
      <c r="G30" s="29" t="s">
        <v>75</v>
      </c>
      <c r="I30" s="177"/>
      <c r="J30" s="20"/>
      <c r="K30" s="20"/>
      <c r="L30" s="174"/>
      <c r="M30" s="174"/>
      <c r="N30" s="174"/>
      <c r="O30" s="174"/>
      <c r="P30" s="174"/>
      <c r="Q30" s="174"/>
      <c r="R30" s="175"/>
    </row>
    <row r="31" spans="1:18" ht="48" customHeight="1" x14ac:dyDescent="0.25">
      <c r="B31" s="18" t="s">
        <v>79</v>
      </c>
      <c r="C31" s="333" t="s">
        <v>280</v>
      </c>
      <c r="D31" s="340"/>
      <c r="E31" s="340"/>
      <c r="F31" s="341"/>
      <c r="G31" s="29" t="s">
        <v>80</v>
      </c>
      <c r="I31" s="177"/>
      <c r="J31" s="20"/>
      <c r="K31" s="20"/>
      <c r="L31" s="174"/>
      <c r="M31" s="174"/>
      <c r="N31" s="174"/>
      <c r="O31" s="174"/>
      <c r="P31" s="174"/>
      <c r="Q31" s="174"/>
      <c r="R31" s="175"/>
    </row>
    <row r="32" spans="1:18" ht="62.25" customHeight="1" x14ac:dyDescent="0.25">
      <c r="B32" s="17" t="s">
        <v>81</v>
      </c>
      <c r="C32" s="333" t="s">
        <v>288</v>
      </c>
      <c r="D32" s="333"/>
      <c r="E32" s="333"/>
      <c r="F32" s="333"/>
      <c r="G32" s="29" t="s">
        <v>75</v>
      </c>
      <c r="I32" s="171"/>
      <c r="J32" s="173"/>
      <c r="K32" s="173"/>
      <c r="L32" s="174"/>
      <c r="M32" s="174"/>
      <c r="N32" s="174"/>
      <c r="O32" s="174"/>
      <c r="P32" s="174"/>
      <c r="Q32" s="174"/>
      <c r="R32" s="175"/>
    </row>
    <row r="33" spans="1:18" ht="54" customHeight="1" x14ac:dyDescent="0.25">
      <c r="B33" s="17" t="s">
        <v>83</v>
      </c>
      <c r="C33" s="328" t="s">
        <v>84</v>
      </c>
      <c r="D33" s="328"/>
      <c r="E33" s="328"/>
      <c r="F33" s="328"/>
      <c r="G33" s="29" t="s">
        <v>80</v>
      </c>
      <c r="I33" s="171"/>
      <c r="J33" s="173"/>
      <c r="K33" s="173"/>
      <c r="L33" s="174"/>
      <c r="M33" s="174"/>
      <c r="N33" s="174"/>
      <c r="O33" s="174"/>
      <c r="P33" s="174"/>
      <c r="Q33" s="174"/>
      <c r="R33" s="175"/>
    </row>
    <row r="34" spans="1:18" x14ac:dyDescent="0.25">
      <c r="I34" s="171"/>
      <c r="J34" s="173"/>
      <c r="K34" s="173"/>
      <c r="L34" s="174"/>
      <c r="M34" s="174"/>
      <c r="N34" s="174"/>
      <c r="O34" s="174"/>
      <c r="P34" s="174"/>
      <c r="Q34" s="174"/>
      <c r="R34" s="175"/>
    </row>
    <row r="35" spans="1:18" x14ac:dyDescent="0.25">
      <c r="B35" s="337" t="s">
        <v>125</v>
      </c>
      <c r="C35" s="338"/>
      <c r="D35" s="338"/>
      <c r="E35" s="338"/>
      <c r="F35" s="338"/>
      <c r="G35" s="339"/>
      <c r="I35" s="171"/>
      <c r="J35" s="173"/>
      <c r="K35" s="173"/>
      <c r="L35" s="174"/>
      <c r="M35" s="174"/>
      <c r="N35" s="174"/>
      <c r="O35" s="174"/>
      <c r="P35" s="174"/>
      <c r="Q35" s="174"/>
      <c r="R35" s="175"/>
    </row>
    <row r="36" spans="1:18" x14ac:dyDescent="0.25">
      <c r="B36" s="70"/>
      <c r="C36" s="332" t="s">
        <v>30</v>
      </c>
      <c r="D36" s="332"/>
      <c r="E36" s="332"/>
      <c r="F36" s="332"/>
      <c r="G36" s="332"/>
      <c r="I36" s="171"/>
      <c r="J36" s="173"/>
      <c r="K36" s="173"/>
      <c r="L36" s="174"/>
      <c r="M36" s="174"/>
      <c r="N36" s="174"/>
      <c r="O36" s="174"/>
      <c r="P36" s="174"/>
      <c r="Q36" s="174"/>
      <c r="R36" s="175"/>
    </row>
    <row r="37" spans="1:18" x14ac:dyDescent="0.25">
      <c r="B37" s="69"/>
      <c r="C37" s="332" t="s">
        <v>31</v>
      </c>
      <c r="D37" s="332"/>
      <c r="E37" s="332"/>
      <c r="F37" s="332"/>
      <c r="G37" s="332"/>
      <c r="I37" s="171"/>
      <c r="J37" s="173"/>
      <c r="K37" s="173"/>
      <c r="L37" s="174"/>
      <c r="M37" s="174"/>
      <c r="N37" s="174"/>
      <c r="O37" s="174"/>
      <c r="P37" s="174"/>
      <c r="Q37" s="174"/>
      <c r="R37" s="175"/>
    </row>
    <row r="38" spans="1:18" x14ac:dyDescent="0.25">
      <c r="B38" s="68"/>
      <c r="C38" s="332" t="s">
        <v>32</v>
      </c>
      <c r="D38" s="332"/>
      <c r="E38" s="332"/>
      <c r="F38" s="332"/>
      <c r="G38" s="332"/>
      <c r="I38" s="171"/>
      <c r="J38" s="173"/>
      <c r="K38" s="173"/>
      <c r="L38" s="174"/>
      <c r="M38" s="174"/>
      <c r="N38" s="174"/>
      <c r="O38" s="174"/>
      <c r="P38" s="174"/>
      <c r="Q38" s="174"/>
      <c r="R38" s="175"/>
    </row>
    <row r="39" spans="1:18" x14ac:dyDescent="0.25">
      <c r="I39" s="171"/>
      <c r="J39" s="173"/>
      <c r="K39" s="173"/>
      <c r="L39" s="174"/>
      <c r="M39" s="174"/>
      <c r="N39" s="174"/>
      <c r="O39" s="174"/>
      <c r="P39" s="174"/>
      <c r="Q39" s="174"/>
      <c r="R39" s="175"/>
    </row>
    <row r="40" spans="1:18" ht="13" thickBot="1" x14ac:dyDescent="0.3">
      <c r="C40" s="320" t="s">
        <v>88</v>
      </c>
      <c r="D40" s="320"/>
      <c r="E40" s="320"/>
      <c r="F40" s="320"/>
      <c r="G40" s="320"/>
      <c r="I40" s="178"/>
      <c r="J40" s="179"/>
      <c r="K40" s="179"/>
      <c r="L40" s="180"/>
      <c r="M40" s="180"/>
      <c r="N40" s="180"/>
      <c r="O40" s="180"/>
      <c r="P40" s="180"/>
      <c r="Q40" s="180"/>
      <c r="R40" s="181"/>
    </row>
    <row r="41" spans="1:18" x14ac:dyDescent="0.25">
      <c r="C41" s="321"/>
      <c r="D41" s="321"/>
      <c r="E41" s="321"/>
      <c r="F41" s="321"/>
      <c r="G41" s="321"/>
    </row>
    <row r="43" spans="1:18" x14ac:dyDescent="0.25">
      <c r="A43" s="323" t="s">
        <v>89</v>
      </c>
      <c r="B43" s="323"/>
      <c r="C43" s="323"/>
      <c r="D43" s="323"/>
      <c r="E43" s="323"/>
      <c r="F43" s="323"/>
      <c r="G43" s="323"/>
      <c r="H43" s="323"/>
      <c r="I43" s="323"/>
      <c r="J43" s="323"/>
    </row>
  </sheetData>
  <mergeCells count="28">
    <mergeCell ref="C38:G38"/>
    <mergeCell ref="C25:F25"/>
    <mergeCell ref="C24:F24"/>
    <mergeCell ref="C32:F32"/>
    <mergeCell ref="C27:F27"/>
    <mergeCell ref="B35:G35"/>
    <mergeCell ref="C36:G36"/>
    <mergeCell ref="C30:F30"/>
    <mergeCell ref="C31:F31"/>
    <mergeCell ref="C29:F29"/>
    <mergeCell ref="C26:F26"/>
    <mergeCell ref="C37:G37"/>
    <mergeCell ref="C40:G41"/>
    <mergeCell ref="A43:J43"/>
    <mergeCell ref="C1:G2"/>
    <mergeCell ref="C13:F13"/>
    <mergeCell ref="C15:F15"/>
    <mergeCell ref="C18:F18"/>
    <mergeCell ref="A5:J5"/>
    <mergeCell ref="A6:J6"/>
    <mergeCell ref="C12:F12"/>
    <mergeCell ref="C19:F19"/>
    <mergeCell ref="C17:F17"/>
    <mergeCell ref="C16:F16"/>
    <mergeCell ref="C14:F14"/>
    <mergeCell ref="C20:F20"/>
    <mergeCell ref="C33:F33"/>
    <mergeCell ref="C28:F28"/>
  </mergeCells>
  <phoneticPr fontId="70" type="noConversion"/>
  <hyperlinks>
    <hyperlink ref="J1" location="Help1!A1" display="Aide Générale"/>
    <hyperlink ref="A1" location="'First page'!A1" display="Retour"/>
    <hyperlink ref="I12" r:id="rId1"/>
  </hyperlinks>
  <pageMargins left="0.78740157499999996" right="0.78740157499999996" top="0.984251969" bottom="0.984251969" header="0.4921259845" footer="0.4921259845"/>
  <pageSetup paperSize="9" orientation="portrait" r:id="rId2"/>
  <headerFooter alignWithMargins="0"/>
  <drawing r:id="rId3"/>
  <legacyDrawing r:id="rId4"/>
  <oleObjects>
    <mc:AlternateContent xmlns:mc="http://schemas.openxmlformats.org/markup-compatibility/2006">
      <mc:Choice Requires="x14">
        <oleObject progId="Présentation" dvAspect="DVASPECT_ICON" shapeId="6145" r:id="rId5">
          <objectPr defaultSize="0" r:id="rId6">
            <anchor moveWithCells="1">
              <from>
                <xdr:col>9</xdr:col>
                <xdr:colOff>374650</xdr:colOff>
                <xdr:row>13</xdr:row>
                <xdr:rowOff>76200</xdr:rowOff>
              </from>
              <to>
                <xdr:col>10</xdr:col>
                <xdr:colOff>527050</xdr:colOff>
                <xdr:row>16</xdr:row>
                <xdr:rowOff>114300</xdr:rowOff>
              </to>
            </anchor>
          </objectPr>
        </oleObject>
      </mc:Choice>
      <mc:Fallback>
        <oleObject progId="Présentation" dvAspect="DVASPECT_ICON" shapeId="6145" r:id="rId5"/>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89"/>
  <sheetViews>
    <sheetView topLeftCell="A61" workbookViewId="0">
      <selection activeCell="C8" sqref="C8"/>
    </sheetView>
  </sheetViews>
  <sheetFormatPr defaultColWidth="68.81640625" defaultRowHeight="12.5" x14ac:dyDescent="0.25"/>
  <cols>
    <col min="1" max="1" width="5.54296875" customWidth="1"/>
  </cols>
  <sheetData>
    <row r="2" spans="2:3" ht="22" x14ac:dyDescent="0.25">
      <c r="B2" s="193" t="s">
        <v>291</v>
      </c>
    </row>
    <row r="3" spans="2:3" ht="13" x14ac:dyDescent="0.25">
      <c r="B3" s="194" t="s">
        <v>292</v>
      </c>
    </row>
    <row r="4" spans="2:3" ht="13" x14ac:dyDescent="0.25">
      <c r="B4" s="195">
        <v>0.65972222222222221</v>
      </c>
    </row>
    <row r="5" spans="2:3" ht="21" x14ac:dyDescent="0.25">
      <c r="B5" s="196" t="s">
        <v>293</v>
      </c>
    </row>
    <row r="6" spans="2:3" ht="15" thickBot="1" x14ac:dyDescent="0.3">
      <c r="B6" s="197"/>
    </row>
    <row r="7" spans="2:3" ht="15" thickBot="1" x14ac:dyDescent="0.3">
      <c r="B7" s="198" t="s">
        <v>294</v>
      </c>
      <c r="C7" s="199"/>
    </row>
    <row r="8" spans="2:3" ht="15" thickBot="1" x14ac:dyDescent="0.3">
      <c r="B8" s="199" t="s">
        <v>295</v>
      </c>
      <c r="C8" s="200" t="s">
        <v>296</v>
      </c>
    </row>
    <row r="9" spans="2:3" ht="15" thickBot="1" x14ac:dyDescent="0.3">
      <c r="B9" s="199" t="s">
        <v>297</v>
      </c>
      <c r="C9" s="200" t="s">
        <v>298</v>
      </c>
    </row>
    <row r="10" spans="2:3" ht="15" thickBot="1" x14ac:dyDescent="0.3">
      <c r="B10" s="199" t="s">
        <v>299</v>
      </c>
      <c r="C10" s="200" t="s">
        <v>298</v>
      </c>
    </row>
    <row r="11" spans="2:3" ht="15" thickBot="1" x14ac:dyDescent="0.3">
      <c r="B11" s="199" t="s">
        <v>300</v>
      </c>
      <c r="C11" s="200" t="s">
        <v>301</v>
      </c>
    </row>
    <row r="12" spans="2:3" ht="15" thickBot="1" x14ac:dyDescent="0.3">
      <c r="B12" s="199" t="s">
        <v>302</v>
      </c>
      <c r="C12" s="200" t="s">
        <v>303</v>
      </c>
    </row>
    <row r="13" spans="2:3" ht="14.5" x14ac:dyDescent="0.25">
      <c r="B13" s="197"/>
    </row>
    <row r="14" spans="2:3" ht="14.5" x14ac:dyDescent="0.25">
      <c r="B14" s="197"/>
    </row>
    <row r="15" spans="2:3" ht="17" x14ac:dyDescent="0.25">
      <c r="B15" s="201" t="s">
        <v>304</v>
      </c>
    </row>
    <row r="16" spans="2:3" ht="14.5" x14ac:dyDescent="0.25">
      <c r="B16" s="197" t="s">
        <v>305</v>
      </c>
    </row>
    <row r="17" spans="2:2" ht="14.5" x14ac:dyDescent="0.25">
      <c r="B17" s="197" t="s">
        <v>306</v>
      </c>
    </row>
    <row r="18" spans="2:2" ht="14.5" x14ac:dyDescent="0.25">
      <c r="B18" s="197" t="s">
        <v>307</v>
      </c>
    </row>
    <row r="19" spans="2:2" ht="14.5" x14ac:dyDescent="0.25">
      <c r="B19" s="197"/>
    </row>
    <row r="20" spans="2:2" ht="14.5" x14ac:dyDescent="0.25">
      <c r="B20" s="197" t="s">
        <v>308</v>
      </c>
    </row>
    <row r="21" spans="2:2" ht="14.5" x14ac:dyDescent="0.25">
      <c r="B21" s="197"/>
    </row>
    <row r="22" spans="2:2" ht="14.5" x14ac:dyDescent="0.25">
      <c r="B22" s="197" t="s">
        <v>309</v>
      </c>
    </row>
    <row r="23" spans="2:2" ht="14.5" x14ac:dyDescent="0.25">
      <c r="B23" s="197" t="s">
        <v>310</v>
      </c>
    </row>
    <row r="24" spans="2:2" ht="17" x14ac:dyDescent="0.25">
      <c r="B24" s="197" t="s">
        <v>311</v>
      </c>
    </row>
    <row r="25" spans="2:2" ht="14.5" x14ac:dyDescent="0.25">
      <c r="B25" s="197" t="s">
        <v>312</v>
      </c>
    </row>
    <row r="26" spans="2:2" ht="14.5" x14ac:dyDescent="0.25">
      <c r="B26" s="197" t="s">
        <v>313</v>
      </c>
    </row>
    <row r="27" spans="2:2" ht="14.5" x14ac:dyDescent="0.25">
      <c r="B27" s="197" t="s">
        <v>314</v>
      </c>
    </row>
    <row r="28" spans="2:2" ht="14.5" x14ac:dyDescent="0.25">
      <c r="B28" s="197"/>
    </row>
    <row r="29" spans="2:2" ht="17" x14ac:dyDescent="0.25">
      <c r="B29" s="201" t="s">
        <v>315</v>
      </c>
    </row>
    <row r="30" spans="2:2" ht="14.5" x14ac:dyDescent="0.25">
      <c r="B30" s="197" t="s">
        <v>316</v>
      </c>
    </row>
    <row r="31" spans="2:2" ht="14.5" x14ac:dyDescent="0.25">
      <c r="B31" s="197" t="s">
        <v>317</v>
      </c>
    </row>
    <row r="32" spans="2:2" ht="14.5" x14ac:dyDescent="0.25">
      <c r="B32" s="197"/>
    </row>
    <row r="33" spans="2:2" ht="21" x14ac:dyDescent="0.25">
      <c r="B33" s="196" t="s">
        <v>318</v>
      </c>
    </row>
    <row r="34" spans="2:2" ht="14.5" x14ac:dyDescent="0.25">
      <c r="B34" s="197" t="s">
        <v>319</v>
      </c>
    </row>
    <row r="35" spans="2:2" ht="14.5" x14ac:dyDescent="0.25">
      <c r="B35" s="197"/>
    </row>
    <row r="36" spans="2:2" ht="14.5" x14ac:dyDescent="0.25">
      <c r="B36" s="202" t="s">
        <v>320</v>
      </c>
    </row>
    <row r="37" spans="2:2" ht="14.5" x14ac:dyDescent="0.25">
      <c r="B37" s="203" t="s">
        <v>321</v>
      </c>
    </row>
    <row r="38" spans="2:2" ht="14.5" x14ac:dyDescent="0.25">
      <c r="B38" s="203" t="s">
        <v>322</v>
      </c>
    </row>
    <row r="39" spans="2:2" ht="14.5" x14ac:dyDescent="0.25">
      <c r="B39" s="203" t="s">
        <v>323</v>
      </c>
    </row>
    <row r="40" spans="2:2" ht="14.5" x14ac:dyDescent="0.25">
      <c r="B40" s="203" t="s">
        <v>324</v>
      </c>
    </row>
    <row r="41" spans="2:2" ht="14.5" x14ac:dyDescent="0.25">
      <c r="B41" s="203" t="s">
        <v>325</v>
      </c>
    </row>
    <row r="42" spans="2:2" ht="14.5" x14ac:dyDescent="0.25">
      <c r="B42" s="203" t="s">
        <v>326</v>
      </c>
    </row>
    <row r="43" spans="2:2" ht="14.5" x14ac:dyDescent="0.25">
      <c r="B43" s="203" t="s">
        <v>327</v>
      </c>
    </row>
    <row r="44" spans="2:2" ht="14.5" x14ac:dyDescent="0.25">
      <c r="B44" s="197"/>
    </row>
    <row r="45" spans="2:2" ht="14.5" x14ac:dyDescent="0.25">
      <c r="B45" s="202" t="s">
        <v>328</v>
      </c>
    </row>
    <row r="46" spans="2:2" ht="14.5" x14ac:dyDescent="0.25">
      <c r="B46" s="203" t="s">
        <v>329</v>
      </c>
    </row>
    <row r="47" spans="2:2" ht="14.5" x14ac:dyDescent="0.25">
      <c r="B47" s="203" t="s">
        <v>330</v>
      </c>
    </row>
    <row r="48" spans="2:2" ht="14.5" x14ac:dyDescent="0.25">
      <c r="B48" s="203" t="s">
        <v>331</v>
      </c>
    </row>
    <row r="49" spans="2:3" ht="14.5" x14ac:dyDescent="0.25">
      <c r="B49" s="203" t="s">
        <v>332</v>
      </c>
    </row>
    <row r="50" spans="2:3" ht="14.5" x14ac:dyDescent="0.25">
      <c r="B50" s="203" t="s">
        <v>333</v>
      </c>
    </row>
    <row r="51" spans="2:3" ht="14.5" x14ac:dyDescent="0.25">
      <c r="B51" s="197"/>
    </row>
    <row r="52" spans="2:3" ht="14.5" x14ac:dyDescent="0.25">
      <c r="B52" s="202" t="s">
        <v>334</v>
      </c>
    </row>
    <row r="53" spans="2:3" ht="14.5" x14ac:dyDescent="0.25">
      <c r="B53" s="203" t="s">
        <v>329</v>
      </c>
    </row>
    <row r="54" spans="2:3" ht="14.5" x14ac:dyDescent="0.25">
      <c r="B54" s="203" t="s">
        <v>335</v>
      </c>
    </row>
    <row r="55" spans="2:3" ht="14.5" x14ac:dyDescent="0.25">
      <c r="B55" s="203" t="s">
        <v>336</v>
      </c>
    </row>
    <row r="56" spans="2:3" ht="14.5" x14ac:dyDescent="0.25">
      <c r="B56" s="203" t="s">
        <v>337</v>
      </c>
    </row>
    <row r="57" spans="2:3" ht="14.5" x14ac:dyDescent="0.25">
      <c r="B57" s="203" t="s">
        <v>338</v>
      </c>
    </row>
    <row r="58" spans="2:3" ht="14.5" x14ac:dyDescent="0.25">
      <c r="B58" s="203" t="s">
        <v>339</v>
      </c>
    </row>
    <row r="59" spans="2:3" ht="14.5" x14ac:dyDescent="0.25">
      <c r="B59" s="203" t="s">
        <v>340</v>
      </c>
    </row>
    <row r="60" spans="2:3" ht="14.5" x14ac:dyDescent="0.25">
      <c r="B60" s="197"/>
    </row>
    <row r="61" spans="2:3" ht="14.5" x14ac:dyDescent="0.25">
      <c r="B61" s="202" t="s">
        <v>341</v>
      </c>
    </row>
    <row r="62" spans="2:3" ht="15" thickBot="1" x14ac:dyDescent="0.3">
      <c r="B62" s="203" t="s">
        <v>342</v>
      </c>
    </row>
    <row r="63" spans="2:3" ht="15" thickBot="1" x14ac:dyDescent="0.3">
      <c r="B63" s="199" t="s">
        <v>343</v>
      </c>
      <c r="C63" s="199" t="s">
        <v>344</v>
      </c>
    </row>
    <row r="64" spans="2:3" ht="15" thickBot="1" x14ac:dyDescent="0.3">
      <c r="B64" s="199" t="s">
        <v>44</v>
      </c>
      <c r="C64" s="199" t="s">
        <v>44</v>
      </c>
    </row>
    <row r="65" spans="2:3" ht="15" thickBot="1" x14ac:dyDescent="0.3">
      <c r="B65" s="199" t="s">
        <v>44</v>
      </c>
      <c r="C65" s="199" t="s">
        <v>345</v>
      </c>
    </row>
    <row r="66" spans="2:3" ht="15" thickBot="1" x14ac:dyDescent="0.3">
      <c r="B66" s="203" t="s">
        <v>346</v>
      </c>
    </row>
    <row r="67" spans="2:3" ht="15" thickBot="1" x14ac:dyDescent="0.3">
      <c r="B67" s="199" t="s">
        <v>343</v>
      </c>
      <c r="C67" s="199" t="s">
        <v>344</v>
      </c>
    </row>
    <row r="68" spans="2:3" ht="15" thickBot="1" x14ac:dyDescent="0.3">
      <c r="B68" s="199" t="s">
        <v>44</v>
      </c>
      <c r="C68" s="199" t="s">
        <v>119</v>
      </c>
    </row>
    <row r="69" spans="2:3" ht="15" thickBot="1" x14ac:dyDescent="0.3">
      <c r="B69" s="199" t="s">
        <v>45</v>
      </c>
      <c r="C69" s="199" t="s">
        <v>119</v>
      </c>
    </row>
    <row r="70" spans="2:3" ht="15" thickBot="1" x14ac:dyDescent="0.3">
      <c r="B70" s="199" t="s">
        <v>345</v>
      </c>
      <c r="C70" s="199" t="s">
        <v>119</v>
      </c>
    </row>
    <row r="71" spans="2:3" ht="14.5" x14ac:dyDescent="0.25">
      <c r="B71" s="197"/>
    </row>
    <row r="72" spans="2:3" ht="15" thickBot="1" x14ac:dyDescent="0.3">
      <c r="B72" s="203" t="s">
        <v>347</v>
      </c>
    </row>
    <row r="73" spans="2:3" ht="15" thickBot="1" x14ac:dyDescent="0.3">
      <c r="B73" s="199" t="s">
        <v>343</v>
      </c>
      <c r="C73" s="199" t="s">
        <v>344</v>
      </c>
    </row>
    <row r="74" spans="2:3" ht="15" thickBot="1" x14ac:dyDescent="0.3">
      <c r="B74" s="199" t="s">
        <v>45</v>
      </c>
      <c r="C74" s="199" t="s">
        <v>91</v>
      </c>
    </row>
    <row r="75" spans="2:3" ht="14.5" x14ac:dyDescent="0.25">
      <c r="B75" s="197"/>
    </row>
    <row r="76" spans="2:3" ht="15" thickBot="1" x14ac:dyDescent="0.3">
      <c r="B76" s="203" t="s">
        <v>348</v>
      </c>
    </row>
    <row r="77" spans="2:3" ht="15" thickBot="1" x14ac:dyDescent="0.3">
      <c r="B77" s="199" t="s">
        <v>343</v>
      </c>
      <c r="C77" s="199" t="s">
        <v>344</v>
      </c>
    </row>
    <row r="78" spans="2:3" ht="15" thickBot="1" x14ac:dyDescent="0.3">
      <c r="B78" s="199" t="s">
        <v>45</v>
      </c>
      <c r="C78" s="199" t="s">
        <v>45</v>
      </c>
    </row>
    <row r="79" spans="2:3" ht="14.5" x14ac:dyDescent="0.25">
      <c r="B79" s="197"/>
    </row>
    <row r="80" spans="2:3" ht="15" thickBot="1" x14ac:dyDescent="0.3">
      <c r="B80" s="203" t="s">
        <v>349</v>
      </c>
    </row>
    <row r="81" spans="2:3" ht="15" thickBot="1" x14ac:dyDescent="0.3">
      <c r="B81" s="199" t="s">
        <v>343</v>
      </c>
      <c r="C81" s="199" t="s">
        <v>344</v>
      </c>
    </row>
    <row r="82" spans="2:3" ht="15" thickBot="1" x14ac:dyDescent="0.3">
      <c r="B82" s="199" t="s">
        <v>44</v>
      </c>
      <c r="C82" s="199" t="s">
        <v>45</v>
      </c>
    </row>
    <row r="83" spans="2:3" ht="15" thickBot="1" x14ac:dyDescent="0.3">
      <c r="B83" s="199" t="s">
        <v>44</v>
      </c>
      <c r="C83" s="199" t="s">
        <v>91</v>
      </c>
    </row>
    <row r="84" spans="2:3" ht="15" thickBot="1" x14ac:dyDescent="0.3">
      <c r="B84" s="204" t="s">
        <v>345</v>
      </c>
      <c r="C84" s="199" t="s">
        <v>91</v>
      </c>
    </row>
    <row r="85" spans="2:3" ht="15" thickBot="1" x14ac:dyDescent="0.3">
      <c r="B85" s="199" t="s">
        <v>45</v>
      </c>
      <c r="C85" s="204" t="s">
        <v>345</v>
      </c>
    </row>
    <row r="86" spans="2:3" ht="15" thickBot="1" x14ac:dyDescent="0.3">
      <c r="B86" s="204" t="s">
        <v>350</v>
      </c>
      <c r="C86" s="199" t="s">
        <v>45</v>
      </c>
    </row>
    <row r="87" spans="2:3" ht="15" thickBot="1" x14ac:dyDescent="0.3">
      <c r="B87" s="204" t="s">
        <v>350</v>
      </c>
      <c r="C87" s="204" t="s">
        <v>345</v>
      </c>
    </row>
    <row r="88" spans="2:3" ht="15" thickBot="1" x14ac:dyDescent="0.3">
      <c r="B88" s="204" t="s">
        <v>350</v>
      </c>
      <c r="C88" s="199" t="s">
        <v>44</v>
      </c>
    </row>
    <row r="89" spans="2:3" ht="15" thickBot="1" x14ac:dyDescent="0.3">
      <c r="B89" s="199" t="s">
        <v>45</v>
      </c>
      <c r="C89" s="204" t="s">
        <v>350</v>
      </c>
    </row>
  </sheetData>
  <phoneticPr fontId="70" type="noConversion"/>
  <hyperlinks>
    <hyperlink ref="C8" r:id="rId1"/>
    <hyperlink ref="C9" r:id="rId2"/>
    <hyperlink ref="C10" r:id="rId3"/>
    <hyperlink ref="C11" r:id="rId4"/>
    <hyperlink ref="C12" r:id="rId5"/>
  </hyperlinks>
  <pageMargins left="0.7" right="0.7" top="0.75" bottom="0.75" header="0.3" footer="0.3"/>
  <pageSetup paperSize="9"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99"/>
  <sheetViews>
    <sheetView workbookViewId="0">
      <selection activeCell="A2" sqref="A2"/>
    </sheetView>
  </sheetViews>
  <sheetFormatPr defaultColWidth="11.453125" defaultRowHeight="14" x14ac:dyDescent="0.25"/>
  <cols>
    <col min="1" max="1" width="31.26953125" style="77" customWidth="1"/>
    <col min="2" max="2" width="24.1796875" style="77" customWidth="1"/>
    <col min="3" max="3" width="11.453125" style="77"/>
    <col min="4" max="4" width="20.453125" style="77" customWidth="1"/>
    <col min="5" max="5" width="3.1796875" style="77" customWidth="1"/>
    <col min="6" max="16384" width="11.453125" style="77"/>
  </cols>
  <sheetData>
    <row r="1" spans="1:4" s="76" customFormat="1" x14ac:dyDescent="0.25">
      <c r="A1" s="74" t="s">
        <v>128</v>
      </c>
      <c r="B1" s="74"/>
      <c r="C1" s="75"/>
      <c r="D1" s="75"/>
    </row>
    <row r="2" spans="1:4" x14ac:dyDescent="0.25">
      <c r="A2" s="77" t="s">
        <v>275</v>
      </c>
      <c r="B2" s="78"/>
      <c r="D2" s="78"/>
    </row>
    <row r="3" spans="1:4" x14ac:dyDescent="0.25">
      <c r="B3" s="78"/>
      <c r="D3" s="78"/>
    </row>
    <row r="4" spans="1:4" x14ac:dyDescent="0.25">
      <c r="B4" s="78"/>
      <c r="D4" s="78"/>
    </row>
    <row r="5" spans="1:4" x14ac:dyDescent="0.25">
      <c r="A5" s="77" t="s">
        <v>160</v>
      </c>
      <c r="B5" s="78"/>
    </row>
    <row r="6" spans="1:4" x14ac:dyDescent="0.25">
      <c r="A6" s="77" t="s">
        <v>161</v>
      </c>
      <c r="B6" s="78"/>
    </row>
    <row r="7" spans="1:4" x14ac:dyDescent="0.25">
      <c r="A7" s="77" t="s">
        <v>162</v>
      </c>
      <c r="B7" s="78"/>
    </row>
    <row r="8" spans="1:4" x14ac:dyDescent="0.25">
      <c r="A8" s="77" t="s">
        <v>163</v>
      </c>
      <c r="B8" s="78"/>
    </row>
    <row r="9" spans="1:4" x14ac:dyDescent="0.25">
      <c r="A9" s="77" t="s">
        <v>164</v>
      </c>
      <c r="B9" s="78"/>
    </row>
    <row r="10" spans="1:4" x14ac:dyDescent="0.25">
      <c r="A10" s="77" t="s">
        <v>165</v>
      </c>
      <c r="B10" s="78"/>
    </row>
    <row r="11" spans="1:4" x14ac:dyDescent="0.25">
      <c r="A11" s="77" t="s">
        <v>166</v>
      </c>
      <c r="B11" s="78"/>
      <c r="D11" s="78"/>
    </row>
    <row r="12" spans="1:4" x14ac:dyDescent="0.25">
      <c r="A12" s="77" t="s">
        <v>167</v>
      </c>
      <c r="B12" s="78"/>
      <c r="D12" s="78"/>
    </row>
    <row r="13" spans="1:4" x14ac:dyDescent="0.25">
      <c r="A13" s="77" t="s">
        <v>168</v>
      </c>
      <c r="B13" s="78"/>
      <c r="D13" s="78"/>
    </row>
    <row r="14" spans="1:4" x14ac:dyDescent="0.25">
      <c r="A14" s="77" t="s">
        <v>169</v>
      </c>
      <c r="B14" s="78"/>
      <c r="D14" s="78"/>
    </row>
    <row r="15" spans="1:4" x14ac:dyDescent="0.25">
      <c r="A15" s="77" t="s">
        <v>170</v>
      </c>
      <c r="B15" s="78"/>
      <c r="D15" s="78"/>
    </row>
    <row r="16" spans="1:4" x14ac:dyDescent="0.25">
      <c r="A16" s="77" t="s">
        <v>171</v>
      </c>
      <c r="B16" s="78"/>
      <c r="D16" s="78"/>
    </row>
    <row r="17" spans="1:4" x14ac:dyDescent="0.25">
      <c r="A17" s="77" t="s">
        <v>172</v>
      </c>
      <c r="B17" s="78"/>
      <c r="D17" s="78"/>
    </row>
    <row r="18" spans="1:4" x14ac:dyDescent="0.25">
      <c r="A18" s="77" t="s">
        <v>173</v>
      </c>
      <c r="B18" s="78"/>
      <c r="D18" s="78"/>
    </row>
    <row r="19" spans="1:4" x14ac:dyDescent="0.25">
      <c r="A19" s="77" t="s">
        <v>174</v>
      </c>
      <c r="B19" s="78"/>
      <c r="D19" s="78"/>
    </row>
    <row r="20" spans="1:4" x14ac:dyDescent="0.25">
      <c r="A20" s="77" t="s">
        <v>175</v>
      </c>
      <c r="B20" s="78"/>
      <c r="D20" s="78"/>
    </row>
    <row r="21" spans="1:4" x14ac:dyDescent="0.25">
      <c r="A21" s="77" t="s">
        <v>176</v>
      </c>
      <c r="B21" s="78"/>
      <c r="D21" s="78"/>
    </row>
    <row r="22" spans="1:4" x14ac:dyDescent="0.25">
      <c r="A22" s="77" t="s">
        <v>177</v>
      </c>
      <c r="B22" s="78"/>
      <c r="D22" s="78"/>
    </row>
    <row r="23" spans="1:4" x14ac:dyDescent="0.25">
      <c r="A23" s="77" t="s">
        <v>178</v>
      </c>
      <c r="B23" s="78"/>
      <c r="D23" s="78"/>
    </row>
    <row r="24" spans="1:4" x14ac:dyDescent="0.25">
      <c r="A24" s="77" t="s">
        <v>179</v>
      </c>
      <c r="B24" s="78"/>
      <c r="D24" s="78"/>
    </row>
    <row r="25" spans="1:4" x14ac:dyDescent="0.25">
      <c r="A25" s="77" t="s">
        <v>180</v>
      </c>
      <c r="B25" s="78"/>
      <c r="D25" s="78"/>
    </row>
    <row r="26" spans="1:4" x14ac:dyDescent="0.25">
      <c r="A26" s="77" t="s">
        <v>181</v>
      </c>
      <c r="B26" s="78"/>
      <c r="D26" s="78"/>
    </row>
    <row r="27" spans="1:4" x14ac:dyDescent="0.25">
      <c r="A27" s="77" t="s">
        <v>182</v>
      </c>
      <c r="B27" s="78"/>
    </row>
    <row r="28" spans="1:4" x14ac:dyDescent="0.25">
      <c r="A28" s="77" t="s">
        <v>183</v>
      </c>
      <c r="B28" s="78"/>
    </row>
    <row r="29" spans="1:4" x14ac:dyDescent="0.25">
      <c r="A29" s="77" t="s">
        <v>184</v>
      </c>
      <c r="B29" s="78"/>
    </row>
    <row r="30" spans="1:4" x14ac:dyDescent="0.25">
      <c r="A30" s="77" t="s">
        <v>185</v>
      </c>
      <c r="B30" s="78"/>
    </row>
    <row r="31" spans="1:4" x14ac:dyDescent="0.25">
      <c r="A31" s="77" t="s">
        <v>186</v>
      </c>
      <c r="B31" s="78"/>
    </row>
    <row r="32" spans="1:4" x14ac:dyDescent="0.25">
      <c r="A32" s="77" t="s">
        <v>187</v>
      </c>
      <c r="B32" s="78"/>
    </row>
    <row r="33" spans="1:2" x14ac:dyDescent="0.25">
      <c r="A33" s="77" t="s">
        <v>188</v>
      </c>
      <c r="B33" s="78"/>
    </row>
    <row r="34" spans="1:2" x14ac:dyDescent="0.25">
      <c r="A34" s="77" t="s">
        <v>189</v>
      </c>
    </row>
    <row r="35" spans="1:2" x14ac:dyDescent="0.25">
      <c r="A35" s="77" t="s">
        <v>190</v>
      </c>
    </row>
    <row r="36" spans="1:2" x14ac:dyDescent="0.25">
      <c r="A36" s="77" t="s">
        <v>191</v>
      </c>
    </row>
    <row r="37" spans="1:2" x14ac:dyDescent="0.25">
      <c r="A37" s="77" t="s">
        <v>192</v>
      </c>
    </row>
    <row r="38" spans="1:2" x14ac:dyDescent="0.25">
      <c r="A38" s="77" t="s">
        <v>193</v>
      </c>
    </row>
    <row r="39" spans="1:2" x14ac:dyDescent="0.25">
      <c r="A39" s="77" t="s">
        <v>194</v>
      </c>
    </row>
    <row r="40" spans="1:2" x14ac:dyDescent="0.25">
      <c r="A40" s="77" t="s">
        <v>195</v>
      </c>
    </row>
    <row r="41" spans="1:2" x14ac:dyDescent="0.25">
      <c r="A41" s="77" t="s">
        <v>196</v>
      </c>
    </row>
    <row r="42" spans="1:2" x14ac:dyDescent="0.25">
      <c r="A42" s="77" t="s">
        <v>197</v>
      </c>
    </row>
    <row r="43" spans="1:2" x14ac:dyDescent="0.25">
      <c r="A43" s="77" t="s">
        <v>198</v>
      </c>
    </row>
    <row r="44" spans="1:2" x14ac:dyDescent="0.25">
      <c r="A44" s="77" t="s">
        <v>199</v>
      </c>
    </row>
    <row r="45" spans="1:2" x14ac:dyDescent="0.25">
      <c r="A45" s="77" t="s">
        <v>200</v>
      </c>
    </row>
    <row r="46" spans="1:2" x14ac:dyDescent="0.25">
      <c r="A46" s="77" t="s">
        <v>201</v>
      </c>
    </row>
    <row r="47" spans="1:2" x14ac:dyDescent="0.25">
      <c r="A47" s="77" t="s">
        <v>202</v>
      </c>
    </row>
    <row r="48" spans="1:2" x14ac:dyDescent="0.25">
      <c r="A48" s="77" t="s">
        <v>203</v>
      </c>
    </row>
    <row r="49" spans="1:1" x14ac:dyDescent="0.25">
      <c r="A49" s="77" t="s">
        <v>204</v>
      </c>
    </row>
    <row r="50" spans="1:1" x14ac:dyDescent="0.25">
      <c r="A50" s="77" t="s">
        <v>205</v>
      </c>
    </row>
    <row r="51" spans="1:1" x14ac:dyDescent="0.25">
      <c r="A51" s="77" t="s">
        <v>206</v>
      </c>
    </row>
    <row r="52" spans="1:1" x14ac:dyDescent="0.25">
      <c r="A52" s="77" t="s">
        <v>207</v>
      </c>
    </row>
    <row r="53" spans="1:1" x14ac:dyDescent="0.25">
      <c r="A53" s="77" t="s">
        <v>208</v>
      </c>
    </row>
    <row r="54" spans="1:1" x14ac:dyDescent="0.25">
      <c r="A54" s="77" t="s">
        <v>209</v>
      </c>
    </row>
    <row r="55" spans="1:1" x14ac:dyDescent="0.25">
      <c r="A55" s="77" t="s">
        <v>210</v>
      </c>
    </row>
    <row r="56" spans="1:1" x14ac:dyDescent="0.25">
      <c r="A56" s="77" t="s">
        <v>211</v>
      </c>
    </row>
    <row r="57" spans="1:1" x14ac:dyDescent="0.25">
      <c r="A57" s="77" t="s">
        <v>212</v>
      </c>
    </row>
    <row r="58" spans="1:1" x14ac:dyDescent="0.25">
      <c r="A58" s="77" t="s">
        <v>213</v>
      </c>
    </row>
    <row r="59" spans="1:1" x14ac:dyDescent="0.25">
      <c r="A59" s="77" t="s">
        <v>214</v>
      </c>
    </row>
    <row r="60" spans="1:1" x14ac:dyDescent="0.25">
      <c r="A60" s="77" t="s">
        <v>215</v>
      </c>
    </row>
    <row r="61" spans="1:1" x14ac:dyDescent="0.25">
      <c r="A61" s="77" t="s">
        <v>216</v>
      </c>
    </row>
    <row r="62" spans="1:1" x14ac:dyDescent="0.25">
      <c r="A62" s="77" t="s">
        <v>217</v>
      </c>
    </row>
    <row r="63" spans="1:1" x14ac:dyDescent="0.25">
      <c r="A63" s="77" t="s">
        <v>218</v>
      </c>
    </row>
    <row r="64" spans="1:1" x14ac:dyDescent="0.25">
      <c r="A64" s="77" t="s">
        <v>219</v>
      </c>
    </row>
    <row r="65" spans="1:1" x14ac:dyDescent="0.25">
      <c r="A65" s="77" t="s">
        <v>220</v>
      </c>
    </row>
    <row r="66" spans="1:1" x14ac:dyDescent="0.25">
      <c r="A66" s="77" t="s">
        <v>221</v>
      </c>
    </row>
    <row r="67" spans="1:1" x14ac:dyDescent="0.25">
      <c r="A67" s="77" t="s">
        <v>222</v>
      </c>
    </row>
    <row r="68" spans="1:1" x14ac:dyDescent="0.25">
      <c r="A68" s="77" t="s">
        <v>223</v>
      </c>
    </row>
    <row r="69" spans="1:1" x14ac:dyDescent="0.25">
      <c r="A69" s="77" t="s">
        <v>224</v>
      </c>
    </row>
    <row r="70" spans="1:1" x14ac:dyDescent="0.25">
      <c r="A70" s="77" t="s">
        <v>225</v>
      </c>
    </row>
    <row r="71" spans="1:1" x14ac:dyDescent="0.25">
      <c r="A71" s="77" t="s">
        <v>227</v>
      </c>
    </row>
    <row r="72" spans="1:1" x14ac:dyDescent="0.25">
      <c r="A72" s="77" t="s">
        <v>228</v>
      </c>
    </row>
    <row r="73" spans="1:1" x14ac:dyDescent="0.25">
      <c r="A73" s="77" t="s">
        <v>229</v>
      </c>
    </row>
    <row r="74" spans="1:1" x14ac:dyDescent="0.25">
      <c r="A74" s="77" t="s">
        <v>230</v>
      </c>
    </row>
    <row r="75" spans="1:1" x14ac:dyDescent="0.25">
      <c r="A75" s="77" t="s">
        <v>231</v>
      </c>
    </row>
    <row r="76" spans="1:1" x14ac:dyDescent="0.25">
      <c r="A76" s="77" t="s">
        <v>232</v>
      </c>
    </row>
    <row r="77" spans="1:1" x14ac:dyDescent="0.25">
      <c r="A77" s="77" t="s">
        <v>233</v>
      </c>
    </row>
    <row r="78" spans="1:1" x14ac:dyDescent="0.25">
      <c r="A78" s="77" t="s">
        <v>234</v>
      </c>
    </row>
    <row r="79" spans="1:1" x14ac:dyDescent="0.25">
      <c r="A79" s="77" t="s">
        <v>235</v>
      </c>
    </row>
    <row r="80" spans="1:1" x14ac:dyDescent="0.25">
      <c r="A80" s="77" t="s">
        <v>236</v>
      </c>
    </row>
    <row r="81" spans="1:1" x14ac:dyDescent="0.25">
      <c r="A81" s="77" t="s">
        <v>237</v>
      </c>
    </row>
    <row r="82" spans="1:1" x14ac:dyDescent="0.25">
      <c r="A82" s="77" t="s">
        <v>238</v>
      </c>
    </row>
    <row r="83" spans="1:1" x14ac:dyDescent="0.25">
      <c r="A83" s="77" t="s">
        <v>239</v>
      </c>
    </row>
    <row r="84" spans="1:1" x14ac:dyDescent="0.25">
      <c r="A84" s="77" t="s">
        <v>240</v>
      </c>
    </row>
    <row r="85" spans="1:1" x14ac:dyDescent="0.25">
      <c r="A85" s="77" t="s">
        <v>241</v>
      </c>
    </row>
    <row r="86" spans="1:1" x14ac:dyDescent="0.25">
      <c r="A86" s="77" t="s">
        <v>242</v>
      </c>
    </row>
    <row r="87" spans="1:1" x14ac:dyDescent="0.25">
      <c r="A87" s="77" t="s">
        <v>243</v>
      </c>
    </row>
    <row r="88" spans="1:1" x14ac:dyDescent="0.25">
      <c r="A88" s="77" t="s">
        <v>244</v>
      </c>
    </row>
    <row r="89" spans="1:1" x14ac:dyDescent="0.25">
      <c r="A89" s="77" t="s">
        <v>245</v>
      </c>
    </row>
    <row r="90" spans="1:1" x14ac:dyDescent="0.25">
      <c r="A90" s="77" t="s">
        <v>246</v>
      </c>
    </row>
    <row r="91" spans="1:1" x14ac:dyDescent="0.25">
      <c r="A91" s="77" t="s">
        <v>247</v>
      </c>
    </row>
    <row r="92" spans="1:1" x14ac:dyDescent="0.25">
      <c r="A92" s="77" t="s">
        <v>248</v>
      </c>
    </row>
    <row r="93" spans="1:1" x14ac:dyDescent="0.25">
      <c r="A93" s="77" t="s">
        <v>249</v>
      </c>
    </row>
    <row r="94" spans="1:1" x14ac:dyDescent="0.25">
      <c r="A94" s="77" t="s">
        <v>250</v>
      </c>
    </row>
    <row r="95" spans="1:1" x14ac:dyDescent="0.25">
      <c r="A95" s="77" t="s">
        <v>251</v>
      </c>
    </row>
    <row r="96" spans="1:1" x14ac:dyDescent="0.25">
      <c r="A96" s="77" t="s">
        <v>252</v>
      </c>
    </row>
    <row r="97" spans="1:1" x14ac:dyDescent="0.25">
      <c r="A97" s="77" t="s">
        <v>253</v>
      </c>
    </row>
    <row r="98" spans="1:1" x14ac:dyDescent="0.25">
      <c r="A98" s="77" t="s">
        <v>226</v>
      </c>
    </row>
    <row r="99" spans="1:1" x14ac:dyDescent="0.25">
      <c r="A99" s="77" t="s">
        <v>254</v>
      </c>
    </row>
  </sheetData>
  <phoneticPr fontId="70" type="noConversion"/>
  <pageMargins left="0.7" right="0.7" top="0.75" bottom="0.75" header="0.3" footer="0.3"/>
  <pageSetup paperSize="9"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4123C8-1745-477D-A75C-591B731FC14C}">
  <ds:schemaRefs>
    <ds:schemaRef ds:uri="http://schemas.microsoft.com/office/2006/metadata/properties"/>
    <ds:schemaRef ds:uri="http://schemas.microsoft.com/office/infopath/2007/PartnerControls"/>
    <ds:schemaRef ds:uri="4c2767fa-af50-448b-be2e-f65ce6607914"/>
  </ds:schemaRefs>
</ds:datastoreItem>
</file>

<file path=customXml/itemProps2.xml><?xml version="1.0" encoding="utf-8"?>
<ds:datastoreItem xmlns:ds="http://schemas.openxmlformats.org/officeDocument/2006/customXml" ds:itemID="{56B25ADB-DA3B-4FFC-9186-E1D7C2746BF0}">
  <ds:schemaRefs>
    <ds:schemaRef ds:uri="http://schemas.microsoft.com/sharepoint/v3/contenttype/forms"/>
  </ds:schemaRefs>
</ds:datastoreItem>
</file>

<file path=customXml/itemProps3.xml><?xml version="1.0" encoding="utf-8"?>
<ds:datastoreItem xmlns:ds="http://schemas.openxmlformats.org/officeDocument/2006/customXml" ds:itemID="{9AE2714B-0599-4D78-BE73-19F371034F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2767fa-af50-448b-be2e-f65ce6607914"/>
    <ds:schemaRef ds:uri="8919c726-fcca-4e26-901c-b5f9cceed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First page</vt:lpstr>
      <vt:lpstr>Application &amp; Conformity matrix</vt:lpstr>
      <vt:lpstr>Check</vt:lpstr>
      <vt:lpstr>Specific Parameters</vt:lpstr>
      <vt:lpstr>Help1</vt:lpstr>
      <vt:lpstr>Help2</vt:lpstr>
      <vt:lpstr>Audit_MDC</vt:lpstr>
      <vt:lpstr>CONFIG</vt:lpstr>
    </vt:vector>
  </TitlesOfParts>
  <Company>PSA PEUGEOT CITROEN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p109688</dc:creator>
  <cp:lastModifiedBy>admin</cp:lastModifiedBy>
  <cp:lastPrinted>2008-01-17T20:12:26Z</cp:lastPrinted>
  <dcterms:created xsi:type="dcterms:W3CDTF">2008-01-17T20:12:26Z</dcterms:created>
  <dcterms:modified xsi:type="dcterms:W3CDTF">2026-04-24T01:29:03Z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G1-01A Technical Specification</vt:lpwstr>
  </property>
  <property fmtid="{D5CDD505-2E9C-101B-9397-08002B2CF9AE}" pid="3" name="psa_reference">
    <vt:lpwstr>20931_26_00267</vt:lpwstr>
  </property>
  <property fmtid="{D5CDD505-2E9C-101B-9397-08002B2CF9AE}" pid="4" name="psa_date_modification">
    <vt:lpwstr>27/04/2026 13:56</vt:lpwstr>
  </property>
  <property fmtid="{D5CDD505-2E9C-101B-9397-08002B2CF9AE}" pid="5" name="psa_auteur">
    <vt:lpwstr>LE BLEGUET CHRISTOPHE - V178340 (TIANMA EUROPE GMBH) </vt:lpwstr>
  </property>
  <property fmtid="{D5CDD505-2E9C-101B-9397-08002B2CF9AE}" pid="6" name="psa_emetteur">
    <vt:lpwstr>LE BLEGUET CHRISTOPHE - V178340 (TIANMA EUROPE GMBH) </vt:lpwstr>
  </property>
  <property fmtid="{D5CDD505-2E9C-101B-9397-08002B2CF9AE}" pid="7" name="psa_version">
    <vt:lpwstr>0.2</vt:lpwstr>
  </property>
  <property fmtid="{D5CDD505-2E9C-101B-9397-08002B2CF9AE}" pid="8" name="psa_commentaire">
    <vt:lpwstr/>
  </property>
  <property fmtid="{D5CDD505-2E9C-101B-9397-08002B2CF9AE}" pid="9" name="psa_status">
    <vt:lpwstr>brouillon</vt:lpwstr>
  </property>
  <property fmtid="{D5CDD505-2E9C-101B-9397-08002B2CF9AE}" pid="10" name="psa_niveau_confidentialite">
    <vt:lpwstr>C1 - Public</vt:lpwstr>
  </property>
  <property fmtid="{D5CDD505-2E9C-101B-9397-08002B2CF9AE}" pid="11" name="psa_type_doc">
    <vt:lpwstr/>
  </property>
  <property fmtid="{D5CDD505-2E9C-101B-9397-08002B2CF9AE}" pid="12" name="psa_communaute">
    <vt:lpwstr>z - Ext amont Thème Conception et Développement 13</vt:lpwstr>
  </property>
  <property fmtid="{D5CDD505-2E9C-101B-9397-08002B2CF9AE}" pid="13" name="psa_lecteurs">
    <vt:lpwstr>FONTINHA FILIPE MIGUEL - E315261 (ALTEN), G_H_DRD-DSEE-MCSI-AISL_Elargi, Tous les collaborateurs PSA,</vt:lpwstr>
  </property>
  <property fmtid="{D5CDD505-2E9C-101B-9397-08002B2CF9AE}" pid="14" name="psa_classements">
    <vt:lpwstr>Afficheurs</vt:lpwstr>
  </property>
  <property fmtid="{D5CDD505-2E9C-101B-9397-08002B2CF9AE}" pid="15" name="psa_date_creation">
    <vt:lpwstr>14/04/2026 15:58</vt:lpwstr>
  </property>
  <property fmtid="{D5CDD505-2E9C-101B-9397-08002B2CF9AE}" pid="16" name="psa_langue_principale">
    <vt:lpwstr>Français</vt:lpwstr>
  </property>
  <property fmtid="{D5CDD505-2E9C-101B-9397-08002B2CF9AE}" pid="17" name="psa_confidentialite">
    <vt:lpwstr>A usage interne</vt:lpwstr>
  </property>
  <property fmtid="{D5CDD505-2E9C-101B-9397-08002B2CF9AE}" pid="18" name="psa_url_fiche">
    <vt:lpwstr>https://docinfogroupe.inetpsa.com/ead/doc/ref.20931_26_00267/v.0.2</vt:lpwstr>
  </property>
  <property fmtid="{D5CDD505-2E9C-101B-9397-08002B2CF9AE}" pid="19" name="psa_url_modification">
    <vt:lpwstr>https://docinfogroupe.inetpsa.com/ead/doc/modif/ref.20931_26_00267/fiche</vt:lpwstr>
  </property>
  <property fmtid="{D5CDD505-2E9C-101B-9397-08002B2CF9AE}" pid="20" name="psa_date_publication">
    <vt:lpwstr/>
  </property>
  <property fmtid="{D5CDD505-2E9C-101B-9397-08002B2CF9AE}" pid="21" name="_AdHocReviewCycleID">
    <vt:i4>619776642</vt:i4>
  </property>
  <property fmtid="{D5CDD505-2E9C-101B-9397-08002B2CF9AE}" pid="22" name="_NewReviewCycle">
    <vt:lpwstr/>
  </property>
  <property fmtid="{D5CDD505-2E9C-101B-9397-08002B2CF9AE}" pid="23" name="_EmailSubject">
    <vt:lpwstr>MDC standard</vt:lpwstr>
  </property>
  <property fmtid="{D5CDD505-2E9C-101B-9397-08002B2CF9AE}" pid="24" name="_AuthorEmail">
    <vt:lpwstr>fabrice.combredet@mpsa.com</vt:lpwstr>
  </property>
  <property fmtid="{D5CDD505-2E9C-101B-9397-08002B2CF9AE}" pid="25" name="_AuthorEmailDisplayName">
    <vt:lpwstr>FABRICE COMBREDET - U354086</vt:lpwstr>
  </property>
  <property fmtid="{D5CDD505-2E9C-101B-9397-08002B2CF9AE}" pid="26" name="_ReviewingToolsShownOnce">
    <vt:lpwstr/>
  </property>
  <property fmtid="{D5CDD505-2E9C-101B-9397-08002B2CF9AE}" pid="27" name="MSIP_Label_2fd53d93-3f4c-4b90-b511-bd6bdbb4fba9_Enabled">
    <vt:lpwstr>true</vt:lpwstr>
  </property>
  <property fmtid="{D5CDD505-2E9C-101B-9397-08002B2CF9AE}" pid="28" name="MSIP_Label_2fd53d93-3f4c-4b90-b511-bd6bdbb4fba9_SetDate">
    <vt:lpwstr>2021-01-29T08:57:38Z</vt:lpwstr>
  </property>
  <property fmtid="{D5CDD505-2E9C-101B-9397-08002B2CF9AE}" pid="29" name="MSIP_Label_2fd53d93-3f4c-4b90-b511-bd6bdbb4fba9_Method">
    <vt:lpwstr>Standard</vt:lpwstr>
  </property>
  <property fmtid="{D5CDD505-2E9C-101B-9397-08002B2CF9AE}" pid="30" name="MSIP_Label_2fd53d93-3f4c-4b90-b511-bd6bdbb4fba9_Name">
    <vt:lpwstr>2fd53d93-3f4c-4b90-b511-bd6bdbb4fba9</vt:lpwstr>
  </property>
  <property fmtid="{D5CDD505-2E9C-101B-9397-08002B2CF9AE}" pid="31" name="MSIP_Label_2fd53d93-3f4c-4b90-b511-bd6bdbb4fba9_SiteId">
    <vt:lpwstr>d852d5cd-724c-4128-8812-ffa5db3f8507</vt:lpwstr>
  </property>
  <property fmtid="{D5CDD505-2E9C-101B-9397-08002B2CF9AE}" pid="32" name="MSIP_Label_2fd53d93-3f4c-4b90-b511-bd6bdbb4fba9_ActionId">
    <vt:lpwstr>c63ce816-e75e-4629-9efa-a964dcddd422</vt:lpwstr>
  </property>
  <property fmtid="{D5CDD505-2E9C-101B-9397-08002B2CF9AE}" pid="33" name="MSIP_Label_2fd53d93-3f4c-4b90-b511-bd6bdbb4fba9_ContentBits">
    <vt:lpwstr>0</vt:lpwstr>
  </property>
  <property fmtid="{D5CDD505-2E9C-101B-9397-08002B2CF9AE}" pid="34" name="ContentTypeId">
    <vt:lpwstr>0x0101005A91980C5C918C4684F59D2494840182</vt:lpwstr>
  </property>
  <property fmtid="{D5CDD505-2E9C-101B-9397-08002B2CF9AE}" pid="35" name="MediaServiceImageTags">
    <vt:lpwstr/>
  </property>
</Properties>
</file>