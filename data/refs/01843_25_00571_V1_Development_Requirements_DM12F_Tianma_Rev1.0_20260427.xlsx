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01. OEM\02 FCA\DM12F\PM\"/>
    </mc:Choice>
  </mc:AlternateContent>
  <bookViews>
    <workbookView xWindow="1630" yWindow="-110" windowWidth="23260" windowHeight="12460" tabRatio="821" activeTab="2"/>
  </bookViews>
  <sheets>
    <sheet name="En-tête - 1st Page" sheetId="5" r:id="rId1"/>
    <sheet name="Requirements" sheetId="12" r:id="rId2"/>
    <sheet name="TIMING PLAN PDP" sheetId="24" r:id="rId3"/>
    <sheet name="Maturity Requirements Disp (FR)" sheetId="22" r:id="rId4"/>
    <sheet name="Maturity Requirements Disp (EN)" sheetId="23" r:id="rId5"/>
  </sheets>
  <externalReferences>
    <externalReference r:id="rId6"/>
    <externalReference r:id="rId7"/>
    <externalReference r:id="rId8"/>
  </externalReferences>
  <definedNames>
    <definedName name="_List_Conformilty">[1]Data!$A$2:$A$6</definedName>
    <definedName name="act_name_sign1" localSheetId="4">#REF!</definedName>
    <definedName name="act_name_sign1" localSheetId="3">#REF!</definedName>
    <definedName name="act_name_sign1" localSheetId="1">#REF!</definedName>
    <definedName name="act_name_sign1">#REF!</definedName>
    <definedName name="act_name_sign2" localSheetId="4">#REF!</definedName>
    <definedName name="act_name_sign2" localSheetId="3">#REF!</definedName>
    <definedName name="act_name_sign2" localSheetId="1">#REF!</definedName>
    <definedName name="act_name_sign2">#REF!</definedName>
    <definedName name="act_name_sign3" localSheetId="4">#REF!</definedName>
    <definedName name="act_name_sign3" localSheetId="3">#REF!</definedName>
    <definedName name="act_name_sign3" localSheetId="1">#REF!</definedName>
    <definedName name="act_name_sign3">#REF!</definedName>
    <definedName name="act_name_sign4" localSheetId="4">#REF!</definedName>
    <definedName name="act_name_sign4" localSheetId="3">#REF!</definedName>
    <definedName name="act_name_sign4" localSheetId="1">#REF!</definedName>
    <definedName name="act_name_sign4">#REF!</definedName>
    <definedName name="azer" localSheetId="4">#REF!</definedName>
    <definedName name="azer" localSheetId="3">#REF!</definedName>
    <definedName name="azer">#REF!</definedName>
    <definedName name="Cotation">[2]Legend!$B$15:$B$20</definedName>
    <definedName name="D" localSheetId="4">#REF!</definedName>
    <definedName name="D" localSheetId="3">#REF!</definedName>
    <definedName name="D">#REF!</definedName>
    <definedName name="dggt" localSheetId="4">#REF!</definedName>
    <definedName name="dggt" localSheetId="3">#REF!</definedName>
    <definedName name="dggt">#REF!</definedName>
    <definedName name="edg" localSheetId="4">#REF!</definedName>
    <definedName name="edg" localSheetId="3">#REF!</definedName>
    <definedName name="edg">#REF!</definedName>
    <definedName name="eds" localSheetId="4">#REF!</definedName>
    <definedName name="eds" localSheetId="3">#REF!</definedName>
    <definedName name="eds">#REF!</definedName>
    <definedName name="ESC" localSheetId="4">'[3]Clauses et Reponse '!#REF!</definedName>
    <definedName name="ESC" localSheetId="3">'[3]Clauses et Reponse '!#REF!</definedName>
    <definedName name="ESC">'[3]Clauses et Reponse '!#REF!</definedName>
    <definedName name="fcvgt" localSheetId="4">#REF!</definedName>
    <definedName name="fcvgt" localSheetId="3">#REF!</definedName>
    <definedName name="fcvgt">#REF!</definedName>
    <definedName name="g" localSheetId="4">#REF!</definedName>
    <definedName name="g" localSheetId="3">#REF!</definedName>
    <definedName name="g" localSheetId="1">#REF!</definedName>
    <definedName name="g">#REF!</definedName>
    <definedName name="MATRICE_COUVERTURE_DES_EXIGENCES" localSheetId="4">'[3]Clauses et Reponse '!#REF!</definedName>
    <definedName name="MATRICE_COUVERTURE_DES_EXIGENCES" localSheetId="3">'[3]Clauses et Reponse '!#REF!</definedName>
    <definedName name="MATRICE_COUVERTURE_DES_EXIGENCES" localSheetId="1">'[3]Clauses et Reponse '!#REF!</definedName>
    <definedName name="MATRICE_COUVERTURE_DES_EXIGENCES">'[3]Clauses et Reponse '!#REF!</definedName>
    <definedName name="P_APPLICATION_DATE" localSheetId="4">#REF!</definedName>
    <definedName name="P_APPLICATION_DATE" localSheetId="3">#REF!</definedName>
    <definedName name="P_APPLICATION_DATE" localSheetId="1">#REF!</definedName>
    <definedName name="P_APPLICATION_DATE">#REF!</definedName>
    <definedName name="P_REVISION" localSheetId="4">#REF!</definedName>
    <definedName name="P_REVISION" localSheetId="3">#REF!</definedName>
    <definedName name="P_REVISION" localSheetId="1">#REF!</definedName>
    <definedName name="P_REVISION">#REF!</definedName>
    <definedName name="P_REVISION_COMMENT" localSheetId="4">#REF!</definedName>
    <definedName name="P_REVISION_COMMENT" localSheetId="3">#REF!</definedName>
    <definedName name="P_REVISION_COMMENT" localSheetId="1">#REF!</definedName>
    <definedName name="P_REVISION_COMMENT">#REF!</definedName>
    <definedName name="_xlnm.Print_Area" localSheetId="0">'En-tête - 1st Page'!$B$2:$J$29</definedName>
    <definedName name="q" localSheetId="4">#REF!</definedName>
    <definedName name="q" localSheetId="3">#REF!</definedName>
    <definedName name="q" localSheetId="1">#REF!</definedName>
    <definedName name="q">#REF!</definedName>
    <definedName name="ReponseFRN">'[3]Clauses et Reponse '!$C$1:$C$65536,'[3]Clauses et Reponse '!$K$1:$O$65536</definedName>
    <definedName name="Statuts" localSheetId="4">#REF!</definedName>
    <definedName name="Statuts" localSheetId="3">#REF!</definedName>
    <definedName name="Statuts" localSheetId="1">#REF!</definedName>
    <definedName name="Statuts">#REF!</definedName>
    <definedName name="z" localSheetId="4">#REF!</definedName>
    <definedName name="z" localSheetId="3">#REF!</definedName>
    <definedName name="z" localSheetId="1">#REF!</definedName>
    <definedName name="z">#REF!</definedName>
    <definedName name="zerd" localSheetId="4">#REF!</definedName>
    <definedName name="zerd" localSheetId="3">#REF!</definedName>
    <definedName name="zerd">#REF!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4" l="1"/>
  <c r="I52" i="12" l="1"/>
  <c r="G110" i="24"/>
  <c r="G109" i="24"/>
  <c r="G108" i="24"/>
  <c r="G107" i="24"/>
  <c r="G106" i="24"/>
  <c r="G49" i="12"/>
  <c r="G111" i="24" l="1"/>
  <c r="I55" i="12"/>
  <c r="G55" i="12"/>
  <c r="I54" i="12"/>
  <c r="G54" i="12"/>
  <c r="I53" i="12"/>
  <c r="G53" i="12"/>
  <c r="G52" i="12"/>
  <c r="I51" i="12"/>
  <c r="G51" i="12"/>
  <c r="I56" i="12" l="1"/>
  <c r="G56" i="12"/>
  <c r="D21" i="12"/>
</calcChain>
</file>

<file path=xl/sharedStrings.xml><?xml version="1.0" encoding="utf-8"?>
<sst xmlns="http://schemas.openxmlformats.org/spreadsheetml/2006/main" count="860" uniqueCount="515">
  <si>
    <t>Nom de l'entité</t>
  </si>
  <si>
    <t>Référence</t>
  </si>
  <si>
    <t>Date d'application</t>
  </si>
  <si>
    <t>Date d'échéance</t>
  </si>
  <si>
    <t>Confidentialité</t>
  </si>
  <si>
    <t>MODIFICATIONS</t>
  </si>
  <si>
    <t>Indice de révision</t>
  </si>
  <si>
    <t>Date</t>
  </si>
  <si>
    <t>Auteur</t>
  </si>
  <si>
    <t xml:space="preserve">Nature des modifications </t>
  </si>
  <si>
    <t>CYCLE DE SIGNATURE</t>
  </si>
  <si>
    <t>Rédacteur </t>
  </si>
  <si>
    <t>Vérificateur </t>
  </si>
  <si>
    <t>Approbateur </t>
  </si>
  <si>
    <t xml:space="preserve">Nom </t>
  </si>
  <si>
    <t>SIGNATURES ELECTRONIQUES SOUS OUTIL DE GESTION DOCUMENTAIRE</t>
  </si>
  <si>
    <t>Plan type QMS_ASQ07_0133/ V1</t>
  </si>
  <si>
    <t>OBJET:</t>
  </si>
  <si>
    <t>Version</t>
  </si>
  <si>
    <r>
      <t xml:space="preserve">Matrice de conformité / </t>
    </r>
    <r>
      <rPr>
        <b/>
        <sz val="18"/>
        <color rgb="FF0000FF"/>
        <rFont val="宋体"/>
        <family val="2"/>
        <scheme val="minor"/>
      </rPr>
      <t>Conformity Matrix</t>
    </r>
  </si>
  <si>
    <r>
      <t xml:space="preserve">Exigences / </t>
    </r>
    <r>
      <rPr>
        <b/>
        <sz val="18"/>
        <color rgb="FF0000FF"/>
        <rFont val="宋体"/>
        <family val="2"/>
        <scheme val="minor"/>
      </rPr>
      <t>Requirements</t>
    </r>
  </si>
  <si>
    <t>APQP</t>
  </si>
  <si>
    <r>
      <t xml:space="preserve">Création </t>
    </r>
    <r>
      <rPr>
        <b/>
        <sz val="10"/>
        <color rgb="FF0000FF"/>
        <rFont val="Arial"/>
        <family val="2"/>
      </rPr>
      <t>/ Initial release</t>
    </r>
  </si>
  <si>
    <t>EN ATTENTE</t>
  </si>
  <si>
    <t>V1</t>
  </si>
  <si>
    <t>B1 Q Gate documents + Full validation report</t>
  </si>
  <si>
    <t>Delivery IVP parts</t>
  </si>
  <si>
    <t>B2 Q Gate documents + Full validation report</t>
  </si>
  <si>
    <t>B3 Q Gate documents + Full validation report</t>
  </si>
  <si>
    <t>B3 delivery parts + Acceptance review.</t>
  </si>
  <si>
    <t>C4 Q Gate documents + Full validation report</t>
  </si>
  <si>
    <t>P.GARCIA</t>
  </si>
  <si>
    <t>F. VELTZ</t>
  </si>
  <si>
    <t>Milestones or Activities</t>
  </si>
  <si>
    <t>Not Rated</t>
  </si>
  <si>
    <t>B1</t>
  </si>
  <si>
    <t>Technical specification freeze</t>
  </si>
  <si>
    <t>Optical review</t>
  </si>
  <si>
    <t>Validation SW tool Availability</t>
  </si>
  <si>
    <t>HW review</t>
  </si>
  <si>
    <t>B2</t>
  </si>
  <si>
    <t>Data freeze for B2 samples</t>
  </si>
  <si>
    <t>Freeze of the Bug fixing list</t>
  </si>
  <si>
    <t>Mechanical review</t>
  </si>
  <si>
    <t>Description of Samples Maturity</t>
  </si>
  <si>
    <t>B3</t>
  </si>
  <si>
    <t>Data freeze for B3 samples</t>
  </si>
  <si>
    <t>C4</t>
  </si>
  <si>
    <t>Production line available (definitif plan)</t>
  </si>
  <si>
    <t>DV</t>
  </si>
  <si>
    <t>End of PAPP</t>
  </si>
  <si>
    <t>D5</t>
  </si>
  <si>
    <t xml:space="preserve">Validation assembly line </t>
  </si>
  <si>
    <t>Validation assembly line</t>
  </si>
  <si>
    <t>PV</t>
  </si>
  <si>
    <t>STELLANTIS
VALIDATION</t>
  </si>
  <si>
    <t>Usage externe</t>
  </si>
  <si>
    <t>STELLANTIS delivery</t>
  </si>
  <si>
    <t>NOK</t>
  </si>
  <si>
    <t>REJECT</t>
  </si>
  <si>
    <t>OK</t>
  </si>
  <si>
    <t>Partial</t>
  </si>
  <si>
    <t>NA</t>
  </si>
  <si>
    <r>
      <t xml:space="preserve">PLANNING / </t>
    </r>
    <r>
      <rPr>
        <b/>
        <sz val="18"/>
        <color rgb="FF0000FF"/>
        <rFont val="宋体"/>
        <family val="2"/>
        <scheme val="minor"/>
      </rPr>
      <t>TIMING PLAN</t>
    </r>
  </si>
  <si>
    <t>Maturity delivery</t>
  </si>
  <si>
    <t>VALIDATION PLAN</t>
  </si>
  <si>
    <t>PCP</t>
  </si>
  <si>
    <t>PED /PMR</t>
  </si>
  <si>
    <t>DFNub supplier delivery + 3 weeks</t>
  </si>
  <si>
    <t>B1 delivery-4 weeks (Documents)</t>
  </si>
  <si>
    <t>At least One month before the kick off tooling.
The tooling schedule must start from the technical kick off</t>
  </si>
  <si>
    <t>Meshing model Rel.2 (Radioss, LS DYNA, Nastran)</t>
  </si>
  <si>
    <t>Meshing model Rel.3 (Radioss, LS DYNA)</t>
  </si>
  <si>
    <t>Maturité de l'organe pour chaque stade du projet</t>
  </si>
  <si>
    <t xml:space="preserve">Dénomination Maturité </t>
  </si>
  <si>
    <t>VEHICULE: A0
ORGANE: Vf-2-ProtoB</t>
  </si>
  <si>
    <t>VEHICULE: B1
ORGANE: Vf-1-ProtoB</t>
  </si>
  <si>
    <t>VEHICULE: B2
ORGANE: Vf-ProtoB ou C</t>
  </si>
  <si>
    <t>VEHICULE: C5
ORGANE: Vc2-ProtoC</t>
  </si>
  <si>
    <t>Utilisation</t>
  </si>
  <si>
    <t>TU</t>
  </si>
  <si>
    <t>TU / Chaine organique</t>
  </si>
  <si>
    <t>TI</t>
  </si>
  <si>
    <t>Mulets</t>
  </si>
  <si>
    <t>Jalons</t>
  </si>
  <si>
    <t>Validation Définition Préliminaire</t>
  </si>
  <si>
    <t>Validation Définition</t>
  </si>
  <si>
    <t>Accord pour livrer IOD</t>
  </si>
  <si>
    <t>Accord pour livraison IPD</t>
  </si>
  <si>
    <t>Mécanique</t>
  </si>
  <si>
    <t>Etat physique de la pièce</t>
  </si>
  <si>
    <t>Sans piece</t>
  </si>
  <si>
    <t>PROTOTYPE</t>
  </si>
  <si>
    <r>
      <t>IOD</t>
    </r>
    <r>
      <rPr>
        <sz val="11"/>
        <rFont val="宋体"/>
        <family val="2"/>
        <scheme val="minor"/>
      </rPr>
      <t xml:space="preserve">  (avec une première mise au point) </t>
    </r>
  </si>
  <si>
    <r>
      <t xml:space="preserve">IOD Mis au point  </t>
    </r>
    <r>
      <rPr>
        <sz val="11"/>
        <rFont val="宋体"/>
        <family val="2"/>
        <scheme val="minor"/>
      </rPr>
      <t xml:space="preserve">(MAP terminée) (1 boucle minimum) </t>
    </r>
  </si>
  <si>
    <r>
      <t xml:space="preserve">IPD Conforme Validation du </t>
    </r>
    <r>
      <rPr>
        <b/>
        <sz val="11"/>
        <rFont val="宋体"/>
        <family val="2"/>
        <scheme val="minor"/>
      </rPr>
      <t>process :</t>
    </r>
    <r>
      <rPr>
        <sz val="11"/>
        <rFont val="宋体"/>
        <family val="2"/>
        <scheme val="minor"/>
      </rPr>
      <t xml:space="preserve"> Quelques soient les résultats des phases précédentes, tous les essais doivent être refaits et conformes pour D5 (tactile, physico chimique et mécanique) .</t>
    </r>
  </si>
  <si>
    <r>
      <t xml:space="preserve">Encombrement : </t>
    </r>
    <r>
      <rPr>
        <sz val="11"/>
        <rFont val="宋体"/>
        <family val="2"/>
        <scheme val="minor"/>
      </rPr>
      <t>_</t>
    </r>
  </si>
  <si>
    <r>
      <t>Encombrement</t>
    </r>
    <r>
      <rPr>
        <sz val="11"/>
        <rFont val="宋体"/>
        <family val="2"/>
        <scheme val="minor"/>
      </rPr>
      <t xml:space="preserve"> :  Issu du premier concept mecanique du fournisseur</t>
    </r>
  </si>
  <si>
    <r>
      <t>Encombrement</t>
    </r>
    <r>
      <rPr>
        <sz val="11"/>
        <rFont val="宋体"/>
        <family val="2"/>
        <scheme val="minor"/>
      </rPr>
      <t xml:space="preserve"> : Issu de dernier plan de forme</t>
    </r>
  </si>
  <si>
    <r>
      <t>Encombrement</t>
    </r>
    <r>
      <rPr>
        <sz val="11"/>
        <rFont val="宋体"/>
        <family val="2"/>
        <scheme val="minor"/>
      </rPr>
      <t xml:space="preserve"> : Issu du dernier plan de forme.
(Pour les pieces devant etre montée sur véhicule, les fixations doivent permettre cing montages demontages)</t>
    </r>
  </si>
  <si>
    <r>
      <t>Connectique</t>
    </r>
    <r>
      <rPr>
        <sz val="11"/>
        <rFont val="宋体"/>
        <family val="2"/>
        <scheme val="minor"/>
      </rPr>
      <t xml:space="preserve"> : _</t>
    </r>
  </si>
  <si>
    <r>
      <t>Embase</t>
    </r>
    <r>
      <rPr>
        <sz val="11"/>
        <rFont val="宋体"/>
        <family val="2"/>
        <scheme val="minor"/>
      </rPr>
      <t xml:space="preserve"> : représentative</t>
    </r>
  </si>
  <si>
    <t>Première version du TFT cible</t>
  </si>
  <si>
    <r>
      <t>Tactile</t>
    </r>
    <r>
      <rPr>
        <sz val="11"/>
        <rFont val="宋体"/>
        <family val="2"/>
        <scheme val="minor"/>
      </rPr>
      <t xml:space="preserve"> : Conforme à la STD/STO.</t>
    </r>
  </si>
  <si>
    <t>Afficheur (TFT representatif pas forcement issu des lignes séries)</t>
  </si>
  <si>
    <t>Afficheur (TFT issu de la ligne de la ligne de production série)</t>
  </si>
  <si>
    <r>
      <t xml:space="preserve">Choix des </t>
    </r>
    <r>
      <rPr>
        <b/>
        <sz val="11"/>
        <rFont val="宋体"/>
        <family val="2"/>
        <scheme val="minor"/>
      </rPr>
      <t>matériaux</t>
    </r>
    <r>
      <rPr>
        <sz val="11"/>
        <rFont val="宋体"/>
        <family val="2"/>
        <scheme val="minor"/>
      </rPr>
      <t xml:space="preserve"> figé.
</t>
    </r>
    <r>
      <rPr>
        <b/>
        <sz val="11"/>
        <rFont val="宋体"/>
        <family val="2"/>
        <scheme val="minor"/>
      </rPr>
      <t>Conception</t>
    </r>
    <r>
      <rPr>
        <sz val="11"/>
        <rFont val="宋体"/>
        <family val="2"/>
        <scheme val="minor"/>
      </rPr>
      <t xml:space="preserve"> </t>
    </r>
    <r>
      <rPr>
        <b/>
        <sz val="11"/>
        <rFont val="宋体"/>
        <family val="2"/>
        <scheme val="minor"/>
      </rPr>
      <t>mécanique</t>
    </r>
    <r>
      <rPr>
        <sz val="11"/>
        <rFont val="宋体"/>
        <family val="2"/>
        <scheme val="minor"/>
      </rPr>
      <t xml:space="preserve"> figée.</t>
    </r>
  </si>
  <si>
    <t>Niveau de Conformité / Etat des livrables attendus</t>
  </si>
  <si>
    <t>Logiciel</t>
  </si>
  <si>
    <t>Niveau de l'implémenté</t>
  </si>
  <si>
    <t>Applicatif fonctionnel</t>
  </si>
  <si>
    <t xml:space="preserve">30% des fonctions implémentées et exploitables dont au minimum :
   - 100% Couche basse LVDS
   - Afficher une image
</t>
  </si>
  <si>
    <t xml:space="preserve">Pour cette livraison, il est demandé au FOURNISSEUR d’avoir intégré un pourcentage fonctionnel supérieur à 90% sans bugs bloquants de manière à garantir et maintenir les validations fonctionnelles. Les calibrations ne sont pas obligatoirement effectives (calibrations par défaut au minimum).
Les 85% de fonctionnel sont négociés entre PCA et le fournisseur, avec une liste des fonctions implémentées et font l’objet d’un accord écrit.
Exigences fonctionnelles implémentées :
    Afficher une image
    Traitement de la fonction tactile
</t>
  </si>
  <si>
    <r>
      <t xml:space="preserve">Le fonctionnel est opérationnel à </t>
    </r>
    <r>
      <rPr>
        <b/>
        <sz val="11"/>
        <rFont val="宋体"/>
        <family val="2"/>
        <scheme val="minor"/>
      </rPr>
      <t xml:space="preserve">100 % </t>
    </r>
    <r>
      <rPr>
        <sz val="11"/>
        <rFont val="宋体"/>
        <family val="2"/>
        <scheme val="minor"/>
      </rPr>
      <t xml:space="preserve">(incluant la gestion de tous les modes dégradés).
Le niveau de maturité fonctionnelle doit être établi fonction par fonction suivant le PIV et les besoins des essais sur table.
</t>
    </r>
  </si>
  <si>
    <r>
      <t>100%</t>
    </r>
    <r>
      <rPr>
        <sz val="11"/>
        <rFont val="宋体"/>
        <family val="2"/>
        <scheme val="minor"/>
      </rPr>
      <t xml:space="preserve"> fonctionnel avec correction des défauts logiciels présents en B2.
La précision du tactile est validé avec le cover demandé
</t>
    </r>
  </si>
  <si>
    <r>
      <t>100%</t>
    </r>
    <r>
      <rPr>
        <sz val="11"/>
        <rFont val="宋体"/>
        <family val="2"/>
        <scheme val="minor"/>
      </rPr>
      <t xml:space="preserve"> fonctionnel avec correction des défauts logiciels présents en B3.
</t>
    </r>
  </si>
  <si>
    <t>Fonctionnel figé, correction des défauts présents en C4. Intégration des paramétrages SW déterminé par PCA (Table de rhéostat, table de configuration des fonctions, etc…)</t>
  </si>
  <si>
    <r>
      <t xml:space="preserve">Fonctionnel </t>
    </r>
    <r>
      <rPr>
        <b/>
        <sz val="11"/>
        <rFont val="宋体"/>
        <family val="2"/>
        <scheme val="minor"/>
      </rPr>
      <t>figé</t>
    </r>
  </si>
  <si>
    <t>Services de diagnostic : 100% implémenté et validé.</t>
  </si>
  <si>
    <t>Le diagnostic est implémenté et testé à 100% avec correction des défauts présents en B1 .</t>
  </si>
  <si>
    <t>Une validation de non régression est réalisée avec correction des défauts présents en B2.</t>
  </si>
  <si>
    <t>Une validation de non régression est réalisée avec correction des défauts présents en B3.</t>
  </si>
  <si>
    <t>Le diagnostic est figé avec correction des défauts présents en C4. Une validation complète est réalisée.</t>
  </si>
  <si>
    <t>Etat des livrables attendus</t>
  </si>
  <si>
    <t>Essais réalisés suivant plan de tests fonctionnel.</t>
  </si>
  <si>
    <t>Essais réalisés suivant plan de tests fonctionnel                                                                                                                                                                                    Pas de défaut de gravité A.</t>
  </si>
  <si>
    <t>Pas de défaut A pour la partie fonctionnelle.</t>
  </si>
  <si>
    <t>Pas de défaut A et B pour la partie fonctionnelle</t>
  </si>
  <si>
    <t>Pas de défaut A, B et C pour la partie fonctionnelle (sauf si C acceptés par déviation).</t>
  </si>
  <si>
    <t>Essais réalisés suivant plan de tests diagnostic.</t>
  </si>
  <si>
    <t>La gestion du diagnostic sans défaut A et B.</t>
  </si>
  <si>
    <t>La gestion du diagnostic sans défaut A, B et C</t>
  </si>
  <si>
    <t>Etat des moyens de validation fournisseur</t>
  </si>
  <si>
    <t>Taux de couverture 
- 100% couches basses
- 100% tests fonctionnels
- Essais environnementaux : voir liste des essais demandés par PCA
Moyens mis en œuvre :
- Tests couches basses = Banc de tests disponible et qualifié 
- Tests fonctionnels = 100% des moyens de tests disponibles et qualifiés (automatique ou non =&gt; à justifier) 
- Tests environnementaux =Banc d’endurance et banc de surcharges de longues durées disponibles et qualifiés.</t>
  </si>
  <si>
    <t>Taux de couverture :100% (fonctionnel, environnementaux, couches basses) 
Moyens mis en œuvre :100% des moyens de tests disponibles et qualifiés (automatique ou non =&gt; à justifier).</t>
  </si>
  <si>
    <t xml:space="preserve">Hardware </t>
  </si>
  <si>
    <t>Schéma électronique:</t>
  </si>
  <si>
    <r>
      <t xml:space="preserve">Schéma électronique : </t>
    </r>
    <r>
      <rPr>
        <sz val="11"/>
        <rFont val="宋体"/>
        <family val="2"/>
        <scheme val="minor"/>
      </rPr>
      <t>représentatif.</t>
    </r>
  </si>
  <si>
    <r>
      <t xml:space="preserve">Schéma électronique : </t>
    </r>
    <r>
      <rPr>
        <sz val="11"/>
        <rFont val="宋体"/>
        <family val="2"/>
        <scheme val="minor"/>
      </rPr>
      <t>figé.</t>
    </r>
  </si>
  <si>
    <r>
      <t>Schéma électronique</t>
    </r>
    <r>
      <rPr>
        <sz val="11"/>
        <rFont val="宋体"/>
        <family val="2"/>
        <scheme val="minor"/>
      </rPr>
      <t xml:space="preserve"> : figé</t>
    </r>
  </si>
  <si>
    <r>
      <t>Nomenclature:</t>
    </r>
    <r>
      <rPr>
        <sz val="11"/>
        <rFont val="宋体"/>
        <family val="2"/>
        <scheme val="minor"/>
      </rPr>
      <t xml:space="preserve"> </t>
    </r>
  </si>
  <si>
    <r>
      <t>Nomenclature :</t>
    </r>
    <r>
      <rPr>
        <sz val="11"/>
        <rFont val="宋体"/>
        <family val="2"/>
        <scheme val="minor"/>
      </rPr>
      <t xml:space="preserve"> représentative.</t>
    </r>
  </si>
  <si>
    <r>
      <t>Nomenclature :</t>
    </r>
    <r>
      <rPr>
        <sz val="11"/>
        <rFont val="宋体"/>
        <family val="2"/>
        <scheme val="minor"/>
      </rPr>
      <t xml:space="preserve"> figée.</t>
    </r>
  </si>
  <si>
    <r>
      <t>Nomenclature :</t>
    </r>
    <r>
      <rPr>
        <sz val="11"/>
        <rFont val="宋体"/>
        <family val="2"/>
        <scheme val="minor"/>
      </rPr>
      <t xml:space="preserve"> figée</t>
    </r>
  </si>
  <si>
    <r>
      <t>Nomenclature </t>
    </r>
    <r>
      <rPr>
        <sz val="11"/>
        <rFont val="宋体"/>
        <family val="2"/>
        <scheme val="minor"/>
      </rPr>
      <t>définitive</t>
    </r>
  </si>
  <si>
    <r>
      <t>Routage</t>
    </r>
    <r>
      <rPr>
        <sz val="11"/>
        <rFont val="宋体"/>
        <family val="2"/>
        <scheme val="minor"/>
      </rPr>
      <t xml:space="preserve"> : </t>
    </r>
  </si>
  <si>
    <r>
      <t>Routage </t>
    </r>
    <r>
      <rPr>
        <sz val="11"/>
        <rFont val="宋体"/>
        <family val="2"/>
        <scheme val="minor"/>
      </rPr>
      <t>: première amélioration : non définitif.</t>
    </r>
  </si>
  <si>
    <r>
      <t>Routage</t>
    </r>
    <r>
      <rPr>
        <sz val="11"/>
        <rFont val="宋体"/>
        <family val="2"/>
        <scheme val="minor"/>
      </rPr>
      <t xml:space="preserve"> : non définitif .</t>
    </r>
  </si>
  <si>
    <r>
      <t>Routage</t>
    </r>
    <r>
      <rPr>
        <sz val="11"/>
        <rFont val="宋体"/>
        <family val="2"/>
        <scheme val="minor"/>
      </rPr>
      <t xml:space="preserve"> : figé  (yc vernis).</t>
    </r>
  </si>
  <si>
    <r>
      <t>Routage :</t>
    </r>
    <r>
      <rPr>
        <sz val="11"/>
        <rFont val="宋体"/>
        <family val="2"/>
        <scheme val="minor"/>
      </rPr>
      <t xml:space="preserve"> définitif</t>
    </r>
  </si>
  <si>
    <r>
      <t>Routage</t>
    </r>
    <r>
      <rPr>
        <sz val="11"/>
        <rFont val="宋体"/>
        <family val="2"/>
        <scheme val="minor"/>
      </rPr>
      <t xml:space="preserve"> : définitif</t>
    </r>
  </si>
  <si>
    <t>Niveau de Conformité / état des livrables attendus</t>
  </si>
  <si>
    <t>Couches basses</t>
  </si>
  <si>
    <r>
      <t xml:space="preserve">Couches physique et protocole (1 &amp; 2) : </t>
    </r>
    <r>
      <rPr>
        <sz val="11"/>
        <rFont val="宋体"/>
        <family val="2"/>
        <scheme val="minor"/>
      </rPr>
      <t>100% implémenté et validé. Le FOURNISSEUR doit réaliser une validation complète.
Matrice de conformité FNR + comptes-rendus d'essais + Plan de test fournis</t>
    </r>
  </si>
  <si>
    <r>
      <t xml:space="preserve">Couches physique et protocole (1 &amp; 2) : </t>
    </r>
    <r>
      <rPr>
        <sz val="11"/>
        <rFont val="宋体"/>
        <family val="2"/>
        <scheme val="minor"/>
      </rPr>
      <t>100 % implémenté et validé. Le FOURNISSEUR montre la correction des défauts vus en A0/Vf-2 - Proto B. Aucun défaut de gravité A.
Matrice de conformité FNR + comptes-rendus d'essais + Plan de test fournis</t>
    </r>
  </si>
  <si>
    <r>
      <t xml:space="preserve">Couches physique et protocole (1 &amp; 2)  : </t>
    </r>
    <r>
      <rPr>
        <sz val="11"/>
        <rFont val="宋体"/>
        <family val="2"/>
        <scheme val="minor"/>
      </rPr>
      <t>100 % implémenté et validé. Le FOURNISSEUR doit réaliser une validation complète et montrer la correction vus en B1/Vf-1 - Proto B. Aucun défaut de gravité A, B, C et D (sauf si C et D acceptés par déviation).
Matrice de conformité FNR + comptes-rendus d'essais + Plan de test fournis</t>
    </r>
  </si>
  <si>
    <t>Figé</t>
  </si>
  <si>
    <r>
      <t xml:space="preserve">Couches physique et protocole (1 &amp; 2)  : </t>
    </r>
    <r>
      <rPr>
        <sz val="11"/>
        <rFont val="宋体"/>
        <family val="2"/>
        <scheme val="minor"/>
      </rPr>
      <t>100 % implémenté et validé. Le FOURNISSEUR réalisera les essais si et seulement si des modifications ont été apportées et/ou des défauts existaient depuis B2/Vf-ProtoC.
Matrice de conformité FNR + comptes-rendus d'essais + Plan de test fournis si nécessaire.</t>
    </r>
  </si>
  <si>
    <r>
      <t xml:space="preserve">Phases de vie réseau : </t>
    </r>
    <r>
      <rPr>
        <sz val="11"/>
        <rFont val="宋体"/>
        <family val="2"/>
        <scheme val="minor"/>
      </rPr>
      <t>100% implémenté et validé. Le FOURNISSEUR doit réaliser une validation complète.
Matrice de conformité FNR + comptes-rendus d'essais + Plan de test fournis</t>
    </r>
  </si>
  <si>
    <r>
      <t xml:space="preserve">Phases de vie réseau : </t>
    </r>
    <r>
      <rPr>
        <sz val="11"/>
        <rFont val="宋体"/>
        <family val="2"/>
        <scheme val="minor"/>
      </rPr>
      <t>100% implémenté et validé. Le FOURNISSEUR montre la correction des défauts vus en A0/Vf-2 - Proto B
Matrice de conformité FNR + comptes-rendus d'essais + Plan de test fournis</t>
    </r>
  </si>
  <si>
    <r>
      <t xml:space="preserve">Phases de vie réseau : </t>
    </r>
    <r>
      <rPr>
        <sz val="11"/>
        <rFont val="宋体"/>
        <family val="2"/>
        <scheme val="minor"/>
      </rPr>
      <t>100% implémenté et validé. Le FOURNISSEUR doit réaliser une validation complète et montrer la correction vus en B1/Vf-1 - Proto B. Aucun défaut de gravité A, B, C et D (sauf si C et D acceptés par déviation).
Matrice de conformité FNR + comptes-rendus d'essais + Plan de test fournis</t>
    </r>
  </si>
  <si>
    <r>
      <t xml:space="preserve">Phases de vie réseau : </t>
    </r>
    <r>
      <rPr>
        <sz val="11"/>
        <rFont val="宋体"/>
        <family val="2"/>
        <scheme val="minor"/>
      </rPr>
      <t>100% implémenté et validé. Le FOURNISSEUR doit réaliser une validation complète. Aucun défaut de gravité A, B, C et D (sauf si C et D acceptés par déviation).
Matrice de conformité FNR + comptes-rendus d'essais + Plan de test fournis</t>
    </r>
  </si>
  <si>
    <r>
      <t xml:space="preserve">Règles de communication : </t>
    </r>
    <r>
      <rPr>
        <sz val="11"/>
        <rFont val="宋体"/>
        <family val="2"/>
        <scheme val="minor"/>
      </rPr>
      <t>100% implémenté et validé (toutes les trames en émission et en réception doivent être gérées, au minimum avec des valeurs par défaut). Le FOURNISSEUR doit réaliser une validation complète.
Matrice de conformité FNR + comptes-rendus d'essais + Plan de test fournis</t>
    </r>
  </si>
  <si>
    <r>
      <t xml:space="preserve">Règles de communication : </t>
    </r>
    <r>
      <rPr>
        <sz val="11"/>
        <rFont val="宋体"/>
        <family val="2"/>
        <scheme val="minor"/>
      </rPr>
      <t>100% implémenté et validé. Le FOURNISSEUR montre la correction des défauts vus en A0/Vf-2 - Proto B.
Matrice de conformité FNR + comptes-rendus d'essais + Plan de test fournis</t>
    </r>
  </si>
  <si>
    <r>
      <t xml:space="preserve">Règles de communication : </t>
    </r>
    <r>
      <rPr>
        <sz val="11"/>
        <rFont val="宋体"/>
        <family val="2"/>
        <scheme val="minor"/>
      </rPr>
      <t>100% implémenté et validé.  Le FOURNISSEUR doit réaliser une validation complète et montrer la correction vus en B1/Vf-1 - Proto B. Aucun défaut de gravité A, B, C et D (sauf si C et D acceptés par déviation).
Matrice de conformité FNR + comptes-rendus d'essais + Plan de test fournis</t>
    </r>
  </si>
  <si>
    <r>
      <t xml:space="preserve">Règles de communication : </t>
    </r>
    <r>
      <rPr>
        <sz val="11"/>
        <rFont val="宋体"/>
        <family val="2"/>
        <scheme val="minor"/>
      </rPr>
      <t>100% implémenté et validé.  Le FOURNISSEUR doit réaliser une validation complète. Aucun défaut de gravité A, B, C et D (sauf si C et D acceptés par déviation).
Matrice de conformité FNR + comptes-rendus d'essais + Plan de test fournis</t>
    </r>
  </si>
  <si>
    <r>
      <t xml:space="preserve">+ Couche 2 du diag (couche réseau pour le diag ): </t>
    </r>
    <r>
      <rPr>
        <sz val="11"/>
        <rFont val="宋体"/>
        <family val="2"/>
        <scheme val="minor"/>
      </rPr>
      <t>100% implémenté et validé afin de tester les 100% des règles de com. Le FOURNISSEUR doit réaliser une validation complète.</t>
    </r>
  </si>
  <si>
    <r>
      <t xml:space="preserve">+ Couche 2 du diag (couche réseau pour le diag ): </t>
    </r>
    <r>
      <rPr>
        <sz val="11"/>
        <rFont val="宋体"/>
        <family val="2"/>
        <scheme val="minor"/>
      </rPr>
      <t>100% implémenté et validé. Le FOURNISSEUR montre la correction des défauts vus en A0/Vf-2 - Proto B
Matrice de conformité FNR + comptes-rendus d'essais + Plan de test fournis</t>
    </r>
  </si>
  <si>
    <r>
      <t xml:space="preserve">+ Couche 2 du diag (couche réseau pour le diag ): </t>
    </r>
    <r>
      <rPr>
        <sz val="11"/>
        <rFont val="宋体"/>
        <family val="2"/>
        <scheme val="minor"/>
      </rPr>
      <t>100% implémenté et validé.  Le FOURNISSEUR doit réaliser une validation complète et montrer la correction vus en B1/Vf-1 - Proto B. Aucun défaut de gravité A, B, C et D (sauf si C et D acceptés par déviation).
Matrice de conformité FNR + comptes-rendus d'essais + Plan de test fournis</t>
    </r>
  </si>
  <si>
    <r>
      <t xml:space="preserve">+ </t>
    </r>
    <r>
      <rPr>
        <b/>
        <sz val="11"/>
        <rFont val="宋体"/>
        <family val="2"/>
        <scheme val="minor"/>
      </rPr>
      <t>Services du diag</t>
    </r>
    <r>
      <rPr>
        <sz val="11"/>
        <rFont val="宋体"/>
        <family val="2"/>
        <scheme val="minor"/>
      </rPr>
      <t xml:space="preserve"> (lecture et  effacement défaut réseau , lecture de l’étiquette électronique)  : permettant d’avoir des trames segmentées en émission et réception afin de vérifier les défauts du réseau (défaut absence de communication avec le calculateur supervisé en réception (ABSENT), défaut Muet lors de l'émission d'une trame (MUTE en CAN), défaut BUS OFF en CAN HS ou défaut de Ligne (NERR en CAN LS, Bus bloqué à l'état dominant en LIN).</t>
    </r>
  </si>
  <si>
    <r>
      <t xml:space="preserve">+ Dossiers de Justification Conformité (DJC) : </t>
    </r>
    <r>
      <rPr>
        <sz val="11"/>
        <rFont val="宋体"/>
        <family val="2"/>
        <scheme val="minor"/>
      </rPr>
      <t>3 DJC par réseau livrés (Emetteur récepteur de ligne, gestionnaire de protocole et Horloge).</t>
    </r>
  </si>
  <si>
    <r>
      <t xml:space="preserve">+ Dossiers de Justification Conformité (DJC) : </t>
    </r>
    <r>
      <rPr>
        <sz val="11"/>
        <rFont val="宋体"/>
        <family val="2"/>
        <scheme val="minor"/>
      </rPr>
      <t>Les  DJCs doivent être conformes à ce stade.</t>
    </r>
  </si>
  <si>
    <t>Remarque : La définition des gravités applicables au produit est contenue dans le document QUALIT_08_4015</t>
  </si>
  <si>
    <t>Part maturity for each stage of the project</t>
  </si>
  <si>
    <t xml:space="preserve">Maturity Name </t>
  </si>
  <si>
    <t>Used for</t>
  </si>
  <si>
    <t>Unitary Tests</t>
  </si>
  <si>
    <t>Unitary Tests / organic Chain</t>
  </si>
  <si>
    <t>Integration Table</t>
  </si>
  <si>
    <t>Mule (Prototype Vehicles)</t>
  </si>
  <si>
    <t>Milestones</t>
  </si>
  <si>
    <t>Preliminary Definition Validation</t>
  </si>
  <si>
    <t>Definition Validation</t>
  </si>
  <si>
    <t>Agreement for IOD parts delivery</t>
  </si>
  <si>
    <t>Agreement for IPD parts delivery</t>
  </si>
  <si>
    <t>Mechanics</t>
  </si>
  <si>
    <t>Physical status of the part</t>
  </si>
  <si>
    <r>
      <rPr>
        <b/>
        <sz val="11"/>
        <rFont val="宋体"/>
        <family val="2"/>
        <scheme val="minor"/>
      </rPr>
      <t>IOD</t>
    </r>
    <r>
      <rPr>
        <sz val="11"/>
        <rFont val="宋体"/>
        <family val="2"/>
        <scheme val="minor"/>
      </rPr>
      <t xml:space="preserve"> (with a first tuning)</t>
    </r>
  </si>
  <si>
    <r>
      <rPr>
        <b/>
        <sz val="11"/>
        <rFont val="宋体"/>
        <family val="2"/>
        <scheme val="minor"/>
      </rPr>
      <t xml:space="preserve">IOD tuning </t>
    </r>
    <r>
      <rPr>
        <sz val="11"/>
        <rFont val="宋体"/>
        <family val="2"/>
        <scheme val="minor"/>
      </rPr>
      <t>(tuning loop finished )(1 loop minimum)</t>
    </r>
  </si>
  <si>
    <r>
      <t xml:space="preserve">IPD parts Compliant with </t>
    </r>
    <r>
      <rPr>
        <b/>
        <sz val="11"/>
        <rFont val="宋体"/>
        <family val="2"/>
        <scheme val="minor"/>
      </rPr>
      <t xml:space="preserve">Process </t>
    </r>
    <r>
      <rPr>
        <sz val="11"/>
        <rFont val="宋体"/>
        <family val="2"/>
        <scheme val="minor"/>
      </rPr>
      <t>Validation</t>
    </r>
    <r>
      <rPr>
        <b/>
        <sz val="11"/>
        <rFont val="宋体"/>
        <family val="2"/>
        <scheme val="minor"/>
      </rPr>
      <t>:</t>
    </r>
    <r>
      <rPr>
        <sz val="11"/>
        <rFont val="宋体"/>
        <family val="2"/>
        <scheme val="minor"/>
      </rPr>
      <t xml:space="preserve"> even if the results of the previous phases are good, all the tests must be made again and in conformity for D5 (tactile, physicochemical and mechanical)</t>
    </r>
  </si>
  <si>
    <r>
      <t xml:space="preserve">Bulk: </t>
    </r>
    <r>
      <rPr>
        <sz val="11"/>
        <rFont val="宋体"/>
        <family val="2"/>
        <scheme val="minor"/>
      </rPr>
      <t>Without</t>
    </r>
  </si>
  <si>
    <r>
      <t xml:space="preserve">Bulk : </t>
    </r>
    <r>
      <rPr>
        <sz val="11"/>
        <rFont val="宋体"/>
        <family val="2"/>
        <scheme val="minor"/>
      </rPr>
      <t xml:space="preserve"> first supplier mechanical concept</t>
    </r>
  </si>
  <si>
    <r>
      <rPr>
        <b/>
        <sz val="11"/>
        <rFont val="宋体"/>
        <family val="2"/>
        <scheme val="minor"/>
      </rPr>
      <t>Bulk</t>
    </r>
    <r>
      <rPr>
        <sz val="11"/>
        <rFont val="宋体"/>
        <family val="2"/>
        <scheme val="minor"/>
      </rPr>
      <t xml:space="preserve"> :  Come from the last PCA internal design.</t>
    </r>
  </si>
  <si>
    <r>
      <rPr>
        <b/>
        <sz val="11"/>
        <rFont val="宋体"/>
        <family val="2"/>
        <scheme val="minor"/>
      </rPr>
      <t>Bulk</t>
    </r>
    <r>
      <rPr>
        <sz val="11"/>
        <rFont val="宋体"/>
        <family val="2"/>
        <scheme val="minor"/>
      </rPr>
      <t xml:space="preserve"> :  Come from the last PCA internal design.
For the parts intended to be fitted on the car, the fixation can withstand five assemblings and disassemblings.</t>
    </r>
  </si>
  <si>
    <r>
      <rPr>
        <b/>
        <sz val="11"/>
        <rFont val="宋体"/>
        <family val="2"/>
        <scheme val="minor"/>
      </rPr>
      <t>Header:</t>
    </r>
    <r>
      <rPr>
        <sz val="11"/>
        <rFont val="宋体"/>
        <family val="2"/>
        <scheme val="minor"/>
      </rPr>
      <t xml:space="preserve"> </t>
    </r>
  </si>
  <si>
    <r>
      <rPr>
        <b/>
        <sz val="11"/>
        <rFont val="宋体"/>
        <family val="2"/>
        <scheme val="minor"/>
      </rPr>
      <t>Header:</t>
    </r>
    <r>
      <rPr>
        <sz val="11"/>
        <rFont val="宋体"/>
        <family val="2"/>
        <scheme val="minor"/>
      </rPr>
      <t xml:space="preserve"> representative </t>
    </r>
  </si>
  <si>
    <r>
      <rPr>
        <b/>
        <sz val="11"/>
        <rFont val="宋体"/>
        <family val="2"/>
        <scheme val="minor"/>
      </rPr>
      <t>Header:</t>
    </r>
    <r>
      <rPr>
        <sz val="11"/>
        <rFont val="宋体"/>
        <family val="2"/>
        <scheme val="minor"/>
      </rPr>
      <t xml:space="preserve"> geometrical conformity</t>
    </r>
  </si>
  <si>
    <t>First version of the target TFT</t>
  </si>
  <si>
    <r>
      <rPr>
        <b/>
        <sz val="11"/>
        <rFont val="宋体"/>
        <family val="2"/>
        <scheme val="minor"/>
      </rPr>
      <t>Tactile</t>
    </r>
    <r>
      <rPr>
        <sz val="11"/>
        <rFont val="宋体"/>
        <family val="2"/>
        <scheme val="minor"/>
      </rPr>
      <t xml:space="preserve"> :  Compliant with PCA technical specification.</t>
    </r>
  </si>
  <si>
    <t>Display (Representative TFT, but not realized on the sérial line)</t>
  </si>
  <si>
    <t>Display (TFT coming from the masse production) (Serial line)</t>
  </si>
  <si>
    <r>
      <t xml:space="preserve">Fixed choice of </t>
    </r>
    <r>
      <rPr>
        <b/>
        <sz val="11"/>
        <rFont val="宋体"/>
        <family val="2"/>
        <scheme val="minor"/>
      </rPr>
      <t>materials.</t>
    </r>
    <r>
      <rPr>
        <sz val="11"/>
        <rFont val="宋体"/>
        <family val="2"/>
        <scheme val="minor"/>
      </rPr>
      <t xml:space="preserve">
</t>
    </r>
    <r>
      <rPr>
        <b/>
        <sz val="11"/>
        <rFont val="宋体"/>
        <family val="2"/>
        <scheme val="minor"/>
      </rPr>
      <t>Mechanical</t>
    </r>
    <r>
      <rPr>
        <sz val="11"/>
        <rFont val="宋体"/>
        <family val="2"/>
        <scheme val="minor"/>
      </rPr>
      <t xml:space="preserve"> </t>
    </r>
    <r>
      <rPr>
        <b/>
        <sz val="11"/>
        <rFont val="宋体"/>
        <family val="2"/>
        <scheme val="minor"/>
      </rPr>
      <t>design</t>
    </r>
    <r>
      <rPr>
        <sz val="11"/>
        <rFont val="宋体"/>
        <family val="2"/>
        <scheme val="minor"/>
      </rPr>
      <t xml:space="preserve"> frozen.</t>
    </r>
  </si>
  <si>
    <t>Level of Conformity/state of deliverable awaited</t>
  </si>
  <si>
    <t>Software</t>
  </si>
  <si>
    <t>Level of implemented</t>
  </si>
  <si>
    <t>Functional Apply</t>
  </si>
  <si>
    <t xml:space="preserve">30%  function implemented and usable with at minimum :
      - 100% LVDS Low Layer        
      -  Display a picture
</t>
  </si>
  <si>
    <t>For this delivery, it is requested from the SUPPLIER to have integrated a functional percentage higher than 90% without blocking bugs in order to guarantee and maintain the functional validations. The calibrations are not mandatory effective (calibrations by defect at least). 
85% of functional are negociated between PCA and supplier, with a list of implemented functions and are subject to written agreement.
Requirements for functional implementation :
      Display a picture 
      Tactile function processing</t>
  </si>
  <si>
    <t xml:space="preserve">Functional modes are 100% operational (including all degraded modes) ;
The level of functional maturity must be established function by function according to the PIV and the needs for the tests on table.
</t>
  </si>
  <si>
    <t xml:space="preserve">100% functional with correction of the software defects present in B2.
The tactile accuracy is validated with the cover expected
</t>
  </si>
  <si>
    <t xml:space="preserve"> 100% functional with correction of the software defects present in B3.
</t>
  </si>
  <si>
    <t xml:space="preserve">Functional is frozen, with software correction base on C4 Part maturity defects.Implementation of setting SW defined by (Diming table, functionnal setting table, other…) </t>
  </si>
  <si>
    <t>Functional frozen</t>
  </si>
  <si>
    <t>Diagnosis services : 100% implemented and validated.</t>
  </si>
  <si>
    <t>Diagnosis is implemented and 100% tested with correction of failures occured on B1.</t>
  </si>
  <si>
    <t xml:space="preserve"> A validation of no backward with correction of failures occured on B2.</t>
  </si>
  <si>
    <t xml:space="preserve"> A validation of no backward with correction of failures occured on B3.</t>
  </si>
  <si>
    <t>Diagnosis is frozen with correction of failures occured on C4. A full validation is performed.</t>
  </si>
  <si>
    <t>State of deliverable awaited</t>
  </si>
  <si>
    <t>Tests carried out according to functional test plan.</t>
  </si>
  <si>
    <t>Tests carried out according to functional test plan.                                                                                                                                                                                                                                           No gravity A defect.</t>
  </si>
  <si>
    <t>No gravity A defect for functional.</t>
  </si>
  <si>
    <t>No gravity A &amp; B defect for functional</t>
  </si>
  <si>
    <t>No gravity A, B and C defect for functional (except if C agreed by deviation)</t>
  </si>
  <si>
    <t>Tests carried out according to diagnostic test plan.</t>
  </si>
  <si>
    <t>Tests performed following diagnosis test plan.</t>
  </si>
  <si>
    <t>The management of the diagnosis without defect A, B.</t>
  </si>
  <si>
    <t>The management of the diagnosis without defect A, B and C</t>
  </si>
  <si>
    <t>Supplier testers status</t>
  </si>
  <si>
    <t>Coverage test : 
- 100% Low layers
- 100% Functional tests
- Environmental tests : see list of tests provided by PCA
Means implemented :
- Low layers tests = tests benches available and qualified
 - Functional tests = 100% of tests means available and qualified (automatic or not =&gt; to be justified)
- Environmental tests = tests benches and long term overload benches available and qualified.</t>
  </si>
  <si>
    <t>Coverage test : 100% (functional, environmental, low layers)
Means implemented : 100% of tests means available and qualified (automatic or not =&gt; to be justified).</t>
  </si>
  <si>
    <t>Hardware</t>
  </si>
  <si>
    <r>
      <rPr>
        <b/>
        <sz val="11"/>
        <rFont val="宋体"/>
        <family val="2"/>
        <scheme val="minor"/>
      </rPr>
      <t xml:space="preserve">Electronic diagram </t>
    </r>
    <r>
      <rPr>
        <sz val="11"/>
        <rFont val="宋体"/>
        <family val="2"/>
        <scheme val="minor"/>
      </rPr>
      <t>:</t>
    </r>
  </si>
  <si>
    <r>
      <rPr>
        <b/>
        <sz val="11"/>
        <rFont val="宋体"/>
        <family val="2"/>
        <scheme val="minor"/>
      </rPr>
      <t>Electronic diagram</t>
    </r>
    <r>
      <rPr>
        <sz val="11"/>
        <rFont val="宋体"/>
        <family val="2"/>
        <scheme val="minor"/>
      </rPr>
      <t xml:space="preserve"> : representative.</t>
    </r>
  </si>
  <si>
    <r>
      <t>Electronic diagram</t>
    </r>
    <r>
      <rPr>
        <sz val="11"/>
        <rFont val="宋体"/>
        <family val="2"/>
        <scheme val="minor"/>
      </rPr>
      <t xml:space="preserve"> : frozen.</t>
    </r>
  </si>
  <si>
    <r>
      <t>Electronic diagram</t>
    </r>
    <r>
      <rPr>
        <sz val="11"/>
        <rFont val="宋体"/>
        <family val="2"/>
        <scheme val="minor"/>
      </rPr>
      <t xml:space="preserve"> :  frozen.</t>
    </r>
  </si>
  <si>
    <r>
      <t xml:space="preserve">Electronic diagram </t>
    </r>
    <r>
      <rPr>
        <sz val="11"/>
        <rFont val="宋体"/>
        <family val="2"/>
        <scheme val="minor"/>
      </rPr>
      <t>: frozen</t>
    </r>
  </si>
  <si>
    <r>
      <rPr>
        <b/>
        <sz val="11"/>
        <rFont val="宋体"/>
        <family val="2"/>
        <scheme val="minor"/>
      </rPr>
      <t>Electronic diagram</t>
    </r>
    <r>
      <rPr>
        <sz val="11"/>
        <rFont val="宋体"/>
        <family val="2"/>
        <scheme val="minor"/>
      </rPr>
      <t xml:space="preserve"> : frozen</t>
    </r>
  </si>
  <si>
    <r>
      <t>BOM:</t>
    </r>
    <r>
      <rPr>
        <sz val="11"/>
        <rFont val="宋体"/>
        <family val="2"/>
        <scheme val="minor"/>
      </rPr>
      <t xml:space="preserve"> </t>
    </r>
  </si>
  <si>
    <r>
      <t>BOM :</t>
    </r>
    <r>
      <rPr>
        <sz val="11"/>
        <rFont val="宋体"/>
        <family val="2"/>
        <scheme val="minor"/>
      </rPr>
      <t xml:space="preserve"> representative.</t>
    </r>
  </si>
  <si>
    <r>
      <t>BOM:</t>
    </r>
    <r>
      <rPr>
        <sz val="11"/>
        <rFont val="宋体"/>
        <family val="2"/>
        <scheme val="minor"/>
      </rPr>
      <t xml:space="preserve"> frozen.</t>
    </r>
  </si>
  <si>
    <r>
      <t>BOM:</t>
    </r>
    <r>
      <rPr>
        <sz val="11"/>
        <rFont val="宋体"/>
        <family val="2"/>
        <scheme val="minor"/>
      </rPr>
      <t xml:space="preserve"> frozen</t>
    </r>
  </si>
  <si>
    <r>
      <t>BOM</t>
    </r>
    <r>
      <rPr>
        <sz val="11"/>
        <rFont val="宋体"/>
        <family val="2"/>
        <scheme val="minor"/>
      </rPr>
      <t xml:space="preserve"> : definitive</t>
    </r>
  </si>
  <si>
    <r>
      <t>Layout :</t>
    </r>
    <r>
      <rPr>
        <sz val="11"/>
        <rFont val="宋体"/>
        <family val="2"/>
        <scheme val="minor"/>
      </rPr>
      <t xml:space="preserve"> </t>
    </r>
  </si>
  <si>
    <r>
      <t>Layout:</t>
    </r>
    <r>
      <rPr>
        <sz val="11"/>
        <rFont val="宋体"/>
        <family val="2"/>
        <scheme val="minor"/>
      </rPr>
      <t xml:space="preserve"> first improvement: draft version.</t>
    </r>
  </si>
  <si>
    <r>
      <t>Layout :</t>
    </r>
    <r>
      <rPr>
        <sz val="11"/>
        <rFont val="宋体"/>
        <family val="2"/>
        <scheme val="minor"/>
      </rPr>
      <t xml:space="preserve"> Draft.</t>
    </r>
  </si>
  <si>
    <r>
      <t>Layout:</t>
    </r>
    <r>
      <rPr>
        <sz val="11"/>
        <rFont val="宋体"/>
        <family val="2"/>
        <scheme val="minor"/>
      </rPr>
      <t xml:space="preserve"> frozen ( conformal coating included).</t>
    </r>
  </si>
  <si>
    <r>
      <t>Layout:</t>
    </r>
    <r>
      <rPr>
        <sz val="11"/>
        <rFont val="宋体"/>
        <family val="2"/>
        <scheme val="minor"/>
      </rPr>
      <t xml:space="preserve"> définitive</t>
    </r>
  </si>
  <si>
    <r>
      <t>Layout :</t>
    </r>
    <r>
      <rPr>
        <sz val="11"/>
        <rFont val="宋体"/>
        <family val="2"/>
        <scheme val="minor"/>
      </rPr>
      <t xml:space="preserve">  definitive</t>
    </r>
  </si>
  <si>
    <t>Level of Conformity / State of deliverable awaited</t>
  </si>
  <si>
    <t>Low layers</t>
  </si>
  <si>
    <r>
      <t xml:space="preserve">Physical &amp; protocol layers (1 &amp; 2) : </t>
    </r>
    <r>
      <rPr>
        <sz val="11"/>
        <rFont val="宋体"/>
        <family val="2"/>
        <scheme val="minor"/>
      </rPr>
      <t>100% implemented and validated. The SUPPLIER must perform a complete validation.
Supplier conformity matrix + tests report + test plan delivered</t>
    </r>
  </si>
  <si>
    <r>
      <t xml:space="preserve">Physical &amp; protocol layers (1 &amp; 2) :  </t>
    </r>
    <r>
      <rPr>
        <sz val="11"/>
        <rFont val="宋体"/>
        <family val="2"/>
        <scheme val="minor"/>
      </rPr>
      <t>100% implemented and validated. The SUPPLIER shows the correction of the defects seen in A0/Vf-2 - Proto B. No gravity A defect.
Supplier conformity matrix + tests report + test plan delivered</t>
    </r>
  </si>
  <si>
    <r>
      <t xml:space="preserve">Physical &amp; protocol layers (1 &amp; 2) :  </t>
    </r>
    <r>
      <rPr>
        <sz val="11"/>
        <rFont val="宋体"/>
        <family val="2"/>
        <scheme val="minor"/>
      </rPr>
      <t>100% implemented and validated. The SUPPLIER must perform a complete validation and shows the correction of the defects seen in B1/Vf-1 - ProtoB.
No gravity A, B, C and D defect (except if C and D accepted by deviation).
Supplier conformity matrix + tests report + test plan delivered</t>
    </r>
  </si>
  <si>
    <t>Frozen.</t>
  </si>
  <si>
    <r>
      <t xml:space="preserve">Physical &amp; protocol layers (1 &amp; 2) :  </t>
    </r>
    <r>
      <rPr>
        <sz val="11"/>
        <rFont val="宋体"/>
        <family val="2"/>
        <scheme val="minor"/>
      </rPr>
      <t>100% implemented and validated. The SUPPLIER will perform a complete validation if and only if modifications have been done and/or defects existed since B2/Vf-ProtoC.
Supplier conformity matrix + tests report + test plan delivered if necessary</t>
    </r>
  </si>
  <si>
    <r>
      <t xml:space="preserve">Network life Phases : </t>
    </r>
    <r>
      <rPr>
        <sz val="11"/>
        <rFont val="宋体"/>
        <family val="2"/>
        <scheme val="minor"/>
      </rPr>
      <t>100% implemented and validated. The SUPPLIER must perform a complete validation.
Supplier conformity matrix + tests report + test plan delivered</t>
    </r>
  </si>
  <si>
    <r>
      <t xml:space="preserve">Network life Phases : </t>
    </r>
    <r>
      <rPr>
        <sz val="11"/>
        <rFont val="宋体"/>
        <family val="2"/>
        <scheme val="minor"/>
      </rPr>
      <t>100% implemented and validated. The SUPPLIER shows the correction of the defects seen in A0/Vf-2 - Proto B
Supplier conformity matrix + tests report + test plan delivered</t>
    </r>
  </si>
  <si>
    <r>
      <t xml:space="preserve">Network life Phases : </t>
    </r>
    <r>
      <rPr>
        <sz val="11"/>
        <rFont val="宋体"/>
        <family val="2"/>
        <scheme val="minor"/>
      </rPr>
      <t>100% implemented and validated. The SUPPLIER must perform a complete validation and shows the correction of the defects seen in B1/Vf-1 - ProtoB.
No gravity A, B, C and D defect (except if C and D accepted by deviation).
Supplier conformity matrix + tests report + test plan delivered</t>
    </r>
  </si>
  <si>
    <r>
      <t xml:space="preserve">Network life Phases : </t>
    </r>
    <r>
      <rPr>
        <sz val="11"/>
        <rFont val="宋体"/>
        <family val="2"/>
        <scheme val="minor"/>
      </rPr>
      <t>100% implemented and validated. The SUPPLIER must perform a complete validation. No gravity A, B, C and D defect (except if C and D accepted by deviation).
Supplier conformity matrix + tests report + test plan delivered</t>
    </r>
  </si>
  <si>
    <r>
      <t xml:space="preserve">Communication Rules: </t>
    </r>
    <r>
      <rPr>
        <sz val="11"/>
        <rFont val="宋体"/>
        <family val="2"/>
        <scheme val="minor"/>
      </rPr>
      <t>100% implemented and validated (all the frames in transmission and reception must be managed, at least with default values). The SUPPLIER must perform a complete validation.
Supplier conformity matrix + tests report + test plan delivered</t>
    </r>
  </si>
  <si>
    <r>
      <t xml:space="preserve">Communication Rules: </t>
    </r>
    <r>
      <rPr>
        <sz val="11"/>
        <rFont val="宋体"/>
        <family val="2"/>
        <scheme val="minor"/>
      </rPr>
      <t>100% implemented and validated. The SUPPLIER shows the correction of the defects seen in A0/Vf-2 - Proto B.
Supplier conformity matrix + tests report + test plan delivered</t>
    </r>
  </si>
  <si>
    <r>
      <t xml:space="preserve">Communication Rules: </t>
    </r>
    <r>
      <rPr>
        <sz val="11"/>
        <rFont val="宋体"/>
        <family val="2"/>
        <scheme val="minor"/>
      </rPr>
      <t>100% implemented and validated. The SUPPLIER must perform a complete validation and shows the correction of the defects seen in B1/Vf-1 - ProtoB.
No gravity A, B, C and D defect (except if C and D accepted by deviation).
Supplier conformity matrix + tests report + test plan delivered</t>
    </r>
  </si>
  <si>
    <r>
      <t xml:space="preserve">Communication Rules: </t>
    </r>
    <r>
      <rPr>
        <sz val="11"/>
        <rFont val="宋体"/>
        <family val="2"/>
        <scheme val="minor"/>
      </rPr>
      <t>100% implemented and validated. The SUPPLIER must perform a complete validation. No gravity A, B, C and D defect (except if C and D accepted by deviation).
Supplier conformity matrix + tests report + test plan delivered</t>
    </r>
  </si>
  <si>
    <r>
      <t xml:space="preserve">+ Diag Layer 2 (network layer for the diag): </t>
    </r>
    <r>
      <rPr>
        <sz val="11"/>
        <rFont val="宋体"/>
        <family val="2"/>
        <scheme val="minor"/>
      </rPr>
      <t>100% in order to test the 100% of the rules of COM. The SUPPLIER must perform a complete validation.</t>
    </r>
  </si>
  <si>
    <r>
      <t xml:space="preserve">+ Diag Layer 2 (network layer for the diag): </t>
    </r>
    <r>
      <rPr>
        <sz val="11"/>
        <rFont val="宋体"/>
        <family val="2"/>
        <scheme val="minor"/>
      </rPr>
      <t>100% implemented and validated. The SUPPLIER shows the correction of the defects seen in A0/Vf-2 - Proto B.
Supplier conformity matrix + tests report + test plan delivered</t>
    </r>
  </si>
  <si>
    <r>
      <t xml:space="preserve">+ Diag Layer 2 (network layer for the diag): </t>
    </r>
    <r>
      <rPr>
        <sz val="11"/>
        <rFont val="宋体"/>
        <family val="2"/>
        <scheme val="minor"/>
      </rPr>
      <t>100% implemented and validated. The SUPPLIER must perform a complete validation and shows the correction of the defects seen in B1/Vf-1 - ProtoB.
No gravity A, B, C and D defect (except if C and D accepted by deviation).
Supplier conformity matrix + tests report + test plan delivered</t>
    </r>
  </si>
  <si>
    <r>
      <rPr>
        <b/>
        <sz val="11"/>
        <rFont val="宋体"/>
        <family val="2"/>
        <scheme val="minor"/>
      </rPr>
      <t xml:space="preserve">+ Services of the diag </t>
    </r>
    <r>
      <rPr>
        <sz val="11"/>
        <rFont val="宋体"/>
        <family val="2"/>
        <scheme val="minor"/>
      </rPr>
      <t>(reading and erasing network defect, electronic label reading)  : allowing to have signal frames segmented in emission and reception in order to check the defects of the network (defect absence of communication with the calculator supervised in reception (ABSENT), Dumb defect during the emission of a signal (TRANSFERS in CAN), defect BUS OFF in CAN HS or defect of Line (NERR in CAN LS, Bus blocked with the state dominating in LIN).</t>
    </r>
  </si>
  <si>
    <r>
      <t xml:space="preserve">+ Component Justification File (CJF): </t>
    </r>
    <r>
      <rPr>
        <sz val="11"/>
        <rFont val="宋体"/>
        <family val="2"/>
        <scheme val="minor"/>
      </rPr>
      <t>3 CJF per network delivered: transceiver, protocol manager &amp; clock.</t>
    </r>
  </si>
  <si>
    <r>
      <t xml:space="preserve">+ Component Justification File (CJF): </t>
    </r>
    <r>
      <rPr>
        <sz val="11"/>
        <rFont val="宋体"/>
        <family val="2"/>
        <scheme val="minor"/>
      </rPr>
      <t>The CJFs must be compliant at this milestone.</t>
    </r>
  </si>
  <si>
    <t>Note : The gravity définition applied on product is include inside QUALIT_08_4015 document.</t>
  </si>
  <si>
    <t>B1 delivery part + Acceptance review</t>
  </si>
  <si>
    <t>B2 delivery part + Acceptance review</t>
  </si>
  <si>
    <t>A0</t>
  </si>
  <si>
    <t>Low layer tests repport and conformity justication file</t>
  </si>
  <si>
    <t xml:space="preserve">Description of Samples Maturity </t>
  </si>
  <si>
    <t>Choix des frns rang 2 / Award supplier raw 2</t>
  </si>
  <si>
    <r>
      <t>Design freeze expected by supplier</t>
    </r>
    <r>
      <rPr>
        <i/>
        <sz val="11"/>
        <rFont val="宋体"/>
        <family val="2"/>
        <scheme val="minor"/>
      </rPr>
      <t xml:space="preserve">  (design freeze)</t>
    </r>
  </si>
  <si>
    <t>Meshing - 3 weeks</t>
  </si>
  <si>
    <t>Officialisation DFNu C CAD data- DRR</t>
  </si>
  <si>
    <t>C4 delivery parts + acceptance review.</t>
  </si>
  <si>
    <t>Delivery primary parts expectation  for B3</t>
  </si>
  <si>
    <t>COTATION</t>
  </si>
  <si>
    <t>BILAN</t>
  </si>
  <si>
    <t>SUPPLIER NAME</t>
  </si>
  <si>
    <t>Planning
Timing Plan</t>
  </si>
  <si>
    <t>Evolution des spécifications
Specifications update</t>
  </si>
  <si>
    <t>Recettes SW &amp; HW
HW &amp; SW  acceptance  delivery meetings</t>
  </si>
  <si>
    <t>Stade DFNu
DFNu stage</t>
  </si>
  <si>
    <t>Ressources fournisseur
Supplier resources</t>
  </si>
  <si>
    <t>Durabilité
Durability</t>
  </si>
  <si>
    <t>Expected date</t>
  </si>
  <si>
    <t>Date projet</t>
  </si>
  <si>
    <r>
      <t xml:space="preserve">Date projet
</t>
    </r>
    <r>
      <rPr>
        <sz val="11"/>
        <rFont val="宋体"/>
        <family val="2"/>
        <scheme val="minor"/>
      </rPr>
      <t>DFNUc Supplier  delivery +3 week</t>
    </r>
  </si>
  <si>
    <t>Supplier Delivery</t>
  </si>
  <si>
    <t>A créer</t>
  </si>
  <si>
    <t>PLM</t>
  </si>
  <si>
    <t>MAPIEX DELIVERY PARTS To TIER1</t>
  </si>
  <si>
    <t>Mapiex  - 10 weeks</t>
  </si>
  <si>
    <t>Mapiex  - 1 weeks</t>
  </si>
  <si>
    <t>VRS1_DV - 10 weeks</t>
  </si>
  <si>
    <t>MAPIEX DELIVERY PARTS To STELLANTIS</t>
  </si>
  <si>
    <t>VRS2 - 10 weeks</t>
  </si>
  <si>
    <t xml:space="preserve"> VRS2 - 4 weeks</t>
  </si>
  <si>
    <t>VRS_EL - 10 weeks</t>
  </si>
  <si>
    <t xml:space="preserve"> VRS_EL - 4 weeks</t>
  </si>
  <si>
    <t>PRSEL1 - 10 weeks</t>
  </si>
  <si>
    <t>PRSEL1 - 4 weeks</t>
  </si>
  <si>
    <t>PRSEL2 - 10 weeks</t>
  </si>
  <si>
    <t>PRSEL2 - 4 weeks</t>
  </si>
  <si>
    <t>Mechanical review (IOD)</t>
  </si>
  <si>
    <t>VRS2 Acceptance review - 1week</t>
  </si>
  <si>
    <t>B3 Acceptance review - 1 week</t>
  </si>
  <si>
    <t>B3 Acceptance review - 6 weeks</t>
  </si>
  <si>
    <t>B3 Acceptance review + 3 weeks</t>
  </si>
  <si>
    <t>B2 Acceptance review - 1week</t>
  </si>
  <si>
    <t>Supplier answer</t>
  </si>
  <si>
    <t>Supplier presentation</t>
  </si>
  <si>
    <t>Addendum RFQ</t>
  </si>
  <si>
    <t>R
F
Q</t>
  </si>
  <si>
    <t>Expect a description</t>
  </si>
  <si>
    <t>B2 Acceptance review + 3 weeks</t>
  </si>
  <si>
    <t xml:space="preserve">Validations of the material colors / Graining review </t>
  </si>
  <si>
    <t>VRS1_DV + 5 weeks</t>
  </si>
  <si>
    <t>GRAINING APPROVAL sheet</t>
  </si>
  <si>
    <t>VRS1_DV + 8 weeks</t>
  </si>
  <si>
    <r>
      <t xml:space="preserve">Date projet 
</t>
    </r>
    <r>
      <rPr>
        <i/>
        <sz val="11"/>
        <rFont val="宋体"/>
        <family val="2"/>
        <scheme val="minor"/>
      </rPr>
      <t>Top RO + 7 weeks</t>
    </r>
  </si>
  <si>
    <r>
      <t xml:space="preserve">JRO / </t>
    </r>
    <r>
      <rPr>
        <sz val="11"/>
        <rFont val="宋体"/>
        <family val="2"/>
        <scheme val="minor"/>
      </rPr>
      <t>Jalon de Réalisations des outillages</t>
    </r>
    <r>
      <rPr>
        <b/>
        <sz val="11"/>
        <rFont val="宋体"/>
        <family val="2"/>
        <scheme val="minor"/>
      </rPr>
      <t/>
    </r>
  </si>
  <si>
    <t>Date Fournisseur</t>
  </si>
  <si>
    <t>STELLANTIS
COMMENTS</t>
  </si>
  <si>
    <t>Timing plan</t>
  </si>
  <si>
    <t>QGATE</t>
  </si>
  <si>
    <t>xxxx</t>
  </si>
  <si>
    <t>Supplier</t>
  </si>
  <si>
    <t>01276_15_00086</t>
  </si>
  <si>
    <t>01301_15_01026</t>
  </si>
  <si>
    <t>01843_20_00575</t>
  </si>
  <si>
    <t>CTF RCM</t>
  </si>
  <si>
    <t>Start</t>
  </si>
  <si>
    <t>Start of development / Kick Off Meeting</t>
  </si>
  <si>
    <t>N/A</t>
  </si>
  <si>
    <t>Global Warming Potential</t>
  </si>
  <si>
    <t>INDUSTRIALIZATION</t>
  </si>
  <si>
    <t>Template :</t>
  </si>
  <si>
    <t xml:space="preserve"> 02017_17_00476</t>
  </si>
  <si>
    <t>Timing Video</t>
  </si>
  <si>
    <t>Engagement au respect des exigences marché North America
 Commitment to fulfill North America requirements</t>
  </si>
  <si>
    <t xml:space="preserve">SYNC 2 supplier delivery </t>
  </si>
  <si>
    <t>Meshing model Rel.2 (Radioss, LS DYNA, Nastran)</t>
    <phoneticPr fontId="0" type="noConversion"/>
  </si>
  <si>
    <t>SYNC 4</t>
  </si>
  <si>
    <t>SYNC 5</t>
  </si>
  <si>
    <r>
      <t xml:space="preserve">Technical approval </t>
    </r>
    <r>
      <rPr>
        <i/>
        <sz val="9"/>
        <rFont val="宋体"/>
        <family val="2"/>
        <scheme val="minor"/>
      </rPr>
      <t>(end of design review)</t>
    </r>
    <r>
      <rPr>
        <b/>
        <sz val="11"/>
        <rFont val="宋体"/>
        <family val="2"/>
        <scheme val="minor"/>
      </rPr>
      <t xml:space="preserve"> (SYNC5)</t>
    </r>
  </si>
  <si>
    <r>
      <t>TKOM</t>
    </r>
    <r>
      <rPr>
        <sz val="11"/>
        <rFont val="宋体"/>
        <family val="2"/>
        <scheme val="minor"/>
      </rPr>
      <t xml:space="preserve"> / Tooling kick-off milestone</t>
    </r>
    <r>
      <rPr>
        <b/>
        <sz val="11"/>
        <rFont val="宋体"/>
        <family val="2"/>
        <scheme val="minor"/>
      </rPr>
      <t xml:space="preserve">
Officialisation SYNC 5</t>
    </r>
  </si>
  <si>
    <t>SYNC 3</t>
  </si>
  <si>
    <t>SYNC2</t>
  </si>
  <si>
    <t xml:space="preserve">SYNC 4  Supplier  delivery  </t>
  </si>
  <si>
    <t xml:space="preserve">SYNC 3  Supplier  delivery  </t>
  </si>
  <si>
    <t>X0</t>
  </si>
  <si>
    <t>Data freeze for X0 samples</t>
  </si>
  <si>
    <t>Delivery primary parts expectation X0 acceptance review</t>
  </si>
  <si>
    <t>X0 Acceptance review - 6 weeks</t>
  </si>
  <si>
    <t>MAPIEX (First of tooling part)</t>
  </si>
  <si>
    <t>X0 GA  (Vehicle General Assembly)</t>
  </si>
  <si>
    <t>GA X0-2   (Vehicle General Assembly)</t>
  </si>
  <si>
    <t>X1</t>
  </si>
  <si>
    <t>GA X1 (Vehicle General Assembly)</t>
  </si>
  <si>
    <t>X2</t>
  </si>
  <si>
    <t>X3</t>
  </si>
  <si>
    <t>GA X2  (Vehicle General Assembly)</t>
  </si>
  <si>
    <t>GA X3  (Vehicle General Assembly)  (Saleable vehicules)</t>
  </si>
  <si>
    <t>MRD X3 DELIVERY PARTS To STELLANTIS</t>
  </si>
  <si>
    <t>MRD X3 DELIVERY PARTS To TIER1</t>
  </si>
  <si>
    <t>MRD X2 DELIVERY PARTS To STELLANTIS</t>
  </si>
  <si>
    <t>MRD X2 DELIVERY PARTS To TIER1</t>
  </si>
  <si>
    <t>MRD X1 DELIVERY PARTS To STELLANTIS</t>
  </si>
  <si>
    <t>MRD X1 DELIVERY PARTS To TIER1</t>
  </si>
  <si>
    <t>MRD X0-2 DELIVERY PARTS To STELLANTIS</t>
  </si>
  <si>
    <t>MRD X0-2 DELIVERY PARTS To TIER1</t>
  </si>
  <si>
    <t>MRD X0_ DELIVERY PARTS To STELLANTIS</t>
  </si>
  <si>
    <t>MRD X0_ DELIVERY PARTS To TIER1</t>
  </si>
  <si>
    <t>MRD: Material Required Date</t>
  </si>
  <si>
    <t>C5 QGate documents + Full validation report</t>
  </si>
  <si>
    <t>C5 delivery parts + acceptance review.</t>
  </si>
  <si>
    <t>Supplier answer Addendum (last release)</t>
  </si>
  <si>
    <r>
      <t xml:space="preserve">
SOPM </t>
    </r>
    <r>
      <rPr>
        <i/>
        <sz val="9"/>
        <rFont val="宋体"/>
        <family val="2"/>
        <scheme val="minor"/>
      </rPr>
      <t xml:space="preserve">(start of production Milestone)
</t>
    </r>
  </si>
  <si>
    <t>Stellantis Fct 3D model  CLASS C (DNS) for SYNC 2</t>
  </si>
  <si>
    <t>Stellantis Fct 3D model  CLASS B for SYNC 3</t>
  </si>
  <si>
    <t>Stellantis Fct 3D  CLASS A for SYNC 4</t>
  </si>
  <si>
    <t>SWX/EHSE/EEEM/EEWE/CIWE/DIWE/HD2C</t>
  </si>
  <si>
    <t>End of B2 EMC validation</t>
  </si>
  <si>
    <t>End of B3 EMC validation</t>
  </si>
  <si>
    <t xml:space="preserve">Supplier presentation Addendum </t>
  </si>
  <si>
    <t>Exigences sur le développement</t>
  </si>
  <si>
    <t>Development guidelines</t>
  </si>
  <si>
    <r>
      <t xml:space="preserve">Le planning du développement du fournisseur respecte les jalons listés dans l'onglet "Timing_Plan"
</t>
    </r>
    <r>
      <rPr>
        <sz val="11"/>
        <color rgb="FF0000FF"/>
        <rFont val="Verdana"/>
        <family val="2"/>
      </rPr>
      <t>Supplier's timing plan shall comply with STELLANTIS milestones listed in "Timing_Plan" sheet</t>
    </r>
  </si>
  <si>
    <r>
      <t xml:space="preserve">Le fournisseur s’engage à se conformer aux règles définies dans le document QGATE_Template.xlsx, conformément au processus défini par STELLANTIS. En particulier, le fournisseur doit s’engager à :
- Renseigner et fournir le document QGate à la date définie préalablement à chaque « recette ».
- Fournir tous les documents dûs qui sont listés dans la QGate, avec un contenu conforme à l’exigence,
- Respecter les critères d’acceptation des «  recettes ».
</t>
    </r>
    <r>
      <rPr>
        <sz val="11"/>
        <color rgb="FF0000FF"/>
        <rFont val="Verdana"/>
        <family val="2"/>
      </rPr>
      <t xml:space="preserve">
The supplier commits to apply the QGATE_Template.xlsx document, according to STELLANTIS process. In particular, the supplier shall commits :
- To provide the QGate document at the due date, before each sample delivery (“recette” sessions),
- To provide all the due documents which are listed in the Qgate document, with a correct content,
- To respect the acceptance criteria of sample deliveries (during "Acceptance Review").</t>
    </r>
  </si>
  <si>
    <r>
      <t xml:space="preserve">Le fournisseur s'engage à fournir les paramètres de timing vidéos à la date définie dans l'onglet </t>
    </r>
    <r>
      <rPr>
        <i/>
        <sz val="11"/>
        <color theme="1"/>
        <rFont val="Verdana"/>
        <family val="2"/>
      </rPr>
      <t>"Timing plan".</t>
    </r>
    <r>
      <rPr>
        <sz val="11"/>
        <color theme="1"/>
        <rFont val="Verdana"/>
        <family val="2"/>
      </rPr>
      <t xml:space="preserve">
</t>
    </r>
    <r>
      <rPr>
        <sz val="11"/>
        <color rgb="FF0000FF"/>
        <rFont val="Verdana"/>
        <family val="2"/>
      </rPr>
      <t xml:space="preserve">The supplier shall commit to fill-in the video timing table, respecting the due date which is specified in the </t>
    </r>
    <r>
      <rPr>
        <i/>
        <sz val="11"/>
        <color rgb="FF0000FF"/>
        <rFont val="Verdana"/>
        <family val="2"/>
      </rPr>
      <t>"Timing plan"</t>
    </r>
    <r>
      <rPr>
        <sz val="11"/>
        <color rgb="FF0000FF"/>
        <rFont val="Verdana"/>
        <family val="2"/>
      </rPr>
      <t xml:space="preserve"> sheet.</t>
    </r>
  </si>
  <si>
    <r>
      <t xml:space="preserve">SYNC 4
Le 3D du fournisseur illustrant la conception complete de l'organe (100%)(avec les composants internes) et représentatif des dernières données d'entrée STELLANTIS reçues  (modèle Style, interfaces &amp; environnement Planche de Bord...).Approbation style
</t>
    </r>
    <r>
      <rPr>
        <sz val="11"/>
        <color rgb="FF0000FF"/>
        <rFont val="Verdana"/>
        <family val="2"/>
      </rPr>
      <t>SYNC 4
The CAD Data supplier illustrate the full design of the part. (100%) (including internal parts) according to STELLANTIS last entry data (styling volume, mechanical interfaces with Instrument Panel...). Style Approval</t>
    </r>
  </si>
  <si>
    <r>
      <t xml:space="preserve">L'organisation fournisseur doit être définie de sorte que :
  - les membres en interface avec STELLANTIS durant la phase de développement soient situés à proximité des centres R&amp;D de STELLANTIS
  - les membres intervenant en Usine Terminale durant la phase d'industrialisation soient situés à proximité des sites de production STELLANTIS ou DPCA (selon le cas)
</t>
    </r>
    <r>
      <rPr>
        <sz val="11"/>
        <color rgb="FF0000FF"/>
        <rFont val="Verdana"/>
        <family val="2"/>
      </rPr>
      <t>The supplier's project team shall be located according to STELLANTIS footprint :
  - Supplier's members supporting STELLANTIS during the development stage, shall be located close to the STELLANTIS development plants D&amp;D.
  - Supplier's members supporting STELLANTIS or DPCA in STELLANTIS or DPCA production's plants during the industrialization stage, shall be located close to STELLANTIS or DPCA factories</t>
    </r>
  </si>
  <si>
    <r>
      <t xml:space="preserve">En RFQ le fournisseur rang 1 communique la list et la localisation des fournisseurs des composants clé.
</t>
    </r>
    <r>
      <rPr>
        <sz val="11"/>
        <color rgb="FF0000FF"/>
        <rFont val="Verdana"/>
        <family val="2"/>
      </rPr>
      <t>In RFQ, the TIER 1 provides  bidlist and localization  of key component suppliers</t>
    </r>
  </si>
  <si>
    <r>
      <t xml:space="preserve">Apres assemblage, le rang 1 est responsable des exigences qualités d'aspects (poussière, rayure …) du produit fini, y compris pour les pieces primaires. (Ecrans, Telltales box ..). 
Le chiffrage de la RFQ inclut les moyens de controles sur la ligne de production.
</t>
    </r>
    <r>
      <rPr>
        <sz val="11"/>
        <color rgb="FF0000FF"/>
        <rFont val="Verdana"/>
        <family val="2"/>
      </rPr>
      <t>After assembling, the TIER1, is responsable for the quality aspect requierments (Dust, scratch...) of the final product included the pimary parts. (Display, Telltales box ...)
The RFQ quotation includes the monitoring means in the production line.</t>
    </r>
  </si>
  <si>
    <r>
      <t xml:space="preserve">Le fournisseur rang1 traite directement avec le fournisseur rang 2, les quantités et les plannings des pieces primaires pour la réalisation des validations, des VRS... de la montée en cadence...
</t>
    </r>
    <r>
      <rPr>
        <sz val="11"/>
        <color rgb="FF0000FF"/>
        <rFont val="Verdana"/>
        <family val="2"/>
      </rPr>
      <t>The TIER1 deals with the TIER1 the quatity and the schedule for the  primary parts needed  for the validations, VRS... the ramp up...
Take into account in the schedule, the delivery timing and the customs timing....</t>
    </r>
  </si>
  <si>
    <r>
      <t xml:space="preserve">Les demandes de  livraisons des pieces primaires doivent être inferieures à 6 semaines avant la livraison des pièces assemblées à Stellantis.
</t>
    </r>
    <r>
      <rPr>
        <sz val="11"/>
        <color rgb="FF0000FF"/>
        <rFont val="Verdana"/>
        <family val="2"/>
      </rPr>
      <t>The primary parts delivery requests must be lower at 6 weeks before the assembled part delivery to Stellantis.</t>
    </r>
  </si>
  <si>
    <r>
      <t xml:space="preserve">Exigences / </t>
    </r>
    <r>
      <rPr>
        <b/>
        <sz val="11"/>
        <color rgb="FF0000FF"/>
        <rFont val="Verdana"/>
        <family val="2"/>
      </rPr>
      <t>Requirements</t>
    </r>
  </si>
  <si>
    <r>
      <t xml:space="preserve">Conformité
</t>
    </r>
    <r>
      <rPr>
        <b/>
        <sz val="11"/>
        <color rgb="FF0000FF"/>
        <rFont val="Verdana"/>
        <family val="2"/>
      </rPr>
      <t>Conformity</t>
    </r>
  </si>
  <si>
    <r>
      <rPr>
        <b/>
        <sz val="11"/>
        <rFont val="Verdana"/>
        <family val="2"/>
      </rPr>
      <t>Remarques Fournisseur</t>
    </r>
    <r>
      <rPr>
        <b/>
        <sz val="11"/>
        <color rgb="FF0000FF"/>
        <rFont val="Verdana"/>
        <family val="2"/>
      </rPr>
      <t xml:space="preserve">
Supplier comments</t>
    </r>
  </si>
  <si>
    <r>
      <t xml:space="preserve">Statut </t>
    </r>
    <r>
      <rPr>
        <b/>
        <sz val="11"/>
        <color rgb="FF0000FF"/>
        <rFont val="Verdana"/>
        <family val="2"/>
      </rPr>
      <t>Status
 STELLANTIS</t>
    </r>
  </si>
  <si>
    <r>
      <t xml:space="preserve">Le fournisseur intègre dans l'offre de base de la RFQ le coût des pièces prototypes requises pour les recettes et validations des équipes Développement et de Validation. La présente exigence couvre les besoins suivants :
</t>
    </r>
    <r>
      <rPr>
        <sz val="11"/>
        <color rgb="FF0000FF"/>
        <rFont val="Verdana"/>
        <family val="2"/>
      </rPr>
      <t xml:space="preserve">The supplier must include in the initial budget (i.e. during the RFQ stage) the cost of samples required by the Development &amp; Validation Teams for acceptance reviews. The following samples must be considered :
</t>
    </r>
    <r>
      <rPr>
        <sz val="11"/>
        <color theme="1"/>
        <rFont val="Verdana"/>
        <family val="2"/>
      </rPr>
      <t xml:space="preserve">
  - Acceptance review Nr1 : 2 samples
  - Acceptance review Nr2 : 3 samples
  - Acceptance review Nr3 : 3 sample
  - Acceptance review Nr4 : 4 sample
  - Acceptance review Nr5 : 2 sample
  - Acceptance review Nr6 : 3 sample
  - Off-tools part design review : 1 sample</t>
    </r>
  </si>
  <si>
    <r>
      <t xml:space="preserve">SYNC 3
Le 3D du fournisseur illustre la conception interne de l'organe. Définition fournisseur a 80%. Processe des pieces acquis, plan 2D avec convergence CTF encours. Definition avec maillage.
</t>
    </r>
    <r>
      <rPr>
        <sz val="11"/>
        <color rgb="FF0000FF"/>
        <rFont val="Verdana"/>
        <family val="2"/>
      </rPr>
      <t>SYNC 3
The CAD Dat supplier illustrates the inner conception of the part. Supplier definition clarified at 80%. Part process defined. 2D drawing with CTF convergence on going. Definition with meshing.</t>
    </r>
  </si>
  <si>
    <r>
      <t xml:space="preserve">SYNC 2
 3D illustrant les limites de pièces définies  coherente des pieces composants l'organe. Position des embases cinematique (débattement en fonctionnement + cinématique de montage), hypothèses de fixation avec les interface critiques figées  (basées sur définition interfaces disponible). Angle de demoulages inclu dans la definition du fournisseur. Definition avec maillage.
</t>
    </r>
    <r>
      <rPr>
        <sz val="11"/>
        <color rgb="FF0000FF"/>
        <rFont val="Verdana"/>
        <family val="2"/>
      </rPr>
      <t>SYNC2
The supplier shall provide a CAD Data with the delimitation of the part compliant of inner parts. Connector position, Kinematic (In working and assembly Kenematic). Fixing Hypothesys with the critical interface frozen based on the available fixation points. The supplier delivry includes the demolding angle. Definition with meshing.</t>
    </r>
  </si>
  <si>
    <t>DESIGNATION</t>
  </si>
  <si>
    <t>REFERENCE</t>
  </si>
  <si>
    <t>ID</t>
  </si>
  <si>
    <t>DOCUMENT</t>
  </si>
  <si>
    <r>
      <t xml:space="preserve">Commentaires
 </t>
    </r>
    <r>
      <rPr>
        <b/>
        <sz val="11"/>
        <color rgb="FF0000FF"/>
        <rFont val="Verdana"/>
        <family val="2"/>
      </rPr>
      <t>STELLANTIS Comments</t>
    </r>
  </si>
  <si>
    <r>
      <t xml:space="preserve">SYNC 5
Le 3D du fournisseur avec robustesse et convergence realisée. Finalisation pour Top RO. 
</t>
    </r>
    <r>
      <rPr>
        <sz val="11"/>
        <color rgb="FF0000FF"/>
        <rFont val="Verdana"/>
        <family val="2"/>
      </rPr>
      <t>SYNC 5
CAD Data supplier with robusteness and convergence completed. Completion TKO.</t>
    </r>
  </si>
  <si>
    <r>
      <t xml:space="preserve">Le fournisseur s'engage à participer à des réunions de travail périodiques en audioconférence, ainsi qu'aux 2 séances en présentiel avec les fournisseurs du système head-unit :
</t>
    </r>
    <r>
      <rPr>
        <sz val="11"/>
        <color rgb="FF0000FF"/>
        <rFont val="Verdana"/>
        <family val="2"/>
      </rPr>
      <t>The supplier shall commit to attend regular conference calls, and to attend the following workshops (face to face) with the head unit suppliers :</t>
    </r>
    <r>
      <rPr>
        <sz val="11"/>
        <color theme="1"/>
        <rFont val="Verdana"/>
        <family val="2"/>
      </rPr>
      <t xml:space="preserve">
  - </t>
    </r>
    <r>
      <rPr>
        <u/>
        <sz val="11"/>
        <color theme="1"/>
        <rFont val="Verdana"/>
        <family val="2"/>
      </rPr>
      <t>1st Workshop :</t>
    </r>
    <r>
      <rPr>
        <sz val="11"/>
        <color theme="1"/>
        <rFont val="Verdana"/>
        <family val="2"/>
      </rPr>
      <t xml:space="preserve">
              * Aim of the meeting : Development kick-off with the supplier of the Head-Unit's Hardware
              * Target date : beginning of </t>
    </r>
    <r>
      <rPr>
        <sz val="11"/>
        <color rgb="FFFF0000"/>
        <rFont val="Verdana"/>
        <family val="2"/>
      </rPr>
      <t>xxxx</t>
    </r>
    <r>
      <rPr>
        <sz val="11"/>
        <color theme="1"/>
        <rFont val="Verdana"/>
        <family val="2"/>
      </rPr>
      <t xml:space="preserve">
              * Maximum duration : 1 week
              * Location : Europe
  - </t>
    </r>
    <r>
      <rPr>
        <u/>
        <sz val="11"/>
        <color theme="1"/>
        <rFont val="Verdana"/>
        <family val="2"/>
      </rPr>
      <t>2nd Workshop :</t>
    </r>
    <r>
      <rPr>
        <sz val="11"/>
        <color theme="1"/>
        <rFont val="Verdana"/>
        <family val="2"/>
      </rPr>
      <t xml:space="preserve"> 
              * Aim of the meeting : Technical review &amp; initial test of the cluster's sample with the supplier of the Head-Unit's Hardware
              * Target date : </t>
    </r>
    <r>
      <rPr>
        <sz val="11"/>
        <color rgb="FFFF0000"/>
        <rFont val="Verdana"/>
        <family val="2"/>
      </rPr>
      <t>xxxx</t>
    </r>
    <r>
      <rPr>
        <sz val="11"/>
        <color theme="1"/>
        <rFont val="Verdana"/>
        <family val="2"/>
      </rPr>
      <t xml:space="preserve">
              * Maximum duration : 2 weeks
              * Location : Europe
</t>
    </r>
  </si>
  <si>
    <r>
      <t xml:space="preserve">Le fournisseur s'engage à participer à des réunions tripartite avec les fournisseurs rang 2 et STELLANTIS tant que nécessaire.
</t>
    </r>
    <r>
      <rPr>
        <sz val="11"/>
        <color rgb="FF0000FF"/>
        <rFont val="Verdana"/>
        <family val="2"/>
      </rPr>
      <t>The supplier shall commit to attend tripartite meeting withTIER2 supplier and STELLANTIS as long as necessary</t>
    </r>
    <r>
      <rPr>
        <sz val="11"/>
        <color theme="1"/>
        <rFont val="Verdana"/>
        <family val="2"/>
      </rPr>
      <t xml:space="preserve"> </t>
    </r>
  </si>
  <si>
    <r>
      <t xml:space="preserve">Le document "technical answer supplier" est renseigné et mis à jour à chaque livraison de dossier technique à STELLANTIS.
</t>
    </r>
    <r>
      <rPr>
        <sz val="11"/>
        <color rgb="FF0000FF"/>
        <rFont val="Verdana"/>
        <family val="2"/>
      </rPr>
      <t>"The technical answer supplier" document is filled in and updated at each technical package release to STELLANTIS.</t>
    </r>
  </si>
  <si>
    <r>
      <t xml:space="preserve">Le fournisseur doit respecter les contenus décrit dans l'onglet "Maturity Requirement" pour chaque livraison du document "Development_Requirements".
</t>
    </r>
    <r>
      <rPr>
        <sz val="11"/>
        <color rgb="FF0000FF"/>
        <rFont val="Verdana"/>
        <family val="2"/>
      </rPr>
      <t xml:space="preserve">
The supplier must respect the content describt in the sheet "Maturity Requirement" of each delivery  of document "Development_Requirements".</t>
    </r>
  </si>
  <si>
    <r>
      <t xml:space="preserve">Lors de la phase de montée en cadence (Dés les VRS...) le fichier de pastillage (tracabilité des versions HW / SW / Mécanique / mise au point d'outillages...) inclut le suivi des pieces primaires.
</t>
    </r>
    <r>
      <rPr>
        <sz val="11"/>
        <color rgb="FF0000FF"/>
        <rFont val="Verdana"/>
        <family val="2"/>
      </rPr>
      <t>During the ramp up (From the VRS…) the modification tracability includes also tracability of the primary parts (tracability of the versions HW / SW / Mechanic / Tooling tuning...).</t>
    </r>
  </si>
  <si>
    <r>
      <rPr>
        <sz val="11"/>
        <rFont val="Verdana"/>
        <family val="2"/>
      </rPr>
      <t xml:space="preserve">Le fournisseur s'engage, lors de la RFQ,  le respect des livrables APQP demandés dans la grille APQP.
</t>
    </r>
    <r>
      <rPr>
        <sz val="11"/>
        <color rgb="FF0000FF"/>
        <rFont val="Verdana"/>
        <family val="2"/>
      </rPr>
      <t>During the RFQ, the supplier  gives a commitment on the APQP deliverable requested in the APQP grill</t>
    </r>
    <r>
      <rPr>
        <sz val="11"/>
        <color theme="1"/>
        <rFont val="Verdana"/>
        <family val="2"/>
      </rPr>
      <t>.</t>
    </r>
  </si>
  <si>
    <r>
      <rPr>
        <sz val="11"/>
        <rFont val="Verdana"/>
        <family val="2"/>
      </rPr>
      <t xml:space="preserve">Le fournisseur s'engage, lors de la RFQ,  le respect des livrables APQP demandés dans le document Generic EE deliverables.
</t>
    </r>
    <r>
      <rPr>
        <sz val="11"/>
        <color rgb="FF0000FF"/>
        <rFont val="Verdana"/>
        <family val="2"/>
      </rPr>
      <t>During the RFQ, the supplier  gives a commitment on the APQP deliverable requested in the Generic EE deliverable document.</t>
    </r>
  </si>
  <si>
    <r>
      <t xml:space="preserve">Le fournisseur s'engage à faire respecter les mêmes  standands qualités exigés par STELLANTIS a ses fournisseurs rang N.
</t>
    </r>
    <r>
      <rPr>
        <sz val="11"/>
        <color rgb="FF0000FF"/>
        <rFont val="Verdana"/>
        <family val="2"/>
      </rPr>
      <t>The supplier commits himself enforcing same the quality standards, required by STELLANTIS,to his suppliers rank N.</t>
    </r>
  </si>
  <si>
    <r>
      <rPr>
        <sz val="11"/>
        <rFont val="Verdana"/>
        <family val="2"/>
      </rPr>
      <t xml:space="preserve">Le plan de validation doit être completé pendant la phase RFQ.
</t>
    </r>
    <r>
      <rPr>
        <sz val="11"/>
        <color rgb="FFFF0000"/>
        <rFont val="Verdana"/>
        <family val="2"/>
      </rPr>
      <t xml:space="preserve">
</t>
    </r>
    <r>
      <rPr>
        <sz val="11"/>
        <color rgb="FF0000FF"/>
        <rFont val="Verdana"/>
        <family val="2"/>
      </rPr>
      <t>The validation plan must be filled in during the RFQ phase.</t>
    </r>
  </si>
  <si>
    <r>
      <rPr>
        <sz val="11"/>
        <rFont val="Verdana"/>
        <family val="2"/>
      </rPr>
      <t xml:space="preserve">Les validations (EMC et environnemental) sont réalisées avec le Telltales box et les écrans en position. Le telltales box et les écrans sont alimentés lorsque l'essai le demande. Des mesures optiques avant et après les essais sont réalisées.
</t>
    </r>
    <r>
      <rPr>
        <sz val="11"/>
        <color rgb="FFFF0000"/>
        <rFont val="Verdana"/>
        <family val="2"/>
      </rPr>
      <t xml:space="preserve">
</t>
    </r>
    <r>
      <rPr>
        <sz val="11"/>
        <color rgb="FF0000FF"/>
        <rFont val="Verdana"/>
        <family val="2"/>
      </rPr>
      <t>The validations (EMC and environnemental) are realized with the telltales box and displays included. The telltales box and the displays are powered when the test ask it. The optical measurements before and after the test are performed.</t>
    </r>
  </si>
  <si>
    <r>
      <t xml:space="preserve">Le fournisseur réalise les mesures photometriques des écrans et des témoins assemblés dans leur mécanique.
Ces mesures sont réalisées en phase DV et PV.
</t>
    </r>
    <r>
      <rPr>
        <sz val="11"/>
        <color rgb="FF0000FF"/>
        <rFont val="Verdana"/>
        <family val="2"/>
      </rPr>
      <t>The supplier performes the displays and telltales optical measurements integrated in the assembly part. 
These measurements are realize in DV and PV phase.</t>
    </r>
  </si>
  <si>
    <r>
      <t xml:space="preserve">Le fournisseur s’engage à répondre au document  CTF_RCM pendant la phase de developpement. Le document communiqué en RFQ est générique et n'est pas exhaustif. Tout au long du developpment, les CTF fonctionnelles doivent être mises à jour en fonction de la ST GENERIQUE.
Les CTF mecaniques doivent inclure les pieces primaires.
</t>
    </r>
    <r>
      <rPr>
        <sz val="11"/>
        <color rgb="FF0000FF"/>
        <rFont val="Verdana"/>
        <family val="2"/>
      </rPr>
      <t xml:space="preserve">
The supplier is committed to answer the Parts Inspection Standard CTF_RCM during the development phase. The document provided in RFQ is generic and not exhautive.Throughout development, the functional CTFs   must be updated accordingthe GENERIC ST. 
The Mechanical CTFs must include the primary parts.</t>
    </r>
  </si>
  <si>
    <r>
      <t xml:space="preserve">Durant la RFQ, </t>
    </r>
    <r>
      <rPr>
        <sz val="11"/>
        <rFont val="Verdana"/>
        <family val="2"/>
      </rPr>
      <t xml:space="preserve">Le fournisseur livre la liste des moyens de tests couvrant a minimal les demandes du PCP generique.
</t>
    </r>
    <r>
      <rPr>
        <sz val="11"/>
        <color rgb="FFFF0000"/>
        <rFont val="Verdana"/>
        <family val="2"/>
      </rPr>
      <t xml:space="preserve">
</t>
    </r>
    <r>
      <rPr>
        <sz val="11"/>
        <color rgb="FF0000FF"/>
        <rFont val="Verdana"/>
        <family val="2"/>
      </rPr>
      <t>During the RFQ, The supplier provides the test means list meeting at least, the requests  in the PCP.</t>
    </r>
  </si>
  <si>
    <r>
      <t xml:space="preserve">Le fournisseur s’engage à répondre le PED et transmet leur PED pendant la phase RFQ.
</t>
    </r>
    <r>
      <rPr>
        <sz val="11"/>
        <color rgb="FF0000FF"/>
        <rFont val="Verdana"/>
        <family val="2"/>
      </rPr>
      <t>The supplier commits to answer the PPH and transmit their PPH  during the RFQ phase.</t>
    </r>
  </si>
  <si>
    <r>
      <t xml:space="preserve">Le fournisseur s'engage à répondre au PMR et transmet leur PMR pendant la phase RFQ.
</t>
    </r>
    <r>
      <rPr>
        <sz val="11"/>
        <color rgb="FF0000FF"/>
        <rFont val="Verdana"/>
        <family val="2"/>
      </rPr>
      <t>The supplier commits to answer the RISK LIST and transmit their RISK LIST during the RFQ phase.</t>
    </r>
  </si>
  <si>
    <r>
      <t xml:space="preserve">Le fournisseur s’engage à appliquer le démarche durabilité, à renseigner le tableau pendant la phase RFQ et a prendre en compte dans l'offre economique,  les essais suplementaires dans le cadre de la démarche durabilité.
</t>
    </r>
    <r>
      <rPr>
        <sz val="11"/>
        <color rgb="FF0000FF"/>
        <rFont val="Verdana"/>
        <family val="2"/>
      </rPr>
      <t>The supplier commits to apply the durability process,  to fill in the durability table during the RFQ phase and take into account in the offer, the extra tests needed in the durability process.</t>
    </r>
  </si>
  <si>
    <r>
      <t xml:space="preserve">The fournisseur  Rang1 réalise les DFMEA  de la pièce assemblée en tenant en compte les pieces primaires.
</t>
    </r>
    <r>
      <rPr>
        <sz val="11"/>
        <color rgb="FF0000FF"/>
        <rFont val="Verdana"/>
        <family val="2"/>
      </rPr>
      <t>The TIER1 realizes  the DFMEA of the assembly part in taking into account the primary parts.</t>
    </r>
  </si>
  <si>
    <r>
      <t xml:space="preserve">Un fournisseur de rang 1 est complétement responsable de la qualité des pièces livrées à STELLANTIS (ensemble et sous ensemble). Quel que soit l’origine de la défaillance, le fournisseur de rang 1 est tenu pour responsable de celle-ci. Il se verra notifié et impacté comme tel et devra gérer les actions de mise en conformité. 
En conséquence, afin d’éviter au fournisseur de rang 1 de souffrir d'éventuelles défaillances d’un fournisseur de rang 2 (y compris les fournisseurs proposés acceptés par STELLANTIS GROUPE), STELLANTIS GROUPE suggère ceux-ci  d’avoir une étroite collaboration avec les fournisseurs de rang 2 afin d’identifier toutes les actions nécessaires (Vérifications en entrée, attention particulière à apporter sur la pièce, contrôle sur la ligne de production…) qui doivent être prises afin de protéger STELLANTIS GROUPE contre des livraisons de pièces non conforme.
</t>
    </r>
    <r>
      <rPr>
        <sz val="11"/>
        <color rgb="FF0000FF"/>
        <rFont val="Verdana"/>
        <family val="2"/>
      </rPr>
      <t>A Tier 1 supplier is fully responsible for the quality of the parts delivered to STELLANTIS (part and sub assembled modules). Regardless of the cause of the failure, Tier 1 supplier is held responsible for it. It will be notified and impacted as such and will have to manage compliance actions. 
Consequently, in order to prevent the Tier 1 supplier from suffering from any failures of the Tier 2 supplier (including STELLANTIS directed buy supplier), STELLANTIS GROUPE suggests that they work closely with the Tier 2 suppliers to identify all the necessary actions (Input checks, special attention to be paid to the part, control on the production line, etc.) that must be taken to protect STELLANTIS GROUPE against non-conforming part deliveries.</t>
    </r>
  </si>
  <si>
    <r>
      <t xml:space="preserve">Le chiffrage de la RFQ inclut les moyens pour alimenter les pieces primaires afin de réaliser les essais prendant la phase de developpement ainsi que les moyens pour alimenter les pieces primaires sur la ligne de production. 
</t>
    </r>
    <r>
      <rPr>
        <sz val="11"/>
        <color rgb="FF0000FF"/>
        <rFont val="Verdana"/>
        <family val="2"/>
      </rPr>
      <t>The RFQ quotation includes the means to power the primary part in order to realize the developpment tests and also the means to power the primary parts on the production line.</t>
    </r>
  </si>
  <si>
    <r>
      <t xml:space="preserve">Si une action de modernisation de pièce est nécessaire suite à une pièce primaire défectueuse ou a une défaillance au niveau de la pièce assemblée, le rang 1 est responsable de la gestion de stocks de pièces.
</t>
    </r>
    <r>
      <rPr>
        <sz val="11"/>
        <color rgb="FF0000FF"/>
        <rFont val="Verdana"/>
        <family val="2"/>
      </rPr>
      <t>If  a  modernization action is needed, because of faulty primary part or issue on the assembly part, the TIER1 is liable to manage the safety stock of parts</t>
    </r>
  </si>
  <si>
    <r>
      <t xml:space="preserve">Si une action de modernisation de pièces est nécessaire suite à une pièce primaire défectueuse ou a défaillance au niveau de la pièce assemblée, le rang 1 gere toutes les actions nécessaires pour la modernisation des véhicules dès les VRS jusqu'a la vis serie.
</t>
    </r>
    <r>
      <rPr>
        <sz val="11"/>
        <color rgb="FF0000FF"/>
        <rFont val="Verdana"/>
        <family val="2"/>
      </rPr>
      <t>If  a  modernization action is needed, because of faulty primary part or issue on the assembly part, the TIER1 deals with all tasks needed to update the cars. (From VRS to Serial life)</t>
    </r>
  </si>
  <si>
    <r>
      <t xml:space="preserve">Le fournisseur rang 1 prend connaissance de la tracabilité des modules imposés et les associer à la tracabilité des pièces assemblées.
</t>
    </r>
    <r>
      <rPr>
        <sz val="11"/>
        <color rgb="FF0000FF"/>
        <rFont val="Verdana"/>
        <family val="2"/>
      </rPr>
      <t>The TIER1 becomes aware of the traceability  of the Stellantis imposed modules and associates them with the traceability of the assembled parts.</t>
    </r>
  </si>
  <si>
    <r>
      <rPr>
        <sz val="11"/>
        <rFont val="Verdana"/>
        <family val="2"/>
      </rPr>
      <t xml:space="preserve">Il est demandé d'intégrer, dans l'offre de base, la prise en charge (effort R&amp;D) d'un nouveau formalisme applicable aux spécifications techniques de la pièce (combiné / écran / ...) .
Le formalisme à considérer est celui du document </t>
    </r>
    <r>
      <rPr>
        <sz val="11"/>
        <color rgb="FFFF0000"/>
        <rFont val="Verdana"/>
        <family val="2"/>
      </rPr>
      <t>"RSP-0000xxxx" ou  [19771a].</t>
    </r>
    <r>
      <rPr>
        <sz val="11"/>
        <rFont val="Verdana"/>
        <family val="2"/>
      </rPr>
      <t xml:space="preserve">
Le changement du formalisme de ces spécifications est planifié au</t>
    </r>
    <r>
      <rPr>
        <sz val="11"/>
        <color rgb="FFFF0000"/>
        <rFont val="Verdana"/>
        <family val="2"/>
      </rPr>
      <t xml:space="preserve"> premier semestre 2021.</t>
    </r>
    <r>
      <rPr>
        <sz val="11"/>
        <rFont val="Verdana"/>
        <family val="2"/>
      </rPr>
      <t xml:space="preserve">
</t>
    </r>
    <r>
      <rPr>
        <sz val="11"/>
        <color rgb="FF0000FF"/>
        <rFont val="Verdana"/>
        <family val="2"/>
      </rPr>
      <t xml:space="preserve">The supplier must include, in the basis offer, the D&amp;D effort resulting from a format change of the technical specification (Cluster / Display / ...).
The specification named </t>
    </r>
    <r>
      <rPr>
        <sz val="11"/>
        <color rgb="FFFF0000"/>
        <rFont val="Verdana"/>
        <family val="2"/>
      </rPr>
      <t>"RSP-0000xxxx" or  [19771]</t>
    </r>
    <r>
      <rPr>
        <sz val="11"/>
        <color rgb="FF0000FF"/>
        <rFont val="Verdana"/>
        <family val="2"/>
      </rPr>
      <t xml:space="preserve"> a  must be considered as new format.
The new specification format will be applied in the </t>
    </r>
    <r>
      <rPr>
        <sz val="11"/>
        <color rgb="FFFF0000"/>
        <rFont val="Verdana"/>
        <family val="2"/>
      </rPr>
      <t>1st half of 2021.</t>
    </r>
  </si>
  <si>
    <r>
      <rPr>
        <sz val="11"/>
        <color theme="1"/>
        <rFont val="Verdana"/>
        <family val="2"/>
      </rPr>
      <t xml:space="preserve">Le fournisseur s'engage à fournir les paramètres de timing vidéos listés dans l'onglet in the document [0001c] à la date définie dans l'onglet "Timing plan".
</t>
    </r>
    <r>
      <rPr>
        <sz val="11"/>
        <color rgb="FFFF0000"/>
        <rFont val="Verdana"/>
        <family val="2"/>
      </rPr>
      <t xml:space="preserve">
</t>
    </r>
    <r>
      <rPr>
        <sz val="11"/>
        <color rgb="FF0000FF"/>
        <rFont val="Verdana"/>
        <family val="2"/>
      </rPr>
      <t>The supplier shall commit to fill-in the video timing table listed in the document [0001c], respecting the due date which is specified in the "Timing plan" sheet.</t>
    </r>
  </si>
  <si>
    <r>
      <rPr>
        <sz val="11"/>
        <rFont val="Verdana"/>
        <family val="2"/>
      </rPr>
      <t xml:space="preserve">Une fois la validation finale du produit effectuée, le fournisseur s'engage à fournir tout document attestant la conformité du produit aux exigences réglementaires du marché Nord-Américain (règlements FMVSS &amp; CMVSS).
</t>
    </r>
    <r>
      <rPr>
        <sz val="11"/>
        <color rgb="FFFF0000"/>
        <rFont val="Verdana"/>
        <family val="2"/>
      </rPr>
      <t xml:space="preserve">
</t>
    </r>
    <r>
      <rPr>
        <sz val="11"/>
        <color rgb="FF0000FF"/>
        <rFont val="Verdana"/>
        <family val="2"/>
      </rPr>
      <t xml:space="preserve">Once the final validation phase is completed, the supplier is committed to provide any documents certifying that the part is compliant to North America regulations (FMVSS &amp; CMVSS).
</t>
    </r>
    <r>
      <rPr>
        <sz val="11"/>
        <rFont val="Verdana"/>
        <family val="2"/>
      </rPr>
      <t xml:space="preserve">Exemple : Fournir les documents suivants durant la phase de développement :
  - Le rapport d'essai se rapportant à l'essai de combustibilité,
  - Une lettre officielle dans laquelle le fournisseur certifie que son produit est conforme à la réglementation FMVSS 302.
</t>
    </r>
    <r>
      <rPr>
        <sz val="11"/>
        <color rgb="FF0000FF"/>
        <rFont val="Verdana"/>
        <family val="2"/>
      </rPr>
      <t xml:space="preserve">
Example : The supplier is committed to provide the following documents during the development stage :
  - Flammability test report,
  - An official letter in which the Tier-1 supplier certify that the part is compliant to the FMVSS 302 Regulation.</t>
    </r>
  </si>
  <si>
    <t>Data freeze for B1 samples</t>
  </si>
  <si>
    <t>Supplier expected date</t>
  </si>
  <si>
    <t xml:space="preserve">STLA TFT technical approval (For TFT Kick off) </t>
  </si>
  <si>
    <t>Supplier expected slot</t>
  </si>
  <si>
    <r>
      <t xml:space="preserve">Le fournisseur intègre dans l'offre de base de la RFQ le coût des pièces prototypes requises pour la validation Style et Ergonomie. La présente exigence couvre les besoins suivants :
- </t>
    </r>
    <r>
      <rPr>
        <sz val="11"/>
        <color rgb="FFFF0000"/>
        <rFont val="Verdana"/>
        <family val="2"/>
      </rPr>
      <t xml:space="preserve">une maquette </t>
    </r>
    <r>
      <rPr>
        <sz val="11"/>
        <color theme="1"/>
        <rFont val="Verdana"/>
        <family val="2"/>
      </rPr>
      <t xml:space="preserve">de Style du combiné complet, incluant : la vitre (avec ses traitements), le capot, le jonc chromé, le support, le logement pour le module d'éclairage d'ambiance. L'aspect de ce prototype doit être représentatif du produit de série.
- </t>
    </r>
    <r>
      <rPr>
        <sz val="11"/>
        <color rgb="FFFF0000"/>
        <rFont val="Verdana"/>
        <family val="2"/>
      </rPr>
      <t>3 maquettes</t>
    </r>
    <r>
      <rPr>
        <sz val="11"/>
        <color theme="1"/>
        <rFont val="Verdana"/>
        <family val="2"/>
      </rPr>
      <t xml:space="preserve"> pour la mise au point d'aspect de la vitre, incluant : la vitre (intégrant plusieurs variantes de traitements, couleurs...), le capot, le hardware et l'afficheur, la pièce support. Seul l'aspect de la cover-glass et le rendu de l'afficheur doivent être représentatifs du produit de série.
 - </t>
    </r>
    <r>
      <rPr>
        <sz val="11"/>
        <color rgb="FFFF0000"/>
        <rFont val="Verdana"/>
        <family val="2"/>
      </rPr>
      <t>1 maquette</t>
    </r>
    <r>
      <rPr>
        <sz val="11"/>
        <color theme="1"/>
        <rFont val="Verdana"/>
        <family val="2"/>
      </rPr>
      <t xml:space="preserve"> pour validation IHM avec une test box
</t>
    </r>
    <r>
      <rPr>
        <sz val="11"/>
        <color rgb="FF0000FF"/>
        <rFont val="Verdana"/>
        <family val="2"/>
      </rPr>
      <t>The supplier must include in the initial budget (i.e. during the RFQ stage) the cost of samples required Styling &amp; Ergonomics needs. The following samples must be considered :</t>
    </r>
    <r>
      <rPr>
        <sz val="11"/>
        <color theme="1"/>
        <rFont val="Verdana"/>
        <family val="2"/>
      </rPr>
      <t xml:space="preserve">
</t>
    </r>
    <r>
      <rPr>
        <sz val="11"/>
        <color rgb="FF0000FF"/>
        <rFont val="Verdana"/>
        <family val="2"/>
      </rPr>
      <t xml:space="preserve">  - </t>
    </r>
    <r>
      <rPr>
        <sz val="11"/>
        <color rgb="FFFF0000"/>
        <rFont val="Verdana"/>
        <family val="2"/>
      </rPr>
      <t xml:space="preserve">Styling mock-up </t>
    </r>
    <r>
      <rPr>
        <sz val="11"/>
        <color rgb="FF0000FF"/>
        <rFont val="Verdana"/>
        <family val="2"/>
      </rPr>
      <t xml:space="preserve">of the cluster including : coverglass (including AR coating &amp; LCF), cover, chrome ring, support part, slot for the ambient lighting module. The appearance of this mock-up must be representative of the final one
  - </t>
    </r>
    <r>
      <rPr>
        <sz val="11"/>
        <color rgb="FFFF0000"/>
        <rFont val="Verdana"/>
        <family val="2"/>
      </rPr>
      <t>3 samples</t>
    </r>
    <r>
      <rPr>
        <sz val="11"/>
        <color rgb="FF0000FF"/>
        <rFont val="Verdana"/>
        <family val="2"/>
      </rPr>
      <t xml:space="preserve"> for coverglass' appearance validation including : coverglass (including various coating, process or colours), cover, HW &amp; display, support part. Only the appearance of the coverglass and the display rendering must be representative of the final product.</t>
    </r>
    <r>
      <rPr>
        <sz val="11"/>
        <color theme="1"/>
        <rFont val="Verdana"/>
        <family val="2"/>
      </rPr>
      <t xml:space="preserve">
 - </t>
    </r>
    <r>
      <rPr>
        <sz val="11"/>
        <color rgb="FFFF0000"/>
        <rFont val="Verdana"/>
        <family val="2"/>
      </rPr>
      <t>1 sample</t>
    </r>
    <r>
      <rPr>
        <sz val="11"/>
        <color theme="1"/>
        <rFont val="Verdana"/>
        <family val="2"/>
      </rPr>
      <t xml:space="preserve"> </t>
    </r>
    <r>
      <rPr>
        <sz val="11"/>
        <color rgb="FF0000FF"/>
        <rFont val="Verdana"/>
        <family val="2"/>
      </rPr>
      <t>for HMI validation with a Test box</t>
    </r>
  </si>
  <si>
    <t>A.HAZEBROUCQ</t>
  </si>
  <si>
    <r>
      <t xml:space="preserve">Le fournisseur intègre dans l'offre de base de la RFQ le coût (prix des pièces + frais d'expédition) des pièces prototypes requises pour développer le contrôleur d'écran (appelé head unit). Le fournisseur s'engage à livrer les pièces suivantes aux fournisseurs du système head unit :
</t>
    </r>
    <r>
      <rPr>
        <sz val="11"/>
        <color rgb="FF0000FF"/>
        <rFont val="Verdana"/>
        <family val="2"/>
      </rPr>
      <t>The supplier must include in the initial budget (i.e. during the RFQ stage) the cost of samples (part price + shipment cost) which are necessary to develop the display controller (named head unit). The supplier shall commit to deliver the following samples to the head-unit suppliers :</t>
    </r>
    <r>
      <rPr>
        <sz val="11"/>
        <color theme="1"/>
        <rFont val="Verdana"/>
        <family val="2"/>
      </rPr>
      <t xml:space="preserve">
  - </t>
    </r>
    <r>
      <rPr>
        <u/>
        <sz val="11"/>
        <color theme="1"/>
        <rFont val="Verdana"/>
        <family val="2"/>
      </rPr>
      <t>B1 maturity :</t>
    </r>
    <r>
      <rPr>
        <sz val="11"/>
        <color theme="1"/>
        <rFont val="Verdana"/>
        <family val="2"/>
      </rPr>
      <t xml:space="preserve">
              * 1 sample to be delivered to the Hardware supplier
              * Delivery date : </t>
    </r>
    <r>
      <rPr>
        <sz val="11"/>
        <color rgb="FFFF0000"/>
        <rFont val="Verdana"/>
        <family val="2"/>
      </rPr>
      <t>sheet Timing Plan</t>
    </r>
    <r>
      <rPr>
        <sz val="11"/>
        <color theme="1"/>
        <rFont val="Verdana"/>
        <family val="2"/>
      </rPr>
      <t xml:space="preserve">
              * Delivery place : Europe
  - </t>
    </r>
    <r>
      <rPr>
        <u/>
        <sz val="11"/>
        <color theme="1"/>
        <rFont val="Verdana"/>
        <family val="2"/>
      </rPr>
      <t>B2 maturity :</t>
    </r>
    <r>
      <rPr>
        <sz val="11"/>
        <color theme="1"/>
        <rFont val="Verdana"/>
        <family val="2"/>
      </rPr>
      <t xml:space="preserve"> 
              * 4 samples to be delivered to the Hardware supplier
              * Delivery date : </t>
    </r>
    <r>
      <rPr>
        <sz val="11"/>
        <color rgb="FFFF0000"/>
        <rFont val="Verdana"/>
        <family val="2"/>
      </rPr>
      <t>sheet Timing Plan</t>
    </r>
    <r>
      <rPr>
        <sz val="11"/>
        <color theme="1"/>
        <rFont val="Verdana"/>
        <family val="2"/>
      </rPr>
      <t xml:space="preserve">
              * Delivery place : Europe
  - </t>
    </r>
    <r>
      <rPr>
        <u/>
        <sz val="11"/>
        <color theme="1"/>
        <rFont val="Verdana"/>
        <family val="2"/>
      </rPr>
      <t>B2 maturity :</t>
    </r>
    <r>
      <rPr>
        <sz val="11"/>
        <color theme="1"/>
        <rFont val="Verdana"/>
        <family val="2"/>
      </rPr>
      <t xml:space="preserve"> 
              * 10 samples to be delivered to the Software supplier
              * Delivery date : </t>
    </r>
    <r>
      <rPr>
        <sz val="11"/>
        <color rgb="FFFF0000"/>
        <rFont val="Verdana"/>
        <family val="2"/>
      </rPr>
      <t>sheet Timing Plan</t>
    </r>
    <r>
      <rPr>
        <sz val="11"/>
        <color theme="1"/>
        <rFont val="Verdana"/>
        <family val="2"/>
      </rPr>
      <t xml:space="preserve">
              * Delivery place : India</t>
    </r>
  </si>
  <si>
    <r>
      <t xml:space="preserve">Le fournisseur s'engage à transmettre le document Part_GWP et s'engage sur la cible du projet avant le choix fournisseur. Une mise à jour sera communiquée lors des mensuelles Achats. 
</t>
    </r>
    <r>
      <rPr>
        <sz val="11"/>
        <color rgb="FF0000FF"/>
        <rFont val="Verdana"/>
        <family val="2"/>
      </rPr>
      <t xml:space="preserve">The supplier commits to forward the Part_GWP document and to commit to the target of the project before the supplier choice. This document will be upgraded at each Purchase monthly meeting.
</t>
    </r>
    <r>
      <rPr>
        <sz val="11"/>
        <color theme="1"/>
        <rFont val="Verdana"/>
        <family val="2"/>
      </rPr>
      <t xml:space="preserve">
</t>
    </r>
    <r>
      <rPr>
        <sz val="11"/>
        <color rgb="FF0000FF"/>
        <rFont val="Verdana"/>
        <family val="2"/>
      </rPr>
      <t xml:space="preserve">- As announced in STELLANTIS Dare Forward strategic plan, Stellantis committed to be carbon net zero by 2038 and to reduce by 2 its global Warming Potential (GWP) emissions in 2030 compared to 2021.
- STELLANTIS took the commitment to reduce its supply chain carbon footprint (scope 3 upstream) by 40% in 2030 (vs 2021 for BEVs purchased parts).
- This decrease shall result from both the improvements of your production (scope 1 &amp; 2) and your supply chain (scope 3 upstream), thanks to mass lightening, more efficient process, greener energy, greener materials. GWP targets are defined at the SOP (Start Of Production) of the project and in 2030.
- In addition to provide your more robust assessment for the SOP &amp; 2030, you will complete the GWP form in order to give the main hotspots per components, on scope 1, 2 &amp; 3.
               - GWP target  = 42,11kg CO2eq/part
- To take into consideration local specificities, an assessment per production location is required, if any.
</t>
    </r>
    <r>
      <rPr>
        <sz val="11"/>
        <color theme="1"/>
        <rFont val="Verdana"/>
        <family val="2"/>
      </rPr>
      <t xml:space="preserve">
Documents : "STELLANTIS_Part_GWP form for supplier"</t>
    </r>
  </si>
  <si>
    <t>DM12F</t>
  </si>
  <si>
    <t>L'objectif  de ce document est de spécifier les exigences sur le processus de développement spécifiques.
Il est demandé d'intégrer ces demandes dans l'offre de la consultation.</t>
  </si>
  <si>
    <t>This document is to specify specifics requirements about of the development process.
These requirement shall be quoted in the RFQ offer by the supplier.</t>
  </si>
  <si>
    <t>DEV_REQ_DM12F.001</t>
  </si>
  <si>
    <t>DEV_REQ_DM12F.002</t>
  </si>
  <si>
    <t>DEV_REQ_DM12F.003</t>
  </si>
  <si>
    <t>DEV_REQ_DM12F.004</t>
  </si>
  <si>
    <t>DEV_REQ_DM12F.005</t>
  </si>
  <si>
    <t>DEV_REQ_DM12F.006</t>
  </si>
  <si>
    <t>DEV_REQ_DM12F.007</t>
  </si>
  <si>
    <t>DEV_REQ_DM12F.008</t>
  </si>
  <si>
    <t>DEV_REQ_DM12F.009</t>
  </si>
  <si>
    <t>DEV_REQ_DM12F.010</t>
  </si>
  <si>
    <t>DEV_REQ_DM12F.011</t>
  </si>
  <si>
    <t>DEV_REQ_DM12F.012</t>
  </si>
  <si>
    <t>DEV_REQ_DM12F.013</t>
  </si>
  <si>
    <t>DEV_REQ_DM12F.014</t>
  </si>
  <si>
    <t>DEV_REQ_DM12F.015</t>
  </si>
  <si>
    <t>DEV_REQ_DM12F.016</t>
  </si>
  <si>
    <t>DEV_REQ_DM12F.017</t>
  </si>
  <si>
    <t>DEV_REQ_DM12F.018</t>
  </si>
  <si>
    <t>DEV_REQ_DM12F.019</t>
  </si>
  <si>
    <t>DEV_REQ_DM12F.020</t>
  </si>
  <si>
    <t>DEV_REQ_DM12F.021</t>
  </si>
  <si>
    <t>DEV_REQ_DM12F.022</t>
  </si>
  <si>
    <t>DEV_REQ_DM12F.023</t>
  </si>
  <si>
    <t>DEV_REQ_DM12F.024</t>
  </si>
  <si>
    <t>DEV_REQ_DM12F.025</t>
  </si>
  <si>
    <t>DEV_REQ_DM12F.026</t>
  </si>
  <si>
    <t>DEV_REQ_DM12F.027</t>
  </si>
  <si>
    <t>DEV_REQ_DM12F.028</t>
  </si>
  <si>
    <t>DEV_REQ_DM12F.029</t>
  </si>
  <si>
    <t>DEV_REQ_DM12F.030</t>
  </si>
  <si>
    <t>DEV_REQ_DM12F.031</t>
  </si>
  <si>
    <t>DEV_REQ_DM12F.032</t>
  </si>
  <si>
    <t>DEV_REQ_DM12F.033</t>
  </si>
  <si>
    <t>DEV_REQ_DM12F.034</t>
  </si>
  <si>
    <t>DEV_REQ_DM12F.035</t>
  </si>
  <si>
    <t>DEV_REQ_DM12F.036</t>
  </si>
  <si>
    <t>DEV_REQ_DM12F.037</t>
  </si>
  <si>
    <t>DEV_REQ_DM12F.038</t>
  </si>
  <si>
    <t>DEV_REQ_DM12F.039</t>
  </si>
  <si>
    <t>DEV_REQ_DM12F.040</t>
  </si>
  <si>
    <t>DEV_REQ_DM12F.041</t>
  </si>
  <si>
    <t>DEV_REQ_DM12F.042</t>
  </si>
  <si>
    <t>DEV_REQ_DM12F.043</t>
  </si>
  <si>
    <t>DEV_REQ_DM12F.044</t>
  </si>
  <si>
    <t>DEV_REQ_DM12F.045</t>
  </si>
  <si>
    <r>
      <t xml:space="preserve">3 livraisons de mise au point des TS fonctionnelles et IHM sont à intégrer dans l’offre de base pour la phase de développement. Cela n'inclut pas la livraison de regularisatio nau choix  fournisseur.
</t>
    </r>
    <r>
      <rPr>
        <sz val="11"/>
        <color rgb="FF0000FF"/>
        <rFont val="Verdana"/>
        <family val="2"/>
      </rPr>
      <t>3 updates of Functional &amp; HMI TS packages have to be included in the basis offer for the development stage.</t>
    </r>
    <r>
      <rPr>
        <sz val="11"/>
        <color theme="1"/>
        <rFont val="Verdana"/>
        <family val="2"/>
      </rPr>
      <t xml:space="preserve"> that doesn't include delivery package at supllier award.</t>
    </r>
  </si>
  <si>
    <r>
      <t xml:space="preserve">Le nombre de pièces pour les besoins prototypes seront confirmés en developpement. Pour information on peut estimer à environ </t>
    </r>
    <r>
      <rPr>
        <sz val="11"/>
        <color rgb="FFFF0000"/>
        <rFont val="Verdana"/>
        <family val="2"/>
      </rPr>
      <t xml:space="preserve">100 </t>
    </r>
    <r>
      <rPr>
        <sz val="11"/>
        <color theme="1"/>
        <rFont val="Verdana"/>
        <family val="2"/>
      </rPr>
      <t xml:space="preserve">prototypes pour les phases B1, B2, B3
</t>
    </r>
    <r>
      <rPr>
        <sz val="11"/>
        <color rgb="FF0000FF"/>
        <rFont val="Verdana"/>
        <family val="2"/>
      </rPr>
      <t xml:space="preserve">The quantity of validation  displays will confirm in developpement. For information we can estimate at </t>
    </r>
    <r>
      <rPr>
        <sz val="11"/>
        <color rgb="FFFF0000"/>
        <rFont val="Verdana"/>
        <family val="2"/>
      </rPr>
      <t>100</t>
    </r>
    <r>
      <rPr>
        <sz val="11"/>
        <color rgb="FF0000FF"/>
        <rFont val="Verdana"/>
        <family val="2"/>
      </rPr>
      <t xml:space="preserve"> prototypes for the steps B1, B2, B3.</t>
    </r>
  </si>
  <si>
    <r>
      <t xml:space="preserve">Le boitier test box permet :
- A partir d'un ordinateur d'afficher une image sur le DISPLAY MODULE via une prise HDMI
- D'afficher sur l'écran de l'ordinateur les coordonnées tactiles envoyé par le DISPLAY MODULE
- D'afficher le contenu des trames sur l'écran de l'ordinateur
- D'avoir un rendu dynamique sur l'écran d'ordinateur des coordonnées tactiles envoyé par le DISPLAY MODULE
- D'effectuer en enregistrement des trames sur le réseau (Via une commande stop &amp; start par bouton poussoir)
</t>
    </r>
    <r>
      <rPr>
        <sz val="11"/>
        <color rgb="FF0000FF"/>
        <rFont val="Verdana"/>
        <family val="2"/>
      </rPr>
      <t>The Test BOX allows:
- To display a picture from the computer screen to the DISPLAY MODULE via a HDMI socket.
- To display on the computer screen  the tactile coordinates sent by the DISPLAY MODULE
- To display the frames contents on the computer screen.
- To display, on the computer screen, a dynamic representation of the tactile coordinates sent by the DISPLAY MODULE
- To perform a network frames recording (Via a press button Stop &amp; start)</t>
    </r>
  </si>
  <si>
    <t>For this project, no Cluster application. Only RSE and CID</t>
    <phoneticPr fontId="44" type="noConversion"/>
  </si>
  <si>
    <t>Europe or USA?</t>
    <phoneticPr fontId="44" type="noConversion"/>
  </si>
  <si>
    <t>not in the budget for free sample.</t>
    <phoneticPr fontId="44" type="noConversion"/>
  </si>
  <si>
    <t>no TT box in this project</t>
    <phoneticPr fontId="44" type="noConversion"/>
  </si>
  <si>
    <r>
      <t xml:space="preserve">Pendant la phase de développment et en vie serie, le rang 1 recoit les pieces defecteuses de Stellantis. Le rang 1 est responsable de la soumission du rapport d'analyse des pieces defectueuses (Pieces primaires inclues)  et rapporte à STELLANTIS les causes avec le support des fournisseurs Rang2. 
</t>
    </r>
    <r>
      <rPr>
        <sz val="11"/>
        <color rgb="FF0000FF"/>
        <rFont val="Verdana"/>
        <family val="2"/>
      </rPr>
      <t>During the developpment phase  and in serial life, the TIER 1 recieves the defective assembly parts. The TIER1 is responsable to deliver the  analize report, (Primary parts included) and report to STELLANTIS the root causes with the support of the TIER2.</t>
    </r>
    <phoneticPr fontId="44" type="noConversion"/>
  </si>
  <si>
    <t>HW1,SW1, 12.3" TFT, CNC mechanical part</t>
  </si>
  <si>
    <t>HW2, SW2, 12.3" TFT, CNC parts</t>
  </si>
  <si>
    <t>HW3 frz, SW3 100%, 12.3" TFT, CNC parts</t>
  </si>
  <si>
    <t>HW3 frz, SW4, 12.3" TFT, hard tooling</t>
  </si>
  <si>
    <t>same as C4</t>
  </si>
  <si>
    <t>DV sample made in Wuhu plant</t>
  </si>
  <si>
    <t>2027/9/1 -- 2027/12/1</t>
  </si>
  <si>
    <t>DV finished</t>
  </si>
  <si>
    <t>2028/1/8 -- 2028/4/8</t>
  </si>
  <si>
    <t>Tianma
(Same as DM12.3F2)</t>
    <phoneticPr fontId="60"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</si>
</sst>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_-* #,##0.00\ _€_-;\-* #,##0.00\ _€_-;_-* &quot;-&quot;??\ _€_-;_-@_-"/>
    <numFmt numFmtId="177" formatCode="dd/mm/yy;@"/>
    <numFmt numFmtId="178" formatCode="_-* #,##0\ &quot;F&quot;_-;\-* #,##0\ &quot;F&quot;_-;_-* &quot;-&quot;\ &quot;F&quot;_-;_-@_-"/>
    <numFmt numFmtId="179" formatCode="_-* #,##0.00\ &quot;F&quot;_-;\-* #,##0.00\ &quot;F&quot;_-;_-* &quot;-&quot;??\ &quot;F&quot;_-;_-@_-"/>
  </numFmts>
  <fonts count="61">
    <font>
      <sz val="11"/>
      <color theme="1"/>
      <name val="宋体"/>
      <family val="2"/>
      <scheme val="minor"/>
    </font>
    <font>
      <sz val="10"/>
      <name val="Arial"/>
      <family val="2"/>
    </font>
    <font>
      <b/>
      <sz val="10"/>
      <name val="Arial"/>
      <family val="2"/>
    </font>
    <font>
      <b/>
      <sz val="20"/>
      <name val="Arial"/>
      <family val="2"/>
    </font>
    <font>
      <b/>
      <sz val="12"/>
      <name val="Arial"/>
      <family val="2"/>
    </font>
    <font>
      <b/>
      <sz val="16"/>
      <name val="Arial"/>
      <family val="2"/>
    </font>
    <font>
      <sz val="7"/>
      <name val="Arial"/>
      <family val="2"/>
    </font>
    <font>
      <sz val="11"/>
      <color theme="1"/>
      <name val="宋体"/>
      <family val="2"/>
      <scheme val="minor"/>
    </font>
    <font>
      <u/>
      <sz val="7"/>
      <color indexed="12"/>
      <name val="Arial"/>
      <family val="2"/>
    </font>
    <font>
      <sz val="9"/>
      <name val="Arial MT"/>
    </font>
    <font>
      <sz val="10"/>
      <color theme="1"/>
      <name val="Arial"/>
      <family val="2"/>
    </font>
    <font>
      <sz val="10"/>
      <name val="Arial"/>
      <family val="2"/>
      <charset val="238"/>
    </font>
    <font>
      <sz val="10"/>
      <name val="Arial"/>
      <family val="2"/>
      <charset val="178"/>
    </font>
    <font>
      <sz val="10"/>
      <name val="ＭＳ ゴシック"/>
      <family val="3"/>
      <charset val="128"/>
    </font>
    <font>
      <b/>
      <sz val="18"/>
      <color theme="1"/>
      <name val="宋体"/>
      <family val="2"/>
      <scheme val="minor"/>
    </font>
    <font>
      <b/>
      <sz val="18"/>
      <color rgb="FF0000FF"/>
      <name val="宋体"/>
      <family val="2"/>
      <scheme val="minor"/>
    </font>
    <font>
      <b/>
      <sz val="11"/>
      <color theme="1"/>
      <name val="宋体"/>
      <family val="2"/>
      <scheme val="minor"/>
    </font>
    <font>
      <b/>
      <sz val="14"/>
      <color theme="1"/>
      <name val="宋体"/>
      <family val="2"/>
      <scheme val="minor"/>
    </font>
    <font>
      <sz val="11"/>
      <name val="宋体"/>
      <family val="2"/>
      <scheme val="minor"/>
    </font>
    <font>
      <b/>
      <sz val="14"/>
      <name val="宋体"/>
      <family val="2"/>
      <scheme val="minor"/>
    </font>
    <font>
      <b/>
      <sz val="20"/>
      <color rgb="FF0000FF"/>
      <name val="Arial"/>
      <family val="2"/>
    </font>
    <font>
      <sz val="10"/>
      <color rgb="FF0000FF"/>
      <name val="Arial"/>
      <family val="2"/>
    </font>
    <font>
      <i/>
      <sz val="11"/>
      <name val="宋体"/>
      <family val="2"/>
      <scheme val="minor"/>
    </font>
    <font>
      <b/>
      <sz val="10"/>
      <color rgb="FF0000FF"/>
      <name val="Arial"/>
      <family val="2"/>
    </font>
    <font>
      <sz val="10"/>
      <name val="Arial"/>
      <family val="2"/>
    </font>
    <font>
      <sz val="11"/>
      <color theme="0"/>
      <name val="宋体"/>
      <family val="2"/>
      <scheme val="minor"/>
    </font>
    <font>
      <sz val="14"/>
      <color rgb="FFFF0000"/>
      <name val="宋体"/>
      <family val="2"/>
      <scheme val="minor"/>
    </font>
    <font>
      <b/>
      <sz val="11"/>
      <name val="宋体"/>
      <family val="2"/>
      <scheme val="minor"/>
    </font>
    <font>
      <sz val="9"/>
      <name val="宋体"/>
      <family val="2"/>
      <scheme val="minor"/>
    </font>
    <font>
      <sz val="12"/>
      <color theme="1"/>
      <name val="Arial Narrow"/>
      <family val="2"/>
    </font>
    <font>
      <i/>
      <sz val="9"/>
      <name val="宋体"/>
      <family val="2"/>
      <scheme val="minor"/>
    </font>
    <font>
      <sz val="12"/>
      <color rgb="FF0000FF"/>
      <name val="Times New Roman"/>
      <family val="1"/>
    </font>
    <font>
      <b/>
      <sz val="18"/>
      <color rgb="FFFF0000"/>
      <name val="宋体"/>
      <family val="2"/>
      <scheme val="minor"/>
    </font>
    <font>
      <i/>
      <sz val="10"/>
      <name val="Arial"/>
      <family val="2"/>
    </font>
    <font>
      <sz val="18"/>
      <name val="宋体"/>
      <family val="2"/>
      <scheme val="minor"/>
    </font>
    <font>
      <u/>
      <sz val="11"/>
      <name val="Arial"/>
      <family val="2"/>
    </font>
    <font>
      <sz val="10"/>
      <name val="Times New Roman"/>
      <family val="1"/>
    </font>
    <font>
      <b/>
      <sz val="10"/>
      <name val="Arial Narrow"/>
      <family val="2"/>
    </font>
    <font>
      <sz val="10"/>
      <name val="宋体"/>
      <family val="2"/>
      <scheme val="minor"/>
    </font>
    <font>
      <u/>
      <sz val="11"/>
      <name val="宋体"/>
      <family val="2"/>
      <scheme val="minor"/>
    </font>
    <font>
      <sz val="12"/>
      <color theme="1"/>
      <name val="宋体"/>
      <family val="2"/>
      <scheme val="minor"/>
    </font>
    <font>
      <sz val="12"/>
      <name val="宋体"/>
      <family val="2"/>
      <scheme val="minor"/>
    </font>
    <font>
      <sz val="12"/>
      <color theme="0"/>
      <name val="宋体"/>
      <family val="2"/>
      <scheme val="minor"/>
    </font>
    <font>
      <sz val="10"/>
      <color rgb="FFFF0000"/>
      <name val="Arial"/>
      <family val="2"/>
    </font>
    <font>
      <sz val="8"/>
      <name val="宋体"/>
      <family val="2"/>
      <scheme val="minor"/>
    </font>
    <font>
      <b/>
      <sz val="14"/>
      <color theme="0" tint="-4.9989318521683403E-2"/>
      <name val="宋体"/>
      <family val="2"/>
      <scheme val="minor"/>
    </font>
    <font>
      <u/>
      <sz val="11"/>
      <color theme="10"/>
      <name val="宋体"/>
      <family val="2"/>
      <scheme val="minor"/>
    </font>
    <font>
      <sz val="11"/>
      <color theme="1"/>
      <name val="Verdana"/>
      <family val="2"/>
    </font>
    <font>
      <sz val="11"/>
      <color rgb="FF0000FF"/>
      <name val="Verdana"/>
      <family val="2"/>
    </font>
    <font>
      <sz val="11"/>
      <color rgb="FFFF0000"/>
      <name val="Verdana"/>
      <family val="2"/>
    </font>
    <font>
      <i/>
      <sz val="11"/>
      <color theme="1"/>
      <name val="Verdana"/>
      <family val="2"/>
    </font>
    <font>
      <i/>
      <sz val="11"/>
      <color rgb="FF0000FF"/>
      <name val="Verdana"/>
      <family val="2"/>
    </font>
    <font>
      <u/>
      <sz val="11"/>
      <color theme="1"/>
      <name val="Verdana"/>
      <family val="2"/>
    </font>
    <font>
      <sz val="11"/>
      <name val="Verdana"/>
      <family val="2"/>
    </font>
    <font>
      <sz val="11"/>
      <color theme="0"/>
      <name val="Verdana"/>
      <family val="2"/>
    </font>
    <font>
      <b/>
      <sz val="11"/>
      <color theme="1"/>
      <name val="Verdana"/>
      <family val="2"/>
    </font>
    <font>
      <b/>
      <sz val="11"/>
      <color rgb="FF0000FF"/>
      <name val="Verdana"/>
      <family val="2"/>
    </font>
    <font>
      <b/>
      <sz val="11"/>
      <name val="Verdana"/>
      <family val="2"/>
    </font>
    <font>
      <b/>
      <sz val="11"/>
      <color theme="0"/>
      <name val="Verdana"/>
      <family val="2"/>
    </font>
    <font>
      <b/>
      <sz val="11"/>
      <color rgb="FFFF0000"/>
      <name val="Verdana"/>
      <family val="2"/>
    </font>
    <font>
      <sz val="9"/>
      <name val="宋体"/>
      <family val="3"/>
      <charset val="134"/>
      <scheme val="minor"/>
    </font>
  </fonts>
  <fills count="24">
    <fill>
      <patternFill patternType="none"/>
    </fill>
    <fill>
      <patternFill patternType="gray125"/>
    </fill>
    <fill>
      <patternFill patternType="solid">
        <fgColor rgb="FFDDDDDD"/>
        <bgColor indexed="64"/>
      </patternFill>
    </fill>
    <fill>
      <patternFill patternType="solid">
        <fgColor theme="8" tint="0.59999389629810485"/>
        <bgColor indexed="64"/>
      </patternFill>
    </fill>
    <fill>
      <patternFill patternType="solid">
        <fgColor rgb="FFFFFFFF"/>
        <bgColor indexed="64"/>
      </patternFill>
    </fill>
    <fill>
      <patternFill patternType="solid">
        <fgColor theme="8"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1"/>
        <bgColor indexed="64"/>
      </patternFill>
    </fill>
    <fill>
      <patternFill patternType="solid">
        <fgColor indexed="9"/>
        <bgColor indexed="64"/>
      </patternFill>
    </fill>
    <fill>
      <patternFill patternType="solid">
        <fgColor rgb="FF00FF00"/>
        <bgColor indexed="64"/>
      </patternFill>
    </fill>
    <fill>
      <patternFill patternType="solid">
        <fgColor rgb="FFFFC00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FF66FF"/>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FFCCFF"/>
        <bgColor indexed="64"/>
      </patternFill>
    </fill>
    <fill>
      <patternFill patternType="solid">
        <fgColor rgb="FF00CC66"/>
        <bgColor indexed="64"/>
      </patternFill>
    </fill>
    <fill>
      <patternFill patternType="solid">
        <fgColor rgb="FF99FFCC"/>
        <bgColor indexed="64"/>
      </patternFill>
    </fill>
    <fill>
      <patternFill patternType="solid">
        <fgColor theme="0" tint="-0.249977111117893"/>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29">
    <xf numFmtId="0" fontId="0" fillId="0" borderId="0"/>
    <xf numFmtId="0" fontId="1" fillId="0" borderId="0"/>
    <xf numFmtId="0" fontId="1" fillId="0" borderId="0"/>
    <xf numFmtId="0" fontId="9" fillId="0" borderId="0"/>
    <xf numFmtId="0" fontId="8" fillId="0" borderId="0" applyNumberFormat="0" applyFill="0" applyBorder="0" applyAlignment="0" applyProtection="0">
      <alignment vertical="top"/>
      <protection locked="0"/>
    </xf>
    <xf numFmtId="176" fontId="1" fillId="0" borderId="0" applyFont="0" applyFill="0" applyBorder="0" applyAlignment="0" applyProtection="0"/>
    <xf numFmtId="176" fontId="1" fillId="0" borderId="0" applyFont="0" applyFill="0" applyBorder="0" applyAlignment="0" applyProtection="0"/>
    <xf numFmtId="0" fontId="1"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10" fillId="0" borderId="0"/>
    <xf numFmtId="0" fontId="10" fillId="0" borderId="0"/>
    <xf numFmtId="0" fontId="11" fillId="0" borderId="0"/>
    <xf numFmtId="9" fontId="1" fillId="0" borderId="0" applyFont="0" applyFill="0" applyBorder="0" applyAlignment="0" applyProtection="0"/>
    <xf numFmtId="9" fontId="1" fillId="0" borderId="0" applyFont="0" applyFill="0" applyBorder="0" applyAlignment="0" applyProtection="0"/>
    <xf numFmtId="0" fontId="12" fillId="0" borderId="0"/>
    <xf numFmtId="178" fontId="1" fillId="0" borderId="0" applyFont="0" applyFill="0" applyBorder="0" applyAlignment="0" applyProtection="0"/>
    <xf numFmtId="179" fontId="1" fillId="0" borderId="0" applyFont="0" applyFill="0" applyBorder="0" applyAlignment="0" applyProtection="0"/>
    <xf numFmtId="0" fontId="13" fillId="0" borderId="0"/>
    <xf numFmtId="0" fontId="1" fillId="0" borderId="0"/>
    <xf numFmtId="176" fontId="1" fillId="0" borderId="0" applyFont="0" applyFill="0" applyBorder="0" applyAlignment="0" applyProtection="0"/>
    <xf numFmtId="176" fontId="1" fillId="0" borderId="0" applyFont="0" applyFill="0" applyBorder="0" applyAlignment="0" applyProtection="0"/>
    <xf numFmtId="0" fontId="24" fillId="0" borderId="0"/>
    <xf numFmtId="0" fontId="46" fillId="0" borderId="0" applyNumberFormat="0" applyFill="0" applyBorder="0" applyAlignment="0" applyProtection="0"/>
  </cellStyleXfs>
  <cellXfs count="500">
    <xf numFmtId="0" fontId="0" fillId="0" borderId="0" xfId="0"/>
    <xf numFmtId="0" fontId="1" fillId="0" borderId="0" xfId="1"/>
    <xf numFmtId="0" fontId="1" fillId="0" borderId="0" xfId="1" applyAlignment="1">
      <alignment horizontal="center"/>
    </xf>
    <xf numFmtId="0" fontId="1" fillId="0" borderId="0" xfId="1" applyAlignment="1">
      <alignment vertical="center"/>
    </xf>
    <xf numFmtId="0" fontId="0" fillId="0" borderId="0" xfId="0" applyAlignment="1">
      <alignment horizontal="center" vertical="center" wrapText="1"/>
    </xf>
    <xf numFmtId="0" fontId="0" fillId="0" borderId="0" xfId="0" applyFill="1" applyBorder="1" applyAlignment="1">
      <alignment horizontal="left" vertical="center" wrapText="1"/>
    </xf>
    <xf numFmtId="0" fontId="1" fillId="4" borderId="0" xfId="1" applyFill="1" applyBorder="1" applyAlignment="1">
      <alignment vertical="center"/>
    </xf>
    <xf numFmtId="0" fontId="1" fillId="4" borderId="13" xfId="1" applyFill="1" applyBorder="1" applyAlignment="1">
      <alignment vertical="center"/>
    </xf>
    <xf numFmtId="0" fontId="1" fillId="4" borderId="12" xfId="1" applyFill="1" applyBorder="1" applyAlignment="1">
      <alignment vertical="center"/>
    </xf>
    <xf numFmtId="0" fontId="5" fillId="4" borderId="17" xfId="1" applyFont="1" applyFill="1" applyBorder="1" applyAlignment="1">
      <alignment vertical="center"/>
    </xf>
    <xf numFmtId="0" fontId="2" fillId="4" borderId="19" xfId="1" applyFont="1" applyFill="1" applyBorder="1" applyAlignment="1">
      <alignment horizontal="center" vertical="center" wrapText="1"/>
    </xf>
    <xf numFmtId="0" fontId="2" fillId="4" borderId="2" xfId="1" applyFont="1" applyFill="1" applyBorder="1" applyAlignment="1">
      <alignment horizontal="center" vertical="center" wrapText="1"/>
    </xf>
    <xf numFmtId="177" fontId="1" fillId="4" borderId="1" xfId="1" applyNumberFormat="1" applyFill="1" applyBorder="1" applyAlignment="1">
      <alignment horizontal="center" vertical="center"/>
    </xf>
    <xf numFmtId="0" fontId="1" fillId="4" borderId="20" xfId="1" applyFont="1" applyFill="1" applyBorder="1" applyAlignment="1">
      <alignment horizontal="center" vertical="center" wrapText="1"/>
    </xf>
    <xf numFmtId="0" fontId="1" fillId="0" borderId="20" xfId="1" applyFont="1" applyFill="1" applyBorder="1" applyAlignment="1">
      <alignment horizontal="center" vertical="center" wrapText="1"/>
    </xf>
    <xf numFmtId="177" fontId="1" fillId="0" borderId="1" xfId="1" applyNumberFormat="1" applyFill="1" applyBorder="1" applyAlignment="1">
      <alignment horizontal="center" vertical="center"/>
    </xf>
    <xf numFmtId="0" fontId="2" fillId="0" borderId="3" xfId="1" applyFont="1" applyFill="1" applyBorder="1" applyAlignment="1">
      <alignment horizontal="center" vertical="center" wrapText="1"/>
    </xf>
    <xf numFmtId="0" fontId="0" fillId="0" borderId="0" xfId="0" applyNumberFormat="1" applyAlignment="1">
      <alignment horizontal="left" vertical="center" wrapText="1"/>
    </xf>
    <xf numFmtId="0" fontId="1" fillId="0" borderId="0" xfId="1" applyBorder="1"/>
    <xf numFmtId="0" fontId="1" fillId="0" borderId="9" xfId="1" applyFont="1" applyFill="1" applyBorder="1" applyAlignment="1">
      <alignment horizontal="center" vertical="center" wrapText="1"/>
    </xf>
    <xf numFmtId="0" fontId="0" fillId="0" borderId="0" xfId="0" applyAlignment="1">
      <alignment horizontal="left" vertical="center" wrapText="1"/>
    </xf>
    <xf numFmtId="0" fontId="1" fillId="4" borderId="22" xfId="1" applyFill="1" applyBorder="1" applyAlignment="1">
      <alignment vertical="center"/>
    </xf>
    <xf numFmtId="0" fontId="1" fillId="4" borderId="1" xfId="1" applyFill="1" applyBorder="1" applyAlignment="1">
      <alignment horizontal="center" vertical="center" wrapText="1"/>
    </xf>
    <xf numFmtId="0" fontId="4" fillId="4" borderId="16" xfId="1" applyFont="1" applyFill="1" applyBorder="1" applyAlignment="1">
      <alignment vertical="center"/>
    </xf>
    <xf numFmtId="0" fontId="2" fillId="4" borderId="1" xfId="1" applyFont="1" applyFill="1" applyBorder="1" applyAlignment="1">
      <alignment horizontal="center" vertical="center"/>
    </xf>
    <xf numFmtId="14" fontId="1" fillId="4" borderId="1" xfId="1" applyNumberFormat="1" applyFill="1" applyBorder="1" applyAlignment="1">
      <alignment horizontal="center" vertical="center"/>
    </xf>
    <xf numFmtId="0" fontId="2" fillId="4" borderId="3" xfId="1" applyFont="1" applyFill="1" applyBorder="1" applyAlignment="1">
      <alignment horizontal="center" vertical="center" wrapText="1"/>
    </xf>
    <xf numFmtId="0" fontId="1" fillId="4" borderId="17" xfId="1" applyFill="1" applyBorder="1" applyAlignment="1">
      <alignment vertical="center"/>
    </xf>
    <xf numFmtId="0" fontId="1" fillId="4" borderId="18" xfId="1" applyFill="1" applyBorder="1" applyAlignment="1">
      <alignment vertical="center"/>
    </xf>
    <xf numFmtId="0" fontId="1" fillId="4" borderId="12" xfId="1" applyFont="1" applyFill="1" applyBorder="1" applyAlignment="1">
      <alignment horizontal="center" vertical="center" wrapText="1"/>
    </xf>
    <xf numFmtId="177" fontId="1" fillId="4" borderId="17" xfId="1" applyNumberFormat="1" applyFill="1" applyBorder="1" applyAlignment="1">
      <alignment horizontal="center" vertical="center"/>
    </xf>
    <xf numFmtId="0" fontId="2" fillId="4" borderId="17" xfId="1" applyFont="1" applyFill="1" applyBorder="1" applyAlignment="1">
      <alignment horizontal="center" vertical="center" wrapText="1"/>
    </xf>
    <xf numFmtId="0" fontId="2" fillId="4" borderId="17" xfId="1" applyFont="1" applyFill="1" applyBorder="1" applyAlignment="1">
      <alignment horizontal="left" vertical="center" wrapText="1"/>
    </xf>
    <xf numFmtId="0" fontId="2" fillId="4" borderId="18" xfId="1" applyFont="1" applyFill="1" applyBorder="1" applyAlignment="1">
      <alignment horizontal="left" vertical="center" wrapText="1"/>
    </xf>
    <xf numFmtId="177" fontId="1" fillId="4" borderId="0" xfId="1" applyNumberFormat="1" applyFill="1" applyBorder="1" applyAlignment="1">
      <alignment horizontal="center" vertical="center"/>
    </xf>
    <xf numFmtId="0" fontId="2" fillId="4" borderId="0" xfId="1" applyFont="1" applyFill="1" applyBorder="1" applyAlignment="1">
      <alignment horizontal="center" vertical="center" wrapText="1"/>
    </xf>
    <xf numFmtId="0" fontId="2" fillId="4" borderId="0" xfId="1" applyFont="1" applyFill="1" applyBorder="1" applyAlignment="1">
      <alignment horizontal="left" vertical="center" wrapText="1"/>
    </xf>
    <xf numFmtId="0" fontId="2" fillId="4" borderId="13" xfId="1" applyFont="1" applyFill="1" applyBorder="1" applyAlignment="1">
      <alignment horizontal="left" vertical="center" wrapText="1"/>
    </xf>
    <xf numFmtId="0" fontId="0" fillId="0" borderId="0" xfId="0" applyBorder="1" applyAlignment="1">
      <alignment horizontal="left" vertical="center" wrapText="1"/>
    </xf>
    <xf numFmtId="0" fontId="0" fillId="0" borderId="0" xfId="0" applyFill="1" applyBorder="1"/>
    <xf numFmtId="0" fontId="0" fillId="0" borderId="13" xfId="0" applyBorder="1" applyAlignment="1">
      <alignment horizontal="left" vertical="center" wrapText="1"/>
    </xf>
    <xf numFmtId="0" fontId="0" fillId="0" borderId="12" xfId="0" applyBorder="1" applyAlignment="1">
      <alignment horizontal="left" vertical="center" wrapText="1"/>
    </xf>
    <xf numFmtId="0" fontId="0" fillId="0" borderId="41" xfId="0" applyBorder="1" applyAlignment="1">
      <alignment horizontal="left" vertical="center" wrapText="1"/>
    </xf>
    <xf numFmtId="0" fontId="0" fillId="0" borderId="0" xfId="0"/>
    <xf numFmtId="0" fontId="31" fillId="0" borderId="0" xfId="0" applyFont="1" applyFill="1" applyBorder="1" applyAlignment="1">
      <alignment vertical="center" wrapText="1"/>
    </xf>
    <xf numFmtId="0" fontId="0" fillId="0" borderId="0" xfId="0" applyFill="1"/>
    <xf numFmtId="0" fontId="0" fillId="13" borderId="0" xfId="0" applyFont="1" applyFill="1" applyAlignment="1">
      <alignment horizontal="center" vertical="center"/>
    </xf>
    <xf numFmtId="0" fontId="0" fillId="14" borderId="0" xfId="0" applyFont="1" applyFill="1" applyAlignment="1">
      <alignment horizontal="center" vertical="center"/>
    </xf>
    <xf numFmtId="0" fontId="0" fillId="10" borderId="0" xfId="0" applyFont="1" applyFill="1" applyAlignment="1">
      <alignment horizontal="center" vertical="center"/>
    </xf>
    <xf numFmtId="0" fontId="25" fillId="11" borderId="0" xfId="0" applyFont="1" applyFill="1" applyAlignment="1">
      <alignment horizontal="center" vertical="center"/>
    </xf>
    <xf numFmtId="0" fontId="18" fillId="9" borderId="22" xfId="0" applyFont="1" applyFill="1" applyBorder="1" applyAlignment="1">
      <alignment horizontal="center" vertical="center"/>
    </xf>
    <xf numFmtId="0" fontId="16" fillId="0" borderId="0" xfId="0" applyFont="1" applyAlignment="1">
      <alignment horizontal="center" vertical="center"/>
    </xf>
    <xf numFmtId="0" fontId="16" fillId="12" borderId="0" xfId="0" applyFont="1" applyFill="1" applyAlignment="1">
      <alignment horizontal="left" vertical="center"/>
    </xf>
    <xf numFmtId="0" fontId="16" fillId="0" borderId="0" xfId="0" applyFont="1"/>
    <xf numFmtId="0" fontId="26" fillId="0" borderId="0" xfId="0" applyFont="1" applyFill="1"/>
    <xf numFmtId="0" fontId="0" fillId="0" borderId="0" xfId="0" applyBorder="1"/>
    <xf numFmtId="0" fontId="27" fillId="0" borderId="0" xfId="0" applyFont="1" applyFill="1" applyBorder="1" applyAlignment="1">
      <alignment vertical="center" wrapText="1"/>
    </xf>
    <xf numFmtId="0" fontId="27" fillId="3" borderId="36" xfId="0" applyFont="1" applyFill="1" applyBorder="1" applyAlignment="1">
      <alignment horizontal="left" vertical="center" wrapText="1"/>
    </xf>
    <xf numFmtId="0" fontId="0" fillId="0" borderId="1" xfId="0" applyBorder="1" applyAlignment="1">
      <alignment horizontal="left" vertical="center" wrapText="1"/>
    </xf>
    <xf numFmtId="14" fontId="27" fillId="16" borderId="1" xfId="0" applyNumberFormat="1" applyFont="1" applyFill="1" applyBorder="1" applyAlignment="1">
      <alignment horizontal="left" vertical="center" wrapText="1"/>
    </xf>
    <xf numFmtId="14" fontId="27" fillId="16" borderId="27" xfId="0" applyNumberFormat="1" applyFont="1" applyFill="1" applyBorder="1" applyAlignment="1">
      <alignment horizontal="left" vertical="center" wrapText="1"/>
    </xf>
    <xf numFmtId="0" fontId="32" fillId="0" borderId="0" xfId="0" applyFont="1" applyFill="1" applyBorder="1" applyAlignment="1">
      <alignment vertical="center" wrapText="1"/>
    </xf>
    <xf numFmtId="0" fontId="33" fillId="4" borderId="21" xfId="1" applyFont="1" applyFill="1" applyBorder="1" applyAlignment="1">
      <alignment vertical="center"/>
    </xf>
    <xf numFmtId="0" fontId="1" fillId="2" borderId="37" xfId="1" applyFont="1" applyFill="1" applyBorder="1"/>
    <xf numFmtId="0" fontId="1" fillId="2" borderId="48" xfId="1" applyFont="1" applyFill="1" applyBorder="1"/>
    <xf numFmtId="0" fontId="35" fillId="4" borderId="0" xfId="4" applyFont="1" applyFill="1" applyAlignment="1" applyProtection="1">
      <alignment horizontal="left" vertical="center"/>
    </xf>
    <xf numFmtId="0" fontId="1" fillId="4" borderId="0" xfId="1" applyFont="1" applyFill="1"/>
    <xf numFmtId="0" fontId="1" fillId="4" borderId="0" xfId="1" applyFill="1"/>
    <xf numFmtId="0" fontId="18" fillId="12" borderId="0" xfId="1" applyFont="1" applyFill="1"/>
    <xf numFmtId="0" fontId="18" fillId="12" borderId="0" xfId="1" applyFont="1" applyFill="1" applyAlignment="1">
      <alignment textRotation="90" wrapText="1"/>
    </xf>
    <xf numFmtId="0" fontId="27" fillId="2" borderId="51" xfId="1" applyFont="1" applyFill="1" applyBorder="1" applyAlignment="1">
      <alignment horizontal="center" wrapText="1"/>
    </xf>
    <xf numFmtId="0" fontId="27" fillId="2" borderId="38" xfId="1" applyFont="1" applyFill="1" applyBorder="1" applyAlignment="1">
      <alignment horizontal="center" vertical="top" wrapText="1"/>
    </xf>
    <xf numFmtId="0" fontId="27" fillId="2" borderId="39" xfId="1" applyFont="1" applyFill="1" applyBorder="1" applyAlignment="1">
      <alignment horizontal="center" vertical="top" wrapText="1"/>
    </xf>
    <xf numFmtId="0" fontId="27" fillId="2" borderId="52" xfId="1" applyFont="1" applyFill="1" applyBorder="1" applyAlignment="1">
      <alignment horizontal="center" vertical="top" wrapText="1"/>
    </xf>
    <xf numFmtId="0" fontId="18" fillId="12" borderId="0" xfId="1" applyFont="1" applyFill="1" applyBorder="1"/>
    <xf numFmtId="0" fontId="18" fillId="12" borderId="0" xfId="1" applyFont="1" applyFill="1" applyBorder="1" applyAlignment="1">
      <alignment textRotation="90" wrapText="1"/>
    </xf>
    <xf numFmtId="0" fontId="27" fillId="2" borderId="50" xfId="1" applyFont="1" applyFill="1" applyBorder="1" applyAlignment="1">
      <alignment horizontal="center" wrapText="1"/>
    </xf>
    <xf numFmtId="0" fontId="27" fillId="2" borderId="24" xfId="1" applyFont="1" applyFill="1" applyBorder="1" applyAlignment="1">
      <alignment horizontal="center" vertical="top" wrapText="1"/>
    </xf>
    <xf numFmtId="0" fontId="27" fillId="2" borderId="31" xfId="1" applyFont="1" applyFill="1" applyBorder="1" applyAlignment="1">
      <alignment horizontal="center" vertical="top" wrapText="1"/>
    </xf>
    <xf numFmtId="0" fontId="27" fillId="2" borderId="31" xfId="1" applyFont="1" applyFill="1" applyBorder="1" applyAlignment="1">
      <alignment vertical="top" wrapText="1"/>
    </xf>
    <xf numFmtId="0" fontId="27" fillId="2" borderId="53" xfId="1" applyFont="1" applyFill="1" applyBorder="1" applyAlignment="1">
      <alignment horizontal="center" vertical="top" wrapText="1"/>
    </xf>
    <xf numFmtId="0" fontId="27" fillId="2" borderId="54" xfId="1" applyFont="1" applyFill="1" applyBorder="1" applyAlignment="1">
      <alignment horizontal="center" wrapText="1"/>
    </xf>
    <xf numFmtId="0" fontId="27" fillId="2" borderId="5" xfId="1" applyFont="1" applyFill="1" applyBorder="1" applyAlignment="1">
      <alignment horizontal="center" vertical="top" wrapText="1"/>
    </xf>
    <xf numFmtId="0" fontId="27" fillId="2" borderId="10" xfId="1" applyFont="1" applyFill="1" applyBorder="1" applyAlignment="1">
      <alignment horizontal="center" vertical="top" wrapText="1"/>
    </xf>
    <xf numFmtId="0" fontId="27" fillId="4" borderId="26" xfId="1" applyFont="1" applyFill="1" applyBorder="1" applyAlignment="1">
      <alignment horizontal="center" vertical="center" wrapText="1"/>
    </xf>
    <xf numFmtId="0" fontId="27" fillId="4" borderId="27" xfId="1" applyFont="1" applyFill="1" applyBorder="1" applyAlignment="1">
      <alignment horizontal="center" vertical="center" wrapText="1"/>
    </xf>
    <xf numFmtId="0" fontId="18" fillId="4" borderId="28" xfId="1" applyFont="1" applyFill="1" applyBorder="1" applyAlignment="1">
      <alignment horizontal="center" vertical="center" wrapText="1"/>
    </xf>
    <xf numFmtId="0" fontId="27" fillId="4" borderId="9" xfId="1" applyFont="1" applyFill="1" applyBorder="1" applyAlignment="1">
      <alignment vertical="center" wrapText="1"/>
    </xf>
    <xf numFmtId="0" fontId="27" fillId="4" borderId="1" xfId="1" applyFont="1" applyFill="1" applyBorder="1" applyAlignment="1">
      <alignment vertical="center" wrapText="1"/>
    </xf>
    <xf numFmtId="0" fontId="18" fillId="4" borderId="1" xfId="1" applyFont="1" applyFill="1" applyBorder="1" applyAlignment="1">
      <alignment vertical="center" wrapText="1"/>
    </xf>
    <xf numFmtId="0" fontId="18" fillId="4" borderId="10" xfId="1" applyFont="1" applyFill="1" applyBorder="1" applyAlignment="1">
      <alignment vertical="center"/>
    </xf>
    <xf numFmtId="0" fontId="18" fillId="4" borderId="10" xfId="1" applyFont="1" applyFill="1" applyBorder="1" applyAlignment="1">
      <alignment vertical="center" wrapText="1"/>
    </xf>
    <xf numFmtId="0" fontId="18" fillId="4" borderId="9" xfId="1" applyFont="1" applyFill="1" applyBorder="1" applyAlignment="1">
      <alignment vertical="center"/>
    </xf>
    <xf numFmtId="0" fontId="18" fillId="4" borderId="32" xfId="1" applyFont="1" applyFill="1" applyBorder="1" applyAlignment="1">
      <alignment vertical="center" wrapText="1"/>
    </xf>
    <xf numFmtId="0" fontId="18" fillId="4" borderId="35" xfId="1" applyFont="1" applyFill="1" applyBorder="1" applyAlignment="1">
      <alignment vertical="center" wrapText="1"/>
    </xf>
    <xf numFmtId="0" fontId="18" fillId="4" borderId="35" xfId="1" applyFont="1" applyFill="1" applyBorder="1" applyAlignment="1">
      <alignment vertical="center"/>
    </xf>
    <xf numFmtId="0" fontId="27" fillId="4" borderId="56" xfId="1" applyFont="1" applyFill="1" applyBorder="1" applyAlignment="1">
      <alignment vertical="center" wrapText="1"/>
    </xf>
    <xf numFmtId="0" fontId="27" fillId="19" borderId="38" xfId="1" applyFont="1" applyFill="1" applyBorder="1" applyAlignment="1">
      <alignment horizontal="center" vertical="center" wrapText="1"/>
    </xf>
    <xf numFmtId="0" fontId="27" fillId="19" borderId="52" xfId="1" applyFont="1" applyFill="1" applyBorder="1" applyAlignment="1">
      <alignment horizontal="center" vertical="center" wrapText="1"/>
    </xf>
    <xf numFmtId="14" fontId="18" fillId="4" borderId="45" xfId="1" applyNumberFormat="1" applyFont="1" applyFill="1" applyBorder="1" applyAlignment="1">
      <alignment vertical="center" wrapText="1"/>
    </xf>
    <xf numFmtId="0" fontId="18" fillId="4" borderId="29" xfId="1" applyFont="1" applyFill="1" applyBorder="1" applyAlignment="1">
      <alignment vertical="center" wrapText="1"/>
    </xf>
    <xf numFmtId="0" fontId="18" fillId="4" borderId="58" xfId="1" applyFont="1" applyFill="1" applyBorder="1" applyAlignment="1">
      <alignment vertical="center" wrapText="1"/>
    </xf>
    <xf numFmtId="0" fontId="18" fillId="4" borderId="26" xfId="1" applyFont="1" applyFill="1" applyBorder="1" applyAlignment="1">
      <alignment vertical="center" wrapText="1"/>
    </xf>
    <xf numFmtId="0" fontId="18" fillId="4" borderId="27" xfId="1" applyFont="1" applyFill="1" applyBorder="1" applyAlignment="1">
      <alignment vertical="center" wrapText="1"/>
    </xf>
    <xf numFmtId="0" fontId="27" fillId="4" borderId="27" xfId="1" applyFont="1" applyFill="1" applyBorder="1" applyAlignment="1">
      <alignment vertical="center" wrapText="1"/>
    </xf>
    <xf numFmtId="0" fontId="18" fillId="4" borderId="28" xfId="1" applyFont="1" applyFill="1" applyBorder="1" applyAlignment="1">
      <alignment vertical="center" wrapText="1"/>
    </xf>
    <xf numFmtId="0" fontId="18" fillId="4" borderId="19" xfId="1" applyFont="1" applyFill="1" applyBorder="1" applyAlignment="1">
      <alignment vertical="center" wrapText="1"/>
    </xf>
    <xf numFmtId="0" fontId="18" fillId="4" borderId="2" xfId="1" applyFont="1" applyFill="1" applyBorder="1" applyAlignment="1">
      <alignment vertical="center" wrapText="1"/>
    </xf>
    <xf numFmtId="0" fontId="18" fillId="4" borderId="60" xfId="1" applyFont="1" applyFill="1" applyBorder="1" applyAlignment="1">
      <alignment vertical="center" wrapText="1"/>
    </xf>
    <xf numFmtId="0" fontId="18" fillId="4" borderId="42" xfId="1" applyFont="1" applyFill="1" applyBorder="1" applyAlignment="1">
      <alignment vertical="center"/>
    </xf>
    <xf numFmtId="0" fontId="18" fillId="4" borderId="27" xfId="1" quotePrefix="1" applyFont="1" applyFill="1" applyBorder="1" applyAlignment="1">
      <alignment vertical="center" wrapText="1"/>
    </xf>
    <xf numFmtId="0" fontId="27" fillId="20" borderId="38" xfId="1" applyFont="1" applyFill="1" applyBorder="1" applyAlignment="1">
      <alignment horizontal="center" vertical="center" wrapText="1"/>
    </xf>
    <xf numFmtId="0" fontId="18" fillId="4" borderId="45" xfId="1" applyFont="1" applyFill="1" applyBorder="1" applyAlignment="1">
      <alignment vertical="center" wrapText="1"/>
    </xf>
    <xf numFmtId="0" fontId="18" fillId="4" borderId="29" xfId="1" applyNumberFormat="1" applyFont="1" applyFill="1" applyBorder="1" applyAlignment="1">
      <alignment vertical="center" wrapText="1"/>
    </xf>
    <xf numFmtId="0" fontId="27" fillId="4" borderId="29" xfId="1" applyFont="1" applyFill="1" applyBorder="1" applyAlignment="1">
      <alignment vertical="center" wrapText="1"/>
    </xf>
    <xf numFmtId="0" fontId="27" fillId="4" borderId="26" xfId="1" applyFont="1" applyFill="1" applyBorder="1" applyAlignment="1">
      <alignment vertical="center" wrapText="1"/>
    </xf>
    <xf numFmtId="0" fontId="27" fillId="4" borderId="19" xfId="1" applyFont="1" applyFill="1" applyBorder="1" applyAlignment="1">
      <alignment vertical="center" wrapText="1"/>
    </xf>
    <xf numFmtId="0" fontId="27" fillId="4" borderId="2" xfId="1" applyFont="1" applyFill="1" applyBorder="1" applyAlignment="1">
      <alignment vertical="center" wrapText="1"/>
    </xf>
    <xf numFmtId="0" fontId="27" fillId="4" borderId="28" xfId="1" applyFont="1" applyFill="1" applyBorder="1" applyAlignment="1">
      <alignment vertical="center" wrapText="1"/>
    </xf>
    <xf numFmtId="0" fontId="27" fillId="4" borderId="10" xfId="1" applyFont="1" applyFill="1" applyBorder="1" applyAlignment="1">
      <alignment vertical="center" wrapText="1"/>
    </xf>
    <xf numFmtId="0" fontId="18" fillId="4" borderId="9" xfId="1" quotePrefix="1" applyFont="1" applyFill="1" applyBorder="1" applyAlignment="1">
      <alignment vertical="center" wrapText="1"/>
    </xf>
    <xf numFmtId="0" fontId="27" fillId="4" borderId="32" xfId="1" applyFont="1" applyFill="1" applyBorder="1" applyAlignment="1">
      <alignment vertical="center" wrapText="1"/>
    </xf>
    <xf numFmtId="0" fontId="27" fillId="4" borderId="35" xfId="1" applyFont="1" applyFill="1" applyBorder="1" applyAlignment="1">
      <alignment vertical="center" wrapText="1"/>
    </xf>
    <xf numFmtId="0" fontId="27" fillId="4" borderId="35" xfId="1" quotePrefix="1" applyFont="1" applyFill="1" applyBorder="1" applyAlignment="1">
      <alignment vertical="center" wrapText="1"/>
    </xf>
    <xf numFmtId="0" fontId="36" fillId="4" borderId="0" xfId="1" applyFont="1" applyFill="1" applyAlignment="1">
      <alignment wrapText="1"/>
    </xf>
    <xf numFmtId="0" fontId="37" fillId="4" borderId="0" xfId="1" applyFont="1" applyFill="1" applyBorder="1" applyAlignment="1">
      <alignment textRotation="90" wrapText="1"/>
    </xf>
    <xf numFmtId="0" fontId="36" fillId="0" borderId="0" xfId="1" applyFont="1" applyAlignment="1">
      <alignment wrapText="1"/>
    </xf>
    <xf numFmtId="0" fontId="1" fillId="0" borderId="0" xfId="1" applyFill="1"/>
    <xf numFmtId="0" fontId="1" fillId="0" borderId="0" xfId="1" applyFont="1"/>
    <xf numFmtId="0" fontId="38" fillId="0" borderId="0" xfId="1" applyFont="1"/>
    <xf numFmtId="0" fontId="38" fillId="2" borderId="37" xfId="1" applyFont="1" applyFill="1" applyBorder="1"/>
    <xf numFmtId="0" fontId="38" fillId="2" borderId="48" xfId="1" applyFont="1" applyFill="1" applyBorder="1"/>
    <xf numFmtId="0" fontId="39" fillId="4" borderId="0" xfId="4" applyFont="1" applyFill="1" applyAlignment="1" applyProtection="1">
      <alignment horizontal="left" vertical="center"/>
    </xf>
    <xf numFmtId="0" fontId="18" fillId="4" borderId="0" xfId="1" applyFont="1" applyFill="1"/>
    <xf numFmtId="0" fontId="18" fillId="0" borderId="0" xfId="1" applyFont="1"/>
    <xf numFmtId="0" fontId="27" fillId="2" borderId="1" xfId="1" applyFont="1" applyFill="1" applyBorder="1" applyAlignment="1">
      <alignment horizontal="center" vertical="top" wrapText="1"/>
    </xf>
    <xf numFmtId="0" fontId="27" fillId="2" borderId="1" xfId="1" applyFont="1" applyFill="1" applyBorder="1" applyAlignment="1">
      <alignment vertical="top" wrapText="1"/>
    </xf>
    <xf numFmtId="0" fontId="18" fillId="12" borderId="22" xfId="1" applyFont="1" applyFill="1" applyBorder="1"/>
    <xf numFmtId="0" fontId="18" fillId="12" borderId="22" xfId="1" applyFont="1" applyFill="1" applyBorder="1" applyAlignment="1">
      <alignment textRotation="90" wrapText="1"/>
    </xf>
    <xf numFmtId="0" fontId="27" fillId="2" borderId="34" xfId="1" applyFont="1" applyFill="1" applyBorder="1" applyAlignment="1">
      <alignment horizontal="center" vertical="top" wrapText="1"/>
    </xf>
    <xf numFmtId="0" fontId="27" fillId="2" borderId="56" xfId="1" applyFont="1" applyFill="1" applyBorder="1" applyAlignment="1">
      <alignment horizontal="center" vertical="top" wrapText="1"/>
    </xf>
    <xf numFmtId="0" fontId="27" fillId="4" borderId="62" xfId="1" applyFont="1" applyFill="1" applyBorder="1" applyAlignment="1">
      <alignment horizontal="center" vertical="top" wrapText="1"/>
    </xf>
    <xf numFmtId="0" fontId="27" fillId="4" borderId="39" xfId="1" applyFont="1" applyFill="1" applyBorder="1" applyAlignment="1">
      <alignment horizontal="center" vertical="top" wrapText="1"/>
    </xf>
    <xf numFmtId="0" fontId="18" fillId="4" borderId="39" xfId="1" applyFont="1" applyFill="1" applyBorder="1" applyAlignment="1">
      <alignment horizontal="center" vertical="top" wrapText="1"/>
    </xf>
    <xf numFmtId="0" fontId="18" fillId="4" borderId="52" xfId="1" applyFont="1" applyFill="1" applyBorder="1" applyAlignment="1">
      <alignment horizontal="center" vertical="top" wrapText="1"/>
    </xf>
    <xf numFmtId="0" fontId="27" fillId="4" borderId="9" xfId="1" applyFont="1" applyFill="1" applyBorder="1" applyAlignment="1">
      <alignment vertical="top" wrapText="1"/>
    </xf>
    <xf numFmtId="0" fontId="27" fillId="4" borderId="1" xfId="1" applyFont="1" applyFill="1" applyBorder="1" applyAlignment="1">
      <alignment vertical="top" wrapText="1"/>
    </xf>
    <xf numFmtId="0" fontId="18" fillId="4" borderId="1" xfId="1" applyFont="1" applyFill="1" applyBorder="1" applyAlignment="1">
      <alignment vertical="top" wrapText="1"/>
    </xf>
    <xf numFmtId="0" fontId="18" fillId="4" borderId="10" xfId="1" applyFont="1" applyFill="1" applyBorder="1"/>
    <xf numFmtId="0" fontId="18" fillId="4" borderId="10" xfId="1" applyFont="1" applyFill="1" applyBorder="1" applyAlignment="1">
      <alignment vertical="top" wrapText="1"/>
    </xf>
    <xf numFmtId="0" fontId="18" fillId="4" borderId="9" xfId="1" applyFont="1" applyFill="1" applyBorder="1"/>
    <xf numFmtId="0" fontId="18" fillId="4" borderId="62" xfId="1" applyFont="1" applyFill="1" applyBorder="1" applyAlignment="1">
      <alignment vertical="top" wrapText="1"/>
    </xf>
    <xf numFmtId="0" fontId="18" fillId="4" borderId="39" xfId="1" applyFont="1" applyFill="1" applyBorder="1" applyAlignment="1">
      <alignment vertical="top" wrapText="1"/>
    </xf>
    <xf numFmtId="0" fontId="18" fillId="4" borderId="39" xfId="1" applyFont="1" applyFill="1" applyBorder="1"/>
    <xf numFmtId="0" fontId="27" fillId="4" borderId="52" xfId="1" applyFont="1" applyFill="1" applyBorder="1" applyAlignment="1">
      <alignment vertical="top" wrapText="1"/>
    </xf>
    <xf numFmtId="0" fontId="27" fillId="3" borderId="38" xfId="1" applyFont="1" applyFill="1" applyBorder="1" applyAlignment="1">
      <alignment horizontal="center" vertical="center" wrapText="1"/>
    </xf>
    <xf numFmtId="0" fontId="27" fillId="3" borderId="52" xfId="1" applyFont="1" applyFill="1" applyBorder="1" applyAlignment="1">
      <alignment horizontal="center" vertical="center" wrapText="1"/>
    </xf>
    <xf numFmtId="0" fontId="18" fillId="4" borderId="52" xfId="1" applyFont="1" applyFill="1" applyBorder="1" applyAlignment="1">
      <alignment vertical="top" wrapText="1"/>
    </xf>
    <xf numFmtId="0" fontId="18" fillId="4" borderId="26" xfId="1" applyFont="1" applyFill="1" applyBorder="1" applyAlignment="1">
      <alignment vertical="top" wrapText="1"/>
    </xf>
    <xf numFmtId="0" fontId="18" fillId="4" borderId="27" xfId="1" applyFont="1" applyFill="1" applyBorder="1" applyAlignment="1">
      <alignment vertical="top" wrapText="1"/>
    </xf>
    <xf numFmtId="0" fontId="27" fillId="4" borderId="28" xfId="1" applyFont="1" applyFill="1" applyBorder="1" applyAlignment="1">
      <alignment vertical="top" wrapText="1"/>
    </xf>
    <xf numFmtId="0" fontId="18" fillId="4" borderId="21" xfId="1" applyFont="1" applyFill="1" applyBorder="1" applyAlignment="1">
      <alignment vertical="top" wrapText="1"/>
    </xf>
    <xf numFmtId="0" fontId="18" fillId="4" borderId="64" xfId="1" applyFont="1" applyFill="1" applyBorder="1" applyAlignment="1">
      <alignment vertical="top" wrapText="1"/>
    </xf>
    <xf numFmtId="0" fontId="18" fillId="4" borderId="46" xfId="1" applyFont="1" applyFill="1" applyBorder="1" applyAlignment="1">
      <alignment vertical="top" wrapText="1"/>
    </xf>
    <xf numFmtId="0" fontId="18" fillId="4" borderId="12" xfId="1" applyFont="1" applyFill="1" applyBorder="1"/>
    <xf numFmtId="0" fontId="18" fillId="4" borderId="30" xfId="1" applyFont="1" applyFill="1" applyBorder="1" applyAlignment="1">
      <alignment vertical="top" wrapText="1"/>
    </xf>
    <xf numFmtId="0" fontId="18" fillId="4" borderId="30" xfId="1" quotePrefix="1" applyFont="1" applyFill="1" applyBorder="1" applyAlignment="1">
      <alignment vertical="top" wrapText="1"/>
    </xf>
    <xf numFmtId="0" fontId="18" fillId="4" borderId="59" xfId="1" applyFont="1" applyFill="1" applyBorder="1" applyAlignment="1">
      <alignment vertical="top" wrapText="1"/>
    </xf>
    <xf numFmtId="0" fontId="18" fillId="4" borderId="32" xfId="1" applyFont="1" applyFill="1" applyBorder="1" applyAlignment="1">
      <alignment vertical="top" wrapText="1"/>
    </xf>
    <xf numFmtId="0" fontId="18" fillId="4" borderId="35" xfId="1" applyFont="1" applyFill="1" applyBorder="1" applyAlignment="1">
      <alignment vertical="top" wrapText="1"/>
    </xf>
    <xf numFmtId="0" fontId="27" fillId="20" borderId="46" xfId="1" applyFont="1" applyFill="1" applyBorder="1" applyAlignment="1">
      <alignment horizontal="center" vertical="center" wrapText="1"/>
    </xf>
    <xf numFmtId="0" fontId="18" fillId="4" borderId="43" xfId="1" applyFont="1" applyFill="1" applyBorder="1" applyAlignment="1">
      <alignment vertical="top" wrapText="1"/>
    </xf>
    <xf numFmtId="0" fontId="18" fillId="4" borderId="64" xfId="1" applyNumberFormat="1" applyFont="1" applyFill="1" applyBorder="1" applyAlignment="1">
      <alignment vertical="top" wrapText="1"/>
    </xf>
    <xf numFmtId="0" fontId="27" fillId="4" borderId="64" xfId="1" applyFont="1" applyFill="1" applyBorder="1" applyAlignment="1">
      <alignment vertical="top" wrapText="1"/>
    </xf>
    <xf numFmtId="0" fontId="18" fillId="4" borderId="61" xfId="1" applyFont="1" applyFill="1" applyBorder="1" applyAlignment="1">
      <alignment vertical="top" wrapText="1"/>
    </xf>
    <xf numFmtId="0" fontId="27" fillId="4" borderId="27" xfId="1" applyFont="1" applyFill="1" applyBorder="1" applyAlignment="1">
      <alignment vertical="top" wrapText="1"/>
    </xf>
    <xf numFmtId="0" fontId="18" fillId="4" borderId="65" xfId="1" applyFont="1" applyFill="1" applyBorder="1" applyAlignment="1">
      <alignment vertical="top" wrapText="1"/>
    </xf>
    <xf numFmtId="0" fontId="18" fillId="4" borderId="11" xfId="1" applyFont="1" applyFill="1" applyBorder="1" applyAlignment="1">
      <alignment vertical="top" wrapText="1"/>
    </xf>
    <xf numFmtId="0" fontId="27" fillId="4" borderId="19" xfId="1" applyFont="1" applyFill="1" applyBorder="1" applyAlignment="1">
      <alignment vertical="top" wrapText="1"/>
    </xf>
    <xf numFmtId="0" fontId="27" fillId="4" borderId="2" xfId="1" applyFont="1" applyFill="1" applyBorder="1" applyAlignment="1">
      <alignment vertical="top" wrapText="1"/>
    </xf>
    <xf numFmtId="0" fontId="18" fillId="4" borderId="18" xfId="1" applyFont="1" applyFill="1" applyBorder="1" applyAlignment="1">
      <alignment vertical="top" wrapText="1"/>
    </xf>
    <xf numFmtId="0" fontId="27" fillId="4" borderId="26" xfId="1" applyFont="1" applyFill="1" applyBorder="1" applyAlignment="1">
      <alignment vertical="top" wrapText="1"/>
    </xf>
    <xf numFmtId="0" fontId="27" fillId="4" borderId="10" xfId="1" applyFont="1" applyFill="1" applyBorder="1" applyAlignment="1">
      <alignment vertical="top" wrapText="1"/>
    </xf>
    <xf numFmtId="0" fontId="27" fillId="4" borderId="9" xfId="1" quotePrefix="1" applyFont="1" applyFill="1" applyBorder="1" applyAlignment="1">
      <alignment vertical="top" wrapText="1"/>
    </xf>
    <xf numFmtId="0" fontId="27" fillId="4" borderId="1" xfId="1" quotePrefix="1" applyFont="1" applyFill="1" applyBorder="1" applyAlignment="1">
      <alignment vertical="top" wrapText="1"/>
    </xf>
    <xf numFmtId="0" fontId="18" fillId="4" borderId="9" xfId="1" quotePrefix="1" applyFont="1" applyFill="1" applyBorder="1" applyAlignment="1">
      <alignment vertical="top" wrapText="1"/>
    </xf>
    <xf numFmtId="0" fontId="27" fillId="4" borderId="32" xfId="1" quotePrefix="1" applyFont="1" applyFill="1" applyBorder="1" applyAlignment="1">
      <alignment vertical="top" wrapText="1"/>
    </xf>
    <xf numFmtId="0" fontId="27" fillId="4" borderId="35" xfId="1" applyFont="1" applyFill="1" applyBorder="1" applyAlignment="1">
      <alignment vertical="top" wrapText="1"/>
    </xf>
    <xf numFmtId="0" fontId="27" fillId="4" borderId="35" xfId="1" quotePrefix="1" applyFont="1" applyFill="1" applyBorder="1" applyAlignment="1">
      <alignment vertical="top" wrapText="1"/>
    </xf>
    <xf numFmtId="0" fontId="27" fillId="4" borderId="56" xfId="1" applyFont="1" applyFill="1" applyBorder="1" applyAlignment="1">
      <alignment vertical="top" wrapText="1"/>
    </xf>
    <xf numFmtId="0" fontId="18" fillId="4" borderId="0" xfId="1" applyFont="1" applyFill="1" applyAlignment="1">
      <alignment wrapText="1"/>
    </xf>
    <xf numFmtId="0" fontId="27" fillId="4" borderId="0" xfId="1" applyFont="1" applyFill="1" applyBorder="1" applyAlignment="1">
      <alignment textRotation="90" wrapText="1"/>
    </xf>
    <xf numFmtId="0" fontId="18" fillId="0" borderId="0" xfId="1" applyFont="1" applyAlignment="1">
      <alignment wrapText="1"/>
    </xf>
    <xf numFmtId="0" fontId="18" fillId="0" borderId="0" xfId="1" applyFont="1" applyFill="1"/>
    <xf numFmtId="0" fontId="40" fillId="9" borderId="41" xfId="0" applyFont="1" applyFill="1" applyBorder="1" applyAlignment="1">
      <alignment horizontal="center" vertical="center"/>
    </xf>
    <xf numFmtId="0" fontId="41" fillId="13" borderId="41" xfId="0" applyFont="1" applyFill="1" applyBorder="1" applyAlignment="1">
      <alignment horizontal="center" vertical="center"/>
    </xf>
    <xf numFmtId="0" fontId="41" fillId="14" borderId="41" xfId="0" applyFont="1" applyFill="1" applyBorder="1" applyAlignment="1">
      <alignment horizontal="center" vertical="center"/>
    </xf>
    <xf numFmtId="0" fontId="41" fillId="10" borderId="41" xfId="0" applyFont="1" applyFill="1" applyBorder="1" applyAlignment="1">
      <alignment horizontal="center" vertical="center"/>
    </xf>
    <xf numFmtId="0" fontId="42" fillId="11" borderId="41" xfId="0" applyFont="1" applyFill="1" applyBorder="1" applyAlignment="1">
      <alignment horizontal="center" vertical="center"/>
    </xf>
    <xf numFmtId="0" fontId="40" fillId="7" borderId="57" xfId="0" applyFont="1" applyFill="1" applyBorder="1" applyAlignment="1">
      <alignment horizontal="center" vertical="center"/>
    </xf>
    <xf numFmtId="0" fontId="0" fillId="15" borderId="51" xfId="0" applyFill="1" applyBorder="1" applyAlignment="1">
      <alignment horizontal="center" vertical="center" wrapText="1"/>
    </xf>
    <xf numFmtId="0" fontId="16" fillId="15" borderId="51" xfId="0" applyFont="1" applyFill="1" applyBorder="1" applyAlignment="1">
      <alignment horizontal="center" vertical="center" wrapText="1"/>
    </xf>
    <xf numFmtId="0" fontId="16" fillId="16" borderId="57" xfId="0" applyFont="1" applyFill="1" applyBorder="1" applyAlignment="1">
      <alignment horizontal="center" vertical="center" wrapText="1"/>
    </xf>
    <xf numFmtId="14" fontId="28" fillId="0" borderId="66" xfId="0" applyNumberFormat="1" applyFont="1" applyFill="1" applyBorder="1" applyAlignment="1">
      <alignment horizontal="center" vertical="center" wrapText="1"/>
    </xf>
    <xf numFmtId="14" fontId="27" fillId="16" borderId="3" xfId="0" applyNumberFormat="1" applyFont="1" applyFill="1" applyBorder="1" applyAlignment="1">
      <alignment horizontal="center" vertical="center"/>
    </xf>
    <xf numFmtId="14" fontId="28" fillId="0" borderId="50" xfId="0" applyNumberFormat="1" applyFont="1" applyFill="1" applyBorder="1" applyAlignment="1">
      <alignment horizontal="center" vertical="center" wrapText="1"/>
    </xf>
    <xf numFmtId="14" fontId="18" fillId="15" borderId="3" xfId="0" applyNumberFormat="1" applyFont="1" applyFill="1" applyBorder="1" applyAlignment="1">
      <alignment horizontal="center" vertical="center"/>
    </xf>
    <xf numFmtId="14" fontId="28" fillId="0" borderId="57" xfId="0" applyNumberFormat="1" applyFont="1" applyFill="1" applyBorder="1" applyAlignment="1">
      <alignment horizontal="center" vertical="center" wrapText="1"/>
    </xf>
    <xf numFmtId="0" fontId="27" fillId="16" borderId="3" xfId="0" applyFont="1" applyFill="1" applyBorder="1" applyAlignment="1">
      <alignment horizontal="left" vertical="center" wrapText="1"/>
    </xf>
    <xf numFmtId="0" fontId="19" fillId="15" borderId="29" xfId="0" applyFont="1" applyFill="1" applyBorder="1" applyAlignment="1">
      <alignment horizontal="center" vertical="center" wrapText="1"/>
    </xf>
    <xf numFmtId="0" fontId="17" fillId="15" borderId="29" xfId="0" applyFont="1" applyFill="1" applyBorder="1" applyAlignment="1">
      <alignment horizontal="center" vertical="center" wrapText="1"/>
    </xf>
    <xf numFmtId="0" fontId="17" fillId="15" borderId="8" xfId="0" applyFont="1" applyFill="1" applyBorder="1" applyAlignment="1">
      <alignment horizontal="center" vertical="center" wrapText="1"/>
    </xf>
    <xf numFmtId="14" fontId="18" fillId="15" borderId="68" xfId="0" applyNumberFormat="1" applyFont="1" applyFill="1" applyBorder="1" applyAlignment="1">
      <alignment horizontal="center" vertical="center"/>
    </xf>
    <xf numFmtId="14" fontId="18" fillId="16" borderId="3" xfId="0" applyNumberFormat="1" applyFont="1" applyFill="1" applyBorder="1" applyAlignment="1">
      <alignment horizontal="center" vertical="center"/>
    </xf>
    <xf numFmtId="14" fontId="27" fillId="15" borderId="33" xfId="0" applyNumberFormat="1" applyFont="1" applyFill="1" applyBorder="1" applyAlignment="1">
      <alignment horizontal="center" vertical="center" wrapText="1"/>
    </xf>
    <xf numFmtId="14" fontId="18" fillId="16" borderId="40" xfId="0" applyNumberFormat="1" applyFont="1" applyFill="1" applyBorder="1" applyAlignment="1">
      <alignment horizontal="center" vertical="center" wrapText="1"/>
    </xf>
    <xf numFmtId="14" fontId="27" fillId="16" borderId="68" xfId="0" applyNumberFormat="1" applyFont="1" applyFill="1" applyBorder="1" applyAlignment="1">
      <alignment horizontal="center" vertical="center" wrapText="1"/>
    </xf>
    <xf numFmtId="14" fontId="27" fillId="16" borderId="3" xfId="0" applyNumberFormat="1" applyFont="1" applyFill="1" applyBorder="1" applyAlignment="1">
      <alignment horizontal="center" vertical="center" wrapText="1"/>
    </xf>
    <xf numFmtId="14" fontId="18" fillId="16" borderId="3" xfId="0" applyNumberFormat="1" applyFont="1" applyFill="1" applyBorder="1" applyAlignment="1">
      <alignment horizontal="center" vertical="center" wrapText="1"/>
    </xf>
    <xf numFmtId="14" fontId="27" fillId="16" borderId="33" xfId="0" applyNumberFormat="1" applyFont="1" applyFill="1" applyBorder="1" applyAlignment="1">
      <alignment horizontal="center" vertical="center" wrapText="1"/>
    </xf>
    <xf numFmtId="0" fontId="18" fillId="16" borderId="3" xfId="0" applyFont="1" applyFill="1" applyBorder="1" applyAlignment="1">
      <alignment horizontal="center" vertical="center" wrapText="1"/>
    </xf>
    <xf numFmtId="14" fontId="27" fillId="15" borderId="3" xfId="0" applyNumberFormat="1" applyFont="1" applyFill="1" applyBorder="1" applyAlignment="1">
      <alignment horizontal="center" vertical="center" wrapText="1"/>
    </xf>
    <xf numFmtId="14" fontId="18" fillId="16" borderId="33" xfId="0" applyNumberFormat="1" applyFont="1" applyFill="1" applyBorder="1" applyAlignment="1">
      <alignment horizontal="center" vertical="center" wrapText="1"/>
    </xf>
    <xf numFmtId="14" fontId="27" fillId="15" borderId="68" xfId="0" applyNumberFormat="1" applyFont="1" applyFill="1" applyBorder="1" applyAlignment="1">
      <alignment horizontal="center" vertical="center" wrapText="1"/>
    </xf>
    <xf numFmtId="14" fontId="30" fillId="16" borderId="3" xfId="0" applyNumberFormat="1" applyFont="1" applyFill="1" applyBorder="1" applyAlignment="1">
      <alignment horizontal="center" vertical="center" wrapText="1"/>
    </xf>
    <xf numFmtId="0" fontId="27" fillId="16" borderId="3" xfId="0" applyFont="1" applyFill="1" applyBorder="1" applyAlignment="1">
      <alignment horizontal="center" vertical="center" wrapText="1"/>
    </xf>
    <xf numFmtId="14" fontId="27" fillId="15" borderId="47" xfId="0" applyNumberFormat="1" applyFont="1" applyFill="1" applyBorder="1" applyAlignment="1">
      <alignment horizontal="center" vertical="center" wrapText="1"/>
    </xf>
    <xf numFmtId="14" fontId="17" fillId="6" borderId="66" xfId="0" applyNumberFormat="1" applyFont="1" applyFill="1" applyBorder="1" applyAlignment="1">
      <alignment horizontal="center" vertical="center" wrapText="1"/>
    </xf>
    <xf numFmtId="0" fontId="17" fillId="6" borderId="70" xfId="0" applyFont="1" applyFill="1" applyBorder="1" applyAlignment="1">
      <alignment horizontal="center" vertical="center" wrapText="1"/>
    </xf>
    <xf numFmtId="14" fontId="28" fillId="0" borderId="51" xfId="0" applyNumberFormat="1" applyFont="1" applyFill="1" applyBorder="1" applyAlignment="1">
      <alignment horizontal="center" vertical="center" wrapText="1"/>
    </xf>
    <xf numFmtId="14" fontId="28" fillId="0" borderId="70" xfId="0" applyNumberFormat="1" applyFont="1" applyFill="1" applyBorder="1" applyAlignment="1">
      <alignment horizontal="center" vertical="center" wrapText="1"/>
    </xf>
    <xf numFmtId="14" fontId="28" fillId="0" borderId="70" xfId="0" applyNumberFormat="1" applyFont="1" applyFill="1" applyBorder="1" applyAlignment="1">
      <alignment horizontal="left" vertical="center" wrapText="1"/>
    </xf>
    <xf numFmtId="14" fontId="28" fillId="0" borderId="54" xfId="0" applyNumberFormat="1" applyFont="1" applyFill="1" applyBorder="1" applyAlignment="1">
      <alignment horizontal="center" vertical="center" wrapText="1"/>
    </xf>
    <xf numFmtId="14" fontId="28" fillId="0" borderId="70" xfId="0" quotePrefix="1" applyNumberFormat="1" applyFont="1" applyFill="1" applyBorder="1" applyAlignment="1">
      <alignment horizontal="left" vertical="center" wrapText="1"/>
    </xf>
    <xf numFmtId="0" fontId="17" fillId="15" borderId="1" xfId="0" applyFont="1" applyFill="1" applyBorder="1" applyAlignment="1">
      <alignment horizontal="center" vertical="center" wrapText="1"/>
    </xf>
    <xf numFmtId="0" fontId="29" fillId="0" borderId="1" xfId="0" applyFont="1" applyBorder="1" applyAlignment="1">
      <alignment horizontal="left" vertical="top"/>
    </xf>
    <xf numFmtId="0" fontId="43" fillId="0" borderId="5" xfId="1" applyFont="1" applyFill="1" applyBorder="1" applyAlignment="1">
      <alignment vertical="center"/>
    </xf>
    <xf numFmtId="0" fontId="43" fillId="0" borderId="4" xfId="1" applyFont="1" applyFill="1" applyBorder="1" applyAlignment="1">
      <alignment vertical="center"/>
    </xf>
    <xf numFmtId="0" fontId="43" fillId="0" borderId="3" xfId="1" applyFont="1" applyFill="1" applyBorder="1" applyAlignment="1">
      <alignment horizontal="right" vertical="center" wrapText="1"/>
    </xf>
    <xf numFmtId="0" fontId="0" fillId="0" borderId="0" xfId="0" applyFill="1" applyAlignment="1">
      <alignment horizontal="left" vertical="center" wrapText="1"/>
    </xf>
    <xf numFmtId="14" fontId="18" fillId="15" borderId="3" xfId="0" applyNumberFormat="1" applyFont="1" applyFill="1" applyBorder="1" applyAlignment="1">
      <alignment horizontal="center" vertical="center" wrapText="1"/>
    </xf>
    <xf numFmtId="14" fontId="27" fillId="16" borderId="71" xfId="0" applyNumberFormat="1" applyFont="1" applyFill="1" applyBorder="1" applyAlignment="1">
      <alignment horizontal="center" vertical="center" wrapText="1"/>
    </xf>
    <xf numFmtId="14" fontId="28" fillId="0" borderId="67" xfId="0" applyNumberFormat="1" applyFont="1" applyFill="1" applyBorder="1" applyAlignment="1">
      <alignment horizontal="center" vertical="center" wrapText="1"/>
    </xf>
    <xf numFmtId="14" fontId="27" fillId="16" borderId="56" xfId="0" applyNumberFormat="1" applyFont="1" applyFill="1" applyBorder="1" applyAlignment="1">
      <alignment horizontal="center" vertical="center" wrapText="1"/>
    </xf>
    <xf numFmtId="14" fontId="27" fillId="16" borderId="72" xfId="0" applyNumberFormat="1" applyFont="1" applyFill="1" applyBorder="1" applyAlignment="1">
      <alignment horizontal="center" vertical="center" wrapText="1"/>
    </xf>
    <xf numFmtId="0" fontId="29" fillId="7" borderId="66" xfId="0" applyFont="1" applyFill="1" applyBorder="1" applyAlignment="1">
      <alignment horizontal="center" vertical="center" wrapText="1"/>
    </xf>
    <xf numFmtId="0" fontId="29" fillId="7" borderId="70" xfId="0" applyFont="1" applyFill="1" applyBorder="1" applyAlignment="1">
      <alignment horizontal="center" vertical="center" wrapText="1"/>
    </xf>
    <xf numFmtId="0" fontId="29" fillId="7" borderId="54" xfId="0" applyFont="1" applyFill="1" applyBorder="1" applyAlignment="1">
      <alignment horizontal="center" vertical="center" wrapText="1"/>
    </xf>
    <xf numFmtId="0" fontId="29" fillId="7" borderId="50" xfId="0" applyFont="1" applyFill="1" applyBorder="1" applyAlignment="1">
      <alignment horizontal="center" vertical="center" wrapText="1"/>
    </xf>
    <xf numFmtId="0" fontId="29" fillId="7" borderId="67" xfId="0" applyFont="1" applyFill="1" applyBorder="1" applyAlignment="1">
      <alignment horizontal="center" vertical="center" wrapText="1"/>
    </xf>
    <xf numFmtId="0" fontId="29" fillId="7" borderId="51" xfId="0" applyFont="1" applyFill="1" applyBorder="1" applyAlignment="1">
      <alignment horizontal="center" vertical="center" wrapText="1"/>
    </xf>
    <xf numFmtId="14" fontId="18" fillId="16" borderId="72" xfId="0" applyNumberFormat="1" applyFont="1" applyFill="1" applyBorder="1" applyAlignment="1">
      <alignment horizontal="center" vertical="center"/>
    </xf>
    <xf numFmtId="0" fontId="17" fillId="6" borderId="41" xfId="0" applyFont="1" applyFill="1" applyBorder="1" applyAlignment="1">
      <alignment horizontal="center" vertical="center" wrapText="1"/>
    </xf>
    <xf numFmtId="0" fontId="0" fillId="0" borderId="27" xfId="0" applyBorder="1"/>
    <xf numFmtId="0" fontId="0" fillId="0" borderId="1" xfId="0" applyBorder="1"/>
    <xf numFmtId="0" fontId="0" fillId="0" borderId="35" xfId="0" applyBorder="1"/>
    <xf numFmtId="0" fontId="29" fillId="0" borderId="31" xfId="0" applyFont="1" applyBorder="1" applyAlignment="1">
      <alignment horizontal="left" vertical="top"/>
    </xf>
    <xf numFmtId="0" fontId="0" fillId="0" borderId="35" xfId="0" applyBorder="1" applyAlignment="1">
      <alignment horizontal="left" vertical="center" wrapText="1"/>
    </xf>
    <xf numFmtId="0" fontId="0" fillId="0" borderId="30" xfId="0" applyBorder="1" applyAlignment="1">
      <alignment horizontal="left" vertical="center" wrapText="1"/>
    </xf>
    <xf numFmtId="0" fontId="0" fillId="0" borderId="27" xfId="0" applyBorder="1" applyAlignment="1">
      <alignment horizontal="left" vertical="center" wrapText="1"/>
    </xf>
    <xf numFmtId="0" fontId="0" fillId="0" borderId="2" xfId="0" applyBorder="1" applyAlignment="1">
      <alignment horizontal="left" vertical="center" wrapText="1"/>
    </xf>
    <xf numFmtId="0" fontId="0" fillId="0" borderId="31" xfId="0" applyBorder="1" applyAlignment="1">
      <alignment horizontal="left" vertical="center" wrapText="1"/>
    </xf>
    <xf numFmtId="0" fontId="0" fillId="0" borderId="31" xfId="0" applyBorder="1"/>
    <xf numFmtId="0" fontId="0" fillId="0" borderId="2" xfId="0" applyBorder="1"/>
    <xf numFmtId="0" fontId="0" fillId="0" borderId="39" xfId="0" applyBorder="1"/>
    <xf numFmtId="0" fontId="46" fillId="4" borderId="22" xfId="28" applyFill="1" applyBorder="1" applyAlignment="1">
      <alignment vertical="center"/>
    </xf>
    <xf numFmtId="0" fontId="47" fillId="0" borderId="0" xfId="0" applyFont="1" applyAlignment="1">
      <alignment horizontal="left" vertical="center" wrapText="1"/>
    </xf>
    <xf numFmtId="0" fontId="47" fillId="0" borderId="31" xfId="0" applyNumberFormat="1" applyFont="1" applyBorder="1" applyAlignment="1">
      <alignment vertical="center" wrapText="1"/>
    </xf>
    <xf numFmtId="0" fontId="47" fillId="0" borderId="31" xfId="0" applyNumberFormat="1" applyFont="1" applyBorder="1" applyAlignment="1">
      <alignment horizontal="center" vertical="center" wrapText="1"/>
    </xf>
    <xf numFmtId="0" fontId="47" fillId="8" borderId="31" xfId="0" applyNumberFormat="1" applyFont="1" applyFill="1" applyBorder="1" applyAlignment="1">
      <alignment vertical="center" wrapText="1"/>
    </xf>
    <xf numFmtId="0" fontId="47" fillId="0" borderId="1" xfId="0" applyNumberFormat="1" applyFont="1" applyBorder="1" applyAlignment="1">
      <alignment vertical="center" wrapText="1"/>
    </xf>
    <xf numFmtId="0" fontId="47" fillId="0" borderId="1" xfId="0" applyFont="1" applyBorder="1" applyAlignment="1">
      <alignment vertical="center" wrapText="1"/>
    </xf>
    <xf numFmtId="0" fontId="47" fillId="8" borderId="1" xfId="0" applyFont="1" applyFill="1" applyBorder="1" applyAlignment="1">
      <alignment vertical="center" wrapText="1"/>
    </xf>
    <xf numFmtId="0" fontId="47" fillId="8" borderId="1" xfId="0" applyNumberFormat="1" applyFont="1" applyFill="1" applyBorder="1" applyAlignment="1">
      <alignment vertical="center" wrapText="1"/>
    </xf>
    <xf numFmtId="0" fontId="47" fillId="0" borderId="1" xfId="0" applyNumberFormat="1" applyFont="1" applyBorder="1" applyAlignment="1">
      <alignment vertical="top" wrapText="1"/>
    </xf>
    <xf numFmtId="0" fontId="47" fillId="0" borderId="1" xfId="0" applyFont="1" applyBorder="1" applyAlignment="1">
      <alignment vertical="top" wrapText="1"/>
    </xf>
    <xf numFmtId="0" fontId="47" fillId="0" borderId="1" xfId="0" applyNumberFormat="1" applyFont="1" applyFill="1" applyBorder="1" applyAlignment="1">
      <alignment vertical="center" wrapText="1"/>
    </xf>
    <xf numFmtId="0" fontId="47" fillId="0" borderId="1" xfId="0" applyFont="1" applyFill="1" applyBorder="1" applyAlignment="1">
      <alignment vertical="center" wrapText="1"/>
    </xf>
    <xf numFmtId="0" fontId="47" fillId="0" borderId="1" xfId="0" applyNumberFormat="1" applyFont="1" applyFill="1" applyBorder="1" applyAlignment="1">
      <alignment vertical="top" wrapText="1"/>
    </xf>
    <xf numFmtId="0" fontId="47" fillId="0" borderId="1" xfId="0" applyFont="1" applyBorder="1" applyAlignment="1">
      <alignment horizontal="left" vertical="center" wrapText="1"/>
    </xf>
    <xf numFmtId="0" fontId="49" fillId="0" borderId="1" xfId="0" applyFont="1" applyBorder="1" applyAlignment="1">
      <alignment vertical="center" wrapText="1"/>
    </xf>
    <xf numFmtId="0" fontId="53" fillId="0" borderId="1" xfId="0" applyFont="1" applyBorder="1" applyAlignment="1">
      <alignment vertical="center" wrapText="1"/>
    </xf>
    <xf numFmtId="0" fontId="47" fillId="0" borderId="1" xfId="0" applyFont="1" applyBorder="1" applyAlignment="1">
      <alignment horizontal="left" vertical="top" wrapText="1"/>
    </xf>
    <xf numFmtId="0" fontId="49" fillId="0" borderId="1" xfId="0" applyFont="1" applyFill="1" applyBorder="1" applyAlignment="1">
      <alignment horizontal="left" vertical="center" wrapText="1"/>
    </xf>
    <xf numFmtId="0" fontId="49" fillId="0" borderId="0" xfId="0" applyFont="1" applyFill="1" applyBorder="1" applyAlignment="1">
      <alignment horizontal="left" vertical="center" wrapText="1"/>
    </xf>
    <xf numFmtId="0" fontId="47" fillId="0" borderId="0" xfId="0" applyFont="1" applyFill="1" applyAlignment="1">
      <alignment horizontal="left" vertical="center" wrapText="1"/>
    </xf>
    <xf numFmtId="0" fontId="47" fillId="0" borderId="0" xfId="0" applyFont="1" applyFill="1" applyBorder="1" applyAlignment="1">
      <alignment vertical="center" wrapText="1"/>
    </xf>
    <xf numFmtId="0" fontId="47" fillId="0" borderId="0" xfId="0" applyNumberFormat="1" applyFont="1" applyFill="1" applyBorder="1" applyAlignment="1">
      <alignment horizontal="center" vertical="center" wrapText="1"/>
    </xf>
    <xf numFmtId="0" fontId="47" fillId="0" borderId="0" xfId="0" applyFont="1" applyAlignment="1">
      <alignment horizontal="center" vertical="center" wrapText="1"/>
    </xf>
    <xf numFmtId="0" fontId="49" fillId="0" borderId="0" xfId="0" applyFont="1" applyFill="1" applyBorder="1" applyAlignment="1">
      <alignment horizontal="left" vertical="top"/>
    </xf>
    <xf numFmtId="0" fontId="47" fillId="0" borderId="0" xfId="0" applyFont="1" applyFill="1" applyBorder="1" applyAlignment="1">
      <alignment horizontal="left" vertical="center" wrapText="1"/>
    </xf>
    <xf numFmtId="0" fontId="47" fillId="15" borderId="51" xfId="0" applyFont="1" applyFill="1" applyBorder="1" applyAlignment="1">
      <alignment horizontal="center" vertical="center" wrapText="1"/>
    </xf>
    <xf numFmtId="0" fontId="47" fillId="15" borderId="37" xfId="0" applyFont="1" applyFill="1" applyBorder="1" applyAlignment="1">
      <alignment horizontal="center" vertical="center" wrapText="1"/>
    </xf>
    <xf numFmtId="0" fontId="47" fillId="13" borderId="41" xfId="0" applyFont="1" applyFill="1" applyBorder="1" applyAlignment="1">
      <alignment horizontal="center" vertical="center"/>
    </xf>
    <xf numFmtId="0" fontId="47" fillId="13" borderId="0" xfId="0" applyFont="1" applyFill="1" applyAlignment="1">
      <alignment horizontal="center" vertical="center" wrapText="1"/>
    </xf>
    <xf numFmtId="0" fontId="47" fillId="14" borderId="41" xfId="0" applyFont="1" applyFill="1" applyBorder="1" applyAlignment="1">
      <alignment horizontal="center" vertical="center"/>
    </xf>
    <xf numFmtId="0" fontId="47" fillId="14" borderId="0" xfId="0" applyFont="1" applyFill="1" applyAlignment="1">
      <alignment horizontal="center" vertical="center" wrapText="1"/>
    </xf>
    <xf numFmtId="0" fontId="47" fillId="10" borderId="41" xfId="0" applyFont="1" applyFill="1" applyBorder="1" applyAlignment="1">
      <alignment horizontal="center" vertical="center"/>
    </xf>
    <xf numFmtId="0" fontId="47" fillId="10" borderId="0" xfId="0" applyFont="1" applyFill="1" applyAlignment="1">
      <alignment horizontal="center" vertical="center" wrapText="1"/>
    </xf>
    <xf numFmtId="0" fontId="54" fillId="11" borderId="41" xfId="0" applyFont="1" applyFill="1" applyBorder="1" applyAlignment="1">
      <alignment horizontal="center" vertical="center"/>
    </xf>
    <xf numFmtId="0" fontId="54" fillId="11" borderId="0" xfId="0" applyFont="1" applyFill="1" applyAlignment="1">
      <alignment horizontal="center" vertical="center" wrapText="1"/>
    </xf>
    <xf numFmtId="0" fontId="53" fillId="23" borderId="57" xfId="0" applyFont="1" applyFill="1" applyBorder="1" applyAlignment="1">
      <alignment horizontal="center" vertical="center"/>
    </xf>
    <xf numFmtId="0" fontId="53" fillId="23" borderId="22" xfId="0" applyFont="1" applyFill="1" applyBorder="1" applyAlignment="1">
      <alignment horizontal="center" vertical="center"/>
    </xf>
    <xf numFmtId="0" fontId="55" fillId="0" borderId="57" xfId="0" applyFont="1" applyBorder="1" applyAlignment="1">
      <alignment horizontal="center" vertical="center"/>
    </xf>
    <xf numFmtId="0" fontId="47" fillId="0" borderId="22" xfId="0" applyFont="1" applyBorder="1" applyAlignment="1">
      <alignment horizontal="left" vertical="center" wrapText="1"/>
    </xf>
    <xf numFmtId="0" fontId="55" fillId="2" borderId="62" xfId="0" applyFont="1" applyFill="1" applyBorder="1" applyAlignment="1">
      <alignment horizontal="center" vertical="center" wrapText="1"/>
    </xf>
    <xf numFmtId="0" fontId="55" fillId="2" borderId="39" xfId="0" applyFont="1" applyFill="1" applyBorder="1" applyAlignment="1">
      <alignment horizontal="center" vertical="center" wrapText="1"/>
    </xf>
    <xf numFmtId="0" fontId="55" fillId="2" borderId="40" xfId="0" applyFont="1" applyFill="1" applyBorder="1" applyAlignment="1">
      <alignment horizontal="center" vertical="center" wrapText="1"/>
    </xf>
    <xf numFmtId="0" fontId="55" fillId="2" borderId="52" xfId="0" applyFont="1" applyFill="1" applyBorder="1" applyAlignment="1">
      <alignment horizontal="center" vertical="center" wrapText="1"/>
    </xf>
    <xf numFmtId="0" fontId="58" fillId="5" borderId="31" xfId="0" applyNumberFormat="1" applyFont="1" applyFill="1" applyBorder="1" applyAlignment="1">
      <alignment horizontal="center" vertical="center" wrapText="1"/>
    </xf>
    <xf numFmtId="0" fontId="57" fillId="3" borderId="1" xfId="0" applyNumberFormat="1" applyFont="1" applyFill="1" applyBorder="1" applyAlignment="1">
      <alignment horizontal="center" vertical="center" wrapText="1"/>
    </xf>
    <xf numFmtId="0" fontId="55" fillId="3" borderId="31" xfId="0" applyNumberFormat="1" applyFont="1" applyFill="1" applyBorder="1" applyAlignment="1">
      <alignment horizontal="center" vertical="center" wrapText="1"/>
    </xf>
    <xf numFmtId="0" fontId="55" fillId="6" borderId="31" xfId="0" applyNumberFormat="1" applyFont="1" applyFill="1" applyBorder="1" applyAlignment="1">
      <alignment horizontal="center" vertical="center" wrapText="1"/>
    </xf>
    <xf numFmtId="0" fontId="58" fillId="5" borderId="1" xfId="0" applyNumberFormat="1" applyFont="1" applyFill="1" applyBorder="1" applyAlignment="1">
      <alignment horizontal="center" vertical="center" wrapText="1"/>
    </xf>
    <xf numFmtId="0" fontId="55" fillId="6" borderId="1" xfId="0" applyNumberFormat="1" applyFont="1" applyFill="1" applyBorder="1" applyAlignment="1">
      <alignment horizontal="center" vertical="center" wrapText="1"/>
    </xf>
    <xf numFmtId="0" fontId="58" fillId="0" borderId="0" xfId="0" applyNumberFormat="1" applyFont="1" applyFill="1" applyBorder="1" applyAlignment="1">
      <alignment horizontal="center" vertical="center" wrapText="1"/>
    </xf>
    <xf numFmtId="0" fontId="57" fillId="0" borderId="0" xfId="0" applyNumberFormat="1" applyFont="1" applyFill="1" applyBorder="1" applyAlignment="1">
      <alignment horizontal="center" vertical="center" wrapText="1"/>
    </xf>
    <xf numFmtId="0" fontId="55" fillId="0" borderId="0" xfId="0" applyNumberFormat="1" applyFont="1" applyFill="1" applyBorder="1" applyAlignment="1">
      <alignment horizontal="center" vertical="center" wrapText="1"/>
    </xf>
    <xf numFmtId="0" fontId="55" fillId="9" borderId="62" xfId="0" applyFont="1" applyFill="1" applyBorder="1" applyAlignment="1">
      <alignment horizontal="center" vertical="center" wrapText="1"/>
    </xf>
    <xf numFmtId="0" fontId="55" fillId="9" borderId="39" xfId="0" applyFont="1" applyFill="1" applyBorder="1" applyAlignment="1">
      <alignment horizontal="center" vertical="center" wrapText="1"/>
    </xf>
    <xf numFmtId="0" fontId="55" fillId="5" borderId="39" xfId="0" applyFont="1" applyFill="1" applyBorder="1" applyAlignment="1">
      <alignment horizontal="center" vertical="center" wrapText="1"/>
    </xf>
    <xf numFmtId="0" fontId="55" fillId="5" borderId="52" xfId="0" applyFont="1" applyFill="1" applyBorder="1" applyAlignment="1">
      <alignment horizontal="center" vertical="center" wrapText="1"/>
    </xf>
    <xf numFmtId="0" fontId="59" fillId="0" borderId="62" xfId="0" applyFont="1" applyFill="1" applyBorder="1" applyAlignment="1">
      <alignment horizontal="center" vertical="center" wrapText="1"/>
    </xf>
    <xf numFmtId="0" fontId="1" fillId="4" borderId="6" xfId="1" applyFill="1" applyBorder="1"/>
    <xf numFmtId="0" fontId="1" fillId="4" borderId="7" xfId="1" applyFill="1" applyBorder="1"/>
    <xf numFmtId="0" fontId="1" fillId="4" borderId="8" xfId="1" applyFill="1" applyBorder="1"/>
    <xf numFmtId="0" fontId="2" fillId="4" borderId="26" xfId="1" applyFont="1" applyFill="1" applyBorder="1" applyAlignment="1">
      <alignment horizontal="center" vertical="center"/>
    </xf>
    <xf numFmtId="0" fontId="2" fillId="4" borderId="27" xfId="1" applyFont="1" applyFill="1" applyBorder="1" applyAlignment="1">
      <alignment horizontal="center" vertical="center"/>
    </xf>
    <xf numFmtId="0" fontId="2" fillId="4" borderId="28" xfId="1" applyFont="1" applyFill="1" applyBorder="1" applyAlignment="1">
      <alignment horizontal="center" vertical="center"/>
    </xf>
    <xf numFmtId="0" fontId="2" fillId="4" borderId="9" xfId="1" applyFont="1" applyFill="1" applyBorder="1" applyAlignment="1">
      <alignment horizontal="center" vertical="center"/>
    </xf>
    <xf numFmtId="0" fontId="2" fillId="4" borderId="1" xfId="1" applyFont="1" applyFill="1" applyBorder="1" applyAlignment="1">
      <alignment horizontal="center" vertical="center"/>
    </xf>
    <xf numFmtId="0" fontId="1" fillId="0" borderId="1" xfId="1" applyFont="1" applyFill="1" applyBorder="1" applyAlignment="1">
      <alignment horizontal="center" vertical="center"/>
    </xf>
    <xf numFmtId="0" fontId="1" fillId="0" borderId="10" xfId="1" applyFont="1" applyFill="1" applyBorder="1" applyAlignment="1">
      <alignment horizontal="center" vertical="center"/>
    </xf>
    <xf numFmtId="14" fontId="1" fillId="4" borderId="1" xfId="1" applyNumberFormat="1" applyFill="1" applyBorder="1" applyAlignment="1">
      <alignment horizontal="center" vertical="center"/>
    </xf>
    <xf numFmtId="0" fontId="1" fillId="4" borderId="1" xfId="1" applyFill="1" applyBorder="1" applyAlignment="1">
      <alignment horizontal="center" vertical="center"/>
    </xf>
    <xf numFmtId="0" fontId="1" fillId="4" borderId="10" xfId="1" applyFill="1" applyBorder="1" applyAlignment="1">
      <alignment horizontal="center" vertical="center"/>
    </xf>
    <xf numFmtId="0" fontId="2" fillId="4" borderId="3" xfId="1" applyFont="1" applyFill="1" applyBorder="1" applyAlignment="1">
      <alignment horizontal="center" vertical="center"/>
    </xf>
    <xf numFmtId="0" fontId="2" fillId="4" borderId="4" xfId="1" applyFont="1" applyFill="1" applyBorder="1" applyAlignment="1">
      <alignment horizontal="center" vertical="center"/>
    </xf>
    <xf numFmtId="0" fontId="2" fillId="4" borderId="11" xfId="1" applyFont="1" applyFill="1" applyBorder="1" applyAlignment="1">
      <alignment horizontal="center" vertical="center"/>
    </xf>
    <xf numFmtId="0" fontId="2" fillId="4" borderId="3" xfId="1" applyFont="1" applyFill="1" applyBorder="1" applyAlignment="1">
      <alignment horizontal="left" vertical="center" wrapText="1"/>
    </xf>
    <xf numFmtId="0" fontId="2" fillId="4" borderId="4" xfId="1" applyFont="1" applyFill="1" applyBorder="1" applyAlignment="1">
      <alignment horizontal="left" vertical="center" wrapText="1"/>
    </xf>
    <xf numFmtId="0" fontId="2" fillId="4" borderId="11" xfId="1" applyFont="1" applyFill="1" applyBorder="1" applyAlignment="1">
      <alignment horizontal="left" vertical="center" wrapText="1"/>
    </xf>
    <xf numFmtId="0" fontId="3" fillId="4" borderId="12" xfId="1" applyFont="1" applyFill="1" applyBorder="1" applyAlignment="1">
      <alignment horizontal="center" vertical="center" wrapText="1"/>
    </xf>
    <xf numFmtId="0" fontId="1" fillId="4" borderId="0" xfId="1" applyFont="1" applyFill="1" applyBorder="1" applyAlignment="1">
      <alignment horizontal="center" vertical="center" wrapText="1"/>
    </xf>
    <xf numFmtId="0" fontId="1" fillId="4" borderId="13" xfId="1" applyFont="1" applyFill="1" applyBorder="1" applyAlignment="1">
      <alignment horizontal="center" vertical="center" wrapText="1"/>
    </xf>
    <xf numFmtId="49" fontId="1" fillId="4" borderId="12" xfId="1" applyNumberFormat="1" applyFont="1" applyFill="1" applyBorder="1" applyAlignment="1">
      <alignment vertical="center" wrapText="1"/>
    </xf>
    <xf numFmtId="0" fontId="1" fillId="4" borderId="0" xfId="1" applyFill="1" applyBorder="1" applyAlignment="1">
      <alignment vertical="center" wrapText="1"/>
    </xf>
    <xf numFmtId="0" fontId="1" fillId="4" borderId="13" xfId="1" applyFill="1" applyBorder="1" applyAlignment="1">
      <alignment vertical="center" wrapText="1"/>
    </xf>
    <xf numFmtId="49" fontId="21" fillId="4" borderId="12" xfId="1" applyNumberFormat="1" applyFont="1" applyFill="1" applyBorder="1" applyAlignment="1">
      <alignment horizontal="left" vertical="center" wrapText="1"/>
    </xf>
    <xf numFmtId="49" fontId="21" fillId="4" borderId="0" xfId="1" applyNumberFormat="1" applyFont="1" applyFill="1" applyBorder="1" applyAlignment="1">
      <alignment horizontal="left" vertical="center" wrapText="1"/>
    </xf>
    <xf numFmtId="49" fontId="21" fillId="4" borderId="13" xfId="1" applyNumberFormat="1" applyFont="1" applyFill="1" applyBorder="1" applyAlignment="1">
      <alignment horizontal="left" vertical="center" wrapText="1"/>
    </xf>
    <xf numFmtId="0" fontId="1" fillId="4" borderId="12" xfId="1" applyFill="1" applyBorder="1" applyAlignment="1">
      <alignment horizontal="justify" vertical="center" wrapText="1"/>
    </xf>
    <xf numFmtId="0" fontId="1" fillId="4" borderId="0" xfId="1" applyFill="1" applyBorder="1" applyAlignment="1">
      <alignment horizontal="justify" vertical="center" wrapText="1"/>
    </xf>
    <xf numFmtId="0" fontId="1" fillId="4" borderId="13" xfId="1" applyFill="1" applyBorder="1" applyAlignment="1">
      <alignment horizontal="justify" vertical="center" wrapText="1"/>
    </xf>
    <xf numFmtId="0" fontId="4" fillId="4" borderId="25" xfId="1" applyFont="1" applyFill="1" applyBorder="1" applyAlignment="1">
      <alignment horizontal="center" vertical="center"/>
    </xf>
    <xf numFmtId="0" fontId="4" fillId="4" borderId="4" xfId="1" applyFont="1" applyFill="1" applyBorder="1" applyAlignment="1">
      <alignment horizontal="center" vertical="center"/>
    </xf>
    <xf numFmtId="0" fontId="4" fillId="4" borderId="11" xfId="1" applyFont="1" applyFill="1" applyBorder="1" applyAlignment="1">
      <alignment horizontal="center" vertical="center"/>
    </xf>
    <xf numFmtId="0" fontId="2" fillId="4" borderId="3" xfId="1" applyFont="1" applyFill="1" applyBorder="1" applyAlignment="1">
      <alignment horizontal="center" vertical="center" wrapText="1"/>
    </xf>
    <xf numFmtId="0" fontId="2" fillId="4" borderId="4" xfId="1" applyFont="1" applyFill="1" applyBorder="1" applyAlignment="1">
      <alignment horizontal="center" vertical="center" wrapText="1"/>
    </xf>
    <xf numFmtId="0" fontId="2" fillId="4" borderId="11" xfId="1" applyFont="1" applyFill="1" applyBorder="1" applyAlignment="1">
      <alignment horizontal="center" vertical="center" wrapText="1"/>
    </xf>
    <xf numFmtId="0" fontId="20" fillId="4" borderId="12" xfId="1" applyFont="1" applyFill="1" applyBorder="1" applyAlignment="1">
      <alignment horizontal="center" vertical="center" wrapText="1"/>
    </xf>
    <xf numFmtId="0" fontId="21" fillId="4" borderId="0" xfId="1" applyFont="1" applyFill="1" applyBorder="1" applyAlignment="1">
      <alignment horizontal="center" vertical="center" wrapText="1"/>
    </xf>
    <xf numFmtId="0" fontId="21" fillId="4" borderId="13" xfId="1" applyFont="1" applyFill="1" applyBorder="1" applyAlignment="1">
      <alignment horizontal="center" vertical="center" wrapText="1"/>
    </xf>
    <xf numFmtId="0" fontId="1" fillId="4" borderId="12" xfId="1" applyFill="1" applyBorder="1" applyAlignment="1">
      <alignment vertical="center"/>
    </xf>
    <xf numFmtId="0" fontId="1" fillId="4" borderId="0" xfId="1" applyFill="1" applyBorder="1" applyAlignment="1">
      <alignment vertical="center"/>
    </xf>
    <xf numFmtId="0" fontId="1" fillId="4" borderId="13" xfId="1" applyFill="1" applyBorder="1" applyAlignment="1">
      <alignment vertical="center"/>
    </xf>
    <xf numFmtId="0" fontId="1" fillId="4" borderId="14" xfId="1" applyFill="1" applyBorder="1" applyAlignment="1">
      <alignment horizontal="center" vertical="center"/>
    </xf>
    <xf numFmtId="0" fontId="1" fillId="4" borderId="15" xfId="1" applyFill="1" applyBorder="1" applyAlignment="1">
      <alignment horizontal="center" vertical="center"/>
    </xf>
    <xf numFmtId="0" fontId="2" fillId="4" borderId="15" xfId="1" applyFont="1" applyFill="1" applyBorder="1" applyAlignment="1">
      <alignment horizontal="center" vertical="center"/>
    </xf>
    <xf numFmtId="0" fontId="2" fillId="4" borderId="24" xfId="1" applyFont="1" applyFill="1" applyBorder="1" applyAlignment="1">
      <alignment horizontal="center" vertical="center"/>
    </xf>
    <xf numFmtId="0" fontId="2" fillId="4" borderId="10" xfId="1" applyFont="1" applyFill="1" applyBorder="1" applyAlignment="1">
      <alignment horizontal="center" vertical="center"/>
    </xf>
    <xf numFmtId="0" fontId="1" fillId="4" borderId="21" xfId="1" applyFont="1" applyFill="1" applyBorder="1" applyAlignment="1">
      <alignment horizontal="center" vertical="center" wrapText="1"/>
    </xf>
    <xf numFmtId="0" fontId="1" fillId="4" borderId="22" xfId="1" applyFill="1" applyBorder="1" applyAlignment="1">
      <alignment vertical="center"/>
    </xf>
    <xf numFmtId="0" fontId="1" fillId="4" borderId="23" xfId="1" applyFill="1" applyBorder="1" applyAlignment="1">
      <alignment vertical="center"/>
    </xf>
    <xf numFmtId="0" fontId="6" fillId="4" borderId="22" xfId="1" applyFont="1" applyFill="1" applyBorder="1" applyAlignment="1">
      <alignment horizontal="center" vertical="center"/>
    </xf>
    <xf numFmtId="0" fontId="1" fillId="4" borderId="22" xfId="1" applyFill="1" applyBorder="1" applyAlignment="1">
      <alignment horizontal="center" vertical="center"/>
    </xf>
    <xf numFmtId="0" fontId="1" fillId="4" borderId="23" xfId="1" applyFill="1" applyBorder="1" applyAlignment="1">
      <alignment horizontal="center" vertical="center"/>
    </xf>
    <xf numFmtId="14" fontId="1" fillId="4" borderId="3" xfId="1" applyNumberFormat="1" applyFill="1" applyBorder="1" applyAlignment="1">
      <alignment horizontal="center" vertical="center"/>
    </xf>
    <xf numFmtId="0" fontId="1" fillId="4" borderId="4" xfId="1" applyFill="1" applyBorder="1" applyAlignment="1">
      <alignment horizontal="center" vertical="center"/>
    </xf>
    <xf numFmtId="0" fontId="1" fillId="4" borderId="5" xfId="1" applyFill="1" applyBorder="1" applyAlignment="1">
      <alignment horizontal="center" vertical="center"/>
    </xf>
    <xf numFmtId="0" fontId="1" fillId="4" borderId="3" xfId="1" applyFill="1" applyBorder="1" applyAlignment="1">
      <alignment horizontal="center" vertical="center"/>
    </xf>
    <xf numFmtId="14" fontId="1" fillId="4" borderId="4" xfId="1" applyNumberFormat="1" applyFill="1" applyBorder="1" applyAlignment="1">
      <alignment horizontal="center" vertical="center"/>
    </xf>
    <xf numFmtId="14" fontId="1" fillId="4" borderId="11" xfId="1" applyNumberFormat="1" applyFill="1" applyBorder="1" applyAlignment="1">
      <alignment horizontal="center" vertical="center"/>
    </xf>
    <xf numFmtId="0" fontId="58" fillId="5" borderId="2" xfId="0" applyNumberFormat="1" applyFont="1" applyFill="1" applyBorder="1" applyAlignment="1">
      <alignment horizontal="center" vertical="center" wrapText="1"/>
    </xf>
    <xf numFmtId="0" fontId="58" fillId="5" borderId="30" xfId="0" applyNumberFormat="1" applyFont="1" applyFill="1" applyBorder="1" applyAlignment="1">
      <alignment horizontal="center" vertical="center" wrapText="1"/>
    </xf>
    <xf numFmtId="0" fontId="58" fillId="5" borderId="31" xfId="0" applyNumberFormat="1" applyFont="1" applyFill="1" applyBorder="1" applyAlignment="1">
      <alignment horizontal="center" vertical="center" wrapText="1"/>
    </xf>
    <xf numFmtId="0" fontId="14" fillId="15" borderId="62" xfId="0" applyFont="1" applyFill="1" applyBorder="1" applyAlignment="1">
      <alignment horizontal="center" vertical="center" wrapText="1"/>
    </xf>
    <xf numFmtId="0" fontId="14" fillId="15" borderId="39" xfId="0" applyFont="1" applyFill="1" applyBorder="1" applyAlignment="1">
      <alignment horizontal="center" vertical="center" wrapText="1"/>
    </xf>
    <xf numFmtId="0" fontId="14" fillId="15" borderId="40" xfId="0" applyFont="1" applyFill="1" applyBorder="1" applyAlignment="1">
      <alignment horizontal="center" vertical="center" wrapText="1"/>
    </xf>
    <xf numFmtId="0" fontId="14" fillId="15" borderId="52" xfId="0" applyFont="1" applyFill="1" applyBorder="1" applyAlignment="1">
      <alignment horizontal="center" vertical="center" wrapText="1"/>
    </xf>
    <xf numFmtId="0" fontId="14" fillId="15" borderId="36" xfId="0" applyFont="1" applyFill="1" applyBorder="1" applyAlignment="1">
      <alignment horizontal="center" vertical="center" wrapText="1"/>
    </xf>
    <xf numFmtId="0" fontId="14" fillId="15" borderId="37" xfId="0" applyFont="1" applyFill="1" applyBorder="1" applyAlignment="1">
      <alignment horizontal="center" vertical="center" wrapText="1"/>
    </xf>
    <xf numFmtId="0" fontId="14" fillId="15" borderId="48" xfId="0" applyFont="1" applyFill="1" applyBorder="1" applyAlignment="1">
      <alignment horizontal="center" vertical="center" wrapText="1"/>
    </xf>
    <xf numFmtId="0" fontId="58" fillId="5" borderId="1" xfId="0" applyNumberFormat="1" applyFont="1" applyFill="1" applyBorder="1" applyAlignment="1">
      <alignment horizontal="center" vertical="center" wrapText="1"/>
    </xf>
    <xf numFmtId="0" fontId="27" fillId="3" borderId="42" xfId="0" applyFont="1" applyFill="1" applyBorder="1" applyAlignment="1">
      <alignment horizontal="center" vertical="center" wrapText="1"/>
    </xf>
    <xf numFmtId="0" fontId="27" fillId="3" borderId="14" xfId="0" applyFont="1" applyFill="1" applyBorder="1" applyAlignment="1">
      <alignment horizontal="center" vertical="center" wrapText="1"/>
    </xf>
    <xf numFmtId="0" fontId="27" fillId="3" borderId="25" xfId="0" applyFont="1" applyFill="1" applyBorder="1" applyAlignment="1">
      <alignment horizontal="center" vertical="center" wrapText="1"/>
    </xf>
    <xf numFmtId="0" fontId="27" fillId="3" borderId="69" xfId="0" applyFont="1" applyFill="1" applyBorder="1" applyAlignment="1">
      <alignment horizontal="center" vertical="center" wrapText="1"/>
    </xf>
    <xf numFmtId="0" fontId="27" fillId="16" borderId="26" xfId="0" applyFont="1" applyFill="1" applyBorder="1" applyAlignment="1">
      <alignment horizontal="left" vertical="center" wrapText="1"/>
    </xf>
    <xf numFmtId="0" fontId="27" fillId="16" borderId="20" xfId="0" applyFont="1" applyFill="1" applyBorder="1" applyAlignment="1">
      <alignment horizontal="left" vertical="center" wrapText="1"/>
    </xf>
    <xf numFmtId="0" fontId="27" fillId="16" borderId="9" xfId="0" applyFont="1" applyFill="1" applyBorder="1" applyAlignment="1">
      <alignment horizontal="left" vertical="center" wrapText="1"/>
    </xf>
    <xf numFmtId="0" fontId="27" fillId="16" borderId="1" xfId="0" applyFont="1" applyFill="1" applyBorder="1" applyAlignment="1">
      <alignment horizontal="left" vertical="center" wrapText="1"/>
    </xf>
    <xf numFmtId="0" fontId="27" fillId="16" borderId="32" xfId="0" applyFont="1" applyFill="1" applyBorder="1" applyAlignment="1">
      <alignment horizontal="left" vertical="center" wrapText="1"/>
    </xf>
    <xf numFmtId="0" fontId="27" fillId="16" borderId="35" xfId="0" applyFont="1" applyFill="1" applyBorder="1" applyAlignment="1">
      <alignment horizontal="left" vertical="center" wrapText="1"/>
    </xf>
    <xf numFmtId="0" fontId="27" fillId="3" borderId="16" xfId="0" applyFont="1" applyFill="1" applyBorder="1" applyAlignment="1">
      <alignment horizontal="center" vertical="center" textRotation="255" wrapText="1"/>
    </xf>
    <xf numFmtId="0" fontId="27" fillId="3" borderId="12" xfId="0" applyFont="1" applyFill="1" applyBorder="1" applyAlignment="1">
      <alignment horizontal="center" vertical="center" textRotation="255" wrapText="1"/>
    </xf>
    <xf numFmtId="0" fontId="27" fillId="3" borderId="21" xfId="0" applyFont="1" applyFill="1" applyBorder="1" applyAlignment="1">
      <alignment horizontal="center" vertical="center" textRotation="255" wrapText="1"/>
    </xf>
    <xf numFmtId="0" fontId="27" fillId="15" borderId="36" xfId="0" applyFont="1" applyFill="1" applyBorder="1" applyAlignment="1">
      <alignment horizontal="left" vertical="center" wrapText="1"/>
    </xf>
    <xf numFmtId="0" fontId="27" fillId="15" borderId="38" xfId="0" applyFont="1" applyFill="1" applyBorder="1" applyAlignment="1">
      <alignment horizontal="left" vertical="center" wrapText="1"/>
    </xf>
    <xf numFmtId="0" fontId="27" fillId="16" borderId="33" xfId="0" applyFont="1" applyFill="1" applyBorder="1" applyAlignment="1">
      <alignment horizontal="left" vertical="center" wrapText="1"/>
    </xf>
    <xf numFmtId="0" fontId="27" fillId="16" borderId="34" xfId="0" applyFont="1" applyFill="1" applyBorder="1" applyAlignment="1">
      <alignment horizontal="left" vertical="center" wrapText="1"/>
    </xf>
    <xf numFmtId="0" fontId="27" fillId="16" borderId="62" xfId="0" applyFont="1" applyFill="1" applyBorder="1" applyAlignment="1">
      <alignment horizontal="left" vertical="center" wrapText="1"/>
    </xf>
    <xf numFmtId="0" fontId="27" fillId="16" borderId="39" xfId="0" applyFont="1" applyFill="1" applyBorder="1" applyAlignment="1">
      <alignment horizontal="left" vertical="center" wrapText="1"/>
    </xf>
    <xf numFmtId="0" fontId="45" fillId="5" borderId="36" xfId="0" applyFont="1" applyFill="1" applyBorder="1" applyAlignment="1">
      <alignment horizontal="center" vertical="center" wrapText="1"/>
    </xf>
    <xf numFmtId="0" fontId="45" fillId="5" borderId="37" xfId="0" applyFont="1" applyFill="1" applyBorder="1" applyAlignment="1">
      <alignment horizontal="center" vertical="center" wrapText="1"/>
    </xf>
    <xf numFmtId="0" fontId="45" fillId="5" borderId="48" xfId="0" applyFont="1" applyFill="1" applyBorder="1" applyAlignment="1">
      <alignment horizontal="center" vertical="center" wrapText="1"/>
    </xf>
    <xf numFmtId="0" fontId="19" fillId="15" borderId="36" xfId="0" applyFont="1" applyFill="1" applyBorder="1" applyAlignment="1">
      <alignment horizontal="center" vertical="center" wrapText="1"/>
    </xf>
    <xf numFmtId="0" fontId="19" fillId="15" borderId="7"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3" borderId="12" xfId="0" applyFont="1" applyFill="1" applyBorder="1" applyAlignment="1">
      <alignment horizontal="center" vertical="center" wrapText="1"/>
    </xf>
    <xf numFmtId="0" fontId="19" fillId="3" borderId="14" xfId="0" applyFont="1" applyFill="1" applyBorder="1" applyAlignment="1">
      <alignment horizontal="center" vertical="center" wrapText="1"/>
    </xf>
    <xf numFmtId="0" fontId="16" fillId="15" borderId="26" xfId="0" applyFont="1" applyFill="1" applyBorder="1" applyAlignment="1">
      <alignment horizontal="left" vertical="center" wrapText="1"/>
    </xf>
    <xf numFmtId="0" fontId="16" fillId="15" borderId="27" xfId="0" applyFont="1" applyFill="1" applyBorder="1" applyAlignment="1">
      <alignment horizontal="left" vertical="center" wrapText="1"/>
    </xf>
    <xf numFmtId="0" fontId="16" fillId="16" borderId="9" xfId="0" applyFont="1" applyFill="1" applyBorder="1" applyAlignment="1">
      <alignment horizontal="left" vertical="center" wrapText="1"/>
    </xf>
    <xf numFmtId="0" fontId="16" fillId="16" borderId="1" xfId="0" applyFont="1" applyFill="1" applyBorder="1" applyAlignment="1">
      <alignment horizontal="left" vertical="center" wrapText="1"/>
    </xf>
    <xf numFmtId="0" fontId="16" fillId="15" borderId="9" xfId="0" applyFont="1" applyFill="1" applyBorder="1" applyAlignment="1">
      <alignment horizontal="left" vertical="center" wrapText="1"/>
    </xf>
    <xf numFmtId="0" fontId="16" fillId="15" borderId="1" xfId="0" applyFont="1" applyFill="1" applyBorder="1" applyAlignment="1">
      <alignment horizontal="left" vertical="center" wrapText="1"/>
    </xf>
    <xf numFmtId="0" fontId="27" fillId="15" borderId="32" xfId="0" applyFont="1" applyFill="1" applyBorder="1" applyAlignment="1">
      <alignment horizontal="left" vertical="center" wrapText="1"/>
    </xf>
    <xf numFmtId="0" fontId="27" fillId="15" borderId="35" xfId="0" applyFont="1" applyFill="1" applyBorder="1" applyAlignment="1">
      <alignment horizontal="left" vertical="center" wrapText="1"/>
    </xf>
    <xf numFmtId="0" fontId="27" fillId="3" borderId="6" xfId="0" applyFont="1" applyFill="1" applyBorder="1" applyAlignment="1">
      <alignment horizontal="center" vertical="center" textRotation="255" wrapText="1"/>
    </xf>
    <xf numFmtId="0" fontId="27" fillId="15" borderId="26" xfId="0" applyFont="1" applyFill="1" applyBorder="1" applyAlignment="1">
      <alignment horizontal="left" vertical="center" wrapText="1"/>
    </xf>
    <xf numFmtId="0" fontId="27" fillId="15" borderId="27" xfId="0" applyFont="1" applyFill="1" applyBorder="1" applyAlignment="1">
      <alignment horizontal="left" vertical="center" wrapText="1"/>
    </xf>
    <xf numFmtId="0" fontId="27" fillId="3" borderId="16" xfId="0" applyFont="1" applyFill="1" applyBorder="1" applyAlignment="1">
      <alignment horizontal="center" vertical="center" wrapText="1"/>
    </xf>
    <xf numFmtId="0" fontId="27" fillId="3" borderId="55" xfId="0" applyFont="1" applyFill="1" applyBorder="1" applyAlignment="1">
      <alignment horizontal="center" vertical="center" wrapText="1"/>
    </xf>
    <xf numFmtId="0" fontId="27" fillId="3" borderId="41" xfId="0" applyFont="1" applyFill="1" applyBorder="1" applyAlignment="1">
      <alignment horizontal="center" vertical="center" wrapText="1"/>
    </xf>
    <xf numFmtId="0" fontId="27" fillId="3" borderId="57" xfId="0" applyFont="1" applyFill="1" applyBorder="1" applyAlignment="1">
      <alignment horizontal="center" vertical="center" wrapText="1"/>
    </xf>
    <xf numFmtId="0" fontId="27" fillId="16" borderId="27" xfId="0" applyFont="1" applyFill="1" applyBorder="1" applyAlignment="1">
      <alignment horizontal="left" vertical="center" wrapText="1"/>
    </xf>
    <xf numFmtId="0" fontId="27" fillId="15" borderId="9" xfId="0" applyFont="1" applyFill="1" applyBorder="1" applyAlignment="1">
      <alignment horizontal="left" vertical="center" wrapText="1"/>
    </xf>
    <xf numFmtId="0" fontId="27" fillId="15" borderId="1" xfId="0" applyFont="1" applyFill="1" applyBorder="1" applyAlignment="1">
      <alignment horizontal="left" vertical="center" wrapText="1"/>
    </xf>
    <xf numFmtId="0" fontId="27" fillId="16" borderId="31" xfId="0" applyFont="1" applyFill="1" applyBorder="1" applyAlignment="1">
      <alignment horizontal="left" vertical="center" wrapText="1"/>
    </xf>
    <xf numFmtId="0" fontId="27" fillId="16" borderId="25" xfId="0" applyFont="1" applyFill="1" applyBorder="1" applyAlignment="1">
      <alignment horizontal="left" vertical="center" wrapText="1"/>
    </xf>
    <xf numFmtId="0" fontId="27" fillId="16" borderId="5" xfId="0" applyFont="1" applyFill="1" applyBorder="1" applyAlignment="1">
      <alignment horizontal="left" vertical="center" wrapText="1"/>
    </xf>
    <xf numFmtId="0" fontId="27" fillId="3" borderId="6" xfId="0" applyFont="1" applyFill="1" applyBorder="1" applyAlignment="1">
      <alignment horizontal="center" vertical="center" wrapText="1"/>
    </xf>
    <xf numFmtId="0" fontId="27" fillId="3" borderId="12" xfId="0" applyFont="1" applyFill="1" applyBorder="1" applyAlignment="1">
      <alignment horizontal="center" vertical="center" wrapText="1"/>
    </xf>
    <xf numFmtId="0" fontId="27" fillId="3" borderId="21" xfId="0" applyFont="1" applyFill="1" applyBorder="1" applyAlignment="1">
      <alignment horizontal="center" vertical="center" wrapText="1"/>
    </xf>
    <xf numFmtId="0" fontId="27" fillId="15" borderId="36" xfId="0" applyFont="1" applyFill="1" applyBorder="1" applyAlignment="1">
      <alignment horizontal="center" vertical="center" wrapText="1"/>
    </xf>
    <xf numFmtId="0" fontId="27" fillId="15" borderId="37" xfId="0" applyFont="1" applyFill="1" applyBorder="1" applyAlignment="1">
      <alignment horizontal="center" vertical="center" wrapText="1"/>
    </xf>
    <xf numFmtId="0" fontId="27" fillId="15" borderId="38" xfId="0" applyFont="1" applyFill="1" applyBorder="1" applyAlignment="1">
      <alignment horizontal="center" vertical="center" wrapText="1"/>
    </xf>
    <xf numFmtId="0" fontId="14" fillId="15" borderId="0" xfId="0" applyFont="1" applyFill="1" applyBorder="1" applyAlignment="1">
      <alignment horizontal="center" vertical="center" wrapText="1"/>
    </xf>
    <xf numFmtId="0" fontId="27" fillId="16" borderId="30" xfId="0" applyFont="1" applyFill="1" applyBorder="1" applyAlignment="1">
      <alignment horizontal="left" vertical="center" wrapText="1"/>
    </xf>
    <xf numFmtId="0" fontId="27" fillId="16" borderId="19" xfId="0" applyFont="1" applyFill="1" applyBorder="1" applyAlignment="1">
      <alignment horizontal="left" vertical="center" wrapText="1"/>
    </xf>
    <xf numFmtId="0" fontId="27" fillId="16" borderId="2" xfId="0" applyFont="1" applyFill="1" applyBorder="1" applyAlignment="1">
      <alignment horizontal="left" vertical="center" wrapText="1"/>
    </xf>
    <xf numFmtId="0" fontId="34" fillId="2" borderId="36" xfId="1" applyFont="1" applyFill="1" applyBorder="1" applyAlignment="1">
      <alignment horizontal="center" vertical="center"/>
    </xf>
    <xf numFmtId="0" fontId="34" fillId="2" borderId="37" xfId="1" applyFont="1" applyFill="1" applyBorder="1" applyAlignment="1">
      <alignment horizontal="center" vertical="center"/>
    </xf>
    <xf numFmtId="0" fontId="27" fillId="2" borderId="1" xfId="1" applyFont="1" applyFill="1" applyBorder="1" applyAlignment="1">
      <alignment horizontal="center" vertical="top" wrapText="1"/>
    </xf>
    <xf numFmtId="0" fontId="35" fillId="4" borderId="0" xfId="4" applyFont="1" applyFill="1" applyAlignment="1" applyProtection="1">
      <alignment horizontal="left" vertical="center"/>
    </xf>
    <xf numFmtId="0" fontId="19" fillId="18" borderId="55" xfId="1" applyFont="1" applyFill="1" applyBorder="1" applyAlignment="1">
      <alignment horizontal="center" vertical="center" textRotation="90"/>
    </xf>
    <xf numFmtId="0" fontId="19" fillId="18" borderId="41" xfId="1" applyFont="1" applyFill="1" applyBorder="1" applyAlignment="1">
      <alignment horizontal="center" vertical="center" textRotation="90"/>
    </xf>
    <xf numFmtId="0" fontId="19" fillId="18" borderId="57" xfId="1" applyFont="1" applyFill="1" applyBorder="1" applyAlignment="1">
      <alignment horizontal="center" vertical="center" textRotation="90"/>
    </xf>
    <xf numFmtId="0" fontId="27" fillId="19" borderId="6" xfId="1" applyFont="1" applyFill="1" applyBorder="1" applyAlignment="1">
      <alignment horizontal="center" vertical="center" wrapText="1"/>
    </xf>
    <xf numFmtId="0" fontId="27" fillId="19" borderId="8" xfId="1" applyFont="1" applyFill="1" applyBorder="1" applyAlignment="1">
      <alignment horizontal="center" vertical="center" wrapText="1"/>
    </xf>
    <xf numFmtId="0" fontId="27" fillId="19" borderId="12" xfId="1" applyFont="1" applyFill="1" applyBorder="1" applyAlignment="1">
      <alignment horizontal="center" vertical="center" wrapText="1"/>
    </xf>
    <xf numFmtId="0" fontId="27" fillId="19" borderId="13" xfId="1" applyFont="1" applyFill="1" applyBorder="1" applyAlignment="1">
      <alignment horizontal="center" vertical="center" wrapText="1"/>
    </xf>
    <xf numFmtId="0" fontId="27" fillId="19" borderId="21" xfId="1" applyFont="1" applyFill="1" applyBorder="1" applyAlignment="1">
      <alignment horizontal="center" vertical="center" wrapText="1"/>
    </xf>
    <xf numFmtId="0" fontId="27" fillId="19" borderId="23" xfId="1" applyFont="1" applyFill="1" applyBorder="1" applyAlignment="1">
      <alignment horizontal="center" vertical="center" wrapText="1"/>
    </xf>
    <xf numFmtId="0" fontId="19" fillId="21" borderId="41" xfId="1" applyFont="1" applyFill="1" applyBorder="1" applyAlignment="1">
      <alignment horizontal="center" vertical="center" textRotation="90"/>
    </xf>
    <xf numFmtId="0" fontId="27" fillId="22" borderId="6" xfId="1" applyFont="1" applyFill="1" applyBorder="1" applyAlignment="1">
      <alignment horizontal="center" vertical="center" wrapText="1"/>
    </xf>
    <xf numFmtId="0" fontId="27" fillId="22" borderId="8" xfId="1" applyFont="1" applyFill="1" applyBorder="1" applyAlignment="1">
      <alignment horizontal="center" vertical="center" wrapText="1"/>
    </xf>
    <xf numFmtId="0" fontId="27" fillId="22" borderId="12" xfId="1" applyFont="1" applyFill="1" applyBorder="1" applyAlignment="1">
      <alignment horizontal="center" vertical="center" wrapText="1"/>
    </xf>
    <xf numFmtId="0" fontId="27" fillId="22" borderId="13" xfId="1" applyFont="1" applyFill="1" applyBorder="1" applyAlignment="1">
      <alignment horizontal="center" vertical="center" wrapText="1"/>
    </xf>
    <xf numFmtId="0" fontId="27" fillId="22" borderId="21" xfId="1" applyFont="1" applyFill="1" applyBorder="1" applyAlignment="1">
      <alignment horizontal="center" vertical="center" wrapText="1"/>
    </xf>
    <xf numFmtId="0" fontId="27" fillId="22" borderId="23" xfId="1" applyFont="1" applyFill="1" applyBorder="1" applyAlignment="1">
      <alignment horizontal="center" vertical="center" wrapText="1"/>
    </xf>
    <xf numFmtId="0" fontId="27" fillId="22" borderId="38" xfId="1" applyFont="1" applyFill="1" applyBorder="1" applyAlignment="1">
      <alignment horizontal="center" vertical="center" wrapText="1"/>
    </xf>
    <xf numFmtId="0" fontId="27" fillId="22" borderId="49" xfId="1" applyFont="1" applyFill="1" applyBorder="1" applyAlignment="1">
      <alignment horizontal="center" vertical="center" wrapText="1"/>
    </xf>
    <xf numFmtId="0" fontId="19" fillId="17" borderId="51" xfId="1" applyFont="1" applyFill="1" applyBorder="1" applyAlignment="1">
      <alignment horizontal="center" vertical="center" textRotation="90"/>
    </xf>
    <xf numFmtId="0" fontId="27" fillId="20" borderId="38" xfId="1" applyFont="1" applyFill="1" applyBorder="1" applyAlignment="1">
      <alignment horizontal="center" vertical="center" wrapText="1"/>
    </xf>
    <xf numFmtId="0" fontId="27" fillId="20" borderId="58" xfId="1" applyFont="1" applyFill="1" applyBorder="1" applyAlignment="1">
      <alignment horizontal="center" vertical="center" wrapText="1"/>
    </xf>
    <xf numFmtId="0" fontId="27" fillId="20" borderId="59" xfId="1" applyFont="1" applyFill="1" applyBorder="1" applyAlignment="1">
      <alignment horizontal="center" vertical="center" wrapText="1"/>
    </xf>
    <xf numFmtId="0" fontId="27" fillId="20" borderId="61" xfId="1" applyFont="1" applyFill="1" applyBorder="1" applyAlignment="1">
      <alignment horizontal="center" vertical="center" wrapText="1"/>
    </xf>
    <xf numFmtId="0" fontId="27" fillId="2" borderId="35" xfId="1" applyFont="1" applyFill="1" applyBorder="1" applyAlignment="1">
      <alignment horizontal="center" vertical="top" wrapText="1"/>
    </xf>
    <xf numFmtId="0" fontId="39" fillId="4" borderId="0" xfId="4" applyFont="1" applyFill="1" applyAlignment="1" applyProtection="1">
      <alignment horizontal="left" vertical="center"/>
    </xf>
    <xf numFmtId="0" fontId="19" fillId="18" borderId="51" xfId="1" applyFont="1" applyFill="1" applyBorder="1" applyAlignment="1">
      <alignment horizontal="center" vertical="center" textRotation="90"/>
    </xf>
    <xf numFmtId="0" fontId="27" fillId="3" borderId="6" xfId="1" applyFont="1" applyFill="1" applyBorder="1" applyAlignment="1">
      <alignment horizontal="center" vertical="center" wrapText="1"/>
    </xf>
    <xf numFmtId="0" fontId="27" fillId="3" borderId="8" xfId="1" applyFont="1" applyFill="1" applyBorder="1" applyAlignment="1">
      <alignment horizontal="center" vertical="center" wrapText="1"/>
    </xf>
    <xf numFmtId="0" fontId="27" fillId="3" borderId="12" xfId="1" applyFont="1" applyFill="1" applyBorder="1" applyAlignment="1">
      <alignment horizontal="center" vertical="center" wrapText="1"/>
    </xf>
    <xf numFmtId="0" fontId="27" fillId="3" borderId="13" xfId="1" applyFont="1" applyFill="1" applyBorder="1" applyAlignment="1">
      <alignment horizontal="center" vertical="center" wrapText="1"/>
    </xf>
    <xf numFmtId="0" fontId="27" fillId="3" borderId="21" xfId="1" applyFont="1" applyFill="1" applyBorder="1" applyAlignment="1">
      <alignment horizontal="center" vertical="center" wrapText="1"/>
    </xf>
    <xf numFmtId="0" fontId="27" fillId="3" borderId="23" xfId="1" applyFont="1" applyFill="1" applyBorder="1" applyAlignment="1">
      <alignment horizontal="center" vertical="center" wrapText="1"/>
    </xf>
    <xf numFmtId="0" fontId="19" fillId="21" borderId="51" xfId="1" applyFont="1" applyFill="1" applyBorder="1" applyAlignment="1">
      <alignment horizontal="center" vertical="center" textRotation="90"/>
    </xf>
    <xf numFmtId="0" fontId="27" fillId="22" borderId="44" xfId="1" applyFont="1" applyFill="1" applyBorder="1" applyAlignment="1">
      <alignment horizontal="center" vertical="center" wrapText="1"/>
    </xf>
    <xf numFmtId="0" fontId="27" fillId="22" borderId="46" xfId="1" applyFont="1" applyFill="1" applyBorder="1" applyAlignment="1">
      <alignment horizontal="center" vertical="center" wrapText="1"/>
    </xf>
    <xf numFmtId="0" fontId="27" fillId="22" borderId="40" xfId="1" applyFont="1" applyFill="1" applyBorder="1" applyAlignment="1">
      <alignment horizontal="center" vertical="center" wrapText="1"/>
    </xf>
    <xf numFmtId="0" fontId="19" fillId="17" borderId="55" xfId="1" applyFont="1" applyFill="1" applyBorder="1" applyAlignment="1">
      <alignment horizontal="center" vertical="center" textRotation="90"/>
    </xf>
    <xf numFmtId="0" fontId="19" fillId="17" borderId="41" xfId="1" applyFont="1" applyFill="1" applyBorder="1" applyAlignment="1">
      <alignment horizontal="center" vertical="center" textRotation="90"/>
    </xf>
    <xf numFmtId="0" fontId="19" fillId="17" borderId="57" xfId="1" applyFont="1" applyFill="1" applyBorder="1" applyAlignment="1">
      <alignment horizontal="center" vertical="center" textRotation="90"/>
    </xf>
    <xf numFmtId="0" fontId="27" fillId="20" borderId="63" xfId="1" applyFont="1" applyFill="1" applyBorder="1" applyAlignment="1">
      <alignment horizontal="center" vertical="center" wrapText="1"/>
    </xf>
    <xf numFmtId="0" fontId="27" fillId="20" borderId="49" xfId="1" applyFont="1" applyFill="1" applyBorder="1" applyAlignment="1">
      <alignment horizontal="center" vertical="center" wrapText="1"/>
    </xf>
    <xf numFmtId="0" fontId="27" fillId="20" borderId="47" xfId="1" applyFont="1" applyFill="1" applyBorder="1" applyAlignment="1">
      <alignment horizontal="center" vertical="center" wrapText="1"/>
    </xf>
    <xf numFmtId="14" fontId="28" fillId="0" borderId="55" xfId="0" applyNumberFormat="1" applyFont="1" applyFill="1" applyBorder="1" applyAlignment="1">
      <alignment horizontal="center" vertical="center" wrapText="1"/>
    </xf>
    <xf numFmtId="14" fontId="28" fillId="0" borderId="70" xfId="0" quotePrefix="1" applyNumberFormat="1" applyFont="1" applyFill="1" applyBorder="1" applyAlignment="1">
      <alignment horizontal="center" vertical="center" wrapText="1"/>
    </xf>
  </cellXfs>
  <cellStyles count="29">
    <cellStyle name="_Planning résultats-Results Plan" xfId="2"/>
    <cellStyle name="AutoFormat-Optionen" xfId="3"/>
    <cellStyle name="Lien hypertexte 2" xfId="4"/>
    <cellStyle name="Milliers 2" xfId="5"/>
    <cellStyle name="Milliers 2 2" xfId="25"/>
    <cellStyle name="Milliers 3" xfId="6"/>
    <cellStyle name="Milliers 3 2" xfId="26"/>
    <cellStyle name="Normal 2" xfId="1"/>
    <cellStyle name="Normal 2 2" xfId="7"/>
    <cellStyle name="Normal 3" xfId="8"/>
    <cellStyle name="Normal 3 2" xfId="9"/>
    <cellStyle name="Normal 3 3" xfId="24"/>
    <cellStyle name="Normal 4" xfId="10"/>
    <cellStyle name="Normal 5" xfId="11"/>
    <cellStyle name="Normal 5 2" xfId="12"/>
    <cellStyle name="Normal 6" xfId="13"/>
    <cellStyle name="Normal 7" xfId="14"/>
    <cellStyle name="Normal 8" xfId="15"/>
    <cellStyle name="Normal 8 2" xfId="16"/>
    <cellStyle name="Normal 9" xfId="27"/>
    <cellStyle name="normální_List1" xfId="17"/>
    <cellStyle name="Pourcentage 2" xfId="18"/>
    <cellStyle name="Pourcentage 2 2" xfId="19"/>
    <cellStyle name="Style 1" xfId="20"/>
    <cellStyle name="Währung [0]_CTFE T56 06.01.2005" xfId="21"/>
    <cellStyle name="Währung_CTFE T56 06.01.2005" xfId="22"/>
    <cellStyle name="標準_TIS (2)" xfId="23"/>
    <cellStyle name="常规" xfId="0" builtinId="0"/>
    <cellStyle name="超链接" xfId="28" builtinId="8"/>
  </cellStyles>
  <dxfs count="54">
    <dxf>
      <fill>
        <patternFill patternType="solid">
          <bgColor rgb="FF00FF00"/>
        </patternFill>
      </fill>
    </dxf>
    <dxf>
      <fill>
        <patternFill>
          <bgColor rgb="FFFFC000"/>
        </patternFill>
      </fill>
    </dxf>
    <dxf>
      <fill>
        <patternFill>
          <bgColor rgb="FFFF0000"/>
        </patternFill>
      </fill>
    </dxf>
    <dxf>
      <font>
        <color theme="0"/>
      </font>
      <fill>
        <patternFill>
          <bgColor theme="1" tint="4.9989318521683403E-2"/>
        </patternFill>
      </fill>
    </dxf>
    <dxf>
      <fill>
        <patternFill>
          <bgColor theme="0" tint="-0.24994659260841701"/>
        </patternFill>
      </fill>
    </dxf>
    <dxf>
      <fill>
        <patternFill>
          <bgColor rgb="FFFFC000"/>
        </patternFill>
      </fill>
    </dxf>
    <dxf>
      <fill>
        <patternFill>
          <bgColor theme="1" tint="4.9989318521683403E-2"/>
        </patternFill>
      </fill>
    </dxf>
    <dxf>
      <fill>
        <patternFill>
          <bgColor rgb="FFFFFF00"/>
        </patternFill>
      </fill>
    </dxf>
    <dxf>
      <fill>
        <patternFill>
          <bgColor rgb="FFFFFF00"/>
        </patternFill>
      </fill>
    </dxf>
    <dxf>
      <fill>
        <patternFill>
          <bgColor rgb="FFFF0000"/>
        </patternFill>
      </fill>
    </dxf>
    <dxf>
      <fill>
        <patternFill>
          <bgColor rgb="FF00FF00"/>
        </patternFill>
      </fill>
    </dxf>
    <dxf>
      <fill>
        <patternFill>
          <bgColor rgb="FFFF0000"/>
        </patternFill>
      </fill>
    </dxf>
    <dxf>
      <fill>
        <patternFill>
          <bgColor rgb="FFFFC000"/>
        </patternFill>
      </fill>
    </dxf>
    <dxf>
      <fill>
        <patternFill>
          <bgColor theme="0" tint="-0.14996795556505021"/>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s>
  <tableStyles count="0" defaultTableStyle="TableStyleMedium2" defaultPivotStyle="PivotStyleLight16"/>
  <colors>
    <mruColors>
      <color rgb="FF0000FF"/>
      <color rgb="FF00FF00"/>
      <color rgb="FFFBD4B4"/>
      <color rgb="FFFFFFFF"/>
      <color rgb="FF99FFCC"/>
      <color rgb="FFDDDDDD"/>
      <color rgb="FF00CC66"/>
      <color rgb="FFFFCCFF"/>
      <color rgb="FFFF66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tyles" Target="styles.xml"/>
  <Relationship Id="rId11" Type="http://schemas.openxmlformats.org/officeDocument/2006/relationships/sharedStrings" Target="sharedStrings.xml"/>
  <Relationship Id="rId12" Type="http://schemas.openxmlformats.org/officeDocument/2006/relationships/calcChain" Target="calcChain.xml"/>
  <Relationship Id="rId13" Type="http://schemas.openxmlformats.org/officeDocument/2006/relationships/customXml" Target="../customXml/item1.xml"/>
  <Relationship Id="rId14" Type="http://schemas.openxmlformats.org/officeDocument/2006/relationships/customXml" Target="../customXml/item2.xml"/>
  <Relationship Id="rId15"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externalLink" Target="externalLinks/externalLink3.xml"/>
  <Relationship Id="rId9" Type="http://schemas.openxmlformats.org/officeDocument/2006/relationships/theme" Target="theme/theme1.xml"/>
</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Planning </a:t>
            </a:r>
            <a:r>
              <a:rPr lang="en-US" baseline="0"/>
              <a:t>/ </a:t>
            </a:r>
            <a:r>
              <a:rPr lang="en-US">
                <a:solidFill>
                  <a:srgbClr val="0000FF"/>
                </a:solidFill>
              </a:rPr>
              <a:t>Schedule</a:t>
            </a:r>
          </a:p>
        </c:rich>
      </c:tx>
      <c:layout>
        <c:manualLayout>
          <c:xMode val="edge"/>
          <c:yMode val="edge"/>
          <c:x val="9.4462513258222833E-3"/>
          <c:y val="2.4277567145633543E-2"/>
        </c:manualLayout>
      </c:layout>
      <c:overlay val="0"/>
    </c:title>
    <c:autoTitleDeleted val="0"/>
    <c:plotArea>
      <c:layout>
        <c:manualLayout>
          <c:layoutTarget val="inner"/>
          <c:xMode val="edge"/>
          <c:yMode val="edge"/>
          <c:x val="0.20192709709263046"/>
          <c:y val="0.23689910912574785"/>
          <c:w val="0.41486089188735192"/>
          <c:h val="0.73002597162458405"/>
        </c:manualLayout>
      </c:layout>
      <c:pieChart>
        <c:varyColors val="1"/>
        <c:ser>
          <c:idx val="0"/>
          <c:order val="0"/>
          <c:tx>
            <c:strRef>
              <c:f>'TIMING PLAN PDP'!$G$106:$G$110</c:f>
              <c:strCache>
                <c:ptCount val="5"/>
                <c:pt idx="0">
                  <c:v>0</c:v>
                </c:pt>
                <c:pt idx="1">
                  <c:v>0</c:v>
                </c:pt>
                <c:pt idx="2">
                  <c:v>0</c:v>
                </c:pt>
                <c:pt idx="3">
                  <c:v>0</c:v>
                </c:pt>
                <c:pt idx="4">
                  <c:v>72</c:v>
                </c:pt>
              </c:strCache>
            </c:strRef>
          </c:tx>
          <c:dPt>
            <c:idx val="0"/>
            <c:bubble3D val="0"/>
            <c:spPr>
              <a:solidFill>
                <a:srgbClr val="00FF00"/>
              </a:solidFill>
            </c:spPr>
            <c:extLst xmlns:c16r2="http://schemas.microsoft.com/office/drawing/2015/06/chart">
              <c:ext xmlns:c16="http://schemas.microsoft.com/office/drawing/2014/chart" uri="{C3380CC4-5D6E-409C-BE32-E72D297353CC}">
                <c16:uniqueId val="{00000001-E4FA-4D74-BBE3-60591C818F5E}"/>
              </c:ext>
            </c:extLst>
          </c:dPt>
          <c:dPt>
            <c:idx val="1"/>
            <c:bubble3D val="0"/>
            <c:spPr>
              <a:solidFill>
                <a:srgbClr val="FFC000"/>
              </a:solidFill>
            </c:spPr>
            <c:extLst xmlns:c16r2="http://schemas.microsoft.com/office/drawing/2015/06/chart">
              <c:ext xmlns:c16="http://schemas.microsoft.com/office/drawing/2014/chart" uri="{C3380CC4-5D6E-409C-BE32-E72D297353CC}">
                <c16:uniqueId val="{00000003-E4FA-4D74-BBE3-60591C818F5E}"/>
              </c:ext>
            </c:extLst>
          </c:dPt>
          <c:dPt>
            <c:idx val="2"/>
            <c:bubble3D val="0"/>
            <c:spPr>
              <a:solidFill>
                <a:srgbClr val="FF0000"/>
              </a:solidFill>
            </c:spPr>
            <c:extLst xmlns:c16r2="http://schemas.microsoft.com/office/drawing/2015/06/chart">
              <c:ext xmlns:c16="http://schemas.microsoft.com/office/drawing/2014/chart" uri="{C3380CC4-5D6E-409C-BE32-E72D297353CC}">
                <c16:uniqueId val="{00000005-E4FA-4D74-BBE3-60591C818F5E}"/>
              </c:ext>
            </c:extLst>
          </c:dPt>
          <c:dPt>
            <c:idx val="3"/>
            <c:bubble3D val="0"/>
            <c:spPr>
              <a:solidFill>
                <a:schemeClr val="tx1"/>
              </a:solidFill>
            </c:spPr>
            <c:extLst xmlns:c16r2="http://schemas.microsoft.com/office/drawing/2015/06/chart">
              <c:ext xmlns:c16="http://schemas.microsoft.com/office/drawing/2014/chart" uri="{C3380CC4-5D6E-409C-BE32-E72D297353CC}">
                <c16:uniqueId val="{00000007-E4FA-4D74-BBE3-60591C818F5E}"/>
              </c:ext>
            </c:extLst>
          </c:dPt>
          <c:dPt>
            <c:idx val="4"/>
            <c:bubble3D val="0"/>
            <c:spPr>
              <a:solidFill>
                <a:srgbClr val="FFFF00"/>
              </a:solidFill>
            </c:spPr>
            <c:extLst xmlns:c16r2="http://schemas.microsoft.com/office/drawing/2015/06/chart">
              <c:ext xmlns:c16="http://schemas.microsoft.com/office/drawing/2014/chart" uri="{C3380CC4-5D6E-409C-BE32-E72D297353CC}">
                <c16:uniqueId val="{00000009-E4FA-4D74-BBE3-60591C818F5E}"/>
              </c:ext>
            </c:extLst>
          </c:dPt>
          <c:dLbls>
            <c:spPr>
              <a:noFill/>
              <a:ln>
                <a:noFill/>
              </a:ln>
              <a:effectLst/>
            </c:spPr>
            <c:dLblPos val="bestFit"/>
            <c:showLegendKey val="0"/>
            <c:showVal val="1"/>
            <c:showCatName val="0"/>
            <c:showSerName val="0"/>
            <c:showPercent val="0"/>
            <c:showBubbleSize val="0"/>
            <c:showLeaderLines val="1"/>
            <c:extLst xmlns:c16r2="http://schemas.microsoft.com/office/drawing/2015/06/chart">
              <c:ext xmlns:c15="http://schemas.microsoft.com/office/drawing/2012/chart" uri="{CE6537A1-D6FC-4f65-9D91-7224C49458BB}">
                <c15:layout/>
              </c:ext>
            </c:extLst>
          </c:dLbls>
          <c:cat>
            <c:strLit>
              <c:ptCount val="6"/>
              <c:pt idx="0">
                <c:v>OK</c:v>
              </c:pt>
              <c:pt idx="1">
                <c:v>Partial</c:v>
              </c:pt>
              <c:pt idx="2">
                <c:v>NOK</c:v>
              </c:pt>
              <c:pt idx="3">
                <c:v>REJECT</c:v>
              </c:pt>
              <c:pt idx="4">
                <c:v>Not Rated</c:v>
              </c:pt>
              <c:pt idx="5">
                <c:v>NA</c:v>
              </c:pt>
            </c:strLit>
          </c:cat>
          <c:val>
            <c:numRef>
              <c:f>'TIMING PLAN PDP'!$G$106:$G$110</c:f>
              <c:numCache>
                <c:formatCode>General</c:formatCode>
                <c:ptCount val="5"/>
                <c:pt idx="0">
                  <c:v>0</c:v>
                </c:pt>
                <c:pt idx="1">
                  <c:v>0</c:v>
                </c:pt>
                <c:pt idx="2">
                  <c:v>0</c:v>
                </c:pt>
                <c:pt idx="3">
                  <c:v>0</c:v>
                </c:pt>
                <c:pt idx="4">
                  <c:v>72</c:v>
                </c:pt>
              </c:numCache>
            </c:numRef>
          </c:val>
          <c:extLst xmlns:c16r2="http://schemas.microsoft.com/office/drawing/2015/06/chart">
            <c:ext xmlns:c16="http://schemas.microsoft.com/office/drawing/2014/chart" uri="{C3380CC4-5D6E-409C-BE32-E72D297353CC}">
              <c16:uniqueId val="{0000000A-E4FA-4D74-BBE3-60591C818F5E}"/>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9936937007959363"/>
          <c:y val="0.1843521319717365"/>
          <c:w val="0.18185806958953624"/>
          <c:h val="0.73718233762495089"/>
        </c:manualLayout>
      </c:layout>
      <c:overlay val="0"/>
      <c:txPr>
        <a:bodyPr/>
        <a:lstStyle/>
        <a:p>
          <a:pPr rtl="0">
            <a:defRPr/>
          </a:pPr>
          <a:endParaRPr lang="zh-CN"/>
        </a:p>
      </c:txPr>
    </c:legend>
    <c:plotVisOnly val="1"/>
    <c:dispBlanksAs val="gap"/>
    <c:showDLblsOverMax val="0"/>
  </c:chart>
  <c:printSettings>
    <c:headerFooter/>
    <c:pageMargins b="0.75" l="0.7" r="0.7" t="0.75" header="0.3" footer="0.3"/>
    <c:pageSetup/>
  </c:printSettings>
</c:chartSpace>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xdr:from>
      <xdr:col>0</xdr:col>
      <xdr:colOff>66675</xdr:colOff>
      <xdr:row>1</xdr:row>
      <xdr:rowOff>592857</xdr:rowOff>
    </xdr:from>
    <xdr:to>
      <xdr:col>9</xdr:col>
      <xdr:colOff>638627</xdr:colOff>
      <xdr:row>1</xdr:row>
      <xdr:rowOff>592874</xdr:rowOff>
    </xdr:to>
    <xdr:grpSp>
      <xdr:nvGrpSpPr>
        <xdr:cNvPr id="3" name="Groupe 2">
          <a:extLst>
            <a:ext uri="{FF2B5EF4-FFF2-40B4-BE49-F238E27FC236}">
              <a16:creationId xmlns:a16="http://schemas.microsoft.com/office/drawing/2014/main" xmlns="" id="{00000000-0008-0000-0000-000003000000}"/>
            </a:ext>
          </a:extLst>
        </xdr:cNvPr>
        <xdr:cNvGrpSpPr/>
      </xdr:nvGrpSpPr>
      <xdr:grpSpPr>
        <a:xfrm>
          <a:off x="66675" y="684297"/>
          <a:ext cx="6980372" cy="17"/>
          <a:chOff x="118908" y="509571"/>
          <a:chExt cx="8401502" cy="17"/>
        </a:xfrm>
      </xdr:grpSpPr>
      <xdr:cxnSp macro="">
        <xdr:nvCxnSpPr>
          <xdr:cNvPr id="5" name="Connecteur droit 4">
            <a:extLst>
              <a:ext uri="{FF2B5EF4-FFF2-40B4-BE49-F238E27FC236}">
                <a16:creationId xmlns:a16="http://schemas.microsoft.com/office/drawing/2014/main" xmlns="" id="{00000000-0008-0000-0000-000005000000}"/>
              </a:ext>
            </a:extLst>
          </xdr:cNvPr>
          <xdr:cNvCxnSpPr/>
        </xdr:nvCxnSpPr>
        <xdr:spPr>
          <a:xfrm>
            <a:off x="118908" y="509587"/>
            <a:ext cx="1800000" cy="1"/>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xmlns="" id="{00000000-0008-0000-0000-000006000000}"/>
              </a:ext>
            </a:extLst>
          </xdr:cNvPr>
          <xdr:cNvCxnSpPr/>
        </xdr:nvCxnSpPr>
        <xdr:spPr>
          <a:xfrm>
            <a:off x="6720410" y="509571"/>
            <a:ext cx="1800000" cy="1"/>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3</xdr:col>
      <xdr:colOff>533399</xdr:colOff>
      <xdr:row>1</xdr:row>
      <xdr:rowOff>57150</xdr:rowOff>
    </xdr:from>
    <xdr:to>
      <xdr:col>7</xdr:col>
      <xdr:colOff>38099</xdr:colOff>
      <xdr:row>1</xdr:row>
      <xdr:rowOff>1133475</xdr:rowOff>
    </xdr:to>
    <xdr:pic>
      <xdr:nvPicPr>
        <xdr:cNvPr id="7" name="Image 6" descr="Logo_Stellantis_Signature_RGB-02">
          <a:extLst>
            <a:ext uri="{FF2B5EF4-FFF2-40B4-BE49-F238E27FC236}">
              <a16:creationId xmlns:a16="http://schemas.microsoft.com/office/drawing/2014/main" xmlns="" id="{00000000-0008-0000-0000-000007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99" y="152400"/>
          <a:ext cx="3038475" cy="10763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4720771</xdr:colOff>
      <xdr:row>6</xdr:row>
      <xdr:rowOff>554266</xdr:rowOff>
    </xdr:from>
    <xdr:to>
      <xdr:col>4</xdr:col>
      <xdr:colOff>9960382</xdr:colOff>
      <xdr:row>6</xdr:row>
      <xdr:rowOff>2998480</xdr:rowOff>
    </xdr:to>
    <xdr:pic>
      <xdr:nvPicPr>
        <xdr:cNvPr id="2" name="Image 1">
          <a:extLst>
            <a:ext uri="{FF2B5EF4-FFF2-40B4-BE49-F238E27FC236}">
              <a16:creationId xmlns:a16="http://schemas.microsoft.com/office/drawing/2014/main" xmlns="" id="{FDAC3572-B3CB-4145-83FB-6CF2067687EB}"/>
            </a:ext>
          </a:extLst>
        </xdr:cNvPr>
        <xdr:cNvPicPr>
          <a:picLocks noChangeAspect="1"/>
        </xdr:cNvPicPr>
      </xdr:nvPicPr>
      <xdr:blipFill>
        <a:blip xmlns:r="http://schemas.openxmlformats.org/officeDocument/2006/relationships" r:embed="rId1"/>
        <a:stretch>
          <a:fillRect/>
        </a:stretch>
      </xdr:blipFill>
      <xdr:spPr>
        <a:xfrm>
          <a:off x="10524671" y="7640866"/>
          <a:ext cx="5247231" cy="24480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542925</xdr:colOff>
      <xdr:row>104</xdr:row>
      <xdr:rowOff>133350</xdr:rowOff>
    </xdr:from>
    <xdr:to>
      <xdr:col>5</xdr:col>
      <xdr:colOff>1407816</xdr:colOff>
      <xdr:row>111</xdr:row>
      <xdr:rowOff>160119</xdr:rowOff>
    </xdr:to>
    <xdr:graphicFrame macro="">
      <xdr:nvGraphicFramePr>
        <xdr:cNvPr id="2" name="Graphique 1">
          <a:extLst>
            <a:ext uri="{FF2B5EF4-FFF2-40B4-BE49-F238E27FC236}">
              <a16:creationId xmlns:a16="http://schemas.microsoft.com/office/drawing/2014/main" xmlns="" id="{56387A27-5510-46E8-80C7-A6698AC40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https://shiftup-my.sharepoint.com/User/U156087/QSEE/05%20EBx/EB2DT/CPPR/Ex-Diesel%20&#8364;6/Grille%20d'analyse.xls"/>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https://shiftup-my.sharepoint.com/User/C027518/Documents/Antoine/1%20AVP%20-%20en%20cours/32_DCROSS/31_D85_D74/RFQ%203118/RFQ1/0000_GENERAL_DOCUMENTS/02017_18_00534_Technical_answer_Supplier_RFQ.xlsm"/>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https://shiftup-my.sharepoint.com/Users/u354083/AppData/Local/Temp/notes6EC84F/~7137386.xls"/>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de garde"/>
      <sheetName val="Data"/>
      <sheetName val="Matrice de conformité MRF+CPPR "/>
      <sheetName val="Synthèse livrables"/>
      <sheetName val="Bosch"/>
      <sheetName val="Continental"/>
      <sheetName val="DDS"/>
    </sheetNames>
    <sheetDataSet>
      <sheetData sheetId="0"/>
      <sheetData sheetId="1">
        <row r="2">
          <cell r="A2" t="str">
            <v>C</v>
          </cell>
        </row>
        <row r="3">
          <cell r="A3" t="str">
            <v>EC</v>
          </cell>
        </row>
        <row r="4">
          <cell r="A4" t="str">
            <v>NC</v>
          </cell>
        </row>
        <row r="5">
          <cell r="A5" t="str">
            <v>R</v>
          </cell>
        </row>
        <row r="6">
          <cell r="A6" t="str">
            <v>-</v>
          </cell>
        </row>
      </sheetData>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ête - 1st Page"/>
      <sheetName val="Legend"/>
      <sheetName val="DOCUMENTS RELEASED"/>
      <sheetName val="QUOTATION"/>
      <sheetName val="A. STAFFING"/>
      <sheetName val="B. MECHANICS"/>
      <sheetName val="C. ELECTRONICS"/>
      <sheetName val="D. SOFTWARE"/>
      <sheetName val="E. OPTICS"/>
      <sheetName val="F. CONFORMITY MATRICES"/>
      <sheetName val="G. QUALITY SAFETY VALIDATION"/>
      <sheetName val="H. SCHEDULE"/>
      <sheetName val="I. Options"/>
      <sheetName val="J. Others"/>
    </sheetNames>
    <sheetDataSet>
      <sheetData sheetId="0"/>
      <sheetData sheetId="1">
        <row r="15">
          <cell r="B15" t="str">
            <v>OK</v>
          </cell>
        </row>
        <row r="16">
          <cell r="B16" t="str">
            <v>Partial</v>
          </cell>
        </row>
        <row r="17">
          <cell r="B17" t="str">
            <v>NOK</v>
          </cell>
        </row>
        <row r="18">
          <cell r="B18" t="str">
            <v>REJECT</v>
          </cell>
        </row>
        <row r="19">
          <cell r="B19" t="str">
            <v>Not Rated</v>
          </cell>
        </row>
        <row r="20">
          <cell r="B20" t="str">
            <v>N/A</v>
          </cell>
        </row>
      </sheetData>
      <sheetData sheetId="2"/>
      <sheetData sheetId="3">
        <row r="65">
          <cell r="B65" t="str">
            <v>OK</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Clauses et Reponse "/>
      <sheetName val="Planning"/>
      <sheetName val="Obj Qualité"/>
      <sheetName val="Obj Conformité"/>
      <sheetName val="LDE"/>
      <sheetName val="Parametres"/>
    </sheetNames>
    <sheetDataSet>
      <sheetData sheetId="0" refreshError="1"/>
      <sheetData sheetId="1">
        <row r="2">
          <cell r="K2" t="str">
            <v>Tableau de Réponse</v>
          </cell>
        </row>
        <row r="3">
          <cell r="C3" t="str">
            <v>EXIGENCES CPPR</v>
          </cell>
          <cell r="K3" t="str">
            <v>REPONSE FOURNISSEUR</v>
          </cell>
          <cell r="N3" t="str">
            <v>REPONSE PCA</v>
          </cell>
        </row>
        <row r="4">
          <cell r="C4" t="str">
            <v xml:space="preserve">Référence </v>
          </cell>
          <cell r="K4" t="str">
            <v>Réponse FNR</v>
          </cell>
          <cell r="L4" t="str">
            <v>Justification</v>
          </cell>
          <cell r="M4" t="str">
            <v>Propositions</v>
          </cell>
          <cell r="N4" t="str">
            <v>Statut</v>
          </cell>
          <cell r="O4" t="str">
            <v>Commentaires</v>
          </cell>
        </row>
        <row r="16">
          <cell r="C16" t="str">
            <v>OFFRE_01_GEN</v>
          </cell>
        </row>
        <row r="17">
          <cell r="C17" t="str">
            <v>OFFRE_02_GEN</v>
          </cell>
        </row>
        <row r="18">
          <cell r="C18" t="str">
            <v>OFFRE_03_GEN</v>
          </cell>
        </row>
        <row r="19">
          <cell r="C19" t="str">
            <v>OFFRE_04_GEN</v>
          </cell>
        </row>
        <row r="20">
          <cell r="C20" t="str">
            <v>OFFRE_05_GEN</v>
          </cell>
        </row>
        <row r="21">
          <cell r="C21" t="str">
            <v>OFFRE_06_GEN</v>
          </cell>
        </row>
        <row r="22">
          <cell r="C22" t="str">
            <v>OFFRE_07_GEN</v>
          </cell>
        </row>
        <row r="23">
          <cell r="C23" t="str">
            <v>OFFRE_09_MAT</v>
          </cell>
        </row>
        <row r="24">
          <cell r="C24" t="str">
            <v>OFFRE_10_MAT</v>
          </cell>
        </row>
        <row r="25">
          <cell r="C25" t="str">
            <v>OFFRE_11_MAT</v>
          </cell>
        </row>
        <row r="26">
          <cell r="C26" t="str">
            <v>OFFRE_12_MAT</v>
          </cell>
        </row>
        <row r="27">
          <cell r="C27" t="str">
            <v>OFFRE_31_SDF</v>
          </cell>
        </row>
        <row r="28">
          <cell r="C28" t="str">
            <v>OFFRE_32_SDF</v>
          </cell>
        </row>
        <row r="31">
          <cell r="C31" t="str">
            <v>OFFRE_13_GEN</v>
          </cell>
        </row>
        <row r="32">
          <cell r="C32" t="str">
            <v>OFFRE_33_SDF</v>
          </cell>
        </row>
        <row r="33">
          <cell r="C33" t="str">
            <v>OFFRE_34_SDF</v>
          </cell>
        </row>
        <row r="34">
          <cell r="C34" t="str">
            <v>OFFRE_14_GEN</v>
          </cell>
        </row>
        <row r="35">
          <cell r="C35" t="str">
            <v>OFFRE_15_GEN</v>
          </cell>
        </row>
        <row r="37">
          <cell r="C37" t="str">
            <v>OFFRE_16_GEN</v>
          </cell>
        </row>
        <row r="38">
          <cell r="C38" t="str">
            <v>OFFRE_17_GEN</v>
          </cell>
        </row>
        <row r="39">
          <cell r="C39" t="str">
            <v>OFFRE_18_GEN</v>
          </cell>
        </row>
        <row r="40">
          <cell r="C40" t="str">
            <v>OFFRE_19_GEN</v>
          </cell>
        </row>
        <row r="41">
          <cell r="C41" t="str">
            <v>OFFRE_20_GEN</v>
          </cell>
        </row>
        <row r="42">
          <cell r="C42" t="str">
            <v>OFFRE_21_GEN</v>
          </cell>
        </row>
        <row r="44">
          <cell r="C44" t="str">
            <v>OFFRE_22_GEN</v>
          </cell>
        </row>
        <row r="45">
          <cell r="C45" t="str">
            <v>OFFRE_23_GEN</v>
          </cell>
        </row>
        <row r="46">
          <cell r="C46" t="str">
            <v>OFFRE_24_GEN</v>
          </cell>
        </row>
        <row r="47">
          <cell r="C47" t="str">
            <v>OFFRE_25_SDF</v>
          </cell>
        </row>
        <row r="48">
          <cell r="C48" t="str">
            <v>OFFRE_26_GEN</v>
          </cell>
        </row>
        <row r="49">
          <cell r="C49" t="str">
            <v>OFFRE_27_GEN</v>
          </cell>
        </row>
        <row r="51">
          <cell r="C51" t="str">
            <v>OFFRE_28_GEN</v>
          </cell>
        </row>
        <row r="53">
          <cell r="C53" t="str">
            <v>OFFRE_29_GEN</v>
          </cell>
        </row>
        <row r="54">
          <cell r="C54" t="str">
            <v>OFFRE_30_GEN</v>
          </cell>
        </row>
        <row r="59">
          <cell r="C59" t="str">
            <v>CONTRAT_01_GEN</v>
          </cell>
        </row>
        <row r="67">
          <cell r="C67" t="str">
            <v>REVUE_01_GEN</v>
          </cell>
        </row>
        <row r="68">
          <cell r="C68" t="str">
            <v>REVUE_02_GEN</v>
          </cell>
        </row>
        <row r="69">
          <cell r="C69" t="str">
            <v>REVUE_03_GEN</v>
          </cell>
        </row>
        <row r="71">
          <cell r="C71" t="str">
            <v>REVUE_04_GEN</v>
          </cell>
        </row>
        <row r="73">
          <cell r="C73" t="str">
            <v>REVUE_05_GEN</v>
          </cell>
        </row>
        <row r="74">
          <cell r="C74" t="str">
            <v>REVUE_06_GEN</v>
          </cell>
        </row>
        <row r="75">
          <cell r="C75" t="str">
            <v>REVUE_07_GEN</v>
          </cell>
        </row>
        <row r="76">
          <cell r="C76" t="str">
            <v>REVUE_08_GEN</v>
          </cell>
        </row>
        <row r="78">
          <cell r="C78" t="str">
            <v>REVUE_09_GEN</v>
          </cell>
        </row>
        <row r="79">
          <cell r="C79" t="str">
            <v>REVUE_10_SDF</v>
          </cell>
        </row>
        <row r="80">
          <cell r="C80" t="str">
            <v>REVUE_11_GEN</v>
          </cell>
        </row>
        <row r="81">
          <cell r="C81" t="str">
            <v>REVUE_12_MAT</v>
          </cell>
        </row>
        <row r="89">
          <cell r="C89" t="str">
            <v>REVUE_13_GEN</v>
          </cell>
        </row>
        <row r="92">
          <cell r="C92" t="str">
            <v>REVUE_14_GEN</v>
          </cell>
        </row>
        <row r="93">
          <cell r="C93" t="str">
            <v>REVUE_15_GEN</v>
          </cell>
        </row>
        <row r="94">
          <cell r="C94" t="str">
            <v>REVUE_16_GEN</v>
          </cell>
        </row>
        <row r="96">
          <cell r="C96" t="str">
            <v>REVUE_17_GEN</v>
          </cell>
        </row>
        <row r="97">
          <cell r="C97" t="str">
            <v>REVUE_18_GEN</v>
          </cell>
        </row>
        <row r="99">
          <cell r="C99" t="str">
            <v>REVUE_19_GEN</v>
          </cell>
        </row>
        <row r="100">
          <cell r="C100" t="str">
            <v>REVUE_20_GEN</v>
          </cell>
        </row>
        <row r="101">
          <cell r="C101" t="str">
            <v>REVUE_21_GEN</v>
          </cell>
        </row>
        <row r="103">
          <cell r="C103" t="str">
            <v>REVUE_22_GEN</v>
          </cell>
        </row>
        <row r="105">
          <cell r="C105" t="str">
            <v>REVUE_23_GEN</v>
          </cell>
        </row>
        <row r="106">
          <cell r="C106" t="str">
            <v>REVUE_24_GEN</v>
          </cell>
        </row>
        <row r="107">
          <cell r="C107" t="str">
            <v>REVUE_25_GEN</v>
          </cell>
        </row>
        <row r="109">
          <cell r="C109" t="str">
            <v>REVUE_26_GEN</v>
          </cell>
        </row>
        <row r="110">
          <cell r="C110" t="str">
            <v>REVUE_27_GEN</v>
          </cell>
        </row>
        <row r="111">
          <cell r="C111" t="str">
            <v>REVUE_28_GEN</v>
          </cell>
        </row>
        <row r="132">
          <cell r="C132" t="str">
            <v>PROJET_01_GEN</v>
          </cell>
        </row>
        <row r="133">
          <cell r="C133" t="str">
            <v>PROJET_02_GEN</v>
          </cell>
        </row>
        <row r="134">
          <cell r="C134" t="str">
            <v>PROJET_03_GEN</v>
          </cell>
        </row>
        <row r="136">
          <cell r="C136" t="str">
            <v>PROJET_04_GEN</v>
          </cell>
        </row>
        <row r="137">
          <cell r="C137" t="str">
            <v>PROJET_10_GEN</v>
          </cell>
        </row>
        <row r="141">
          <cell r="C141" t="str">
            <v>PROJET_05_GEN</v>
          </cell>
        </row>
        <row r="143">
          <cell r="C143" t="str">
            <v>PROJET_06_GEN</v>
          </cell>
        </row>
        <row r="144">
          <cell r="C144" t="str">
            <v>PROJET_07_GEN</v>
          </cell>
        </row>
        <row r="145">
          <cell r="C145" t="str">
            <v>PROJET_08_GEN</v>
          </cell>
        </row>
        <row r="147">
          <cell r="C147" t="str">
            <v>PROJET_09_GEN</v>
          </cell>
        </row>
        <row r="159">
          <cell r="C159" t="str">
            <v>PRODUIT_01_MAT</v>
          </cell>
        </row>
        <row r="160">
          <cell r="C160" t="str">
            <v>PRODUIT_02_GEN</v>
          </cell>
        </row>
        <row r="161">
          <cell r="C161" t="str">
            <v>PRODUIT_03_GEN</v>
          </cell>
        </row>
        <row r="162">
          <cell r="C162" t="str">
            <v>PRODUIT_04_GEN</v>
          </cell>
        </row>
        <row r="163">
          <cell r="C163" t="str">
            <v>PRODUIT_05_MAT</v>
          </cell>
        </row>
        <row r="164">
          <cell r="C164" t="str">
            <v>PRODUIT_06_GEN</v>
          </cell>
        </row>
        <row r="166">
          <cell r="C166" t="str">
            <v>PRODUIT_07_SDF</v>
          </cell>
        </row>
        <row r="167">
          <cell r="C167" t="str">
            <v>PRODUIT_08_GEN</v>
          </cell>
        </row>
        <row r="168">
          <cell r="C168" t="str">
            <v>PRODUIT_09_GEN</v>
          </cell>
        </row>
        <row r="169">
          <cell r="C169" t="str">
            <v>PRODUIT_48_SDF</v>
          </cell>
        </row>
        <row r="170">
          <cell r="C170" t="str">
            <v>PRODUIT_10_GEN</v>
          </cell>
        </row>
        <row r="171">
          <cell r="C171" t="str">
            <v>PRODUIT_38_SDF</v>
          </cell>
        </row>
        <row r="172">
          <cell r="C172" t="str">
            <v>PRODUIT_11_GEN</v>
          </cell>
        </row>
        <row r="173">
          <cell r="C173" t="str">
            <v>PRODUIT_12_GEN</v>
          </cell>
        </row>
        <row r="174">
          <cell r="C174" t="str">
            <v>PRODUIT_14_GEN</v>
          </cell>
        </row>
        <row r="175">
          <cell r="C175" t="str">
            <v>PRODUIT_15_GEN</v>
          </cell>
        </row>
        <row r="176">
          <cell r="C176" t="str">
            <v>PRODUIT_39_SDF</v>
          </cell>
        </row>
        <row r="177">
          <cell r="C177" t="str">
            <v>PRODUIT_40_SDF</v>
          </cell>
        </row>
        <row r="178">
          <cell r="C178" t="str">
            <v>PRODUIT_16_GEN</v>
          </cell>
        </row>
        <row r="179">
          <cell r="C179" t="str">
            <v>PRODUIT_41_SDF</v>
          </cell>
        </row>
        <row r="180">
          <cell r="C180" t="str">
            <v>PRODUIT_42_SDF</v>
          </cell>
        </row>
        <row r="181">
          <cell r="C181" t="str">
            <v>PRODUIT_43_SDF</v>
          </cell>
        </row>
        <row r="182">
          <cell r="C182" t="str">
            <v>PRODUIT_44_SDF</v>
          </cell>
        </row>
        <row r="183">
          <cell r="C183" t="str">
            <v>PRODUIT_45_SDF</v>
          </cell>
        </row>
        <row r="184">
          <cell r="C184" t="str">
            <v>PRODUIT_46_SDF</v>
          </cell>
        </row>
        <row r="186">
          <cell r="C186" t="str">
            <v>PRODUIT_25_GEN</v>
          </cell>
        </row>
        <row r="187">
          <cell r="C187" t="str">
            <v>PRODUIT_47_SDF</v>
          </cell>
        </row>
        <row r="188">
          <cell r="C188" t="str">
            <v>PRODUIT_26_GEN</v>
          </cell>
        </row>
        <row r="190">
          <cell r="C190" t="str">
            <v>PRODUIT_27_GEN</v>
          </cell>
        </row>
        <row r="191">
          <cell r="C191" t="str">
            <v>PRODUIT_28_GEN</v>
          </cell>
        </row>
        <row r="192">
          <cell r="C192" t="str">
            <v>PRODUIT_29_GEN</v>
          </cell>
        </row>
        <row r="193">
          <cell r="C193" t="str">
            <v>PRODUIT_30_GEN</v>
          </cell>
        </row>
        <row r="194">
          <cell r="C194" t="str">
            <v>PRODUIT_31_GEN</v>
          </cell>
        </row>
        <row r="195">
          <cell r="C195" t="str">
            <v>PRODUIT_32_GEN</v>
          </cell>
        </row>
        <row r="196">
          <cell r="C196" t="str">
            <v>PRODUIT_33_GEN</v>
          </cell>
        </row>
        <row r="197">
          <cell r="C197" t="str">
            <v>PRODUIT_34_GEN</v>
          </cell>
        </row>
        <row r="198">
          <cell r="C198" t="str">
            <v>PRODUIT_35_GEN</v>
          </cell>
        </row>
        <row r="199">
          <cell r="C199" t="str">
            <v>PRODUIT_36_GEN</v>
          </cell>
        </row>
        <row r="200">
          <cell r="C200" t="str">
            <v>PRODUIT_37_GEN</v>
          </cell>
        </row>
        <row r="207">
          <cell r="C207" t="str">
            <v>PROCESS_01_GEN</v>
          </cell>
        </row>
        <row r="208">
          <cell r="C208" t="str">
            <v>PROCESS_02_GEN</v>
          </cell>
        </row>
        <row r="209">
          <cell r="C209" t="str">
            <v>PROCESS_03_GEN</v>
          </cell>
        </row>
        <row r="210">
          <cell r="C210" t="str">
            <v>PROCESS_04_GEN</v>
          </cell>
        </row>
        <row r="211">
          <cell r="C211" t="str">
            <v>PROCESS_05_GEN</v>
          </cell>
        </row>
        <row r="212">
          <cell r="C212" t="str">
            <v>PROCESS_06_GEN</v>
          </cell>
        </row>
        <row r="213">
          <cell r="C213" t="str">
            <v>PROCESS_07_GEN</v>
          </cell>
        </row>
        <row r="216">
          <cell r="C216" t="str">
            <v>PROCESS_08_GEN</v>
          </cell>
        </row>
        <row r="218">
          <cell r="C218" t="str">
            <v>PROCESS_09_GEN</v>
          </cell>
        </row>
        <row r="220">
          <cell r="C220" t="str">
            <v>PROCESS_10_GEN</v>
          </cell>
        </row>
        <row r="221">
          <cell r="C221" t="str">
            <v>PROCESS_11_GEN</v>
          </cell>
        </row>
        <row r="222">
          <cell r="C222" t="str">
            <v>PROCESS_12_GEN</v>
          </cell>
        </row>
        <row r="223">
          <cell r="C223" t="str">
            <v>PROCESS_13_GEN</v>
          </cell>
        </row>
        <row r="224">
          <cell r="C224" t="str">
            <v>PROCESS_14_GEN</v>
          </cell>
        </row>
        <row r="226">
          <cell r="C226" t="str">
            <v>PROCESS_15_GEN</v>
          </cell>
        </row>
        <row r="227">
          <cell r="C227" t="str">
            <v>PROCESS_16_GEN</v>
          </cell>
        </row>
        <row r="228">
          <cell r="C228" t="str">
            <v>PROCESS_17_GEN</v>
          </cell>
        </row>
        <row r="229">
          <cell r="C229" t="str">
            <v>PROCESS_18_GEN</v>
          </cell>
        </row>
        <row r="230">
          <cell r="C230" t="str">
            <v>PROCESS_19_GEN</v>
          </cell>
        </row>
        <row r="231">
          <cell r="C231" t="str">
            <v>PROCESS_20_GEN</v>
          </cell>
        </row>
        <row r="232">
          <cell r="C232" t="str">
            <v>PROCESS_21_GEN</v>
          </cell>
        </row>
        <row r="233">
          <cell r="C233" t="str">
            <v>PROCESS_22_GEN</v>
          </cell>
        </row>
        <row r="234">
          <cell r="C234" t="str">
            <v>PROCESS_23_GEN</v>
          </cell>
        </row>
        <row r="235">
          <cell r="C235" t="str">
            <v>PROCESS_24_GEN</v>
          </cell>
        </row>
        <row r="236">
          <cell r="C236" t="str">
            <v>PROCESS_25_GEN</v>
          </cell>
        </row>
        <row r="237">
          <cell r="C237" t="str">
            <v>PROCESS_26_GEN</v>
          </cell>
        </row>
        <row r="238">
          <cell r="C238" t="str">
            <v>PROCESS_27_GEN</v>
          </cell>
        </row>
        <row r="239">
          <cell r="C239" t="str">
            <v>PROCESS_28_GEN</v>
          </cell>
        </row>
        <row r="244">
          <cell r="C244" t="str">
            <v>PROCESS_29_GEN</v>
          </cell>
        </row>
        <row r="245">
          <cell r="C245" t="str">
            <v>PROCESS_30_GEN</v>
          </cell>
        </row>
        <row r="246">
          <cell r="C246" t="str">
            <v>PROCESS_31_GEN</v>
          </cell>
        </row>
        <row r="255">
          <cell r="C255" t="str">
            <v>PROD_01_GEN</v>
          </cell>
        </row>
        <row r="256">
          <cell r="C256" t="str">
            <v>PROD_02_GEN</v>
          </cell>
        </row>
        <row r="257">
          <cell r="C257" t="str">
            <v>PROD_03_GEN</v>
          </cell>
        </row>
        <row r="258">
          <cell r="C258" t="str">
            <v>PROD_04_GEN</v>
          </cell>
        </row>
      </sheetData>
      <sheetData sheetId="2" refreshError="1"/>
      <sheetData sheetId="3" refreshError="1"/>
      <sheetData sheetId="4" refreshError="1"/>
      <sheetData sheetId="5" refreshError="1"/>
      <sheetData sheetId="6"/>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docinfogroupe.inetpsa.com/ead/doc/ref./v.2017_17_00476.0/fiche"/>
  <Relationship Id="rId2" Type="http://schemas.openxmlformats.org/officeDocument/2006/relationships/printerSettings" Target="../printerSettings/printerSettings1.bin"/>
  <Relationship Id="rId3" Type="http://schemas.openxmlformats.org/officeDocument/2006/relationships/drawing" Target="../drawings/drawing1.xml"/>
</Relationships>

</file>

<file path=xl/worksheets/_rels/sheet2.xml.rels><?xml version="1.0" encoding="UTF-8"?>

<Relationships xmlns="http://schemas.openxmlformats.org/package/2006/relationships">
  <Relationship Id="rId1" Type="http://schemas.openxmlformats.org/officeDocument/2006/relationships/printerSettings" Target="../printerSettings/printerSettings2.bin"/>
  <Relationship Id="rId2" Type="http://schemas.openxmlformats.org/officeDocument/2006/relationships/drawing" Target="../drawings/drawing2.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 Id="rId2" Type="http://schemas.openxmlformats.org/officeDocument/2006/relationships/drawing" Target="../drawings/drawing3.xml"/>
</Relationships>

</file>

<file path=xl/worksheets/_rels/sheet4.xml.rels><?xml version="1.0" encoding="UTF-8"?>

<Relationships xmlns="http://schemas.openxmlformats.org/package/2006/relationships">
  <Relationship Id="rId1" Type="http://schemas.openxmlformats.org/officeDocument/2006/relationships/hyperlink" TargetMode="External" Target="http://docinfogroupe.inetpsa.com/ead/doc/ref.QUALIT_08_4015/v.vc/fiche"/>
  <Relationship Id="rId2"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hyperlink" TargetMode="External" Target="http://docinfogroupe.inetpsa.com/ead/doc/ref.QUALIT_08_4015/v.vc/fiche"/>
  <Relationship Id="rId2"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3"/>
  <sheetViews>
    <sheetView showGridLines="0" view="pageBreakPreview" zoomScaleNormal="100" zoomScaleSheetLayoutView="100" workbookViewId="0">
      <selection activeCell="K13" sqref="K13"/>
    </sheetView>
  </sheetViews>
  <sheetFormatPr defaultColWidth="11.453125" defaultRowHeight="12.5"/>
  <cols>
    <col min="1" max="1" width="1.1796875" style="1" customWidth="1"/>
    <col min="2" max="3" width="9.81640625" style="1" customWidth="1"/>
    <col min="4" max="4" width="23.81640625" style="1" customWidth="1"/>
    <col min="5" max="10" width="9.81640625" style="1" customWidth="1"/>
    <col min="11" max="16384" width="11.453125" style="1"/>
  </cols>
  <sheetData>
    <row r="1" spans="2:10" ht="7.5" customHeight="1" thickBot="1"/>
    <row r="2" spans="2:10" ht="123" customHeight="1" thickBot="1">
      <c r="B2" s="323"/>
      <c r="C2" s="324"/>
      <c r="D2" s="324"/>
      <c r="E2" s="324"/>
      <c r="F2" s="324"/>
      <c r="G2" s="324"/>
      <c r="H2" s="324"/>
      <c r="I2" s="324"/>
      <c r="J2" s="325"/>
    </row>
    <row r="3" spans="2:10" ht="24.75" customHeight="1">
      <c r="B3" s="326" t="s">
        <v>0</v>
      </c>
      <c r="C3" s="327"/>
      <c r="D3" s="327" t="s">
        <v>388</v>
      </c>
      <c r="E3" s="327"/>
      <c r="F3" s="327"/>
      <c r="G3" s="327"/>
      <c r="H3" s="327"/>
      <c r="I3" s="327"/>
      <c r="J3" s="328"/>
    </row>
    <row r="4" spans="2:10" ht="17.149999999999999" customHeight="1">
      <c r="B4" s="329" t="s">
        <v>1</v>
      </c>
      <c r="C4" s="330"/>
      <c r="D4" s="238" t="s">
        <v>295</v>
      </c>
      <c r="E4" s="237"/>
      <c r="F4" s="236"/>
      <c r="G4" s="330" t="s">
        <v>18</v>
      </c>
      <c r="H4" s="330"/>
      <c r="I4" s="331" t="s">
        <v>24</v>
      </c>
      <c r="J4" s="332"/>
    </row>
    <row r="5" spans="2:10" ht="17.149999999999999" customHeight="1">
      <c r="B5" s="329" t="s">
        <v>2</v>
      </c>
      <c r="C5" s="330"/>
      <c r="D5" s="333"/>
      <c r="E5" s="334"/>
      <c r="F5" s="334"/>
      <c r="G5" s="330" t="s">
        <v>3</v>
      </c>
      <c r="H5" s="330"/>
      <c r="I5" s="334"/>
      <c r="J5" s="335"/>
    </row>
    <row r="6" spans="2:10" ht="17.149999999999999" customHeight="1">
      <c r="B6" s="329" t="s">
        <v>4</v>
      </c>
      <c r="C6" s="330"/>
      <c r="D6" s="336" t="s">
        <v>56</v>
      </c>
      <c r="E6" s="337"/>
      <c r="F6" s="337"/>
      <c r="G6" s="337"/>
      <c r="H6" s="337"/>
      <c r="I6" s="337"/>
      <c r="J6" s="338"/>
    </row>
    <row r="7" spans="2:10" s="2" customFormat="1" ht="43" customHeight="1">
      <c r="B7" s="342" t="s">
        <v>392</v>
      </c>
      <c r="C7" s="343"/>
      <c r="D7" s="343"/>
      <c r="E7" s="343"/>
      <c r="F7" s="343"/>
      <c r="G7" s="343"/>
      <c r="H7" s="343"/>
      <c r="I7" s="343"/>
      <c r="J7" s="344"/>
    </row>
    <row r="8" spans="2:10" s="2" customFormat="1" ht="43" customHeight="1">
      <c r="B8" s="360" t="s">
        <v>449</v>
      </c>
      <c r="C8" s="361"/>
      <c r="D8" s="361"/>
      <c r="E8" s="361"/>
      <c r="F8" s="361"/>
      <c r="G8" s="361"/>
      <c r="H8" s="361"/>
      <c r="I8" s="361"/>
      <c r="J8" s="362"/>
    </row>
    <row r="9" spans="2:10" s="2" customFormat="1" ht="43" customHeight="1">
      <c r="B9" s="360" t="s">
        <v>393</v>
      </c>
      <c r="C9" s="361"/>
      <c r="D9" s="361"/>
      <c r="E9" s="361"/>
      <c r="F9" s="361"/>
      <c r="G9" s="361"/>
      <c r="H9" s="361"/>
      <c r="I9" s="361"/>
      <c r="J9" s="362"/>
    </row>
    <row r="10" spans="2:10" ht="20">
      <c r="B10" s="23" t="s">
        <v>17</v>
      </c>
      <c r="C10" s="9"/>
      <c r="D10" s="27"/>
      <c r="E10" s="27"/>
      <c r="F10" s="27"/>
      <c r="G10" s="27"/>
      <c r="H10" s="27"/>
      <c r="I10" s="27"/>
      <c r="J10" s="28"/>
    </row>
    <row r="11" spans="2:10" ht="46.5" customHeight="1">
      <c r="B11" s="345" t="s">
        <v>450</v>
      </c>
      <c r="C11" s="346"/>
      <c r="D11" s="346"/>
      <c r="E11" s="346"/>
      <c r="F11" s="346"/>
      <c r="G11" s="346"/>
      <c r="H11" s="346"/>
      <c r="I11" s="346"/>
      <c r="J11" s="347"/>
    </row>
    <row r="12" spans="2:10" ht="41.25" customHeight="1">
      <c r="B12" s="348" t="s">
        <v>451</v>
      </c>
      <c r="C12" s="349"/>
      <c r="D12" s="349"/>
      <c r="E12" s="349"/>
      <c r="F12" s="349"/>
      <c r="G12" s="349"/>
      <c r="H12" s="349"/>
      <c r="I12" s="349"/>
      <c r="J12" s="350"/>
    </row>
    <row r="13" spans="2:10" ht="17.25" customHeight="1">
      <c r="B13" s="351"/>
      <c r="C13" s="352"/>
      <c r="D13" s="352"/>
      <c r="E13" s="352"/>
      <c r="F13" s="352"/>
      <c r="G13" s="352"/>
      <c r="H13" s="352"/>
      <c r="I13" s="352"/>
      <c r="J13" s="353"/>
    </row>
    <row r="14" spans="2:10" ht="20.149999999999999" customHeight="1">
      <c r="B14" s="354" t="s">
        <v>5</v>
      </c>
      <c r="C14" s="355"/>
      <c r="D14" s="355"/>
      <c r="E14" s="355"/>
      <c r="F14" s="355"/>
      <c r="G14" s="355"/>
      <c r="H14" s="355"/>
      <c r="I14" s="355"/>
      <c r="J14" s="356"/>
    </row>
    <row r="15" spans="2:10" ht="33.75" customHeight="1">
      <c r="B15" s="10" t="s">
        <v>6</v>
      </c>
      <c r="C15" s="11" t="s">
        <v>7</v>
      </c>
      <c r="D15" s="26" t="s">
        <v>8</v>
      </c>
      <c r="E15" s="357" t="s">
        <v>9</v>
      </c>
      <c r="F15" s="358"/>
      <c r="G15" s="358"/>
      <c r="H15" s="358"/>
      <c r="I15" s="358"/>
      <c r="J15" s="359"/>
    </row>
    <row r="16" spans="2:10" ht="13">
      <c r="B16" s="19" t="s">
        <v>24</v>
      </c>
      <c r="C16" s="15">
        <v>46014</v>
      </c>
      <c r="D16" s="16" t="s">
        <v>446</v>
      </c>
      <c r="E16" s="339" t="s">
        <v>22</v>
      </c>
      <c r="F16" s="340"/>
      <c r="G16" s="340"/>
      <c r="H16" s="340"/>
      <c r="I16" s="340"/>
      <c r="J16" s="341"/>
    </row>
    <row r="17" spans="2:11" ht="13">
      <c r="B17" s="14"/>
      <c r="C17" s="15"/>
      <c r="D17" s="16"/>
      <c r="E17" s="339"/>
      <c r="F17" s="340"/>
      <c r="G17" s="340"/>
      <c r="H17" s="340"/>
      <c r="I17" s="340"/>
      <c r="J17" s="341"/>
    </row>
    <row r="18" spans="2:11" ht="17.149999999999999" customHeight="1">
      <c r="B18" s="13"/>
      <c r="C18" s="12"/>
      <c r="D18" s="26"/>
      <c r="E18" s="339"/>
      <c r="F18" s="340"/>
      <c r="G18" s="340"/>
      <c r="H18" s="340"/>
      <c r="I18" s="340"/>
      <c r="J18" s="341"/>
    </row>
    <row r="19" spans="2:11" ht="17.149999999999999" customHeight="1">
      <c r="B19" s="13"/>
      <c r="C19" s="12"/>
      <c r="D19" s="26"/>
      <c r="E19" s="339"/>
      <c r="F19" s="340"/>
      <c r="G19" s="340"/>
      <c r="H19" s="340"/>
      <c r="I19" s="340"/>
      <c r="J19" s="341"/>
    </row>
    <row r="20" spans="2:11" ht="17.149999999999999" customHeight="1">
      <c r="B20" s="29"/>
      <c r="C20" s="30"/>
      <c r="D20" s="31"/>
      <c r="E20" s="32"/>
      <c r="F20" s="32"/>
      <c r="G20" s="32"/>
      <c r="H20" s="32"/>
      <c r="I20" s="32"/>
      <c r="J20" s="33"/>
      <c r="K20" s="18"/>
    </row>
    <row r="21" spans="2:11" ht="17.149999999999999" customHeight="1">
      <c r="B21" s="29"/>
      <c r="C21" s="34"/>
      <c r="D21" s="35"/>
      <c r="E21" s="36"/>
      <c r="F21" s="36"/>
      <c r="G21" s="36"/>
      <c r="H21" s="36"/>
      <c r="I21" s="36"/>
      <c r="J21" s="37"/>
    </row>
    <row r="22" spans="2:11">
      <c r="B22" s="363"/>
      <c r="C22" s="364"/>
      <c r="D22" s="364"/>
      <c r="E22" s="364"/>
      <c r="F22" s="364"/>
      <c r="G22" s="364"/>
      <c r="H22" s="364"/>
      <c r="I22" s="364"/>
      <c r="J22" s="365"/>
    </row>
    <row r="23" spans="2:11" ht="17.149999999999999" customHeight="1">
      <c r="B23" s="354" t="s">
        <v>10</v>
      </c>
      <c r="C23" s="355"/>
      <c r="D23" s="355"/>
      <c r="E23" s="355"/>
      <c r="F23" s="355"/>
      <c r="G23" s="355"/>
      <c r="H23" s="355"/>
      <c r="I23" s="355"/>
      <c r="J23" s="356"/>
    </row>
    <row r="24" spans="2:11" ht="17.149999999999999" customHeight="1">
      <c r="B24" s="366"/>
      <c r="C24" s="367"/>
      <c r="D24" s="24" t="s">
        <v>11</v>
      </c>
      <c r="E24" s="368" t="s">
        <v>12</v>
      </c>
      <c r="F24" s="368"/>
      <c r="G24" s="369"/>
      <c r="H24" s="330" t="s">
        <v>13</v>
      </c>
      <c r="I24" s="330"/>
      <c r="J24" s="370"/>
    </row>
    <row r="25" spans="2:11" ht="46.5" customHeight="1">
      <c r="B25" s="329" t="s">
        <v>14</v>
      </c>
      <c r="C25" s="330"/>
      <c r="D25" s="22"/>
      <c r="E25" s="380" t="s">
        <v>31</v>
      </c>
      <c r="F25" s="378"/>
      <c r="G25" s="379"/>
      <c r="H25" s="334" t="s">
        <v>32</v>
      </c>
      <c r="I25" s="334"/>
      <c r="J25" s="335"/>
    </row>
    <row r="26" spans="2:11" ht="17.149999999999999" customHeight="1">
      <c r="B26" s="329" t="s">
        <v>7</v>
      </c>
      <c r="C26" s="330"/>
      <c r="D26" s="25"/>
      <c r="E26" s="377"/>
      <c r="F26" s="378"/>
      <c r="G26" s="379"/>
      <c r="H26" s="377"/>
      <c r="I26" s="381"/>
      <c r="J26" s="382"/>
    </row>
    <row r="27" spans="2:11" ht="18.75" customHeight="1" thickBot="1">
      <c r="B27" s="371" t="s">
        <v>15</v>
      </c>
      <c r="C27" s="372"/>
      <c r="D27" s="372"/>
      <c r="E27" s="372"/>
      <c r="F27" s="372"/>
      <c r="G27" s="372"/>
      <c r="H27" s="372"/>
      <c r="I27" s="372"/>
      <c r="J27" s="373"/>
    </row>
    <row r="28" spans="2:11">
      <c r="B28" s="8"/>
      <c r="C28" s="6"/>
      <c r="D28" s="6"/>
      <c r="E28" s="6"/>
      <c r="F28" s="6"/>
      <c r="G28" s="6"/>
      <c r="H28" s="6"/>
      <c r="I28" s="6"/>
      <c r="J28" s="7"/>
    </row>
    <row r="29" spans="2:11" ht="14.5" thickBot="1">
      <c r="B29" s="62" t="s">
        <v>343</v>
      </c>
      <c r="C29" s="265" t="s">
        <v>344</v>
      </c>
      <c r="D29" s="21"/>
      <c r="E29" s="21"/>
      <c r="F29" s="21"/>
      <c r="G29" s="21"/>
      <c r="H29" s="374" t="s">
        <v>16</v>
      </c>
      <c r="I29" s="375"/>
      <c r="J29" s="376"/>
    </row>
    <row r="30" spans="2:11">
      <c r="B30" s="3"/>
      <c r="C30" s="3"/>
      <c r="D30" s="3"/>
      <c r="E30" s="3"/>
      <c r="F30" s="3"/>
      <c r="G30" s="3"/>
      <c r="H30" s="3"/>
      <c r="I30" s="3"/>
      <c r="J30" s="3"/>
    </row>
    <row r="31" spans="2:11">
      <c r="B31" s="3"/>
      <c r="C31" s="3"/>
      <c r="D31" s="3"/>
      <c r="E31" s="3"/>
      <c r="F31" s="3"/>
      <c r="G31" s="3"/>
      <c r="H31" s="3"/>
      <c r="I31" s="3"/>
      <c r="J31" s="3"/>
    </row>
    <row r="32" spans="2:11">
      <c r="B32" s="3"/>
      <c r="C32" s="3"/>
      <c r="D32" s="3"/>
      <c r="E32" s="3"/>
      <c r="F32" s="3"/>
      <c r="G32" s="3"/>
      <c r="H32" s="3"/>
      <c r="I32" s="3"/>
      <c r="J32" s="3"/>
    </row>
    <row r="33" spans="2:10">
      <c r="B33" s="3"/>
      <c r="C33" s="3"/>
      <c r="D33" s="3"/>
      <c r="E33" s="3"/>
      <c r="F33" s="3"/>
      <c r="G33" s="3"/>
      <c r="H33" s="3"/>
      <c r="I33" s="3"/>
      <c r="J33" s="3"/>
    </row>
  </sheetData>
  <mergeCells count="37">
    <mergeCell ref="B27:J27"/>
    <mergeCell ref="H29:J29"/>
    <mergeCell ref="B25:C25"/>
    <mergeCell ref="B26:C26"/>
    <mergeCell ref="E26:G26"/>
    <mergeCell ref="E25:G25"/>
    <mergeCell ref="H25:J25"/>
    <mergeCell ref="H26:J26"/>
    <mergeCell ref="E19:J19"/>
    <mergeCell ref="B22:J22"/>
    <mergeCell ref="B24:C24"/>
    <mergeCell ref="E24:G24"/>
    <mergeCell ref="H24:J24"/>
    <mergeCell ref="B23:J23"/>
    <mergeCell ref="E18:J18"/>
    <mergeCell ref="B7:J7"/>
    <mergeCell ref="B11:J11"/>
    <mergeCell ref="B12:J12"/>
    <mergeCell ref="B13:J13"/>
    <mergeCell ref="B14:J14"/>
    <mergeCell ref="E15:J15"/>
    <mergeCell ref="E16:J16"/>
    <mergeCell ref="E17:J17"/>
    <mergeCell ref="B9:J9"/>
    <mergeCell ref="B8:J8"/>
    <mergeCell ref="B5:C5"/>
    <mergeCell ref="D5:F5"/>
    <mergeCell ref="G5:H5"/>
    <mergeCell ref="I5:J5"/>
    <mergeCell ref="B6:C6"/>
    <mergeCell ref="D6:J6"/>
    <mergeCell ref="B2:J2"/>
    <mergeCell ref="B3:C3"/>
    <mergeCell ref="D3:J3"/>
    <mergeCell ref="B4:C4"/>
    <mergeCell ref="G4:H4"/>
    <mergeCell ref="I4:J4"/>
  </mergeCells>
  <phoneticPr fontId="60" type="noConversion"/>
  <hyperlinks>
    <hyperlink ref="C29" r:id="rId1"/>
  </hyperlinks>
  <pageMargins left="0.72" right="0.57999999999999996" top="0.984251969" bottom="0.984251969" header="0.4921259845" footer="0.4921259845"/>
  <pageSetup paperSize="9" scale="87" orientation="portrait" horizontalDpi="360" verticalDpi="360"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8"/>
  <sheetViews>
    <sheetView showGridLines="0" zoomScale="85" zoomScaleNormal="85" workbookViewId="0">
      <pane ySplit="2" topLeftCell="A3" activePane="bottomLeft" state="frozen"/>
      <selection pane="bottomLeft" activeCell="H47" sqref="H47"/>
    </sheetView>
  </sheetViews>
  <sheetFormatPr defaultColWidth="11.453125" defaultRowHeight="14"/>
  <cols>
    <col min="1" max="1" width="29.1796875" style="4" customWidth="1"/>
    <col min="2" max="2" width="29.81640625" style="20" bestFit="1" customWidth="1"/>
    <col min="3" max="3" width="8.1796875" style="20" customWidth="1"/>
    <col min="4" max="4" width="23.54296875" style="20" customWidth="1"/>
    <col min="5" max="5" width="154.453125" style="4" customWidth="1"/>
    <col min="6" max="6" width="2" style="20" customWidth="1"/>
    <col min="7" max="7" width="17.453125" style="20" bestFit="1" customWidth="1"/>
    <col min="8" max="8" width="26.54296875" style="20" customWidth="1"/>
    <col min="9" max="9" width="19.453125" style="20" bestFit="1" customWidth="1"/>
    <col min="10" max="10" width="35.453125" style="20" customWidth="1"/>
    <col min="11" max="16384" width="11.453125" style="20"/>
  </cols>
  <sheetData>
    <row r="1" spans="1:10" ht="30" customHeight="1" thickBot="1">
      <c r="A1" s="322" t="s">
        <v>284</v>
      </c>
      <c r="B1" s="386" t="s">
        <v>20</v>
      </c>
      <c r="C1" s="387"/>
      <c r="D1" s="388"/>
      <c r="E1" s="389"/>
      <c r="G1" s="390" t="s">
        <v>19</v>
      </c>
      <c r="H1" s="391"/>
      <c r="I1" s="391"/>
      <c r="J1" s="392"/>
    </row>
    <row r="2" spans="1:10" ht="42" customHeight="1" thickBot="1">
      <c r="A2" s="305" t="s">
        <v>410</v>
      </c>
      <c r="B2" s="306" t="s">
        <v>411</v>
      </c>
      <c r="C2" s="306" t="s">
        <v>412</v>
      </c>
      <c r="D2" s="307" t="s">
        <v>413</v>
      </c>
      <c r="E2" s="308" t="s">
        <v>403</v>
      </c>
      <c r="F2" s="266"/>
      <c r="G2" s="318" t="s">
        <v>404</v>
      </c>
      <c r="H2" s="319" t="s">
        <v>405</v>
      </c>
      <c r="I2" s="320" t="s">
        <v>406</v>
      </c>
      <c r="J2" s="321" t="s">
        <v>414</v>
      </c>
    </row>
    <row r="3" spans="1:10" ht="40.5">
      <c r="A3" s="309" t="s">
        <v>285</v>
      </c>
      <c r="B3" s="310" t="s">
        <v>452</v>
      </c>
      <c r="C3" s="311">
        <v>0</v>
      </c>
      <c r="D3" s="311" t="s">
        <v>330</v>
      </c>
      <c r="E3" s="267" t="s">
        <v>394</v>
      </c>
      <c r="F3" s="266"/>
      <c r="G3" s="312" t="s">
        <v>60</v>
      </c>
      <c r="H3" s="267"/>
      <c r="I3" s="268" t="s">
        <v>23</v>
      </c>
      <c r="J3" s="269"/>
    </row>
    <row r="4" spans="1:10" ht="67.5">
      <c r="A4" s="313" t="s">
        <v>286</v>
      </c>
      <c r="B4" s="310" t="s">
        <v>453</v>
      </c>
      <c r="C4" s="311">
        <v>0</v>
      </c>
      <c r="D4" s="311" t="s">
        <v>333</v>
      </c>
      <c r="E4" s="270" t="s">
        <v>497</v>
      </c>
      <c r="F4" s="266"/>
      <c r="G4" s="312" t="s">
        <v>60</v>
      </c>
      <c r="H4" s="271"/>
      <c r="I4" s="268" t="s">
        <v>23</v>
      </c>
      <c r="J4" s="272"/>
    </row>
    <row r="5" spans="1:10" ht="256.5">
      <c r="A5" s="313" t="s">
        <v>341</v>
      </c>
      <c r="B5" s="310" t="s">
        <v>454</v>
      </c>
      <c r="C5" s="311">
        <v>0</v>
      </c>
      <c r="D5" s="311" t="s">
        <v>333</v>
      </c>
      <c r="E5" s="270" t="s">
        <v>448</v>
      </c>
      <c r="F5" s="266"/>
      <c r="G5" s="312" t="s">
        <v>60</v>
      </c>
      <c r="H5" s="271"/>
      <c r="I5" s="268" t="s">
        <v>23</v>
      </c>
      <c r="J5" s="272"/>
    </row>
    <row r="6" spans="1:10" ht="135">
      <c r="A6" s="393" t="s">
        <v>287</v>
      </c>
      <c r="B6" s="310" t="s">
        <v>455</v>
      </c>
      <c r="C6" s="311">
        <v>0</v>
      </c>
      <c r="D6" s="311" t="s">
        <v>331</v>
      </c>
      <c r="E6" s="270" t="s">
        <v>395</v>
      </c>
      <c r="F6" s="266"/>
      <c r="G6" s="312" t="s">
        <v>60</v>
      </c>
      <c r="H6" s="270"/>
      <c r="I6" s="268" t="s">
        <v>23</v>
      </c>
      <c r="J6" s="273"/>
    </row>
    <row r="7" spans="1:10" ht="248" customHeight="1">
      <c r="A7" s="393"/>
      <c r="B7" s="310" t="s">
        <v>456</v>
      </c>
      <c r="C7" s="311">
        <v>0</v>
      </c>
      <c r="D7" s="311" t="s">
        <v>333</v>
      </c>
      <c r="E7" s="274" t="s">
        <v>407</v>
      </c>
      <c r="F7" s="266"/>
      <c r="G7" s="314" t="s">
        <v>60</v>
      </c>
      <c r="H7" s="270" t="s">
        <v>500</v>
      </c>
      <c r="I7" s="268" t="s">
        <v>23</v>
      </c>
      <c r="J7" s="273"/>
    </row>
    <row r="8" spans="1:10" ht="175.5">
      <c r="A8" s="393"/>
      <c r="B8" s="310" t="s">
        <v>457</v>
      </c>
      <c r="C8" s="311">
        <v>0</v>
      </c>
      <c r="D8" s="311" t="s">
        <v>333</v>
      </c>
      <c r="E8" s="275" t="s">
        <v>499</v>
      </c>
      <c r="F8" s="266"/>
      <c r="G8" s="314" t="s">
        <v>60</v>
      </c>
      <c r="H8" s="270"/>
      <c r="I8" s="268"/>
      <c r="J8" s="273"/>
    </row>
    <row r="9" spans="1:10" ht="27">
      <c r="A9" s="393"/>
      <c r="B9" s="310" t="s">
        <v>458</v>
      </c>
      <c r="C9" s="311">
        <v>0</v>
      </c>
      <c r="D9" s="311" t="s">
        <v>333</v>
      </c>
      <c r="E9" s="276" t="s">
        <v>396</v>
      </c>
      <c r="F9" s="266"/>
      <c r="G9" s="314" t="s">
        <v>60</v>
      </c>
      <c r="H9" s="271"/>
      <c r="I9" s="268" t="s">
        <v>23</v>
      </c>
      <c r="J9" s="272"/>
    </row>
    <row r="10" spans="1:10" ht="216">
      <c r="A10" s="393"/>
      <c r="B10" s="310" t="s">
        <v>459</v>
      </c>
      <c r="C10" s="311">
        <v>0</v>
      </c>
      <c r="D10" s="311" t="s">
        <v>333</v>
      </c>
      <c r="E10" s="276" t="s">
        <v>447</v>
      </c>
      <c r="F10" s="266"/>
      <c r="G10" s="314" t="s">
        <v>60</v>
      </c>
      <c r="H10" s="277"/>
      <c r="I10" s="268" t="s">
        <v>23</v>
      </c>
      <c r="J10" s="272"/>
    </row>
    <row r="11" spans="1:10" ht="202.5">
      <c r="A11" s="393"/>
      <c r="B11" s="310" t="s">
        <v>460</v>
      </c>
      <c r="C11" s="311">
        <v>0</v>
      </c>
      <c r="D11" s="311" t="s">
        <v>333</v>
      </c>
      <c r="E11" s="276" t="s">
        <v>416</v>
      </c>
      <c r="F11" s="266"/>
      <c r="G11" s="314" t="s">
        <v>60</v>
      </c>
      <c r="H11" s="271" t="s">
        <v>501</v>
      </c>
      <c r="I11" s="268" t="s">
        <v>23</v>
      </c>
      <c r="J11" s="272"/>
    </row>
    <row r="12" spans="1:10" ht="40.5">
      <c r="A12" s="393"/>
      <c r="B12" s="310" t="s">
        <v>461</v>
      </c>
      <c r="C12" s="311">
        <v>0</v>
      </c>
      <c r="D12" s="311" t="s">
        <v>333</v>
      </c>
      <c r="E12" s="276" t="s">
        <v>417</v>
      </c>
      <c r="F12" s="266"/>
      <c r="G12" s="314" t="s">
        <v>60</v>
      </c>
      <c r="H12" s="271"/>
      <c r="I12" s="268" t="s">
        <v>23</v>
      </c>
      <c r="J12" s="272"/>
    </row>
    <row r="13" spans="1:10" ht="276" customHeight="1">
      <c r="A13" s="393"/>
      <c r="B13" s="310" t="s">
        <v>462</v>
      </c>
      <c r="C13" s="311">
        <v>0</v>
      </c>
      <c r="D13" s="311" t="s">
        <v>333</v>
      </c>
      <c r="E13" s="270" t="s">
        <v>445</v>
      </c>
      <c r="F13" s="266"/>
      <c r="G13" s="314" t="s">
        <v>60</v>
      </c>
      <c r="H13" s="270"/>
      <c r="I13" s="268" t="s">
        <v>23</v>
      </c>
      <c r="J13" s="273"/>
    </row>
    <row r="14" spans="1:10" ht="66.75" customHeight="1">
      <c r="A14" s="393"/>
      <c r="B14" s="310" t="s">
        <v>463</v>
      </c>
      <c r="C14" s="311">
        <v>0</v>
      </c>
      <c r="D14" s="311" t="s">
        <v>333</v>
      </c>
      <c r="E14" s="270" t="s">
        <v>498</v>
      </c>
      <c r="F14" s="266"/>
      <c r="G14" s="314" t="s">
        <v>60</v>
      </c>
      <c r="H14" s="271" t="s">
        <v>502</v>
      </c>
      <c r="I14" s="268" t="s">
        <v>23</v>
      </c>
      <c r="J14" s="272"/>
    </row>
    <row r="15" spans="1:10" ht="40.5">
      <c r="A15" s="393"/>
      <c r="B15" s="310" t="s">
        <v>464</v>
      </c>
      <c r="C15" s="311">
        <v>0</v>
      </c>
      <c r="D15" s="311" t="s">
        <v>332</v>
      </c>
      <c r="E15" s="270" t="s">
        <v>418</v>
      </c>
      <c r="F15" s="266"/>
      <c r="G15" s="314" t="s">
        <v>60</v>
      </c>
      <c r="H15" s="270"/>
      <c r="I15" s="268" t="s">
        <v>23</v>
      </c>
      <c r="J15" s="273"/>
    </row>
    <row r="16" spans="1:10" ht="121.5">
      <c r="A16" s="393" t="s">
        <v>288</v>
      </c>
      <c r="B16" s="310" t="s">
        <v>465</v>
      </c>
      <c r="C16" s="311">
        <v>0</v>
      </c>
      <c r="D16" s="311" t="s">
        <v>333</v>
      </c>
      <c r="E16" s="276" t="s">
        <v>409</v>
      </c>
      <c r="F16" s="266"/>
      <c r="G16" s="314" t="s">
        <v>60</v>
      </c>
      <c r="H16" s="270"/>
      <c r="I16" s="268" t="s">
        <v>23</v>
      </c>
      <c r="J16" s="273"/>
    </row>
    <row r="17" spans="1:10" ht="94.5">
      <c r="A17" s="393"/>
      <c r="B17" s="310" t="s">
        <v>466</v>
      </c>
      <c r="C17" s="311">
        <v>0</v>
      </c>
      <c r="D17" s="311" t="s">
        <v>333</v>
      </c>
      <c r="E17" s="278" t="s">
        <v>408</v>
      </c>
      <c r="F17" s="266"/>
      <c r="G17" s="314" t="s">
        <v>60</v>
      </c>
      <c r="H17" s="270"/>
      <c r="I17" s="268" t="s">
        <v>23</v>
      </c>
      <c r="J17" s="273"/>
    </row>
    <row r="18" spans="1:10" ht="94.5">
      <c r="A18" s="393"/>
      <c r="B18" s="310" t="s">
        <v>467</v>
      </c>
      <c r="C18" s="311">
        <v>0</v>
      </c>
      <c r="D18" s="311"/>
      <c r="E18" s="276" t="s">
        <v>397</v>
      </c>
      <c r="F18" s="266"/>
      <c r="G18" s="314" t="s">
        <v>60</v>
      </c>
      <c r="H18" s="270"/>
      <c r="I18" s="268" t="s">
        <v>23</v>
      </c>
      <c r="J18" s="273"/>
    </row>
    <row r="19" spans="1:10" ht="67.5">
      <c r="A19" s="393"/>
      <c r="B19" s="310" t="s">
        <v>468</v>
      </c>
      <c r="C19" s="311">
        <v>0</v>
      </c>
      <c r="D19" s="311" t="s">
        <v>333</v>
      </c>
      <c r="E19" s="276" t="s">
        <v>415</v>
      </c>
      <c r="F19" s="266"/>
      <c r="G19" s="314" t="s">
        <v>60</v>
      </c>
      <c r="H19" s="270"/>
      <c r="I19" s="268" t="s">
        <v>23</v>
      </c>
      <c r="J19" s="273"/>
    </row>
    <row r="20" spans="1:10" ht="121.5">
      <c r="A20" s="313" t="s">
        <v>289</v>
      </c>
      <c r="B20" s="310" t="s">
        <v>469</v>
      </c>
      <c r="C20" s="311">
        <v>0</v>
      </c>
      <c r="D20" s="311" t="s">
        <v>333</v>
      </c>
      <c r="E20" s="276" t="s">
        <v>398</v>
      </c>
      <c r="F20" s="266"/>
      <c r="G20" s="314" t="s">
        <v>60</v>
      </c>
      <c r="H20" s="270"/>
      <c r="I20" s="268" t="s">
        <v>23</v>
      </c>
      <c r="J20" s="273"/>
    </row>
    <row r="21" spans="1:10" ht="54">
      <c r="A21" s="393" t="s">
        <v>64</v>
      </c>
      <c r="B21" s="310" t="s">
        <v>470</v>
      </c>
      <c r="C21" s="311">
        <v>0</v>
      </c>
      <c r="D21" s="311" t="str">
        <f>'En-tête - 1st Page'!D4</f>
        <v>A créer</v>
      </c>
      <c r="E21" s="271" t="s">
        <v>419</v>
      </c>
      <c r="F21" s="266"/>
      <c r="G21" s="314" t="s">
        <v>60</v>
      </c>
      <c r="H21" s="271"/>
      <c r="I21" s="268" t="s">
        <v>23</v>
      </c>
      <c r="J21" s="272"/>
    </row>
    <row r="22" spans="1:10" ht="67.5">
      <c r="A22" s="393"/>
      <c r="B22" s="310" t="s">
        <v>471</v>
      </c>
      <c r="C22" s="311">
        <v>0</v>
      </c>
      <c r="D22" s="311" t="s">
        <v>333</v>
      </c>
      <c r="E22" s="279" t="s">
        <v>420</v>
      </c>
      <c r="F22" s="266"/>
      <c r="G22" s="314" t="s">
        <v>60</v>
      </c>
      <c r="H22" s="271"/>
      <c r="I22" s="268" t="s">
        <v>23</v>
      </c>
      <c r="J22" s="272"/>
    </row>
    <row r="23" spans="1:10" ht="40.5">
      <c r="A23" s="383" t="s">
        <v>21</v>
      </c>
      <c r="B23" s="310" t="s">
        <v>472</v>
      </c>
      <c r="C23" s="311">
        <v>0</v>
      </c>
      <c r="D23" s="311" t="s">
        <v>334</v>
      </c>
      <c r="E23" s="277" t="s">
        <v>421</v>
      </c>
      <c r="F23" s="266"/>
      <c r="G23" s="314" t="s">
        <v>60</v>
      </c>
      <c r="H23" s="271"/>
      <c r="I23" s="268" t="s">
        <v>23</v>
      </c>
      <c r="J23" s="272"/>
    </row>
    <row r="24" spans="1:10" ht="40.5">
      <c r="A24" s="384"/>
      <c r="B24" s="310" t="s">
        <v>473</v>
      </c>
      <c r="C24" s="311">
        <v>0</v>
      </c>
      <c r="D24" s="311" t="s">
        <v>335</v>
      </c>
      <c r="E24" s="277" t="s">
        <v>422</v>
      </c>
      <c r="F24" s="266"/>
      <c r="G24" s="314" t="s">
        <v>60</v>
      </c>
      <c r="H24" s="271"/>
      <c r="I24" s="268" t="s">
        <v>23</v>
      </c>
      <c r="J24" s="272"/>
    </row>
    <row r="25" spans="1:10" ht="40.5">
      <c r="A25" s="385"/>
      <c r="B25" s="310" t="s">
        <v>474</v>
      </c>
      <c r="C25" s="311">
        <v>0</v>
      </c>
      <c r="D25" s="311" t="s">
        <v>333</v>
      </c>
      <c r="E25" s="277" t="s">
        <v>423</v>
      </c>
      <c r="F25" s="266"/>
      <c r="G25" s="314" t="s">
        <v>60</v>
      </c>
      <c r="H25" s="271"/>
      <c r="I25" s="268" t="s">
        <v>23</v>
      </c>
      <c r="J25" s="272"/>
    </row>
    <row r="26" spans="1:10" ht="40.5">
      <c r="A26" s="393" t="s">
        <v>65</v>
      </c>
      <c r="B26" s="310" t="s">
        <v>475</v>
      </c>
      <c r="C26" s="311">
        <v>0</v>
      </c>
      <c r="D26" s="311" t="s">
        <v>336</v>
      </c>
      <c r="E26" s="280" t="s">
        <v>424</v>
      </c>
      <c r="F26" s="266"/>
      <c r="G26" s="314" t="s">
        <v>60</v>
      </c>
      <c r="H26" s="271"/>
      <c r="I26" s="268" t="s">
        <v>23</v>
      </c>
      <c r="J26" s="272"/>
    </row>
    <row r="27" spans="1:10" ht="67.5">
      <c r="A27" s="393"/>
      <c r="B27" s="310" t="s">
        <v>476</v>
      </c>
      <c r="C27" s="311">
        <v>0</v>
      </c>
      <c r="D27" s="311" t="s">
        <v>333</v>
      </c>
      <c r="E27" s="280" t="s">
        <v>425</v>
      </c>
      <c r="F27" s="266"/>
      <c r="G27" s="314" t="s">
        <v>340</v>
      </c>
      <c r="H27" s="271" t="s">
        <v>503</v>
      </c>
      <c r="I27" s="268" t="s">
        <v>23</v>
      </c>
      <c r="J27" s="272"/>
    </row>
    <row r="28" spans="1:10" ht="67.5">
      <c r="A28" s="393"/>
      <c r="B28" s="310" t="s">
        <v>477</v>
      </c>
      <c r="C28" s="311">
        <v>0</v>
      </c>
      <c r="D28" s="311" t="s">
        <v>333</v>
      </c>
      <c r="E28" s="281" t="s">
        <v>426</v>
      </c>
      <c r="F28" s="266"/>
      <c r="G28" s="314" t="s">
        <v>340</v>
      </c>
      <c r="H28" s="271" t="s">
        <v>503</v>
      </c>
      <c r="I28" s="268" t="s">
        <v>23</v>
      </c>
      <c r="J28" s="272"/>
    </row>
    <row r="29" spans="1:10" ht="94.5">
      <c r="A29" s="393" t="s">
        <v>66</v>
      </c>
      <c r="B29" s="310" t="s">
        <v>478</v>
      </c>
      <c r="C29" s="311">
        <v>0</v>
      </c>
      <c r="D29" s="311" t="s">
        <v>337</v>
      </c>
      <c r="E29" s="279" t="s">
        <v>427</v>
      </c>
      <c r="F29" s="266"/>
      <c r="G29" s="314" t="s">
        <v>60</v>
      </c>
      <c r="H29" s="271"/>
      <c r="I29" s="268" t="s">
        <v>23</v>
      </c>
      <c r="J29" s="272"/>
    </row>
    <row r="30" spans="1:10" ht="40.5">
      <c r="A30" s="393"/>
      <c r="B30" s="310" t="s">
        <v>479</v>
      </c>
      <c r="C30" s="311">
        <v>0</v>
      </c>
      <c r="D30" s="311" t="s">
        <v>333</v>
      </c>
      <c r="E30" s="279" t="s">
        <v>428</v>
      </c>
      <c r="F30" s="266"/>
      <c r="G30" s="314" t="s">
        <v>60</v>
      </c>
      <c r="H30" s="271"/>
      <c r="I30" s="268" t="s">
        <v>23</v>
      </c>
      <c r="J30" s="272"/>
    </row>
    <row r="31" spans="1:10" ht="40.5">
      <c r="A31" s="393" t="s">
        <v>67</v>
      </c>
      <c r="B31" s="310" t="s">
        <v>480</v>
      </c>
      <c r="C31" s="311">
        <v>0</v>
      </c>
      <c r="D31" s="311" t="s">
        <v>333</v>
      </c>
      <c r="E31" s="279" t="s">
        <v>429</v>
      </c>
      <c r="F31" s="266"/>
      <c r="G31" s="314" t="s">
        <v>60</v>
      </c>
      <c r="H31" s="271"/>
      <c r="I31" s="268" t="s">
        <v>23</v>
      </c>
      <c r="J31" s="272"/>
    </row>
    <row r="32" spans="1:10" ht="40.5">
      <c r="A32" s="393"/>
      <c r="B32" s="310" t="s">
        <v>481</v>
      </c>
      <c r="C32" s="311">
        <v>0</v>
      </c>
      <c r="D32" s="311" t="s">
        <v>333</v>
      </c>
      <c r="E32" s="279" t="s">
        <v>430</v>
      </c>
      <c r="F32" s="266"/>
      <c r="G32" s="314" t="s">
        <v>60</v>
      </c>
      <c r="H32" s="271"/>
      <c r="I32" s="268" t="s">
        <v>23</v>
      </c>
      <c r="J32" s="272"/>
    </row>
    <row r="33" spans="1:10" ht="67.5">
      <c r="A33" s="393" t="s">
        <v>290</v>
      </c>
      <c r="B33" s="310" t="s">
        <v>482</v>
      </c>
      <c r="C33" s="311">
        <v>0</v>
      </c>
      <c r="D33" s="311" t="s">
        <v>333</v>
      </c>
      <c r="E33" s="279" t="s">
        <v>431</v>
      </c>
      <c r="F33" s="266"/>
      <c r="G33" s="314" t="s">
        <v>60</v>
      </c>
      <c r="H33" s="271"/>
      <c r="I33" s="268" t="s">
        <v>23</v>
      </c>
      <c r="J33" s="272"/>
    </row>
    <row r="34" spans="1:10" ht="40.5">
      <c r="A34" s="393"/>
      <c r="B34" s="310" t="s">
        <v>483</v>
      </c>
      <c r="C34" s="311">
        <v>0</v>
      </c>
      <c r="D34" s="311" t="s">
        <v>333</v>
      </c>
      <c r="E34" s="279" t="s">
        <v>432</v>
      </c>
      <c r="F34" s="266"/>
      <c r="G34" s="314" t="s">
        <v>60</v>
      </c>
      <c r="H34" s="271"/>
      <c r="I34" s="268" t="s">
        <v>23</v>
      </c>
      <c r="J34" s="272"/>
    </row>
    <row r="35" spans="1:10" ht="40.5">
      <c r="A35" s="383" t="s">
        <v>342</v>
      </c>
      <c r="B35" s="310" t="s">
        <v>484</v>
      </c>
      <c r="C35" s="311"/>
      <c r="D35" s="311"/>
      <c r="E35" s="279" t="s">
        <v>399</v>
      </c>
      <c r="F35" s="266"/>
      <c r="G35" s="314" t="s">
        <v>60</v>
      </c>
      <c r="H35" s="271"/>
      <c r="I35" s="268" t="s">
        <v>23</v>
      </c>
      <c r="J35" s="272"/>
    </row>
    <row r="36" spans="1:10" ht="189">
      <c r="A36" s="384"/>
      <c r="B36" s="310" t="s">
        <v>485</v>
      </c>
      <c r="C36" s="311">
        <v>0</v>
      </c>
      <c r="D36" s="311" t="s">
        <v>333</v>
      </c>
      <c r="E36" s="279" t="s">
        <v>433</v>
      </c>
      <c r="F36" s="266"/>
      <c r="G36" s="314" t="s">
        <v>60</v>
      </c>
      <c r="H36" s="271"/>
      <c r="I36" s="268" t="s">
        <v>23</v>
      </c>
      <c r="J36" s="272"/>
    </row>
    <row r="37" spans="1:10" ht="94.5">
      <c r="A37" s="384"/>
      <c r="B37" s="310" t="s">
        <v>486</v>
      </c>
      <c r="C37" s="311">
        <v>0</v>
      </c>
      <c r="D37" s="311" t="s">
        <v>333</v>
      </c>
      <c r="E37" s="282" t="s">
        <v>400</v>
      </c>
      <c r="F37" s="266"/>
      <c r="G37" s="314" t="s">
        <v>60</v>
      </c>
      <c r="H37" s="271"/>
      <c r="I37" s="268" t="s">
        <v>23</v>
      </c>
      <c r="J37" s="272"/>
    </row>
    <row r="38" spans="1:10" ht="67.5">
      <c r="A38" s="384"/>
      <c r="B38" s="310" t="s">
        <v>487</v>
      </c>
      <c r="C38" s="311">
        <v>0</v>
      </c>
      <c r="D38" s="311" t="s">
        <v>333</v>
      </c>
      <c r="E38" s="282" t="s">
        <v>434</v>
      </c>
      <c r="F38" s="266"/>
      <c r="G38" s="314" t="s">
        <v>60</v>
      </c>
      <c r="H38" s="271"/>
      <c r="I38" s="268" t="s">
        <v>23</v>
      </c>
      <c r="J38" s="272"/>
    </row>
    <row r="39" spans="1:10" ht="67.5">
      <c r="A39" s="384"/>
      <c r="B39" s="310" t="s">
        <v>488</v>
      </c>
      <c r="C39" s="311">
        <v>0</v>
      </c>
      <c r="D39" s="311" t="s">
        <v>333</v>
      </c>
      <c r="E39" s="282" t="s">
        <v>401</v>
      </c>
      <c r="F39" s="266"/>
      <c r="G39" s="314" t="s">
        <v>60</v>
      </c>
      <c r="H39" s="271"/>
      <c r="I39" s="268" t="s">
        <v>23</v>
      </c>
      <c r="J39" s="272"/>
    </row>
    <row r="40" spans="1:10" ht="67.5">
      <c r="A40" s="384"/>
      <c r="B40" s="310" t="s">
        <v>489</v>
      </c>
      <c r="C40" s="311">
        <v>0</v>
      </c>
      <c r="D40" s="311" t="s">
        <v>333</v>
      </c>
      <c r="E40" s="282" t="s">
        <v>435</v>
      </c>
      <c r="F40" s="266"/>
      <c r="G40" s="314" t="s">
        <v>60</v>
      </c>
      <c r="H40" s="271"/>
      <c r="I40" s="268" t="s">
        <v>23</v>
      </c>
      <c r="J40" s="272"/>
    </row>
    <row r="41" spans="1:10" ht="67.5">
      <c r="A41" s="384"/>
      <c r="B41" s="310" t="s">
        <v>490</v>
      </c>
      <c r="C41" s="311">
        <v>0</v>
      </c>
      <c r="D41" s="311" t="s">
        <v>333</v>
      </c>
      <c r="E41" s="282" t="s">
        <v>436</v>
      </c>
      <c r="F41" s="266"/>
      <c r="G41" s="314" t="s">
        <v>60</v>
      </c>
      <c r="H41" s="271"/>
      <c r="I41" s="268" t="s">
        <v>23</v>
      </c>
      <c r="J41" s="272"/>
    </row>
    <row r="42" spans="1:10" ht="39" customHeight="1">
      <c r="A42" s="384"/>
      <c r="B42" s="310" t="s">
        <v>491</v>
      </c>
      <c r="C42" s="311">
        <v>0</v>
      </c>
      <c r="D42" s="311" t="s">
        <v>333</v>
      </c>
      <c r="E42" s="282" t="s">
        <v>402</v>
      </c>
      <c r="F42" s="266"/>
      <c r="G42" s="314" t="s">
        <v>60</v>
      </c>
      <c r="H42" s="271"/>
      <c r="I42" s="268" t="s">
        <v>23</v>
      </c>
      <c r="J42" s="272"/>
    </row>
    <row r="43" spans="1:10" ht="87" customHeight="1">
      <c r="A43" s="384"/>
      <c r="B43" s="310" t="s">
        <v>492</v>
      </c>
      <c r="C43" s="311">
        <v>0</v>
      </c>
      <c r="D43" s="311" t="s">
        <v>333</v>
      </c>
      <c r="E43" s="282" t="s">
        <v>504</v>
      </c>
      <c r="F43" s="266"/>
      <c r="G43" s="314" t="s">
        <v>60</v>
      </c>
      <c r="H43" s="271"/>
      <c r="I43" s="268" t="s">
        <v>23</v>
      </c>
      <c r="J43" s="272"/>
    </row>
    <row r="44" spans="1:10" ht="45.65" customHeight="1">
      <c r="A44" s="385"/>
      <c r="B44" s="310" t="s">
        <v>493</v>
      </c>
      <c r="C44" s="311">
        <v>0</v>
      </c>
      <c r="D44" s="311" t="s">
        <v>333</v>
      </c>
      <c r="E44" s="282" t="s">
        <v>437</v>
      </c>
      <c r="F44" s="266"/>
      <c r="G44" s="314" t="s">
        <v>60</v>
      </c>
      <c r="H44" s="271"/>
      <c r="I44" s="268" t="s">
        <v>23</v>
      </c>
      <c r="J44" s="272"/>
    </row>
    <row r="45" spans="1:10" ht="108">
      <c r="A45" s="313" t="s">
        <v>296</v>
      </c>
      <c r="B45" s="310" t="s">
        <v>494</v>
      </c>
      <c r="C45" s="311">
        <v>0</v>
      </c>
      <c r="D45" s="311" t="s">
        <v>333</v>
      </c>
      <c r="E45" s="280" t="s">
        <v>438</v>
      </c>
      <c r="F45" s="266"/>
      <c r="G45" s="314" t="s">
        <v>340</v>
      </c>
      <c r="H45" s="271"/>
      <c r="I45" s="268" t="s">
        <v>340</v>
      </c>
      <c r="J45" s="272"/>
    </row>
    <row r="46" spans="1:10" ht="67.5">
      <c r="A46" s="313" t="s">
        <v>345</v>
      </c>
      <c r="B46" s="310" t="s">
        <v>495</v>
      </c>
      <c r="C46" s="311">
        <v>0</v>
      </c>
      <c r="D46" s="311" t="s">
        <v>333</v>
      </c>
      <c r="E46" s="283" t="s">
        <v>439</v>
      </c>
      <c r="F46" s="266"/>
      <c r="G46" s="314" t="s">
        <v>60</v>
      </c>
      <c r="H46" s="271"/>
      <c r="I46" s="268" t="s">
        <v>23</v>
      </c>
      <c r="J46" s="272"/>
    </row>
    <row r="47" spans="1:10" ht="175.5">
      <c r="A47" s="313" t="s">
        <v>346</v>
      </c>
      <c r="B47" s="310" t="s">
        <v>496</v>
      </c>
      <c r="C47" s="311">
        <v>0</v>
      </c>
      <c r="D47" s="311" t="s">
        <v>333</v>
      </c>
      <c r="E47" s="283" t="s">
        <v>440</v>
      </c>
      <c r="F47" s="266"/>
      <c r="G47" s="314" t="s">
        <v>60</v>
      </c>
      <c r="H47" s="271"/>
      <c r="I47" s="268" t="s">
        <v>23</v>
      </c>
      <c r="J47" s="272"/>
    </row>
    <row r="48" spans="1:10" s="239" customFormat="1">
      <c r="A48" s="315"/>
      <c r="B48" s="316"/>
      <c r="C48" s="317"/>
      <c r="D48" s="317"/>
      <c r="E48" s="284"/>
      <c r="F48" s="285"/>
      <c r="G48" s="317"/>
      <c r="H48" s="286"/>
      <c r="I48" s="287"/>
      <c r="J48" s="286"/>
    </row>
    <row r="49" spans="1:11" ht="14.5" thickBot="1">
      <c r="A49" s="288"/>
      <c r="B49" s="266"/>
      <c r="C49" s="266"/>
      <c r="D49" s="266"/>
      <c r="E49" s="288"/>
      <c r="F49" s="266"/>
      <c r="G49" s="289" t="str">
        <f>A1</f>
        <v>SUPPLIER NAME</v>
      </c>
      <c r="H49" s="290"/>
      <c r="I49" s="290"/>
      <c r="J49" s="290"/>
      <c r="K49" s="5"/>
    </row>
    <row r="50" spans="1:11" ht="14.5" thickBot="1">
      <c r="A50" s="288"/>
      <c r="B50" s="266"/>
      <c r="C50" s="266"/>
      <c r="D50" s="266"/>
      <c r="E50" s="288"/>
      <c r="F50" s="266"/>
      <c r="G50" s="291" t="s">
        <v>283</v>
      </c>
      <c r="H50" s="292" t="s">
        <v>282</v>
      </c>
      <c r="I50" s="291" t="s">
        <v>283</v>
      </c>
      <c r="J50" s="290"/>
      <c r="K50" s="5"/>
    </row>
    <row r="51" spans="1:11">
      <c r="A51" s="288"/>
      <c r="B51" s="266"/>
      <c r="C51" s="266"/>
      <c r="D51" s="266"/>
      <c r="E51" s="288"/>
      <c r="F51" s="266"/>
      <c r="G51" s="293">
        <f>COUNTIF(G3:G47,"OK")</f>
        <v>42</v>
      </c>
      <c r="H51" s="294" t="s">
        <v>60</v>
      </c>
      <c r="I51" s="293">
        <f>COUNTIF(I2:I47,"OK")</f>
        <v>0</v>
      </c>
      <c r="J51" s="266"/>
    </row>
    <row r="52" spans="1:11">
      <c r="A52" s="288"/>
      <c r="B52" s="266"/>
      <c r="C52" s="266"/>
      <c r="D52" s="266"/>
      <c r="E52" s="288"/>
      <c r="F52" s="266"/>
      <c r="G52" s="295">
        <f>COUNTIF(G3:G47,"EN ATTENTE")</f>
        <v>0</v>
      </c>
      <c r="H52" s="296" t="s">
        <v>23</v>
      </c>
      <c r="I52" s="295">
        <f>COUNTIF(I3:I47,"EN ATTENTE")</f>
        <v>43</v>
      </c>
      <c r="J52" s="266"/>
    </row>
    <row r="53" spans="1:11">
      <c r="A53" s="288"/>
      <c r="B53" s="266"/>
      <c r="C53" s="266"/>
      <c r="D53" s="266"/>
      <c r="E53" s="288"/>
      <c r="F53" s="266"/>
      <c r="G53" s="297">
        <f>COUNTIF(G2:G47,"NOK")</f>
        <v>0</v>
      </c>
      <c r="H53" s="298" t="s">
        <v>58</v>
      </c>
      <c r="I53" s="297">
        <f>COUNTIF(I2:I47,"NOK")</f>
        <v>0</v>
      </c>
      <c r="J53" s="266"/>
    </row>
    <row r="54" spans="1:11">
      <c r="A54" s="288"/>
      <c r="B54" s="266"/>
      <c r="C54" s="266"/>
      <c r="D54" s="266"/>
      <c r="E54" s="288"/>
      <c r="F54" s="266"/>
      <c r="G54" s="299">
        <f>COUNTIF(G2:G47,"REJECT")</f>
        <v>0</v>
      </c>
      <c r="H54" s="300" t="s">
        <v>59</v>
      </c>
      <c r="I54" s="299">
        <f>COUNTIF(I2:I47,"REJECT")</f>
        <v>0</v>
      </c>
      <c r="J54" s="266"/>
    </row>
    <row r="55" spans="1:11" ht="14.5" thickBot="1">
      <c r="A55" s="288"/>
      <c r="B55" s="266"/>
      <c r="C55" s="266"/>
      <c r="D55" s="266"/>
      <c r="E55" s="288"/>
      <c r="F55" s="266"/>
      <c r="G55" s="301">
        <f>COUNTIF(G2:G47,"N/A")</f>
        <v>3</v>
      </c>
      <c r="H55" s="302" t="s">
        <v>340</v>
      </c>
      <c r="I55" s="301">
        <f>COUNTIF(I2:I47,"N/A*")</f>
        <v>1</v>
      </c>
      <c r="J55" s="266"/>
    </row>
    <row r="56" spans="1:11" ht="14.5" thickBot="1">
      <c r="A56" s="288"/>
      <c r="B56" s="266"/>
      <c r="C56" s="266"/>
      <c r="D56" s="266"/>
      <c r="E56" s="288"/>
      <c r="F56" s="266"/>
      <c r="G56" s="303">
        <f>SUM(G51:G55)</f>
        <v>45</v>
      </c>
      <c r="H56" s="304"/>
      <c r="I56" s="303">
        <f>SUM(I51:I55)</f>
        <v>44</v>
      </c>
      <c r="J56" s="266"/>
    </row>
    <row r="57" spans="1:11">
      <c r="A57" s="288"/>
      <c r="B57" s="266"/>
      <c r="C57" s="266"/>
      <c r="D57" s="266"/>
      <c r="E57" s="288"/>
      <c r="F57" s="266"/>
      <c r="G57" s="266"/>
      <c r="H57" s="266"/>
      <c r="I57" s="266"/>
      <c r="J57" s="266"/>
    </row>
    <row r="58" spans="1:11">
      <c r="A58" s="288"/>
      <c r="B58" s="266"/>
      <c r="C58" s="266"/>
      <c r="D58" s="266"/>
      <c r="E58" s="288"/>
      <c r="F58" s="266"/>
      <c r="G58" s="266"/>
      <c r="H58" s="266"/>
      <c r="I58" s="266"/>
      <c r="J58" s="266"/>
    </row>
  </sheetData>
  <mergeCells count="11">
    <mergeCell ref="A35:A44"/>
    <mergeCell ref="B1:E1"/>
    <mergeCell ref="G1:J1"/>
    <mergeCell ref="A29:A30"/>
    <mergeCell ref="A31:A32"/>
    <mergeCell ref="A33:A34"/>
    <mergeCell ref="A6:A15"/>
    <mergeCell ref="A16:A19"/>
    <mergeCell ref="A21:A22"/>
    <mergeCell ref="A26:A28"/>
    <mergeCell ref="A23:A25"/>
  </mergeCells>
  <phoneticPr fontId="44" type="noConversion"/>
  <conditionalFormatting sqref="G3:G48">
    <cfRule type="cellIs" dxfId="15" priority="5" operator="equal">
      <formula>"NOK"</formula>
    </cfRule>
    <cfRule type="cellIs" dxfId="14" priority="6" operator="equal">
      <formula>"OK"</formula>
    </cfRule>
  </conditionalFormatting>
  <conditionalFormatting sqref="I3:I48">
    <cfRule type="cellIs" dxfId="13" priority="1" operator="equal">
      <formula>"N/A"</formula>
    </cfRule>
    <cfRule type="cellIs" dxfId="12" priority="2" operator="equal">
      <formula>"DEVIATION"</formula>
    </cfRule>
    <cfRule type="cellIs" dxfId="11" priority="3" operator="equal">
      <formula>"NOK"</formula>
    </cfRule>
    <cfRule type="cellIs" dxfId="10" priority="4" operator="equal">
      <formula>"OK"</formula>
    </cfRule>
  </conditionalFormatting>
  <dataValidations count="2">
    <dataValidation type="list" showInputMessage="1" showErrorMessage="1" sqref="I3:I48">
      <formula1>"OK,NOK,DEVIATION,EN ATTENTE,N/A"</formula1>
    </dataValidation>
    <dataValidation type="list" showInputMessage="1" showErrorMessage="1" sqref="G3:G48">
      <formula1>"OK,NOK,N/A"</formula1>
    </dataValidation>
  </dataValidations>
  <pageMargins left="0.25" right="0.25" top="0.75" bottom="0.75" header="0.3" footer="0.3"/>
  <pageSetup paperSize="9" scale="74"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2"/>
  <sheetViews>
    <sheetView showGridLines="0" tabSelected="1" zoomScaleNormal="100" workbookViewId="0">
      <pane ySplit="3" topLeftCell="A4" activePane="bottomLeft" state="frozen"/>
      <selection pane="bottomLeft" activeCell="R10" sqref="R10"/>
    </sheetView>
  </sheetViews>
  <sheetFormatPr defaultColWidth="11.54296875" defaultRowHeight="14"/>
  <cols>
    <col min="1" max="1" width="2.453125" style="43" customWidth="1"/>
    <col min="2" max="2" width="3.1796875" style="43" bestFit="1" customWidth="1"/>
    <col min="3" max="3" width="27.81640625" style="43" customWidth="1"/>
    <col min="4" max="4" width="27" style="43" customWidth="1"/>
    <col min="5" max="5" width="37.1796875" style="43" customWidth="1"/>
    <col min="6" max="6" width="30.54296875" style="43" customWidth="1"/>
    <col min="7" max="7" width="21.81640625" style="43" customWidth="1"/>
    <col min="8" max="8" width="2.54296875" style="43" customWidth="1"/>
    <col min="9" max="9" width="28.81640625" style="39" customWidth="1"/>
    <col min="10" max="13" width="11.54296875" style="39"/>
    <col min="14" max="16384" width="11.54296875" style="43"/>
  </cols>
  <sheetData>
    <row r="1" spans="1:13" s="45" customFormat="1" ht="9" customHeight="1" thickBot="1">
      <c r="B1" s="54"/>
      <c r="I1" s="39"/>
      <c r="J1" s="39"/>
      <c r="K1" s="39"/>
      <c r="L1" s="39"/>
      <c r="M1" s="39"/>
    </row>
    <row r="2" spans="1:13" ht="36.75" customHeight="1" thickBot="1">
      <c r="B2" s="413" t="str">
        <f>'En-tête - 1st Page'!B9:J9</f>
        <v>Development guidelines</v>
      </c>
      <c r="C2" s="414"/>
      <c r="D2" s="414"/>
      <c r="E2" s="414"/>
      <c r="F2" s="414"/>
      <c r="G2" s="415"/>
    </row>
    <row r="3" spans="1:13" ht="35.5" thickBot="1">
      <c r="A3" s="38"/>
      <c r="B3" s="416" t="s">
        <v>33</v>
      </c>
      <c r="C3" s="417"/>
      <c r="D3" s="417"/>
      <c r="E3" s="209" t="s">
        <v>291</v>
      </c>
      <c r="F3" s="210" t="s">
        <v>514</v>
      </c>
      <c r="G3" s="211" t="s">
        <v>55</v>
      </c>
      <c r="I3" s="234" t="s">
        <v>329</v>
      </c>
    </row>
    <row r="4" spans="1:13" ht="17.5">
      <c r="A4" s="38"/>
      <c r="B4" s="418" t="s">
        <v>319</v>
      </c>
      <c r="C4" s="421" t="s">
        <v>338</v>
      </c>
      <c r="D4" s="422"/>
      <c r="E4" s="212"/>
      <c r="F4" s="227"/>
      <c r="G4" s="245"/>
      <c r="I4" s="253"/>
    </row>
    <row r="5" spans="1:13" ht="17.5">
      <c r="A5" s="38"/>
      <c r="B5" s="419"/>
      <c r="C5" s="423" t="s">
        <v>316</v>
      </c>
      <c r="D5" s="424"/>
      <c r="E5" s="213"/>
      <c r="F5" s="228"/>
      <c r="G5" s="246" t="s">
        <v>34</v>
      </c>
      <c r="I5" s="254"/>
    </row>
    <row r="6" spans="1:13" ht="17.5">
      <c r="A6" s="38"/>
      <c r="B6" s="419"/>
      <c r="C6" s="423" t="s">
        <v>317</v>
      </c>
      <c r="D6" s="424"/>
      <c r="E6" s="213"/>
      <c r="F6" s="228"/>
      <c r="G6" s="246" t="s">
        <v>34</v>
      </c>
      <c r="I6" s="254"/>
    </row>
    <row r="7" spans="1:13" ht="17.5">
      <c r="A7" s="38"/>
      <c r="B7" s="419"/>
      <c r="C7" s="425" t="s">
        <v>318</v>
      </c>
      <c r="D7" s="426"/>
      <c r="E7" s="206"/>
      <c r="F7" s="228"/>
      <c r="G7" s="246" t="s">
        <v>34</v>
      </c>
      <c r="I7" s="254"/>
    </row>
    <row r="8" spans="1:13" ht="17.5">
      <c r="A8" s="38"/>
      <c r="B8" s="419"/>
      <c r="C8" s="423" t="s">
        <v>383</v>
      </c>
      <c r="D8" s="424"/>
      <c r="E8" s="213"/>
      <c r="F8" s="228"/>
      <c r="G8" s="246" t="s">
        <v>34</v>
      </c>
      <c r="I8" s="254"/>
    </row>
    <row r="9" spans="1:13" ht="17.5">
      <c r="A9" s="38"/>
      <c r="B9" s="419"/>
      <c r="C9" s="423" t="s">
        <v>391</v>
      </c>
      <c r="D9" s="424"/>
      <c r="E9" s="213"/>
      <c r="F9" s="252"/>
      <c r="G9" s="246" t="s">
        <v>34</v>
      </c>
      <c r="I9" s="254"/>
    </row>
    <row r="10" spans="1:13" ht="17.5">
      <c r="A10" s="38"/>
      <c r="B10" s="419"/>
      <c r="C10" s="423" t="s">
        <v>383</v>
      </c>
      <c r="D10" s="424"/>
      <c r="E10" s="251"/>
      <c r="F10" s="228"/>
      <c r="G10" s="246" t="s">
        <v>34</v>
      </c>
      <c r="I10" s="254"/>
    </row>
    <row r="11" spans="1:13" ht="16" thickBot="1">
      <c r="A11" s="20"/>
      <c r="B11" s="420"/>
      <c r="C11" s="427" t="s">
        <v>339</v>
      </c>
      <c r="D11" s="428"/>
      <c r="E11" s="214"/>
      <c r="F11" s="207">
        <v>46230</v>
      </c>
      <c r="G11" s="247" t="s">
        <v>34</v>
      </c>
      <c r="I11" s="255"/>
    </row>
    <row r="12" spans="1:13" ht="32.5" customHeight="1" thickBot="1">
      <c r="A12" s="20"/>
      <c r="B12" s="404" t="s">
        <v>354</v>
      </c>
      <c r="C12" s="407" t="s">
        <v>385</v>
      </c>
      <c r="D12" s="408"/>
      <c r="E12" s="212"/>
      <c r="F12" s="203">
        <v>46223</v>
      </c>
      <c r="G12" s="248" t="s">
        <v>34</v>
      </c>
      <c r="I12" s="256"/>
    </row>
    <row r="13" spans="1:13" ht="38.5" customHeight="1">
      <c r="A13" s="20"/>
      <c r="B13" s="405"/>
      <c r="C13" s="400" t="s">
        <v>347</v>
      </c>
      <c r="D13" s="401"/>
      <c r="E13" s="213" t="s">
        <v>442</v>
      </c>
      <c r="F13" s="205">
        <v>46272</v>
      </c>
      <c r="G13" s="246" t="s">
        <v>34</v>
      </c>
      <c r="I13" s="235"/>
    </row>
    <row r="14" spans="1:13" ht="53" customHeight="1" thickBot="1">
      <c r="A14" s="20"/>
      <c r="B14" s="406"/>
      <c r="C14" s="409" t="s">
        <v>348</v>
      </c>
      <c r="D14" s="410"/>
      <c r="E14" s="204" t="s">
        <v>68</v>
      </c>
      <c r="F14" s="207">
        <v>46293</v>
      </c>
      <c r="G14" s="249" t="s">
        <v>34</v>
      </c>
      <c r="I14" s="257"/>
    </row>
    <row r="15" spans="1:13" ht="29.25" customHeight="1" thickBot="1">
      <c r="A15" s="20"/>
      <c r="B15" s="57" t="s">
        <v>273</v>
      </c>
      <c r="C15" s="411" t="s">
        <v>274</v>
      </c>
      <c r="D15" s="412"/>
      <c r="E15" s="215" t="s">
        <v>69</v>
      </c>
      <c r="F15" s="229">
        <v>46363</v>
      </c>
      <c r="G15" s="250" t="s">
        <v>34</v>
      </c>
      <c r="I15" s="258"/>
    </row>
    <row r="16" spans="1:13" ht="42.5" thickBot="1">
      <c r="A16" s="20"/>
      <c r="B16" s="394" t="s">
        <v>35</v>
      </c>
      <c r="C16" s="398" t="s">
        <v>441</v>
      </c>
      <c r="D16" s="60" t="s">
        <v>443</v>
      </c>
      <c r="E16" s="213" t="s">
        <v>442</v>
      </c>
      <c r="F16" s="498">
        <v>46258</v>
      </c>
      <c r="G16" s="245" t="s">
        <v>34</v>
      </c>
      <c r="I16" s="259"/>
    </row>
    <row r="17" spans="1:9" ht="28">
      <c r="A17" s="20"/>
      <c r="B17" s="395"/>
      <c r="C17" s="399"/>
      <c r="D17" s="60" t="s">
        <v>36</v>
      </c>
      <c r="E17" s="213" t="s">
        <v>442</v>
      </c>
      <c r="F17" s="203">
        <v>46286</v>
      </c>
      <c r="G17" s="248"/>
      <c r="I17" s="261"/>
    </row>
    <row r="18" spans="1:9" ht="15.5">
      <c r="A18" s="20"/>
      <c r="B18" s="396"/>
      <c r="C18" s="400"/>
      <c r="D18" s="59" t="s">
        <v>37</v>
      </c>
      <c r="E18" s="213" t="s">
        <v>442</v>
      </c>
      <c r="F18" s="230">
        <v>46314</v>
      </c>
      <c r="G18" s="246" t="s">
        <v>34</v>
      </c>
      <c r="I18" s="58"/>
    </row>
    <row r="19" spans="1:9" ht="28">
      <c r="A19" s="20"/>
      <c r="B19" s="396"/>
      <c r="C19" s="400"/>
      <c r="D19" s="59" t="s">
        <v>38</v>
      </c>
      <c r="E19" s="213" t="s">
        <v>442</v>
      </c>
      <c r="F19" s="230">
        <v>46314</v>
      </c>
      <c r="G19" s="246" t="s">
        <v>34</v>
      </c>
      <c r="I19" s="58"/>
    </row>
    <row r="20" spans="1:9" ht="15.5">
      <c r="A20" s="20"/>
      <c r="B20" s="396"/>
      <c r="C20" s="400"/>
      <c r="D20" s="59" t="s">
        <v>39</v>
      </c>
      <c r="E20" s="213" t="s">
        <v>442</v>
      </c>
      <c r="F20" s="230">
        <v>46314</v>
      </c>
      <c r="G20" s="246" t="s">
        <v>34</v>
      </c>
      <c r="I20" s="58"/>
    </row>
    <row r="21" spans="1:9" ht="24">
      <c r="A21" s="42"/>
      <c r="B21" s="396"/>
      <c r="C21" s="400" t="s">
        <v>275</v>
      </c>
      <c r="D21" s="401"/>
      <c r="E21" s="218" t="s">
        <v>320</v>
      </c>
      <c r="F21" s="231" t="s">
        <v>505</v>
      </c>
      <c r="G21" s="246" t="s">
        <v>34</v>
      </c>
      <c r="I21" s="254"/>
    </row>
    <row r="22" spans="1:9" ht="15.5">
      <c r="A22" s="20"/>
      <c r="B22" s="396"/>
      <c r="C22" s="400" t="s">
        <v>25</v>
      </c>
      <c r="D22" s="401"/>
      <c r="E22" s="218">
        <v>46363</v>
      </c>
      <c r="F22" s="230">
        <v>46384</v>
      </c>
      <c r="G22" s="246" t="s">
        <v>34</v>
      </c>
      <c r="I22" s="58"/>
    </row>
    <row r="23" spans="1:9" ht="16" thickBot="1">
      <c r="A23" s="20"/>
      <c r="B23" s="397"/>
      <c r="C23" s="402" t="s">
        <v>271</v>
      </c>
      <c r="D23" s="403"/>
      <c r="E23" s="219">
        <v>46370</v>
      </c>
      <c r="F23" s="232">
        <v>46391</v>
      </c>
      <c r="G23" s="247" t="s">
        <v>34</v>
      </c>
      <c r="I23" s="260"/>
    </row>
    <row r="24" spans="1:9" ht="34.5" customHeight="1" thickBot="1">
      <c r="A24" s="40"/>
      <c r="B24" s="429" t="s">
        <v>353</v>
      </c>
      <c r="C24" s="407" t="s">
        <v>386</v>
      </c>
      <c r="D24" s="408"/>
      <c r="E24" s="223">
        <v>46370</v>
      </c>
      <c r="F24" s="203">
        <v>46300</v>
      </c>
      <c r="G24" s="248" t="s">
        <v>62</v>
      </c>
      <c r="I24" s="253"/>
    </row>
    <row r="25" spans="1:9" ht="34.5" customHeight="1">
      <c r="A25" s="40"/>
      <c r="B25" s="405"/>
      <c r="C25" s="400" t="s">
        <v>356</v>
      </c>
      <c r="D25" s="401"/>
      <c r="E25" s="220" t="s">
        <v>278</v>
      </c>
      <c r="F25" s="230">
        <v>46328</v>
      </c>
      <c r="G25" s="246" t="s">
        <v>34</v>
      </c>
      <c r="I25" s="254"/>
    </row>
    <row r="26" spans="1:9" ht="28">
      <c r="A26" s="40"/>
      <c r="B26" s="405"/>
      <c r="C26" s="400" t="s">
        <v>71</v>
      </c>
      <c r="D26" s="401"/>
      <c r="E26" s="217" t="s">
        <v>293</v>
      </c>
      <c r="F26" s="230"/>
      <c r="G26" s="246" t="s">
        <v>34</v>
      </c>
      <c r="I26" s="58"/>
    </row>
    <row r="27" spans="1:9" ht="16" thickBot="1">
      <c r="A27" s="40"/>
      <c r="B27" s="406"/>
      <c r="C27" s="427" t="s">
        <v>279</v>
      </c>
      <c r="D27" s="428"/>
      <c r="E27" s="214" t="s">
        <v>292</v>
      </c>
      <c r="F27" s="232"/>
      <c r="G27" s="249" t="s">
        <v>34</v>
      </c>
      <c r="I27" s="255"/>
    </row>
    <row r="28" spans="1:9" ht="28">
      <c r="A28" s="41"/>
      <c r="B28" s="394" t="s">
        <v>40</v>
      </c>
      <c r="C28" s="398" t="s">
        <v>41</v>
      </c>
      <c r="D28" s="60" t="s">
        <v>36</v>
      </c>
      <c r="E28" s="213" t="s">
        <v>442</v>
      </c>
      <c r="F28" s="203"/>
      <c r="G28" s="245" t="s">
        <v>34</v>
      </c>
      <c r="I28" s="261"/>
    </row>
    <row r="29" spans="1:9" ht="28">
      <c r="A29" s="41"/>
      <c r="B29" s="396"/>
      <c r="C29" s="400"/>
      <c r="D29" s="59" t="s">
        <v>42</v>
      </c>
      <c r="E29" s="213" t="s">
        <v>442</v>
      </c>
      <c r="F29" s="230"/>
      <c r="G29" s="246" t="s">
        <v>34</v>
      </c>
      <c r="I29" s="254"/>
    </row>
    <row r="30" spans="1:9" ht="15.5">
      <c r="A30" s="41"/>
      <c r="B30" s="396"/>
      <c r="C30" s="400"/>
      <c r="D30" s="59" t="s">
        <v>37</v>
      </c>
      <c r="E30" s="213" t="s">
        <v>442</v>
      </c>
      <c r="F30" s="230"/>
      <c r="G30" s="246" t="s">
        <v>34</v>
      </c>
      <c r="I30" s="254"/>
    </row>
    <row r="31" spans="1:9" ht="15.5">
      <c r="A31" s="41"/>
      <c r="B31" s="396"/>
      <c r="C31" s="400"/>
      <c r="D31" s="59" t="s">
        <v>43</v>
      </c>
      <c r="E31" s="213" t="s">
        <v>442</v>
      </c>
      <c r="F31" s="230"/>
      <c r="G31" s="246" t="s">
        <v>34</v>
      </c>
      <c r="I31" s="254"/>
    </row>
    <row r="32" spans="1:9" ht="28">
      <c r="A32" s="41"/>
      <c r="B32" s="396"/>
      <c r="C32" s="400"/>
      <c r="D32" s="59" t="s">
        <v>38</v>
      </c>
      <c r="E32" s="213" t="s">
        <v>442</v>
      </c>
      <c r="F32" s="230"/>
      <c r="G32" s="246" t="s">
        <v>34</v>
      </c>
      <c r="I32" s="58"/>
    </row>
    <row r="33" spans="1:9" ht="15.5">
      <c r="A33" s="41"/>
      <c r="B33" s="396"/>
      <c r="C33" s="400"/>
      <c r="D33" s="59" t="s">
        <v>39</v>
      </c>
      <c r="E33" s="213" t="s">
        <v>442</v>
      </c>
      <c r="F33" s="230"/>
      <c r="G33" s="246" t="s">
        <v>34</v>
      </c>
      <c r="I33" s="58"/>
    </row>
    <row r="34" spans="1:9" ht="15.5">
      <c r="A34" s="42"/>
      <c r="B34" s="396"/>
      <c r="C34" s="400" t="s">
        <v>275</v>
      </c>
      <c r="D34" s="401"/>
      <c r="E34" s="218" t="s">
        <v>320</v>
      </c>
      <c r="F34" s="231" t="s">
        <v>506</v>
      </c>
      <c r="G34" s="246" t="s">
        <v>34</v>
      </c>
      <c r="I34" s="254"/>
    </row>
    <row r="35" spans="1:9" ht="15.5">
      <c r="A35" s="41"/>
      <c r="B35" s="396"/>
      <c r="C35" s="400" t="s">
        <v>27</v>
      </c>
      <c r="D35" s="401"/>
      <c r="E35" s="218" t="s">
        <v>315</v>
      </c>
      <c r="F35" s="230">
        <v>46440</v>
      </c>
      <c r="G35" s="246" t="s">
        <v>34</v>
      </c>
      <c r="I35" s="254"/>
    </row>
    <row r="36" spans="1:9" ht="15.5">
      <c r="A36" s="41"/>
      <c r="B36" s="396"/>
      <c r="C36" s="400" t="s">
        <v>272</v>
      </c>
      <c r="D36" s="401"/>
      <c r="E36" s="217">
        <v>46447</v>
      </c>
      <c r="F36" s="230">
        <v>46447</v>
      </c>
      <c r="G36" s="246" t="s">
        <v>34</v>
      </c>
      <c r="I36" s="254"/>
    </row>
    <row r="37" spans="1:9" ht="15.5">
      <c r="A37" s="41"/>
      <c r="B37" s="432"/>
      <c r="C37" s="400" t="s">
        <v>389</v>
      </c>
      <c r="D37" s="401"/>
      <c r="E37" s="244"/>
      <c r="F37" s="242">
        <v>46425</v>
      </c>
      <c r="G37" s="246" t="s">
        <v>34</v>
      </c>
      <c r="I37" s="254"/>
    </row>
    <row r="38" spans="1:9" ht="16" thickBot="1">
      <c r="A38" s="42"/>
      <c r="B38" s="397"/>
      <c r="C38" s="402" t="s">
        <v>26</v>
      </c>
      <c r="D38" s="403"/>
      <c r="E38" s="222" t="s">
        <v>321</v>
      </c>
      <c r="F38" s="232">
        <v>46468</v>
      </c>
      <c r="G38" s="249" t="s">
        <v>34</v>
      </c>
      <c r="I38" s="255"/>
    </row>
    <row r="39" spans="1:9" ht="47" customHeight="1">
      <c r="A39" s="40"/>
      <c r="B39" s="429" t="s">
        <v>349</v>
      </c>
      <c r="C39" s="430" t="s">
        <v>387</v>
      </c>
      <c r="D39" s="431"/>
      <c r="E39" s="223" t="s">
        <v>7</v>
      </c>
      <c r="F39" s="203">
        <v>46356</v>
      </c>
      <c r="G39" s="245" t="s">
        <v>34</v>
      </c>
      <c r="I39" s="262"/>
    </row>
    <row r="40" spans="1:9" ht="72.650000000000006" customHeight="1" thickBot="1">
      <c r="A40" s="40"/>
      <c r="B40" s="405"/>
      <c r="C40" s="400" t="s">
        <v>355</v>
      </c>
      <c r="D40" s="401"/>
      <c r="E40" s="213" t="s">
        <v>442</v>
      </c>
      <c r="F40" s="230">
        <v>46384</v>
      </c>
      <c r="G40" s="249" t="s">
        <v>34</v>
      </c>
      <c r="I40" s="263"/>
    </row>
    <row r="41" spans="1:9" ht="28">
      <c r="A41" s="20"/>
      <c r="B41" s="433" t="s">
        <v>45</v>
      </c>
      <c r="C41" s="398" t="s">
        <v>46</v>
      </c>
      <c r="D41" s="60" t="s">
        <v>36</v>
      </c>
      <c r="E41" s="213" t="s">
        <v>442</v>
      </c>
      <c r="F41" s="203"/>
      <c r="G41" s="245" t="s">
        <v>34</v>
      </c>
      <c r="I41" s="259"/>
    </row>
    <row r="42" spans="1:9" ht="28">
      <c r="A42" s="20"/>
      <c r="B42" s="434"/>
      <c r="C42" s="400"/>
      <c r="D42" s="59" t="s">
        <v>42</v>
      </c>
      <c r="E42" s="213" t="s">
        <v>442</v>
      </c>
      <c r="F42" s="230"/>
      <c r="G42" s="246" t="s">
        <v>34</v>
      </c>
      <c r="I42" s="58"/>
    </row>
    <row r="43" spans="1:9" ht="15.5">
      <c r="A43" s="20"/>
      <c r="B43" s="434"/>
      <c r="C43" s="400"/>
      <c r="D43" s="59" t="s">
        <v>37</v>
      </c>
      <c r="E43" s="213" t="s">
        <v>442</v>
      </c>
      <c r="F43" s="230"/>
      <c r="G43" s="246" t="s">
        <v>34</v>
      </c>
      <c r="I43" s="254"/>
    </row>
    <row r="44" spans="1:9" ht="15.5">
      <c r="A44" s="20"/>
      <c r="B44" s="434"/>
      <c r="C44" s="400"/>
      <c r="D44" s="59" t="s">
        <v>43</v>
      </c>
      <c r="E44" s="213" t="s">
        <v>442</v>
      </c>
      <c r="F44" s="230"/>
      <c r="G44" s="246" t="s">
        <v>34</v>
      </c>
      <c r="I44" s="254"/>
    </row>
    <row r="45" spans="1:9" ht="15.5">
      <c r="A45" s="20"/>
      <c r="B45" s="434"/>
      <c r="C45" s="400"/>
      <c r="D45" s="59" t="s">
        <v>39</v>
      </c>
      <c r="E45" s="213" t="s">
        <v>442</v>
      </c>
      <c r="F45" s="230"/>
      <c r="G45" s="246" t="s">
        <v>34</v>
      </c>
      <c r="I45" s="254"/>
    </row>
    <row r="46" spans="1:9" ht="24">
      <c r="A46" s="20"/>
      <c r="B46" s="434"/>
      <c r="C46" s="400" t="s">
        <v>44</v>
      </c>
      <c r="D46" s="401"/>
      <c r="E46" s="218" t="s">
        <v>320</v>
      </c>
      <c r="F46" s="231" t="s">
        <v>507</v>
      </c>
      <c r="G46" s="246" t="s">
        <v>34</v>
      </c>
      <c r="I46" s="254"/>
    </row>
    <row r="47" spans="1:9" ht="15.5">
      <c r="A47" s="41"/>
      <c r="B47" s="434"/>
      <c r="C47" s="400" t="s">
        <v>281</v>
      </c>
      <c r="D47" s="401"/>
      <c r="E47" s="218" t="s">
        <v>313</v>
      </c>
      <c r="F47" s="230"/>
      <c r="G47" s="246" t="s">
        <v>34</v>
      </c>
      <c r="I47" s="58"/>
    </row>
    <row r="48" spans="1:9" ht="15.5">
      <c r="A48" s="41"/>
      <c r="B48" s="434"/>
      <c r="C48" s="400" t="s">
        <v>28</v>
      </c>
      <c r="D48" s="401"/>
      <c r="E48" s="218" t="s">
        <v>312</v>
      </c>
      <c r="F48" s="230">
        <v>46531</v>
      </c>
      <c r="G48" s="246" t="s">
        <v>62</v>
      </c>
      <c r="I48" s="254"/>
    </row>
    <row r="49" spans="1:9" ht="15.5">
      <c r="A49" s="20"/>
      <c r="B49" s="434"/>
      <c r="C49" s="400" t="s">
        <v>29</v>
      </c>
      <c r="D49" s="401"/>
      <c r="E49" s="218">
        <v>46538</v>
      </c>
      <c r="F49" s="230">
        <v>46538</v>
      </c>
      <c r="G49" s="246" t="s">
        <v>34</v>
      </c>
      <c r="I49" s="254"/>
    </row>
    <row r="50" spans="1:9" ht="15.5">
      <c r="A50" s="20"/>
      <c r="B50" s="434"/>
      <c r="C50" s="400" t="s">
        <v>390</v>
      </c>
      <c r="D50" s="401"/>
      <c r="E50" s="213" t="s">
        <v>442</v>
      </c>
      <c r="F50" s="242"/>
      <c r="G50" s="246" t="s">
        <v>34</v>
      </c>
      <c r="I50" s="254"/>
    </row>
    <row r="51" spans="1:9" ht="16" thickBot="1">
      <c r="A51" s="42"/>
      <c r="B51" s="435"/>
      <c r="C51" s="402" t="s">
        <v>26</v>
      </c>
      <c r="D51" s="403"/>
      <c r="E51" s="222" t="s">
        <v>314</v>
      </c>
      <c r="F51" s="232">
        <v>46559</v>
      </c>
      <c r="G51" s="249" t="s">
        <v>34</v>
      </c>
      <c r="I51" s="263"/>
    </row>
    <row r="52" spans="1:9" ht="15.75" customHeight="1">
      <c r="A52" s="20"/>
      <c r="B52" s="429" t="s">
        <v>350</v>
      </c>
      <c r="C52" s="398" t="s">
        <v>277</v>
      </c>
      <c r="D52" s="436"/>
      <c r="E52" s="213" t="s">
        <v>442</v>
      </c>
      <c r="F52" s="203">
        <v>46433</v>
      </c>
      <c r="G52" s="245" t="s">
        <v>34</v>
      </c>
      <c r="I52" s="253"/>
    </row>
    <row r="53" spans="1:9" ht="15.5">
      <c r="A53" s="20"/>
      <c r="B53" s="405"/>
      <c r="C53" s="400" t="s">
        <v>276</v>
      </c>
      <c r="D53" s="401"/>
      <c r="E53" s="213" t="s">
        <v>442</v>
      </c>
      <c r="F53" s="230">
        <v>46461</v>
      </c>
      <c r="G53" s="246" t="s">
        <v>34</v>
      </c>
      <c r="I53" s="254"/>
    </row>
    <row r="54" spans="1:9" ht="56">
      <c r="A54" s="20"/>
      <c r="B54" s="405"/>
      <c r="C54" s="437" t="s">
        <v>351</v>
      </c>
      <c r="D54" s="438"/>
      <c r="E54" s="240" t="s">
        <v>70</v>
      </c>
      <c r="F54" s="230"/>
      <c r="G54" s="246" t="s">
        <v>34</v>
      </c>
      <c r="I54" s="58"/>
    </row>
    <row r="55" spans="1:9" ht="31.5" customHeight="1">
      <c r="A55" s="20"/>
      <c r="B55" s="405"/>
      <c r="C55" s="437" t="s">
        <v>352</v>
      </c>
      <c r="D55" s="438"/>
      <c r="E55" s="221">
        <v>46531</v>
      </c>
      <c r="F55" s="230">
        <v>46522</v>
      </c>
      <c r="G55" s="246" t="s">
        <v>62</v>
      </c>
      <c r="I55" s="58"/>
    </row>
    <row r="56" spans="1:9" ht="31.5" customHeight="1">
      <c r="A56" s="20"/>
      <c r="B56" s="405"/>
      <c r="C56" s="399" t="s">
        <v>327</v>
      </c>
      <c r="D56" s="439"/>
      <c r="E56" s="224" t="s">
        <v>328</v>
      </c>
      <c r="F56" s="230"/>
      <c r="G56" s="246" t="s">
        <v>34</v>
      </c>
      <c r="I56" s="58"/>
    </row>
    <row r="57" spans="1:9" ht="28.5" thickBot="1">
      <c r="A57" s="20"/>
      <c r="B57" s="406"/>
      <c r="C57" s="402" t="s">
        <v>72</v>
      </c>
      <c r="D57" s="403"/>
      <c r="E57" s="219" t="s">
        <v>326</v>
      </c>
      <c r="F57" s="232">
        <v>46571</v>
      </c>
      <c r="G57" s="247" t="s">
        <v>34</v>
      </c>
      <c r="I57" s="257"/>
    </row>
    <row r="58" spans="1:9" ht="28">
      <c r="A58" s="20"/>
      <c r="B58" s="442" t="s">
        <v>357</v>
      </c>
      <c r="C58" s="398" t="s">
        <v>358</v>
      </c>
      <c r="D58" s="60" t="s">
        <v>36</v>
      </c>
      <c r="E58" s="213" t="s">
        <v>442</v>
      </c>
      <c r="F58" s="203"/>
      <c r="G58" s="248" t="s">
        <v>34</v>
      </c>
      <c r="I58" s="261"/>
    </row>
    <row r="59" spans="1:9" ht="28">
      <c r="A59" s="20"/>
      <c r="B59" s="443"/>
      <c r="C59" s="400"/>
      <c r="D59" s="59" t="s">
        <v>42</v>
      </c>
      <c r="E59" s="213" t="s">
        <v>442</v>
      </c>
      <c r="F59" s="230"/>
      <c r="G59" s="246" t="s">
        <v>34</v>
      </c>
      <c r="I59" s="58"/>
    </row>
    <row r="60" spans="1:9" ht="15.5">
      <c r="A60" s="20"/>
      <c r="B60" s="443"/>
      <c r="C60" s="400"/>
      <c r="D60" s="59" t="s">
        <v>37</v>
      </c>
      <c r="E60" s="213" t="s">
        <v>442</v>
      </c>
      <c r="F60" s="230"/>
      <c r="G60" s="246" t="s">
        <v>34</v>
      </c>
      <c r="I60" s="58"/>
    </row>
    <row r="61" spans="1:9" ht="15.5">
      <c r="A61" s="20"/>
      <c r="B61" s="443"/>
      <c r="C61" s="400"/>
      <c r="D61" s="59" t="s">
        <v>310</v>
      </c>
      <c r="E61" s="213" t="s">
        <v>442</v>
      </c>
      <c r="F61" s="230"/>
      <c r="G61" s="246" t="s">
        <v>34</v>
      </c>
      <c r="I61" s="58"/>
    </row>
    <row r="62" spans="1:9" ht="15.5">
      <c r="A62" s="20"/>
      <c r="B62" s="443"/>
      <c r="C62" s="400"/>
      <c r="D62" s="59" t="s">
        <v>39</v>
      </c>
      <c r="E62" s="213" t="s">
        <v>442</v>
      </c>
      <c r="F62" s="230"/>
      <c r="G62" s="246" t="s">
        <v>34</v>
      </c>
      <c r="I62" s="58"/>
    </row>
    <row r="63" spans="1:9" ht="30" customHeight="1">
      <c r="A63" s="20"/>
      <c r="B63" s="443"/>
      <c r="C63" s="400" t="s">
        <v>359</v>
      </c>
      <c r="D63" s="401"/>
      <c r="E63" s="218" t="s">
        <v>360</v>
      </c>
      <c r="F63" s="230"/>
      <c r="G63" s="246" t="s">
        <v>34</v>
      </c>
      <c r="I63" s="58"/>
    </row>
    <row r="64" spans="1:9" ht="15.5">
      <c r="A64" s="20"/>
      <c r="B64" s="443"/>
      <c r="C64" s="400" t="s">
        <v>30</v>
      </c>
      <c r="D64" s="401"/>
      <c r="E64" s="218">
        <v>46658</v>
      </c>
      <c r="F64" s="230">
        <v>46657</v>
      </c>
      <c r="G64" s="246" t="s">
        <v>34</v>
      </c>
      <c r="I64" s="58"/>
    </row>
    <row r="65" spans="1:9" ht="15.5">
      <c r="A65" s="20"/>
      <c r="B65" s="443"/>
      <c r="C65" s="400" t="s">
        <v>280</v>
      </c>
      <c r="D65" s="401"/>
      <c r="E65" s="213">
        <v>46663</v>
      </c>
      <c r="F65" s="230">
        <v>46664</v>
      </c>
      <c r="G65" s="246" t="s">
        <v>34</v>
      </c>
      <c r="I65" s="58"/>
    </row>
    <row r="66" spans="1:9" ht="15.65" customHeight="1">
      <c r="A66" s="20"/>
      <c r="B66" s="443"/>
      <c r="C66" s="400" t="s">
        <v>297</v>
      </c>
      <c r="D66" s="401"/>
      <c r="E66" s="217" t="s">
        <v>298</v>
      </c>
      <c r="F66" s="230"/>
      <c r="G66" s="246" t="s">
        <v>62</v>
      </c>
      <c r="I66" s="58"/>
    </row>
    <row r="67" spans="1:9" ht="15.65" customHeight="1">
      <c r="A67" s="20"/>
      <c r="B67" s="443"/>
      <c r="C67" s="400" t="s">
        <v>301</v>
      </c>
      <c r="D67" s="401"/>
      <c r="E67" s="217" t="s">
        <v>299</v>
      </c>
      <c r="F67" s="230">
        <v>46664</v>
      </c>
      <c r="G67" s="246" t="s">
        <v>34</v>
      </c>
      <c r="I67" s="58"/>
    </row>
    <row r="68" spans="1:9" ht="15.5">
      <c r="A68" s="20"/>
      <c r="B68" s="443"/>
      <c r="C68" s="437" t="s">
        <v>361</v>
      </c>
      <c r="D68" s="438"/>
      <c r="E68" s="221">
        <v>46671</v>
      </c>
      <c r="F68" s="230">
        <v>46671</v>
      </c>
      <c r="G68" s="246" t="s">
        <v>34</v>
      </c>
      <c r="I68" s="58"/>
    </row>
    <row r="69" spans="1:9" ht="16.5" customHeight="1">
      <c r="A69" s="20"/>
      <c r="B69" s="443"/>
      <c r="C69" s="400" t="s">
        <v>44</v>
      </c>
      <c r="D69" s="401"/>
      <c r="E69" s="208"/>
      <c r="F69" s="231" t="s">
        <v>508</v>
      </c>
      <c r="G69" s="246" t="s">
        <v>34</v>
      </c>
      <c r="I69" s="58"/>
    </row>
    <row r="70" spans="1:9" ht="16.5" customHeight="1">
      <c r="A70" s="20"/>
      <c r="B70" s="443"/>
      <c r="C70" s="400" t="s">
        <v>379</v>
      </c>
      <c r="D70" s="401"/>
      <c r="E70" s="225" t="s">
        <v>300</v>
      </c>
      <c r="F70" s="231"/>
      <c r="G70" s="246" t="s">
        <v>62</v>
      </c>
      <c r="I70" s="58"/>
    </row>
    <row r="71" spans="1:9" ht="16.5" customHeight="1">
      <c r="A71" s="20"/>
      <c r="B71" s="443"/>
      <c r="C71" s="400" t="s">
        <v>378</v>
      </c>
      <c r="D71" s="401"/>
      <c r="E71" s="218">
        <v>46706</v>
      </c>
      <c r="F71" s="230">
        <v>46692</v>
      </c>
      <c r="G71" s="246" t="s">
        <v>34</v>
      </c>
      <c r="I71" s="58"/>
    </row>
    <row r="72" spans="1:9" ht="15.5">
      <c r="A72" s="20"/>
      <c r="B72" s="443"/>
      <c r="C72" s="437" t="s">
        <v>362</v>
      </c>
      <c r="D72" s="438"/>
      <c r="E72" s="221">
        <v>46727</v>
      </c>
      <c r="F72" s="230">
        <v>46706</v>
      </c>
      <c r="G72" s="246" t="s">
        <v>62</v>
      </c>
      <c r="I72" s="58"/>
    </row>
    <row r="73" spans="1:9" ht="15.5">
      <c r="A73" s="20"/>
      <c r="B73" s="443"/>
      <c r="C73" s="400" t="s">
        <v>44</v>
      </c>
      <c r="D73" s="401"/>
      <c r="E73" s="217"/>
      <c r="F73" s="499" t="s">
        <v>509</v>
      </c>
      <c r="G73" s="246" t="s">
        <v>34</v>
      </c>
      <c r="I73" s="254"/>
    </row>
    <row r="74" spans="1:9" ht="15.5">
      <c r="A74" s="20"/>
      <c r="B74" s="443"/>
      <c r="C74" s="400" t="s">
        <v>322</v>
      </c>
      <c r="D74" s="401"/>
      <c r="E74" s="217" t="s">
        <v>323</v>
      </c>
      <c r="F74" s="499">
        <v>46741</v>
      </c>
      <c r="G74" s="246" t="s">
        <v>34</v>
      </c>
      <c r="I74" s="58"/>
    </row>
    <row r="75" spans="1:9" ht="15.5">
      <c r="A75" s="20"/>
      <c r="B75" s="443"/>
      <c r="C75" s="440" t="s">
        <v>324</v>
      </c>
      <c r="D75" s="441"/>
      <c r="E75" s="217" t="s">
        <v>325</v>
      </c>
      <c r="F75" s="499">
        <v>46762</v>
      </c>
      <c r="G75" s="246" t="s">
        <v>34</v>
      </c>
      <c r="I75" s="58"/>
    </row>
    <row r="76" spans="1:9" ht="15.5">
      <c r="A76" s="20"/>
      <c r="B76" s="443"/>
      <c r="C76" s="400" t="s">
        <v>381</v>
      </c>
      <c r="D76" s="401"/>
      <c r="E76" s="218" t="s">
        <v>311</v>
      </c>
      <c r="F76" s="233"/>
      <c r="G76" s="246" t="s">
        <v>34</v>
      </c>
      <c r="I76" s="58"/>
    </row>
    <row r="77" spans="1:9" ht="15.5">
      <c r="A77" s="20"/>
      <c r="B77" s="443"/>
      <c r="C77" s="400" t="s">
        <v>382</v>
      </c>
      <c r="D77" s="401"/>
      <c r="E77" s="213" t="s">
        <v>442</v>
      </c>
      <c r="F77" s="233"/>
      <c r="G77" s="246" t="s">
        <v>34</v>
      </c>
      <c r="I77" s="58"/>
    </row>
    <row r="78" spans="1:9" ht="15.5">
      <c r="A78" s="20"/>
      <c r="B78" s="443"/>
      <c r="C78" s="400" t="s">
        <v>377</v>
      </c>
      <c r="D78" s="401"/>
      <c r="E78" s="225" t="s">
        <v>302</v>
      </c>
      <c r="F78" s="233"/>
      <c r="G78" s="246" t="s">
        <v>62</v>
      </c>
      <c r="I78" s="58"/>
    </row>
    <row r="79" spans="1:9" ht="16.5" customHeight="1">
      <c r="A79" s="20"/>
      <c r="B79" s="443"/>
      <c r="C79" s="400" t="s">
        <v>376</v>
      </c>
      <c r="D79" s="401"/>
      <c r="E79" s="225" t="s">
        <v>303</v>
      </c>
      <c r="F79" s="231"/>
      <c r="G79" s="246" t="s">
        <v>62</v>
      </c>
      <c r="I79" s="58"/>
    </row>
    <row r="80" spans="1:9" ht="15.5">
      <c r="A80" s="20"/>
      <c r="B80" s="443"/>
      <c r="C80" s="437" t="s">
        <v>363</v>
      </c>
      <c r="D80" s="438"/>
      <c r="E80" s="221" t="s">
        <v>292</v>
      </c>
      <c r="F80" s="230"/>
      <c r="G80" s="248" t="s">
        <v>62</v>
      </c>
      <c r="I80" s="58"/>
    </row>
    <row r="81" spans="1:9" ht="15.5">
      <c r="A81" s="20"/>
      <c r="B81" s="443"/>
      <c r="C81" s="400" t="s">
        <v>44</v>
      </c>
      <c r="D81" s="401"/>
      <c r="E81" s="217"/>
      <c r="F81" s="233"/>
      <c r="G81" s="246" t="s">
        <v>34</v>
      </c>
      <c r="I81" s="58"/>
    </row>
    <row r="82" spans="1:9" ht="15.5">
      <c r="A82" s="20"/>
      <c r="B82" s="443"/>
      <c r="C82" s="400" t="s">
        <v>48</v>
      </c>
      <c r="D82" s="401"/>
      <c r="E82" s="213" t="s">
        <v>442</v>
      </c>
      <c r="F82" s="230" t="s">
        <v>510</v>
      </c>
      <c r="G82" s="246" t="s">
        <v>34</v>
      </c>
      <c r="I82" s="58"/>
    </row>
    <row r="83" spans="1:9" ht="16" thickBot="1">
      <c r="A83" s="20"/>
      <c r="B83" s="444"/>
      <c r="C83" s="402" t="s">
        <v>49</v>
      </c>
      <c r="D83" s="403"/>
      <c r="E83" s="222" t="s">
        <v>444</v>
      </c>
      <c r="F83" s="232" t="s">
        <v>511</v>
      </c>
      <c r="G83" s="247" t="s">
        <v>34</v>
      </c>
      <c r="I83" s="263"/>
    </row>
    <row r="84" spans="1:9" ht="15.5">
      <c r="A84" s="20"/>
      <c r="B84" s="442" t="s">
        <v>364</v>
      </c>
      <c r="C84" s="398" t="s">
        <v>375</v>
      </c>
      <c r="D84" s="436"/>
      <c r="E84" s="216" t="s">
        <v>304</v>
      </c>
      <c r="F84" s="203"/>
      <c r="G84" s="248" t="s">
        <v>62</v>
      </c>
      <c r="I84" s="259"/>
    </row>
    <row r="85" spans="1:9" ht="15.5">
      <c r="A85" s="20"/>
      <c r="B85" s="443"/>
      <c r="C85" s="400" t="s">
        <v>374</v>
      </c>
      <c r="D85" s="401"/>
      <c r="E85" s="225" t="s">
        <v>305</v>
      </c>
      <c r="F85" s="230">
        <v>46776</v>
      </c>
      <c r="G85" s="246" t="s">
        <v>34</v>
      </c>
      <c r="I85" s="58"/>
    </row>
    <row r="86" spans="1:9" ht="15.5">
      <c r="A86" s="20"/>
      <c r="B86" s="443"/>
      <c r="C86" s="437" t="s">
        <v>365</v>
      </c>
      <c r="D86" s="438"/>
      <c r="E86" s="221">
        <v>46767</v>
      </c>
      <c r="F86" s="230">
        <v>46790</v>
      </c>
      <c r="G86" s="248" t="s">
        <v>62</v>
      </c>
      <c r="I86" s="58"/>
    </row>
    <row r="87" spans="1:9" ht="16" thickBot="1">
      <c r="A87" s="20"/>
      <c r="B87" s="443"/>
      <c r="C87" s="400" t="s">
        <v>44</v>
      </c>
      <c r="D87" s="401"/>
      <c r="E87" s="217"/>
      <c r="F87" s="233" t="s">
        <v>512</v>
      </c>
      <c r="G87" s="246" t="s">
        <v>34</v>
      </c>
      <c r="I87" s="260"/>
    </row>
    <row r="88" spans="1:9" ht="15.65" customHeight="1">
      <c r="A88" s="20"/>
      <c r="B88" s="433" t="s">
        <v>366</v>
      </c>
      <c r="C88" s="398" t="s">
        <v>373</v>
      </c>
      <c r="D88" s="436"/>
      <c r="E88" s="216" t="s">
        <v>306</v>
      </c>
      <c r="F88" s="203"/>
      <c r="G88" s="245" t="s">
        <v>62</v>
      </c>
      <c r="I88" s="259"/>
    </row>
    <row r="89" spans="1:9" ht="15.5">
      <c r="A89" s="20"/>
      <c r="B89" s="434"/>
      <c r="C89" s="400" t="s">
        <v>372</v>
      </c>
      <c r="D89" s="401"/>
      <c r="E89" s="225" t="s">
        <v>307</v>
      </c>
      <c r="F89" s="230">
        <v>46860</v>
      </c>
      <c r="G89" s="246" t="s">
        <v>34</v>
      </c>
      <c r="I89" s="58"/>
    </row>
    <row r="90" spans="1:9" ht="15.5">
      <c r="A90" s="20"/>
      <c r="B90" s="434"/>
      <c r="C90" s="437" t="s">
        <v>368</v>
      </c>
      <c r="D90" s="438"/>
      <c r="E90" s="221">
        <v>46888</v>
      </c>
      <c r="F90" s="230">
        <v>46874</v>
      </c>
      <c r="G90" s="248" t="s">
        <v>62</v>
      </c>
      <c r="I90" s="58"/>
    </row>
    <row r="91" spans="1:9" ht="16" thickBot="1">
      <c r="A91" s="20"/>
      <c r="B91" s="434"/>
      <c r="C91" s="449" t="s">
        <v>54</v>
      </c>
      <c r="D91" s="449"/>
      <c r="E91" s="222" t="s">
        <v>444</v>
      </c>
      <c r="F91" s="242" t="s">
        <v>513</v>
      </c>
      <c r="G91" s="249" t="s">
        <v>34</v>
      </c>
      <c r="I91" s="58"/>
    </row>
    <row r="92" spans="1:9" ht="15.5">
      <c r="A92" s="20"/>
      <c r="B92" s="434"/>
      <c r="C92" s="400" t="s">
        <v>52</v>
      </c>
      <c r="D92" s="401"/>
      <c r="E92" s="213" t="s">
        <v>442</v>
      </c>
      <c r="F92" s="242"/>
      <c r="G92" s="249" t="s">
        <v>34</v>
      </c>
      <c r="I92" s="58"/>
    </row>
    <row r="93" spans="1:9" ht="16" thickBot="1">
      <c r="A93" s="20"/>
      <c r="B93" s="435"/>
      <c r="C93" s="402" t="s">
        <v>50</v>
      </c>
      <c r="D93" s="403"/>
      <c r="E93" s="213" t="s">
        <v>442</v>
      </c>
      <c r="F93" s="232">
        <v>46873</v>
      </c>
      <c r="G93" s="247" t="s">
        <v>34</v>
      </c>
      <c r="I93" s="257"/>
    </row>
    <row r="94" spans="1:9" ht="15.5">
      <c r="A94" s="20"/>
      <c r="B94" s="434" t="s">
        <v>367</v>
      </c>
      <c r="C94" s="399" t="s">
        <v>371</v>
      </c>
      <c r="D94" s="439"/>
      <c r="E94" s="241" t="s">
        <v>308</v>
      </c>
      <c r="F94" s="205"/>
      <c r="G94" s="248" t="s">
        <v>62</v>
      </c>
      <c r="I94" s="261"/>
    </row>
    <row r="95" spans="1:9" ht="15.5">
      <c r="A95" s="20"/>
      <c r="B95" s="434"/>
      <c r="C95" s="400" t="s">
        <v>370</v>
      </c>
      <c r="D95" s="401"/>
      <c r="E95" s="225" t="s">
        <v>309</v>
      </c>
      <c r="F95" s="230">
        <v>46909</v>
      </c>
      <c r="G95" s="246" t="s">
        <v>34</v>
      </c>
      <c r="I95" s="254"/>
    </row>
    <row r="96" spans="1:9" ht="15.5">
      <c r="A96" s="20"/>
      <c r="B96" s="434"/>
      <c r="C96" s="437" t="s">
        <v>369</v>
      </c>
      <c r="D96" s="438"/>
      <c r="E96" s="221">
        <v>46931</v>
      </c>
      <c r="F96" s="230">
        <v>46923</v>
      </c>
      <c r="G96" s="248" t="s">
        <v>62</v>
      </c>
      <c r="I96" s="254"/>
    </row>
    <row r="97" spans="1:9" ht="16" thickBot="1">
      <c r="A97" s="20"/>
      <c r="B97" s="434"/>
      <c r="C97" s="450" t="s">
        <v>53</v>
      </c>
      <c r="D97" s="451"/>
      <c r="E97" s="243"/>
      <c r="F97" s="232"/>
      <c r="G97" s="249" t="s">
        <v>34</v>
      </c>
      <c r="I97" s="255"/>
    </row>
    <row r="98" spans="1:9" ht="30.75" customHeight="1" thickBot="1">
      <c r="A98" s="20"/>
      <c r="B98" s="445" t="s">
        <v>384</v>
      </c>
      <c r="C98" s="446"/>
      <c r="D98" s="447"/>
      <c r="E98" s="226">
        <v>47000</v>
      </c>
      <c r="F98" s="207">
        <v>47000</v>
      </c>
      <c r="G98" s="250" t="s">
        <v>34</v>
      </c>
      <c r="I98" s="264"/>
    </row>
    <row r="99" spans="1:9" s="39" customFormat="1">
      <c r="A99" s="43"/>
      <c r="B99" s="56"/>
      <c r="C99" s="43"/>
      <c r="D99" s="43"/>
      <c r="E99" s="43"/>
      <c r="F99" s="43"/>
      <c r="G99" s="43"/>
      <c r="H99" s="43"/>
    </row>
    <row r="100" spans="1:9" s="39" customFormat="1" ht="14.5" thickBot="1">
      <c r="A100" s="43"/>
      <c r="B100" s="56"/>
      <c r="C100" s="43" t="s">
        <v>380</v>
      </c>
      <c r="D100" s="43"/>
      <c r="E100" s="43"/>
      <c r="F100" s="43"/>
      <c r="G100" s="43"/>
      <c r="H100" s="43"/>
    </row>
    <row r="101" spans="1:9" s="39" customFormat="1" ht="14.5" thickBot="1">
      <c r="A101" s="55"/>
      <c r="B101" s="56"/>
      <c r="C101" s="201" t="s">
        <v>57</v>
      </c>
      <c r="D101" s="43"/>
      <c r="E101" s="43"/>
      <c r="F101" s="43"/>
      <c r="G101" s="43"/>
      <c r="H101" s="43"/>
    </row>
    <row r="102" spans="1:9" s="39" customFormat="1" ht="14.5" thickBot="1">
      <c r="A102" s="55"/>
      <c r="B102" s="56"/>
      <c r="C102" s="202" t="s">
        <v>294</v>
      </c>
      <c r="D102" s="43"/>
      <c r="E102" s="43"/>
      <c r="F102" s="43"/>
      <c r="G102" s="43"/>
      <c r="H102" s="43"/>
    </row>
    <row r="103" spans="1:9" s="39" customFormat="1">
      <c r="A103" s="55"/>
      <c r="B103" s="56"/>
      <c r="C103" s="43"/>
      <c r="D103" s="43"/>
      <c r="E103" s="43"/>
      <c r="F103" s="43"/>
      <c r="G103" s="43"/>
      <c r="H103" s="43"/>
    </row>
    <row r="104" spans="1:9" s="39" customFormat="1" ht="23.25" customHeight="1" thickBot="1">
      <c r="A104" s="55"/>
      <c r="B104" s="56"/>
      <c r="C104" s="448" t="s">
        <v>63</v>
      </c>
      <c r="D104" s="448"/>
      <c r="E104" s="448"/>
      <c r="F104" s="448"/>
      <c r="G104" s="448"/>
      <c r="H104" s="61"/>
    </row>
    <row r="105" spans="1:9" s="39" customFormat="1" ht="14.5" thickBot="1">
      <c r="A105" s="43"/>
      <c r="B105" s="55"/>
      <c r="C105" s="200" t="s">
        <v>282</v>
      </c>
      <c r="D105" s="17"/>
      <c r="E105" s="17"/>
      <c r="F105" s="4"/>
      <c r="G105" s="200" t="s">
        <v>283</v>
      </c>
      <c r="H105" s="4"/>
    </row>
    <row r="106" spans="1:9" s="39" customFormat="1" ht="15">
      <c r="A106" s="43"/>
      <c r="B106" s="43"/>
      <c r="C106" s="195" t="s">
        <v>60</v>
      </c>
      <c r="D106" s="17"/>
      <c r="E106" s="17"/>
      <c r="F106" s="4"/>
      <c r="G106" s="46">
        <f>COUNTIF('TIMING PLAN PDP'!G11:G98,"OK")</f>
        <v>0</v>
      </c>
      <c r="H106" s="43"/>
    </row>
    <row r="107" spans="1:9" s="39" customFormat="1" ht="15.5">
      <c r="A107" s="43"/>
      <c r="B107" s="43"/>
      <c r="C107" s="196" t="s">
        <v>61</v>
      </c>
      <c r="D107" s="20"/>
      <c r="E107" s="20"/>
      <c r="F107" s="4"/>
      <c r="G107" s="47">
        <f>COUNTIF('TIMING PLAN PDP'!G11:G98,"PARTIAL")</f>
        <v>0</v>
      </c>
      <c r="H107" s="44"/>
    </row>
    <row r="108" spans="1:9" s="39" customFormat="1" ht="15.5">
      <c r="A108" s="43"/>
      <c r="B108" s="43"/>
      <c r="C108" s="197" t="s">
        <v>58</v>
      </c>
      <c r="D108" s="20"/>
      <c r="E108" s="20"/>
      <c r="F108" s="4"/>
      <c r="G108" s="48">
        <f>COUNTIF('TIMING PLAN PDP'!G11:G98,"NOK")</f>
        <v>0</v>
      </c>
      <c r="H108" s="44"/>
    </row>
    <row r="109" spans="1:9" s="39" customFormat="1" ht="15">
      <c r="A109" s="43"/>
      <c r="B109" s="43"/>
      <c r="C109" s="198" t="s">
        <v>59</v>
      </c>
      <c r="D109" s="20"/>
      <c r="E109" s="20"/>
      <c r="F109" s="4"/>
      <c r="G109" s="49">
        <f>COUNTIF('TIMING PLAN PDP'!G11:G98,"REJECT")</f>
        <v>0</v>
      </c>
      <c r="H109" s="43"/>
    </row>
    <row r="110" spans="1:9" s="39" customFormat="1" ht="15.5" thickBot="1">
      <c r="A110" s="43"/>
      <c r="B110" s="43"/>
      <c r="C110" s="194" t="s">
        <v>34</v>
      </c>
      <c r="D110" s="20"/>
      <c r="E110" s="20"/>
      <c r="F110" s="4"/>
      <c r="G110" s="50">
        <f>COUNTIF('TIMING PLAN PDP'!G11:G98,"Not rated")</f>
        <v>72</v>
      </c>
      <c r="H110" s="52"/>
    </row>
    <row r="111" spans="1:9" s="39" customFormat="1" ht="15.5" thickBot="1">
      <c r="A111" s="43"/>
      <c r="B111" s="43"/>
      <c r="C111" s="199" t="s">
        <v>62</v>
      </c>
      <c r="D111" s="20"/>
      <c r="E111" s="20"/>
      <c r="F111" s="4"/>
      <c r="G111" s="51">
        <f>SUM(G106:G110)</f>
        <v>72</v>
      </c>
      <c r="H111" s="53"/>
    </row>
    <row r="112" spans="1:9" s="39" customFormat="1">
      <c r="A112" s="43"/>
      <c r="B112" s="43"/>
      <c r="C112" s="20"/>
      <c r="D112" s="20"/>
      <c r="E112" s="20"/>
      <c r="F112" s="4"/>
      <c r="G112" s="4"/>
      <c r="H112" s="4"/>
    </row>
  </sheetData>
  <protectedRanges>
    <protectedRange sqref="G4:G11 G15:G98" name="Plage1_2_2_4_1"/>
    <protectedRange sqref="G12:G14" name="Plage1_2_2_2_1_1"/>
  </protectedRanges>
  <mergeCells count="93">
    <mergeCell ref="B98:D98"/>
    <mergeCell ref="C104:G104"/>
    <mergeCell ref="B88:B93"/>
    <mergeCell ref="B94:B97"/>
    <mergeCell ref="C91:D91"/>
    <mergeCell ref="C92:D92"/>
    <mergeCell ref="C88:D88"/>
    <mergeCell ref="C89:D89"/>
    <mergeCell ref="C90:D90"/>
    <mergeCell ref="C93:D93"/>
    <mergeCell ref="C94:D94"/>
    <mergeCell ref="C95:D95"/>
    <mergeCell ref="C96:D96"/>
    <mergeCell ref="C97:D97"/>
    <mergeCell ref="C83:D83"/>
    <mergeCell ref="B84:B87"/>
    <mergeCell ref="C84:D84"/>
    <mergeCell ref="C85:D85"/>
    <mergeCell ref="C86:D86"/>
    <mergeCell ref="C87:D87"/>
    <mergeCell ref="B58:B83"/>
    <mergeCell ref="C58:C62"/>
    <mergeCell ref="C63:D63"/>
    <mergeCell ref="C64:D64"/>
    <mergeCell ref="C65:D65"/>
    <mergeCell ref="C66:D66"/>
    <mergeCell ref="C67:D67"/>
    <mergeCell ref="C68:D68"/>
    <mergeCell ref="C69:D69"/>
    <mergeCell ref="C70:D70"/>
    <mergeCell ref="C82:D82"/>
    <mergeCell ref="C71:D71"/>
    <mergeCell ref="C72:D72"/>
    <mergeCell ref="C73:D73"/>
    <mergeCell ref="C74:D74"/>
    <mergeCell ref="C75:D75"/>
    <mergeCell ref="C76:D76"/>
    <mergeCell ref="C77:D77"/>
    <mergeCell ref="C78:D78"/>
    <mergeCell ref="C79:D79"/>
    <mergeCell ref="C80:D80"/>
    <mergeCell ref="C81:D81"/>
    <mergeCell ref="B52:B57"/>
    <mergeCell ref="C52:D52"/>
    <mergeCell ref="C53:D53"/>
    <mergeCell ref="C54:D54"/>
    <mergeCell ref="C55:D55"/>
    <mergeCell ref="C56:D56"/>
    <mergeCell ref="C57:D57"/>
    <mergeCell ref="B41:B51"/>
    <mergeCell ref="C41:C45"/>
    <mergeCell ref="C46:D46"/>
    <mergeCell ref="C47:D47"/>
    <mergeCell ref="C48:D48"/>
    <mergeCell ref="C49:D49"/>
    <mergeCell ref="C51:D51"/>
    <mergeCell ref="C50:D50"/>
    <mergeCell ref="C27:D27"/>
    <mergeCell ref="C38:D38"/>
    <mergeCell ref="B39:B40"/>
    <mergeCell ref="C39:D39"/>
    <mergeCell ref="C40:D40"/>
    <mergeCell ref="B28:B38"/>
    <mergeCell ref="C28:C33"/>
    <mergeCell ref="C34:D34"/>
    <mergeCell ref="C35:D35"/>
    <mergeCell ref="C36:D36"/>
    <mergeCell ref="C37:D37"/>
    <mergeCell ref="B24:B27"/>
    <mergeCell ref="C24:D24"/>
    <mergeCell ref="C25:D25"/>
    <mergeCell ref="C26:D26"/>
    <mergeCell ref="B2:G2"/>
    <mergeCell ref="B3:D3"/>
    <mergeCell ref="B4:B11"/>
    <mergeCell ref="C4:D4"/>
    <mergeCell ref="C5:D5"/>
    <mergeCell ref="C6:D6"/>
    <mergeCell ref="C7:D7"/>
    <mergeCell ref="C8:D8"/>
    <mergeCell ref="C11:D11"/>
    <mergeCell ref="C9:D9"/>
    <mergeCell ref="C10:D10"/>
    <mergeCell ref="B12:B14"/>
    <mergeCell ref="C12:D12"/>
    <mergeCell ref="C13:D13"/>
    <mergeCell ref="C14:D14"/>
    <mergeCell ref="C15:D15"/>
    <mergeCell ref="B16:B23"/>
    <mergeCell ref="C16:C20"/>
    <mergeCell ref="C21:D21"/>
    <mergeCell ref="C22:D22"/>
    <mergeCell ref="C23:D23"/>
  </mergeCells>
  <phoneticPr fontId="60" type="noConversion"/>
  <conditionalFormatting sqref="C106:C111">
    <cfRule type="containsText" dxfId="9" priority="117" operator="containsText" text="NOK">
      <formula>NOT(ISERROR(SEARCH("NOK",C106)))</formula>
    </cfRule>
  </conditionalFormatting>
  <conditionalFormatting sqref="G4:G98">
    <cfRule type="containsText" dxfId="8" priority="6" operator="containsText" text="Not Rated">
      <formula>NOT(ISERROR(SEARCH("Not Rated",G4)))</formula>
    </cfRule>
  </conditionalFormatting>
  <dataValidations count="1">
    <dataValidation type="list" allowBlank="1" showInputMessage="1" showErrorMessage="1" sqref="G4:G98">
      <formula1>$C$106:$C$111</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4" operator="containsText" id="{513EFA83-C524-430D-A563-D87BFB674483}">
            <xm:f>NOT(ISERROR(SEARCH($C$111,C106)))</xm:f>
            <xm:f>$C$111</xm:f>
            <x14:dxf/>
          </x14:cfRule>
          <x14:cfRule type="containsText" priority="115" operator="containsText" id="{CC68106F-F292-41C9-B63F-06659118262D}">
            <xm:f>NOT(ISERROR(SEARCH($C$110,C106)))</xm:f>
            <xm:f>$C$110</xm:f>
            <x14:dxf>
              <fill>
                <patternFill>
                  <bgColor rgb="FFFFFF00"/>
                </patternFill>
              </fill>
            </x14:dxf>
          </x14:cfRule>
          <x14:cfRule type="containsText" priority="116" operator="containsText" id="{3C742EAC-A789-4AE0-BD60-84F12DBC9498}">
            <xm:f>NOT(ISERROR(SEARCH($C$109,C106)))</xm:f>
            <xm:f>$C$109</xm:f>
            <x14:dxf>
              <fill>
                <patternFill>
                  <bgColor theme="1" tint="4.9989318521683403E-2"/>
                </patternFill>
              </fill>
            </x14:dxf>
          </x14:cfRule>
          <x14:cfRule type="containsText" priority="118" operator="containsText" id="{DCF77B40-94D5-4329-BB84-F43C01EFC77A}">
            <xm:f>NOT(ISERROR(SEARCH($C$107,C106)))</xm:f>
            <xm:f>$C$107</xm:f>
            <x14:dxf>
              <fill>
                <patternFill>
                  <bgColor rgb="FFFFC000"/>
                </patternFill>
              </fill>
            </x14:dxf>
          </x14:cfRule>
          <x14:cfRule type="containsText" priority="119" operator="containsText" id="{FEAC8A6A-322A-4709-A65B-A61A2244A3CA}">
            <xm:f>NOT(ISERROR(SEARCH($C$106,C106)))</xm:f>
            <xm:f>$C$106</xm:f>
            <x14:dxf/>
          </x14:cfRule>
          <xm:sqref>C106:C111</xm:sqref>
        </x14:conditionalFormatting>
        <x14:conditionalFormatting xmlns:xm="http://schemas.microsoft.com/office/excel/2006/main">
          <x14:cfRule type="containsText" priority="1" operator="containsText" id="{F466EC3F-34D4-4346-A6A0-F5CC3BDA68FE}">
            <xm:f>NOT(ISERROR(SEARCH($C$111,G4)))</xm:f>
            <xm:f>$C$111</xm:f>
            <x14:dxf>
              <fill>
                <patternFill>
                  <bgColor theme="0" tint="-0.24994659260841701"/>
                </patternFill>
              </fill>
            </x14:dxf>
          </x14:cfRule>
          <x14:cfRule type="containsText" priority="2" operator="containsText" id="{2DB05A6C-4276-4581-A8BE-027FF6A9F68D}">
            <xm:f>NOT(ISERROR(SEARCH($C$109,G4)))</xm:f>
            <xm:f>$C$109</xm:f>
            <x14:dxf>
              <font>
                <color theme="0"/>
              </font>
              <fill>
                <patternFill>
                  <bgColor theme="1" tint="4.9989318521683403E-2"/>
                </patternFill>
              </fill>
            </x14:dxf>
          </x14:cfRule>
          <x14:cfRule type="containsText" priority="3" operator="containsText" id="{2B4D16A7-6C02-4ADC-88D5-D465970B8BB2}">
            <xm:f>NOT(ISERROR(SEARCH($C$108,G4)))</xm:f>
            <xm:f>$C$108</xm:f>
            <x14:dxf>
              <fill>
                <patternFill>
                  <bgColor rgb="FFFF0000"/>
                </patternFill>
              </fill>
            </x14:dxf>
          </x14:cfRule>
          <x14:cfRule type="containsText" priority="4" operator="containsText" id="{05A7A162-32B0-447D-885E-A7C83D04657B}">
            <xm:f>NOT(ISERROR(SEARCH($C$107,G4)))</xm:f>
            <xm:f>$C$107</xm:f>
            <x14:dxf>
              <fill>
                <patternFill>
                  <bgColor rgb="FFFFC000"/>
                </patternFill>
              </fill>
            </x14:dxf>
          </x14:cfRule>
          <x14:cfRule type="containsText" priority="5" operator="containsText" id="{4B7E7D8D-DF55-493F-8400-C7F41BB95D6C}">
            <xm:f>NOT(ISERROR(SEARCH($C$106,G4)))</xm:f>
            <xm:f>$C$106</xm:f>
            <x14:dxf>
              <fill>
                <patternFill patternType="solid">
                  <bgColor rgb="FF00FF00"/>
                </patternFill>
              </fill>
            </x14:dxf>
          </x14:cfRule>
          <xm:sqref>G4:G98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8"/>
  <sheetViews>
    <sheetView zoomScale="55" zoomScaleNormal="55" workbookViewId="0">
      <selection activeCell="F15" sqref="F15"/>
    </sheetView>
  </sheetViews>
  <sheetFormatPr defaultColWidth="11.453125" defaultRowHeight="12.5"/>
  <cols>
    <col min="1" max="1" width="0.81640625" style="1" customWidth="1"/>
    <col min="2" max="2" width="7.81640625" style="1" customWidth="1"/>
    <col min="3" max="3" width="21.81640625" style="1" customWidth="1"/>
    <col min="4" max="4" width="13.1796875" style="1" customWidth="1"/>
    <col min="5" max="11" width="51.453125" style="1" customWidth="1"/>
    <col min="12" max="12" width="26.1796875" style="1" customWidth="1"/>
    <col min="13" max="16384" width="11.453125" style="1"/>
  </cols>
  <sheetData>
    <row r="1" spans="2:11" ht="4.5" customHeight="1" thickBot="1"/>
    <row r="2" spans="2:11" ht="26.25" customHeight="1" thickBot="1">
      <c r="B2" s="452" t="s">
        <v>73</v>
      </c>
      <c r="C2" s="453"/>
      <c r="D2" s="453"/>
      <c r="E2" s="453"/>
      <c r="F2" s="453"/>
      <c r="G2" s="453"/>
      <c r="H2" s="63"/>
      <c r="I2" s="63"/>
      <c r="J2" s="63"/>
      <c r="K2" s="64"/>
    </row>
    <row r="3" spans="2:11" s="67" customFormat="1" ht="14.5" thickBot="1">
      <c r="B3" s="65"/>
      <c r="C3" s="66"/>
      <c r="D3" s="66"/>
      <c r="E3" s="66"/>
      <c r="F3" s="66"/>
      <c r="G3" s="66"/>
      <c r="H3" s="66"/>
      <c r="I3" s="66"/>
      <c r="J3" s="66"/>
      <c r="K3" s="66"/>
    </row>
    <row r="4" spans="2:11" ht="42.5" thickBot="1">
      <c r="B4" s="68"/>
      <c r="C4" s="69"/>
      <c r="D4" s="70" t="s">
        <v>74</v>
      </c>
      <c r="E4" s="71" t="s">
        <v>75</v>
      </c>
      <c r="F4" s="72" t="s">
        <v>76</v>
      </c>
      <c r="G4" s="72" t="s">
        <v>77</v>
      </c>
      <c r="H4" s="72" t="s">
        <v>45</v>
      </c>
      <c r="I4" s="72" t="s">
        <v>47</v>
      </c>
      <c r="J4" s="72" t="s">
        <v>78</v>
      </c>
      <c r="K4" s="73" t="s">
        <v>51</v>
      </c>
    </row>
    <row r="5" spans="2:11" ht="14">
      <c r="B5" s="74"/>
      <c r="C5" s="75"/>
      <c r="D5" s="76" t="s">
        <v>79</v>
      </c>
      <c r="E5" s="77" t="s">
        <v>80</v>
      </c>
      <c r="F5" s="78" t="s">
        <v>81</v>
      </c>
      <c r="G5" s="78" t="s">
        <v>82</v>
      </c>
      <c r="H5" s="78" t="s">
        <v>83</v>
      </c>
      <c r="I5" s="79"/>
      <c r="J5" s="78"/>
      <c r="K5" s="80"/>
    </row>
    <row r="6" spans="2:11" ht="14.5" thickBot="1">
      <c r="B6" s="74"/>
      <c r="C6" s="75"/>
      <c r="D6" s="81" t="s">
        <v>84</v>
      </c>
      <c r="E6" s="82" t="s">
        <v>85</v>
      </c>
      <c r="F6" s="454" t="s">
        <v>86</v>
      </c>
      <c r="G6" s="454"/>
      <c r="H6" s="454"/>
      <c r="I6" s="454" t="s">
        <v>87</v>
      </c>
      <c r="J6" s="454"/>
      <c r="K6" s="83" t="s">
        <v>88</v>
      </c>
    </row>
    <row r="7" spans="2:11" ht="56">
      <c r="B7" s="456" t="s">
        <v>89</v>
      </c>
      <c r="C7" s="459" t="s">
        <v>90</v>
      </c>
      <c r="D7" s="460"/>
      <c r="E7" s="84" t="s">
        <v>91</v>
      </c>
      <c r="F7" s="85" t="s">
        <v>92</v>
      </c>
      <c r="G7" s="85" t="s">
        <v>92</v>
      </c>
      <c r="H7" s="85" t="s">
        <v>92</v>
      </c>
      <c r="I7" s="85" t="s">
        <v>93</v>
      </c>
      <c r="J7" s="85" t="s">
        <v>94</v>
      </c>
      <c r="K7" s="86" t="s">
        <v>95</v>
      </c>
    </row>
    <row r="8" spans="2:11" ht="56">
      <c r="B8" s="457"/>
      <c r="C8" s="461"/>
      <c r="D8" s="462"/>
      <c r="E8" s="87" t="s">
        <v>96</v>
      </c>
      <c r="F8" s="88" t="s">
        <v>97</v>
      </c>
      <c r="G8" s="88" t="s">
        <v>98</v>
      </c>
      <c r="H8" s="88" t="s">
        <v>99</v>
      </c>
      <c r="I8" s="89"/>
      <c r="J8" s="89"/>
      <c r="K8" s="90"/>
    </row>
    <row r="9" spans="2:11" ht="14">
      <c r="B9" s="457"/>
      <c r="C9" s="461"/>
      <c r="D9" s="462"/>
      <c r="E9" s="87" t="s">
        <v>100</v>
      </c>
      <c r="F9" s="88" t="s">
        <v>101</v>
      </c>
      <c r="G9" s="88" t="s">
        <v>101</v>
      </c>
      <c r="H9" s="88" t="s">
        <v>101</v>
      </c>
      <c r="I9" s="88" t="s">
        <v>101</v>
      </c>
      <c r="J9" s="89"/>
      <c r="K9" s="91"/>
    </row>
    <row r="10" spans="2:11" ht="28">
      <c r="B10" s="457"/>
      <c r="C10" s="461"/>
      <c r="D10" s="462"/>
      <c r="E10" s="92"/>
      <c r="F10" s="88" t="s">
        <v>102</v>
      </c>
      <c r="G10" s="88" t="s">
        <v>103</v>
      </c>
      <c r="H10" s="88" t="s">
        <v>104</v>
      </c>
      <c r="I10" s="88" t="s">
        <v>105</v>
      </c>
      <c r="J10" s="89"/>
      <c r="K10" s="91"/>
    </row>
    <row r="11" spans="2:11" ht="28.5" thickBot="1">
      <c r="B11" s="457"/>
      <c r="C11" s="463"/>
      <c r="D11" s="464"/>
      <c r="E11" s="93"/>
      <c r="F11" s="94"/>
      <c r="G11" s="94" t="s">
        <v>106</v>
      </c>
      <c r="H11" s="95"/>
      <c r="I11" s="94"/>
      <c r="J11" s="94"/>
      <c r="K11" s="96"/>
    </row>
    <row r="12" spans="2:11" ht="30" customHeight="1" thickBot="1">
      <c r="B12" s="458"/>
      <c r="C12" s="97" t="s">
        <v>107</v>
      </c>
      <c r="D12" s="98"/>
      <c r="E12" s="99"/>
      <c r="F12" s="100"/>
      <c r="G12" s="100"/>
      <c r="H12" s="100"/>
      <c r="I12" s="100"/>
      <c r="J12" s="100"/>
      <c r="K12" s="101"/>
    </row>
    <row r="13" spans="2:11" ht="235.5" customHeight="1" thickBot="1">
      <c r="B13" s="474" t="s">
        <v>108</v>
      </c>
      <c r="C13" s="475" t="s">
        <v>109</v>
      </c>
      <c r="D13" s="476" t="s">
        <v>110</v>
      </c>
      <c r="E13" s="102" t="s">
        <v>111</v>
      </c>
      <c r="F13" s="103" t="s">
        <v>112</v>
      </c>
      <c r="G13" s="103" t="s">
        <v>113</v>
      </c>
      <c r="H13" s="104" t="s">
        <v>114</v>
      </c>
      <c r="I13" s="104" t="s">
        <v>115</v>
      </c>
      <c r="J13" s="103" t="s">
        <v>116</v>
      </c>
      <c r="K13" s="105" t="s">
        <v>117</v>
      </c>
    </row>
    <row r="14" spans="2:11" ht="42.5" thickBot="1">
      <c r="B14" s="474"/>
      <c r="C14" s="475"/>
      <c r="D14" s="477"/>
      <c r="E14" s="106"/>
      <c r="F14" s="107" t="s">
        <v>118</v>
      </c>
      <c r="G14" s="107" t="s">
        <v>119</v>
      </c>
      <c r="H14" s="107" t="s">
        <v>120</v>
      </c>
      <c r="I14" s="107" t="s">
        <v>121</v>
      </c>
      <c r="J14" s="107" t="s">
        <v>122</v>
      </c>
      <c r="K14" s="108"/>
    </row>
    <row r="15" spans="2:11" ht="28.5" thickBot="1">
      <c r="B15" s="474"/>
      <c r="C15" s="475" t="s">
        <v>123</v>
      </c>
      <c r="D15" s="477"/>
      <c r="E15" s="109"/>
      <c r="F15" s="103" t="s">
        <v>124</v>
      </c>
      <c r="G15" s="110" t="s">
        <v>125</v>
      </c>
      <c r="H15" s="110" t="s">
        <v>126</v>
      </c>
      <c r="I15" s="103" t="s">
        <v>127</v>
      </c>
      <c r="J15" s="103" t="s">
        <v>128</v>
      </c>
      <c r="K15" s="105"/>
    </row>
    <row r="16" spans="2:11" ht="14.5" thickBot="1">
      <c r="B16" s="474"/>
      <c r="C16" s="475"/>
      <c r="D16" s="477"/>
      <c r="E16" s="106"/>
      <c r="F16" s="107" t="s">
        <v>129</v>
      </c>
      <c r="G16" s="107" t="s">
        <v>129</v>
      </c>
      <c r="H16" s="107" t="s">
        <v>130</v>
      </c>
      <c r="I16" s="107" t="s">
        <v>131</v>
      </c>
      <c r="J16" s="107"/>
      <c r="K16" s="108"/>
    </row>
    <row r="17" spans="2:12" ht="171" customHeight="1" thickBot="1">
      <c r="B17" s="474"/>
      <c r="C17" s="111" t="s">
        <v>132</v>
      </c>
      <c r="D17" s="478"/>
      <c r="E17" s="112"/>
      <c r="F17" s="100"/>
      <c r="G17" s="113" t="s">
        <v>133</v>
      </c>
      <c r="H17" s="100" t="s">
        <v>134</v>
      </c>
      <c r="I17" s="114"/>
      <c r="J17" s="114"/>
      <c r="K17" s="101"/>
    </row>
    <row r="18" spans="2:12" ht="15" customHeight="1">
      <c r="B18" s="465" t="s">
        <v>135</v>
      </c>
      <c r="C18" s="466" t="s">
        <v>90</v>
      </c>
      <c r="D18" s="467"/>
      <c r="E18" s="115" t="s">
        <v>136</v>
      </c>
      <c r="F18" s="104" t="s">
        <v>137</v>
      </c>
      <c r="G18" s="104" t="s">
        <v>138</v>
      </c>
      <c r="H18" s="104" t="s">
        <v>138</v>
      </c>
      <c r="I18" s="104" t="s">
        <v>139</v>
      </c>
      <c r="J18" s="104" t="s">
        <v>139</v>
      </c>
      <c r="K18" s="105"/>
    </row>
    <row r="19" spans="2:12" ht="14">
      <c r="B19" s="465"/>
      <c r="C19" s="468"/>
      <c r="D19" s="469"/>
      <c r="E19" s="87" t="s">
        <v>140</v>
      </c>
      <c r="F19" s="88" t="s">
        <v>141</v>
      </c>
      <c r="G19" s="88" t="s">
        <v>142</v>
      </c>
      <c r="H19" s="88" t="s">
        <v>142</v>
      </c>
      <c r="I19" s="88" t="s">
        <v>143</v>
      </c>
      <c r="J19" s="88" t="s">
        <v>144</v>
      </c>
      <c r="K19" s="91"/>
    </row>
    <row r="20" spans="2:12" ht="26.25" customHeight="1" thickBot="1">
      <c r="B20" s="465"/>
      <c r="C20" s="470"/>
      <c r="D20" s="471"/>
      <c r="E20" s="116" t="s">
        <v>145</v>
      </c>
      <c r="F20" s="117" t="s">
        <v>146</v>
      </c>
      <c r="G20" s="117" t="s">
        <v>147</v>
      </c>
      <c r="H20" s="117" t="s">
        <v>148</v>
      </c>
      <c r="I20" s="117" t="s">
        <v>149</v>
      </c>
      <c r="J20" s="117" t="s">
        <v>150</v>
      </c>
      <c r="K20" s="108"/>
    </row>
    <row r="21" spans="2:12" ht="112.5" thickBot="1">
      <c r="B21" s="465"/>
      <c r="C21" s="472" t="s">
        <v>151</v>
      </c>
      <c r="D21" s="473" t="s">
        <v>152</v>
      </c>
      <c r="E21" s="115" t="s">
        <v>153</v>
      </c>
      <c r="F21" s="104" t="s">
        <v>154</v>
      </c>
      <c r="G21" s="104" t="s">
        <v>155</v>
      </c>
      <c r="H21" s="104" t="s">
        <v>156</v>
      </c>
      <c r="I21" s="104" t="s">
        <v>156</v>
      </c>
      <c r="J21" s="104" t="s">
        <v>157</v>
      </c>
      <c r="K21" s="118" t="s">
        <v>156</v>
      </c>
    </row>
    <row r="22" spans="2:12" ht="98.5" thickBot="1">
      <c r="B22" s="465"/>
      <c r="C22" s="472"/>
      <c r="D22" s="473"/>
      <c r="E22" s="87" t="s">
        <v>158</v>
      </c>
      <c r="F22" s="88" t="s">
        <v>159</v>
      </c>
      <c r="G22" s="88" t="s">
        <v>160</v>
      </c>
      <c r="H22" s="88" t="s">
        <v>156</v>
      </c>
      <c r="I22" s="88" t="s">
        <v>156</v>
      </c>
      <c r="J22" s="88" t="s">
        <v>161</v>
      </c>
      <c r="K22" s="119" t="s">
        <v>156</v>
      </c>
    </row>
    <row r="23" spans="2:12" ht="98.5" thickBot="1">
      <c r="B23" s="465"/>
      <c r="C23" s="472"/>
      <c r="D23" s="473"/>
      <c r="E23" s="87" t="s">
        <v>162</v>
      </c>
      <c r="F23" s="88" t="s">
        <v>163</v>
      </c>
      <c r="G23" s="88" t="s">
        <v>164</v>
      </c>
      <c r="H23" s="88" t="s">
        <v>156</v>
      </c>
      <c r="I23" s="88" t="s">
        <v>156</v>
      </c>
      <c r="J23" s="88" t="s">
        <v>165</v>
      </c>
      <c r="K23" s="119" t="s">
        <v>156</v>
      </c>
    </row>
    <row r="24" spans="2:12" ht="112.5" thickBot="1">
      <c r="B24" s="465"/>
      <c r="C24" s="472"/>
      <c r="D24" s="473"/>
      <c r="E24" s="87" t="s">
        <v>166</v>
      </c>
      <c r="F24" s="88" t="s">
        <v>167</v>
      </c>
      <c r="G24" s="88" t="s">
        <v>168</v>
      </c>
      <c r="H24" s="88" t="s">
        <v>156</v>
      </c>
      <c r="I24" s="88" t="s">
        <v>156</v>
      </c>
      <c r="J24" s="88" t="s">
        <v>156</v>
      </c>
      <c r="K24" s="119" t="s">
        <v>156</v>
      </c>
    </row>
    <row r="25" spans="2:12" ht="140.5" thickBot="1">
      <c r="B25" s="465"/>
      <c r="C25" s="472"/>
      <c r="D25" s="473"/>
      <c r="E25" s="120" t="s">
        <v>169</v>
      </c>
      <c r="F25" s="89"/>
      <c r="G25" s="89"/>
      <c r="H25" s="88" t="s">
        <v>156</v>
      </c>
      <c r="I25" s="88" t="s">
        <v>156</v>
      </c>
      <c r="J25" s="88" t="s">
        <v>156</v>
      </c>
      <c r="K25" s="119" t="s">
        <v>156</v>
      </c>
    </row>
    <row r="26" spans="2:12" ht="42.5" thickBot="1">
      <c r="B26" s="465"/>
      <c r="C26" s="472"/>
      <c r="D26" s="473"/>
      <c r="E26" s="121" t="s">
        <v>170</v>
      </c>
      <c r="F26" s="122"/>
      <c r="G26" s="123" t="s">
        <v>171</v>
      </c>
      <c r="H26" s="122" t="s">
        <v>156</v>
      </c>
      <c r="I26" s="122" t="s">
        <v>156</v>
      </c>
      <c r="J26" s="122" t="s">
        <v>156</v>
      </c>
      <c r="K26" s="96" t="s">
        <v>156</v>
      </c>
    </row>
    <row r="27" spans="2:12" ht="13">
      <c r="B27" s="124"/>
      <c r="C27" s="125"/>
      <c r="D27" s="124"/>
      <c r="E27" s="124"/>
      <c r="F27" s="124"/>
      <c r="G27" s="124"/>
      <c r="H27" s="124"/>
      <c r="I27" s="124"/>
      <c r="J27" s="124"/>
      <c r="K27" s="124"/>
      <c r="L27" s="126"/>
    </row>
    <row r="28" spans="2:12" s="127" customFormat="1" ht="14">
      <c r="B28" s="455" t="s">
        <v>172</v>
      </c>
      <c r="C28" s="455"/>
      <c r="D28" s="455"/>
      <c r="E28" s="455"/>
      <c r="F28" s="455"/>
      <c r="G28" s="455"/>
      <c r="H28" s="66"/>
      <c r="I28" s="66"/>
      <c r="J28" s="66"/>
      <c r="K28" s="66"/>
    </row>
    <row r="29" spans="2:12">
      <c r="B29" s="128"/>
      <c r="C29" s="128"/>
      <c r="D29" s="128"/>
      <c r="E29" s="128"/>
      <c r="F29" s="128"/>
      <c r="G29" s="128"/>
      <c r="H29" s="128"/>
      <c r="I29" s="128"/>
      <c r="J29" s="128"/>
      <c r="K29" s="128"/>
    </row>
    <row r="30" spans="2:12">
      <c r="B30" s="128"/>
      <c r="C30" s="128"/>
      <c r="D30" s="128"/>
      <c r="E30" s="128"/>
      <c r="F30" s="128"/>
      <c r="G30" s="128"/>
      <c r="H30" s="128"/>
      <c r="I30" s="128"/>
      <c r="J30" s="128"/>
      <c r="K30" s="128"/>
    </row>
    <row r="31" spans="2:12">
      <c r="B31" s="128"/>
      <c r="C31" s="128"/>
      <c r="D31" s="128"/>
      <c r="E31" s="128"/>
      <c r="F31" s="128"/>
      <c r="G31" s="128"/>
      <c r="H31" s="128"/>
      <c r="I31" s="128"/>
      <c r="J31" s="128"/>
      <c r="K31" s="128"/>
    </row>
    <row r="32" spans="2:12">
      <c r="B32" s="128"/>
      <c r="C32" s="128"/>
      <c r="D32" s="128"/>
      <c r="E32" s="128"/>
      <c r="F32" s="128"/>
      <c r="G32" s="128"/>
      <c r="H32" s="128"/>
      <c r="I32" s="128"/>
      <c r="J32" s="128"/>
      <c r="K32" s="128"/>
    </row>
    <row r="33" spans="2:11">
      <c r="B33" s="128"/>
      <c r="C33" s="128"/>
      <c r="D33" s="128"/>
      <c r="E33" s="128"/>
      <c r="F33" s="128"/>
      <c r="G33" s="128"/>
      <c r="H33" s="128"/>
      <c r="I33" s="128"/>
      <c r="J33" s="128"/>
      <c r="K33" s="128"/>
    </row>
    <row r="34" spans="2:11">
      <c r="B34" s="128"/>
      <c r="C34" s="128"/>
      <c r="D34" s="128"/>
      <c r="E34" s="128"/>
      <c r="F34" s="128"/>
      <c r="G34" s="128"/>
      <c r="H34" s="128"/>
      <c r="I34" s="128"/>
      <c r="J34" s="128"/>
      <c r="K34" s="128"/>
    </row>
    <row r="35" spans="2:11">
      <c r="B35" s="128"/>
      <c r="C35" s="128"/>
      <c r="D35" s="128"/>
      <c r="E35" s="128"/>
      <c r="F35" s="128"/>
      <c r="G35" s="128"/>
      <c r="H35" s="128"/>
      <c r="I35" s="128"/>
      <c r="J35" s="128"/>
      <c r="K35" s="128"/>
    </row>
    <row r="36" spans="2:11">
      <c r="B36" s="128"/>
      <c r="C36" s="128"/>
      <c r="D36" s="128"/>
      <c r="E36" s="128"/>
      <c r="F36" s="128"/>
      <c r="G36" s="128"/>
      <c r="H36" s="128"/>
      <c r="I36" s="128"/>
      <c r="J36" s="128"/>
      <c r="K36" s="128"/>
    </row>
    <row r="37" spans="2:11">
      <c r="B37" s="128"/>
      <c r="C37" s="128"/>
      <c r="D37" s="128"/>
      <c r="E37" s="128"/>
      <c r="F37" s="128"/>
      <c r="G37" s="128"/>
      <c r="H37" s="128"/>
      <c r="I37" s="128"/>
      <c r="J37" s="128"/>
      <c r="K37" s="128"/>
    </row>
    <row r="38" spans="2:11">
      <c r="B38" s="128"/>
      <c r="C38" s="128"/>
      <c r="D38" s="128"/>
      <c r="E38" s="128"/>
      <c r="F38" s="128"/>
      <c r="G38" s="128"/>
      <c r="H38" s="128"/>
      <c r="I38" s="128"/>
      <c r="J38" s="128"/>
      <c r="K38" s="128"/>
    </row>
  </sheetData>
  <mergeCells count="14">
    <mergeCell ref="B2:G2"/>
    <mergeCell ref="F6:H6"/>
    <mergeCell ref="B28:G28"/>
    <mergeCell ref="I6:J6"/>
    <mergeCell ref="B7:B12"/>
    <mergeCell ref="C7:D11"/>
    <mergeCell ref="B18:B26"/>
    <mergeCell ref="C18:D20"/>
    <mergeCell ref="C21:C26"/>
    <mergeCell ref="D21:D26"/>
    <mergeCell ref="B13:B17"/>
    <mergeCell ref="C13:C14"/>
    <mergeCell ref="D13:D17"/>
    <mergeCell ref="C15:C16"/>
  </mergeCells>
  <phoneticPr fontId="60" type="noConversion"/>
  <hyperlinks>
    <hyperlink ref="B28" r:id="rId1" display="La définition des gravités applicables au produit est contenue dans le document QUALIT_08_4015"/>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8"/>
  <sheetViews>
    <sheetView zoomScale="55" zoomScaleNormal="55" workbookViewId="0">
      <selection activeCell="H13" sqref="H13"/>
    </sheetView>
  </sheetViews>
  <sheetFormatPr defaultColWidth="11.453125" defaultRowHeight="13"/>
  <cols>
    <col min="1" max="1" width="1.1796875" style="129" customWidth="1"/>
    <col min="2" max="2" width="7.81640625" style="129" customWidth="1"/>
    <col min="3" max="3" width="21.81640625" style="129" customWidth="1"/>
    <col min="4" max="4" width="13.1796875" style="129" customWidth="1"/>
    <col min="5" max="11" width="51.453125" style="129" customWidth="1"/>
    <col min="12" max="12" width="26.1796875" style="129" customWidth="1"/>
    <col min="13" max="16384" width="11.453125" style="129"/>
  </cols>
  <sheetData>
    <row r="1" spans="2:11" ht="4.5" customHeight="1" thickBot="1"/>
    <row r="2" spans="2:11" ht="26.25" customHeight="1" thickBot="1">
      <c r="B2" s="452" t="s">
        <v>173</v>
      </c>
      <c r="C2" s="453"/>
      <c r="D2" s="453"/>
      <c r="E2" s="453"/>
      <c r="F2" s="453"/>
      <c r="G2" s="453"/>
      <c r="H2" s="130"/>
      <c r="I2" s="130"/>
      <c r="J2" s="130"/>
      <c r="K2" s="131"/>
    </row>
    <row r="3" spans="2:11" s="133" customFormat="1" ht="14.5" thickBot="1">
      <c r="B3" s="132"/>
    </row>
    <row r="4" spans="2:11" s="134" customFormat="1" ht="28.5" thickBot="1">
      <c r="B4" s="68"/>
      <c r="C4" s="69"/>
      <c r="D4" s="70" t="s">
        <v>174</v>
      </c>
      <c r="E4" s="71" t="s">
        <v>75</v>
      </c>
      <c r="F4" s="72" t="s">
        <v>76</v>
      </c>
      <c r="G4" s="72" t="s">
        <v>77</v>
      </c>
      <c r="H4" s="72" t="s">
        <v>45</v>
      </c>
      <c r="I4" s="72" t="s">
        <v>47</v>
      </c>
      <c r="J4" s="72" t="s">
        <v>78</v>
      </c>
      <c r="K4" s="73" t="s">
        <v>51</v>
      </c>
    </row>
    <row r="5" spans="2:11" s="134" customFormat="1" ht="14">
      <c r="B5" s="74"/>
      <c r="C5" s="75"/>
      <c r="D5" s="76" t="s">
        <v>175</v>
      </c>
      <c r="E5" s="82" t="s">
        <v>176</v>
      </c>
      <c r="F5" s="135" t="s">
        <v>177</v>
      </c>
      <c r="G5" s="135" t="s">
        <v>178</v>
      </c>
      <c r="H5" s="135" t="s">
        <v>179</v>
      </c>
      <c r="I5" s="136"/>
      <c r="J5" s="135"/>
      <c r="K5" s="83"/>
    </row>
    <row r="6" spans="2:11" s="134" customFormat="1" ht="14.5" thickBot="1">
      <c r="B6" s="137"/>
      <c r="C6" s="138"/>
      <c r="D6" s="81" t="s">
        <v>180</v>
      </c>
      <c r="E6" s="139" t="s">
        <v>181</v>
      </c>
      <c r="F6" s="479" t="s">
        <v>182</v>
      </c>
      <c r="G6" s="479"/>
      <c r="H6" s="479"/>
      <c r="I6" s="479" t="s">
        <v>183</v>
      </c>
      <c r="J6" s="479"/>
      <c r="K6" s="140" t="s">
        <v>184</v>
      </c>
    </row>
    <row r="7" spans="2:11" s="134" customFormat="1" ht="56.5" thickBot="1">
      <c r="B7" s="481" t="s">
        <v>185</v>
      </c>
      <c r="C7" s="482" t="s">
        <v>186</v>
      </c>
      <c r="D7" s="483"/>
      <c r="E7" s="141" t="s">
        <v>92</v>
      </c>
      <c r="F7" s="142" t="s">
        <v>92</v>
      </c>
      <c r="G7" s="142" t="s">
        <v>92</v>
      </c>
      <c r="H7" s="142" t="s">
        <v>92</v>
      </c>
      <c r="I7" s="143" t="s">
        <v>187</v>
      </c>
      <c r="J7" s="143" t="s">
        <v>188</v>
      </c>
      <c r="K7" s="144" t="s">
        <v>189</v>
      </c>
    </row>
    <row r="8" spans="2:11" s="134" customFormat="1" ht="56.5" thickBot="1">
      <c r="B8" s="481"/>
      <c r="C8" s="484"/>
      <c r="D8" s="485"/>
      <c r="E8" s="145" t="s">
        <v>190</v>
      </c>
      <c r="F8" s="146" t="s">
        <v>191</v>
      </c>
      <c r="G8" s="147" t="s">
        <v>192</v>
      </c>
      <c r="H8" s="147" t="s">
        <v>193</v>
      </c>
      <c r="I8" s="147"/>
      <c r="J8" s="147"/>
      <c r="K8" s="148"/>
    </row>
    <row r="9" spans="2:11" s="134" customFormat="1" ht="14.5" thickBot="1">
      <c r="B9" s="481"/>
      <c r="C9" s="484"/>
      <c r="D9" s="485"/>
      <c r="E9" s="147" t="s">
        <v>194</v>
      </c>
      <c r="F9" s="147" t="s">
        <v>195</v>
      </c>
      <c r="G9" s="147" t="s">
        <v>195</v>
      </c>
      <c r="H9" s="147" t="s">
        <v>195</v>
      </c>
      <c r="I9" s="147" t="s">
        <v>196</v>
      </c>
      <c r="J9" s="147"/>
      <c r="K9" s="149"/>
    </row>
    <row r="10" spans="2:11" s="134" customFormat="1" ht="28.5" thickBot="1">
      <c r="B10" s="481"/>
      <c r="C10" s="484"/>
      <c r="D10" s="485"/>
      <c r="E10" s="150"/>
      <c r="F10" s="147" t="s">
        <v>197</v>
      </c>
      <c r="G10" s="147" t="s">
        <v>198</v>
      </c>
      <c r="H10" s="147" t="s">
        <v>199</v>
      </c>
      <c r="I10" s="147" t="s">
        <v>200</v>
      </c>
      <c r="J10" s="147"/>
      <c r="K10" s="149"/>
    </row>
    <row r="11" spans="2:11" s="134" customFormat="1" ht="28.5" thickBot="1">
      <c r="B11" s="481"/>
      <c r="C11" s="486"/>
      <c r="D11" s="487"/>
      <c r="E11" s="151"/>
      <c r="F11" s="152"/>
      <c r="G11" s="152" t="s">
        <v>201</v>
      </c>
      <c r="H11" s="153"/>
      <c r="I11" s="152"/>
      <c r="J11" s="152"/>
      <c r="K11" s="154"/>
    </row>
    <row r="12" spans="2:11" s="134" customFormat="1" ht="42.5" thickBot="1">
      <c r="B12" s="481"/>
      <c r="C12" s="155" t="s">
        <v>202</v>
      </c>
      <c r="D12" s="156"/>
      <c r="E12" s="151"/>
      <c r="F12" s="152"/>
      <c r="G12" s="152"/>
      <c r="H12" s="152"/>
      <c r="I12" s="152"/>
      <c r="J12" s="152"/>
      <c r="K12" s="157"/>
    </row>
    <row r="13" spans="2:11" s="134" customFormat="1" ht="324.75" customHeight="1" thickBot="1">
      <c r="B13" s="492" t="s">
        <v>203</v>
      </c>
      <c r="C13" s="475" t="s">
        <v>204</v>
      </c>
      <c r="D13" s="495" t="s">
        <v>205</v>
      </c>
      <c r="E13" s="158" t="s">
        <v>206</v>
      </c>
      <c r="F13" s="159" t="s">
        <v>207</v>
      </c>
      <c r="G13" s="159" t="s">
        <v>208</v>
      </c>
      <c r="H13" s="159" t="s">
        <v>209</v>
      </c>
      <c r="I13" s="159" t="s">
        <v>210</v>
      </c>
      <c r="J13" s="159" t="s">
        <v>211</v>
      </c>
      <c r="K13" s="160" t="s">
        <v>212</v>
      </c>
    </row>
    <row r="14" spans="2:11" s="134" customFormat="1" ht="28.5" thickBot="1">
      <c r="B14" s="493"/>
      <c r="C14" s="475"/>
      <c r="D14" s="496"/>
      <c r="E14" s="161"/>
      <c r="F14" s="162" t="s">
        <v>213</v>
      </c>
      <c r="G14" s="162" t="s">
        <v>214</v>
      </c>
      <c r="H14" s="162" t="s">
        <v>215</v>
      </c>
      <c r="I14" s="162" t="s">
        <v>216</v>
      </c>
      <c r="J14" s="162" t="s">
        <v>217</v>
      </c>
      <c r="K14" s="163"/>
    </row>
    <row r="15" spans="2:11" s="134" customFormat="1" ht="33" customHeight="1" thickBot="1">
      <c r="B15" s="493"/>
      <c r="C15" s="475" t="s">
        <v>218</v>
      </c>
      <c r="D15" s="496"/>
      <c r="E15" s="164"/>
      <c r="F15" s="165" t="s">
        <v>219</v>
      </c>
      <c r="G15" s="166" t="s">
        <v>220</v>
      </c>
      <c r="H15" s="166" t="s">
        <v>221</v>
      </c>
      <c r="I15" s="165" t="s">
        <v>222</v>
      </c>
      <c r="J15" s="165" t="s">
        <v>223</v>
      </c>
      <c r="K15" s="167"/>
    </row>
    <row r="16" spans="2:11" s="134" customFormat="1" ht="28.5" thickBot="1">
      <c r="B16" s="493"/>
      <c r="C16" s="475"/>
      <c r="D16" s="496"/>
      <c r="E16" s="168"/>
      <c r="F16" s="169" t="s">
        <v>224</v>
      </c>
      <c r="G16" s="169" t="s">
        <v>225</v>
      </c>
      <c r="H16" s="169" t="s">
        <v>226</v>
      </c>
      <c r="I16" s="169" t="s">
        <v>227</v>
      </c>
      <c r="J16" s="169"/>
      <c r="K16" s="169"/>
    </row>
    <row r="17" spans="2:12" s="134" customFormat="1" ht="196.5" thickBot="1">
      <c r="B17" s="494"/>
      <c r="C17" s="170" t="s">
        <v>228</v>
      </c>
      <c r="D17" s="497"/>
      <c r="E17" s="171"/>
      <c r="F17" s="162"/>
      <c r="G17" s="172" t="s">
        <v>229</v>
      </c>
      <c r="H17" s="162" t="s">
        <v>230</v>
      </c>
      <c r="I17" s="173"/>
      <c r="J17" s="173"/>
      <c r="K17" s="174"/>
    </row>
    <row r="18" spans="2:12" s="134" customFormat="1" ht="15.75" customHeight="1" thickBot="1">
      <c r="B18" s="488" t="s">
        <v>231</v>
      </c>
      <c r="C18" s="466" t="s">
        <v>186</v>
      </c>
      <c r="D18" s="467"/>
      <c r="E18" s="158" t="s">
        <v>232</v>
      </c>
      <c r="F18" s="159" t="s">
        <v>233</v>
      </c>
      <c r="G18" s="175" t="s">
        <v>234</v>
      </c>
      <c r="H18" s="175" t="s">
        <v>235</v>
      </c>
      <c r="I18" s="175" t="s">
        <v>236</v>
      </c>
      <c r="J18" s="159" t="s">
        <v>237</v>
      </c>
      <c r="K18" s="176"/>
    </row>
    <row r="19" spans="2:12" s="134" customFormat="1" ht="66" customHeight="1" thickBot="1">
      <c r="B19" s="488"/>
      <c r="C19" s="468"/>
      <c r="D19" s="469"/>
      <c r="E19" s="145" t="s">
        <v>238</v>
      </c>
      <c r="F19" s="146" t="s">
        <v>239</v>
      </c>
      <c r="G19" s="146" t="s">
        <v>240</v>
      </c>
      <c r="H19" s="146" t="s">
        <v>240</v>
      </c>
      <c r="I19" s="146" t="s">
        <v>241</v>
      </c>
      <c r="J19" s="146" t="s">
        <v>242</v>
      </c>
      <c r="K19" s="177"/>
    </row>
    <row r="20" spans="2:12" s="134" customFormat="1" ht="14.5" thickBot="1">
      <c r="B20" s="488"/>
      <c r="C20" s="470"/>
      <c r="D20" s="471"/>
      <c r="E20" s="178" t="s">
        <v>243</v>
      </c>
      <c r="F20" s="179" t="s">
        <v>244</v>
      </c>
      <c r="G20" s="179" t="s">
        <v>245</v>
      </c>
      <c r="H20" s="179" t="s">
        <v>246</v>
      </c>
      <c r="I20" s="179" t="s">
        <v>247</v>
      </c>
      <c r="J20" s="179" t="s">
        <v>248</v>
      </c>
      <c r="K20" s="180"/>
    </row>
    <row r="21" spans="2:12" s="134" customFormat="1" ht="89.25" customHeight="1" thickBot="1">
      <c r="B21" s="488"/>
      <c r="C21" s="489" t="s">
        <v>249</v>
      </c>
      <c r="D21" s="491" t="s">
        <v>250</v>
      </c>
      <c r="E21" s="181" t="s">
        <v>251</v>
      </c>
      <c r="F21" s="175" t="s">
        <v>252</v>
      </c>
      <c r="G21" s="175" t="s">
        <v>253</v>
      </c>
      <c r="H21" s="175" t="s">
        <v>254</v>
      </c>
      <c r="I21" s="175" t="s">
        <v>254</v>
      </c>
      <c r="J21" s="175" t="s">
        <v>255</v>
      </c>
      <c r="K21" s="160" t="s">
        <v>254</v>
      </c>
    </row>
    <row r="22" spans="2:12" s="134" customFormat="1" ht="103.5" customHeight="1" thickBot="1">
      <c r="B22" s="488"/>
      <c r="C22" s="489"/>
      <c r="D22" s="491"/>
      <c r="E22" s="145" t="s">
        <v>256</v>
      </c>
      <c r="F22" s="146" t="s">
        <v>257</v>
      </c>
      <c r="G22" s="146" t="s">
        <v>258</v>
      </c>
      <c r="H22" s="146" t="s">
        <v>254</v>
      </c>
      <c r="I22" s="146" t="s">
        <v>254</v>
      </c>
      <c r="J22" s="146" t="s">
        <v>259</v>
      </c>
      <c r="K22" s="182" t="s">
        <v>254</v>
      </c>
    </row>
    <row r="23" spans="2:12" s="134" customFormat="1" ht="102.75" customHeight="1" thickBot="1">
      <c r="B23" s="488"/>
      <c r="C23" s="489"/>
      <c r="D23" s="491"/>
      <c r="E23" s="145" t="s">
        <v>260</v>
      </c>
      <c r="F23" s="146" t="s">
        <v>261</v>
      </c>
      <c r="G23" s="146" t="s">
        <v>262</v>
      </c>
      <c r="H23" s="146" t="s">
        <v>254</v>
      </c>
      <c r="I23" s="146" t="s">
        <v>254</v>
      </c>
      <c r="J23" s="146" t="s">
        <v>263</v>
      </c>
      <c r="K23" s="182" t="s">
        <v>254</v>
      </c>
    </row>
    <row r="24" spans="2:12" s="134" customFormat="1" ht="112.5" customHeight="1" thickBot="1">
      <c r="B24" s="488"/>
      <c r="C24" s="489"/>
      <c r="D24" s="491"/>
      <c r="E24" s="183" t="s">
        <v>264</v>
      </c>
      <c r="F24" s="184" t="s">
        <v>265</v>
      </c>
      <c r="G24" s="184" t="s">
        <v>266</v>
      </c>
      <c r="H24" s="146" t="s">
        <v>254</v>
      </c>
      <c r="I24" s="146" t="s">
        <v>254</v>
      </c>
      <c r="J24" s="146" t="s">
        <v>254</v>
      </c>
      <c r="K24" s="182" t="s">
        <v>254</v>
      </c>
    </row>
    <row r="25" spans="2:12" s="134" customFormat="1" ht="129" customHeight="1" thickBot="1">
      <c r="B25" s="488"/>
      <c r="C25" s="489"/>
      <c r="D25" s="491"/>
      <c r="E25" s="185" t="s">
        <v>267</v>
      </c>
      <c r="F25" s="147"/>
      <c r="G25" s="147"/>
      <c r="H25" s="146" t="s">
        <v>254</v>
      </c>
      <c r="I25" s="146" t="s">
        <v>254</v>
      </c>
      <c r="J25" s="146" t="s">
        <v>254</v>
      </c>
      <c r="K25" s="182" t="s">
        <v>254</v>
      </c>
    </row>
    <row r="26" spans="2:12" s="134" customFormat="1" ht="30.75" customHeight="1" thickBot="1">
      <c r="B26" s="488"/>
      <c r="C26" s="490"/>
      <c r="D26" s="491"/>
      <c r="E26" s="186" t="s">
        <v>268</v>
      </c>
      <c r="F26" s="187"/>
      <c r="G26" s="188" t="s">
        <v>269</v>
      </c>
      <c r="H26" s="187" t="s">
        <v>254</v>
      </c>
      <c r="I26" s="187" t="s">
        <v>254</v>
      </c>
      <c r="J26" s="187" t="s">
        <v>254</v>
      </c>
      <c r="K26" s="189" t="s">
        <v>254</v>
      </c>
    </row>
    <row r="27" spans="2:12" s="134" customFormat="1" ht="14">
      <c r="B27" s="190"/>
      <c r="C27" s="191"/>
      <c r="D27" s="190"/>
      <c r="E27" s="190"/>
      <c r="F27" s="190"/>
      <c r="G27" s="190"/>
      <c r="H27" s="190"/>
      <c r="I27" s="190"/>
      <c r="J27" s="190"/>
      <c r="K27" s="190"/>
      <c r="L27" s="192"/>
    </row>
    <row r="28" spans="2:12" s="193" customFormat="1" ht="14">
      <c r="B28" s="480" t="s">
        <v>270</v>
      </c>
      <c r="C28" s="480"/>
      <c r="D28" s="480"/>
      <c r="E28" s="480"/>
      <c r="F28" s="480"/>
      <c r="G28" s="480"/>
      <c r="H28" s="133"/>
      <c r="I28" s="133"/>
      <c r="J28" s="133"/>
      <c r="K28" s="133"/>
    </row>
  </sheetData>
  <mergeCells count="14">
    <mergeCell ref="B2:G2"/>
    <mergeCell ref="F6:H6"/>
    <mergeCell ref="B28:G28"/>
    <mergeCell ref="I6:J6"/>
    <mergeCell ref="B7:B12"/>
    <mergeCell ref="C7:D11"/>
    <mergeCell ref="B18:B26"/>
    <mergeCell ref="C18:D20"/>
    <mergeCell ref="C21:C26"/>
    <mergeCell ref="D21:D26"/>
    <mergeCell ref="B13:B17"/>
    <mergeCell ref="C13:C14"/>
    <mergeCell ref="D13:D17"/>
    <mergeCell ref="C15:C16"/>
  </mergeCells>
  <phoneticPr fontId="60" type="noConversion"/>
  <hyperlinks>
    <hyperlink ref="B28" r:id="rId1" display="The gravity définition applied on product is include inside QMGT_ADQM06_0469 document."/>
  </hyperlinks>
  <pageMargins left="0.7" right="0.7" top="0.75" bottom="0.75" header="0.3" footer="0.3"/>
  <pageSetup paperSize="9" orientation="portrait" r:id="rId2"/>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91980C5C918C4684F59D2494840182" ma:contentTypeVersion="17" ma:contentTypeDescription="Crée un document." ma:contentTypeScope="" ma:versionID="b64f3825dedef745799e815778a3a450">
  <xsd:schema xmlns:xsd="http://www.w3.org/2001/XMLSchema" xmlns:xs="http://www.w3.org/2001/XMLSchema" xmlns:p="http://schemas.microsoft.com/office/2006/metadata/properties" xmlns:ns2="4c2767fa-af50-448b-be2e-f65ce6607914" xmlns:ns3="8919c726-fcca-4e26-901c-b5f9cceed740" targetNamespace="http://schemas.microsoft.com/office/2006/metadata/properties" ma:root="true" ma:fieldsID="be7a93383acc94020a60dce7576d233c" ns2:_="" ns3:_="">
    <xsd:import namespace="4c2767fa-af50-448b-be2e-f65ce6607914"/>
    <xsd:import namespace="8919c726-fcca-4e26-901c-b5f9cceed7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3:SharedWithUsers" minOccurs="0"/>
                <xsd:element ref="ns3:SharedWithDetails" minOccurs="0"/>
                <xsd:element ref="ns2:Comment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767fa-af50-448b-be2e-f65ce66079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9247bebf-ce0e-4fa1-bae7-748a1283d6f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Comments" ma:index="21" nillable="true" ma:displayName="Comments" ma:format="Dropdown" ma:internalName="Comments">
      <xsd:simpleType>
        <xsd:restriction base="dms:Text">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19c726-fcca-4e26-901c-b5f9cceed740" elementFormDefault="qualified">
    <xsd:import namespace="http://schemas.microsoft.com/office/2006/documentManagement/types"/>
    <xsd:import namespace="http://schemas.microsoft.com/office/infopath/2007/PartnerControls"/>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mments xmlns="4c2767fa-af50-448b-be2e-f65ce6607914" xsi:nil="true"/>
    <lcf76f155ced4ddcb4097134ff3c332f xmlns="4c2767fa-af50-448b-be2e-f65ce660791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AC74A44-3EC7-41AD-84F5-26EB181731F4}">
  <ds:schemaRefs>
    <ds:schemaRef ds:uri="http://schemas.microsoft.com/sharepoint/v3/contenttype/forms"/>
  </ds:schemaRefs>
</ds:datastoreItem>
</file>

<file path=customXml/itemProps2.xml><?xml version="1.0" encoding="utf-8"?>
<ds:datastoreItem xmlns:ds="http://schemas.openxmlformats.org/officeDocument/2006/customXml" ds:itemID="{77F0AB67-540D-442D-A1AB-77F367551C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2767fa-af50-448b-be2e-f65ce6607914"/>
    <ds:schemaRef ds:uri="8919c726-fcca-4e26-901c-b5f9cceed7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4D827D-0A03-46A8-BCB4-09D07AF801FB}">
  <ds:schemaRefs>
    <ds:schemaRef ds:uri="http://schemas.microsoft.com/office/2006/metadata/properties"/>
    <ds:schemaRef ds:uri="http://schemas.microsoft.com/office/infopath/2007/PartnerControls"/>
    <ds:schemaRef ds:uri="4c2767fa-af50-448b-be2e-f65ce6607914"/>
  </ds:schemaRefs>
</ds:datastoreItem>
</file>

<file path=docMetadata/LabelInfo.xml><?xml version="1.0" encoding="utf-8"?>
<clbl:labelList xmlns:clbl="http://schemas.microsoft.com/office/2020/mipLabelMetadata">
  <clbl:label id="{2fd53d93-3f4c-4b90-b511-bd6bdbb4fba9}" enabled="1" method="Standard" siteId="{d852d5cd-724c-4128-8812-ffa5db3f850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En-tête - 1st Page</vt:lpstr>
      <vt:lpstr>Requirements</vt:lpstr>
      <vt:lpstr>TIMING PLAN PDP</vt:lpstr>
      <vt:lpstr>Maturity Requirements Disp (FR)</vt:lpstr>
      <vt:lpstr>Maturity Requirements Disp (EN)</vt:lpstr>
      <vt:lpstr>'En-tête - 1st Page'!Print_Area</vt:lpstr>
    </vt:vector>
  </TitlesOfParts>
  <Company>STELLANTIS</Company>
  <LinksUpToDate>false</LinksUpToDate>
  <SharedDoc>false</SharedDoc>
  <HyperlinksChanged>false</HyperlinksChanged>
  <AppVersion>15.0300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2013-05-14T07:20:37Z</dcterms:created>
  <dc:creator>HAZEBROUCQ</dc:creator>
  <lastModifiedBy>Windows 用户</lastModifiedBy>
  <lastPrinted>2013-05-14T07:20:37Z</lastPrinted>
  <dcterms:modified xsi:type="dcterms:W3CDTF">2026-04-27T04:04:30Z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psa_titre">
    <vt:lpwstr>APQP G1-17E ENG Specific Req</vt:lpwstr>
  </property>
  <property fmtid="{D5CDD505-2E9C-101B-9397-08002B2CF9AE}" pid="3" name="psa_reference">
    <vt:lpwstr>20931_26_00271</vt:lpwstr>
  </property>
  <property fmtid="{D5CDD505-2E9C-101B-9397-08002B2CF9AE}" pid="4" name="psa_date_creation">
    <vt:lpwstr>14/04/2026 16:01</vt:lpwstr>
  </property>
  <property fmtid="{D5CDD505-2E9C-101B-9397-08002B2CF9AE}" pid="5" name="psa_date_modification">
    <vt:lpwstr>27/04/2026 13:58</vt:lpwstr>
  </property>
  <property fmtid="{D5CDD505-2E9C-101B-9397-08002B2CF9AE}" pid="6" name="psa_auteur">
    <vt:lpwstr>LE BLEGUET CHRISTOPHE - V178340 (TIANMA EUROPE GMBH) </vt:lpwstr>
  </property>
  <property fmtid="{D5CDD505-2E9C-101B-9397-08002B2CF9AE}" pid="7" name="psa_emetteur">
    <vt:lpwstr>LE BLEGUET CHRISTOPHE - V178340 (TIANMA EUROPE GMBH) </vt:lpwstr>
  </property>
  <property fmtid="{D5CDD505-2E9C-101B-9397-08002B2CF9AE}" pid="8" name="psa_version">
    <vt:lpwstr>0.2</vt:lpwstr>
  </property>
  <property fmtid="{D5CDD505-2E9C-101B-9397-08002B2CF9AE}" pid="9" name="psa_commentaire">
    <vt:lpwstr/>
  </property>
  <property fmtid="{D5CDD505-2E9C-101B-9397-08002B2CF9AE}" pid="10" name="psa_langue_principale">
    <vt:lpwstr>Français</vt:lpwstr>
  </property>
  <property fmtid="{D5CDD505-2E9C-101B-9397-08002B2CF9AE}" pid="11" name="psa_status">
    <vt:lpwstr>brouillon</vt:lpwstr>
  </property>
  <property fmtid="{D5CDD505-2E9C-101B-9397-08002B2CF9AE}" pid="12" name="psa_type_doc">
    <vt:lpwstr/>
  </property>
  <property fmtid="{D5CDD505-2E9C-101B-9397-08002B2CF9AE}" pid="13" name="psa_communaute">
    <vt:lpwstr>z - Ext amont Thème Conception et Développement 13</vt:lpwstr>
  </property>
  <property fmtid="{D5CDD505-2E9C-101B-9397-08002B2CF9AE}" pid="14" name="psa_niveau_confidentialite">
    <vt:lpwstr>C1 - Public</vt:lpwstr>
  </property>
  <property fmtid="{D5CDD505-2E9C-101B-9397-08002B2CF9AE}" pid="15" name="psa_url_fiche">
    <vt:lpwstr>https://docinfogroupe.inetpsa.com/ead/doc/ref.20931_26_00271/v.0.2</vt:lpwstr>
  </property>
  <property fmtid="{D5CDD505-2E9C-101B-9397-08002B2CF9AE}" pid="16" name="psa_url_modification">
    <vt:lpwstr>https://docinfogroupe.inetpsa.com/ead/doc/modif/ref.20931_26_00271/fiche</vt:lpwstr>
  </property>
  <property fmtid="{D5CDD505-2E9C-101B-9397-08002B2CF9AE}" pid="17" name="psa_date_publication">
    <vt:lpwstr/>
  </property>
  <property fmtid="{D5CDD505-2E9C-101B-9397-08002B2CF9AE}" pid="18" name="_AdHocReviewCycleID">
    <vt:i4>-308868156</vt:i4>
  </property>
  <property fmtid="{D5CDD505-2E9C-101B-9397-08002B2CF9AE}" pid="19" name="_NewReviewCycle">
    <vt:lpwstr/>
  </property>
  <property fmtid="{D5CDD505-2E9C-101B-9397-08002B2CF9AE}" pid="20" name="_EmailSubject">
    <vt:lpwstr>MODULE ECRAN : Exigences de développement</vt:lpwstr>
  </property>
  <property fmtid="{D5CDD505-2E9C-101B-9397-08002B2CF9AE}" pid="21" name="_AuthorEmail">
    <vt:lpwstr>olivier.harle@mpsa.com</vt:lpwstr>
  </property>
  <property fmtid="{D5CDD505-2E9C-101B-9397-08002B2CF9AE}" pid="22" name="_AuthorEmailDisplayName">
    <vt:lpwstr>OLIVIER HARLE - J506416</vt:lpwstr>
  </property>
  <property fmtid="{D5CDD505-2E9C-101B-9397-08002B2CF9AE}" pid="23" name="_ReviewingToolsShownOnce">
    <vt:lpwstr/>
  </property>
  <property fmtid="{D5CDD505-2E9C-101B-9397-08002B2CF9AE}" pid="24" name="MSIP_Label_2fd53d93-3f4c-4b90-b511-bd6bdbb4fba9_Enabled">
    <vt:lpwstr>true</vt:lpwstr>
  </property>
  <property fmtid="{D5CDD505-2E9C-101B-9397-08002B2CF9AE}" pid="25" name="MSIP_Label_2fd53d93-3f4c-4b90-b511-bd6bdbb4fba9_SetDate">
    <vt:lpwstr>2021-02-23T10:05:24Z</vt:lpwstr>
  </property>
  <property fmtid="{D5CDD505-2E9C-101B-9397-08002B2CF9AE}" pid="26" name="MSIP_Label_2fd53d93-3f4c-4b90-b511-bd6bdbb4fba9_Method">
    <vt:lpwstr>Standard</vt:lpwstr>
  </property>
  <property fmtid="{D5CDD505-2E9C-101B-9397-08002B2CF9AE}" pid="27" name="MSIP_Label_2fd53d93-3f4c-4b90-b511-bd6bdbb4fba9_Name">
    <vt:lpwstr>2fd53d93-3f4c-4b90-b511-bd6bdbb4fba9</vt:lpwstr>
  </property>
  <property fmtid="{D5CDD505-2E9C-101B-9397-08002B2CF9AE}" pid="28" name="MSIP_Label_2fd53d93-3f4c-4b90-b511-bd6bdbb4fba9_SiteId">
    <vt:lpwstr>d852d5cd-724c-4128-8812-ffa5db3f8507</vt:lpwstr>
  </property>
  <property fmtid="{D5CDD505-2E9C-101B-9397-08002B2CF9AE}" pid="29" name="MSIP_Label_2fd53d93-3f4c-4b90-b511-bd6bdbb4fba9_ActionId">
    <vt:lpwstr/>
  </property>
  <property fmtid="{D5CDD505-2E9C-101B-9397-08002B2CF9AE}" pid="30" name="MSIP_Label_2fd53d93-3f4c-4b90-b511-bd6bdbb4fba9_ContentBits">
    <vt:lpwstr>0</vt:lpwstr>
  </property>
  <property fmtid="{D5CDD505-2E9C-101B-9397-08002B2CF9AE}" pid="31" name="ContentTypeId">
    <vt:lpwstr>0x0101005A91980C5C918C4684F59D2494840182</vt:lpwstr>
  </property>
  <property fmtid="{D5CDD505-2E9C-101B-9397-08002B2CF9AE}" pid="32" name="MediaServiceImageTags">
    <vt:lpwstr/>
  </property>
</Properties>
</file>