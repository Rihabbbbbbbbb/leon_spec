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9040" windowHeight="17520" activeTab="3"/>
  </bookViews>
  <sheets>
    <sheet name="First page" sheetId="1" r:id="rId1"/>
    <sheet name="Revisions" sheetId="2" r:id="rId2"/>
    <sheet name="Documents" sheetId="3" r:id="rId3"/>
    <sheet name="IF252_Wake-Up" sheetId="27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P25" i="27" l="1"/>
  <c r="CO25" i="27"/>
  <c r="CG25" i="27"/>
  <c r="CF25" i="27"/>
  <c r="BX25" i="27"/>
  <c r="BW25" i="27"/>
  <c r="BO25" i="27"/>
  <c r="BN25" i="27"/>
  <c r="BF25" i="27"/>
  <c r="BE25" i="27"/>
  <c r="AW25" i="27"/>
  <c r="AV25" i="27"/>
  <c r="AN25" i="27"/>
  <c r="AM25" i="27"/>
  <c r="V25" i="27"/>
  <c r="U25" i="27"/>
  <c r="M25" i="27"/>
  <c r="L25" i="27"/>
  <c r="CP11" i="27"/>
  <c r="CO11" i="27"/>
  <c r="CG11" i="27"/>
  <c r="CF11" i="27"/>
  <c r="BX11" i="27"/>
  <c r="BW11" i="27"/>
  <c r="BO11" i="27"/>
  <c r="BN11" i="27"/>
  <c r="BF11" i="27"/>
  <c r="BE11" i="27"/>
  <c r="AW11" i="27"/>
  <c r="AV11" i="27"/>
  <c r="AN11" i="27"/>
  <c r="AM11" i="27"/>
  <c r="V11" i="27"/>
  <c r="U11" i="27"/>
  <c r="M11" i="27"/>
  <c r="L11" i="27"/>
  <c r="AH7" i="27"/>
  <c r="AD7" i="27"/>
  <c r="AH6" i="27"/>
  <c r="AF6" i="27"/>
  <c r="AD6" i="27"/>
  <c r="AB6" i="27"/>
  <c r="AH5" i="27"/>
  <c r="AD5" i="27"/>
  <c r="AH4" i="27"/>
  <c r="AF4" i="27"/>
  <c r="AD4" i="27"/>
  <c r="AB4" i="27"/>
  <c r="CO10" i="27" l="1"/>
  <c r="CP10" i="27"/>
  <c r="CO12" i="27"/>
  <c r="CP12" i="27"/>
  <c r="CO13" i="27"/>
  <c r="CP13" i="27"/>
  <c r="CO14" i="27"/>
  <c r="CP14" i="27"/>
  <c r="CO15" i="27"/>
  <c r="CP15" i="27"/>
  <c r="CO16" i="27"/>
  <c r="CP16" i="27"/>
  <c r="CO17" i="27"/>
  <c r="CP17" i="27"/>
  <c r="CO18" i="27"/>
  <c r="CP18" i="27"/>
  <c r="CO19" i="27"/>
  <c r="CP19" i="27"/>
  <c r="CO20" i="27"/>
  <c r="CP20" i="27"/>
  <c r="CO21" i="27"/>
  <c r="CP21" i="27"/>
  <c r="CO22" i="27"/>
  <c r="CP22" i="27"/>
  <c r="CO23" i="27"/>
  <c r="CP23" i="27"/>
  <c r="CO24" i="27"/>
  <c r="CP24" i="27"/>
  <c r="CP9" i="27"/>
  <c r="CO9" i="27"/>
  <c r="CF10" i="27"/>
  <c r="CG10" i="27"/>
  <c r="CF12" i="27"/>
  <c r="CG12" i="27"/>
  <c r="CF13" i="27"/>
  <c r="CG13" i="27"/>
  <c r="CF14" i="27"/>
  <c r="CG14" i="27"/>
  <c r="CF15" i="27"/>
  <c r="CG15" i="27"/>
  <c r="CF16" i="27"/>
  <c r="CG16" i="27"/>
  <c r="CF17" i="27"/>
  <c r="CG17" i="27"/>
  <c r="CF18" i="27"/>
  <c r="CG18" i="27"/>
  <c r="CF19" i="27"/>
  <c r="CG19" i="27"/>
  <c r="CF20" i="27"/>
  <c r="CG20" i="27"/>
  <c r="CF21" i="27"/>
  <c r="CG21" i="27"/>
  <c r="CF22" i="27"/>
  <c r="CG22" i="27"/>
  <c r="CF23" i="27"/>
  <c r="CG23" i="27"/>
  <c r="CF24" i="27"/>
  <c r="CG24" i="27"/>
  <c r="CG9" i="27"/>
  <c r="CF9" i="27"/>
  <c r="BW10" i="27"/>
  <c r="BX10" i="27"/>
  <c r="BW12" i="27"/>
  <c r="BX12" i="27"/>
  <c r="BW13" i="27"/>
  <c r="BX13" i="27"/>
  <c r="BW14" i="27"/>
  <c r="BX14" i="27"/>
  <c r="BW15" i="27"/>
  <c r="BX15" i="27"/>
  <c r="BW16" i="27"/>
  <c r="BX16" i="27"/>
  <c r="BW17" i="27"/>
  <c r="BX17" i="27"/>
  <c r="BW18" i="27"/>
  <c r="BX18" i="27"/>
  <c r="BW19" i="27"/>
  <c r="BX19" i="27"/>
  <c r="BW20" i="27"/>
  <c r="BX20" i="27"/>
  <c r="BW21" i="27"/>
  <c r="BX21" i="27"/>
  <c r="BW22" i="27"/>
  <c r="BX22" i="27"/>
  <c r="BW23" i="27"/>
  <c r="BX23" i="27"/>
  <c r="BW24" i="27"/>
  <c r="BX24" i="27"/>
  <c r="BX9" i="27"/>
  <c r="BW9" i="27"/>
  <c r="BN10" i="27"/>
  <c r="BO10" i="27"/>
  <c r="BN12" i="27"/>
  <c r="BO12" i="27"/>
  <c r="BN13" i="27"/>
  <c r="BO13" i="27"/>
  <c r="BN14" i="27"/>
  <c r="BO14" i="27"/>
  <c r="BN15" i="27"/>
  <c r="BO15" i="27"/>
  <c r="BN16" i="27"/>
  <c r="BO16" i="27"/>
  <c r="BN17" i="27"/>
  <c r="BO17" i="27"/>
  <c r="BN18" i="27"/>
  <c r="BO18" i="27"/>
  <c r="BN19" i="27"/>
  <c r="BO19" i="27"/>
  <c r="BN20" i="27"/>
  <c r="BO20" i="27"/>
  <c r="BN21" i="27"/>
  <c r="BO21" i="27"/>
  <c r="BN22" i="27"/>
  <c r="BO22" i="27"/>
  <c r="BN23" i="27"/>
  <c r="BO23" i="27"/>
  <c r="BN24" i="27"/>
  <c r="BO24" i="27"/>
  <c r="BE15" i="27"/>
  <c r="BE10" i="27"/>
  <c r="BF10" i="27"/>
  <c r="BE12" i="27"/>
  <c r="BF12" i="27"/>
  <c r="BE13" i="27"/>
  <c r="BF13" i="27"/>
  <c r="BE14" i="27"/>
  <c r="BF14" i="27"/>
  <c r="BF15" i="27"/>
  <c r="BE16" i="27"/>
  <c r="BF16" i="27"/>
  <c r="BE17" i="27"/>
  <c r="BF17" i="27"/>
  <c r="BE18" i="27"/>
  <c r="BF18" i="27"/>
  <c r="BE19" i="27"/>
  <c r="BF19" i="27"/>
  <c r="BE20" i="27"/>
  <c r="BF20" i="27"/>
  <c r="BE21" i="27"/>
  <c r="BF21" i="27"/>
  <c r="BE22" i="27"/>
  <c r="BF22" i="27"/>
  <c r="BE23" i="27"/>
  <c r="BF23" i="27"/>
  <c r="BE24" i="27"/>
  <c r="BF24" i="27"/>
  <c r="AV15" i="27"/>
  <c r="AM12" i="27"/>
  <c r="BN9" i="27"/>
  <c r="BO9" i="27"/>
  <c r="BF9" i="27"/>
  <c r="BE9" i="27"/>
  <c r="AW9" i="27"/>
  <c r="AV9" i="27"/>
  <c r="AM10" i="27"/>
  <c r="AN10" i="27"/>
  <c r="AN12" i="27"/>
  <c r="AM13" i="27"/>
  <c r="AN13" i="27"/>
  <c r="AM14" i="27"/>
  <c r="AN14" i="27"/>
  <c r="AM15" i="27"/>
  <c r="AN15" i="27"/>
  <c r="AM16" i="27"/>
  <c r="AN16" i="27"/>
  <c r="AM17" i="27"/>
  <c r="AN17" i="27"/>
  <c r="AM18" i="27"/>
  <c r="AN18" i="27"/>
  <c r="AM19" i="27"/>
  <c r="AN19" i="27"/>
  <c r="AM20" i="27"/>
  <c r="AN20" i="27"/>
  <c r="AM21" i="27"/>
  <c r="AN21" i="27"/>
  <c r="AM22" i="27"/>
  <c r="AN22" i="27"/>
  <c r="AM23" i="27"/>
  <c r="AN23" i="27"/>
  <c r="AM24" i="27"/>
  <c r="AN24" i="27"/>
  <c r="AN9" i="27"/>
  <c r="AM9" i="27"/>
  <c r="V10" i="27"/>
  <c r="U10" i="27"/>
  <c r="L9" i="27"/>
  <c r="V9" i="27"/>
  <c r="U9" i="27"/>
  <c r="U12" i="27"/>
  <c r="V12" i="27"/>
  <c r="U13" i="27"/>
  <c r="V13" i="27"/>
  <c r="U14" i="27"/>
  <c r="V14" i="27"/>
  <c r="U15" i="27"/>
  <c r="V15" i="27"/>
  <c r="U16" i="27"/>
  <c r="V16" i="27"/>
  <c r="U17" i="27"/>
  <c r="V17" i="27"/>
  <c r="U18" i="27"/>
  <c r="V18" i="27"/>
  <c r="U19" i="27"/>
  <c r="V19" i="27"/>
  <c r="U20" i="27"/>
  <c r="V20" i="27"/>
  <c r="U21" i="27"/>
  <c r="V21" i="27"/>
  <c r="U22" i="27"/>
  <c r="V22" i="27"/>
  <c r="U23" i="27"/>
  <c r="V23" i="27"/>
  <c r="U24" i="27"/>
  <c r="V24" i="27"/>
  <c r="M9" i="27"/>
  <c r="L10" i="27"/>
  <c r="M10" i="27"/>
  <c r="L12" i="27"/>
  <c r="M12" i="27"/>
  <c r="L13" i="27"/>
  <c r="M13" i="27"/>
  <c r="L14" i="27"/>
  <c r="M14" i="27"/>
  <c r="L15" i="27"/>
  <c r="M15" i="27"/>
  <c r="L16" i="27"/>
  <c r="M16" i="27"/>
  <c r="L17" i="27"/>
  <c r="M17" i="27"/>
  <c r="L18" i="27"/>
  <c r="M18" i="27"/>
  <c r="L19" i="27"/>
  <c r="M19" i="27"/>
  <c r="L20" i="27"/>
  <c r="M20" i="27"/>
  <c r="L21" i="27"/>
  <c r="M21" i="27"/>
  <c r="L22" i="27"/>
  <c r="M22" i="27"/>
  <c r="L23" i="27"/>
  <c r="M23" i="27"/>
  <c r="L24" i="27"/>
  <c r="M24" i="27"/>
  <c r="AW24" i="27" l="1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W17" i="27"/>
  <c r="AV17" i="27"/>
  <c r="AW16" i="27"/>
  <c r="AV16" i="27"/>
  <c r="AW15" i="27"/>
  <c r="AW14" i="27"/>
  <c r="AV14" i="27"/>
  <c r="AW13" i="27"/>
  <c r="AV13" i="27"/>
  <c r="AW12" i="27"/>
  <c r="AV12" i="27"/>
  <c r="AW10" i="27"/>
  <c r="AV10" i="27"/>
  <c r="CS7" i="27"/>
  <c r="CJ7" i="27"/>
  <c r="CA7" i="27"/>
  <c r="BR7" i="27"/>
  <c r="BI7" i="27"/>
  <c r="AZ7" i="27"/>
  <c r="AQ7" i="27"/>
  <c r="Y7" i="27"/>
  <c r="P7" i="27"/>
  <c r="G7" i="27"/>
  <c r="CS6" i="27"/>
  <c r="CJ6" i="27"/>
  <c r="CA6" i="27"/>
  <c r="BR6" i="27"/>
  <c r="BI6" i="27"/>
  <c r="AZ6" i="27"/>
  <c r="AQ6" i="27"/>
  <c r="Y6" i="27"/>
  <c r="P6" i="27"/>
  <c r="G6" i="27"/>
  <c r="CS5" i="27"/>
  <c r="CQ5" i="27"/>
  <c r="CJ5" i="27"/>
  <c r="CH5" i="27"/>
  <c r="CA5" i="27"/>
  <c r="BY5" i="27"/>
  <c r="BR5" i="27"/>
  <c r="BP5" i="27"/>
  <c r="BI5" i="27"/>
  <c r="BG5" i="27"/>
  <c r="AZ5" i="27"/>
  <c r="AX5" i="27"/>
  <c r="AQ5" i="27"/>
  <c r="AO5" i="27"/>
  <c r="Y5" i="27"/>
  <c r="W5" i="27"/>
  <c r="P5" i="27"/>
  <c r="N5" i="27"/>
  <c r="G5" i="27"/>
  <c r="E5" i="27"/>
  <c r="CS4" i="27"/>
  <c r="CQ4" i="27"/>
  <c r="CJ4" i="27"/>
  <c r="CH4" i="27"/>
  <c r="CA4" i="27"/>
  <c r="BY4" i="27"/>
  <c r="BR4" i="27"/>
  <c r="BP4" i="27"/>
  <c r="BI4" i="27"/>
  <c r="BG4" i="27"/>
  <c r="AZ4" i="27"/>
  <c r="AX4" i="27"/>
  <c r="AQ4" i="27"/>
  <c r="AO4" i="27"/>
  <c r="Y4" i="27"/>
  <c r="W4" i="27"/>
  <c r="P4" i="27"/>
  <c r="N4" i="27"/>
  <c r="G4" i="27"/>
  <c r="E4" i="27"/>
</calcChain>
</file>

<file path=xl/comments1.xml><?xml version="1.0" encoding="utf-8"?>
<comments xmlns="http://schemas.openxmlformats.org/spreadsheetml/2006/main">
  <authors>
    <author>JULIEN POUSSARD - U266726</author>
  </authors>
  <commentList>
    <comment ref="E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G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N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P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W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Y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AB3" authorId="0">
      <text>
        <r>
          <rPr>
            <sz val="9"/>
            <color indexed="81"/>
            <rFont val="Tahoma"/>
            <family val="2"/>
          </rPr>
          <t xml:space="preserve">Le fournisseur indique son engagement sur la tenue de chaque exigence (Statut OK ou NOK). 
Des commentaires peuvent être rajoutés à chaque statut.
</t>
        </r>
        <r>
          <rPr>
            <b/>
            <sz val="9"/>
            <color indexed="81"/>
            <rFont val="Tahoma"/>
            <family val="2"/>
          </rPr>
          <t>Combinaisons possibles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  </r>
      </text>
    </comment>
    <comment ref="AD3" authorId="0">
      <text>
        <r>
          <rPr>
            <sz val="9"/>
            <color indexed="81"/>
            <rFont val="Tahoma"/>
            <family val="2"/>
          </rPr>
          <t xml:space="preserve">Le fournisseur indique son engagement sur la tenue de chaque exigence (Statut OK ou NOK). 
Des commentaires peuvent être rajoutés à chaque statut.
</t>
        </r>
        <r>
          <rPr>
            <b/>
            <sz val="9"/>
            <color indexed="81"/>
            <rFont val="Tahoma"/>
            <family val="2"/>
          </rPr>
          <t>Combinaisons possibles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  </r>
      </text>
    </comment>
    <comment ref="AF3" authorId="0">
      <text>
        <r>
          <rPr>
            <sz val="9"/>
            <color indexed="81"/>
            <rFont val="Tahoma"/>
            <family val="2"/>
          </rPr>
          <t xml:space="preserve">Le fournisseur indique son engagement sur la tenue de chaque exigence (Statut OK ou NOK). 
Des commentaires peuvent être rajoutés à chaque statut.
</t>
        </r>
        <r>
          <rPr>
            <b/>
            <sz val="9"/>
            <color indexed="81"/>
            <rFont val="Tahoma"/>
            <family val="2"/>
          </rPr>
          <t>Combinaisons possibles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  </r>
      </text>
    </comment>
    <comment ref="AH3" authorId="0">
      <text>
        <r>
          <rPr>
            <sz val="9"/>
            <color indexed="81"/>
            <rFont val="Tahoma"/>
            <family val="2"/>
          </rPr>
          <t xml:space="preserve">Le fournisseur indique son engagement sur la tenue de chaque exigence (Statut OK ou NOK). 
Des commentaires peuvent être rajoutés à chaque statut.
</t>
        </r>
        <r>
          <rPr>
            <b/>
            <sz val="9"/>
            <color indexed="81"/>
            <rFont val="Tahoma"/>
            <family val="2"/>
          </rPr>
          <t>Combinaisons possibles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  </r>
      </text>
    </comment>
    <comment ref="AO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AQ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AX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AZ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BG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BI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BP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BR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BY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CA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CH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CJ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CQ3" authorId="0">
      <text>
        <r>
          <rPr>
            <sz val="9"/>
            <color indexed="81"/>
            <rFont val="Tahoma"/>
            <family val="2"/>
          </rPr>
          <t xml:space="preserve">The supplier should indicate their commitment to meeting each requirement (Status OK or NOK). 
Comments could be added for each status.
</t>
        </r>
        <r>
          <rPr>
            <b/>
            <sz val="9"/>
            <color indexed="81"/>
            <rFont val="Tahoma"/>
            <family val="2"/>
          </rPr>
          <t>Possible combinations : 
FNR            PSA</t>
        </r>
        <r>
          <rPr>
            <sz val="9"/>
            <color indexed="81"/>
            <rFont val="Tahoma"/>
            <family val="2"/>
          </rPr>
          <t xml:space="preserve">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CS3" authorId="0">
      <text>
        <r>
          <rPr>
            <sz val="9"/>
            <color indexed="81"/>
            <rFont val="Tahoma"/>
            <family val="2"/>
          </rPr>
          <t>The supplier should indicate their commitment to meeting each requirement (Status OK or NOK). 
Comments could be added for each status.
Possible combinations : 
FNR            PSA
OK              OK                            -&gt; Requirement fully covered by FNR
NOK           STANDBY                    -&gt; Requirement partially or not covered by FNR :
                                                                * Deviation possible: in this case the PSA STANDBY will change to DEVIATION 
                                                                   (by indicating the DocInfo link of the deviation request from the supplier)
                                                                * or if modification of the original requirement, STANDBY status is retained and will change to OK for the next delivery
                                                                * or if requirement is considered not applicable et is accepted by PSA (column Application will be update for the next delivery)
NOK           NOK                            -&gt; Requirement partially or not covered by FNR : Blocking point
OK              NOK                           -&gt; combination prohibited
NOK           OK                              -&gt; combination prohibited</t>
        </r>
      </text>
    </comment>
    <comment ref="A8" authorId="0">
      <text>
        <r>
          <rPr>
            <sz val="9"/>
            <color indexed="81"/>
            <rFont val="Tahoma"/>
            <family val="2"/>
          </rPr>
          <t>- Requirement description (Full requirement description is in specifications in sheet ''Documents'')</t>
        </r>
      </text>
    </comment>
    <comment ref="C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D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J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K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S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T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AK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AL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AT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AU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BC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BD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BL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BM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BU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BV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CD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CE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  <comment ref="CM8" authorId="0">
      <text>
        <r>
          <rPr>
            <sz val="9"/>
            <color indexed="81"/>
            <rFont val="宋体"/>
            <family val="2"/>
            <scheme val="minor"/>
          </rPr>
          <t>- Requirement identifier based on technical specifications in sheet ''Documents''</t>
        </r>
      </text>
    </comment>
    <comment ref="CN8" authorId="0">
      <text>
        <r>
          <rPr>
            <sz val="9"/>
            <color indexed="81"/>
            <rFont val="Tahoma"/>
            <family val="2"/>
          </rPr>
          <t xml:space="preserve">Application to UEC of requirement from specification in sheet ''Documents'' is indicated by </t>
        </r>
        <r>
          <rPr>
            <b/>
            <sz val="9"/>
            <color indexed="81"/>
            <rFont val="Tahoma"/>
            <family val="2"/>
          </rPr>
          <t>« x »</t>
        </r>
        <r>
          <rPr>
            <sz val="9"/>
            <color indexed="81"/>
            <rFont val="Tahoma"/>
            <family val="2"/>
          </rPr>
          <t>: 
        - With « x » applicable requirement
        - Without « x » non-applicable requirement</t>
        </r>
      </text>
    </comment>
  </commentList>
</comments>
</file>

<file path=xl/sharedStrings.xml><?xml version="1.0" encoding="utf-8"?>
<sst xmlns="http://schemas.openxmlformats.org/spreadsheetml/2006/main" count="395" uniqueCount="120">
  <si>
    <t xml:space="preserve">
</t>
  </si>
  <si>
    <t>1.0</t>
  </si>
  <si>
    <t>V1</t>
  </si>
  <si>
    <t>Date
RFQ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</si>
  <si>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</si>
  <si>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</si>
  <si>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</si>
  <si>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</si>
  <si>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</si>
  <si>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</si>
  <si>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</si>
  <si>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</si>
  <si>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</si>
  <si>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/</t>
  </si>
  <si>
    <t>Version</t>
  </si>
  <si>
    <t>Entity</t>
  </si>
  <si>
    <t>Ref</t>
  </si>
  <si>
    <t>Applicable project(s)</t>
  </si>
  <si>
    <t>Version / Release</t>
  </si>
  <si>
    <t>REVISIONS</t>
  </si>
  <si>
    <t>Release</t>
  </si>
  <si>
    <t>Date</t>
  </si>
  <si>
    <t>Modifications</t>
  </si>
  <si>
    <t>Author</t>
  </si>
  <si>
    <t>Creation</t>
  </si>
  <si>
    <t>Title</t>
  </si>
  <si>
    <t>Applicables Documents</t>
  </si>
  <si>
    <t>Ref.</t>
  </si>
  <si>
    <t>References documents</t>
  </si>
  <si>
    <t>Requirement Identifier</t>
  </si>
  <si>
    <t>Application</t>
  </si>
  <si>
    <t>Specification Version :</t>
  </si>
  <si>
    <t>Conformity</t>
  </si>
  <si>
    <t>AUTHOR</t>
  </si>
  <si>
    <t>APPROVER</t>
  </si>
  <si>
    <t xml:space="preserve">Name : </t>
  </si>
  <si>
    <t xml:space="preserve">Entity : </t>
  </si>
  <si>
    <t>Requirements OK</t>
  </si>
  <si>
    <t>Requirements NOK</t>
  </si>
  <si>
    <t>Comments</t>
  </si>
  <si>
    <r>
      <t xml:space="preserve">FNR Reply
</t>
    </r>
    <r>
      <rPr>
        <i/>
        <sz val="10"/>
        <rFont val="Arial"/>
        <family val="2"/>
      </rPr>
      <t>Answers from the supplier, to be completed by him</t>
    </r>
  </si>
  <si>
    <t>DEVIATION</t>
  </si>
  <si>
    <t>STANDBY</t>
  </si>
  <si>
    <t>PLM Requirement Identifier</t>
  </si>
  <si>
    <t>Update</t>
  </si>
  <si>
    <t>Requirement updated</t>
  </si>
  <si>
    <t>Applicability updated</t>
  </si>
  <si>
    <t>PLM Ref.</t>
  </si>
  <si>
    <t>PLM Version</t>
  </si>
  <si>
    <t>DocInfo Ref.</t>
  </si>
  <si>
    <t>DocInfo Version</t>
  </si>
  <si>
    <t>Component Name</t>
  </si>
  <si>
    <t>Part Name</t>
  </si>
  <si>
    <t>Requirement Description</t>
  </si>
  <si>
    <t>RSP-000XXXX  VX</t>
  </si>
  <si>
    <t>Stellantis Reply
Answers from Stellantis, to be completed by Stellantis</t>
  </si>
  <si>
    <t>Stellantis's status</t>
  </si>
  <si>
    <r>
      <rPr>
        <b/>
        <sz val="12"/>
        <color theme="0"/>
        <rFont val="Arial"/>
        <family val="2"/>
      </rPr>
      <t>DESIGN COMPLIANCE VALIDATION PHASE</t>
    </r>
    <r>
      <rPr>
        <b/>
        <sz val="10"/>
        <color theme="0"/>
        <rFont val="Arial"/>
        <family val="2"/>
      </rPr>
      <t xml:space="preserve">
 </t>
    </r>
    <r>
      <rPr>
        <i/>
        <sz val="10"/>
        <color theme="0"/>
        <rFont val="Arial"/>
        <family val="2"/>
      </rPr>
      <t>(To be filled in for TOP RO)</t>
    </r>
  </si>
  <si>
    <r>
      <rPr>
        <b/>
        <sz val="12"/>
        <color theme="0"/>
        <rFont val="Arial"/>
        <family val="2"/>
      </rPr>
      <t>PRODUCT COMPLIANCE VALIDATION PHASE</t>
    </r>
    <r>
      <rPr>
        <b/>
        <sz val="10"/>
        <color theme="0"/>
        <rFont val="Arial"/>
        <family val="2"/>
      </rPr>
      <t xml:space="preserve">
</t>
    </r>
    <r>
      <rPr>
        <i/>
        <sz val="10"/>
        <color theme="0"/>
        <rFont val="Arial"/>
        <family val="2"/>
      </rPr>
      <t>(To be filled in for end of developpement technical review)</t>
    </r>
  </si>
  <si>
    <r>
      <rPr>
        <b/>
        <sz val="12"/>
        <rFont val="Arial"/>
        <family val="2"/>
      </rPr>
      <t>Answers from the supplier</t>
    </r>
    <r>
      <rPr>
        <i/>
        <sz val="10"/>
        <rFont val="Arial"/>
        <family val="2"/>
      </rPr>
      <t xml:space="preserve">
to be completed by him</t>
    </r>
  </si>
  <si>
    <t>SUPPLIER 
agreement</t>
  </si>
  <si>
    <t>Supplier justifications, test reports references, comments</t>
  </si>
  <si>
    <t>STELLANTIS agreement</t>
  </si>
  <si>
    <t>STELLANTIS comments</t>
  </si>
  <si>
    <t>SUPPLIER
agreement</t>
  </si>
  <si>
    <r>
      <rPr>
        <b/>
        <sz val="12"/>
        <rFont val="Arial"/>
        <family val="2"/>
      </rPr>
      <t>Answers from Stellantis</t>
    </r>
    <r>
      <rPr>
        <i/>
        <sz val="10"/>
        <rFont val="Arial"/>
        <family val="2"/>
      </rPr>
      <t xml:space="preserve">
to be completed by Stellantis</t>
    </r>
  </si>
  <si>
    <t>X</t>
  </si>
  <si>
    <t>Wired interface IF252 specification</t>
  </si>
  <si>
    <r>
      <t>U</t>
    </r>
    <r>
      <rPr>
        <vertAlign val="subscript"/>
        <sz val="10"/>
        <color theme="1"/>
        <rFont val="宋体"/>
        <family val="2"/>
        <scheme val="minor"/>
      </rPr>
      <t>power_T</t>
    </r>
  </si>
  <si>
    <r>
      <t>I</t>
    </r>
    <r>
      <rPr>
        <vertAlign val="subscript"/>
        <sz val="10"/>
        <color theme="1"/>
        <rFont val="宋体"/>
        <family val="2"/>
        <scheme val="minor"/>
      </rPr>
      <t>OH</t>
    </r>
  </si>
  <si>
    <r>
      <t>I</t>
    </r>
    <r>
      <rPr>
        <vertAlign val="subscript"/>
        <sz val="10"/>
        <color theme="1"/>
        <rFont val="宋体"/>
        <family val="2"/>
        <scheme val="minor"/>
      </rPr>
      <t>_Limit</t>
    </r>
  </si>
  <si>
    <r>
      <t>U</t>
    </r>
    <r>
      <rPr>
        <vertAlign val="subscript"/>
        <sz val="10"/>
        <color theme="1"/>
        <rFont val="宋体"/>
        <family val="2"/>
        <scheme val="minor"/>
      </rPr>
      <t>OH</t>
    </r>
  </si>
  <si>
    <r>
      <t>I</t>
    </r>
    <r>
      <rPr>
        <vertAlign val="subscript"/>
        <sz val="10"/>
        <color theme="1"/>
        <rFont val="宋体"/>
        <family val="2"/>
        <scheme val="minor"/>
      </rPr>
      <t>OL</t>
    </r>
  </si>
  <si>
    <r>
      <t>U</t>
    </r>
    <r>
      <rPr>
        <vertAlign val="subscript"/>
        <sz val="10"/>
        <color theme="1"/>
        <rFont val="宋体"/>
        <family val="2"/>
        <scheme val="minor"/>
      </rPr>
      <t>OL</t>
    </r>
  </si>
  <si>
    <r>
      <t>C</t>
    </r>
    <r>
      <rPr>
        <vertAlign val="subscript"/>
        <sz val="10"/>
        <color theme="1"/>
        <rFont val="宋体"/>
        <family val="2"/>
        <scheme val="minor"/>
      </rPr>
      <t>O</t>
    </r>
  </si>
  <si>
    <r>
      <t>U</t>
    </r>
    <r>
      <rPr>
        <vertAlign val="subscript"/>
        <sz val="10"/>
        <color theme="1"/>
        <rFont val="宋体"/>
        <family val="2"/>
        <scheme val="minor"/>
      </rPr>
      <t>power_R</t>
    </r>
  </si>
  <si>
    <r>
      <t>I</t>
    </r>
    <r>
      <rPr>
        <vertAlign val="subscript"/>
        <sz val="10"/>
        <color theme="1"/>
        <rFont val="宋体"/>
        <family val="2"/>
        <scheme val="minor"/>
      </rPr>
      <t>IH</t>
    </r>
  </si>
  <si>
    <r>
      <t>U</t>
    </r>
    <r>
      <rPr>
        <vertAlign val="subscript"/>
        <sz val="10"/>
        <color theme="1"/>
        <rFont val="宋体"/>
        <family val="2"/>
        <scheme val="minor"/>
      </rPr>
      <t>IH</t>
    </r>
  </si>
  <si>
    <r>
      <t>I</t>
    </r>
    <r>
      <rPr>
        <vertAlign val="subscript"/>
        <sz val="10"/>
        <color theme="1"/>
        <rFont val="宋体"/>
        <family val="2"/>
        <scheme val="minor"/>
      </rPr>
      <t>IL</t>
    </r>
  </si>
  <si>
    <r>
      <t>U</t>
    </r>
    <r>
      <rPr>
        <vertAlign val="subscript"/>
        <sz val="10"/>
        <color theme="1"/>
        <rFont val="宋体"/>
        <family val="2"/>
        <scheme val="minor"/>
      </rPr>
      <t>IL</t>
    </r>
  </si>
  <si>
    <r>
      <t>C</t>
    </r>
    <r>
      <rPr>
        <vertAlign val="subscript"/>
        <sz val="10"/>
        <color theme="1"/>
        <rFont val="宋体"/>
        <family val="2"/>
        <scheme val="minor"/>
      </rPr>
      <t>I</t>
    </r>
  </si>
  <si>
    <r>
      <t>U</t>
    </r>
    <r>
      <rPr>
        <vertAlign val="subscript"/>
        <sz val="10"/>
        <color theme="1"/>
        <rFont val="宋体"/>
        <family val="2"/>
        <scheme val="minor"/>
      </rPr>
      <t>hysteresis</t>
    </r>
  </si>
  <si>
    <t>REQ-0668499 (A)</t>
  </si>
  <si>
    <t>REQ-0668504 (A)</t>
  </si>
  <si>
    <t>[IF252]</t>
  </si>
  <si>
    <t xml:space="preserve">RSP-0006461 </t>
  </si>
  <si>
    <t>01991_21_01208</t>
  </si>
  <si>
    <t>F.MAUCHOSSE</t>
  </si>
  <si>
    <t>Name : Frédéric MAUCHOSSE</t>
  </si>
  <si>
    <t>Display Wake-up via LVDS</t>
  </si>
  <si>
    <t>REQ-0668497 (B)</t>
  </si>
  <si>
    <t>N</t>
  </si>
  <si>
    <t>REQ-0800091 (A)</t>
  </si>
  <si>
    <t>REQ-0669229 (B)</t>
  </si>
  <si>
    <t>REQ-0668496 (B)</t>
  </si>
  <si>
    <t>REQ-0668498 (B)</t>
  </si>
  <si>
    <t>REQ-0668551 (B)</t>
  </si>
  <si>
    <t>REQ-0668552 (B)</t>
  </si>
  <si>
    <t>REQ-0668502 (B)</t>
  </si>
  <si>
    <t>REQ-0668503 (B)</t>
  </si>
  <si>
    <t>REQ-0668506 (B)</t>
  </si>
  <si>
    <t>Protection</t>
  </si>
  <si>
    <t>REQ-0800090 (A)</t>
  </si>
  <si>
    <t>Name : Frédéric LIPP</t>
  </si>
  <si>
    <t>RSP-0006461   V3</t>
  </si>
  <si>
    <t>REQ-0668495 (C)</t>
  </si>
  <si>
    <t>REQ-0668500 (C)</t>
  </si>
  <si>
    <t>REQ-0668501 (C)</t>
  </si>
  <si>
    <t>REQ-0668505 (C)</t>
  </si>
  <si>
    <t>Name :</t>
  </si>
  <si>
    <t>DM17F</t>
  </si>
  <si>
    <t>R8U/R8L/DT2/HD2</t>
  </si>
  <si>
    <t>Application Matrix of Wired Interfaces requirements for R8U/R8L/DT2/HD2 DM17F</t>
  </si>
  <si>
    <r>
      <t>This document presents the application matrix for specifications related to</t>
    </r>
    <r>
      <rPr>
        <b/>
        <i/>
        <sz val="10"/>
        <rFont val="Calibri"/>
        <family val="2"/>
      </rPr>
      <t xml:space="preserve"> R8U/R8L/DT2/HD2 DM17F</t>
    </r>
    <r>
      <rPr>
        <sz val="10"/>
        <rFont val="Calibri"/>
        <family val="2"/>
      </rPr>
      <t xml:space="preserve"> which will be developed according to wired interfaces specifications.
</t>
    </r>
  </si>
  <si>
    <t>The R8U/R8L/DT2/HD2 DM17F Wake-up Signal takes into account the requirements of the wired interfaces IF252. The applicable requirements are listed below</t>
  </si>
  <si>
    <t>Entity : EXE/PDT/SWE/CKPT/CIDI/DICD</t>
  </si>
  <si>
    <t>EXE/PDT/EHE/EEAV/EEAD/EAWE</t>
  </si>
  <si>
    <t>Entity : EXE/PDT/EHE/EEAV/EEAD/EAWE</t>
  </si>
  <si>
    <t>01991_25_01584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</si>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</sst>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0" x14ac:knownFonts="1">
    <font>
      <sz val="11"/>
      <color theme="1"/>
      <name val="宋体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7"/>
      <name val="Calibri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2"/>
      <scheme val="minor"/>
    </font>
    <font>
      <b/>
      <i/>
      <sz val="10"/>
      <name val="Calibri"/>
      <family val="2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u/>
      <sz val="10"/>
      <name val="Arial"/>
      <family val="2"/>
    </font>
    <font>
      <sz val="10"/>
      <color theme="1"/>
      <name val="宋体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i/>
      <sz val="10"/>
      <color theme="0"/>
      <name val="Arial"/>
      <family val="2"/>
    </font>
    <font>
      <sz val="8"/>
      <name val="Arial"/>
      <family val="2"/>
    </font>
    <font>
      <sz val="8"/>
      <name val="宋体"/>
      <family val="2"/>
      <scheme val="minor"/>
    </font>
    <font>
      <vertAlign val="subscript"/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232">
    <xf numFmtId="0" fontId="0" fillId="0" borderId="0" xfId="0"/>
    <xf numFmtId="0" fontId="1" fillId="2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1" fillId="4" borderId="21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" fillId="4" borderId="22" xfId="0" applyNumberFormat="1" applyFont="1" applyFill="1" applyBorder="1" applyAlignment="1">
      <alignment vertical="center"/>
    </xf>
    <xf numFmtId="0" fontId="1" fillId="4" borderId="18" xfId="0" applyNumberFormat="1" applyFont="1" applyFill="1" applyBorder="1" applyAlignment="1">
      <alignment vertical="center"/>
    </xf>
    <xf numFmtId="0" fontId="1" fillId="4" borderId="19" xfId="0" applyNumberFormat="1" applyFont="1" applyFill="1" applyBorder="1" applyAlignment="1">
      <alignment vertical="center"/>
    </xf>
    <xf numFmtId="0" fontId="1" fillId="2" borderId="0" xfId="0" applyFont="1" applyFill="1"/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13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14" fontId="1" fillId="0" borderId="9" xfId="0" applyNumberFormat="1" applyFont="1" applyFill="1" applyBorder="1" applyAlignment="1">
      <alignment horizontal="center" vertical="center"/>
    </xf>
    <xf numFmtId="0" fontId="1" fillId="0" borderId="13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0" fontId="1" fillId="4" borderId="27" xfId="0" applyNumberFormat="1" applyFont="1" applyFill="1" applyBorder="1" applyAlignment="1">
      <alignment vertical="center"/>
    </xf>
    <xf numFmtId="0" fontId="1" fillId="4" borderId="28" xfId="0" applyNumberFormat="1" applyFont="1" applyFill="1" applyBorder="1" applyAlignment="1">
      <alignment horizontal="center" vertical="center"/>
    </xf>
    <xf numFmtId="0" fontId="6" fillId="5" borderId="0" xfId="0" applyNumberFormat="1" applyFont="1" applyFill="1" applyBorder="1" applyAlignment="1">
      <alignment vertical="center"/>
    </xf>
    <xf numFmtId="0" fontId="6" fillId="0" borderId="29" xfId="0" applyNumberFormat="1" applyFont="1" applyFill="1" applyBorder="1" applyAlignment="1">
      <alignment horizontal="center" vertical="center" wrapText="1"/>
    </xf>
    <xf numFmtId="0" fontId="6" fillId="5" borderId="30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20" fillId="0" borderId="1" xfId="0" applyNumberFormat="1" applyFont="1" applyFill="1" applyBorder="1"/>
    <xf numFmtId="0" fontId="20" fillId="0" borderId="2" xfId="0" applyNumberFormat="1" applyFont="1" applyFill="1" applyBorder="1"/>
    <xf numFmtId="0" fontId="20" fillId="0" borderId="3" xfId="0" applyNumberFormat="1" applyFont="1" applyFill="1" applyBorder="1"/>
    <xf numFmtId="0" fontId="20" fillId="5" borderId="0" xfId="0" applyFont="1" applyFill="1"/>
    <xf numFmtId="0" fontId="20" fillId="6" borderId="0" xfId="0" applyFont="1" applyFill="1"/>
    <xf numFmtId="0" fontId="20" fillId="0" borderId="21" xfId="0" applyNumberFormat="1" applyFont="1" applyFill="1" applyBorder="1"/>
    <xf numFmtId="0" fontId="20" fillId="0" borderId="0" xfId="0" applyNumberFormat="1" applyFont="1" applyFill="1" applyBorder="1"/>
    <xf numFmtId="0" fontId="20" fillId="0" borderId="22" xfId="0" applyNumberFormat="1" applyFont="1" applyFill="1" applyBorder="1"/>
    <xf numFmtId="0" fontId="21" fillId="0" borderId="0" xfId="2" applyNumberFormat="1" applyFont="1" applyFill="1" applyBorder="1"/>
    <xf numFmtId="0" fontId="20" fillId="0" borderId="18" xfId="0" applyNumberFormat="1" applyFont="1" applyFill="1" applyBorder="1"/>
    <xf numFmtId="0" fontId="20" fillId="0" borderId="19" xfId="0" applyNumberFormat="1" applyFont="1" applyFill="1" applyBorder="1"/>
    <xf numFmtId="0" fontId="20" fillId="0" borderId="20" xfId="0" applyNumberFormat="1" applyFont="1" applyFill="1" applyBorder="1"/>
    <xf numFmtId="0" fontId="6" fillId="13" borderId="45" xfId="0" applyFont="1" applyFill="1" applyBorder="1" applyAlignment="1" applyProtection="1">
      <alignment horizontal="center" vertical="center" wrapText="1"/>
    </xf>
    <xf numFmtId="0" fontId="0" fillId="0" borderId="2" xfId="0" applyNumberFormat="1" applyFill="1" applyBorder="1"/>
    <xf numFmtId="0" fontId="0" fillId="0" borderId="0" xfId="0" applyNumberFormat="1" applyFill="1" applyBorder="1"/>
    <xf numFmtId="0" fontId="0" fillId="6" borderId="0" xfId="0" applyFill="1"/>
    <xf numFmtId="0" fontId="0" fillId="7" borderId="32" xfId="0" applyFill="1" applyBorder="1" applyProtection="1"/>
    <xf numFmtId="0" fontId="0" fillId="6" borderId="0" xfId="0" applyFill="1" applyProtection="1"/>
    <xf numFmtId="0" fontId="11" fillId="0" borderId="33" xfId="0" applyFont="1" applyBorder="1" applyAlignment="1" applyProtection="1">
      <alignment vertical="center" wrapText="1"/>
    </xf>
    <xf numFmtId="0" fontId="12" fillId="7" borderId="33" xfId="0" applyFont="1" applyFill="1" applyBorder="1" applyAlignment="1" applyProtection="1">
      <alignment horizontal="center" wrapText="1"/>
    </xf>
    <xf numFmtId="0" fontId="12" fillId="7" borderId="0" xfId="0" applyFont="1" applyFill="1" applyAlignment="1" applyProtection="1">
      <alignment horizontal="center" wrapText="1"/>
    </xf>
    <xf numFmtId="0" fontId="12" fillId="7" borderId="22" xfId="0" applyFont="1" applyFill="1" applyBorder="1" applyAlignment="1" applyProtection="1">
      <alignment horizontal="center" wrapText="1"/>
    </xf>
    <xf numFmtId="0" fontId="0" fillId="7" borderId="33" xfId="0" applyFill="1" applyBorder="1" applyProtection="1"/>
    <xf numFmtId="0" fontId="12" fillId="11" borderId="8" xfId="1" applyFont="1" applyFill="1" applyBorder="1" applyAlignment="1" applyProtection="1">
      <alignment horizontal="center" vertical="center" wrapText="1"/>
    </xf>
    <xf numFmtId="0" fontId="3" fillId="11" borderId="10" xfId="1" applyFont="1" applyFill="1" applyBorder="1" applyAlignment="1" applyProtection="1">
      <alignment horizontal="center" vertical="center" wrapText="1"/>
    </xf>
    <xf numFmtId="0" fontId="0" fillId="7" borderId="0" xfId="0" applyFill="1" applyProtection="1"/>
    <xf numFmtId="0" fontId="0" fillId="7" borderId="22" xfId="0" applyFill="1" applyBorder="1" applyProtection="1"/>
    <xf numFmtId="0" fontId="3" fillId="7" borderId="33" xfId="0" applyFont="1" applyFill="1" applyBorder="1" applyAlignment="1" applyProtection="1">
      <alignment horizontal="left" vertical="center" wrapText="1"/>
    </xf>
    <xf numFmtId="0" fontId="3" fillId="7" borderId="0" xfId="0" applyFont="1" applyFill="1" applyBorder="1" applyAlignment="1" applyProtection="1">
      <alignment horizontal="left" vertical="center" wrapText="1"/>
    </xf>
    <xf numFmtId="0" fontId="3" fillId="7" borderId="22" xfId="0" applyFont="1" applyFill="1" applyBorder="1" applyAlignment="1" applyProtection="1">
      <alignment horizontal="left" vertical="center" wrapText="1"/>
    </xf>
    <xf numFmtId="0" fontId="3" fillId="11" borderId="8" xfId="1" applyFont="1" applyFill="1" applyBorder="1" applyAlignment="1" applyProtection="1">
      <alignment horizontal="center" vertical="center" wrapText="1"/>
    </xf>
    <xf numFmtId="0" fontId="0" fillId="0" borderId="33" xfId="0" applyBorder="1" applyProtection="1"/>
    <xf numFmtId="0" fontId="6" fillId="13" borderId="31" xfId="0" applyFont="1" applyFill="1" applyBorder="1" applyAlignment="1" applyProtection="1">
      <alignment horizontal="center" vertical="center" wrapText="1"/>
    </xf>
    <xf numFmtId="0" fontId="6" fillId="7" borderId="33" xfId="0" applyFont="1" applyFill="1" applyBorder="1" applyAlignment="1" applyProtection="1">
      <alignment horizontal="center" vertical="center" wrapText="1"/>
    </xf>
    <xf numFmtId="0" fontId="6" fillId="13" borderId="36" xfId="0" applyFont="1" applyFill="1" applyBorder="1" applyAlignment="1" applyProtection="1">
      <alignment horizontal="center" vertical="center" wrapText="1"/>
    </xf>
    <xf numFmtId="0" fontId="6" fillId="13" borderId="37" xfId="0" applyFont="1" applyFill="1" applyBorder="1" applyAlignment="1">
      <alignment horizontal="center" vertical="center" wrapText="1"/>
    </xf>
    <xf numFmtId="49" fontId="3" fillId="11" borderId="38" xfId="1" applyNumberFormat="1" applyFont="1" applyFill="1" applyBorder="1" applyAlignment="1" applyProtection="1">
      <alignment horizontal="center" vertical="center" wrapText="1"/>
    </xf>
    <xf numFmtId="49" fontId="3" fillId="11" borderId="5" xfId="1" applyNumberFormat="1" applyFont="1" applyFill="1" applyBorder="1" applyAlignment="1" applyProtection="1">
      <alignment horizontal="center" vertical="center" wrapText="1"/>
    </xf>
    <xf numFmtId="0" fontId="6" fillId="7" borderId="0" xfId="0" applyFont="1" applyFill="1" applyBorder="1" applyAlignment="1" applyProtection="1">
      <alignment horizontal="center" vertical="center" wrapText="1"/>
    </xf>
    <xf numFmtId="0" fontId="6" fillId="13" borderId="37" xfId="0" applyFont="1" applyFill="1" applyBorder="1" applyAlignment="1" applyProtection="1">
      <alignment horizontal="center" vertical="center" wrapText="1"/>
    </xf>
    <xf numFmtId="0" fontId="6" fillId="7" borderId="22" xfId="0" applyFont="1" applyFill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center" wrapText="1"/>
    </xf>
    <xf numFmtId="0" fontId="2" fillId="14" borderId="40" xfId="0" applyFont="1" applyFill="1" applyBorder="1" applyAlignment="1" applyProtection="1">
      <alignment horizontal="center" vertical="center" wrapText="1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2" fillId="7" borderId="0" xfId="0" applyFont="1" applyFill="1" applyBorder="1" applyAlignment="1" applyProtection="1">
      <alignment horizontal="center" vertical="center" wrapText="1"/>
    </xf>
    <xf numFmtId="0" fontId="2" fillId="0" borderId="42" xfId="0" applyFont="1" applyFill="1" applyBorder="1" applyAlignment="1" applyProtection="1">
      <alignment horizontal="center" vertical="center" wrapText="1"/>
    </xf>
    <xf numFmtId="0" fontId="2" fillId="7" borderId="22" xfId="0" applyFont="1" applyFill="1" applyBorder="1" applyAlignment="1" applyProtection="1">
      <alignment horizontal="center" vertical="center" wrapText="1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left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2" fillId="14" borderId="10" xfId="0" applyFont="1" applyFill="1" applyBorder="1" applyAlignment="1" applyProtection="1">
      <alignment horizontal="center" vertical="center" wrapText="1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left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</xf>
    <xf numFmtId="0" fontId="0" fillId="6" borderId="0" xfId="0" applyFill="1" applyAlignment="1" applyProtection="1">
      <alignment horizontal="left" vertical="center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20" fillId="7" borderId="32" xfId="0" applyFont="1" applyFill="1" applyBorder="1" applyProtection="1"/>
    <xf numFmtId="0" fontId="20" fillId="7" borderId="0" xfId="0" applyFont="1" applyFill="1" applyProtection="1"/>
    <xf numFmtId="49" fontId="3" fillId="11" borderId="7" xfId="1" applyNumberFormat="1" applyFont="1" applyFill="1" applyBorder="1" applyAlignment="1" applyProtection="1">
      <alignment horizontal="center" vertical="center" wrapText="1"/>
    </xf>
    <xf numFmtId="176" fontId="9" fillId="0" borderId="30" xfId="2" applyNumberFormat="1" applyFill="1" applyBorder="1" applyAlignment="1">
      <alignment horizontal="center" vertical="center" wrapText="1"/>
    </xf>
    <xf numFmtId="0" fontId="12" fillId="11" borderId="12" xfId="1" applyFont="1" applyFill="1" applyBorder="1" applyAlignment="1" applyProtection="1">
      <alignment horizontal="center" vertical="center" wrapText="1"/>
    </xf>
    <xf numFmtId="0" fontId="22" fillId="0" borderId="9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15" borderId="9" xfId="0" applyFont="1" applyFill="1" applyBorder="1" applyAlignment="1">
      <alignment horizontal="center" vertical="center"/>
    </xf>
    <xf numFmtId="0" fontId="22" fillId="16" borderId="9" xfId="0" applyFont="1" applyFill="1" applyBorder="1" applyAlignment="1">
      <alignment horizontal="center" vertical="center"/>
    </xf>
    <xf numFmtId="0" fontId="0" fillId="0" borderId="10" xfId="0" applyNumberFormat="1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3" fillId="5" borderId="9" xfId="1" applyFill="1" applyBorder="1" applyAlignment="1">
      <alignment vertical="center" wrapText="1"/>
    </xf>
    <xf numFmtId="0" fontId="26" fillId="5" borderId="9" xfId="1" applyFont="1" applyFill="1" applyBorder="1" applyAlignment="1">
      <alignment horizontal="center" vertical="center" wrapText="1"/>
    </xf>
    <xf numFmtId="0" fontId="0" fillId="0" borderId="46" xfId="0" applyBorder="1" applyAlignment="1" applyProtection="1">
      <alignment horizontal="center" vertical="center"/>
      <protection locked="0"/>
    </xf>
    <xf numFmtId="0" fontId="3" fillId="5" borderId="46" xfId="1" applyFill="1" applyBorder="1" applyAlignment="1">
      <alignment vertical="center" wrapText="1"/>
    </xf>
    <xf numFmtId="0" fontId="23" fillId="19" borderId="26" xfId="1" applyFont="1" applyFill="1" applyBorder="1" applyAlignment="1">
      <alignment horizontal="center" wrapText="1"/>
    </xf>
    <xf numFmtId="0" fontId="23" fillId="19" borderId="28" xfId="1" applyFont="1" applyFill="1" applyBorder="1" applyAlignment="1">
      <alignment horizontal="center" wrapText="1"/>
    </xf>
    <xf numFmtId="0" fontId="12" fillId="3" borderId="8" xfId="1" applyFont="1" applyFill="1" applyBorder="1" applyAlignment="1" applyProtection="1">
      <alignment horizontal="center" vertical="center" wrapText="1"/>
    </xf>
    <xf numFmtId="0" fontId="13" fillId="3" borderId="10" xfId="1" applyFont="1" applyFill="1" applyBorder="1" applyAlignment="1" applyProtection="1">
      <alignment horizontal="center" vertical="center" wrapText="1"/>
    </xf>
    <xf numFmtId="0" fontId="12" fillId="20" borderId="26" xfId="1" applyFont="1" applyFill="1" applyBorder="1" applyAlignment="1">
      <alignment horizontal="center" vertical="center" wrapText="1"/>
    </xf>
    <xf numFmtId="0" fontId="12" fillId="20" borderId="28" xfId="1" applyFont="1" applyFill="1" applyBorder="1" applyAlignment="1">
      <alignment horizontal="center" vertical="center" wrapText="1"/>
    </xf>
    <xf numFmtId="0" fontId="23" fillId="18" borderId="26" xfId="1" applyFont="1" applyFill="1" applyBorder="1" applyAlignment="1">
      <alignment horizontal="center" vertical="center" wrapText="1"/>
    </xf>
    <xf numFmtId="0" fontId="23" fillId="18" borderId="28" xfId="1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12" fillId="8" borderId="28" xfId="1" applyFont="1" applyFill="1" applyBorder="1" applyAlignment="1">
      <alignment horizontal="center" vertical="center" wrapText="1"/>
    </xf>
    <xf numFmtId="0" fontId="6" fillId="13" borderId="45" xfId="0" applyFont="1" applyFill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/>
    </xf>
    <xf numFmtId="0" fontId="2" fillId="14" borderId="40" xfId="0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vertical="center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/>
    </xf>
    <xf numFmtId="0" fontId="18" fillId="0" borderId="9" xfId="0" applyNumberFormat="1" applyFont="1" applyFill="1" applyBorder="1" applyAlignment="1">
      <alignment horizontal="center" vertical="center" wrapText="1"/>
    </xf>
    <xf numFmtId="0" fontId="18" fillId="0" borderId="9" xfId="0" applyNumberFormat="1" applyFont="1" applyFill="1" applyBorder="1" applyAlignment="1">
      <alignment horizontal="center" vertical="center"/>
    </xf>
    <xf numFmtId="0" fontId="18" fillId="0" borderId="9" xfId="0" quotePrefix="1" applyNumberFormat="1" applyFont="1" applyFill="1" applyBorder="1" applyAlignment="1">
      <alignment horizontal="center" vertical="center"/>
    </xf>
    <xf numFmtId="0" fontId="18" fillId="0" borderId="10" xfId="0" applyNumberFormat="1" applyFont="1" applyFill="1" applyBorder="1" applyAlignment="1">
      <alignment horizontal="center" vertical="center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/>
    </xf>
    <xf numFmtId="0" fontId="18" fillId="0" borderId="13" xfId="1" applyNumberFormat="1" applyFont="1" applyFill="1" applyBorder="1" applyAlignment="1">
      <alignment horizontal="center" vertical="center" wrapText="1"/>
    </xf>
    <xf numFmtId="0" fontId="18" fillId="0" borderId="14" xfId="1" applyNumberFormat="1" applyFont="1" applyFill="1" applyBorder="1" applyAlignment="1">
      <alignment horizontal="center" vertical="center"/>
    </xf>
    <xf numFmtId="0" fontId="18" fillId="0" borderId="12" xfId="1" applyNumberFormat="1" applyFont="1" applyFill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0" fontId="4" fillId="0" borderId="18" xfId="1" applyNumberFormat="1" applyFont="1" applyBorder="1" applyAlignment="1">
      <alignment horizontal="center" vertical="center" wrapText="1"/>
    </xf>
    <xf numFmtId="0" fontId="4" fillId="0" borderId="19" xfId="1" applyNumberFormat="1" applyFont="1" applyBorder="1" applyAlignment="1">
      <alignment horizontal="center" vertical="center" wrapText="1"/>
    </xf>
    <xf numFmtId="0" fontId="4" fillId="0" borderId="20" xfId="1" applyNumberFormat="1" applyFont="1" applyBorder="1" applyAlignment="1">
      <alignment horizontal="center" vertical="center" wrapText="1"/>
    </xf>
    <xf numFmtId="0" fontId="5" fillId="0" borderId="21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0" fontId="5" fillId="0" borderId="22" xfId="0" applyNumberFormat="1" applyFont="1" applyBorder="1" applyAlignment="1">
      <alignment horizontal="left" vertical="center"/>
    </xf>
    <xf numFmtId="0" fontId="1" fillId="0" borderId="23" xfId="1" applyNumberFormat="1" applyFont="1" applyBorder="1" applyAlignment="1">
      <alignment horizontal="left" vertical="top" wrapText="1"/>
    </xf>
    <xf numFmtId="0" fontId="1" fillId="0" borderId="24" xfId="1" applyNumberFormat="1" applyFont="1" applyBorder="1" applyAlignment="1">
      <alignment horizontal="left" vertical="top" wrapText="1"/>
    </xf>
    <xf numFmtId="0" fontId="1" fillId="0" borderId="25" xfId="1" applyNumberFormat="1" applyFont="1" applyBorder="1" applyAlignment="1">
      <alignment horizontal="left" vertical="top" wrapText="1"/>
    </xf>
    <xf numFmtId="0" fontId="1" fillId="0" borderId="8" xfId="1" applyNumberFormat="1" applyFont="1" applyBorder="1" applyAlignment="1">
      <alignment horizontal="left" vertical="top" wrapText="1"/>
    </xf>
    <xf numFmtId="0" fontId="1" fillId="0" borderId="9" xfId="1" applyNumberFormat="1" applyFont="1" applyBorder="1" applyAlignment="1">
      <alignment horizontal="left" vertical="top" wrapText="1"/>
    </xf>
    <xf numFmtId="0" fontId="1" fillId="0" borderId="10" xfId="1" applyNumberFormat="1" applyFont="1" applyBorder="1" applyAlignment="1">
      <alignment horizontal="left" vertical="top" wrapText="1"/>
    </xf>
    <xf numFmtId="0" fontId="1" fillId="0" borderId="26" xfId="1" applyNumberFormat="1" applyFont="1" applyBorder="1" applyAlignment="1">
      <alignment horizontal="left" vertical="top" wrapText="1"/>
    </xf>
    <xf numFmtId="0" fontId="1" fillId="0" borderId="27" xfId="1" applyNumberFormat="1" applyFont="1" applyBorder="1" applyAlignment="1">
      <alignment horizontal="left" vertical="top" wrapText="1"/>
    </xf>
    <xf numFmtId="0" fontId="1" fillId="0" borderId="28" xfId="1" applyNumberFormat="1" applyFont="1" applyBorder="1" applyAlignment="1">
      <alignment horizontal="left" vertical="top" wrapText="1"/>
    </xf>
    <xf numFmtId="0" fontId="1" fillId="0" borderId="21" xfId="0" applyNumberFormat="1" applyFont="1" applyBorder="1" applyAlignment="1">
      <alignment horizontal="justify" vertical="center" wrapText="1"/>
    </xf>
    <xf numFmtId="0" fontId="1" fillId="0" borderId="0" xfId="0" applyNumberFormat="1" applyFont="1" applyBorder="1" applyAlignment="1">
      <alignment horizontal="justify" vertical="center" wrapText="1"/>
    </xf>
    <xf numFmtId="0" fontId="1" fillId="0" borderId="22" xfId="0" applyNumberFormat="1" applyFont="1" applyBorder="1" applyAlignment="1">
      <alignment horizontal="justify" vertical="center" wrapText="1"/>
    </xf>
    <xf numFmtId="0" fontId="1" fillId="0" borderId="23" xfId="0" applyNumberFormat="1" applyFont="1" applyBorder="1" applyAlignment="1">
      <alignment horizontal="center" vertical="center" wrapText="1"/>
    </xf>
    <xf numFmtId="0" fontId="1" fillId="0" borderId="24" xfId="0" applyNumberFormat="1" applyFont="1" applyBorder="1" applyAlignment="1">
      <alignment horizontal="center" vertical="center" wrapText="1"/>
    </xf>
    <xf numFmtId="0" fontId="1" fillId="0" borderId="25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27" xfId="0" applyNumberFormat="1" applyFont="1" applyBorder="1" applyAlignment="1">
      <alignment horizontal="center" vertical="center" wrapText="1"/>
    </xf>
    <xf numFmtId="0" fontId="1" fillId="0" borderId="28" xfId="0" applyNumberFormat="1" applyFont="1" applyBorder="1" applyAlignment="1">
      <alignment horizontal="center" vertical="center" wrapText="1"/>
    </xf>
    <xf numFmtId="0" fontId="6" fillId="0" borderId="21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7" fillId="4" borderId="19" xfId="0" applyNumberFormat="1" applyFont="1" applyFill="1" applyBorder="1" applyAlignment="1">
      <alignment horizontal="center" vertical="center"/>
    </xf>
    <xf numFmtId="0" fontId="1" fillId="4" borderId="19" xfId="0" applyNumberFormat="1" applyFont="1" applyFill="1" applyBorder="1" applyAlignment="1">
      <alignment horizontal="center" vertical="center"/>
    </xf>
    <xf numFmtId="0" fontId="1" fillId="4" borderId="20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2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>
      <alignment horizontal="center" vertical="center"/>
    </xf>
    <xf numFmtId="0" fontId="11" fillId="0" borderId="31" xfId="0" applyFont="1" applyBorder="1" applyAlignment="1" applyProtection="1">
      <alignment horizontal="center" vertical="center" wrapText="1"/>
    </xf>
    <xf numFmtId="0" fontId="10" fillId="8" borderId="1" xfId="0" applyFont="1" applyFill="1" applyBorder="1" applyAlignment="1" applyProtection="1">
      <alignment horizontal="center" vertical="center" wrapText="1"/>
    </xf>
    <xf numFmtId="0" fontId="10" fillId="8" borderId="3" xfId="0" applyFont="1" applyFill="1" applyBorder="1" applyAlignment="1" applyProtection="1">
      <alignment horizontal="center" vertical="center" wrapText="1"/>
    </xf>
    <xf numFmtId="0" fontId="10" fillId="8" borderId="21" xfId="0" applyFont="1" applyFill="1" applyBorder="1" applyAlignment="1" applyProtection="1">
      <alignment horizontal="center" vertical="center" wrapText="1"/>
    </xf>
    <xf numFmtId="0" fontId="10" fillId="8" borderId="22" xfId="0" applyFont="1" applyFill="1" applyBorder="1" applyAlignment="1" applyProtection="1">
      <alignment horizontal="center" vertical="center" wrapText="1"/>
    </xf>
    <xf numFmtId="0" fontId="10" fillId="8" borderId="18" xfId="0" applyFont="1" applyFill="1" applyBorder="1" applyAlignment="1" applyProtection="1">
      <alignment horizontal="center" vertical="center" wrapText="1"/>
    </xf>
    <xf numFmtId="0" fontId="10" fillId="8" borderId="20" xfId="0" applyFont="1" applyFill="1" applyBorder="1" applyAlignment="1" applyProtection="1">
      <alignment horizontal="center" vertical="center" wrapText="1"/>
    </xf>
    <xf numFmtId="0" fontId="12" fillId="9" borderId="1" xfId="1" applyFont="1" applyFill="1" applyBorder="1" applyAlignment="1" applyProtection="1">
      <alignment horizontal="center" vertical="center" wrapText="1"/>
    </xf>
    <xf numFmtId="0" fontId="12" fillId="9" borderId="2" xfId="1" applyFont="1" applyFill="1" applyBorder="1" applyAlignment="1" applyProtection="1">
      <alignment horizontal="center" vertical="center" wrapText="1"/>
    </xf>
    <xf numFmtId="0" fontId="12" fillId="9" borderId="34" xfId="1" applyFont="1" applyFill="1" applyBorder="1" applyAlignment="1" applyProtection="1">
      <alignment horizontal="center" vertical="center" wrapText="1"/>
    </xf>
    <xf numFmtId="0" fontId="12" fillId="9" borderId="35" xfId="1" applyFont="1" applyFill="1" applyBorder="1" applyAlignment="1" applyProtection="1">
      <alignment horizontal="center" vertical="center" wrapText="1"/>
    </xf>
    <xf numFmtId="0" fontId="10" fillId="10" borderId="1" xfId="0" applyFont="1" applyFill="1" applyBorder="1" applyAlignment="1" applyProtection="1">
      <alignment horizontal="center" vertical="center" wrapText="1"/>
    </xf>
    <xf numFmtId="0" fontId="10" fillId="10" borderId="3" xfId="0" applyFont="1" applyFill="1" applyBorder="1" applyAlignment="1" applyProtection="1">
      <alignment horizontal="center" vertical="center" wrapText="1"/>
    </xf>
    <xf numFmtId="0" fontId="10" fillId="10" borderId="21" xfId="0" applyFont="1" applyFill="1" applyBorder="1" applyAlignment="1" applyProtection="1">
      <alignment horizontal="center" vertical="center" wrapText="1"/>
    </xf>
    <xf numFmtId="0" fontId="10" fillId="10" borderId="22" xfId="0" applyFont="1" applyFill="1" applyBorder="1" applyAlignment="1" applyProtection="1">
      <alignment horizontal="center" vertical="center" wrapText="1"/>
    </xf>
    <xf numFmtId="0" fontId="10" fillId="10" borderId="18" xfId="0" applyFont="1" applyFill="1" applyBorder="1" applyAlignment="1" applyProtection="1">
      <alignment horizontal="center" vertical="center" wrapText="1"/>
    </xf>
    <xf numFmtId="0" fontId="10" fillId="10" borderId="20" xfId="0" applyFont="1" applyFill="1" applyBorder="1" applyAlignment="1" applyProtection="1">
      <alignment horizontal="center" vertical="center" wrapText="1"/>
    </xf>
    <xf numFmtId="0" fontId="11" fillId="0" borderId="32" xfId="0" applyFont="1" applyBorder="1" applyAlignment="1" applyProtection="1">
      <alignment horizontal="center" vertical="center" wrapText="1"/>
    </xf>
    <xf numFmtId="0" fontId="12" fillId="11" borderId="23" xfId="1" applyFont="1" applyFill="1" applyBorder="1" applyAlignment="1" applyProtection="1">
      <alignment horizontal="center" vertical="center" wrapText="1"/>
    </xf>
    <xf numFmtId="0" fontId="12" fillId="11" borderId="25" xfId="1" applyFont="1" applyFill="1" applyBorder="1" applyAlignment="1" applyProtection="1">
      <alignment horizontal="center" vertical="center" wrapText="1"/>
    </xf>
    <xf numFmtId="0" fontId="12" fillId="11" borderId="12" xfId="1" applyFont="1" applyFill="1" applyBorder="1" applyAlignment="1" applyProtection="1">
      <alignment horizontal="center" vertical="center" wrapText="1"/>
    </xf>
    <xf numFmtId="0" fontId="12" fillId="11" borderId="10" xfId="1" applyFont="1" applyFill="1" applyBorder="1" applyAlignment="1" applyProtection="1">
      <alignment horizontal="center" vertical="center" wrapText="1"/>
    </xf>
    <xf numFmtId="0" fontId="14" fillId="12" borderId="18" xfId="0" applyFont="1" applyFill="1" applyBorder="1" applyAlignment="1" applyProtection="1">
      <alignment horizontal="center" vertical="center" wrapText="1"/>
    </xf>
    <xf numFmtId="0" fontId="14" fillId="12" borderId="20" xfId="0" applyFont="1" applyFill="1" applyBorder="1" applyAlignment="1" applyProtection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2" fillId="12" borderId="1" xfId="0" applyFont="1" applyFill="1" applyBorder="1" applyAlignment="1" applyProtection="1">
      <alignment horizontal="center" vertical="center" wrapText="1"/>
    </xf>
    <xf numFmtId="0" fontId="10" fillId="12" borderId="3" xfId="0" applyFont="1" applyFill="1" applyBorder="1" applyAlignment="1" applyProtection="1">
      <alignment horizontal="center" vertical="center" wrapText="1"/>
    </xf>
    <xf numFmtId="0" fontId="12" fillId="3" borderId="8" xfId="1" applyFont="1" applyFill="1" applyBorder="1" applyAlignment="1" applyProtection="1">
      <alignment horizontal="center" vertical="center" wrapText="1"/>
    </xf>
    <xf numFmtId="0" fontId="13" fillId="3" borderId="10" xfId="1" applyFont="1" applyFill="1" applyBorder="1" applyAlignment="1" applyProtection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23" fillId="17" borderId="36" xfId="1" applyFont="1" applyFill="1" applyBorder="1" applyAlignment="1">
      <alignment horizontal="center" vertical="center" wrapText="1"/>
    </xf>
    <xf numFmtId="0" fontId="23" fillId="17" borderId="47" xfId="1" applyFont="1" applyFill="1" applyBorder="1" applyAlignment="1">
      <alignment horizontal="center" vertical="center" wrapText="1"/>
    </xf>
    <xf numFmtId="0" fontId="23" fillId="17" borderId="37" xfId="1" applyFont="1" applyFill="1" applyBorder="1" applyAlignment="1">
      <alignment horizontal="center" vertical="center" wrapText="1"/>
    </xf>
    <xf numFmtId="0" fontId="23" fillId="18" borderId="36" xfId="1" applyFont="1" applyFill="1" applyBorder="1" applyAlignment="1">
      <alignment horizontal="center" vertical="center" wrapText="1"/>
    </xf>
    <xf numFmtId="0" fontId="23" fillId="18" borderId="47" xfId="1" applyFont="1" applyFill="1" applyBorder="1" applyAlignment="1">
      <alignment horizontal="center" vertical="center" wrapText="1"/>
    </xf>
    <xf numFmtId="0" fontId="23" fillId="18" borderId="37" xfId="1" applyFont="1" applyFill="1" applyBorder="1" applyAlignment="1">
      <alignment horizontal="center" vertical="center" wrapText="1"/>
    </xf>
    <xf numFmtId="0" fontId="13" fillId="3" borderId="23" xfId="1" applyFont="1" applyFill="1" applyBorder="1" applyAlignment="1" applyProtection="1">
      <alignment horizontal="center" vertical="center" wrapText="1"/>
    </xf>
    <xf numFmtId="0" fontId="12" fillId="3" borderId="25" xfId="1" applyFont="1" applyFill="1" applyBorder="1" applyAlignment="1" applyProtection="1">
      <alignment horizontal="center" vertical="center" wrapText="1"/>
    </xf>
  </cellXfs>
  <cellStyles count="3">
    <cellStyle name="Normal 2" xfId="1"/>
    <cellStyle name="常规" xfId="0" builtinId="0"/>
    <cellStyle name="超链接" xfId="2" builtinId="8"/>
  </cellStyles>
  <dxfs count="40"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3074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customXml" Target="../customXml/item2.xml"/>
  <Relationship Id="rId11" Type="http://schemas.openxmlformats.org/officeDocument/2006/relationships/customXml" Target="../customXml/item3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  <Relationship Id="rId8" Type="http://schemas.openxmlformats.org/officeDocument/2006/relationships/calcChain" Target="calcChain.xml"/>
  <Relationship Id="rId9" Type="http://schemas.openxmlformats.org/officeDocument/2006/relationships/customXml" Target="../customXml/item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0</xdr:rowOff>
    </xdr:from>
    <xdr:to>
      <xdr:col>7</xdr:col>
      <xdr:colOff>134003</xdr:colOff>
      <xdr:row>0</xdr:row>
      <xdr:rowOff>847843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F182D54D-C833-735A-A14F-A78B4434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0"/>
          <a:ext cx="4677428" cy="847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plm.inetpsa.com/enovia/common/emxIndentedTable.jsp?expandProgramMenu=RMTSpecTreeProgramMenu&amp;tableMenu=RMTSpecTreeTableMenu&amp;selection=multiple&amp;direction=from&amp;editLink=true&amp;sortColumnName=none&amp;toolbar=PSA_RMTSpecTreeToolbar&amp;massPromoteDemote=true&amp;editRelationship=relationship_SpecificationStructure%2Crelationship_DerivedRequirement%2Crelationship_RequirementBreakdown&amp;resequenceRelationship=relationship_SpecificationStructure%2Crelationship_DerivedRequirement%2Crelationship_RequirementBreakdown&amp;connectionProgram=emxSpecificationStructure%3AprocessXMLMessage&amp;multiColumnSort=true&amp;HelpMarker=emxhelpspecificationstructureview&amp;appendURL=PSAReqStructureEffectivityPreDefinedFilter%7CEffectivity&amp;expandByDefault=true&amp;&amp;freezePane=RMT_Title%2CRMT_Name%2CRMT_Revision%2CRMT_Status%2CRMT_HigherRev%2CRMT_State%2CRMT_Description%2CRMT_PSA_Q3PGridNb%2CRMT_Type%2CRMT_RelationshipType%2CRMT_Owner%2CPSA_Project%2CPSA_Designation_FR%2CPSA_Designation_EN%2CPSA_Decoupage%2CPSA_Reference%2CSafety%2CPSA_RXSWIN%2CPSA_RegulationNumber%2CRegulation%2CPSA_COFOR_Tracabilite%2CSupplier_Name&amp;objectId=4704.51127.24215.48541&amp;categoryTreeName=type_PSA_RequirementSpecification&amp;menu=PSA_RMTSpecStructureDisplay&amp;maxCellsToDraw=38000&amp;suiteKey=Requirements&amp;SuiteDirectory=requirements&amp;StringResourceFileId=emxRequirementsStringResource&amp;expandProgram=emxSpecificationStructure:expandTreeWithAllRequirements&amp;selectedProgram=emxSpecificationStructure:expandTreeWithAllRequirements&amp;selectedTable=PSA_RMTSpecTreeReadWriteViewSimplified&amp;editRootNode=false"/>
  <Relationship Id="rId2" Type="http://schemas.openxmlformats.org/officeDocument/2006/relationships/hyperlink" TargetMode="External" Target="http://docinfogroupe.inetpsa.com/ead/doc/ref.01991_21_01208/v.vc/fiche"/>
  <Relationship Id="rId3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3"/>
  <sheetViews>
    <sheetView workbookViewId="0">
      <selection activeCell="N20" sqref="N20"/>
    </sheetView>
  </sheetViews>
  <sheetFormatPr defaultColWidth="11.453125" defaultRowHeight="13" x14ac:dyDescent="0.25"/>
  <cols>
    <col min="1" max="9" width="12.81640625" style="1" customWidth="1"/>
    <col min="10" max="10" width="11.453125" style="1"/>
    <col min="11" max="11" width="24" style="1" customWidth="1"/>
    <col min="12" max="16384" width="11.453125" style="1"/>
  </cols>
  <sheetData>
    <row r="1" spans="1:10" ht="69" customHeight="1" x14ac:dyDescent="0.25">
      <c r="A1" s="128"/>
      <c r="B1" s="129"/>
      <c r="C1" s="129"/>
      <c r="D1" s="129"/>
      <c r="E1" s="129"/>
      <c r="F1" s="129"/>
      <c r="G1" s="129"/>
      <c r="H1" s="129"/>
      <c r="I1" s="130"/>
    </row>
    <row r="2" spans="1:10" ht="27" customHeight="1" x14ac:dyDescent="0.25">
      <c r="A2" s="131" t="s">
        <v>15</v>
      </c>
      <c r="B2" s="132"/>
      <c r="C2" s="133" t="s">
        <v>116</v>
      </c>
      <c r="D2" s="134"/>
      <c r="E2" s="134"/>
      <c r="F2" s="134"/>
      <c r="G2" s="134"/>
      <c r="H2" s="134"/>
      <c r="I2" s="135"/>
    </row>
    <row r="3" spans="1:10" ht="27" customHeight="1" x14ac:dyDescent="0.25">
      <c r="A3" s="136" t="s">
        <v>16</v>
      </c>
      <c r="B3" s="137"/>
      <c r="C3" s="138" t="s">
        <v>118</v>
      </c>
      <c r="D3" s="139"/>
      <c r="E3" s="139"/>
      <c r="F3" s="137" t="s">
        <v>18</v>
      </c>
      <c r="G3" s="137"/>
      <c r="H3" s="140" t="s">
        <v>1</v>
      </c>
      <c r="I3" s="141"/>
    </row>
    <row r="4" spans="1:10" ht="27" customHeight="1" x14ac:dyDescent="0.25">
      <c r="A4" s="142" t="s">
        <v>17</v>
      </c>
      <c r="B4" s="143"/>
      <c r="C4" s="144" t="s">
        <v>111</v>
      </c>
      <c r="D4" s="145"/>
      <c r="E4" s="146"/>
      <c r="F4" s="147"/>
      <c r="G4" s="148"/>
      <c r="H4" s="148"/>
      <c r="I4" s="149"/>
    </row>
    <row r="5" spans="1:10" ht="27" customHeight="1" x14ac:dyDescent="0.25">
      <c r="A5" s="136" t="s">
        <v>51</v>
      </c>
      <c r="B5" s="137"/>
      <c r="C5" s="138" t="s">
        <v>110</v>
      </c>
      <c r="D5" s="139"/>
      <c r="E5" s="139"/>
      <c r="F5" s="137" t="s">
        <v>52</v>
      </c>
      <c r="G5" s="137"/>
      <c r="H5" s="140"/>
      <c r="I5" s="141"/>
    </row>
    <row r="6" spans="1:10" ht="21" customHeight="1" thickBot="1" x14ac:dyDescent="0.3">
      <c r="A6" s="125"/>
      <c r="B6" s="126"/>
      <c r="C6" s="126"/>
      <c r="D6" s="126"/>
      <c r="E6" s="126"/>
      <c r="F6" s="126"/>
      <c r="G6" s="126"/>
      <c r="H6" s="126"/>
      <c r="I6" s="127"/>
    </row>
    <row r="7" spans="1:10" s="2" customFormat="1" ht="54" customHeight="1" x14ac:dyDescent="0.25">
      <c r="A7" s="150" t="s">
        <v>112</v>
      </c>
      <c r="B7" s="151"/>
      <c r="C7" s="151"/>
      <c r="D7" s="151"/>
      <c r="E7" s="151"/>
      <c r="F7" s="151"/>
      <c r="G7" s="151"/>
      <c r="H7" s="151"/>
      <c r="I7" s="152"/>
    </row>
    <row r="8" spans="1:10" ht="18.75" customHeight="1" thickBot="1" x14ac:dyDescent="0.3">
      <c r="A8" s="153"/>
      <c r="B8" s="154"/>
      <c r="C8" s="154"/>
      <c r="D8" s="154"/>
      <c r="E8" s="154"/>
      <c r="F8" s="154"/>
      <c r="G8" s="154"/>
      <c r="H8" s="154"/>
      <c r="I8" s="155"/>
    </row>
    <row r="9" spans="1:10" ht="30" customHeight="1" thickBot="1" x14ac:dyDescent="0.3">
      <c r="A9" s="156"/>
      <c r="B9" s="157"/>
      <c r="C9" s="157"/>
      <c r="D9" s="157"/>
      <c r="E9" s="157"/>
      <c r="F9" s="157"/>
      <c r="G9" s="157"/>
      <c r="H9" s="157"/>
      <c r="I9" s="158"/>
    </row>
    <row r="10" spans="1:10" ht="15" customHeight="1" x14ac:dyDescent="0.25">
      <c r="A10" s="159" t="s">
        <v>113</v>
      </c>
      <c r="B10" s="160"/>
      <c r="C10" s="160"/>
      <c r="D10" s="160"/>
      <c r="E10" s="160"/>
      <c r="F10" s="160"/>
      <c r="G10" s="160"/>
      <c r="H10" s="160"/>
      <c r="I10" s="161"/>
    </row>
    <row r="11" spans="1:10" ht="15" customHeight="1" x14ac:dyDescent="0.25">
      <c r="A11" s="162"/>
      <c r="B11" s="163"/>
      <c r="C11" s="163"/>
      <c r="D11" s="163"/>
      <c r="E11" s="163"/>
      <c r="F11" s="163"/>
      <c r="G11" s="163"/>
      <c r="H11" s="163"/>
      <c r="I11" s="164"/>
    </row>
    <row r="12" spans="1:10" ht="15" customHeight="1" x14ac:dyDescent="0.25">
      <c r="A12" s="162"/>
      <c r="B12" s="163"/>
      <c r="C12" s="163"/>
      <c r="D12" s="163"/>
      <c r="E12" s="163"/>
      <c r="F12" s="163"/>
      <c r="G12" s="163"/>
      <c r="H12" s="163"/>
      <c r="I12" s="164"/>
    </row>
    <row r="13" spans="1:10" ht="15" customHeight="1" x14ac:dyDescent="0.25">
      <c r="A13" s="162"/>
      <c r="B13" s="163"/>
      <c r="C13" s="163"/>
      <c r="D13" s="163"/>
      <c r="E13" s="163"/>
      <c r="F13" s="163"/>
      <c r="G13" s="163"/>
      <c r="H13" s="163"/>
      <c r="I13" s="164"/>
      <c r="J13" s="3" t="s">
        <v>0</v>
      </c>
    </row>
    <row r="14" spans="1:10" ht="15" customHeight="1" x14ac:dyDescent="0.25">
      <c r="A14" s="162"/>
      <c r="B14" s="163"/>
      <c r="C14" s="163"/>
      <c r="D14" s="163"/>
      <c r="E14" s="163"/>
      <c r="F14" s="163"/>
      <c r="G14" s="163"/>
      <c r="H14" s="163"/>
      <c r="I14" s="164"/>
    </row>
    <row r="15" spans="1:10" ht="15" customHeight="1" x14ac:dyDescent="0.25">
      <c r="A15" s="162"/>
      <c r="B15" s="163"/>
      <c r="C15" s="163"/>
      <c r="D15" s="163"/>
      <c r="E15" s="163"/>
      <c r="F15" s="163"/>
      <c r="G15" s="163"/>
      <c r="H15" s="163"/>
      <c r="I15" s="164"/>
    </row>
    <row r="16" spans="1:10" ht="15" customHeight="1" x14ac:dyDescent="0.25">
      <c r="A16" s="162"/>
      <c r="B16" s="163"/>
      <c r="C16" s="163"/>
      <c r="D16" s="163"/>
      <c r="E16" s="163"/>
      <c r="F16" s="163"/>
      <c r="G16" s="163"/>
      <c r="H16" s="163"/>
      <c r="I16" s="164"/>
    </row>
    <row r="17" spans="1:9" ht="15" customHeight="1" thickBot="1" x14ac:dyDescent="0.3">
      <c r="A17" s="165"/>
      <c r="B17" s="166"/>
      <c r="C17" s="166"/>
      <c r="D17" s="166"/>
      <c r="E17" s="166"/>
      <c r="F17" s="166"/>
      <c r="G17" s="166"/>
      <c r="H17" s="166"/>
      <c r="I17" s="167"/>
    </row>
    <row r="18" spans="1:9" ht="30" customHeight="1" thickBot="1" x14ac:dyDescent="0.3">
      <c r="A18" s="168"/>
      <c r="B18" s="169"/>
      <c r="C18" s="169"/>
      <c r="D18" s="169"/>
      <c r="E18" s="169"/>
      <c r="F18" s="169"/>
      <c r="G18" s="169"/>
      <c r="H18" s="169"/>
      <c r="I18" s="170"/>
    </row>
    <row r="19" spans="1:9" ht="28.15" customHeight="1" x14ac:dyDescent="0.25">
      <c r="A19" s="171" t="s">
        <v>33</v>
      </c>
      <c r="B19" s="172"/>
      <c r="C19" s="173"/>
      <c r="D19" s="171" t="s">
        <v>34</v>
      </c>
      <c r="E19" s="172"/>
      <c r="F19" s="173"/>
      <c r="G19" s="171" t="s">
        <v>34</v>
      </c>
      <c r="H19" s="172"/>
      <c r="I19" s="173"/>
    </row>
    <row r="20" spans="1:9" ht="17.25" customHeight="1" x14ac:dyDescent="0.25">
      <c r="A20" s="174" t="s">
        <v>88</v>
      </c>
      <c r="B20" s="175"/>
      <c r="C20" s="176"/>
      <c r="D20" s="174" t="s">
        <v>109</v>
      </c>
      <c r="E20" s="175"/>
      <c r="F20" s="176"/>
      <c r="G20" s="174" t="s">
        <v>103</v>
      </c>
      <c r="H20" s="175"/>
      <c r="I20" s="176"/>
    </row>
    <row r="21" spans="1:9" ht="17.25" customHeight="1" thickBot="1" x14ac:dyDescent="0.3">
      <c r="A21" s="177" t="s">
        <v>117</v>
      </c>
      <c r="B21" s="178"/>
      <c r="C21" s="179"/>
      <c r="D21" s="177" t="s">
        <v>36</v>
      </c>
      <c r="E21" s="178"/>
      <c r="F21" s="179"/>
      <c r="G21" s="177" t="s">
        <v>115</v>
      </c>
      <c r="H21" s="178"/>
      <c r="I21" s="179"/>
    </row>
    <row r="22" spans="1:9" ht="28.9" customHeight="1" x14ac:dyDescent="0.25">
      <c r="A22" s="171" t="s">
        <v>34</v>
      </c>
      <c r="B22" s="172"/>
      <c r="C22" s="173"/>
      <c r="D22" s="171" t="s">
        <v>34</v>
      </c>
      <c r="E22" s="172"/>
      <c r="F22" s="173"/>
      <c r="G22" s="171" t="s">
        <v>34</v>
      </c>
      <c r="H22" s="172"/>
      <c r="I22" s="173"/>
    </row>
    <row r="23" spans="1:9" ht="17.25" customHeight="1" x14ac:dyDescent="0.25">
      <c r="A23" s="174" t="s">
        <v>35</v>
      </c>
      <c r="B23" s="175"/>
      <c r="C23" s="176"/>
      <c r="D23" s="174" t="s">
        <v>35</v>
      </c>
      <c r="E23" s="175"/>
      <c r="F23" s="176"/>
      <c r="G23" s="174" t="s">
        <v>35</v>
      </c>
      <c r="H23" s="175"/>
      <c r="I23" s="176"/>
    </row>
    <row r="24" spans="1:9" ht="17.25" customHeight="1" thickBot="1" x14ac:dyDescent="0.3">
      <c r="A24" s="177" t="s">
        <v>36</v>
      </c>
      <c r="B24" s="178"/>
      <c r="C24" s="179"/>
      <c r="D24" s="177" t="s">
        <v>36</v>
      </c>
      <c r="E24" s="178"/>
      <c r="F24" s="179"/>
      <c r="G24" s="177" t="s">
        <v>36</v>
      </c>
      <c r="H24" s="178"/>
      <c r="I24" s="179"/>
    </row>
    <row r="25" spans="1:9" s="4" customFormat="1" ht="15.5" x14ac:dyDescent="0.25">
      <c r="A25" s="180"/>
      <c r="B25" s="181"/>
      <c r="C25" s="181"/>
      <c r="D25" s="181"/>
      <c r="E25" s="181"/>
      <c r="F25" s="181"/>
      <c r="G25" s="181"/>
      <c r="H25" s="181"/>
      <c r="I25" s="182"/>
    </row>
    <row r="26" spans="1:9" x14ac:dyDescent="0.25">
      <c r="A26" s="5"/>
      <c r="B26" s="6"/>
      <c r="C26" s="6"/>
      <c r="D26" s="6"/>
      <c r="E26" s="6"/>
      <c r="F26" s="6"/>
      <c r="G26" s="6"/>
      <c r="H26" s="6"/>
      <c r="I26" s="7"/>
    </row>
    <row r="27" spans="1:9" ht="13.5" thickBot="1" x14ac:dyDescent="0.3">
      <c r="A27" s="8"/>
      <c r="B27" s="9"/>
      <c r="C27" s="9"/>
      <c r="D27" s="9"/>
      <c r="E27" s="9"/>
      <c r="F27" s="9"/>
      <c r="G27" s="183"/>
      <c r="H27" s="184"/>
      <c r="I27" s="185"/>
    </row>
    <row r="29" spans="1:9" x14ac:dyDescent="0.3">
      <c r="C29" s="10"/>
      <c r="D29" s="10"/>
    </row>
    <row r="30" spans="1:9" x14ac:dyDescent="0.3">
      <c r="C30" s="10"/>
      <c r="D30" s="10"/>
    </row>
    <row r="31" spans="1:9" x14ac:dyDescent="0.3">
      <c r="C31" s="10"/>
      <c r="D31" s="10"/>
    </row>
    <row r="32" spans="1:9" x14ac:dyDescent="0.3">
      <c r="C32" s="10"/>
      <c r="D32" s="10"/>
    </row>
    <row r="33" spans="3:5" x14ac:dyDescent="0.3">
      <c r="C33" s="10"/>
      <c r="D33" s="10"/>
    </row>
    <row r="34" spans="3:5" x14ac:dyDescent="0.3">
      <c r="C34" s="10"/>
      <c r="D34" s="10"/>
    </row>
    <row r="35" spans="3:5" x14ac:dyDescent="0.3">
      <c r="C35" s="10"/>
      <c r="D35" s="10"/>
      <c r="E35" s="2"/>
    </row>
    <row r="36" spans="3:5" x14ac:dyDescent="0.3">
      <c r="C36" s="10"/>
      <c r="D36" s="10"/>
    </row>
    <row r="37" spans="3:5" x14ac:dyDescent="0.3">
      <c r="C37" s="10"/>
      <c r="D37" s="10"/>
    </row>
    <row r="38" spans="3:5" x14ac:dyDescent="0.3">
      <c r="C38" s="10"/>
      <c r="D38" s="10"/>
    </row>
    <row r="39" spans="3:5" x14ac:dyDescent="0.3">
      <c r="C39" s="10"/>
      <c r="D39" s="10"/>
    </row>
    <row r="40" spans="3:5" x14ac:dyDescent="0.3">
      <c r="C40" s="10"/>
      <c r="D40" s="10"/>
    </row>
    <row r="41" spans="3:5" x14ac:dyDescent="0.3">
      <c r="C41" s="10"/>
      <c r="D41" s="10"/>
    </row>
    <row r="42" spans="3:5" x14ac:dyDescent="0.3">
      <c r="C42" s="10"/>
      <c r="D42" s="10"/>
    </row>
    <row r="43" spans="3:5" x14ac:dyDescent="0.3">
      <c r="C43" s="10"/>
      <c r="D43" s="10"/>
    </row>
  </sheetData>
  <mergeCells count="39">
    <mergeCell ref="A24:C24"/>
    <mergeCell ref="D24:F24"/>
    <mergeCell ref="G24:I24"/>
    <mergeCell ref="A25:I25"/>
    <mergeCell ref="G27:I27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7:I8"/>
    <mergeCell ref="A9:I9"/>
    <mergeCell ref="A10:I17"/>
    <mergeCell ref="A18:I18"/>
    <mergeCell ref="A19:C19"/>
    <mergeCell ref="D19:F19"/>
    <mergeCell ref="G19:I19"/>
    <mergeCell ref="A6:I6"/>
    <mergeCell ref="A1:I1"/>
    <mergeCell ref="A2:B2"/>
    <mergeCell ref="C2:I2"/>
    <mergeCell ref="A3:B3"/>
    <mergeCell ref="C3:E3"/>
    <mergeCell ref="F3:G3"/>
    <mergeCell ref="H3:I3"/>
    <mergeCell ref="A4:B4"/>
    <mergeCell ref="C4:E4"/>
    <mergeCell ref="F4:I4"/>
    <mergeCell ref="A5:B5"/>
    <mergeCell ref="C5:E5"/>
    <mergeCell ref="F5:G5"/>
    <mergeCell ref="H5:I5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20"/>
  <sheetViews>
    <sheetView workbookViewId="0">
      <selection activeCell="C17" sqref="C17"/>
    </sheetView>
  </sheetViews>
  <sheetFormatPr defaultColWidth="11.453125" defaultRowHeight="13" x14ac:dyDescent="0.25"/>
  <cols>
    <col min="1" max="1" width="9.7265625" style="1" customWidth="1"/>
    <col min="2" max="2" width="10.453125" style="1" customWidth="1"/>
    <col min="3" max="3" width="62.453125" style="1" customWidth="1"/>
    <col min="4" max="4" width="14.26953125" style="1" bestFit="1" customWidth="1"/>
    <col min="5" max="5" width="11.453125" style="1"/>
    <col min="6" max="6" width="24" style="1" customWidth="1"/>
    <col min="7" max="16384" width="11.453125" style="1"/>
  </cols>
  <sheetData>
    <row r="1" spans="1:4" s="4" customFormat="1" ht="15.5" x14ac:dyDescent="0.25">
      <c r="A1" s="186" t="s">
        <v>19</v>
      </c>
      <c r="B1" s="187"/>
      <c r="C1" s="187"/>
      <c r="D1" s="188"/>
    </row>
    <row r="2" spans="1:4" x14ac:dyDescent="0.25">
      <c r="A2" s="24" t="s">
        <v>20</v>
      </c>
      <c r="B2" s="11" t="s">
        <v>21</v>
      </c>
      <c r="C2" s="12" t="s">
        <v>22</v>
      </c>
      <c r="D2" s="13" t="s">
        <v>23</v>
      </c>
    </row>
    <row r="3" spans="1:4" x14ac:dyDescent="0.25">
      <c r="A3" s="25" t="s">
        <v>1</v>
      </c>
      <c r="B3" s="15">
        <v>45989</v>
      </c>
      <c r="C3" s="16" t="s">
        <v>24</v>
      </c>
      <c r="D3" s="17" t="s">
        <v>87</v>
      </c>
    </row>
    <row r="4" spans="1:4" x14ac:dyDescent="0.25">
      <c r="A4" s="25"/>
      <c r="B4" s="15"/>
      <c r="C4" s="16"/>
      <c r="D4" s="17"/>
    </row>
    <row r="5" spans="1:4" x14ac:dyDescent="0.25">
      <c r="A5" s="25"/>
      <c r="B5" s="15"/>
      <c r="C5" s="16"/>
      <c r="D5" s="17"/>
    </row>
    <row r="6" spans="1:4" x14ac:dyDescent="0.25">
      <c r="A6" s="14"/>
      <c r="B6" s="15"/>
      <c r="C6" s="18"/>
      <c r="D6" s="17"/>
    </row>
    <row r="7" spans="1:4" x14ac:dyDescent="0.25">
      <c r="A7" s="14"/>
      <c r="B7" s="15"/>
      <c r="C7" s="16"/>
      <c r="D7" s="17"/>
    </row>
    <row r="8" spans="1:4" x14ac:dyDescent="0.25">
      <c r="A8" s="14"/>
      <c r="B8" s="15"/>
      <c r="C8" s="18"/>
      <c r="D8" s="17"/>
    </row>
    <row r="9" spans="1:4" ht="13.5" thickBot="1" x14ac:dyDescent="0.3">
      <c r="A9" s="19"/>
      <c r="B9" s="19"/>
      <c r="C9" s="19"/>
      <c r="D9" s="20"/>
    </row>
    <row r="10" spans="1:4" x14ac:dyDescent="0.3">
      <c r="C10" s="10"/>
    </row>
    <row r="11" spans="1:4" x14ac:dyDescent="0.3">
      <c r="C11" s="10"/>
    </row>
    <row r="12" spans="1:4" x14ac:dyDescent="0.3">
      <c r="C12" s="10"/>
    </row>
    <row r="13" spans="1:4" x14ac:dyDescent="0.3">
      <c r="C13" s="10"/>
    </row>
    <row r="14" spans="1:4" x14ac:dyDescent="0.3">
      <c r="C14" s="10"/>
    </row>
    <row r="15" spans="1:4" x14ac:dyDescent="0.3">
      <c r="C15" s="10"/>
    </row>
    <row r="16" spans="1:4" x14ac:dyDescent="0.3">
      <c r="C16" s="10"/>
    </row>
    <row r="17" spans="3:3" x14ac:dyDescent="0.3">
      <c r="C17" s="10"/>
    </row>
    <row r="18" spans="3:3" x14ac:dyDescent="0.3">
      <c r="C18" s="10"/>
    </row>
    <row r="19" spans="3:3" x14ac:dyDescent="0.3">
      <c r="C19" s="10"/>
    </row>
    <row r="20" spans="3:3" x14ac:dyDescent="0.3">
      <c r="C20" s="10"/>
    </row>
  </sheetData>
  <mergeCells count="1">
    <mergeCell ref="A1:D1"/>
  </mergeCells>
  <phoneticPr fontId="2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Y20"/>
  <sheetViews>
    <sheetView zoomScale="90" zoomScaleNormal="90" workbookViewId="0">
      <selection activeCell="D5" sqref="D5"/>
    </sheetView>
  </sheetViews>
  <sheetFormatPr defaultColWidth="11.54296875" defaultRowHeight="14" x14ac:dyDescent="0.25"/>
  <cols>
    <col min="1" max="1" width="13.54296875" style="30" customWidth="1"/>
    <col min="2" max="2" width="79" style="30" customWidth="1"/>
    <col min="3" max="3" width="31" style="30" customWidth="1"/>
    <col min="4" max="4" width="17.1796875" style="30" customWidth="1"/>
    <col min="5" max="5" width="18" style="41" customWidth="1"/>
    <col min="6" max="6" width="11.54296875" style="41"/>
    <col min="7" max="7" width="11.54296875" style="30"/>
    <col min="8" max="25" width="11.54296875" style="29"/>
    <col min="26" max="16384" width="11.54296875" style="30"/>
  </cols>
  <sheetData>
    <row r="1" spans="1:25" x14ac:dyDescent="0.25">
      <c r="A1" s="26"/>
      <c r="B1" s="27"/>
      <c r="C1" s="27"/>
      <c r="D1" s="27"/>
      <c r="E1" s="39"/>
      <c r="F1" s="39"/>
      <c r="G1" s="28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15.5" x14ac:dyDescent="0.25">
      <c r="A2" s="189" t="s">
        <v>26</v>
      </c>
      <c r="B2" s="190"/>
      <c r="C2" s="190"/>
      <c r="D2" s="190"/>
      <c r="E2" s="190"/>
      <c r="F2" s="190"/>
      <c r="G2" s="191"/>
      <c r="H2" s="21"/>
      <c r="I2" s="21"/>
      <c r="J2" s="21"/>
      <c r="K2" s="21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5" ht="14.5" thickBot="1" x14ac:dyDescent="0.3">
      <c r="A3" s="31"/>
      <c r="B3" s="32"/>
      <c r="C3" s="32"/>
      <c r="D3" s="32"/>
      <c r="E3" s="40"/>
      <c r="F3" s="40"/>
      <c r="G3" s="33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spans="1:25" ht="31.5" thickBot="1" x14ac:dyDescent="0.3">
      <c r="A4" s="22"/>
      <c r="B4" s="23" t="s">
        <v>25</v>
      </c>
      <c r="C4" s="23" t="s">
        <v>47</v>
      </c>
      <c r="D4" s="23" t="s">
        <v>48</v>
      </c>
      <c r="E4" s="23" t="s">
        <v>49</v>
      </c>
      <c r="F4" s="23" t="s">
        <v>50</v>
      </c>
      <c r="G4" s="33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1:25" ht="33.75" customHeight="1" thickBot="1" x14ac:dyDescent="0.3">
      <c r="A5" s="120" t="s">
        <v>84</v>
      </c>
      <c r="B5" s="121" t="s">
        <v>89</v>
      </c>
      <c r="C5" s="122" t="s">
        <v>85</v>
      </c>
      <c r="D5" s="94" t="s">
        <v>5</v>
      </c>
      <c r="E5" s="122" t="s">
        <v>86</v>
      </c>
      <c r="F5" s="94" t="s">
        <v>5</v>
      </c>
      <c r="G5" s="33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 ht="31.5" customHeight="1" x14ac:dyDescent="0.25">
      <c r="A6" s="189" t="s">
        <v>28</v>
      </c>
      <c r="B6" s="190"/>
      <c r="C6" s="190"/>
      <c r="D6" s="190"/>
      <c r="E6" s="190"/>
      <c r="F6" s="190"/>
      <c r="G6" s="191"/>
      <c r="H6" s="21"/>
      <c r="I6" s="21"/>
      <c r="J6" s="21"/>
      <c r="K6" s="21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5" ht="14.5" thickBot="1" x14ac:dyDescent="0.3">
      <c r="A7" s="31"/>
      <c r="B7" s="32"/>
      <c r="C7" s="32"/>
      <c r="D7" s="32"/>
      <c r="E7" s="32"/>
      <c r="F7" s="32"/>
      <c r="G7" s="33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spans="1:25" ht="16" thickBot="1" x14ac:dyDescent="0.3">
      <c r="A8" s="22"/>
      <c r="B8" s="23" t="s">
        <v>25</v>
      </c>
      <c r="C8" s="23" t="s">
        <v>27</v>
      </c>
      <c r="D8" s="23" t="s">
        <v>14</v>
      </c>
      <c r="E8" s="32"/>
      <c r="F8" s="32"/>
      <c r="G8" s="33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spans="1:25" x14ac:dyDescent="0.25">
      <c r="A9" s="31"/>
      <c r="B9" s="32"/>
      <c r="C9" s="32"/>
      <c r="D9" s="32"/>
      <c r="E9" s="32"/>
      <c r="F9" s="32"/>
      <c r="G9" s="33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spans="1:25" x14ac:dyDescent="0.25">
      <c r="A10" s="31"/>
      <c r="B10" s="34"/>
      <c r="C10" s="32"/>
      <c r="D10" s="32"/>
      <c r="E10" s="32"/>
      <c r="F10" s="32"/>
      <c r="G10" s="33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5" ht="14.5" thickBot="1" x14ac:dyDescent="0.3">
      <c r="A11" s="35"/>
      <c r="B11" s="36"/>
      <c r="C11" s="36"/>
      <c r="D11" s="36"/>
      <c r="E11" s="36"/>
      <c r="F11" s="36"/>
      <c r="G11" s="37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20" ht="33.75" customHeight="1" x14ac:dyDescent="0.25"/>
  </sheetData>
  <mergeCells count="2">
    <mergeCell ref="A2:G2"/>
    <mergeCell ref="A6:G6"/>
  </mergeCells>
  <phoneticPr fontId="27" type="noConversion"/>
  <hyperlinks>
    <hyperlink ref="D5" r:id="rId1"/>
    <hyperlink ref="F5" r:id="rId2" display="V1"/>
  </hyperlinks>
  <pageMargins left="0.7" right="0.7" top="0.75" bottom="0.75" header="0.3" footer="0.3"/>
  <pageSetup orientation="portrait" horizontalDpi="200" verticalDpi="200" copies="0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U25"/>
  <sheetViews>
    <sheetView tabSelected="1" zoomScale="85" zoomScaleNormal="85" workbookViewId="0">
      <selection activeCell="G40" sqref="G40"/>
    </sheetView>
  </sheetViews>
  <sheetFormatPr defaultColWidth="11.54296875" defaultRowHeight="14" outlineLevelCol="1" x14ac:dyDescent="0.25"/>
  <cols>
    <col min="1" max="1" width="67.7265625" style="43" customWidth="1"/>
    <col min="2" max="2" width="3.26953125" style="43" customWidth="1"/>
    <col min="3" max="3" width="30.81640625" style="43" customWidth="1"/>
    <col min="4" max="4" width="18.7265625" style="43" customWidth="1"/>
    <col min="5" max="5" width="21" style="87" customWidth="1" outlineLevel="1"/>
    <col min="6" max="6" width="28.81640625" style="88" customWidth="1" outlineLevel="1"/>
    <col min="7" max="7" width="21" style="87" customWidth="1" outlineLevel="1"/>
    <col min="8" max="8" width="28.81640625" style="88" customWidth="1" outlineLevel="1"/>
    <col min="9" max="9" width="3.26953125" style="43" customWidth="1"/>
    <col min="10" max="10" width="30.81640625" style="43" customWidth="1"/>
    <col min="11" max="11" width="18.7265625" style="43" customWidth="1"/>
    <col min="12" max="12" width="24.54296875" style="43" hidden="1" customWidth="1" outlineLevel="1"/>
    <col min="13" max="13" width="29" style="43" hidden="1" customWidth="1" outlineLevel="1"/>
    <col min="14" max="14" width="21" style="87" hidden="1" customWidth="1" outlineLevel="1"/>
    <col min="15" max="15" width="28.81640625" style="88" hidden="1" customWidth="1" outlineLevel="1"/>
    <col min="16" max="16" width="21" style="87" hidden="1" customWidth="1" outlineLevel="1"/>
    <col min="17" max="17" width="28.81640625" style="88" hidden="1" customWidth="1" outlineLevel="1"/>
    <col min="18" max="18" width="3.26953125" style="43" customWidth="1" collapsed="1"/>
    <col min="19" max="19" width="30.81640625" style="43" customWidth="1"/>
    <col min="20" max="20" width="18.7265625" style="43" customWidth="1"/>
    <col min="21" max="21" width="24.54296875" style="43" hidden="1" customWidth="1" outlineLevel="1"/>
    <col min="22" max="22" width="29" style="43" hidden="1" customWidth="1" outlineLevel="1"/>
    <col min="23" max="23" width="21" style="87" hidden="1" customWidth="1" outlineLevel="1"/>
    <col min="24" max="24" width="28.81640625" style="88" hidden="1" customWidth="1" outlineLevel="1"/>
    <col min="25" max="25" width="21" style="87" hidden="1" customWidth="1" outlineLevel="1"/>
    <col min="26" max="26" width="28.81640625" style="88" hidden="1" customWidth="1" outlineLevel="1"/>
    <col min="27" max="27" width="3.26953125" style="43" customWidth="1" collapsed="1"/>
    <col min="28" max="28" width="14.26953125" hidden="1" customWidth="1" outlineLevel="1"/>
    <col min="29" max="29" width="36.453125" hidden="1" customWidth="1" outlineLevel="1"/>
    <col min="30" max="30" width="14.26953125" hidden="1" customWidth="1" outlineLevel="1"/>
    <col min="31" max="31" width="36.453125" hidden="1" customWidth="1" outlineLevel="1"/>
    <col min="32" max="32" width="14.26953125" hidden="1" customWidth="1" outlineLevel="1"/>
    <col min="33" max="33" width="36.453125" hidden="1" customWidth="1" outlineLevel="1"/>
    <col min="34" max="34" width="14.26953125" hidden="1" customWidth="1" outlineLevel="1"/>
    <col min="35" max="35" width="36.453125" hidden="1" customWidth="1" outlineLevel="1"/>
    <col min="36" max="36" width="3.26953125" style="43" customWidth="1" collapsed="1"/>
    <col min="37" max="37" width="30.7265625" style="43" customWidth="1"/>
    <col min="38" max="38" width="18.7265625" style="43" customWidth="1"/>
    <col min="39" max="39" width="24.54296875" style="43" hidden="1" customWidth="1" outlineLevel="1"/>
    <col min="40" max="40" width="29" style="43" hidden="1" customWidth="1" outlineLevel="1"/>
    <col min="41" max="41" width="21" style="87" hidden="1" customWidth="1" outlineLevel="1"/>
    <col min="42" max="42" width="28.81640625" style="88" hidden="1" customWidth="1" outlineLevel="1"/>
    <col min="43" max="43" width="21" style="87" hidden="1" customWidth="1" outlineLevel="1"/>
    <col min="44" max="44" width="28.81640625" style="88" hidden="1" customWidth="1" outlineLevel="1"/>
    <col min="45" max="45" width="3.26953125" style="43" customWidth="1" collapsed="1"/>
    <col min="46" max="46" width="30.7265625" style="43" customWidth="1"/>
    <col min="47" max="47" width="18.7265625" style="43" customWidth="1"/>
    <col min="48" max="48" width="24.54296875" style="43" hidden="1" customWidth="1" outlineLevel="1"/>
    <col min="49" max="49" width="29" style="43" hidden="1" customWidth="1" outlineLevel="1"/>
    <col min="50" max="50" width="21" style="87" hidden="1" customWidth="1" outlineLevel="1"/>
    <col min="51" max="51" width="28.81640625" style="88" hidden="1" customWidth="1" outlineLevel="1"/>
    <col min="52" max="52" width="21" style="87" hidden="1" customWidth="1" outlineLevel="1"/>
    <col min="53" max="53" width="28.81640625" style="88" hidden="1" customWidth="1" outlineLevel="1"/>
    <col min="54" max="54" width="3.26953125" style="43" customWidth="1" collapsed="1"/>
    <col min="55" max="55" width="30.7265625" style="43" customWidth="1"/>
    <col min="56" max="56" width="18.7265625" style="43" customWidth="1"/>
    <col min="57" max="57" width="24.54296875" style="43" hidden="1" customWidth="1" outlineLevel="1"/>
    <col min="58" max="58" width="29" style="43" hidden="1" customWidth="1" outlineLevel="1"/>
    <col min="59" max="59" width="21" style="87" hidden="1" customWidth="1" outlineLevel="1"/>
    <col min="60" max="60" width="28.81640625" style="88" hidden="1" customWidth="1" outlineLevel="1"/>
    <col min="61" max="61" width="21" style="87" hidden="1" customWidth="1" outlineLevel="1"/>
    <col min="62" max="62" width="28.81640625" style="88" hidden="1" customWidth="1" outlineLevel="1"/>
    <col min="63" max="63" width="3.26953125" style="43" customWidth="1" collapsed="1"/>
    <col min="64" max="64" width="30.81640625" style="43" customWidth="1"/>
    <col min="65" max="65" width="18.7265625" style="43" customWidth="1"/>
    <col min="66" max="66" width="24.54296875" style="43" hidden="1" customWidth="1" outlineLevel="1"/>
    <col min="67" max="67" width="29" style="43" hidden="1" customWidth="1" outlineLevel="1"/>
    <col min="68" max="68" width="21" style="87" hidden="1" customWidth="1" outlineLevel="1"/>
    <col min="69" max="69" width="28.81640625" style="88" hidden="1" customWidth="1" outlineLevel="1"/>
    <col min="70" max="70" width="21" style="87" hidden="1" customWidth="1" outlineLevel="1"/>
    <col min="71" max="71" width="28.81640625" style="88" hidden="1" customWidth="1" outlineLevel="1"/>
    <col min="72" max="72" width="3.26953125" style="43" customWidth="1" collapsed="1"/>
    <col min="73" max="73" width="30.81640625" style="43" customWidth="1"/>
    <col min="74" max="74" width="18.7265625" style="43" customWidth="1"/>
    <col min="75" max="75" width="24.54296875" style="43" hidden="1" customWidth="1" outlineLevel="1"/>
    <col min="76" max="76" width="29" style="43" hidden="1" customWidth="1" outlineLevel="1"/>
    <col min="77" max="77" width="21" style="87" hidden="1" customWidth="1" outlineLevel="1"/>
    <col min="78" max="78" width="28.81640625" style="88" hidden="1" customWidth="1" outlineLevel="1"/>
    <col min="79" max="79" width="21" style="87" hidden="1" customWidth="1" outlineLevel="1"/>
    <col min="80" max="80" width="28.81640625" style="88" hidden="1" customWidth="1" outlineLevel="1"/>
    <col min="81" max="81" width="3.26953125" style="43" customWidth="1" collapsed="1"/>
    <col min="82" max="82" width="30.81640625" style="43" customWidth="1"/>
    <col min="83" max="83" width="18.7265625" style="43" customWidth="1"/>
    <col min="84" max="84" width="24.54296875" style="43" hidden="1" customWidth="1" outlineLevel="1"/>
    <col min="85" max="85" width="29" style="43" hidden="1" customWidth="1" outlineLevel="1"/>
    <col min="86" max="86" width="21" style="87" hidden="1" customWidth="1" outlineLevel="1"/>
    <col min="87" max="87" width="28.81640625" style="88" hidden="1" customWidth="1" outlineLevel="1"/>
    <col min="88" max="88" width="21" style="87" hidden="1" customWidth="1" outlineLevel="1"/>
    <col min="89" max="89" width="28.81640625" style="88" hidden="1" customWidth="1" outlineLevel="1"/>
    <col min="90" max="90" width="3.26953125" style="43" customWidth="1" collapsed="1"/>
    <col min="91" max="91" width="30.81640625" style="43" customWidth="1"/>
    <col min="92" max="92" width="18.7265625" style="43" customWidth="1"/>
    <col min="93" max="93" width="24.54296875" style="43" hidden="1" customWidth="1" outlineLevel="1"/>
    <col min="94" max="94" width="29" style="43" hidden="1" customWidth="1" outlineLevel="1"/>
    <col min="95" max="95" width="21" style="87" hidden="1" customWidth="1" outlineLevel="1"/>
    <col min="96" max="96" width="28.81640625" style="88" hidden="1" customWidth="1" outlineLevel="1"/>
    <col min="97" max="97" width="21" style="87" hidden="1" customWidth="1" outlineLevel="1"/>
    <col min="98" max="98" width="28.81640625" style="88" hidden="1" customWidth="1" outlineLevel="1"/>
    <col min="99" max="99" width="3.26953125" style="43" customWidth="1" collapsed="1"/>
    <col min="100" max="16384" width="11.54296875" style="43"/>
  </cols>
  <sheetData>
    <row r="1" spans="1:99" ht="51.75" customHeight="1" thickBot="1" x14ac:dyDescent="0.3">
      <c r="A1" s="123" t="s">
        <v>67</v>
      </c>
      <c r="B1" s="42"/>
      <c r="C1" s="209" t="s">
        <v>32</v>
      </c>
      <c r="D1" s="209"/>
      <c r="E1" s="209"/>
      <c r="F1" s="209"/>
      <c r="G1" s="209"/>
      <c r="H1" s="209"/>
      <c r="I1" s="91"/>
      <c r="J1" s="192" t="s">
        <v>32</v>
      </c>
      <c r="K1" s="192"/>
      <c r="L1" s="192"/>
      <c r="M1" s="192"/>
      <c r="N1" s="192"/>
      <c r="O1" s="192"/>
      <c r="P1" s="192"/>
      <c r="Q1" s="192"/>
      <c r="R1" s="42"/>
      <c r="S1" s="192" t="s">
        <v>32</v>
      </c>
      <c r="T1" s="192"/>
      <c r="U1" s="192"/>
      <c r="V1" s="192"/>
      <c r="W1" s="192"/>
      <c r="X1" s="192"/>
      <c r="Y1" s="192"/>
      <c r="Z1" s="192"/>
      <c r="AA1" s="42"/>
      <c r="AB1" s="223" t="s">
        <v>32</v>
      </c>
      <c r="AC1" s="223"/>
      <c r="AD1" s="223"/>
      <c r="AE1" s="223"/>
      <c r="AF1" s="223"/>
      <c r="AG1" s="223"/>
      <c r="AH1" s="223"/>
      <c r="AI1" s="223"/>
      <c r="AJ1" s="42"/>
      <c r="AK1" s="192" t="s">
        <v>32</v>
      </c>
      <c r="AL1" s="192"/>
      <c r="AM1" s="192"/>
      <c r="AN1" s="192"/>
      <c r="AO1" s="192"/>
      <c r="AP1" s="192"/>
      <c r="AQ1" s="192"/>
      <c r="AR1" s="192"/>
      <c r="AS1" s="42"/>
      <c r="AT1" s="192" t="s">
        <v>32</v>
      </c>
      <c r="AU1" s="192"/>
      <c r="AV1" s="192"/>
      <c r="AW1" s="192"/>
      <c r="AX1" s="192"/>
      <c r="AY1" s="192"/>
      <c r="AZ1" s="192"/>
      <c r="BA1" s="192"/>
      <c r="BB1" s="42"/>
      <c r="BC1" s="192" t="s">
        <v>32</v>
      </c>
      <c r="BD1" s="192"/>
      <c r="BE1" s="192"/>
      <c r="BF1" s="192"/>
      <c r="BG1" s="192"/>
      <c r="BH1" s="192"/>
      <c r="BI1" s="192"/>
      <c r="BJ1" s="192"/>
      <c r="BK1" s="42"/>
      <c r="BL1" s="192" t="s">
        <v>32</v>
      </c>
      <c r="BM1" s="192"/>
      <c r="BN1" s="192"/>
      <c r="BO1" s="192"/>
      <c r="BP1" s="192"/>
      <c r="BQ1" s="192"/>
      <c r="BR1" s="192"/>
      <c r="BS1" s="192"/>
      <c r="BT1" s="42"/>
      <c r="BU1" s="192" t="s">
        <v>32</v>
      </c>
      <c r="BV1" s="192"/>
      <c r="BW1" s="192"/>
      <c r="BX1" s="192"/>
      <c r="BY1" s="192"/>
      <c r="BZ1" s="192"/>
      <c r="CA1" s="192"/>
      <c r="CB1" s="192"/>
      <c r="CC1" s="42"/>
      <c r="CD1" s="192" t="s">
        <v>32</v>
      </c>
      <c r="CE1" s="192"/>
      <c r="CF1" s="192"/>
      <c r="CG1" s="192"/>
      <c r="CH1" s="192"/>
      <c r="CI1" s="192"/>
      <c r="CJ1" s="192"/>
      <c r="CK1" s="192"/>
      <c r="CL1" s="42"/>
      <c r="CM1" s="192" t="s">
        <v>32</v>
      </c>
      <c r="CN1" s="192"/>
      <c r="CO1" s="192"/>
      <c r="CP1" s="192"/>
      <c r="CQ1" s="192"/>
      <c r="CR1" s="192"/>
      <c r="CS1" s="192"/>
      <c r="CT1" s="192"/>
      <c r="CU1" s="42"/>
    </row>
    <row r="2" spans="1:99" ht="28.5" customHeight="1" thickBot="1" x14ac:dyDescent="0.35">
      <c r="A2" s="44"/>
      <c r="B2" s="45"/>
      <c r="C2" s="193" t="s">
        <v>2</v>
      </c>
      <c r="D2" s="194"/>
      <c r="E2" s="199" t="s">
        <v>3</v>
      </c>
      <c r="F2" s="200"/>
      <c r="G2" s="201"/>
      <c r="H2" s="202"/>
      <c r="I2" s="46"/>
      <c r="J2" s="195" t="s">
        <v>4</v>
      </c>
      <c r="K2" s="196"/>
      <c r="L2" s="203" t="s">
        <v>44</v>
      </c>
      <c r="M2" s="204"/>
      <c r="N2" s="199" t="s">
        <v>3</v>
      </c>
      <c r="O2" s="200"/>
      <c r="P2" s="201"/>
      <c r="Q2" s="202"/>
      <c r="R2" s="46"/>
      <c r="S2" s="195" t="s">
        <v>5</v>
      </c>
      <c r="T2" s="196"/>
      <c r="U2" s="203" t="s">
        <v>44</v>
      </c>
      <c r="V2" s="204"/>
      <c r="W2" s="199" t="s">
        <v>3</v>
      </c>
      <c r="X2" s="200"/>
      <c r="Y2" s="201"/>
      <c r="Z2" s="202"/>
      <c r="AA2" s="46"/>
      <c r="AB2" s="224" t="s">
        <v>57</v>
      </c>
      <c r="AC2" s="225"/>
      <c r="AD2" s="225"/>
      <c r="AE2" s="226"/>
      <c r="AF2" s="227" t="s">
        <v>58</v>
      </c>
      <c r="AG2" s="228"/>
      <c r="AH2" s="228"/>
      <c r="AI2" s="229"/>
      <c r="AJ2" s="46"/>
      <c r="AK2" s="195" t="s">
        <v>6</v>
      </c>
      <c r="AL2" s="196"/>
      <c r="AM2" s="203" t="s">
        <v>44</v>
      </c>
      <c r="AN2" s="204"/>
      <c r="AO2" s="199" t="s">
        <v>3</v>
      </c>
      <c r="AP2" s="200"/>
      <c r="AQ2" s="201"/>
      <c r="AR2" s="202"/>
      <c r="AS2" s="46"/>
      <c r="AT2" s="195" t="s">
        <v>7</v>
      </c>
      <c r="AU2" s="196"/>
      <c r="AV2" s="203" t="s">
        <v>44</v>
      </c>
      <c r="AW2" s="204"/>
      <c r="AX2" s="199" t="s">
        <v>3</v>
      </c>
      <c r="AY2" s="200"/>
      <c r="AZ2" s="201"/>
      <c r="BA2" s="202"/>
      <c r="BB2" s="46"/>
      <c r="BC2" s="195" t="s">
        <v>8</v>
      </c>
      <c r="BD2" s="196"/>
      <c r="BE2" s="203" t="s">
        <v>44</v>
      </c>
      <c r="BF2" s="204"/>
      <c r="BG2" s="199" t="s">
        <v>3</v>
      </c>
      <c r="BH2" s="200"/>
      <c r="BI2" s="201"/>
      <c r="BJ2" s="202"/>
      <c r="BK2" s="46"/>
      <c r="BL2" s="195" t="s">
        <v>9</v>
      </c>
      <c r="BM2" s="196"/>
      <c r="BN2" s="203" t="s">
        <v>44</v>
      </c>
      <c r="BO2" s="204"/>
      <c r="BP2" s="199" t="s">
        <v>3</v>
      </c>
      <c r="BQ2" s="200"/>
      <c r="BR2" s="201"/>
      <c r="BS2" s="202"/>
      <c r="BT2" s="46"/>
      <c r="BU2" s="195" t="s">
        <v>10</v>
      </c>
      <c r="BV2" s="196"/>
      <c r="BW2" s="203" t="s">
        <v>44</v>
      </c>
      <c r="BX2" s="204"/>
      <c r="BY2" s="199" t="s">
        <v>3</v>
      </c>
      <c r="BZ2" s="200"/>
      <c r="CA2" s="201"/>
      <c r="CB2" s="202"/>
      <c r="CC2" s="46"/>
      <c r="CD2" s="195" t="s">
        <v>11</v>
      </c>
      <c r="CE2" s="196"/>
      <c r="CF2" s="203" t="s">
        <v>44</v>
      </c>
      <c r="CG2" s="204"/>
      <c r="CH2" s="199" t="s">
        <v>3</v>
      </c>
      <c r="CI2" s="200"/>
      <c r="CJ2" s="201"/>
      <c r="CK2" s="202"/>
      <c r="CL2" s="46"/>
      <c r="CM2" s="195" t="s">
        <v>12</v>
      </c>
      <c r="CN2" s="196"/>
      <c r="CO2" s="203" t="s">
        <v>44</v>
      </c>
      <c r="CP2" s="204"/>
      <c r="CQ2" s="199" t="s">
        <v>3</v>
      </c>
      <c r="CR2" s="200"/>
      <c r="CS2" s="201"/>
      <c r="CT2" s="202"/>
      <c r="CU2" s="47"/>
    </row>
    <row r="3" spans="1:99" ht="45.75" customHeight="1" x14ac:dyDescent="0.3">
      <c r="A3" s="216" t="s">
        <v>114</v>
      </c>
      <c r="B3" s="45"/>
      <c r="C3" s="195"/>
      <c r="D3" s="196"/>
      <c r="E3" s="210" t="s">
        <v>40</v>
      </c>
      <c r="F3" s="211"/>
      <c r="G3" s="212" t="s">
        <v>55</v>
      </c>
      <c r="H3" s="213"/>
      <c r="I3" s="46"/>
      <c r="J3" s="195"/>
      <c r="K3" s="196"/>
      <c r="L3" s="205"/>
      <c r="M3" s="206"/>
      <c r="N3" s="210" t="s">
        <v>40</v>
      </c>
      <c r="O3" s="211"/>
      <c r="P3" s="212" t="s">
        <v>55</v>
      </c>
      <c r="Q3" s="213"/>
      <c r="R3" s="46"/>
      <c r="S3" s="195"/>
      <c r="T3" s="196"/>
      <c r="U3" s="205"/>
      <c r="V3" s="206"/>
      <c r="W3" s="210" t="s">
        <v>40</v>
      </c>
      <c r="X3" s="211"/>
      <c r="Y3" s="212" t="s">
        <v>55</v>
      </c>
      <c r="Z3" s="213"/>
      <c r="AA3" s="46"/>
      <c r="AB3" s="230" t="s">
        <v>59</v>
      </c>
      <c r="AC3" s="231"/>
      <c r="AD3" s="230" t="s">
        <v>65</v>
      </c>
      <c r="AE3" s="231"/>
      <c r="AF3" s="230" t="s">
        <v>59</v>
      </c>
      <c r="AG3" s="231"/>
      <c r="AH3" s="230" t="s">
        <v>65</v>
      </c>
      <c r="AI3" s="231"/>
      <c r="AJ3" s="46"/>
      <c r="AK3" s="195"/>
      <c r="AL3" s="196"/>
      <c r="AM3" s="205"/>
      <c r="AN3" s="206"/>
      <c r="AO3" s="210" t="s">
        <v>40</v>
      </c>
      <c r="AP3" s="211"/>
      <c r="AQ3" s="212" t="s">
        <v>55</v>
      </c>
      <c r="AR3" s="213"/>
      <c r="AS3" s="46"/>
      <c r="AT3" s="195"/>
      <c r="AU3" s="196"/>
      <c r="AV3" s="205"/>
      <c r="AW3" s="206"/>
      <c r="AX3" s="210" t="s">
        <v>40</v>
      </c>
      <c r="AY3" s="211"/>
      <c r="AZ3" s="212" t="s">
        <v>55</v>
      </c>
      <c r="BA3" s="213"/>
      <c r="BB3" s="46"/>
      <c r="BC3" s="195"/>
      <c r="BD3" s="196"/>
      <c r="BE3" s="205"/>
      <c r="BF3" s="206"/>
      <c r="BG3" s="210" t="s">
        <v>40</v>
      </c>
      <c r="BH3" s="211"/>
      <c r="BI3" s="212" t="s">
        <v>55</v>
      </c>
      <c r="BJ3" s="213"/>
      <c r="BK3" s="46"/>
      <c r="BL3" s="195"/>
      <c r="BM3" s="196"/>
      <c r="BN3" s="205"/>
      <c r="BO3" s="206"/>
      <c r="BP3" s="210" t="s">
        <v>40</v>
      </c>
      <c r="BQ3" s="211"/>
      <c r="BR3" s="212" t="s">
        <v>55</v>
      </c>
      <c r="BS3" s="213"/>
      <c r="BT3" s="46"/>
      <c r="BU3" s="195"/>
      <c r="BV3" s="196"/>
      <c r="BW3" s="205"/>
      <c r="BX3" s="206"/>
      <c r="BY3" s="210" t="s">
        <v>40</v>
      </c>
      <c r="BZ3" s="211"/>
      <c r="CA3" s="212" t="s">
        <v>55</v>
      </c>
      <c r="CB3" s="213"/>
      <c r="CC3" s="46"/>
      <c r="CD3" s="195"/>
      <c r="CE3" s="196"/>
      <c r="CF3" s="205"/>
      <c r="CG3" s="206"/>
      <c r="CH3" s="210" t="s">
        <v>40</v>
      </c>
      <c r="CI3" s="211"/>
      <c r="CJ3" s="212" t="s">
        <v>55</v>
      </c>
      <c r="CK3" s="213"/>
      <c r="CL3" s="46"/>
      <c r="CM3" s="195"/>
      <c r="CN3" s="196"/>
      <c r="CO3" s="205"/>
      <c r="CP3" s="206"/>
      <c r="CQ3" s="210" t="s">
        <v>40</v>
      </c>
      <c r="CR3" s="211"/>
      <c r="CS3" s="212" t="s">
        <v>55</v>
      </c>
      <c r="CT3" s="213"/>
      <c r="CU3" s="47"/>
    </row>
    <row r="4" spans="1:99" x14ac:dyDescent="0.25">
      <c r="A4" s="216"/>
      <c r="B4" s="48"/>
      <c r="C4" s="195"/>
      <c r="D4" s="196"/>
      <c r="E4" s="49">
        <f>COUNTIF(E9:E1048576,"OK")</f>
        <v>9</v>
      </c>
      <c r="F4" s="50" t="s">
        <v>37</v>
      </c>
      <c r="G4" s="95">
        <f>COUNTIF(G9:G1048576,"OK")</f>
        <v>0</v>
      </c>
      <c r="H4" s="50" t="s">
        <v>37</v>
      </c>
      <c r="I4" s="92"/>
      <c r="J4" s="195"/>
      <c r="K4" s="196"/>
      <c r="L4" s="205"/>
      <c r="M4" s="206"/>
      <c r="N4" s="49">
        <f>COUNTIF(N9:N1048576,"OK")</f>
        <v>0</v>
      </c>
      <c r="O4" s="50" t="s">
        <v>37</v>
      </c>
      <c r="P4" s="95">
        <f>COUNTIF(P9:P1048576,"OK")</f>
        <v>0</v>
      </c>
      <c r="Q4" s="50" t="s">
        <v>37</v>
      </c>
      <c r="R4" s="51"/>
      <c r="S4" s="195"/>
      <c r="T4" s="196"/>
      <c r="U4" s="205"/>
      <c r="V4" s="206"/>
      <c r="W4" s="49">
        <f>COUNTIF(W9:W1048576,"OK")</f>
        <v>0</v>
      </c>
      <c r="X4" s="50" t="s">
        <v>37</v>
      </c>
      <c r="Y4" s="95">
        <f>COUNTIF(Y9:Y1048576,"OK")</f>
        <v>0</v>
      </c>
      <c r="Z4" s="50" t="s">
        <v>37</v>
      </c>
      <c r="AA4" s="51"/>
      <c r="AB4" s="219">
        <f>COUNTIF(AB9:AB1048576,"OK")</f>
        <v>0</v>
      </c>
      <c r="AC4" s="220" t="s">
        <v>37</v>
      </c>
      <c r="AD4" s="108">
        <f>COUNTIF(AD9:AD1048576,"OK")</f>
        <v>0</v>
      </c>
      <c r="AE4" s="109" t="s">
        <v>37</v>
      </c>
      <c r="AF4" s="219">
        <f>COUNTIF(AF9:AF1048576,"OK")</f>
        <v>0</v>
      </c>
      <c r="AG4" s="220" t="s">
        <v>37</v>
      </c>
      <c r="AH4" s="108">
        <f>COUNTIF(AH9:AH1048576,"OK")</f>
        <v>0</v>
      </c>
      <c r="AI4" s="109" t="s">
        <v>37</v>
      </c>
      <c r="AJ4" s="51"/>
      <c r="AK4" s="195"/>
      <c r="AL4" s="196"/>
      <c r="AM4" s="205"/>
      <c r="AN4" s="206"/>
      <c r="AO4" s="49">
        <f>COUNTIF(AO9:AO1048576,"OK")</f>
        <v>0</v>
      </c>
      <c r="AP4" s="50" t="s">
        <v>37</v>
      </c>
      <c r="AQ4" s="95">
        <f>COUNTIF(AQ9:AQ1048576,"OK")</f>
        <v>0</v>
      </c>
      <c r="AR4" s="50" t="s">
        <v>37</v>
      </c>
      <c r="AS4" s="51"/>
      <c r="AT4" s="195"/>
      <c r="AU4" s="196"/>
      <c r="AV4" s="205"/>
      <c r="AW4" s="206"/>
      <c r="AX4" s="49">
        <f>COUNTIF(AX9:AX1048576,"OK")</f>
        <v>0</v>
      </c>
      <c r="AY4" s="50" t="s">
        <v>37</v>
      </c>
      <c r="AZ4" s="95">
        <f>COUNTIF(AZ9:AZ1048576,"OK")</f>
        <v>0</v>
      </c>
      <c r="BA4" s="50" t="s">
        <v>37</v>
      </c>
      <c r="BB4" s="51"/>
      <c r="BC4" s="195"/>
      <c r="BD4" s="196"/>
      <c r="BE4" s="205"/>
      <c r="BF4" s="206"/>
      <c r="BG4" s="49">
        <f>COUNTIF(BG9:BG1048576,"OK")</f>
        <v>0</v>
      </c>
      <c r="BH4" s="50" t="s">
        <v>37</v>
      </c>
      <c r="BI4" s="95">
        <f>COUNTIF(BI9:BI1048576,"OK")</f>
        <v>0</v>
      </c>
      <c r="BJ4" s="50" t="s">
        <v>37</v>
      </c>
      <c r="BK4" s="51"/>
      <c r="BL4" s="195"/>
      <c r="BM4" s="196"/>
      <c r="BN4" s="205"/>
      <c r="BO4" s="206"/>
      <c r="BP4" s="49">
        <f>COUNTIF(BP9:BP1048576,"OK")</f>
        <v>0</v>
      </c>
      <c r="BQ4" s="50" t="s">
        <v>37</v>
      </c>
      <c r="BR4" s="95">
        <f>COUNTIF(BR9:BR1048576,"OK")</f>
        <v>0</v>
      </c>
      <c r="BS4" s="50" t="s">
        <v>37</v>
      </c>
      <c r="BT4" s="51"/>
      <c r="BU4" s="195"/>
      <c r="BV4" s="196"/>
      <c r="BW4" s="205"/>
      <c r="BX4" s="206"/>
      <c r="BY4" s="49">
        <f>COUNTIF(BY9:BY1048576,"OK")</f>
        <v>0</v>
      </c>
      <c r="BZ4" s="50" t="s">
        <v>37</v>
      </c>
      <c r="CA4" s="95">
        <f>COUNTIF(CA9:CA1048576,"OK")</f>
        <v>0</v>
      </c>
      <c r="CB4" s="50" t="s">
        <v>37</v>
      </c>
      <c r="CC4" s="51"/>
      <c r="CD4" s="195"/>
      <c r="CE4" s="196"/>
      <c r="CF4" s="205"/>
      <c r="CG4" s="206"/>
      <c r="CH4" s="49">
        <f>COUNTIF(CH9:CH1048576,"OK")</f>
        <v>0</v>
      </c>
      <c r="CI4" s="50" t="s">
        <v>37</v>
      </c>
      <c r="CJ4" s="95">
        <f>COUNTIF(CJ9:CJ1048576,"OK")</f>
        <v>0</v>
      </c>
      <c r="CK4" s="50" t="s">
        <v>37</v>
      </c>
      <c r="CL4" s="51"/>
      <c r="CM4" s="195"/>
      <c r="CN4" s="196"/>
      <c r="CO4" s="205"/>
      <c r="CP4" s="206"/>
      <c r="CQ4" s="49">
        <f>COUNTIF(CQ9:CQ1048576,"OK")</f>
        <v>0</v>
      </c>
      <c r="CR4" s="50" t="s">
        <v>37</v>
      </c>
      <c r="CS4" s="95">
        <f>COUNTIF(CS9:CS1048576,"OK")</f>
        <v>0</v>
      </c>
      <c r="CT4" s="50" t="s">
        <v>37</v>
      </c>
      <c r="CU4" s="52"/>
    </row>
    <row r="5" spans="1:99" ht="14.5" thickBot="1" x14ac:dyDescent="0.3">
      <c r="A5" s="216"/>
      <c r="B5" s="53"/>
      <c r="C5" s="197"/>
      <c r="D5" s="198"/>
      <c r="E5" s="49">
        <f>COUNTIF(E9:E1048576,"NOK")</f>
        <v>0</v>
      </c>
      <c r="F5" s="50" t="s">
        <v>38</v>
      </c>
      <c r="G5" s="95">
        <f>COUNTIF(G9:G1048576,"NOK")</f>
        <v>0</v>
      </c>
      <c r="H5" s="50" t="s">
        <v>38</v>
      </c>
      <c r="I5" s="54"/>
      <c r="J5" s="195"/>
      <c r="K5" s="196"/>
      <c r="L5" s="205"/>
      <c r="M5" s="206"/>
      <c r="N5" s="49">
        <f>COUNTIF(N9:N1048576,"NOK")</f>
        <v>0</v>
      </c>
      <c r="O5" s="50" t="s">
        <v>38</v>
      </c>
      <c r="P5" s="95">
        <f>COUNTIF(P9:P1048576,"NOK")</f>
        <v>0</v>
      </c>
      <c r="Q5" s="50" t="s">
        <v>38</v>
      </c>
      <c r="R5" s="54"/>
      <c r="S5" s="195"/>
      <c r="T5" s="196"/>
      <c r="U5" s="205"/>
      <c r="V5" s="206"/>
      <c r="W5" s="49">
        <f>COUNTIF(W9:W1048576,"NOK")</f>
        <v>0</v>
      </c>
      <c r="X5" s="50" t="s">
        <v>38</v>
      </c>
      <c r="Y5" s="95">
        <f>COUNTIF(Y9:Y1048576,"NOK")</f>
        <v>0</v>
      </c>
      <c r="Z5" s="50" t="s">
        <v>38</v>
      </c>
      <c r="AA5" s="54"/>
      <c r="AB5" s="219"/>
      <c r="AC5" s="220"/>
      <c r="AD5" s="108">
        <f>COUNTIF(AD9:AD1048576,"NOK")</f>
        <v>0</v>
      </c>
      <c r="AE5" s="109" t="s">
        <v>38</v>
      </c>
      <c r="AF5" s="219"/>
      <c r="AG5" s="220"/>
      <c r="AH5" s="108">
        <f>COUNTIF(AH9:AH1048576,"NOK")</f>
        <v>0</v>
      </c>
      <c r="AI5" s="109" t="s">
        <v>38</v>
      </c>
      <c r="AJ5" s="54"/>
      <c r="AK5" s="195"/>
      <c r="AL5" s="196"/>
      <c r="AM5" s="205"/>
      <c r="AN5" s="206"/>
      <c r="AO5" s="49">
        <f>COUNTIF(AO9:AO1048576,"NOK")</f>
        <v>0</v>
      </c>
      <c r="AP5" s="50" t="s">
        <v>38</v>
      </c>
      <c r="AQ5" s="95">
        <f>COUNTIF(AQ9:AQ1048576,"NOK")</f>
        <v>0</v>
      </c>
      <c r="AR5" s="50" t="s">
        <v>38</v>
      </c>
      <c r="AS5" s="54"/>
      <c r="AT5" s="195"/>
      <c r="AU5" s="196"/>
      <c r="AV5" s="205"/>
      <c r="AW5" s="206"/>
      <c r="AX5" s="49">
        <f>COUNTIF(AX9:AX1048576,"NOK")</f>
        <v>0</v>
      </c>
      <c r="AY5" s="50" t="s">
        <v>38</v>
      </c>
      <c r="AZ5" s="95">
        <f>COUNTIF(AZ9:AZ1048576,"NOK")</f>
        <v>0</v>
      </c>
      <c r="BA5" s="50" t="s">
        <v>38</v>
      </c>
      <c r="BB5" s="54"/>
      <c r="BC5" s="195"/>
      <c r="BD5" s="196"/>
      <c r="BE5" s="205"/>
      <c r="BF5" s="206"/>
      <c r="BG5" s="49">
        <f>COUNTIF(BG9:BG1048576,"NOK")</f>
        <v>0</v>
      </c>
      <c r="BH5" s="50" t="s">
        <v>38</v>
      </c>
      <c r="BI5" s="95">
        <f>COUNTIF(BI9:BI1048576,"NOK")</f>
        <v>0</v>
      </c>
      <c r="BJ5" s="50" t="s">
        <v>38</v>
      </c>
      <c r="BK5" s="54"/>
      <c r="BL5" s="195"/>
      <c r="BM5" s="196"/>
      <c r="BN5" s="205"/>
      <c r="BO5" s="206"/>
      <c r="BP5" s="49">
        <f>COUNTIF(BP9:BP1048576,"NOK")</f>
        <v>0</v>
      </c>
      <c r="BQ5" s="50" t="s">
        <v>38</v>
      </c>
      <c r="BR5" s="95">
        <f>COUNTIF(BR9:BR1048576,"NOK")</f>
        <v>0</v>
      </c>
      <c r="BS5" s="50" t="s">
        <v>38</v>
      </c>
      <c r="BT5" s="54"/>
      <c r="BU5" s="195"/>
      <c r="BV5" s="196"/>
      <c r="BW5" s="205"/>
      <c r="BX5" s="206"/>
      <c r="BY5" s="49">
        <f>COUNTIF(BY9:BY1048576,"NOK")</f>
        <v>0</v>
      </c>
      <c r="BZ5" s="50" t="s">
        <v>38</v>
      </c>
      <c r="CA5" s="95">
        <f>COUNTIF(CA9:CA1048576,"NOK")</f>
        <v>0</v>
      </c>
      <c r="CB5" s="50" t="s">
        <v>38</v>
      </c>
      <c r="CC5" s="54"/>
      <c r="CD5" s="195"/>
      <c r="CE5" s="196"/>
      <c r="CF5" s="205"/>
      <c r="CG5" s="206"/>
      <c r="CH5" s="49">
        <f>COUNTIF(CH9:CH1048576,"NOK")</f>
        <v>0</v>
      </c>
      <c r="CI5" s="50" t="s">
        <v>38</v>
      </c>
      <c r="CJ5" s="95">
        <f>COUNTIF(CJ9:CJ1048576,"NOK")</f>
        <v>0</v>
      </c>
      <c r="CK5" s="50" t="s">
        <v>38</v>
      </c>
      <c r="CL5" s="54"/>
      <c r="CM5" s="195"/>
      <c r="CN5" s="196"/>
      <c r="CO5" s="205"/>
      <c r="CP5" s="206"/>
      <c r="CQ5" s="49">
        <f>COUNTIF(CQ9:CQ1048576,"NOK")</f>
        <v>0</v>
      </c>
      <c r="CR5" s="50" t="s">
        <v>38</v>
      </c>
      <c r="CS5" s="95">
        <f>COUNTIF(CS9:CS1048576,"NOK")</f>
        <v>0</v>
      </c>
      <c r="CT5" s="50" t="s">
        <v>38</v>
      </c>
      <c r="CU5" s="55"/>
    </row>
    <row r="6" spans="1:99" ht="15.5" x14ac:dyDescent="0.25">
      <c r="A6" s="216"/>
      <c r="B6" s="53"/>
      <c r="C6" s="217" t="s">
        <v>31</v>
      </c>
      <c r="D6" s="218"/>
      <c r="E6" s="56" t="s">
        <v>13</v>
      </c>
      <c r="F6" s="50" t="s">
        <v>13</v>
      </c>
      <c r="G6" s="95">
        <f>COUNTIF(G9:G1048576,"DEVIATION")</f>
        <v>0</v>
      </c>
      <c r="H6" s="50" t="s">
        <v>41</v>
      </c>
      <c r="I6" s="54"/>
      <c r="J6" s="217" t="s">
        <v>31</v>
      </c>
      <c r="K6" s="218"/>
      <c r="L6" s="205"/>
      <c r="M6" s="206"/>
      <c r="N6" s="56" t="s">
        <v>13</v>
      </c>
      <c r="O6" s="50" t="s">
        <v>13</v>
      </c>
      <c r="P6" s="95">
        <f>COUNTIF(P9:P1048576,"DEVIATION")</f>
        <v>0</v>
      </c>
      <c r="Q6" s="50" t="s">
        <v>41</v>
      </c>
      <c r="R6" s="54"/>
      <c r="S6" s="217" t="s">
        <v>31</v>
      </c>
      <c r="T6" s="218"/>
      <c r="U6" s="205"/>
      <c r="V6" s="206"/>
      <c r="W6" s="56" t="s">
        <v>13</v>
      </c>
      <c r="X6" s="50" t="s">
        <v>13</v>
      </c>
      <c r="Y6" s="95">
        <f>COUNTIF(Y9:Y1048576,"DEVIATION")</f>
        <v>0</v>
      </c>
      <c r="Z6" s="50" t="s">
        <v>41</v>
      </c>
      <c r="AA6" s="54"/>
      <c r="AB6" s="219">
        <f>COUNTIF(AB9:AB1048576,"NOK")</f>
        <v>0</v>
      </c>
      <c r="AC6" s="220" t="s">
        <v>38</v>
      </c>
      <c r="AD6" s="108">
        <f>COUNTIF(AD9:AD1048576,"DEVIATION")</f>
        <v>0</v>
      </c>
      <c r="AE6" s="109" t="s">
        <v>41</v>
      </c>
      <c r="AF6" s="219">
        <f>COUNTIF(AF9:AF1048576,"NOK")</f>
        <v>0</v>
      </c>
      <c r="AG6" s="220" t="s">
        <v>38</v>
      </c>
      <c r="AH6" s="108">
        <f>COUNTIF(AH9:AH1048576,"DEVIATION")</f>
        <v>0</v>
      </c>
      <c r="AI6" s="109" t="s">
        <v>41</v>
      </c>
      <c r="AJ6" s="54"/>
      <c r="AK6" s="217" t="s">
        <v>31</v>
      </c>
      <c r="AL6" s="218"/>
      <c r="AM6" s="205"/>
      <c r="AN6" s="206"/>
      <c r="AO6" s="56" t="s">
        <v>13</v>
      </c>
      <c r="AP6" s="50" t="s">
        <v>13</v>
      </c>
      <c r="AQ6" s="95">
        <f>COUNTIF(AQ9:AQ1048576,"DEVIATION")</f>
        <v>0</v>
      </c>
      <c r="AR6" s="50" t="s">
        <v>41</v>
      </c>
      <c r="AS6" s="54"/>
      <c r="AT6" s="217" t="s">
        <v>31</v>
      </c>
      <c r="AU6" s="218"/>
      <c r="AV6" s="205"/>
      <c r="AW6" s="206"/>
      <c r="AX6" s="56" t="s">
        <v>13</v>
      </c>
      <c r="AY6" s="50" t="s">
        <v>13</v>
      </c>
      <c r="AZ6" s="95">
        <f>COUNTIF(AZ9:AZ1048576,"DEVIATION")</f>
        <v>0</v>
      </c>
      <c r="BA6" s="50" t="s">
        <v>41</v>
      </c>
      <c r="BB6" s="54"/>
      <c r="BC6" s="217" t="s">
        <v>31</v>
      </c>
      <c r="BD6" s="218"/>
      <c r="BE6" s="205"/>
      <c r="BF6" s="206"/>
      <c r="BG6" s="56" t="s">
        <v>13</v>
      </c>
      <c r="BH6" s="50" t="s">
        <v>13</v>
      </c>
      <c r="BI6" s="95">
        <f>COUNTIF(BI9:BI1048576,"DEVIATION")</f>
        <v>0</v>
      </c>
      <c r="BJ6" s="50" t="s">
        <v>41</v>
      </c>
      <c r="BK6" s="54"/>
      <c r="BL6" s="217" t="s">
        <v>31</v>
      </c>
      <c r="BM6" s="218"/>
      <c r="BN6" s="205"/>
      <c r="BO6" s="206"/>
      <c r="BP6" s="56" t="s">
        <v>13</v>
      </c>
      <c r="BQ6" s="50" t="s">
        <v>13</v>
      </c>
      <c r="BR6" s="95">
        <f>COUNTIF(BR9:BR1048576,"DEVIATION")</f>
        <v>0</v>
      </c>
      <c r="BS6" s="50" t="s">
        <v>41</v>
      </c>
      <c r="BT6" s="54"/>
      <c r="BU6" s="217" t="s">
        <v>31</v>
      </c>
      <c r="BV6" s="218"/>
      <c r="BW6" s="205"/>
      <c r="BX6" s="206"/>
      <c r="BY6" s="56" t="s">
        <v>13</v>
      </c>
      <c r="BZ6" s="50" t="s">
        <v>13</v>
      </c>
      <c r="CA6" s="95">
        <f>COUNTIF(CA9:CA1048576,"DEVIATION")</f>
        <v>0</v>
      </c>
      <c r="CB6" s="50" t="s">
        <v>41</v>
      </c>
      <c r="CC6" s="54"/>
      <c r="CD6" s="217" t="s">
        <v>31</v>
      </c>
      <c r="CE6" s="218"/>
      <c r="CF6" s="205"/>
      <c r="CG6" s="206"/>
      <c r="CH6" s="56" t="s">
        <v>13</v>
      </c>
      <c r="CI6" s="50" t="s">
        <v>13</v>
      </c>
      <c r="CJ6" s="95">
        <f>COUNTIF(CJ9:CJ1048576,"DEVIATION")</f>
        <v>0</v>
      </c>
      <c r="CK6" s="50" t="s">
        <v>41</v>
      </c>
      <c r="CL6" s="54"/>
      <c r="CM6" s="217" t="s">
        <v>31</v>
      </c>
      <c r="CN6" s="218"/>
      <c r="CO6" s="205"/>
      <c r="CP6" s="206"/>
      <c r="CQ6" s="56" t="s">
        <v>13</v>
      </c>
      <c r="CR6" s="50" t="s">
        <v>13</v>
      </c>
      <c r="CS6" s="95">
        <f>COUNTIF(CS9:CS1048576,"DEVIATION")</f>
        <v>0</v>
      </c>
      <c r="CT6" s="50" t="s">
        <v>41</v>
      </c>
      <c r="CU6" s="55"/>
    </row>
    <row r="7" spans="1:99" ht="15.75" customHeight="1" thickBot="1" x14ac:dyDescent="0.3">
      <c r="A7" s="57"/>
      <c r="B7" s="48"/>
      <c r="C7" s="221" t="s">
        <v>104</v>
      </c>
      <c r="D7" s="222"/>
      <c r="E7" s="56" t="s">
        <v>13</v>
      </c>
      <c r="F7" s="50" t="s">
        <v>13</v>
      </c>
      <c r="G7" s="95">
        <f>COUNTIF(G9:G1048576,"STANDBY")</f>
        <v>0</v>
      </c>
      <c r="H7" s="50" t="s">
        <v>42</v>
      </c>
      <c r="I7" s="92"/>
      <c r="J7" s="214" t="s">
        <v>54</v>
      </c>
      <c r="K7" s="215"/>
      <c r="L7" s="207"/>
      <c r="M7" s="208"/>
      <c r="N7" s="56" t="s">
        <v>13</v>
      </c>
      <c r="O7" s="50" t="s">
        <v>13</v>
      </c>
      <c r="P7" s="95">
        <f>COUNTIF(P9:P1048576,"STANDBY")</f>
        <v>0</v>
      </c>
      <c r="Q7" s="50" t="s">
        <v>42</v>
      </c>
      <c r="R7" s="51"/>
      <c r="S7" s="214" t="s">
        <v>54</v>
      </c>
      <c r="T7" s="215"/>
      <c r="U7" s="207"/>
      <c r="V7" s="208"/>
      <c r="W7" s="56" t="s">
        <v>13</v>
      </c>
      <c r="X7" s="50" t="s">
        <v>13</v>
      </c>
      <c r="Y7" s="95">
        <f>COUNTIF(Y9:Y1048576,"STANDBY")</f>
        <v>0</v>
      </c>
      <c r="Z7" s="50" t="s">
        <v>42</v>
      </c>
      <c r="AA7" s="51"/>
      <c r="AB7" s="219"/>
      <c r="AC7" s="220"/>
      <c r="AD7" s="108">
        <f>COUNTIF(AD9:AD1048576,"STANDBY")</f>
        <v>0</v>
      </c>
      <c r="AE7" s="109" t="s">
        <v>42</v>
      </c>
      <c r="AF7" s="219"/>
      <c r="AG7" s="220"/>
      <c r="AH7" s="108">
        <f>COUNTIF(AH9:AH1048576,"STANDBY")</f>
        <v>0</v>
      </c>
      <c r="AI7" s="109" t="s">
        <v>42</v>
      </c>
      <c r="AJ7" s="51"/>
      <c r="AK7" s="214" t="s">
        <v>54</v>
      </c>
      <c r="AL7" s="215"/>
      <c r="AM7" s="207"/>
      <c r="AN7" s="208"/>
      <c r="AO7" s="56" t="s">
        <v>13</v>
      </c>
      <c r="AP7" s="50" t="s">
        <v>13</v>
      </c>
      <c r="AQ7" s="95">
        <f>COUNTIF(AQ9:AQ1048576,"STANDBY")</f>
        <v>0</v>
      </c>
      <c r="AR7" s="50" t="s">
        <v>42</v>
      </c>
      <c r="AS7" s="51"/>
      <c r="AT7" s="214" t="s">
        <v>54</v>
      </c>
      <c r="AU7" s="215"/>
      <c r="AV7" s="207"/>
      <c r="AW7" s="208"/>
      <c r="AX7" s="56" t="s">
        <v>13</v>
      </c>
      <c r="AY7" s="50" t="s">
        <v>13</v>
      </c>
      <c r="AZ7" s="95">
        <f>COUNTIF(AZ9:AZ1048576,"STANDBY")</f>
        <v>0</v>
      </c>
      <c r="BA7" s="50" t="s">
        <v>42</v>
      </c>
      <c r="BB7" s="51"/>
      <c r="BC7" s="214" t="s">
        <v>54</v>
      </c>
      <c r="BD7" s="215"/>
      <c r="BE7" s="207"/>
      <c r="BF7" s="208"/>
      <c r="BG7" s="56" t="s">
        <v>13</v>
      </c>
      <c r="BH7" s="50" t="s">
        <v>13</v>
      </c>
      <c r="BI7" s="95">
        <f>COUNTIF(BI9:BI1048576,"STANDBY")</f>
        <v>0</v>
      </c>
      <c r="BJ7" s="50" t="s">
        <v>42</v>
      </c>
      <c r="BK7" s="51"/>
      <c r="BL7" s="214" t="s">
        <v>54</v>
      </c>
      <c r="BM7" s="215"/>
      <c r="BN7" s="207"/>
      <c r="BO7" s="208"/>
      <c r="BP7" s="56" t="s">
        <v>13</v>
      </c>
      <c r="BQ7" s="50" t="s">
        <v>13</v>
      </c>
      <c r="BR7" s="95">
        <f>COUNTIF(BR9:BR1048576,"STANDBY")</f>
        <v>0</v>
      </c>
      <c r="BS7" s="50" t="s">
        <v>42</v>
      </c>
      <c r="BT7" s="51"/>
      <c r="BU7" s="214" t="s">
        <v>54</v>
      </c>
      <c r="BV7" s="215"/>
      <c r="BW7" s="207"/>
      <c r="BX7" s="208"/>
      <c r="BY7" s="56" t="s">
        <v>13</v>
      </c>
      <c r="BZ7" s="50" t="s">
        <v>13</v>
      </c>
      <c r="CA7" s="95">
        <f>COUNTIF(CA9:CA1048576,"STANDBY")</f>
        <v>0</v>
      </c>
      <c r="CB7" s="50" t="s">
        <v>42</v>
      </c>
      <c r="CC7" s="51"/>
      <c r="CD7" s="214" t="s">
        <v>54</v>
      </c>
      <c r="CE7" s="215"/>
      <c r="CF7" s="207"/>
      <c r="CG7" s="208"/>
      <c r="CH7" s="56" t="s">
        <v>13</v>
      </c>
      <c r="CI7" s="50" t="s">
        <v>13</v>
      </c>
      <c r="CJ7" s="95">
        <f>COUNTIF(CJ9:CJ1048576,"STANDBY")</f>
        <v>0</v>
      </c>
      <c r="CK7" s="50" t="s">
        <v>42</v>
      </c>
      <c r="CL7" s="51"/>
      <c r="CM7" s="214" t="s">
        <v>54</v>
      </c>
      <c r="CN7" s="215"/>
      <c r="CO7" s="207"/>
      <c r="CP7" s="208"/>
      <c r="CQ7" s="56" t="s">
        <v>13</v>
      </c>
      <c r="CR7" s="50" t="s">
        <v>13</v>
      </c>
      <c r="CS7" s="95">
        <f>COUNTIF(CS9:CS1048576,"STANDBY")</f>
        <v>0</v>
      </c>
      <c r="CT7" s="50" t="s">
        <v>42</v>
      </c>
      <c r="CU7" s="52"/>
    </row>
    <row r="8" spans="1:99" ht="26.5" thickBot="1" x14ac:dyDescent="0.35">
      <c r="A8" s="58" t="s">
        <v>53</v>
      </c>
      <c r="B8" s="59"/>
      <c r="C8" s="116" t="s">
        <v>43</v>
      </c>
      <c r="D8" s="61" t="s">
        <v>30</v>
      </c>
      <c r="E8" s="62" t="s">
        <v>32</v>
      </c>
      <c r="F8" s="93" t="s">
        <v>39</v>
      </c>
      <c r="G8" s="63" t="s">
        <v>56</v>
      </c>
      <c r="H8" s="93" t="s">
        <v>39</v>
      </c>
      <c r="I8" s="64"/>
      <c r="J8" s="60" t="s">
        <v>29</v>
      </c>
      <c r="K8" s="61" t="s">
        <v>30</v>
      </c>
      <c r="L8" s="58" t="s">
        <v>45</v>
      </c>
      <c r="M8" s="65" t="s">
        <v>46</v>
      </c>
      <c r="N8" s="62" t="s">
        <v>32</v>
      </c>
      <c r="O8" s="93" t="s">
        <v>39</v>
      </c>
      <c r="P8" s="63" t="s">
        <v>56</v>
      </c>
      <c r="Q8" s="93" t="s">
        <v>39</v>
      </c>
      <c r="R8" s="64"/>
      <c r="S8" s="38" t="s">
        <v>43</v>
      </c>
      <c r="T8" s="61" t="s">
        <v>30</v>
      </c>
      <c r="U8" s="58" t="s">
        <v>45</v>
      </c>
      <c r="V8" s="65" t="s">
        <v>46</v>
      </c>
      <c r="W8" s="62" t="s">
        <v>32</v>
      </c>
      <c r="X8" s="93" t="s">
        <v>39</v>
      </c>
      <c r="Y8" s="63" t="s">
        <v>56</v>
      </c>
      <c r="Z8" s="93" t="s">
        <v>39</v>
      </c>
      <c r="AA8" s="64"/>
      <c r="AB8" s="106" t="s">
        <v>60</v>
      </c>
      <c r="AC8" s="107" t="s">
        <v>61</v>
      </c>
      <c r="AD8" s="110" t="s">
        <v>62</v>
      </c>
      <c r="AE8" s="111" t="s">
        <v>63</v>
      </c>
      <c r="AF8" s="112" t="s">
        <v>64</v>
      </c>
      <c r="AG8" s="113" t="s">
        <v>61</v>
      </c>
      <c r="AH8" s="114" t="s">
        <v>62</v>
      </c>
      <c r="AI8" s="115" t="s">
        <v>63</v>
      </c>
      <c r="AJ8" s="64"/>
      <c r="AK8" s="60" t="s">
        <v>43</v>
      </c>
      <c r="AL8" s="61" t="s">
        <v>30</v>
      </c>
      <c r="AM8" s="58" t="s">
        <v>45</v>
      </c>
      <c r="AN8" s="65" t="s">
        <v>46</v>
      </c>
      <c r="AO8" s="62" t="s">
        <v>32</v>
      </c>
      <c r="AP8" s="93" t="s">
        <v>39</v>
      </c>
      <c r="AQ8" s="63" t="s">
        <v>56</v>
      </c>
      <c r="AR8" s="93" t="s">
        <v>39</v>
      </c>
      <c r="AS8" s="64"/>
      <c r="AT8" s="38" t="s">
        <v>43</v>
      </c>
      <c r="AU8" s="61" t="s">
        <v>30</v>
      </c>
      <c r="AV8" s="58" t="s">
        <v>45</v>
      </c>
      <c r="AW8" s="65" t="s">
        <v>46</v>
      </c>
      <c r="AX8" s="62" t="s">
        <v>32</v>
      </c>
      <c r="AY8" s="93" t="s">
        <v>39</v>
      </c>
      <c r="AZ8" s="63" t="s">
        <v>56</v>
      </c>
      <c r="BA8" s="93" t="s">
        <v>39</v>
      </c>
      <c r="BB8" s="64"/>
      <c r="BC8" s="38" t="s">
        <v>43</v>
      </c>
      <c r="BD8" s="61" t="s">
        <v>30</v>
      </c>
      <c r="BE8" s="58" t="s">
        <v>45</v>
      </c>
      <c r="BF8" s="65" t="s">
        <v>46</v>
      </c>
      <c r="BG8" s="62" t="s">
        <v>32</v>
      </c>
      <c r="BH8" s="93" t="s">
        <v>39</v>
      </c>
      <c r="BI8" s="63" t="s">
        <v>56</v>
      </c>
      <c r="BJ8" s="93" t="s">
        <v>39</v>
      </c>
      <c r="BK8" s="64"/>
      <c r="BL8" s="38" t="s">
        <v>43</v>
      </c>
      <c r="BM8" s="61" t="s">
        <v>30</v>
      </c>
      <c r="BN8" s="58" t="s">
        <v>45</v>
      </c>
      <c r="BO8" s="65" t="s">
        <v>46</v>
      </c>
      <c r="BP8" s="62" t="s">
        <v>32</v>
      </c>
      <c r="BQ8" s="93" t="s">
        <v>39</v>
      </c>
      <c r="BR8" s="63" t="s">
        <v>56</v>
      </c>
      <c r="BS8" s="93" t="s">
        <v>39</v>
      </c>
      <c r="BT8" s="64"/>
      <c r="BU8" s="38" t="s">
        <v>43</v>
      </c>
      <c r="BV8" s="61" t="s">
        <v>30</v>
      </c>
      <c r="BW8" s="58" t="s">
        <v>45</v>
      </c>
      <c r="BX8" s="65" t="s">
        <v>46</v>
      </c>
      <c r="BY8" s="62" t="s">
        <v>32</v>
      </c>
      <c r="BZ8" s="93" t="s">
        <v>39</v>
      </c>
      <c r="CA8" s="63" t="s">
        <v>56</v>
      </c>
      <c r="CB8" s="93" t="s">
        <v>39</v>
      </c>
      <c r="CC8" s="64"/>
      <c r="CD8" s="38" t="s">
        <v>43</v>
      </c>
      <c r="CE8" s="61" t="s">
        <v>30</v>
      </c>
      <c r="CF8" s="58" t="s">
        <v>45</v>
      </c>
      <c r="CG8" s="65" t="s">
        <v>46</v>
      </c>
      <c r="CH8" s="62" t="s">
        <v>32</v>
      </c>
      <c r="CI8" s="93" t="s">
        <v>39</v>
      </c>
      <c r="CJ8" s="63" t="s">
        <v>56</v>
      </c>
      <c r="CK8" s="93" t="s">
        <v>39</v>
      </c>
      <c r="CL8" s="64"/>
      <c r="CM8" s="38" t="s">
        <v>43</v>
      </c>
      <c r="CN8" s="61" t="s">
        <v>30</v>
      </c>
      <c r="CO8" s="58" t="s">
        <v>45</v>
      </c>
      <c r="CP8" s="65" t="s">
        <v>46</v>
      </c>
      <c r="CQ8" s="62" t="s">
        <v>32</v>
      </c>
      <c r="CR8" s="93" t="s">
        <v>39</v>
      </c>
      <c r="CS8" s="63" t="s">
        <v>56</v>
      </c>
      <c r="CT8" s="93" t="s">
        <v>39</v>
      </c>
      <c r="CU8" s="66"/>
    </row>
    <row r="9" spans="1:99" ht="16.5" thickBot="1" x14ac:dyDescent="0.3">
      <c r="A9" s="99" t="s">
        <v>68</v>
      </c>
      <c r="B9" s="72"/>
      <c r="C9" s="117" t="s">
        <v>105</v>
      </c>
      <c r="D9" s="118"/>
      <c r="E9" s="69"/>
      <c r="F9" s="70"/>
      <c r="G9" s="71"/>
      <c r="H9" s="70"/>
      <c r="I9" s="72"/>
      <c r="J9" s="97"/>
      <c r="K9" s="68"/>
      <c r="L9" s="73" t="str">
        <f>IF(LEFT(K9,1)&lt;&gt;"x","NA",IF(OR(RIGHT(J9,3)=RIGHT(C9,3),),IF(OR(RIGHT(J9,3)&lt;&gt;RIGHT(C9,3),),IF(OR(AND(RIGHT(J9,3)=RIGHT(C9,3),,K9=D9)),"NO","YES"),"NO"),IF(OR(RIGHT(J9,3)=RIGHT(C9,3),),"ERROR","YES")))</f>
        <v>NA</v>
      </c>
      <c r="M9" s="73" t="str">
        <f t="shared" ref="M9:M24" si="0">IF(LEFT(D9,1)&lt;&gt;LEFT(K9,1),"YES",IF(LEFT(K9,1)="x","NO","NA"))</f>
        <v>NA</v>
      </c>
      <c r="N9" s="69"/>
      <c r="O9" s="70"/>
      <c r="P9" s="71"/>
      <c r="Q9" s="70"/>
      <c r="R9" s="72"/>
      <c r="S9" s="67"/>
      <c r="T9" s="68"/>
      <c r="U9" s="73" t="str">
        <f>IF(LEFT(T9,1)&lt;&gt;"x","NA",IF(OR(RIGHT(S9,3)=RIGHT(J9,3),),IF(OR(RIGHT(S9,3)&lt;&gt;RIGHT(J9,3),),IF(OR(AND(RIGHT(S9,3)=RIGHT(J9,3),,T9=K9)),"NO","YES"),"NO"),IF(OR(RIGHT(S9,3)=RIGHT(J9,3),),"ERROR","YES")))</f>
        <v>NA</v>
      </c>
      <c r="V9" s="73" t="str">
        <f>IF(LEFT(K9,1)&lt;&gt;LEFT(T9,1),"YES",IF(LEFT(T9,1)="x","NO","NA"))</f>
        <v>NA</v>
      </c>
      <c r="W9" s="69"/>
      <c r="X9" s="70"/>
      <c r="Y9" s="71"/>
      <c r="Z9" s="70"/>
      <c r="AA9" s="72"/>
      <c r="AB9" s="104"/>
      <c r="AC9" s="105"/>
      <c r="AD9" s="104"/>
      <c r="AE9" s="105"/>
      <c r="AF9" s="104"/>
      <c r="AG9" s="105"/>
      <c r="AH9" s="104"/>
      <c r="AI9" s="105"/>
      <c r="AJ9" s="72"/>
      <c r="AK9" s="67"/>
      <c r="AL9" s="68"/>
      <c r="AM9" s="73" t="str">
        <f>IF(LEFT(AL9,1)&lt;&gt;"x","NA",IF(OR(RIGHT(AK9,3)=RIGHT(S9,3),),IF(OR(RIGHT(AK9,3)&lt;&gt;RIGHT(S9,3),),IF(OR(AND(RIGHT(AK9,3)=RIGHT(S9,3),,AL9=T9)),"NO","YES"),"NO"),IF(OR(RIGHT(AK9,3)=RIGHT(S9,3),),"ERROR","YES")))</f>
        <v>NA</v>
      </c>
      <c r="AN9" s="73" t="str">
        <f>IF(LEFT(T9,1)&lt;&gt;LEFT(AL9,1),"YES",IF(LEFT(AL9,1)="x","NO","NA"))</f>
        <v>NA</v>
      </c>
      <c r="AO9" s="69"/>
      <c r="AP9" s="70"/>
      <c r="AQ9" s="71"/>
      <c r="AR9" s="70"/>
      <c r="AS9" s="72"/>
      <c r="AT9" s="67"/>
      <c r="AU9" s="68"/>
      <c r="AV9" s="73" t="str">
        <f>IF(LEFT(AU9,1)&lt;&gt;"x","NA",IF(OR(RIGHT(AT9,3)=RIGHT(AK9,3),),IF(OR(RIGHT(AT9,3)&lt;&gt;RIGHT(AK9,3),),IF(OR(AND(RIGHT(AT9,3)=RIGHT(AK9,3),,AU9=AL9)),"NO","YES"),"NO"),IF(OR(RIGHT(AT9,3)=RIGHT(AK9,3),),"ERROR","YES")))</f>
        <v>NA</v>
      </c>
      <c r="AW9" s="73" t="str">
        <f t="shared" ref="AW9:AW24" si="1">IF(LEFT(AL9,1)&lt;&gt;LEFT(AU9,1),"YES",IF(LEFT(AU9,1)="x","NO","NA"))</f>
        <v>NA</v>
      </c>
      <c r="AX9" s="69"/>
      <c r="AY9" s="70"/>
      <c r="AZ9" s="71"/>
      <c r="BA9" s="70"/>
      <c r="BB9" s="72"/>
      <c r="BC9" s="67"/>
      <c r="BD9" s="68"/>
      <c r="BE9" s="73" t="str">
        <f>IF(LEFT(BD9,1)&lt;&gt;"x","NA",IF(OR(RIGHT(BC9,3)=RIGHT(AT9,3),),IF(OR(RIGHT(BC9,3)&lt;&gt;RIGHT(AT9,3),),IF(OR(AND(RIGHT(BC9,3)=RIGHT(AT9,3),,BD9=AU9)),"NO","YES"),"NO"),IF(OR(RIGHT(BC9,3)=RIGHT(AT9,3),),"ERROR","YES")))</f>
        <v>NA</v>
      </c>
      <c r="BF9" s="73" t="str">
        <f>IF(LEFT(AU9,1)&lt;&gt;LEFT(BD9,1),"YES",IF(LEFT(BD9,1)="x","NO","NA"))</f>
        <v>NA</v>
      </c>
      <c r="BG9" s="69"/>
      <c r="BH9" s="70"/>
      <c r="BI9" s="71"/>
      <c r="BJ9" s="70"/>
      <c r="BK9" s="72"/>
      <c r="BL9" s="67"/>
      <c r="BM9" s="68"/>
      <c r="BN9" s="73" t="str">
        <f>IF(LEFT(BM9,1)&lt;&gt;"x","NA",IF(OR(RIGHT(BL9,3)=RIGHT(BC9,3),),IF(OR(RIGHT(BL9,3)&lt;&gt;RIGHT(BC9,3),),IF(OR(AND(RIGHT(BL9,3)=RIGHT(BC9,3),,BM9=BD9)),"NO","YES"),"NO"),IF(OR(RIGHT(BL9,3)=RIGHT(BC9,3),),"ERROR","YES")))</f>
        <v>NA</v>
      </c>
      <c r="BO9" s="73" t="str">
        <f>IF(LEFT(BD9,1)&lt;&gt;LEFT(BM9,1),"YES",IF(LEFT(BM9,1)="x","NO","NA"))</f>
        <v>NA</v>
      </c>
      <c r="BP9" s="69"/>
      <c r="BQ9" s="70"/>
      <c r="BR9" s="71"/>
      <c r="BS9" s="70"/>
      <c r="BT9" s="72"/>
      <c r="BU9" s="67"/>
      <c r="BV9" s="68"/>
      <c r="BW9" s="73" t="str">
        <f>IF(LEFT(BV9,1)&lt;&gt;"x","NA",IF(OR(RIGHT(BU9,3)=RIGHT(BL9,3),),IF(OR(RIGHT(BU9,3)&lt;&gt;RIGHT(BL9,3),),IF(OR(AND(RIGHT(BU9,3)=RIGHT(BL9,3),,BV9=BM9)),"NO","YES"),"NO"),IF(OR(RIGHT(BU9,3)=RIGHT(BL9,3),),"ERROR","YES")))</f>
        <v>NA</v>
      </c>
      <c r="BX9" s="73" t="str">
        <f>IF(LEFT(BM9,1)&lt;&gt;LEFT(BV9,1),"YES",IF(LEFT(BV9,1)="x","NO","NA"))</f>
        <v>NA</v>
      </c>
      <c r="BY9" s="69"/>
      <c r="BZ9" s="70"/>
      <c r="CA9" s="71"/>
      <c r="CB9" s="70"/>
      <c r="CC9" s="72"/>
      <c r="CD9" s="67"/>
      <c r="CE9" s="68"/>
      <c r="CF9" s="73" t="str">
        <f>IF(LEFT(CE9,1)&lt;&gt;"x","NA",IF(OR(RIGHT(CD9,3)=RIGHT(BU9,3),),IF(OR(RIGHT(CD9,3)&lt;&gt;RIGHT(BU9,3),),IF(OR(AND(RIGHT(CD9,3)=RIGHT(BU9,3),,CE9=BV9)),"NO","YES"),"NO"),IF(OR(RIGHT(CD9,3)=RIGHT(BU9,3),),"ERROR","YES")))</f>
        <v>NA</v>
      </c>
      <c r="CG9" s="73" t="str">
        <f>IF(LEFT(BV9,1)&lt;&gt;LEFT(CE9,1),"YES",IF(LEFT(CE9,1)="x","NO","NA"))</f>
        <v>NA</v>
      </c>
      <c r="CH9" s="69"/>
      <c r="CI9" s="70"/>
      <c r="CJ9" s="71"/>
      <c r="CK9" s="70"/>
      <c r="CL9" s="72"/>
      <c r="CM9" s="67"/>
      <c r="CN9" s="68"/>
      <c r="CO9" s="73" t="str">
        <f>IF(LEFT(CN9,1)&lt;&gt;"x","NA",IF(OR(RIGHT(CM9,3)=RIGHT(CD9,3),),IF(OR(RIGHT(CM9,3)&lt;&gt;RIGHT(CD9,3),),IF(OR(AND(RIGHT(CM9,3)=RIGHT(CD9,3),,CN9=CE9)),"NO","YES"),"NO"),IF(OR(RIGHT(CM9,3)=RIGHT(CD9,3),),"ERROR","YES")))</f>
        <v>NA</v>
      </c>
      <c r="CP9" s="73" t="str">
        <f>IF(LEFT(CE9,1)&lt;&gt;LEFT(CN9,1),"YES",IF(LEFT(CN9,1)="x","NO","NA"))</f>
        <v>NA</v>
      </c>
      <c r="CQ9" s="69"/>
      <c r="CR9" s="70"/>
      <c r="CS9" s="71"/>
      <c r="CT9" s="70"/>
      <c r="CU9" s="74"/>
    </row>
    <row r="10" spans="1:99" ht="16.5" thickBot="1" x14ac:dyDescent="0.3">
      <c r="A10" s="99" t="s">
        <v>69</v>
      </c>
      <c r="B10" s="72"/>
      <c r="C10" s="119" t="s">
        <v>90</v>
      </c>
      <c r="D10" s="118"/>
      <c r="E10" s="75"/>
      <c r="F10" s="76"/>
      <c r="G10" s="77"/>
      <c r="H10" s="76"/>
      <c r="I10" s="72"/>
      <c r="J10" s="96"/>
      <c r="K10" s="68"/>
      <c r="L10" s="73" t="str">
        <f t="shared" ref="L10:L24" si="2">IF(LEFT(K10,1)&lt;&gt;"x","NA",IF(OR(RIGHT(J10,3)=RIGHT(C10,3),),IF(OR(RIGHT(J10,3)&lt;&gt;RIGHT(C10,3),),IF(OR(AND(RIGHT(J10,3)=RIGHT(C10,3),,K10=D10)),"NO","YES"),"NO"),IF(OR(RIGHT(J10,3)=RIGHT(C10,3),),"ERROR","YES")))</f>
        <v>NA</v>
      </c>
      <c r="M10" s="73" t="str">
        <f t="shared" si="0"/>
        <v>NA</v>
      </c>
      <c r="N10" s="75"/>
      <c r="O10" s="76"/>
      <c r="P10" s="77"/>
      <c r="Q10" s="76"/>
      <c r="R10" s="72"/>
      <c r="S10" s="67"/>
      <c r="T10" s="68"/>
      <c r="U10" s="73" t="str">
        <f>IF(LEFT(T10,1)&lt;&gt;"x","NA",IF(OR(RIGHT(S10,3)=RIGHT(J10,3),),IF(OR(RIGHT(S10,3)&lt;&gt;RIGHT(J10,3),),IF(OR(AND(RIGHT(S10,3)=RIGHT(J10,3),,T10=K10)),"NO","YES"),"NO"),IF(OR(RIGHT(S10,3)=RIGHT(J10,3),),"ERROR","YES")))</f>
        <v>NA</v>
      </c>
      <c r="V10" s="73" t="str">
        <f>IF(LEFT(K10,1)&lt;&gt;LEFT(T10,1),"YES",IF(LEFT(T10,1)="x","NO","NA"))</f>
        <v>NA</v>
      </c>
      <c r="W10" s="75"/>
      <c r="X10" s="76"/>
      <c r="Y10" s="77"/>
      <c r="Z10" s="76"/>
      <c r="AA10" s="72"/>
      <c r="AB10" s="101"/>
      <c r="AC10" s="103"/>
      <c r="AD10" s="101"/>
      <c r="AE10" s="103"/>
      <c r="AF10" s="101"/>
      <c r="AG10" s="103"/>
      <c r="AH10" s="101"/>
      <c r="AI10" s="103"/>
      <c r="AJ10" s="72"/>
      <c r="AK10" s="67"/>
      <c r="AL10" s="68"/>
      <c r="AM10" s="73" t="str">
        <f t="shared" ref="AM10:AM24" si="3">IF(LEFT(AL10,1)&lt;&gt;"x","NA",IF(OR(RIGHT(AK10,3)=RIGHT(S10,3),),IF(OR(RIGHT(AK10,3)&lt;&gt;RIGHT(S10,3),),IF(OR(AND(RIGHT(AK10,3)=RIGHT(S10,3),,AL10=T10)),"NO","YES"),"NO"),IF(OR(RIGHT(AK10,3)=RIGHT(S10,3),),"ERROR","YES")))</f>
        <v>NA</v>
      </c>
      <c r="AN10" s="73" t="str">
        <f t="shared" ref="AN10:AN24" si="4">IF(LEFT(T10,1)&lt;&gt;LEFT(AL10,1),"YES",IF(LEFT(AL10,1)="x","NO","NA"))</f>
        <v>NA</v>
      </c>
      <c r="AO10" s="75"/>
      <c r="AP10" s="76"/>
      <c r="AQ10" s="77"/>
      <c r="AR10" s="76"/>
      <c r="AS10" s="72"/>
      <c r="AT10" s="67"/>
      <c r="AU10" s="68"/>
      <c r="AV10" s="73" t="str">
        <f>IF(LEFT(AU10,1)&lt;&gt;"x","NA",IF(OR(RIGHT(AT10,3)=RIGHT(AK10,3),RIGHT(#REF!,3)=RIGHT(#REF!,3)),IF(OR(RIGHT(AT10,3)&lt;&gt;RIGHT(AK10,3),RIGHT(#REF!,3)&lt;&gt;RIGHT(#REF!,3)),IF(OR(AND(RIGHT(AT10,3)=RIGHT(AK10,3),RIGHT(#REF!,3)=RIGHT(#REF!,3),AU10=AL10)),"NO","YES"),"NO"),IF(OR(RIGHT(AT10,3)=RIGHT(AK10,3),RIGHT(#REF!,3)=RIGHT(#REF!,3)),"ERROR","YES")))</f>
        <v>NA</v>
      </c>
      <c r="AW10" s="73" t="str">
        <f t="shared" si="1"/>
        <v>NA</v>
      </c>
      <c r="AX10" s="75"/>
      <c r="AY10" s="76"/>
      <c r="AZ10" s="77"/>
      <c r="BA10" s="76"/>
      <c r="BB10" s="72"/>
      <c r="BC10" s="67"/>
      <c r="BD10" s="68"/>
      <c r="BE10" s="73" t="str">
        <f t="shared" ref="BE10:BE24" si="5">IF(LEFT(BD10,1)&lt;&gt;"x","NA",IF(OR(RIGHT(BC10,3)=RIGHT(AT10,3),),IF(OR(RIGHT(BC10,3)&lt;&gt;RIGHT(AT10,3),),IF(OR(AND(RIGHT(BC10,3)=RIGHT(AT10,3),,BD10=AU10)),"NO","YES"),"NO"),IF(OR(RIGHT(BC10,3)=RIGHT(AT10,3),),"ERROR","YES")))</f>
        <v>NA</v>
      </c>
      <c r="BF10" s="73" t="str">
        <f t="shared" ref="BF10:BF24" si="6">IF(LEFT(AU10,1)&lt;&gt;LEFT(BD10,1),"YES",IF(LEFT(BD10,1)="x","NO","NA"))</f>
        <v>NA</v>
      </c>
      <c r="BG10" s="75"/>
      <c r="BH10" s="76"/>
      <c r="BI10" s="77"/>
      <c r="BJ10" s="76"/>
      <c r="BK10" s="72"/>
      <c r="BL10" s="67"/>
      <c r="BM10" s="68"/>
      <c r="BN10" s="73" t="str">
        <f t="shared" ref="BN10:BN24" si="7">IF(LEFT(BM10,1)&lt;&gt;"x","NA",IF(OR(RIGHT(BL10,3)=RIGHT(BC10,3),),IF(OR(RIGHT(BL10,3)&lt;&gt;RIGHT(BC10,3),),IF(OR(AND(RIGHT(BL10,3)=RIGHT(BC10,3),,BM10=BD10)),"NO","YES"),"NO"),IF(OR(RIGHT(BL10,3)=RIGHT(BC10,3),),"ERROR","YES")))</f>
        <v>NA</v>
      </c>
      <c r="BO10" s="73" t="str">
        <f t="shared" ref="BO10:BO24" si="8">IF(LEFT(BD10,1)&lt;&gt;LEFT(BM10,1),"YES",IF(LEFT(BM10,1)="x","NO","NA"))</f>
        <v>NA</v>
      </c>
      <c r="BP10" s="75"/>
      <c r="BQ10" s="76"/>
      <c r="BR10" s="77"/>
      <c r="BS10" s="76"/>
      <c r="BT10" s="72"/>
      <c r="BU10" s="67"/>
      <c r="BV10" s="68"/>
      <c r="BW10" s="73" t="str">
        <f t="shared" ref="BW10:BW24" si="9">IF(LEFT(BV10,1)&lt;&gt;"x","NA",IF(OR(RIGHT(BU10,3)=RIGHT(BL10,3),),IF(OR(RIGHT(BU10,3)&lt;&gt;RIGHT(BL10,3),),IF(OR(AND(RIGHT(BU10,3)=RIGHT(BL10,3),,BV10=BM10)),"NO","YES"),"NO"),IF(OR(RIGHT(BU10,3)=RIGHT(BL10,3),),"ERROR","YES")))</f>
        <v>NA</v>
      </c>
      <c r="BX10" s="73" t="str">
        <f t="shared" ref="BX10:BX24" si="10">IF(LEFT(BM10,1)&lt;&gt;LEFT(BV10,1),"YES",IF(LEFT(BV10,1)="x","NO","NA"))</f>
        <v>NA</v>
      </c>
      <c r="BY10" s="75"/>
      <c r="BZ10" s="76"/>
      <c r="CA10" s="77"/>
      <c r="CB10" s="76"/>
      <c r="CC10" s="72"/>
      <c r="CD10" s="67"/>
      <c r="CE10" s="68"/>
      <c r="CF10" s="73" t="str">
        <f t="shared" ref="CF10:CF24" si="11">IF(LEFT(CE10,1)&lt;&gt;"x","NA",IF(OR(RIGHT(CD10,3)=RIGHT(BU10,3),),IF(OR(RIGHT(CD10,3)&lt;&gt;RIGHT(BU10,3),),IF(OR(AND(RIGHT(CD10,3)=RIGHT(BU10,3),,CE10=BV10)),"NO","YES"),"NO"),IF(OR(RIGHT(CD10,3)=RIGHT(BU10,3),),"ERROR","YES")))</f>
        <v>NA</v>
      </c>
      <c r="CG10" s="73" t="str">
        <f t="shared" ref="CG10:CG24" si="12">IF(LEFT(BV10,1)&lt;&gt;LEFT(CE10,1),"YES",IF(LEFT(CE10,1)="x","NO","NA"))</f>
        <v>NA</v>
      </c>
      <c r="CH10" s="75"/>
      <c r="CI10" s="76"/>
      <c r="CJ10" s="77"/>
      <c r="CK10" s="76"/>
      <c r="CL10" s="72"/>
      <c r="CM10" s="67"/>
      <c r="CN10" s="68"/>
      <c r="CO10" s="73" t="str">
        <f t="shared" ref="CO10:CO24" si="13">IF(LEFT(CN10,1)&lt;&gt;"x","NA",IF(OR(RIGHT(CM10,3)=RIGHT(CD10,3),),IF(OR(RIGHT(CM10,3)&lt;&gt;RIGHT(CD10,3),),IF(OR(AND(RIGHT(CM10,3)=RIGHT(CD10,3),,CN10=CE10)),"NO","YES"),"NO"),IF(OR(RIGHT(CM10,3)=RIGHT(CD10,3),),"ERROR","YES")))</f>
        <v>NA</v>
      </c>
      <c r="CP10" s="73" t="str">
        <f t="shared" ref="CP10:CP24" si="14">IF(LEFT(CE10,1)&lt;&gt;LEFT(CN10,1),"YES",IF(LEFT(CN10,1)="x","NO","NA"))</f>
        <v>NA</v>
      </c>
      <c r="CQ10" s="75"/>
      <c r="CR10" s="76"/>
      <c r="CS10" s="77"/>
      <c r="CT10" s="76"/>
      <c r="CU10" s="74"/>
    </row>
    <row r="11" spans="1:99" ht="14.5" thickBot="1" x14ac:dyDescent="0.3">
      <c r="A11" s="99" t="s">
        <v>91</v>
      </c>
      <c r="B11" s="72"/>
      <c r="C11" s="119" t="s">
        <v>92</v>
      </c>
      <c r="D11" s="118"/>
      <c r="E11" s="75"/>
      <c r="F11" s="76"/>
      <c r="G11" s="77"/>
      <c r="H11" s="76"/>
      <c r="I11" s="72"/>
      <c r="J11" s="96"/>
      <c r="K11" s="68"/>
      <c r="L11" s="73" t="str">
        <f t="shared" ref="L11" si="15">IF(LEFT(K11,1)&lt;&gt;"x","NA",IF(OR(RIGHT(J11,3)=RIGHT(C11,3),),IF(OR(RIGHT(J11,3)&lt;&gt;RIGHT(C11,3),),IF(OR(AND(RIGHT(J11,3)=RIGHT(C11,3),,K11=D11)),"NO","YES"),"NO"),IF(OR(RIGHT(J11,3)=RIGHT(C11,3),),"ERROR","YES")))</f>
        <v>NA</v>
      </c>
      <c r="M11" s="73" t="str">
        <f t="shared" ref="M11" si="16">IF(LEFT(D11,1)&lt;&gt;LEFT(K11,1),"YES",IF(LEFT(K11,1)="x","NO","NA"))</f>
        <v>NA</v>
      </c>
      <c r="N11" s="75"/>
      <c r="O11" s="76"/>
      <c r="P11" s="77"/>
      <c r="Q11" s="76"/>
      <c r="R11" s="72"/>
      <c r="S11" s="67"/>
      <c r="T11" s="68"/>
      <c r="U11" s="73" t="str">
        <f t="shared" ref="U11" si="17">IF(LEFT(T11,1)&lt;&gt;"x","NA",IF(OR(RIGHT(S11,3)=RIGHT(J11,3),),IF(OR(RIGHT(S11,3)&lt;&gt;RIGHT(J11,3),),IF(OR(AND(RIGHT(S11,3)=RIGHT(J11,3),,T11=K11)),"NO","YES"),"NO"),IF(OR(RIGHT(S11,3)=RIGHT(J11,3),),"ERROR","YES")))</f>
        <v>NA</v>
      </c>
      <c r="V11" s="73" t="str">
        <f t="shared" ref="V11" si="18">IF(LEFT(K11,1)&lt;&gt;LEFT(T11,1),"YES",IF(LEFT(T11,1)="x","NO","NA"))</f>
        <v>NA</v>
      </c>
      <c r="W11" s="75"/>
      <c r="X11" s="76"/>
      <c r="Y11" s="77"/>
      <c r="Z11" s="76"/>
      <c r="AA11" s="72"/>
      <c r="AB11" s="101"/>
      <c r="AC11" s="102"/>
      <c r="AD11" s="101"/>
      <c r="AE11" s="102"/>
      <c r="AF11" s="101"/>
      <c r="AG11" s="102"/>
      <c r="AH11" s="101"/>
      <c r="AI11" s="102"/>
      <c r="AJ11" s="72"/>
      <c r="AK11" s="67"/>
      <c r="AL11" s="68"/>
      <c r="AM11" s="73" t="str">
        <f>IF(LEFT(AL11,1)&lt;&gt;"x","NA",IF(OR(RIGHT(AK11,3)=RIGHT(S11,3),),IF(OR(RIGHT(AK11,3)&lt;&gt;RIGHT(S11,3),),IF(OR(AND(RIGHT(AK11,3)=RIGHT(S11,3),,AL11=T11)),"NO","YES"),"NO"),IF(OR(RIGHT(AK11,3)=RIGHT(S11,3),),"ERROR","YES")))</f>
        <v>NA</v>
      </c>
      <c r="AN11" s="73" t="str">
        <f t="shared" ref="AN11" si="19">IF(LEFT(T11,1)&lt;&gt;LEFT(AL11,1),"YES",IF(LEFT(AL11,1)="x","NO","NA"))</f>
        <v>NA</v>
      </c>
      <c r="AO11" s="75"/>
      <c r="AP11" s="76"/>
      <c r="AQ11" s="77"/>
      <c r="AR11" s="76"/>
      <c r="AS11" s="72"/>
      <c r="AT11" s="67"/>
      <c r="AU11" s="68"/>
      <c r="AV11" s="73" t="str">
        <f>IF(LEFT(AU11,1)&lt;&gt;"x","NA",IF(OR(RIGHT(AT11,3)=RIGHT(AK11,3),RIGHT(#REF!,3)=RIGHT(#REF!,3)),IF(OR(RIGHT(AT11,3)&lt;&gt;RIGHT(AK11,3),RIGHT(#REF!,3)&lt;&gt;RIGHT(#REF!,3)),IF(OR(AND(RIGHT(AT11,3)=RIGHT(AK11,3),RIGHT(#REF!,3)=RIGHT(#REF!,3),AU11=AL11)),"NO","YES"),"NO"),IF(OR(RIGHT(AT11,3)=RIGHT(AK11,3),RIGHT(#REF!,3)=RIGHT(#REF!,3)),"ERROR","YES")))</f>
        <v>NA</v>
      </c>
      <c r="AW11" s="73" t="str">
        <f t="shared" ref="AW11" si="20">IF(LEFT(AL11,1)&lt;&gt;LEFT(AU11,1),"YES",IF(LEFT(AU11,1)="x","NO","NA"))</f>
        <v>NA</v>
      </c>
      <c r="AX11" s="75"/>
      <c r="AY11" s="76"/>
      <c r="AZ11" s="77"/>
      <c r="BA11" s="76"/>
      <c r="BB11" s="72"/>
      <c r="BC11" s="67"/>
      <c r="BD11" s="68"/>
      <c r="BE11" s="73" t="str">
        <f t="shared" ref="BE11" si="21">IF(LEFT(BD11,1)&lt;&gt;"x","NA",IF(OR(RIGHT(BC11,3)=RIGHT(AT11,3),),IF(OR(RIGHT(BC11,3)&lt;&gt;RIGHT(AT11,3),),IF(OR(AND(RIGHT(BC11,3)=RIGHT(AT11,3),,BD11=AU11)),"NO","YES"),"NO"),IF(OR(RIGHT(BC11,3)=RIGHT(AT11,3),),"ERROR","YES")))</f>
        <v>NA</v>
      </c>
      <c r="BF11" s="73" t="str">
        <f t="shared" ref="BF11" si="22">IF(LEFT(AU11,1)&lt;&gt;LEFT(BD11,1),"YES",IF(LEFT(BD11,1)="x","NO","NA"))</f>
        <v>NA</v>
      </c>
      <c r="BG11" s="75"/>
      <c r="BH11" s="76"/>
      <c r="BI11" s="77"/>
      <c r="BJ11" s="76"/>
      <c r="BK11" s="72"/>
      <c r="BL11" s="67"/>
      <c r="BM11" s="68"/>
      <c r="BN11" s="73" t="str">
        <f t="shared" ref="BN11" si="23">IF(LEFT(BM11,1)&lt;&gt;"x","NA",IF(OR(RIGHT(BL11,3)=RIGHT(BC11,3),),IF(OR(RIGHT(BL11,3)&lt;&gt;RIGHT(BC11,3),),IF(OR(AND(RIGHT(BL11,3)=RIGHT(BC11,3),,BM11=BD11)),"NO","YES"),"NO"),IF(OR(RIGHT(BL11,3)=RIGHT(BC11,3),),"ERROR","YES")))</f>
        <v>NA</v>
      </c>
      <c r="BO11" s="73" t="str">
        <f t="shared" ref="BO11" si="24">IF(LEFT(BD11,1)&lt;&gt;LEFT(BM11,1),"YES",IF(LEFT(BM11,1)="x","NO","NA"))</f>
        <v>NA</v>
      </c>
      <c r="BP11" s="75"/>
      <c r="BQ11" s="76"/>
      <c r="BR11" s="77"/>
      <c r="BS11" s="76"/>
      <c r="BT11" s="72"/>
      <c r="BU11" s="67"/>
      <c r="BV11" s="68"/>
      <c r="BW11" s="73" t="str">
        <f t="shared" ref="BW11" si="25">IF(LEFT(BV11,1)&lt;&gt;"x","NA",IF(OR(RIGHT(BU11,3)=RIGHT(BL11,3),),IF(OR(RIGHT(BU11,3)&lt;&gt;RIGHT(BL11,3),),IF(OR(AND(RIGHT(BU11,3)=RIGHT(BL11,3),,BV11=BM11)),"NO","YES"),"NO"),IF(OR(RIGHT(BU11,3)=RIGHT(BL11,3),),"ERROR","YES")))</f>
        <v>NA</v>
      </c>
      <c r="BX11" s="73" t="str">
        <f t="shared" ref="BX11" si="26">IF(LEFT(BM11,1)&lt;&gt;LEFT(BV11,1),"YES",IF(LEFT(BV11,1)="x","NO","NA"))</f>
        <v>NA</v>
      </c>
      <c r="BY11" s="75"/>
      <c r="BZ11" s="76"/>
      <c r="CA11" s="77"/>
      <c r="CB11" s="76"/>
      <c r="CC11" s="72"/>
      <c r="CD11" s="67"/>
      <c r="CE11" s="68"/>
      <c r="CF11" s="73" t="str">
        <f t="shared" ref="CF11" si="27">IF(LEFT(CE11,1)&lt;&gt;"x","NA",IF(OR(RIGHT(CD11,3)=RIGHT(BU11,3),),IF(OR(RIGHT(CD11,3)&lt;&gt;RIGHT(BU11,3),),IF(OR(AND(RIGHT(CD11,3)=RIGHT(BU11,3),,CE11=BV11)),"NO","YES"),"NO"),IF(OR(RIGHT(CD11,3)=RIGHT(BU11,3),),"ERROR","YES")))</f>
        <v>NA</v>
      </c>
      <c r="CG11" s="73" t="str">
        <f t="shared" ref="CG11" si="28">IF(LEFT(BV11,1)&lt;&gt;LEFT(CE11,1),"YES",IF(LEFT(CE11,1)="x","NO","NA"))</f>
        <v>NA</v>
      </c>
      <c r="CH11" s="75"/>
      <c r="CI11" s="76"/>
      <c r="CJ11" s="77"/>
      <c r="CK11" s="76"/>
      <c r="CL11" s="72"/>
      <c r="CM11" s="67"/>
      <c r="CN11" s="68"/>
      <c r="CO11" s="73" t="str">
        <f t="shared" ref="CO11" si="29">IF(LEFT(CN11,1)&lt;&gt;"x","NA",IF(OR(RIGHT(CM11,3)=RIGHT(CD11,3),),IF(OR(RIGHT(CM11,3)&lt;&gt;RIGHT(CD11,3),),IF(OR(AND(RIGHT(CM11,3)=RIGHT(CD11,3),,CN11=CE11)),"NO","YES"),"NO"),IF(OR(RIGHT(CM11,3)=RIGHT(CD11,3),),"ERROR","YES")))</f>
        <v>NA</v>
      </c>
      <c r="CP11" s="73" t="str">
        <f t="shared" ref="CP11" si="30">IF(LEFT(CE11,1)&lt;&gt;LEFT(CN11,1),"YES",IF(LEFT(CN11,1)="x","NO","NA"))</f>
        <v>NA</v>
      </c>
      <c r="CQ11" s="75"/>
      <c r="CR11" s="76"/>
      <c r="CS11" s="77"/>
      <c r="CT11" s="76"/>
      <c r="CU11" s="74"/>
    </row>
    <row r="12" spans="1:99" ht="16.5" thickBot="1" x14ac:dyDescent="0.3">
      <c r="A12" s="99" t="s">
        <v>70</v>
      </c>
      <c r="B12" s="72"/>
      <c r="C12" s="119" t="s">
        <v>93</v>
      </c>
      <c r="D12" s="118"/>
      <c r="E12" s="75"/>
      <c r="F12" s="76"/>
      <c r="G12" s="77"/>
      <c r="H12" s="76"/>
      <c r="I12" s="72"/>
      <c r="J12" s="96"/>
      <c r="K12" s="68"/>
      <c r="L12" s="73" t="str">
        <f t="shared" si="2"/>
        <v>NA</v>
      </c>
      <c r="M12" s="73" t="str">
        <f t="shared" si="0"/>
        <v>NA</v>
      </c>
      <c r="N12" s="75"/>
      <c r="O12" s="76"/>
      <c r="P12" s="77"/>
      <c r="Q12" s="76"/>
      <c r="R12" s="72"/>
      <c r="S12" s="67"/>
      <c r="T12" s="68"/>
      <c r="U12" s="73" t="str">
        <f t="shared" ref="U12:U24" si="31">IF(LEFT(T12,1)&lt;&gt;"x","NA",IF(OR(RIGHT(S12,3)=RIGHT(J12,3),),IF(OR(RIGHT(S12,3)&lt;&gt;RIGHT(J12,3),),IF(OR(AND(RIGHT(S12,3)=RIGHT(J12,3),,T12=K12)),"NO","YES"),"NO"),IF(OR(RIGHT(S12,3)=RIGHT(J12,3),),"ERROR","YES")))</f>
        <v>NA</v>
      </c>
      <c r="V12" s="73" t="str">
        <f t="shared" ref="V12:V24" si="32">IF(LEFT(K12,1)&lt;&gt;LEFT(T12,1),"YES",IF(LEFT(T12,1)="x","NO","NA"))</f>
        <v>NA</v>
      </c>
      <c r="W12" s="75"/>
      <c r="X12" s="76"/>
      <c r="Y12" s="77"/>
      <c r="Z12" s="76"/>
      <c r="AA12" s="72"/>
      <c r="AB12" s="101"/>
      <c r="AC12" s="102"/>
      <c r="AD12" s="101"/>
      <c r="AE12" s="102"/>
      <c r="AF12" s="101"/>
      <c r="AG12" s="102"/>
      <c r="AH12" s="101"/>
      <c r="AI12" s="102"/>
      <c r="AJ12" s="72"/>
      <c r="AK12" s="67"/>
      <c r="AL12" s="68"/>
      <c r="AM12" s="73" t="str">
        <f>IF(LEFT(AL12,1)&lt;&gt;"x","NA",IF(OR(RIGHT(AK12,3)=RIGHT(S12,3),),IF(OR(RIGHT(AK12,3)&lt;&gt;RIGHT(S12,3),),IF(OR(AND(RIGHT(AK12,3)=RIGHT(S12,3),,AL12=T12)),"NO","YES"),"NO"),IF(OR(RIGHT(AK12,3)=RIGHT(S12,3),),"ERROR","YES")))</f>
        <v>NA</v>
      </c>
      <c r="AN12" s="73" t="str">
        <f t="shared" si="4"/>
        <v>NA</v>
      </c>
      <c r="AO12" s="75"/>
      <c r="AP12" s="76"/>
      <c r="AQ12" s="77"/>
      <c r="AR12" s="76"/>
      <c r="AS12" s="72"/>
      <c r="AT12" s="67"/>
      <c r="AU12" s="68"/>
      <c r="AV12" s="73" t="str">
        <f>IF(LEFT(AU12,1)&lt;&gt;"x","NA",IF(OR(RIGHT(AT12,3)=RIGHT(AK12,3),RIGHT(#REF!,3)=RIGHT(#REF!,3)),IF(OR(RIGHT(AT12,3)&lt;&gt;RIGHT(AK12,3),RIGHT(#REF!,3)&lt;&gt;RIGHT(#REF!,3)),IF(OR(AND(RIGHT(AT12,3)=RIGHT(AK12,3),RIGHT(#REF!,3)=RIGHT(#REF!,3),AU12=AL12)),"NO","YES"),"NO"),IF(OR(RIGHT(AT12,3)=RIGHT(AK12,3),RIGHT(#REF!,3)=RIGHT(#REF!,3)),"ERROR","YES")))</f>
        <v>NA</v>
      </c>
      <c r="AW12" s="73" t="str">
        <f t="shared" si="1"/>
        <v>NA</v>
      </c>
      <c r="AX12" s="75"/>
      <c r="AY12" s="76"/>
      <c r="AZ12" s="77"/>
      <c r="BA12" s="76"/>
      <c r="BB12" s="72"/>
      <c r="BC12" s="67"/>
      <c r="BD12" s="68"/>
      <c r="BE12" s="73" t="str">
        <f t="shared" si="5"/>
        <v>NA</v>
      </c>
      <c r="BF12" s="73" t="str">
        <f t="shared" si="6"/>
        <v>NA</v>
      </c>
      <c r="BG12" s="75"/>
      <c r="BH12" s="76"/>
      <c r="BI12" s="77"/>
      <c r="BJ12" s="76"/>
      <c r="BK12" s="72"/>
      <c r="BL12" s="67"/>
      <c r="BM12" s="68"/>
      <c r="BN12" s="73" t="str">
        <f t="shared" si="7"/>
        <v>NA</v>
      </c>
      <c r="BO12" s="73" t="str">
        <f t="shared" si="8"/>
        <v>NA</v>
      </c>
      <c r="BP12" s="75"/>
      <c r="BQ12" s="76"/>
      <c r="BR12" s="77"/>
      <c r="BS12" s="76"/>
      <c r="BT12" s="72"/>
      <c r="BU12" s="67"/>
      <c r="BV12" s="68"/>
      <c r="BW12" s="73" t="str">
        <f t="shared" si="9"/>
        <v>NA</v>
      </c>
      <c r="BX12" s="73" t="str">
        <f t="shared" si="10"/>
        <v>NA</v>
      </c>
      <c r="BY12" s="75"/>
      <c r="BZ12" s="76"/>
      <c r="CA12" s="77"/>
      <c r="CB12" s="76"/>
      <c r="CC12" s="72"/>
      <c r="CD12" s="67"/>
      <c r="CE12" s="68"/>
      <c r="CF12" s="73" t="str">
        <f t="shared" si="11"/>
        <v>NA</v>
      </c>
      <c r="CG12" s="73" t="str">
        <f t="shared" si="12"/>
        <v>NA</v>
      </c>
      <c r="CH12" s="75"/>
      <c r="CI12" s="76"/>
      <c r="CJ12" s="77"/>
      <c r="CK12" s="76"/>
      <c r="CL12" s="72"/>
      <c r="CM12" s="67"/>
      <c r="CN12" s="68"/>
      <c r="CO12" s="73" t="str">
        <f t="shared" si="13"/>
        <v>NA</v>
      </c>
      <c r="CP12" s="73" t="str">
        <f t="shared" si="14"/>
        <v>NA</v>
      </c>
      <c r="CQ12" s="75"/>
      <c r="CR12" s="76"/>
      <c r="CS12" s="77"/>
      <c r="CT12" s="76"/>
      <c r="CU12" s="74"/>
    </row>
    <row r="13" spans="1:99" ht="16.5" thickBot="1" x14ac:dyDescent="0.3">
      <c r="A13" s="99" t="s">
        <v>71</v>
      </c>
      <c r="B13" s="72"/>
      <c r="C13" s="119" t="s">
        <v>94</v>
      </c>
      <c r="D13" s="118"/>
      <c r="E13" s="75"/>
      <c r="F13" s="76"/>
      <c r="G13" s="77"/>
      <c r="H13" s="76"/>
      <c r="I13" s="72"/>
      <c r="J13" s="96"/>
      <c r="K13" s="68"/>
      <c r="L13" s="73" t="str">
        <f t="shared" si="2"/>
        <v>NA</v>
      </c>
      <c r="M13" s="73" t="str">
        <f t="shared" si="0"/>
        <v>NA</v>
      </c>
      <c r="N13" s="75"/>
      <c r="O13" s="76"/>
      <c r="P13" s="77"/>
      <c r="Q13" s="76"/>
      <c r="R13" s="72"/>
      <c r="S13" s="67"/>
      <c r="T13" s="68"/>
      <c r="U13" s="73" t="str">
        <f t="shared" si="31"/>
        <v>NA</v>
      </c>
      <c r="V13" s="73" t="str">
        <f t="shared" si="32"/>
        <v>NA</v>
      </c>
      <c r="W13" s="75"/>
      <c r="X13" s="76"/>
      <c r="Y13" s="77"/>
      <c r="Z13" s="76"/>
      <c r="AA13" s="72"/>
      <c r="AB13" s="101"/>
      <c r="AC13" s="102"/>
      <c r="AD13" s="101"/>
      <c r="AE13" s="102"/>
      <c r="AF13" s="101"/>
      <c r="AG13" s="102"/>
      <c r="AH13" s="101"/>
      <c r="AI13" s="102"/>
      <c r="AJ13" s="72"/>
      <c r="AK13" s="67"/>
      <c r="AL13" s="68"/>
      <c r="AM13" s="73" t="str">
        <f t="shared" si="3"/>
        <v>NA</v>
      </c>
      <c r="AN13" s="73" t="str">
        <f t="shared" si="4"/>
        <v>NA</v>
      </c>
      <c r="AO13" s="75"/>
      <c r="AP13" s="76"/>
      <c r="AQ13" s="77"/>
      <c r="AR13" s="76"/>
      <c r="AS13" s="72"/>
      <c r="AT13" s="67"/>
      <c r="AU13" s="68"/>
      <c r="AV13" s="73" t="str">
        <f>IF(LEFT(AU13,1)&lt;&gt;"x","NA",IF(OR(RIGHT(AT13,3)=RIGHT(AK13,3),RIGHT(#REF!,3)=RIGHT(#REF!,3)),IF(OR(RIGHT(AT13,3)&lt;&gt;RIGHT(AK13,3),RIGHT(#REF!,3)&lt;&gt;RIGHT(#REF!,3)),IF(OR(AND(RIGHT(AT13,3)=RIGHT(AK13,3),RIGHT(#REF!,3)=RIGHT(#REF!,3),AU13=AL13)),"NO","YES"),"NO"),IF(OR(RIGHT(AT13,3)=RIGHT(AK13,3),RIGHT(#REF!,3)=RIGHT(#REF!,3)),"ERROR","YES")))</f>
        <v>NA</v>
      </c>
      <c r="AW13" s="73" t="str">
        <f t="shared" si="1"/>
        <v>NA</v>
      </c>
      <c r="AX13" s="75"/>
      <c r="AY13" s="76"/>
      <c r="AZ13" s="77"/>
      <c r="BA13" s="76"/>
      <c r="BB13" s="72"/>
      <c r="BC13" s="67"/>
      <c r="BD13" s="68"/>
      <c r="BE13" s="73" t="str">
        <f t="shared" si="5"/>
        <v>NA</v>
      </c>
      <c r="BF13" s="73" t="str">
        <f t="shared" si="6"/>
        <v>NA</v>
      </c>
      <c r="BG13" s="75"/>
      <c r="BH13" s="76"/>
      <c r="BI13" s="77"/>
      <c r="BJ13" s="76"/>
      <c r="BK13" s="72"/>
      <c r="BL13" s="67"/>
      <c r="BM13" s="68"/>
      <c r="BN13" s="73" t="str">
        <f t="shared" si="7"/>
        <v>NA</v>
      </c>
      <c r="BO13" s="73" t="str">
        <f t="shared" si="8"/>
        <v>NA</v>
      </c>
      <c r="BP13" s="75"/>
      <c r="BQ13" s="76"/>
      <c r="BR13" s="77"/>
      <c r="BS13" s="76"/>
      <c r="BT13" s="72"/>
      <c r="BU13" s="67"/>
      <c r="BV13" s="68"/>
      <c r="BW13" s="73" t="str">
        <f t="shared" si="9"/>
        <v>NA</v>
      </c>
      <c r="BX13" s="73" t="str">
        <f t="shared" si="10"/>
        <v>NA</v>
      </c>
      <c r="BY13" s="75"/>
      <c r="BZ13" s="76"/>
      <c r="CA13" s="77"/>
      <c r="CB13" s="76"/>
      <c r="CC13" s="72"/>
      <c r="CD13" s="67"/>
      <c r="CE13" s="68"/>
      <c r="CF13" s="73" t="str">
        <f t="shared" si="11"/>
        <v>NA</v>
      </c>
      <c r="CG13" s="73" t="str">
        <f t="shared" si="12"/>
        <v>NA</v>
      </c>
      <c r="CH13" s="75"/>
      <c r="CI13" s="76"/>
      <c r="CJ13" s="77"/>
      <c r="CK13" s="76"/>
      <c r="CL13" s="72"/>
      <c r="CM13" s="67"/>
      <c r="CN13" s="68"/>
      <c r="CO13" s="73" t="str">
        <f t="shared" si="13"/>
        <v>NA</v>
      </c>
      <c r="CP13" s="73" t="str">
        <f t="shared" si="14"/>
        <v>NA</v>
      </c>
      <c r="CQ13" s="75"/>
      <c r="CR13" s="76"/>
      <c r="CS13" s="77"/>
      <c r="CT13" s="76"/>
      <c r="CU13" s="74"/>
    </row>
    <row r="14" spans="1:99" ht="16.5" thickBot="1" x14ac:dyDescent="0.3">
      <c r="A14" s="99" t="s">
        <v>72</v>
      </c>
      <c r="B14" s="72"/>
      <c r="C14" s="119" t="s">
        <v>95</v>
      </c>
      <c r="D14" s="118"/>
      <c r="E14" s="75"/>
      <c r="F14" s="76"/>
      <c r="G14" s="77"/>
      <c r="H14" s="76"/>
      <c r="I14" s="72"/>
      <c r="J14" s="96"/>
      <c r="K14" s="68"/>
      <c r="L14" s="73" t="str">
        <f t="shared" si="2"/>
        <v>NA</v>
      </c>
      <c r="M14" s="73" t="str">
        <f t="shared" si="0"/>
        <v>NA</v>
      </c>
      <c r="N14" s="75"/>
      <c r="O14" s="76"/>
      <c r="P14" s="77"/>
      <c r="Q14" s="76"/>
      <c r="R14" s="72"/>
      <c r="S14" s="67"/>
      <c r="T14" s="68"/>
      <c r="U14" s="73" t="str">
        <f t="shared" si="31"/>
        <v>NA</v>
      </c>
      <c r="V14" s="73" t="str">
        <f t="shared" si="32"/>
        <v>NA</v>
      </c>
      <c r="W14" s="75"/>
      <c r="X14" s="76"/>
      <c r="Y14" s="77"/>
      <c r="Z14" s="76"/>
      <c r="AA14" s="72"/>
      <c r="AB14" s="101"/>
      <c r="AC14" s="102"/>
      <c r="AD14" s="101"/>
      <c r="AE14" s="102"/>
      <c r="AF14" s="101"/>
      <c r="AG14" s="102"/>
      <c r="AH14" s="101"/>
      <c r="AI14" s="102"/>
      <c r="AJ14" s="72"/>
      <c r="AK14" s="67"/>
      <c r="AL14" s="68"/>
      <c r="AM14" s="73" t="str">
        <f t="shared" si="3"/>
        <v>NA</v>
      </c>
      <c r="AN14" s="73" t="str">
        <f t="shared" si="4"/>
        <v>NA</v>
      </c>
      <c r="AO14" s="75"/>
      <c r="AP14" s="76"/>
      <c r="AQ14" s="77"/>
      <c r="AR14" s="76"/>
      <c r="AS14" s="72"/>
      <c r="AT14" s="67"/>
      <c r="AU14" s="68"/>
      <c r="AV14" s="73" t="str">
        <f>IF(LEFT(AU14,1)&lt;&gt;"x","NA",IF(OR(RIGHT(AT14,3)=RIGHT(AK14,3),RIGHT(#REF!,3)=RIGHT(#REF!,3)),IF(OR(RIGHT(AT14,3)&lt;&gt;RIGHT(AK14,3),RIGHT(#REF!,3)&lt;&gt;RIGHT(#REF!,3)),IF(OR(AND(RIGHT(AT14,3)=RIGHT(AK14,3),RIGHT(#REF!,3)=RIGHT(#REF!,3),AU14=AL14)),"NO","YES"),"NO"),IF(OR(RIGHT(AT14,3)=RIGHT(AK14,3),RIGHT(#REF!,3)=RIGHT(#REF!,3)),"ERROR","YES")))</f>
        <v>NA</v>
      </c>
      <c r="AW14" s="73" t="str">
        <f t="shared" si="1"/>
        <v>NA</v>
      </c>
      <c r="AX14" s="75"/>
      <c r="AY14" s="76"/>
      <c r="AZ14" s="77"/>
      <c r="BA14" s="76"/>
      <c r="BB14" s="72"/>
      <c r="BC14" s="67"/>
      <c r="BD14" s="68"/>
      <c r="BE14" s="73" t="str">
        <f t="shared" si="5"/>
        <v>NA</v>
      </c>
      <c r="BF14" s="73" t="str">
        <f t="shared" si="6"/>
        <v>NA</v>
      </c>
      <c r="BG14" s="75"/>
      <c r="BH14" s="76"/>
      <c r="BI14" s="77"/>
      <c r="BJ14" s="76"/>
      <c r="BK14" s="72"/>
      <c r="BL14" s="67"/>
      <c r="BM14" s="68"/>
      <c r="BN14" s="73" t="str">
        <f t="shared" si="7"/>
        <v>NA</v>
      </c>
      <c r="BO14" s="73" t="str">
        <f t="shared" si="8"/>
        <v>NA</v>
      </c>
      <c r="BP14" s="75"/>
      <c r="BQ14" s="76"/>
      <c r="BR14" s="77"/>
      <c r="BS14" s="76"/>
      <c r="BT14" s="72"/>
      <c r="BU14" s="67"/>
      <c r="BV14" s="68"/>
      <c r="BW14" s="73" t="str">
        <f t="shared" si="9"/>
        <v>NA</v>
      </c>
      <c r="BX14" s="73" t="str">
        <f t="shared" si="10"/>
        <v>NA</v>
      </c>
      <c r="BY14" s="75"/>
      <c r="BZ14" s="76"/>
      <c r="CA14" s="77"/>
      <c r="CB14" s="76"/>
      <c r="CC14" s="72"/>
      <c r="CD14" s="67"/>
      <c r="CE14" s="68"/>
      <c r="CF14" s="73" t="str">
        <f t="shared" si="11"/>
        <v>NA</v>
      </c>
      <c r="CG14" s="73" t="str">
        <f t="shared" si="12"/>
        <v>NA</v>
      </c>
      <c r="CH14" s="75"/>
      <c r="CI14" s="76"/>
      <c r="CJ14" s="77"/>
      <c r="CK14" s="76"/>
      <c r="CL14" s="72"/>
      <c r="CM14" s="67"/>
      <c r="CN14" s="68"/>
      <c r="CO14" s="73" t="str">
        <f t="shared" si="13"/>
        <v>NA</v>
      </c>
      <c r="CP14" s="73" t="str">
        <f t="shared" si="14"/>
        <v>NA</v>
      </c>
      <c r="CQ14" s="75"/>
      <c r="CR14" s="76"/>
      <c r="CS14" s="77"/>
      <c r="CT14" s="76"/>
      <c r="CU14" s="74"/>
    </row>
    <row r="15" spans="1:99" ht="16.5" thickBot="1" x14ac:dyDescent="0.3">
      <c r="A15" s="99" t="s">
        <v>73</v>
      </c>
      <c r="B15" s="72"/>
      <c r="C15" s="119" t="s">
        <v>82</v>
      </c>
      <c r="D15" s="124"/>
      <c r="E15" s="80"/>
      <c r="F15" s="81"/>
      <c r="G15" s="82"/>
      <c r="H15" s="81"/>
      <c r="I15" s="72"/>
      <c r="J15" s="96"/>
      <c r="K15" s="79"/>
      <c r="L15" s="73" t="str">
        <f t="shared" si="2"/>
        <v>NA</v>
      </c>
      <c r="M15" s="73" t="str">
        <f t="shared" si="0"/>
        <v>NA</v>
      </c>
      <c r="N15" s="80"/>
      <c r="O15" s="81"/>
      <c r="P15" s="82"/>
      <c r="Q15" s="81"/>
      <c r="R15" s="72"/>
      <c r="S15" s="78"/>
      <c r="T15" s="79"/>
      <c r="U15" s="73" t="str">
        <f t="shared" si="31"/>
        <v>NA</v>
      </c>
      <c r="V15" s="73" t="str">
        <f t="shared" si="32"/>
        <v>NA</v>
      </c>
      <c r="W15" s="80"/>
      <c r="X15" s="81"/>
      <c r="Y15" s="82"/>
      <c r="Z15" s="81"/>
      <c r="AA15" s="72"/>
      <c r="AB15" s="101"/>
      <c r="AC15" s="102"/>
      <c r="AD15" s="101"/>
      <c r="AE15" s="102"/>
      <c r="AF15" s="101"/>
      <c r="AG15" s="102"/>
      <c r="AH15" s="101"/>
      <c r="AI15" s="102"/>
      <c r="AJ15" s="72"/>
      <c r="AK15" s="78"/>
      <c r="AL15" s="79"/>
      <c r="AM15" s="73" t="str">
        <f t="shared" si="3"/>
        <v>NA</v>
      </c>
      <c r="AN15" s="73" t="str">
        <f t="shared" si="4"/>
        <v>NA</v>
      </c>
      <c r="AO15" s="80"/>
      <c r="AP15" s="81"/>
      <c r="AQ15" s="82"/>
      <c r="AR15" s="81"/>
      <c r="AS15" s="72"/>
      <c r="AT15" s="78"/>
      <c r="AU15" s="79"/>
      <c r="AV15" s="73" t="str">
        <f>IF(LEFT(AU15,1)&lt;&gt;"x","NA",IF(OR(RIGHT(AT15,3)=RIGHT(AK15,3),RIGHT(#REF!,3)=RIGHT(#REF!,3)),IF(OR(RIGHT(AT15,3)&lt;&gt;RIGHT(AK15,3),RIGHT(#REF!,3)&lt;&gt;RIGHT(#REF!,3)),IF(OR(AND(RIGHT(AT15,3)=RIGHT(AK15,3),RIGHT(#REF!,3)=RIGHT(#REF!,3),AU15=AL15)),"NO","YES"),"NO"),IF(OR(RIGHT(AT15,3)=RIGHT(AK15,3),RIGHT(#REF!,3)=RIGHT(#REF!,3)),"ERROR","YES")))</f>
        <v>NA</v>
      </c>
      <c r="AW15" s="73" t="str">
        <f t="shared" si="1"/>
        <v>NA</v>
      </c>
      <c r="AX15" s="80"/>
      <c r="AY15" s="81"/>
      <c r="AZ15" s="82"/>
      <c r="BA15" s="81"/>
      <c r="BB15" s="72"/>
      <c r="BC15" s="78"/>
      <c r="BD15" s="79"/>
      <c r="BE15" s="73" t="str">
        <f>IF(LEFT(BD15,1)&lt;&gt;"x","NA",IF(OR(RIGHT(BC15,3)=RIGHT(AT15,3),),IF(OR(RIGHT(BC15,3)&lt;&gt;RIGHT(AT15,3),),IF(OR(AND(RIGHT(BC15,3)=RIGHT(AT15,3),,BD15=AU15)),"NO","YES"),"NO"),IF(OR(RIGHT(BC15,3)=RIGHT(AT15,3),),"ERROR","YES")))</f>
        <v>NA</v>
      </c>
      <c r="BF15" s="73" t="str">
        <f t="shared" si="6"/>
        <v>NA</v>
      </c>
      <c r="BG15" s="80"/>
      <c r="BH15" s="81"/>
      <c r="BI15" s="82"/>
      <c r="BJ15" s="81"/>
      <c r="BK15" s="72"/>
      <c r="BL15" s="78"/>
      <c r="BM15" s="79"/>
      <c r="BN15" s="73" t="str">
        <f t="shared" si="7"/>
        <v>NA</v>
      </c>
      <c r="BO15" s="73" t="str">
        <f t="shared" si="8"/>
        <v>NA</v>
      </c>
      <c r="BP15" s="80"/>
      <c r="BQ15" s="81"/>
      <c r="BR15" s="82"/>
      <c r="BS15" s="81"/>
      <c r="BT15" s="72"/>
      <c r="BU15" s="78"/>
      <c r="BV15" s="79"/>
      <c r="BW15" s="73" t="str">
        <f t="shared" si="9"/>
        <v>NA</v>
      </c>
      <c r="BX15" s="73" t="str">
        <f t="shared" si="10"/>
        <v>NA</v>
      </c>
      <c r="BY15" s="80"/>
      <c r="BZ15" s="81"/>
      <c r="CA15" s="82"/>
      <c r="CB15" s="81"/>
      <c r="CC15" s="72"/>
      <c r="CD15" s="78"/>
      <c r="CE15" s="79"/>
      <c r="CF15" s="73" t="str">
        <f t="shared" si="11"/>
        <v>NA</v>
      </c>
      <c r="CG15" s="73" t="str">
        <f t="shared" si="12"/>
        <v>NA</v>
      </c>
      <c r="CH15" s="80"/>
      <c r="CI15" s="81"/>
      <c r="CJ15" s="82"/>
      <c r="CK15" s="81"/>
      <c r="CL15" s="72"/>
      <c r="CM15" s="78"/>
      <c r="CN15" s="79"/>
      <c r="CO15" s="73" t="str">
        <f t="shared" si="13"/>
        <v>NA</v>
      </c>
      <c r="CP15" s="73" t="str">
        <f t="shared" si="14"/>
        <v>NA</v>
      </c>
      <c r="CQ15" s="80"/>
      <c r="CR15" s="81"/>
      <c r="CS15" s="82"/>
      <c r="CT15" s="81"/>
      <c r="CU15" s="74"/>
    </row>
    <row r="16" spans="1:99" ht="16.5" thickBot="1" x14ac:dyDescent="0.3">
      <c r="A16" s="99" t="s">
        <v>74</v>
      </c>
      <c r="B16" s="72"/>
      <c r="C16" s="119" t="s">
        <v>106</v>
      </c>
      <c r="D16" s="124"/>
      <c r="E16" s="80"/>
      <c r="F16" s="81"/>
      <c r="G16" s="82"/>
      <c r="H16" s="81"/>
      <c r="I16" s="72"/>
      <c r="J16" s="96"/>
      <c r="K16" s="79"/>
      <c r="L16" s="73" t="str">
        <f t="shared" si="2"/>
        <v>NA</v>
      </c>
      <c r="M16" s="73" t="str">
        <f t="shared" si="0"/>
        <v>NA</v>
      </c>
      <c r="N16" s="80"/>
      <c r="O16" s="81"/>
      <c r="P16" s="82"/>
      <c r="Q16" s="81"/>
      <c r="R16" s="72"/>
      <c r="S16" s="78"/>
      <c r="T16" s="79"/>
      <c r="U16" s="73" t="str">
        <f t="shared" si="31"/>
        <v>NA</v>
      </c>
      <c r="V16" s="73" t="str">
        <f t="shared" si="32"/>
        <v>NA</v>
      </c>
      <c r="W16" s="80"/>
      <c r="X16" s="81"/>
      <c r="Y16" s="82"/>
      <c r="Z16" s="81"/>
      <c r="AA16" s="72"/>
      <c r="AB16" s="101"/>
      <c r="AC16" s="102"/>
      <c r="AD16" s="101"/>
      <c r="AE16" s="102"/>
      <c r="AF16" s="101"/>
      <c r="AG16" s="102"/>
      <c r="AH16" s="101"/>
      <c r="AI16" s="102"/>
      <c r="AJ16" s="72"/>
      <c r="AK16" s="78"/>
      <c r="AL16" s="79"/>
      <c r="AM16" s="73" t="str">
        <f t="shared" si="3"/>
        <v>NA</v>
      </c>
      <c r="AN16" s="73" t="str">
        <f t="shared" si="4"/>
        <v>NA</v>
      </c>
      <c r="AO16" s="80"/>
      <c r="AP16" s="81"/>
      <c r="AQ16" s="82"/>
      <c r="AR16" s="81"/>
      <c r="AS16" s="72"/>
      <c r="AT16" s="78"/>
      <c r="AU16" s="79"/>
      <c r="AV16" s="73" t="str">
        <f>IF(LEFT(AU16,1)&lt;&gt;"x","NA",IF(OR(RIGHT(AT16,3)=RIGHT(AK16,3),RIGHT(#REF!,3)=RIGHT(#REF!,3)),IF(OR(RIGHT(AT16,3)&lt;&gt;RIGHT(AK16,3),RIGHT(#REF!,3)&lt;&gt;RIGHT(#REF!,3)),IF(OR(AND(RIGHT(AT16,3)=RIGHT(AK16,3),RIGHT(#REF!,3)=RIGHT(#REF!,3),AU16=AL16)),"NO","YES"),"NO"),IF(OR(RIGHT(AT16,3)=RIGHT(AK16,3),RIGHT(#REF!,3)=RIGHT(#REF!,3)),"ERROR","YES")))</f>
        <v>NA</v>
      </c>
      <c r="AW16" s="73" t="str">
        <f t="shared" si="1"/>
        <v>NA</v>
      </c>
      <c r="AX16" s="80"/>
      <c r="AY16" s="81"/>
      <c r="AZ16" s="82"/>
      <c r="BA16" s="81"/>
      <c r="BB16" s="72"/>
      <c r="BC16" s="78"/>
      <c r="BD16" s="79"/>
      <c r="BE16" s="73" t="str">
        <f t="shared" si="5"/>
        <v>NA</v>
      </c>
      <c r="BF16" s="73" t="str">
        <f t="shared" si="6"/>
        <v>NA</v>
      </c>
      <c r="BG16" s="80"/>
      <c r="BH16" s="81"/>
      <c r="BI16" s="82"/>
      <c r="BJ16" s="81"/>
      <c r="BK16" s="72"/>
      <c r="BL16" s="78"/>
      <c r="BM16" s="79"/>
      <c r="BN16" s="73" t="str">
        <f t="shared" si="7"/>
        <v>NA</v>
      </c>
      <c r="BO16" s="73" t="str">
        <f t="shared" si="8"/>
        <v>NA</v>
      </c>
      <c r="BP16" s="80"/>
      <c r="BQ16" s="81"/>
      <c r="BR16" s="82"/>
      <c r="BS16" s="81"/>
      <c r="BT16" s="72"/>
      <c r="BU16" s="78"/>
      <c r="BV16" s="79"/>
      <c r="BW16" s="73" t="str">
        <f t="shared" si="9"/>
        <v>NA</v>
      </c>
      <c r="BX16" s="73" t="str">
        <f t="shared" si="10"/>
        <v>NA</v>
      </c>
      <c r="BY16" s="80"/>
      <c r="BZ16" s="81"/>
      <c r="CA16" s="82"/>
      <c r="CB16" s="81"/>
      <c r="CC16" s="72"/>
      <c r="CD16" s="78"/>
      <c r="CE16" s="79"/>
      <c r="CF16" s="73" t="str">
        <f t="shared" si="11"/>
        <v>NA</v>
      </c>
      <c r="CG16" s="73" t="str">
        <f t="shared" si="12"/>
        <v>NA</v>
      </c>
      <c r="CH16" s="80"/>
      <c r="CI16" s="81"/>
      <c r="CJ16" s="82"/>
      <c r="CK16" s="81"/>
      <c r="CL16" s="72"/>
      <c r="CM16" s="78"/>
      <c r="CN16" s="79"/>
      <c r="CO16" s="73" t="str">
        <f t="shared" si="13"/>
        <v>NA</v>
      </c>
      <c r="CP16" s="73" t="str">
        <f t="shared" si="14"/>
        <v>NA</v>
      </c>
      <c r="CQ16" s="80"/>
      <c r="CR16" s="81"/>
      <c r="CS16" s="82"/>
      <c r="CT16" s="81"/>
      <c r="CU16" s="74"/>
    </row>
    <row r="17" spans="1:99" ht="16.5" thickBot="1" x14ac:dyDescent="0.3">
      <c r="A17" s="98" t="s">
        <v>75</v>
      </c>
      <c r="B17" s="72"/>
      <c r="C17" s="119" t="s">
        <v>107</v>
      </c>
      <c r="D17" s="118" t="s">
        <v>66</v>
      </c>
      <c r="E17" s="80" t="s">
        <v>119</v>
      </c>
      <c r="F17" s="81"/>
      <c r="G17" s="82"/>
      <c r="H17" s="81"/>
      <c r="I17" s="72"/>
      <c r="J17" s="96"/>
      <c r="K17" s="83"/>
      <c r="L17" s="73" t="str">
        <f t="shared" si="2"/>
        <v>NA</v>
      </c>
      <c r="M17" s="73" t="str">
        <f t="shared" si="0"/>
        <v>YES</v>
      </c>
      <c r="N17" s="80"/>
      <c r="O17" s="81"/>
      <c r="P17" s="82"/>
      <c r="Q17" s="81"/>
      <c r="R17" s="72"/>
      <c r="S17" s="78"/>
      <c r="T17" s="83"/>
      <c r="U17" s="73" t="str">
        <f t="shared" si="31"/>
        <v>NA</v>
      </c>
      <c r="V17" s="73" t="str">
        <f t="shared" si="32"/>
        <v>NA</v>
      </c>
      <c r="W17" s="80"/>
      <c r="X17" s="81"/>
      <c r="Y17" s="82"/>
      <c r="Z17" s="81"/>
      <c r="AA17" s="72"/>
      <c r="AB17" s="101"/>
      <c r="AC17" s="102"/>
      <c r="AD17" s="101"/>
      <c r="AE17" s="102"/>
      <c r="AF17" s="101"/>
      <c r="AG17" s="102"/>
      <c r="AH17" s="101"/>
      <c r="AI17" s="102"/>
      <c r="AJ17" s="72"/>
      <c r="AK17" s="78"/>
      <c r="AL17" s="83"/>
      <c r="AM17" s="73" t="str">
        <f t="shared" si="3"/>
        <v>NA</v>
      </c>
      <c r="AN17" s="73" t="str">
        <f t="shared" si="4"/>
        <v>NA</v>
      </c>
      <c r="AO17" s="80"/>
      <c r="AP17" s="81"/>
      <c r="AQ17" s="82"/>
      <c r="AR17" s="81"/>
      <c r="AS17" s="72"/>
      <c r="AT17" s="78"/>
      <c r="AU17" s="83"/>
      <c r="AV17" s="73" t="str">
        <f>IF(LEFT(AU17,1)&lt;&gt;"x","NA",IF(OR(RIGHT(AT17,3)=RIGHT(AK17,3),RIGHT(#REF!,3)=RIGHT(#REF!,3)),IF(OR(RIGHT(AT17,3)&lt;&gt;RIGHT(AK17,3),RIGHT(#REF!,3)&lt;&gt;RIGHT(#REF!,3)),IF(OR(AND(RIGHT(AT17,3)=RIGHT(AK17,3),RIGHT(#REF!,3)=RIGHT(#REF!,3),AU17=AL17)),"NO","YES"),"NO"),IF(OR(RIGHT(AT17,3)=RIGHT(AK17,3),RIGHT(#REF!,3)=RIGHT(#REF!,3)),"ERROR","YES")))</f>
        <v>NA</v>
      </c>
      <c r="AW17" s="73" t="str">
        <f t="shared" si="1"/>
        <v>NA</v>
      </c>
      <c r="AX17" s="80"/>
      <c r="AY17" s="81"/>
      <c r="AZ17" s="82"/>
      <c r="BA17" s="81"/>
      <c r="BB17" s="72"/>
      <c r="BC17" s="78"/>
      <c r="BD17" s="83"/>
      <c r="BE17" s="73" t="str">
        <f t="shared" si="5"/>
        <v>NA</v>
      </c>
      <c r="BF17" s="73" t="str">
        <f t="shared" si="6"/>
        <v>NA</v>
      </c>
      <c r="BG17" s="80"/>
      <c r="BH17" s="81"/>
      <c r="BI17" s="82"/>
      <c r="BJ17" s="81"/>
      <c r="BK17" s="72"/>
      <c r="BL17" s="78"/>
      <c r="BM17" s="83"/>
      <c r="BN17" s="73" t="str">
        <f t="shared" si="7"/>
        <v>NA</v>
      </c>
      <c r="BO17" s="73" t="str">
        <f t="shared" si="8"/>
        <v>NA</v>
      </c>
      <c r="BP17" s="80"/>
      <c r="BQ17" s="81"/>
      <c r="BR17" s="82"/>
      <c r="BS17" s="81"/>
      <c r="BT17" s="72"/>
      <c r="BU17" s="78"/>
      <c r="BV17" s="83"/>
      <c r="BW17" s="73" t="str">
        <f t="shared" si="9"/>
        <v>NA</v>
      </c>
      <c r="BX17" s="73" t="str">
        <f t="shared" si="10"/>
        <v>NA</v>
      </c>
      <c r="BY17" s="80"/>
      <c r="BZ17" s="81"/>
      <c r="CA17" s="82"/>
      <c r="CB17" s="81"/>
      <c r="CC17" s="72"/>
      <c r="CD17" s="78"/>
      <c r="CE17" s="83"/>
      <c r="CF17" s="73" t="str">
        <f t="shared" si="11"/>
        <v>NA</v>
      </c>
      <c r="CG17" s="73" t="str">
        <f t="shared" si="12"/>
        <v>NA</v>
      </c>
      <c r="CH17" s="80"/>
      <c r="CI17" s="81"/>
      <c r="CJ17" s="82"/>
      <c r="CK17" s="81"/>
      <c r="CL17" s="72"/>
      <c r="CM17" s="78"/>
      <c r="CN17" s="79"/>
      <c r="CO17" s="73" t="str">
        <f t="shared" si="13"/>
        <v>NA</v>
      </c>
      <c r="CP17" s="73" t="str">
        <f t="shared" si="14"/>
        <v>NA</v>
      </c>
      <c r="CQ17" s="80"/>
      <c r="CR17" s="81"/>
      <c r="CS17" s="82"/>
      <c r="CT17" s="81"/>
      <c r="CU17" s="74"/>
    </row>
    <row r="18" spans="1:99" ht="16.5" thickBot="1" x14ac:dyDescent="0.3">
      <c r="A18" s="98" t="s">
        <v>76</v>
      </c>
      <c r="B18" s="72"/>
      <c r="C18" s="119" t="s">
        <v>96</v>
      </c>
      <c r="D18" s="118" t="s">
        <v>66</v>
      </c>
      <c r="E18" s="80" t="s">
        <v>119</v>
      </c>
      <c r="F18" s="81"/>
      <c r="G18" s="82"/>
      <c r="H18" s="81"/>
      <c r="I18" s="72"/>
      <c r="J18" s="96"/>
      <c r="K18" s="83"/>
      <c r="L18" s="73" t="str">
        <f t="shared" si="2"/>
        <v>NA</v>
      </c>
      <c r="M18" s="73" t="str">
        <f t="shared" si="0"/>
        <v>YES</v>
      </c>
      <c r="N18" s="80"/>
      <c r="O18" s="81"/>
      <c r="P18" s="82"/>
      <c r="Q18" s="81"/>
      <c r="R18" s="72"/>
      <c r="S18" s="78"/>
      <c r="T18" s="83"/>
      <c r="U18" s="73" t="str">
        <f t="shared" si="31"/>
        <v>NA</v>
      </c>
      <c r="V18" s="73" t="str">
        <f t="shared" si="32"/>
        <v>NA</v>
      </c>
      <c r="W18" s="80"/>
      <c r="X18" s="81"/>
      <c r="Y18" s="82"/>
      <c r="Z18" s="81"/>
      <c r="AA18" s="72"/>
      <c r="AB18" s="101"/>
      <c r="AC18" s="102"/>
      <c r="AD18" s="101"/>
      <c r="AE18" s="102"/>
      <c r="AF18" s="101"/>
      <c r="AG18" s="102"/>
      <c r="AH18" s="101"/>
      <c r="AI18" s="102"/>
      <c r="AJ18" s="72"/>
      <c r="AK18" s="78"/>
      <c r="AL18" s="83"/>
      <c r="AM18" s="73" t="str">
        <f t="shared" si="3"/>
        <v>NA</v>
      </c>
      <c r="AN18" s="73" t="str">
        <f t="shared" si="4"/>
        <v>NA</v>
      </c>
      <c r="AO18" s="80"/>
      <c r="AP18" s="81"/>
      <c r="AQ18" s="82"/>
      <c r="AR18" s="81"/>
      <c r="AS18" s="72"/>
      <c r="AT18" s="78"/>
      <c r="AU18" s="83"/>
      <c r="AV18" s="73" t="str">
        <f>IF(LEFT(AU18,1)&lt;&gt;"x","NA",IF(OR(RIGHT(AT18,3)=RIGHT(AK18,3),RIGHT(#REF!,3)=RIGHT(#REF!,3)),IF(OR(RIGHT(AT18,3)&lt;&gt;RIGHT(AK18,3),RIGHT(#REF!,3)&lt;&gt;RIGHT(#REF!,3)),IF(OR(AND(RIGHT(AT18,3)=RIGHT(AK18,3),RIGHT(#REF!,3)=RIGHT(#REF!,3),AU18=AL18)),"NO","YES"),"NO"),IF(OR(RIGHT(AT18,3)=RIGHT(AK18,3),RIGHT(#REF!,3)=RIGHT(#REF!,3)),"ERROR","YES")))</f>
        <v>NA</v>
      </c>
      <c r="AW18" s="73" t="str">
        <f t="shared" si="1"/>
        <v>NA</v>
      </c>
      <c r="AX18" s="80"/>
      <c r="AY18" s="81"/>
      <c r="AZ18" s="82"/>
      <c r="BA18" s="81"/>
      <c r="BB18" s="72"/>
      <c r="BC18" s="78"/>
      <c r="BD18" s="83"/>
      <c r="BE18" s="73" t="str">
        <f t="shared" si="5"/>
        <v>NA</v>
      </c>
      <c r="BF18" s="73" t="str">
        <f t="shared" si="6"/>
        <v>NA</v>
      </c>
      <c r="BG18" s="80"/>
      <c r="BH18" s="81"/>
      <c r="BI18" s="82"/>
      <c r="BJ18" s="81"/>
      <c r="BK18" s="72"/>
      <c r="BL18" s="78"/>
      <c r="BM18" s="83"/>
      <c r="BN18" s="73" t="str">
        <f t="shared" si="7"/>
        <v>NA</v>
      </c>
      <c r="BO18" s="73" t="str">
        <f t="shared" si="8"/>
        <v>NA</v>
      </c>
      <c r="BP18" s="80"/>
      <c r="BQ18" s="81"/>
      <c r="BR18" s="82"/>
      <c r="BS18" s="81"/>
      <c r="BT18" s="72"/>
      <c r="BU18" s="78"/>
      <c r="BV18" s="83"/>
      <c r="BW18" s="73" t="str">
        <f t="shared" si="9"/>
        <v>NA</v>
      </c>
      <c r="BX18" s="73" t="str">
        <f t="shared" si="10"/>
        <v>NA</v>
      </c>
      <c r="BY18" s="80"/>
      <c r="BZ18" s="81"/>
      <c r="CA18" s="82"/>
      <c r="CB18" s="81"/>
      <c r="CC18" s="72"/>
      <c r="CD18" s="78"/>
      <c r="CE18" s="83"/>
      <c r="CF18" s="73" t="str">
        <f t="shared" si="11"/>
        <v>NA</v>
      </c>
      <c r="CG18" s="73" t="str">
        <f t="shared" si="12"/>
        <v>NA</v>
      </c>
      <c r="CH18" s="80"/>
      <c r="CI18" s="81"/>
      <c r="CJ18" s="82"/>
      <c r="CK18" s="81"/>
      <c r="CL18" s="72"/>
      <c r="CM18" s="78"/>
      <c r="CN18" s="79"/>
      <c r="CO18" s="73" t="str">
        <f t="shared" si="13"/>
        <v>NA</v>
      </c>
      <c r="CP18" s="73" t="str">
        <f t="shared" si="14"/>
        <v>NA</v>
      </c>
      <c r="CQ18" s="80"/>
      <c r="CR18" s="81"/>
      <c r="CS18" s="82"/>
      <c r="CT18" s="81"/>
      <c r="CU18" s="74"/>
    </row>
    <row r="19" spans="1:99" ht="16.5" thickBot="1" x14ac:dyDescent="0.3">
      <c r="A19" s="98" t="s">
        <v>70</v>
      </c>
      <c r="B19" s="72"/>
      <c r="C19" s="119" t="s">
        <v>97</v>
      </c>
      <c r="D19" s="118" t="s">
        <v>66</v>
      </c>
      <c r="E19" s="80" t="s">
        <v>119</v>
      </c>
      <c r="F19" s="81"/>
      <c r="G19" s="82"/>
      <c r="H19" s="100"/>
      <c r="I19" s="72"/>
      <c r="J19" s="96"/>
      <c r="K19" s="83"/>
      <c r="L19" s="73" t="str">
        <f t="shared" si="2"/>
        <v>NA</v>
      </c>
      <c r="M19" s="73" t="str">
        <f t="shared" si="0"/>
        <v>YES</v>
      </c>
      <c r="N19" s="80"/>
      <c r="O19" s="81"/>
      <c r="P19" s="82"/>
      <c r="Q19" s="81"/>
      <c r="R19" s="72"/>
      <c r="S19" s="78"/>
      <c r="T19" s="83"/>
      <c r="U19" s="73" t="str">
        <f t="shared" si="31"/>
        <v>NA</v>
      </c>
      <c r="V19" s="73" t="str">
        <f t="shared" si="32"/>
        <v>NA</v>
      </c>
      <c r="W19" s="80"/>
      <c r="X19" s="81"/>
      <c r="Y19" s="82"/>
      <c r="Z19" s="81"/>
      <c r="AA19" s="72"/>
      <c r="AB19" s="101"/>
      <c r="AC19" s="102"/>
      <c r="AD19" s="101"/>
      <c r="AE19" s="102"/>
      <c r="AF19" s="101"/>
      <c r="AG19" s="102"/>
      <c r="AH19" s="101"/>
      <c r="AI19" s="102"/>
      <c r="AJ19" s="72"/>
      <c r="AK19" s="78"/>
      <c r="AL19" s="83"/>
      <c r="AM19" s="73" t="str">
        <f t="shared" si="3"/>
        <v>NA</v>
      </c>
      <c r="AN19" s="73" t="str">
        <f t="shared" si="4"/>
        <v>NA</v>
      </c>
      <c r="AO19" s="80"/>
      <c r="AP19" s="81"/>
      <c r="AQ19" s="82"/>
      <c r="AR19" s="81"/>
      <c r="AS19" s="72"/>
      <c r="AT19" s="78"/>
      <c r="AU19" s="83"/>
      <c r="AV19" s="73" t="str">
        <f>IF(LEFT(AU19,1)&lt;&gt;"x","NA",IF(OR(RIGHT(AT19,3)=RIGHT(AK19,3),RIGHT(#REF!,3)=RIGHT(#REF!,3)),IF(OR(RIGHT(AT19,3)&lt;&gt;RIGHT(AK19,3),RIGHT(#REF!,3)&lt;&gt;RIGHT(#REF!,3)),IF(OR(AND(RIGHT(AT19,3)=RIGHT(AK19,3),RIGHT(#REF!,3)=RIGHT(#REF!,3),AU19=AL19)),"NO","YES"),"NO"),IF(OR(RIGHT(AT19,3)=RIGHT(AK19,3),RIGHT(#REF!,3)=RIGHT(#REF!,3)),"ERROR","YES")))</f>
        <v>NA</v>
      </c>
      <c r="AW19" s="73" t="str">
        <f t="shared" si="1"/>
        <v>NA</v>
      </c>
      <c r="AX19" s="80"/>
      <c r="AY19" s="81"/>
      <c r="AZ19" s="82"/>
      <c r="BA19" s="81"/>
      <c r="BB19" s="72"/>
      <c r="BC19" s="78"/>
      <c r="BD19" s="83"/>
      <c r="BE19" s="73" t="str">
        <f t="shared" si="5"/>
        <v>NA</v>
      </c>
      <c r="BF19" s="73" t="str">
        <f t="shared" si="6"/>
        <v>NA</v>
      </c>
      <c r="BG19" s="80"/>
      <c r="BH19" s="81"/>
      <c r="BI19" s="82"/>
      <c r="BJ19" s="81"/>
      <c r="BK19" s="72"/>
      <c r="BL19" s="78"/>
      <c r="BM19" s="83"/>
      <c r="BN19" s="73" t="str">
        <f t="shared" si="7"/>
        <v>NA</v>
      </c>
      <c r="BO19" s="73" t="str">
        <f t="shared" si="8"/>
        <v>NA</v>
      </c>
      <c r="BP19" s="80"/>
      <c r="BQ19" s="81"/>
      <c r="BR19" s="82"/>
      <c r="BS19" s="81"/>
      <c r="BT19" s="72"/>
      <c r="BU19" s="78"/>
      <c r="BV19" s="83"/>
      <c r="BW19" s="73" t="str">
        <f t="shared" si="9"/>
        <v>NA</v>
      </c>
      <c r="BX19" s="73" t="str">
        <f t="shared" si="10"/>
        <v>NA</v>
      </c>
      <c r="BY19" s="80"/>
      <c r="BZ19" s="81"/>
      <c r="CA19" s="82"/>
      <c r="CB19" s="81"/>
      <c r="CC19" s="72"/>
      <c r="CD19" s="78"/>
      <c r="CE19" s="83"/>
      <c r="CF19" s="73" t="str">
        <f t="shared" si="11"/>
        <v>NA</v>
      </c>
      <c r="CG19" s="73" t="str">
        <f t="shared" si="12"/>
        <v>NA</v>
      </c>
      <c r="CH19" s="80"/>
      <c r="CI19" s="81"/>
      <c r="CJ19" s="82"/>
      <c r="CK19" s="81"/>
      <c r="CL19" s="72"/>
      <c r="CM19" s="78"/>
      <c r="CN19" s="79"/>
      <c r="CO19" s="73" t="str">
        <f t="shared" si="13"/>
        <v>NA</v>
      </c>
      <c r="CP19" s="73" t="str">
        <f t="shared" si="14"/>
        <v>NA</v>
      </c>
      <c r="CQ19" s="80"/>
      <c r="CR19" s="81"/>
      <c r="CS19" s="82"/>
      <c r="CT19" s="81"/>
      <c r="CU19" s="74"/>
    </row>
    <row r="20" spans="1:99" ht="16.5" customHeight="1" thickBot="1" x14ac:dyDescent="0.3">
      <c r="A20" s="98" t="s">
        <v>77</v>
      </c>
      <c r="B20" s="72"/>
      <c r="C20" s="119" t="s">
        <v>98</v>
      </c>
      <c r="D20" s="118" t="s">
        <v>66</v>
      </c>
      <c r="E20" s="80" t="s">
        <v>119</v>
      </c>
      <c r="F20" s="89"/>
      <c r="G20" s="90"/>
      <c r="H20" s="81"/>
      <c r="I20" s="72"/>
      <c r="J20" s="96"/>
      <c r="K20" s="83"/>
      <c r="L20" s="73" t="str">
        <f t="shared" si="2"/>
        <v>NA</v>
      </c>
      <c r="M20" s="73" t="str">
        <f t="shared" si="0"/>
        <v>YES</v>
      </c>
      <c r="N20" s="84"/>
      <c r="O20" s="85"/>
      <c r="P20" s="86"/>
      <c r="Q20" s="85"/>
      <c r="R20" s="72"/>
      <c r="S20" s="78"/>
      <c r="T20" s="83"/>
      <c r="U20" s="73" t="str">
        <f t="shared" si="31"/>
        <v>NA</v>
      </c>
      <c r="V20" s="73" t="str">
        <f t="shared" si="32"/>
        <v>NA</v>
      </c>
      <c r="W20" s="84"/>
      <c r="X20" s="85"/>
      <c r="Y20" s="86"/>
      <c r="Z20" s="85"/>
      <c r="AA20" s="72"/>
      <c r="AB20" s="101"/>
      <c r="AC20" s="102"/>
      <c r="AD20" s="101"/>
      <c r="AE20" s="102"/>
      <c r="AF20" s="101"/>
      <c r="AG20" s="102"/>
      <c r="AH20" s="101"/>
      <c r="AI20" s="102"/>
      <c r="AJ20" s="72"/>
      <c r="AK20" s="78"/>
      <c r="AL20" s="83"/>
      <c r="AM20" s="73" t="str">
        <f t="shared" si="3"/>
        <v>NA</v>
      </c>
      <c r="AN20" s="73" t="str">
        <f t="shared" si="4"/>
        <v>NA</v>
      </c>
      <c r="AO20" s="84"/>
      <c r="AP20" s="85"/>
      <c r="AQ20" s="86"/>
      <c r="AR20" s="85"/>
      <c r="AS20" s="72"/>
      <c r="AT20" s="78"/>
      <c r="AU20" s="83"/>
      <c r="AV20" s="73" t="str">
        <f>IF(LEFT(AU20,1)&lt;&gt;"x","NA",IF(OR(RIGHT(AT20,3)=RIGHT(AK20,3),RIGHT(#REF!,3)=RIGHT(#REF!,3)),IF(OR(RIGHT(AT20,3)&lt;&gt;RIGHT(AK20,3),RIGHT(#REF!,3)&lt;&gt;RIGHT(#REF!,3)),IF(OR(AND(RIGHT(AT20,3)=RIGHT(AK20,3),RIGHT(#REF!,3)=RIGHT(#REF!,3),AU20=AL20)),"NO","YES"),"NO"),IF(OR(RIGHT(AT20,3)=RIGHT(AK20,3),RIGHT(#REF!,3)=RIGHT(#REF!,3)),"ERROR","YES")))</f>
        <v>NA</v>
      </c>
      <c r="AW20" s="73" t="str">
        <f t="shared" si="1"/>
        <v>NA</v>
      </c>
      <c r="AX20" s="84"/>
      <c r="AY20" s="85"/>
      <c r="AZ20" s="86"/>
      <c r="BA20" s="85"/>
      <c r="BB20" s="72"/>
      <c r="BC20" s="78"/>
      <c r="BD20" s="83"/>
      <c r="BE20" s="73" t="str">
        <f t="shared" si="5"/>
        <v>NA</v>
      </c>
      <c r="BF20" s="73" t="str">
        <f t="shared" si="6"/>
        <v>NA</v>
      </c>
      <c r="BG20" s="84"/>
      <c r="BH20" s="85"/>
      <c r="BI20" s="86"/>
      <c r="BJ20" s="85"/>
      <c r="BK20" s="72"/>
      <c r="BL20" s="78"/>
      <c r="BM20" s="83"/>
      <c r="BN20" s="73" t="str">
        <f t="shared" si="7"/>
        <v>NA</v>
      </c>
      <c r="BO20" s="73" t="str">
        <f t="shared" si="8"/>
        <v>NA</v>
      </c>
      <c r="BP20" s="84"/>
      <c r="BQ20" s="85"/>
      <c r="BR20" s="86"/>
      <c r="BS20" s="85"/>
      <c r="BT20" s="72"/>
      <c r="BU20" s="78"/>
      <c r="BV20" s="83"/>
      <c r="BW20" s="73" t="str">
        <f t="shared" si="9"/>
        <v>NA</v>
      </c>
      <c r="BX20" s="73" t="str">
        <f t="shared" si="10"/>
        <v>NA</v>
      </c>
      <c r="BY20" s="84"/>
      <c r="BZ20" s="85"/>
      <c r="CA20" s="86"/>
      <c r="CB20" s="85"/>
      <c r="CC20" s="72"/>
      <c r="CD20" s="78"/>
      <c r="CE20" s="83"/>
      <c r="CF20" s="73" t="str">
        <f t="shared" si="11"/>
        <v>NA</v>
      </c>
      <c r="CG20" s="73" t="str">
        <f t="shared" si="12"/>
        <v>NA</v>
      </c>
      <c r="CH20" s="84"/>
      <c r="CI20" s="85"/>
      <c r="CJ20" s="86"/>
      <c r="CK20" s="85"/>
      <c r="CL20" s="72"/>
      <c r="CM20" s="78"/>
      <c r="CN20" s="79"/>
      <c r="CO20" s="73" t="str">
        <f t="shared" si="13"/>
        <v>NA</v>
      </c>
      <c r="CP20" s="73" t="str">
        <f t="shared" si="14"/>
        <v>NA</v>
      </c>
      <c r="CQ20" s="84"/>
      <c r="CR20" s="85"/>
      <c r="CS20" s="86"/>
      <c r="CT20" s="85"/>
      <c r="CU20" s="74"/>
    </row>
    <row r="21" spans="1:99" ht="16.5" customHeight="1" thickBot="1" x14ac:dyDescent="0.3">
      <c r="A21" s="98" t="s">
        <v>78</v>
      </c>
      <c r="B21" s="72"/>
      <c r="C21" s="119" t="s">
        <v>99</v>
      </c>
      <c r="D21" s="118" t="s">
        <v>66</v>
      </c>
      <c r="E21" s="80" t="s">
        <v>119</v>
      </c>
      <c r="F21" s="89"/>
      <c r="G21" s="90"/>
      <c r="H21" s="81"/>
      <c r="I21" s="72"/>
      <c r="J21" s="96"/>
      <c r="K21" s="83"/>
      <c r="L21" s="73" t="str">
        <f t="shared" si="2"/>
        <v>NA</v>
      </c>
      <c r="M21" s="73" t="str">
        <f t="shared" si="0"/>
        <v>YES</v>
      </c>
      <c r="N21" s="84"/>
      <c r="O21" s="85"/>
      <c r="P21" s="86"/>
      <c r="Q21" s="85"/>
      <c r="R21" s="72"/>
      <c r="S21" s="78"/>
      <c r="T21" s="83"/>
      <c r="U21" s="73" t="str">
        <f t="shared" si="31"/>
        <v>NA</v>
      </c>
      <c r="V21" s="73" t="str">
        <f t="shared" si="32"/>
        <v>NA</v>
      </c>
      <c r="W21" s="84"/>
      <c r="X21" s="85"/>
      <c r="Y21" s="86"/>
      <c r="Z21" s="85"/>
      <c r="AA21" s="72"/>
      <c r="AB21" s="101"/>
      <c r="AC21" s="102"/>
      <c r="AD21" s="101"/>
      <c r="AE21" s="102"/>
      <c r="AF21" s="101"/>
      <c r="AG21" s="102"/>
      <c r="AH21" s="101"/>
      <c r="AI21" s="102"/>
      <c r="AJ21" s="72"/>
      <c r="AK21" s="78"/>
      <c r="AL21" s="83"/>
      <c r="AM21" s="73" t="str">
        <f t="shared" si="3"/>
        <v>NA</v>
      </c>
      <c r="AN21" s="73" t="str">
        <f t="shared" si="4"/>
        <v>NA</v>
      </c>
      <c r="AO21" s="84"/>
      <c r="AP21" s="85"/>
      <c r="AQ21" s="86"/>
      <c r="AR21" s="85"/>
      <c r="AS21" s="72"/>
      <c r="AT21" s="78"/>
      <c r="AU21" s="83"/>
      <c r="AV21" s="73" t="str">
        <f>IF(LEFT(AU21,1)&lt;&gt;"x","NA",IF(OR(RIGHT(AT21,3)=RIGHT(AK21,3),RIGHT(#REF!,3)=RIGHT(#REF!,3)),IF(OR(RIGHT(AT21,3)&lt;&gt;RIGHT(AK21,3),RIGHT(#REF!,3)&lt;&gt;RIGHT(#REF!,3)),IF(OR(AND(RIGHT(AT21,3)=RIGHT(AK21,3),RIGHT(#REF!,3)=RIGHT(#REF!,3),AU21=AL21)),"NO","YES"),"NO"),IF(OR(RIGHT(AT21,3)=RIGHT(AK21,3),RIGHT(#REF!,3)=RIGHT(#REF!,3)),"ERROR","YES")))</f>
        <v>NA</v>
      </c>
      <c r="AW21" s="73" t="str">
        <f t="shared" si="1"/>
        <v>NA</v>
      </c>
      <c r="AX21" s="84"/>
      <c r="AY21" s="85"/>
      <c r="AZ21" s="86"/>
      <c r="BA21" s="85"/>
      <c r="BB21" s="72"/>
      <c r="BC21" s="78"/>
      <c r="BD21" s="83"/>
      <c r="BE21" s="73" t="str">
        <f t="shared" si="5"/>
        <v>NA</v>
      </c>
      <c r="BF21" s="73" t="str">
        <f t="shared" si="6"/>
        <v>NA</v>
      </c>
      <c r="BG21" s="84"/>
      <c r="BH21" s="85"/>
      <c r="BI21" s="86"/>
      <c r="BJ21" s="85"/>
      <c r="BK21" s="72"/>
      <c r="BL21" s="78"/>
      <c r="BM21" s="83"/>
      <c r="BN21" s="73" t="str">
        <f t="shared" si="7"/>
        <v>NA</v>
      </c>
      <c r="BO21" s="73" t="str">
        <f t="shared" si="8"/>
        <v>NA</v>
      </c>
      <c r="BP21" s="84"/>
      <c r="BQ21" s="85"/>
      <c r="BR21" s="86"/>
      <c r="BS21" s="85"/>
      <c r="BT21" s="72"/>
      <c r="BU21" s="78"/>
      <c r="BV21" s="83"/>
      <c r="BW21" s="73" t="str">
        <f t="shared" si="9"/>
        <v>NA</v>
      </c>
      <c r="BX21" s="73" t="str">
        <f t="shared" si="10"/>
        <v>NA</v>
      </c>
      <c r="BY21" s="84"/>
      <c r="BZ21" s="85"/>
      <c r="CA21" s="86"/>
      <c r="CB21" s="85"/>
      <c r="CC21" s="72"/>
      <c r="CD21" s="78"/>
      <c r="CE21" s="83"/>
      <c r="CF21" s="73" t="str">
        <f t="shared" si="11"/>
        <v>NA</v>
      </c>
      <c r="CG21" s="73" t="str">
        <f t="shared" si="12"/>
        <v>NA</v>
      </c>
      <c r="CH21" s="84"/>
      <c r="CI21" s="85"/>
      <c r="CJ21" s="86"/>
      <c r="CK21" s="85"/>
      <c r="CL21" s="72"/>
      <c r="CM21" s="78"/>
      <c r="CN21" s="79"/>
      <c r="CO21" s="73" t="str">
        <f t="shared" si="13"/>
        <v>NA</v>
      </c>
      <c r="CP21" s="73" t="str">
        <f t="shared" si="14"/>
        <v>NA</v>
      </c>
      <c r="CQ21" s="84"/>
      <c r="CR21" s="85"/>
      <c r="CS21" s="86"/>
      <c r="CT21" s="85"/>
      <c r="CU21" s="74"/>
    </row>
    <row r="22" spans="1:99" ht="16.5" customHeight="1" thickBot="1" x14ac:dyDescent="0.3">
      <c r="A22" s="98" t="s">
        <v>79</v>
      </c>
      <c r="B22" s="72"/>
      <c r="C22" s="119" t="s">
        <v>83</v>
      </c>
      <c r="D22" s="118" t="s">
        <v>66</v>
      </c>
      <c r="E22" s="80" t="s">
        <v>119</v>
      </c>
      <c r="F22" s="89"/>
      <c r="G22" s="90"/>
      <c r="H22" s="81"/>
      <c r="I22" s="72"/>
      <c r="J22" s="96"/>
      <c r="K22" s="83"/>
      <c r="L22" s="73" t="str">
        <f t="shared" si="2"/>
        <v>NA</v>
      </c>
      <c r="M22" s="73" t="str">
        <f t="shared" si="0"/>
        <v>YES</v>
      </c>
      <c r="N22" s="84"/>
      <c r="O22" s="85"/>
      <c r="P22" s="86"/>
      <c r="Q22" s="85"/>
      <c r="R22" s="72"/>
      <c r="S22" s="78"/>
      <c r="T22" s="83"/>
      <c r="U22" s="73" t="str">
        <f t="shared" si="31"/>
        <v>NA</v>
      </c>
      <c r="V22" s="73" t="str">
        <f t="shared" si="32"/>
        <v>NA</v>
      </c>
      <c r="W22" s="84"/>
      <c r="X22" s="85"/>
      <c r="Y22" s="86"/>
      <c r="Z22" s="85"/>
      <c r="AA22" s="72"/>
      <c r="AB22" s="101"/>
      <c r="AC22" s="102"/>
      <c r="AD22" s="101"/>
      <c r="AE22" s="102"/>
      <c r="AF22" s="101"/>
      <c r="AG22" s="102"/>
      <c r="AH22" s="101"/>
      <c r="AI22" s="102"/>
      <c r="AJ22" s="72"/>
      <c r="AK22" s="78"/>
      <c r="AL22" s="83"/>
      <c r="AM22" s="73" t="str">
        <f t="shared" si="3"/>
        <v>NA</v>
      </c>
      <c r="AN22" s="73" t="str">
        <f t="shared" si="4"/>
        <v>NA</v>
      </c>
      <c r="AO22" s="84"/>
      <c r="AP22" s="85"/>
      <c r="AQ22" s="86"/>
      <c r="AR22" s="85"/>
      <c r="AS22" s="72"/>
      <c r="AT22" s="78"/>
      <c r="AU22" s="83"/>
      <c r="AV22" s="73" t="str">
        <f>IF(LEFT(AU22,1)&lt;&gt;"x","NA",IF(OR(RIGHT(AT22,3)=RIGHT(AK22,3),RIGHT(#REF!,3)=RIGHT(#REF!,3)),IF(OR(RIGHT(AT22,3)&lt;&gt;RIGHT(AK22,3),RIGHT(#REF!,3)&lt;&gt;RIGHT(#REF!,3)),IF(OR(AND(RIGHT(AT22,3)=RIGHT(AK22,3),RIGHT(#REF!,3)=RIGHT(#REF!,3),AU22=AL22)),"NO","YES"),"NO"),IF(OR(RIGHT(AT22,3)=RIGHT(AK22,3),RIGHT(#REF!,3)=RIGHT(#REF!,3)),"ERROR","YES")))</f>
        <v>NA</v>
      </c>
      <c r="AW22" s="73" t="str">
        <f t="shared" si="1"/>
        <v>NA</v>
      </c>
      <c r="AX22" s="84"/>
      <c r="AY22" s="85"/>
      <c r="AZ22" s="86"/>
      <c r="BA22" s="85"/>
      <c r="BB22" s="72"/>
      <c r="BC22" s="78"/>
      <c r="BD22" s="83"/>
      <c r="BE22" s="73" t="str">
        <f t="shared" si="5"/>
        <v>NA</v>
      </c>
      <c r="BF22" s="73" t="str">
        <f t="shared" si="6"/>
        <v>NA</v>
      </c>
      <c r="BG22" s="84"/>
      <c r="BH22" s="85"/>
      <c r="BI22" s="86"/>
      <c r="BJ22" s="85"/>
      <c r="BK22" s="72"/>
      <c r="BL22" s="78"/>
      <c r="BM22" s="83"/>
      <c r="BN22" s="73" t="str">
        <f t="shared" si="7"/>
        <v>NA</v>
      </c>
      <c r="BO22" s="73" t="str">
        <f t="shared" si="8"/>
        <v>NA</v>
      </c>
      <c r="BP22" s="84"/>
      <c r="BQ22" s="85"/>
      <c r="BR22" s="86"/>
      <c r="BS22" s="85"/>
      <c r="BT22" s="72"/>
      <c r="BU22" s="78"/>
      <c r="BV22" s="83"/>
      <c r="BW22" s="73" t="str">
        <f t="shared" si="9"/>
        <v>NA</v>
      </c>
      <c r="BX22" s="73" t="str">
        <f t="shared" si="10"/>
        <v>NA</v>
      </c>
      <c r="BY22" s="84"/>
      <c r="BZ22" s="85"/>
      <c r="CA22" s="86"/>
      <c r="CB22" s="85"/>
      <c r="CC22" s="72"/>
      <c r="CD22" s="78"/>
      <c r="CE22" s="83"/>
      <c r="CF22" s="73" t="str">
        <f t="shared" si="11"/>
        <v>NA</v>
      </c>
      <c r="CG22" s="73" t="str">
        <f t="shared" si="12"/>
        <v>NA</v>
      </c>
      <c r="CH22" s="84"/>
      <c r="CI22" s="85"/>
      <c r="CJ22" s="86"/>
      <c r="CK22" s="85"/>
      <c r="CL22" s="72"/>
      <c r="CM22" s="78"/>
      <c r="CN22" s="79"/>
      <c r="CO22" s="73" t="str">
        <f t="shared" si="13"/>
        <v>NA</v>
      </c>
      <c r="CP22" s="73" t="str">
        <f t="shared" si="14"/>
        <v>NA</v>
      </c>
      <c r="CQ22" s="84"/>
      <c r="CR22" s="85"/>
      <c r="CS22" s="86"/>
      <c r="CT22" s="85"/>
      <c r="CU22" s="74"/>
    </row>
    <row r="23" spans="1:99" ht="16.5" customHeight="1" thickBot="1" x14ac:dyDescent="0.3">
      <c r="A23" s="98" t="s">
        <v>80</v>
      </c>
      <c r="B23" s="72"/>
      <c r="C23" s="119" t="s">
        <v>108</v>
      </c>
      <c r="D23" s="118" t="s">
        <v>66</v>
      </c>
      <c r="E23" s="80" t="s">
        <v>119</v>
      </c>
      <c r="F23" s="89"/>
      <c r="G23" s="90"/>
      <c r="H23" s="81"/>
      <c r="I23" s="72"/>
      <c r="J23" s="96"/>
      <c r="K23" s="83"/>
      <c r="L23" s="73" t="str">
        <f t="shared" si="2"/>
        <v>NA</v>
      </c>
      <c r="M23" s="73" t="str">
        <f t="shared" si="0"/>
        <v>YES</v>
      </c>
      <c r="N23" s="84"/>
      <c r="O23" s="85"/>
      <c r="P23" s="86"/>
      <c r="Q23" s="85"/>
      <c r="R23" s="72"/>
      <c r="S23" s="78"/>
      <c r="T23" s="83"/>
      <c r="U23" s="73" t="str">
        <f t="shared" si="31"/>
        <v>NA</v>
      </c>
      <c r="V23" s="73" t="str">
        <f t="shared" si="32"/>
        <v>NA</v>
      </c>
      <c r="W23" s="84"/>
      <c r="X23" s="85"/>
      <c r="Y23" s="86"/>
      <c r="Z23" s="85"/>
      <c r="AA23" s="72"/>
      <c r="AB23" s="101"/>
      <c r="AC23" s="102"/>
      <c r="AD23" s="101"/>
      <c r="AE23" s="102"/>
      <c r="AF23" s="101"/>
      <c r="AG23" s="102"/>
      <c r="AH23" s="101"/>
      <c r="AI23" s="102"/>
      <c r="AJ23" s="72"/>
      <c r="AK23" s="78"/>
      <c r="AL23" s="83"/>
      <c r="AM23" s="73" t="str">
        <f t="shared" si="3"/>
        <v>NA</v>
      </c>
      <c r="AN23" s="73" t="str">
        <f t="shared" si="4"/>
        <v>NA</v>
      </c>
      <c r="AO23" s="84"/>
      <c r="AP23" s="85"/>
      <c r="AQ23" s="86"/>
      <c r="AR23" s="85"/>
      <c r="AS23" s="72"/>
      <c r="AT23" s="78"/>
      <c r="AU23" s="83"/>
      <c r="AV23" s="73" t="str">
        <f>IF(LEFT(AU23,1)&lt;&gt;"x","NA",IF(OR(RIGHT(AT23,3)=RIGHT(AK23,3),RIGHT(#REF!,3)=RIGHT(#REF!,3)),IF(OR(RIGHT(AT23,3)&lt;&gt;RIGHT(AK23,3),RIGHT(#REF!,3)&lt;&gt;RIGHT(#REF!,3)),IF(OR(AND(RIGHT(AT23,3)=RIGHT(AK23,3),RIGHT(#REF!,3)=RIGHT(#REF!,3),AU23=AL23)),"NO","YES"),"NO"),IF(OR(RIGHT(AT23,3)=RIGHT(AK23,3),RIGHT(#REF!,3)=RIGHT(#REF!,3)),"ERROR","YES")))</f>
        <v>NA</v>
      </c>
      <c r="AW23" s="73" t="str">
        <f t="shared" si="1"/>
        <v>NA</v>
      </c>
      <c r="AX23" s="84"/>
      <c r="AY23" s="85"/>
      <c r="AZ23" s="86"/>
      <c r="BA23" s="85"/>
      <c r="BB23" s="72"/>
      <c r="BC23" s="78"/>
      <c r="BD23" s="83"/>
      <c r="BE23" s="73" t="str">
        <f t="shared" si="5"/>
        <v>NA</v>
      </c>
      <c r="BF23" s="73" t="str">
        <f t="shared" si="6"/>
        <v>NA</v>
      </c>
      <c r="BG23" s="84"/>
      <c r="BH23" s="85"/>
      <c r="BI23" s="86"/>
      <c r="BJ23" s="85"/>
      <c r="BK23" s="72"/>
      <c r="BL23" s="78"/>
      <c r="BM23" s="83"/>
      <c r="BN23" s="73" t="str">
        <f t="shared" si="7"/>
        <v>NA</v>
      </c>
      <c r="BO23" s="73" t="str">
        <f t="shared" si="8"/>
        <v>NA</v>
      </c>
      <c r="BP23" s="84"/>
      <c r="BQ23" s="85"/>
      <c r="BR23" s="86"/>
      <c r="BS23" s="85"/>
      <c r="BT23" s="72"/>
      <c r="BU23" s="78"/>
      <c r="BV23" s="83"/>
      <c r="BW23" s="73" t="str">
        <f t="shared" si="9"/>
        <v>NA</v>
      </c>
      <c r="BX23" s="73" t="str">
        <f t="shared" si="10"/>
        <v>NA</v>
      </c>
      <c r="BY23" s="84"/>
      <c r="BZ23" s="85"/>
      <c r="CA23" s="86"/>
      <c r="CB23" s="85"/>
      <c r="CC23" s="72"/>
      <c r="CD23" s="78"/>
      <c r="CE23" s="83"/>
      <c r="CF23" s="73" t="str">
        <f t="shared" si="11"/>
        <v>NA</v>
      </c>
      <c r="CG23" s="73" t="str">
        <f t="shared" si="12"/>
        <v>NA</v>
      </c>
      <c r="CH23" s="84"/>
      <c r="CI23" s="85"/>
      <c r="CJ23" s="86"/>
      <c r="CK23" s="85"/>
      <c r="CL23" s="72"/>
      <c r="CM23" s="78"/>
      <c r="CN23" s="79"/>
      <c r="CO23" s="73" t="str">
        <f t="shared" si="13"/>
        <v>NA</v>
      </c>
      <c r="CP23" s="73" t="str">
        <f t="shared" si="14"/>
        <v>NA</v>
      </c>
      <c r="CQ23" s="84"/>
      <c r="CR23" s="85"/>
      <c r="CS23" s="86"/>
      <c r="CT23" s="85"/>
      <c r="CU23" s="74"/>
    </row>
    <row r="24" spans="1:99" ht="16.5" customHeight="1" thickBot="1" x14ac:dyDescent="0.3">
      <c r="A24" s="98" t="s">
        <v>81</v>
      </c>
      <c r="B24" s="72"/>
      <c r="C24" s="119" t="s">
        <v>100</v>
      </c>
      <c r="D24" s="118" t="s">
        <v>66</v>
      </c>
      <c r="E24" s="80" t="s">
        <v>119</v>
      </c>
      <c r="F24" s="89"/>
      <c r="G24" s="90"/>
      <c r="H24" s="81"/>
      <c r="I24" s="72"/>
      <c r="J24" s="96"/>
      <c r="K24" s="83"/>
      <c r="L24" s="73" t="str">
        <f t="shared" si="2"/>
        <v>NA</v>
      </c>
      <c r="M24" s="73" t="str">
        <f t="shared" si="0"/>
        <v>YES</v>
      </c>
      <c r="N24" s="84"/>
      <c r="O24" s="85"/>
      <c r="P24" s="86"/>
      <c r="Q24" s="85"/>
      <c r="R24" s="72"/>
      <c r="S24" s="78"/>
      <c r="T24" s="83"/>
      <c r="U24" s="73" t="str">
        <f t="shared" si="31"/>
        <v>NA</v>
      </c>
      <c r="V24" s="73" t="str">
        <f t="shared" si="32"/>
        <v>NA</v>
      </c>
      <c r="W24" s="84"/>
      <c r="X24" s="85"/>
      <c r="Y24" s="86"/>
      <c r="Z24" s="85"/>
      <c r="AA24" s="72"/>
      <c r="AB24" s="101"/>
      <c r="AC24" s="102"/>
      <c r="AD24" s="101"/>
      <c r="AE24" s="102"/>
      <c r="AF24" s="101"/>
      <c r="AG24" s="102"/>
      <c r="AH24" s="101"/>
      <c r="AI24" s="102"/>
      <c r="AJ24" s="72"/>
      <c r="AK24" s="78"/>
      <c r="AL24" s="83"/>
      <c r="AM24" s="73" t="str">
        <f t="shared" si="3"/>
        <v>NA</v>
      </c>
      <c r="AN24" s="73" t="str">
        <f t="shared" si="4"/>
        <v>NA</v>
      </c>
      <c r="AO24" s="84"/>
      <c r="AP24" s="85"/>
      <c r="AQ24" s="86"/>
      <c r="AR24" s="85"/>
      <c r="AS24" s="72"/>
      <c r="AT24" s="78"/>
      <c r="AU24" s="83"/>
      <c r="AV24" s="73" t="str">
        <f>IF(LEFT(AU24,1)&lt;&gt;"x","NA",IF(OR(RIGHT(AT24,3)=RIGHT(AK24,3),RIGHT(#REF!,3)=RIGHT(#REF!,3)),IF(OR(RIGHT(AT24,3)&lt;&gt;RIGHT(AK24,3),RIGHT(#REF!,3)&lt;&gt;RIGHT(#REF!,3)),IF(OR(AND(RIGHT(AT24,3)=RIGHT(AK24,3),RIGHT(#REF!,3)=RIGHT(#REF!,3),AU24=AL24)),"NO","YES"),"NO"),IF(OR(RIGHT(AT24,3)=RIGHT(AK24,3),RIGHT(#REF!,3)=RIGHT(#REF!,3)),"ERROR","YES")))</f>
        <v>NA</v>
      </c>
      <c r="AW24" s="73" t="str">
        <f t="shared" si="1"/>
        <v>NA</v>
      </c>
      <c r="AX24" s="84"/>
      <c r="AY24" s="85"/>
      <c r="AZ24" s="86"/>
      <c r="BA24" s="85"/>
      <c r="BB24" s="72"/>
      <c r="BC24" s="78"/>
      <c r="BD24" s="83"/>
      <c r="BE24" s="73" t="str">
        <f t="shared" si="5"/>
        <v>NA</v>
      </c>
      <c r="BF24" s="73" t="str">
        <f t="shared" si="6"/>
        <v>NA</v>
      </c>
      <c r="BG24" s="84"/>
      <c r="BH24" s="85"/>
      <c r="BI24" s="86"/>
      <c r="BJ24" s="85"/>
      <c r="BK24" s="72"/>
      <c r="BL24" s="78"/>
      <c r="BM24" s="83"/>
      <c r="BN24" s="73" t="str">
        <f t="shared" si="7"/>
        <v>NA</v>
      </c>
      <c r="BO24" s="73" t="str">
        <f t="shared" si="8"/>
        <v>NA</v>
      </c>
      <c r="BP24" s="84"/>
      <c r="BQ24" s="85"/>
      <c r="BR24" s="86"/>
      <c r="BS24" s="85"/>
      <c r="BT24" s="72"/>
      <c r="BU24" s="78"/>
      <c r="BV24" s="83"/>
      <c r="BW24" s="73" t="str">
        <f t="shared" si="9"/>
        <v>NA</v>
      </c>
      <c r="BX24" s="73" t="str">
        <f t="shared" si="10"/>
        <v>NA</v>
      </c>
      <c r="BY24" s="84"/>
      <c r="BZ24" s="85"/>
      <c r="CA24" s="86"/>
      <c r="CB24" s="85"/>
      <c r="CC24" s="72"/>
      <c r="CD24" s="78"/>
      <c r="CE24" s="83"/>
      <c r="CF24" s="73" t="str">
        <f t="shared" si="11"/>
        <v>NA</v>
      </c>
      <c r="CG24" s="73" t="str">
        <f t="shared" si="12"/>
        <v>NA</v>
      </c>
      <c r="CH24" s="84"/>
      <c r="CI24" s="85"/>
      <c r="CJ24" s="86"/>
      <c r="CK24" s="85"/>
      <c r="CL24" s="72"/>
      <c r="CM24" s="78"/>
      <c r="CN24" s="79"/>
      <c r="CO24" s="73" t="str">
        <f t="shared" si="13"/>
        <v>NA</v>
      </c>
      <c r="CP24" s="73" t="str">
        <f t="shared" si="14"/>
        <v>NA</v>
      </c>
      <c r="CQ24" s="84"/>
      <c r="CR24" s="85"/>
      <c r="CS24" s="86"/>
      <c r="CT24" s="85"/>
      <c r="CU24" s="74"/>
    </row>
    <row r="25" spans="1:99" ht="16.5" customHeight="1" thickBot="1" x14ac:dyDescent="0.3">
      <c r="A25" s="98" t="s">
        <v>101</v>
      </c>
      <c r="B25" s="72"/>
      <c r="C25" s="119" t="s">
        <v>102</v>
      </c>
      <c r="D25" s="118" t="s">
        <v>66</v>
      </c>
      <c r="E25" s="80" t="s">
        <v>119</v>
      </c>
      <c r="F25" s="81"/>
      <c r="G25" s="82"/>
      <c r="H25" s="81"/>
      <c r="I25" s="72"/>
      <c r="J25" s="96"/>
      <c r="K25" s="83"/>
      <c r="L25" s="73" t="str">
        <f t="shared" ref="L25" si="33">IF(LEFT(K25,1)&lt;&gt;"x","NA",IF(OR(RIGHT(J25,3)=RIGHT(C25,3),),IF(OR(RIGHT(J25,3)&lt;&gt;RIGHT(C25,3),),IF(OR(AND(RIGHT(J25,3)=RIGHT(C25,3),,K25=D25)),"NO","YES"),"NO"),IF(OR(RIGHT(J25,3)=RIGHT(C25,3),),"ERROR","YES")))</f>
        <v>NA</v>
      </c>
      <c r="M25" s="73" t="str">
        <f t="shared" ref="M25" si="34">IF(LEFT(D25,1)&lt;&gt;LEFT(K25,1),"YES",IF(LEFT(K25,1)="x","NO","NA"))</f>
        <v>YES</v>
      </c>
      <c r="N25" s="84"/>
      <c r="O25" s="85"/>
      <c r="P25" s="86"/>
      <c r="Q25" s="85"/>
      <c r="R25" s="72"/>
      <c r="S25" s="78"/>
      <c r="T25" s="83"/>
      <c r="U25" s="73" t="str">
        <f t="shared" ref="U25" si="35">IF(LEFT(T25,1)&lt;&gt;"x","NA",IF(OR(RIGHT(S25,3)=RIGHT(J25,3),),IF(OR(RIGHT(S25,3)&lt;&gt;RIGHT(J25,3),),IF(OR(AND(RIGHT(S25,3)=RIGHT(J25,3),,T25=K25)),"NO","YES"),"NO"),IF(OR(RIGHT(S25,3)=RIGHT(J25,3),),"ERROR","YES")))</f>
        <v>NA</v>
      </c>
      <c r="V25" s="73" t="str">
        <f t="shared" ref="V25" si="36">IF(LEFT(K25,1)&lt;&gt;LEFT(T25,1),"YES",IF(LEFT(T25,1)="x","NO","NA"))</f>
        <v>NA</v>
      </c>
      <c r="W25" s="84"/>
      <c r="X25" s="85"/>
      <c r="Y25" s="86"/>
      <c r="Z25" s="85"/>
      <c r="AA25" s="72"/>
      <c r="AB25" s="101"/>
      <c r="AC25" s="102"/>
      <c r="AD25" s="101"/>
      <c r="AE25" s="102"/>
      <c r="AF25" s="101"/>
      <c r="AG25" s="102"/>
      <c r="AH25" s="101"/>
      <c r="AI25" s="102"/>
      <c r="AJ25" s="72"/>
      <c r="AK25" s="78"/>
      <c r="AL25" s="83"/>
      <c r="AM25" s="73" t="str">
        <f t="shared" ref="AM25" si="37">IF(LEFT(AL25,1)&lt;&gt;"x","NA",IF(OR(RIGHT(AK25,3)=RIGHT(S25,3),),IF(OR(RIGHT(AK25,3)&lt;&gt;RIGHT(S25,3),),IF(OR(AND(RIGHT(AK25,3)=RIGHT(S25,3),,AL25=T25)),"NO","YES"),"NO"),IF(OR(RIGHT(AK25,3)=RIGHT(S25,3),),"ERROR","YES")))</f>
        <v>NA</v>
      </c>
      <c r="AN25" s="73" t="str">
        <f t="shared" ref="AN25" si="38">IF(LEFT(T25,1)&lt;&gt;LEFT(AL25,1),"YES",IF(LEFT(AL25,1)="x","NO","NA"))</f>
        <v>NA</v>
      </c>
      <c r="AO25" s="84"/>
      <c r="AP25" s="85"/>
      <c r="AQ25" s="86"/>
      <c r="AR25" s="85"/>
      <c r="AS25" s="72"/>
      <c r="AT25" s="78"/>
      <c r="AU25" s="83"/>
      <c r="AV25" s="73" t="str">
        <f>IF(LEFT(AU25,1)&lt;&gt;"x","NA",IF(OR(RIGHT(AT25,3)=RIGHT(AK25,3),RIGHT(#REF!,3)=RIGHT(#REF!,3)),IF(OR(RIGHT(AT25,3)&lt;&gt;RIGHT(AK25,3),RIGHT(#REF!,3)&lt;&gt;RIGHT(#REF!,3)),IF(OR(AND(RIGHT(AT25,3)=RIGHT(AK25,3),RIGHT(#REF!,3)=RIGHT(#REF!,3),AU25=AL25)),"NO","YES"),"NO"),IF(OR(RIGHT(AT25,3)=RIGHT(AK25,3),RIGHT(#REF!,3)=RIGHT(#REF!,3)),"ERROR","YES")))</f>
        <v>NA</v>
      </c>
      <c r="AW25" s="73" t="str">
        <f t="shared" ref="AW25" si="39">IF(LEFT(AL25,1)&lt;&gt;LEFT(AU25,1),"YES",IF(LEFT(AU25,1)="x","NO","NA"))</f>
        <v>NA</v>
      </c>
      <c r="AX25" s="84"/>
      <c r="AY25" s="85"/>
      <c r="AZ25" s="86"/>
      <c r="BA25" s="85"/>
      <c r="BB25" s="72"/>
      <c r="BC25" s="78"/>
      <c r="BD25" s="83"/>
      <c r="BE25" s="73" t="str">
        <f t="shared" ref="BE25" si="40">IF(LEFT(BD25,1)&lt;&gt;"x","NA",IF(OR(RIGHT(BC25,3)=RIGHT(AT25,3),),IF(OR(RIGHT(BC25,3)&lt;&gt;RIGHT(AT25,3),),IF(OR(AND(RIGHT(BC25,3)=RIGHT(AT25,3),,BD25=AU25)),"NO","YES"),"NO"),IF(OR(RIGHT(BC25,3)=RIGHT(AT25,3),),"ERROR","YES")))</f>
        <v>NA</v>
      </c>
      <c r="BF25" s="73" t="str">
        <f t="shared" ref="BF25" si="41">IF(LEFT(AU25,1)&lt;&gt;LEFT(BD25,1),"YES",IF(LEFT(BD25,1)="x","NO","NA"))</f>
        <v>NA</v>
      </c>
      <c r="BG25" s="84"/>
      <c r="BH25" s="85"/>
      <c r="BI25" s="86"/>
      <c r="BJ25" s="85"/>
      <c r="BK25" s="72"/>
      <c r="BL25" s="78"/>
      <c r="BM25" s="83"/>
      <c r="BN25" s="73" t="str">
        <f t="shared" ref="BN25" si="42">IF(LEFT(BM25,1)&lt;&gt;"x","NA",IF(OR(RIGHT(BL25,3)=RIGHT(BC25,3),),IF(OR(RIGHT(BL25,3)&lt;&gt;RIGHT(BC25,3),),IF(OR(AND(RIGHT(BL25,3)=RIGHT(BC25,3),,BM25=BD25)),"NO","YES"),"NO"),IF(OR(RIGHT(BL25,3)=RIGHT(BC25,3),),"ERROR","YES")))</f>
        <v>NA</v>
      </c>
      <c r="BO25" s="73" t="str">
        <f t="shared" ref="BO25" si="43">IF(LEFT(BD25,1)&lt;&gt;LEFT(BM25,1),"YES",IF(LEFT(BM25,1)="x","NO","NA"))</f>
        <v>NA</v>
      </c>
      <c r="BP25" s="84"/>
      <c r="BQ25" s="85"/>
      <c r="BR25" s="86"/>
      <c r="BS25" s="85"/>
      <c r="BT25" s="72"/>
      <c r="BU25" s="78"/>
      <c r="BV25" s="83"/>
      <c r="BW25" s="73" t="str">
        <f t="shared" ref="BW25" si="44">IF(LEFT(BV25,1)&lt;&gt;"x","NA",IF(OR(RIGHT(BU25,3)=RIGHT(BL25,3),),IF(OR(RIGHT(BU25,3)&lt;&gt;RIGHT(BL25,3),),IF(OR(AND(RIGHT(BU25,3)=RIGHT(BL25,3),,BV25=BM25)),"NO","YES"),"NO"),IF(OR(RIGHT(BU25,3)=RIGHT(BL25,3),),"ERROR","YES")))</f>
        <v>NA</v>
      </c>
      <c r="BX25" s="73" t="str">
        <f t="shared" ref="BX25" si="45">IF(LEFT(BM25,1)&lt;&gt;LEFT(BV25,1),"YES",IF(LEFT(BV25,1)="x","NO","NA"))</f>
        <v>NA</v>
      </c>
      <c r="BY25" s="84"/>
      <c r="BZ25" s="85"/>
      <c r="CA25" s="86"/>
      <c r="CB25" s="85"/>
      <c r="CC25" s="72"/>
      <c r="CD25" s="78"/>
      <c r="CE25" s="83"/>
      <c r="CF25" s="73" t="str">
        <f t="shared" ref="CF25" si="46">IF(LEFT(CE25,1)&lt;&gt;"x","NA",IF(OR(RIGHT(CD25,3)=RIGHT(BU25,3),),IF(OR(RIGHT(CD25,3)&lt;&gt;RIGHT(BU25,3),),IF(OR(AND(RIGHT(CD25,3)=RIGHT(BU25,3),,CE25=BV25)),"NO","YES"),"NO"),IF(OR(RIGHT(CD25,3)=RIGHT(BU25,3),),"ERROR","YES")))</f>
        <v>NA</v>
      </c>
      <c r="CG25" s="73" t="str">
        <f t="shared" ref="CG25" si="47">IF(LEFT(BV25,1)&lt;&gt;LEFT(CE25,1),"YES",IF(LEFT(CE25,1)="x","NO","NA"))</f>
        <v>NA</v>
      </c>
      <c r="CH25" s="84"/>
      <c r="CI25" s="85"/>
      <c r="CJ25" s="86"/>
      <c r="CK25" s="85"/>
      <c r="CL25" s="72"/>
      <c r="CM25" s="78"/>
      <c r="CN25" s="79"/>
      <c r="CO25" s="73" t="str">
        <f t="shared" ref="CO25" si="48">IF(LEFT(CN25,1)&lt;&gt;"x","NA",IF(OR(RIGHT(CM25,3)=RIGHT(CD25,3),),IF(OR(RIGHT(CM25,3)&lt;&gt;RIGHT(CD25,3),),IF(OR(AND(RIGHT(CM25,3)=RIGHT(CD25,3),,CN25=CE25)),"NO","YES"),"NO"),IF(OR(RIGHT(CM25,3)=RIGHT(CD25,3),),"ERROR","YES")))</f>
        <v>NA</v>
      </c>
      <c r="CP25" s="73" t="str">
        <f t="shared" ref="CP25" si="49">IF(LEFT(CE25,1)&lt;&gt;LEFT(CN25,1),"YES",IF(LEFT(CN25,1)="x","NO","NA"))</f>
        <v>NA</v>
      </c>
      <c r="CQ25" s="84"/>
      <c r="CR25" s="85"/>
      <c r="CS25" s="86"/>
      <c r="CT25" s="85"/>
      <c r="CU25" s="74"/>
    </row>
  </sheetData>
  <mergeCells count="95">
    <mergeCell ref="AG4:AG5"/>
    <mergeCell ref="AB6:AB7"/>
    <mergeCell ref="AC6:AC7"/>
    <mergeCell ref="AF6:AF7"/>
    <mergeCell ref="AG6:AG7"/>
    <mergeCell ref="AB1:AI1"/>
    <mergeCell ref="AB2:AE2"/>
    <mergeCell ref="AF2:AI2"/>
    <mergeCell ref="AB3:AC3"/>
    <mergeCell ref="AD3:AE3"/>
    <mergeCell ref="AF3:AG3"/>
    <mergeCell ref="AH3:AI3"/>
    <mergeCell ref="BU7:BV7"/>
    <mergeCell ref="CD7:CE7"/>
    <mergeCell ref="CM7:CN7"/>
    <mergeCell ref="BL6:BM6"/>
    <mergeCell ref="BU6:BV6"/>
    <mergeCell ref="CD6:CE6"/>
    <mergeCell ref="CM6:CN6"/>
    <mergeCell ref="C7:D7"/>
    <mergeCell ref="J7:K7"/>
    <mergeCell ref="S7:T7"/>
    <mergeCell ref="AK7:AL7"/>
    <mergeCell ref="AT7:AU7"/>
    <mergeCell ref="CH3:CI3"/>
    <mergeCell ref="CJ3:CK3"/>
    <mergeCell ref="CQ3:CR3"/>
    <mergeCell ref="CS3:CT3"/>
    <mergeCell ref="BC6:BD6"/>
    <mergeCell ref="CF2:CG7"/>
    <mergeCell ref="CH2:CK2"/>
    <mergeCell ref="CM2:CN5"/>
    <mergeCell ref="CO2:CP7"/>
    <mergeCell ref="CQ2:CT2"/>
    <mergeCell ref="BN2:BO7"/>
    <mergeCell ref="BP2:BS2"/>
    <mergeCell ref="BU2:BV5"/>
    <mergeCell ref="BW2:BX7"/>
    <mergeCell ref="BY2:CB2"/>
    <mergeCell ref="BL7:BM7"/>
    <mergeCell ref="S6:T6"/>
    <mergeCell ref="AK6:AL6"/>
    <mergeCell ref="AT6:AU6"/>
    <mergeCell ref="U2:V7"/>
    <mergeCell ref="W2:Z2"/>
    <mergeCell ref="AK2:AL5"/>
    <mergeCell ref="AM2:AN7"/>
    <mergeCell ref="AO2:AR2"/>
    <mergeCell ref="AT2:AU5"/>
    <mergeCell ref="W3:X3"/>
    <mergeCell ref="Y3:Z3"/>
    <mergeCell ref="AO3:AP3"/>
    <mergeCell ref="AQ3:AR3"/>
    <mergeCell ref="AB4:AB5"/>
    <mergeCell ref="AC4:AC5"/>
    <mergeCell ref="AF4:AF5"/>
    <mergeCell ref="A3:A6"/>
    <mergeCell ref="E3:F3"/>
    <mergeCell ref="G3:H3"/>
    <mergeCell ref="N3:O3"/>
    <mergeCell ref="P3:Q3"/>
    <mergeCell ref="C6:D6"/>
    <mergeCell ref="J6:K6"/>
    <mergeCell ref="CD2:CE5"/>
    <mergeCell ref="BP3:BQ3"/>
    <mergeCell ref="BR3:BS3"/>
    <mergeCell ref="BY3:BZ3"/>
    <mergeCell ref="CA3:CB3"/>
    <mergeCell ref="AV2:AW7"/>
    <mergeCell ref="AX2:BA2"/>
    <mergeCell ref="BC2:BD5"/>
    <mergeCell ref="BE2:BF7"/>
    <mergeCell ref="BG2:BJ2"/>
    <mergeCell ref="BC7:BD7"/>
    <mergeCell ref="BL2:BM5"/>
    <mergeCell ref="AX3:AY3"/>
    <mergeCell ref="AZ3:BA3"/>
    <mergeCell ref="BG3:BH3"/>
    <mergeCell ref="BI3:BJ3"/>
    <mergeCell ref="BL1:BS1"/>
    <mergeCell ref="BU1:CB1"/>
    <mergeCell ref="CD1:CK1"/>
    <mergeCell ref="CM1:CT1"/>
    <mergeCell ref="C2:D5"/>
    <mergeCell ref="E2:H2"/>
    <mergeCell ref="J2:K5"/>
    <mergeCell ref="L2:M7"/>
    <mergeCell ref="N2:Q2"/>
    <mergeCell ref="S2:T5"/>
    <mergeCell ref="C1:H1"/>
    <mergeCell ref="J1:Q1"/>
    <mergeCell ref="S1:Z1"/>
    <mergeCell ref="AK1:AR1"/>
    <mergeCell ref="AT1:BA1"/>
    <mergeCell ref="BC1:BJ1"/>
  </mergeCells>
  <phoneticPr fontId="29" type="noConversion"/>
  <conditionalFormatting sqref="A9:A25">
    <cfRule type="containsBlanks" dxfId="39" priority="3">
      <formula>LEN(TRIM(A9))=0</formula>
    </cfRule>
  </conditionalFormatting>
  <conditionalFormatting sqref="C9:H25">
    <cfRule type="containsBlanks" dxfId="38" priority="1">
      <formula>LEN(TRIM(C9))=0</formula>
    </cfRule>
  </conditionalFormatting>
  <conditionalFormatting sqref="N9:Q1048576 W9:Z1048576 AO9:AR1048576 AX9:BA1048576 BG9:BJ1048576 BP9:BS1048576 BY9:CB1048576 CH9:CK1048576 E9:H1048576">
    <cfRule type="expression" dxfId="37" priority="35">
      <formula>AND(#REF!&lt;&gt;"",#REF!="")</formula>
    </cfRule>
  </conditionalFormatting>
  <conditionalFormatting sqref="J9:J25">
    <cfRule type="containsBlanks" dxfId="36" priority="20">
      <formula>LEN(TRIM(J9))=0</formula>
    </cfRule>
  </conditionalFormatting>
  <conditionalFormatting sqref="K9:Q25 S9:Z25 AK9:AR25 AT9:BA25 BC9:BJ25 BL9:BS25 BU9:CB25 CD9:CK25 CM12:CP25">
    <cfRule type="containsBlanks" dxfId="35" priority="30">
      <formula>LEN(TRIM(K9))=0</formula>
    </cfRule>
  </conditionalFormatting>
  <conditionalFormatting sqref="L9:M25 U9:V25 AM9:AN25 AV9:AW25 BE9:BF25 BN9:BO25 BW9:BX25 CF9:CG25 CO9:CP25">
    <cfRule type="cellIs" dxfId="34" priority="29" operator="equal">
      <formula>"YES"</formula>
    </cfRule>
    <cfRule type="cellIs" dxfId="33" priority="28" operator="equal">
      <formula>"NA"</formula>
    </cfRule>
    <cfRule type="cellIs" dxfId="32" priority="27" operator="equal">
      <formula>"ERROR"</formula>
    </cfRule>
  </conditionalFormatting>
  <conditionalFormatting sqref="N9:N1048576 P9:P1048576 W9:W1048576 Y9:Y1048576 AO9:AO1048576 AQ9:AQ1048576 AX9:AX1048576 AZ9:AZ1048576 BG9:BG1048576 BI9:BI1048576 BP9:BP1048576 BR9:BR1048576 BY9:BY1048576 CA9:CA1048576 CH9:CH1048576 CJ9:CJ1048576 G9:G1048576 E9:E1048576">
    <cfRule type="cellIs" dxfId="31" priority="33" operator="equal">
      <formula>"NOK"</formula>
    </cfRule>
    <cfRule type="cellIs" dxfId="30" priority="34" operator="equal">
      <formula>"OK"</formula>
    </cfRule>
  </conditionalFormatting>
  <conditionalFormatting sqref="P9:P1048576 Y9:Y1048576 AQ9:AQ1048576 AZ9:AZ1048576 BI9:BI1048576 BR9:BR1048576 CA9:CA1048576 CJ9:CJ1048576 G9:G1048576">
    <cfRule type="cellIs" dxfId="29" priority="32" operator="equal">
      <formula>"DEVIATION"</formula>
    </cfRule>
    <cfRule type="cellIs" dxfId="28" priority="31" operator="equal">
      <formula>"STANDBY"</formula>
    </cfRule>
  </conditionalFormatting>
  <conditionalFormatting sqref="AB9:AB25">
    <cfRule type="containsBlanks" dxfId="27" priority="4">
      <formula>LEN(TRIM(AB9))=0</formula>
    </cfRule>
    <cfRule type="cellIs" dxfId="26" priority="5" operator="equal">
      <formula>"NOK"</formula>
    </cfRule>
    <cfRule type="cellIs" dxfId="25" priority="6" operator="equal">
      <formula>"OK"</formula>
    </cfRule>
    <cfRule type="expression" dxfId="24" priority="7">
      <formula>AND(#REF!&lt;&gt;"",#REF!="")</formula>
    </cfRule>
  </conditionalFormatting>
  <conditionalFormatting sqref="AD9:AD25">
    <cfRule type="cellIs" dxfId="23" priority="18" operator="equal">
      <formula>"OK"</formula>
    </cfRule>
    <cfRule type="expression" dxfId="22" priority="19">
      <formula>AND(#REF!&lt;&gt;"",#REF!="")</formula>
    </cfRule>
    <cfRule type="containsBlanks" dxfId="21" priority="16">
      <formula>LEN(TRIM(AD9))=0</formula>
    </cfRule>
    <cfRule type="cellIs" dxfId="20" priority="17" operator="equal">
      <formula>"NOK"</formula>
    </cfRule>
  </conditionalFormatting>
  <conditionalFormatting sqref="AF9:AF25">
    <cfRule type="cellIs" dxfId="19" priority="14" operator="equal">
      <formula>"OK"</formula>
    </cfRule>
    <cfRule type="cellIs" dxfId="18" priority="13" operator="equal">
      <formula>"NOK"</formula>
    </cfRule>
    <cfRule type="containsBlanks" dxfId="17" priority="12">
      <formula>LEN(TRIM(AF9))=0</formula>
    </cfRule>
    <cfRule type="expression" dxfId="16" priority="15">
      <formula>AND(#REF!&lt;&gt;"",#REF!="")</formula>
    </cfRule>
  </conditionalFormatting>
  <conditionalFormatting sqref="AH9:AH25">
    <cfRule type="expression" dxfId="15" priority="11">
      <formula>AND(#REF!&lt;&gt;"",#REF!="")</formula>
    </cfRule>
    <cfRule type="cellIs" dxfId="14" priority="10" operator="equal">
      <formula>"OK"</formula>
    </cfRule>
    <cfRule type="cellIs" dxfId="13" priority="9" operator="equal">
      <formula>"NOK"</formula>
    </cfRule>
    <cfRule type="containsBlanks" dxfId="12" priority="8">
      <formula>LEN(TRIM(AH9))=0</formula>
    </cfRule>
  </conditionalFormatting>
  <conditionalFormatting sqref="CM9:CT11">
    <cfRule type="containsBlanks" dxfId="11" priority="58">
      <formula>LEN(TRIM(CM9))=0</formula>
    </cfRule>
  </conditionalFormatting>
  <conditionalFormatting sqref="CQ9:CQ24 CS9:CS24">
    <cfRule type="cellIs" dxfId="10" priority="61" operator="equal">
      <formula>"NOK"</formula>
    </cfRule>
    <cfRule type="cellIs" dxfId="9" priority="62" operator="equal">
      <formula>"OK"</formula>
    </cfRule>
  </conditionalFormatting>
  <conditionalFormatting sqref="CQ25:CQ1048576 CS25:CS1048576">
    <cfRule type="cellIs" dxfId="8" priority="25" operator="equal">
      <formula>"OK"</formula>
    </cfRule>
    <cfRule type="cellIs" dxfId="7" priority="24" operator="equal">
      <formula>"NOK"</formula>
    </cfRule>
  </conditionalFormatting>
  <conditionalFormatting sqref="CQ9:CT24">
    <cfRule type="expression" dxfId="6" priority="63">
      <formula>AND(#REF!&lt;&gt;"",#REF!="")</formula>
    </cfRule>
  </conditionalFormatting>
  <conditionalFormatting sqref="CQ12:CT25">
    <cfRule type="containsBlanks" dxfId="5" priority="21">
      <formula>LEN(TRIM(CQ12))=0</formula>
    </cfRule>
  </conditionalFormatting>
  <conditionalFormatting sqref="CQ25:CT1048576">
    <cfRule type="expression" dxfId="4" priority="26">
      <formula>AND(#REF!&lt;&gt;"",#REF!="")</formula>
    </cfRule>
  </conditionalFormatting>
  <conditionalFormatting sqref="CS9:CS24">
    <cfRule type="cellIs" dxfId="3" priority="59" operator="equal">
      <formula>"STANDBY"</formula>
    </cfRule>
    <cfRule type="cellIs" dxfId="2" priority="60" operator="equal">
      <formula>"DEVIATION"</formula>
    </cfRule>
  </conditionalFormatting>
  <conditionalFormatting sqref="CS25:CS1048576">
    <cfRule type="cellIs" dxfId="1" priority="23" operator="equal">
      <formula>"DEVIATION"</formula>
    </cfRule>
    <cfRule type="cellIs" dxfId="0" priority="22" operator="equal">
      <formula>"STANDBY"</formula>
    </cfRule>
  </conditionalFormatting>
  <dataValidations count="2">
    <dataValidation type="list" allowBlank="1" showInputMessage="1" showErrorMessage="1" sqref="AD9:AD25 AB9:AB25 AH9:AH25 AF9:AF25 CQ9:CQ1048576 CH9:CH1048576 BY9:BY1048576 BP9:BP1048576 BG9:BG1048576 AX9:AX1048576 AO9:AO1048576 W9:W1048576 N9:N1048576 E9:E1048576">
      <formula1>"OK,NOK"</formula1>
    </dataValidation>
    <dataValidation type="list" allowBlank="1" showInputMessage="1" showErrorMessage="1" sqref="G9:G1048576 CJ9:CJ1048576 CA9:CA1048576 BR9:BR1048576 BI9:BI1048576 AZ9:AZ1048576 AQ9:AQ1048576 Y9:Y1048576 P9:P1048576 CS9:CS1048576">
      <formula1>"OK,NOK,DEVIATION,STANDBY"</formula1>
    </dataValidation>
  </dataValidations>
  <pageMargins left="0.7" right="0.7" top="0.75" bottom="0.75" header="0.3" footer="0.3"/>
  <pageSetup orientation="portrait" horizontalDpi="200" verticalDpi="200" r:id="rId1"/>
  <legacyDrawing r:id="rId2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_rels/item3.xml.rels><?xml version="1.0" encoding="UTF-8"?>

<Relationships xmlns="http://schemas.openxmlformats.org/package/2006/relationships">
  <Relationship Id="rId1" Type="http://schemas.openxmlformats.org/officeDocument/2006/relationships/customXmlProps" Target="itemProps3.xml"/>
</Relationships>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91980C5C918C4684F59D2494840182" ma:contentTypeVersion="17" ma:contentTypeDescription="Crée un document." ma:contentTypeScope="" ma:versionID="b64f3825dedef745799e815778a3a450">
  <xsd:schema xmlns:xsd="http://www.w3.org/2001/XMLSchema" xmlns:xs="http://www.w3.org/2001/XMLSchema" xmlns:p="http://schemas.microsoft.com/office/2006/metadata/properties" xmlns:ns2="4c2767fa-af50-448b-be2e-f65ce6607914" xmlns:ns3="8919c726-fcca-4e26-901c-b5f9cceed740" targetNamespace="http://schemas.microsoft.com/office/2006/metadata/properties" ma:root="true" ma:fieldsID="be7a93383acc94020a60dce7576d233c" ns2:_="" ns3:_="">
    <xsd:import namespace="4c2767fa-af50-448b-be2e-f65ce6607914"/>
    <xsd:import namespace="8919c726-fcca-4e26-901c-b5f9cceed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767fa-af50-448b-be2e-f65ce66079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2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9c726-fcca-4e26-901c-b5f9cceed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4c2767fa-af50-448b-be2e-f65ce6607914" xsi:nil="true"/>
    <lcf76f155ced4ddcb4097134ff3c332f xmlns="4c2767fa-af50-448b-be2e-f65ce66079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B28F44-CE97-419E-95CC-A38D9603F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2767fa-af50-448b-be2e-f65ce6607914"/>
    <ds:schemaRef ds:uri="8919c726-fcca-4e26-901c-b5f9cceed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FDBAEF-16DD-4BA9-A937-4874C7FA52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CE95F0-A749-4EC2-B660-E37723AFCD7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7db7ab1-50ea-4f3d-9c59-418f022ae7c5"/>
    <ds:schemaRef ds:uri="http://purl.org/dc/terms/"/>
    <ds:schemaRef ds:uri="http://schemas.openxmlformats.org/package/2006/metadata/core-properties"/>
    <ds:schemaRef ds:uri="6ede9826-c1bc-4a7b-8e27-f5183f4a9074"/>
    <ds:schemaRef ds:uri="http://www.w3.org/XML/1998/namespace"/>
    <ds:schemaRef ds:uri="http://purl.org/dc/dcmitype/"/>
    <ds:schemaRef ds:uri="4c2767fa-af50-448b-be2e-f65ce66079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First page</vt:lpstr>
      <vt:lpstr>Revisions</vt:lpstr>
      <vt:lpstr>Documents</vt:lpstr>
      <vt:lpstr>IF252_Wake-Up</vt:lpstr>
    </vt:vector>
  </TitlesOfParts>
  <Company>PSA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rui.gu@stellantis.com</dc:creator>
  <cp:lastModifiedBy>HanLiQin韩莉勤</cp:lastModifiedBy>
  <dcterms:created xsi:type="dcterms:W3CDTF">2016-11-02T12:02:08Z</dcterms:created>
  <dcterms:modified xsi:type="dcterms:W3CDTF">2026-04-24T01:31:57Z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APQP G1-01A Technical Specification</vt:lpwstr>
  </property>
  <property fmtid="{D5CDD505-2E9C-101B-9397-08002B2CF9AE}" pid="3" name="psa_date_creation">
    <vt:lpwstr>14/04/2026 16:00</vt:lpwstr>
  </property>
  <property fmtid="{D5CDD505-2E9C-101B-9397-08002B2CF9AE}" pid="4" name="psa_date_modification">
    <vt:lpwstr>27/04/2026 13:57</vt:lpwstr>
  </property>
  <property fmtid="{D5CDD505-2E9C-101B-9397-08002B2CF9AE}" pid="5" name="psa_auteur">
    <vt:lpwstr>LE BLEGUET CHRISTOPHE - V178340 (TIANMA EUROPE GMBH) </vt:lpwstr>
  </property>
  <property fmtid="{D5CDD505-2E9C-101B-9397-08002B2CF9AE}" pid="6" name="psa_emetteur">
    <vt:lpwstr>LE BLEGUET CHRISTOPHE - V178340 (TIANMA EUROPE GMBH) </vt:lpwstr>
  </property>
  <property fmtid="{D5CDD505-2E9C-101B-9397-08002B2CF9AE}" pid="7" name="psa_version">
    <vt:lpwstr>0.2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z - Ext amont Thème Conception et Développement 13</vt:lpwstr>
  </property>
  <property fmtid="{D5CDD505-2E9C-101B-9397-08002B2CF9AE}" pid="13" name="psa_niveau_confidentialite">
    <vt:lpwstr>C1 - Public</vt:lpwstr>
  </property>
  <property fmtid="{D5CDD505-2E9C-101B-9397-08002B2CF9AE}" pid="14" name="psa_url_fiche">
    <vt:lpwstr>https://docinfogroupe.inetpsa.com/ead/doc/ref.20931_26_00270/v.0.2</vt:lpwstr>
  </property>
  <property fmtid="{D5CDD505-2E9C-101B-9397-08002B2CF9AE}" pid="15" name="psa_url_modification">
    <vt:lpwstr>https://docinfogroupe.inetpsa.com/ead/doc/modif/ref.20931_26_00270/fiche</vt:lpwstr>
  </property>
  <property fmtid="{D5CDD505-2E9C-101B-9397-08002B2CF9AE}" pid="16" name="psa_date_publication">
    <vt:lpwstr/>
  </property>
  <property fmtid="{D5CDD505-2E9C-101B-9397-08002B2CF9AE}" pid="17" name="psa_reference">
    <vt:lpwstr>20931_26_00270</vt:lpwstr>
  </property>
  <property fmtid="{D5CDD505-2E9C-101B-9397-08002B2CF9AE}" pid="18" name="_NewReviewCycle">
    <vt:lpwstr/>
  </property>
  <property fmtid="{D5CDD505-2E9C-101B-9397-08002B2CF9AE}" pid="19" name="MSIP_Label_2fd53d93-3f4c-4b90-b511-bd6bdbb4fba9_Enabled">
    <vt:lpwstr>true</vt:lpwstr>
  </property>
  <property fmtid="{D5CDD505-2E9C-101B-9397-08002B2CF9AE}" pid="20" name="MSIP_Label_2fd53d93-3f4c-4b90-b511-bd6bdbb4fba9_SetDate">
    <vt:lpwstr>2020-12-21T09:10:38Z</vt:lpwstr>
  </property>
  <property fmtid="{D5CDD505-2E9C-101B-9397-08002B2CF9AE}" pid="21" name="MSIP_Label_2fd53d93-3f4c-4b90-b511-bd6bdbb4fba9_Method">
    <vt:lpwstr>Standard</vt:lpwstr>
  </property>
  <property fmtid="{D5CDD505-2E9C-101B-9397-08002B2CF9AE}" pid="22" name="MSIP_Label_2fd53d93-3f4c-4b90-b511-bd6bdbb4fba9_Name">
    <vt:lpwstr>2fd53d93-3f4c-4b90-b511-bd6bdbb4fba9</vt:lpwstr>
  </property>
  <property fmtid="{D5CDD505-2E9C-101B-9397-08002B2CF9AE}" pid="23" name="MSIP_Label_2fd53d93-3f4c-4b90-b511-bd6bdbb4fba9_SiteId">
    <vt:lpwstr>d852d5cd-724c-4128-8812-ffa5db3f8507</vt:lpwstr>
  </property>
  <property fmtid="{D5CDD505-2E9C-101B-9397-08002B2CF9AE}" pid="24" name="MSIP_Label_2fd53d93-3f4c-4b90-b511-bd6bdbb4fba9_ActionId">
    <vt:lpwstr/>
  </property>
  <property fmtid="{D5CDD505-2E9C-101B-9397-08002B2CF9AE}" pid="25" name="MSIP_Label_2fd53d93-3f4c-4b90-b511-bd6bdbb4fba9_ContentBits">
    <vt:lpwstr>0</vt:lpwstr>
  </property>
  <property fmtid="{D5CDD505-2E9C-101B-9397-08002B2CF9AE}" pid="26" name="ContentTypeId">
    <vt:lpwstr>0x0101005A91980C5C918C4684F59D2494840182</vt:lpwstr>
  </property>
  <property fmtid="{D5CDD505-2E9C-101B-9397-08002B2CF9AE}" pid="27" name="MediaServiceImageTags">
    <vt:lpwstr/>
  </property>
</Properties>
</file>